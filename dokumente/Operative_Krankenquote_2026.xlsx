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klärung" sheetId="1" state="visible" r:id="rId1"/>
    <sheet name="Einstellungen" sheetId="2" state="visible" r:id="rId2"/>
    <sheet name="Mitarbeiter" sheetId="3" state="visible" r:id="rId3"/>
    <sheet name="Stunden Objekte" sheetId="4" state="visible" r:id="rId4"/>
    <sheet name="Krankmeldungen" sheetId="5" state="visible" r:id="rId5"/>
    <sheet name="Krankenquote Objekte" sheetId="6" state="visible" r:id="rId6"/>
    <sheet name="KQuote Mitarbeiter" sheetId="7" state="visible" r:id="rId7"/>
    <sheet name="Auswertung Objekte" sheetId="8" state="visible" r:id="rId8"/>
    <sheet name="Stundenauswertu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"/>
    <numFmt numFmtId="165" formatCode="0.0%"/>
    <numFmt numFmtId="166" formatCode="DD.MM.YYYY"/>
    <numFmt numFmtId="167" formatCode="#,##0;-#,##0;&quot;-&quot;"/>
    <numFmt numFmtId="168" formatCode="yyyy-mm-dd"/>
    <numFmt numFmtId="169" formatCode="#,##0.0;-#,##0.0;&quot;-&quot;"/>
    <numFmt numFmtId="170" formatCode="MMMM"/>
    <numFmt numFmtId="171" formatCode="0.0%;-0.0%;&quot;-&quot;"/>
    <numFmt numFmtId="172" formatCode="0.000"/>
    <numFmt numFmtId="173" formatCode="+0.0%;-0.0%;&quot;±0,0%&quot;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8000"/>
      <sz val="10"/>
    </font>
    <font>
      <name val="Arial"/>
      <b val="1"/>
      <color rgb="001F3864"/>
      <sz val="11"/>
    </font>
    <font>
      <name val="Arial"/>
      <b val="1"/>
      <color rgb="00006100"/>
    </font>
    <font>
      <name val="Arial"/>
      <b val="1"/>
      <color rgb="009C5700"/>
    </font>
    <font>
      <name val="Arial"/>
      <b val="1"/>
      <color rgb="009C0006"/>
    </font>
    <font>
      <name val="Arial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2F5597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7" fillId="3" borderId="1" pivotButton="0" quotePrefix="0" xfId="0"/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center" wrapText="1"/>
    </xf>
    <xf numFmtId="1" fontId="4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6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7" fontId="6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4" borderId="1" pivotButton="0" quotePrefix="0" xfId="0"/>
    <xf numFmtId="167" fontId="3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2" fontId="6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9" fontId="6" fillId="4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center" vertical="center" wrapText="1"/>
    </xf>
    <xf numFmtId="170" fontId="6" fillId="0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center" vertical="center" wrapText="1"/>
    </xf>
    <xf numFmtId="169" fontId="3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71" fontId="3" fillId="0" borderId="1" applyAlignment="1" pivotButton="0" quotePrefix="0" xfId="0">
      <alignment horizontal="center" vertical="center" wrapText="1"/>
    </xf>
    <xf numFmtId="169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9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4" fillId="0" borderId="1" applyAlignment="1" pivotButton="0" quotePrefix="0" xfId="0">
      <alignment horizontal="center" vertical="center" wrapText="1"/>
    </xf>
    <xf numFmtId="166" fontId="2" fillId="0" borderId="1" pivotButton="0" quotePrefix="0" xfId="0"/>
    <xf numFmtId="2" fontId="2" fillId="0" borderId="1" pivotButton="0" quotePrefix="0" xfId="0"/>
    <xf numFmtId="1" fontId="2" fillId="0" borderId="1" pivotButton="0" quotePrefix="0" xfId="0"/>
    <xf numFmtId="164" fontId="2" fillId="0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7" borderId="1" pivotButton="0" quotePrefix="0" xfId="0"/>
    <xf numFmtId="0" fontId="5" fillId="5" borderId="1" pivotButton="0" quotePrefix="0" xfId="0"/>
    <xf numFmtId="0" fontId="3" fillId="0" borderId="1" applyAlignment="1" pivotButton="0" quotePrefix="0" xfId="0">
      <alignment horizontal="center" vertical="center" wrapText="1"/>
    </xf>
    <xf numFmtId="169" fontId="8" fillId="0" borderId="1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171" fontId="3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1" fontId="8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1" fontId="6" fillId="0" borderId="1" applyAlignment="1" pivotButton="0" quotePrefix="0" xfId="0">
      <alignment horizontal="center" vertical="center" wrapText="1"/>
    </xf>
    <xf numFmtId="172" fontId="2" fillId="0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67" fontId="8" fillId="0" borderId="1" applyAlignment="1" pivotButton="0" quotePrefix="0" xfId="0">
      <alignment horizontal="center" vertical="center" wrapText="1"/>
    </xf>
    <xf numFmtId="171" fontId="8" fillId="0" borderId="1" applyAlignment="1" pivotButton="0" quotePrefix="0" xfId="0">
      <alignment horizontal="center" vertical="center" wrapText="1"/>
    </xf>
    <xf numFmtId="171" fontId="6" fillId="0" borderId="1" applyAlignment="1" pivotButton="0" quotePrefix="0" xfId="0">
      <alignment horizontal="center" vertical="center" wrapText="1"/>
    </xf>
    <xf numFmtId="173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167" fontId="5" fillId="3" borderId="1" applyAlignment="1" pivotButton="0" quotePrefix="0" xfId="0">
      <alignment horizontal="center" vertical="center" wrapText="1"/>
    </xf>
    <xf numFmtId="171" fontId="5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dxfs count="7">
    <dxf>
      <font>
        <name val="Arial"/>
        <color rgb="007F7F7F"/>
      </font>
    </dxf>
    <dxf>
      <font>
        <name val="Arial"/>
        <b val="1"/>
        <color rgb="00006100"/>
      </font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Eintritte / Austritte je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'Mitarbeiter'!K5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'Mitarbeiter'!$J$7:$J$18</f>
            </numRef>
          </cat>
          <val>
            <numRef>
              <f>'Mitarbeiter'!$K$6:$K$18</f>
            </numRef>
          </val>
        </ser>
        <ser>
          <idx val="1"/>
          <order val="1"/>
          <tx>
            <strRef>
              <f>'Mitarbeiter'!L5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'Mitarbeiter'!$J$7:$J$18</f>
            </numRef>
          </cat>
          <val>
            <numRef>
              <f>'Mitarbeiter'!$L$6:$L$18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Krankenquote im Monatsverlauf</a:t>
            </a:r>
          </a:p>
        </rich>
      </tx>
    </title>
    <plotArea>
      <lineChart>
        <grouping val="standard"/>
        <ser>
          <idx val="0"/>
          <order val="0"/>
          <tx>
            <strRef>
              <f>'Krankenquote Objekte'!$B$4</f>
            </strRef>
          </tx>
          <spPr>
            <a:ln w="24000"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'Krankenquote Objekte'!$A$6:$A$17</f>
            </numRef>
          </cat>
          <val>
            <numRef>
              <f>'Krankenquote Objekte'!$D$6:$D$17</f>
            </numRef>
          </val>
        </ser>
        <ser>
          <idx val="1"/>
          <order val="1"/>
          <tx>
            <strRef>
              <f>'Krankenquote Objekte'!$G$4</f>
            </strRef>
          </tx>
          <spPr>
            <a:ln w="24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'Krankenquote Objekte'!$A$6:$A$17</f>
            </numRef>
          </cat>
          <val>
            <numRef>
              <f>'Krankenquote Objekte'!$I$6:$I$17</f>
            </numRef>
          </val>
        </ser>
        <ser>
          <idx val="2"/>
          <order val="2"/>
          <tx>
            <strRef>
              <f>'Krankenquote Objekte'!$L$4</f>
            </strRef>
          </tx>
          <spPr>
            <a:ln w="24000">
              <a:solidFill>
                <a:srgbClr val="A5A5A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'Krankenquote Objekte'!$A$6:$A$17</f>
            </numRef>
          </cat>
          <val>
            <numRef>
              <f>'Krankenquote Objekte'!$N$6:$N$17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Kumulierte Krankenquote (Jahr bis Monat)</a:t>
            </a:r>
          </a:p>
        </rich>
      </tx>
    </title>
    <plotArea>
      <lineChart>
        <grouping val="standard"/>
        <ser>
          <idx val="0"/>
          <order val="0"/>
          <tx>
            <strRef>
              <f>'Krankenquote Objekte'!$B$22</f>
            </strRef>
          </tx>
          <spPr>
            <a:ln w="24000">
              <a:solidFill>
                <a:srgbClr val="1F386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'Krankenquote Objekte'!$A$24:$A$35</f>
            </numRef>
          </cat>
          <val>
            <numRef>
              <f>'Krankenquote Objekte'!$D$24:$D$35</f>
            </numRef>
          </val>
        </ser>
        <ser>
          <idx val="1"/>
          <order val="1"/>
          <tx>
            <strRef>
              <f>'Krankenquote Objekte'!$E$22</f>
            </strRef>
          </tx>
          <spPr>
            <a:ln w="24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'Krankenquote Objekte'!$A$24:$A$35</f>
            </numRef>
          </cat>
          <val>
            <numRef>
              <f>'Krankenquote Objekte'!$G$24:$G$35</f>
            </numRef>
          </val>
        </ser>
        <ser>
          <idx val="2"/>
          <order val="2"/>
          <tx>
            <strRef>
              <f>'Krankenquote Objekte'!$H$22</f>
            </strRef>
          </tx>
          <spPr>
            <a:ln w="24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'Krankenquote Objekte'!$A$24:$A$35</f>
            </numRef>
          </cat>
          <val>
            <numRef>
              <f>'Krankenquote Objekte'!$J$24:$J$35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Verteilung Bewertung</a:t>
            </a:r>
          </a:p>
        </rich>
      </tx>
    </title>
    <plotArea>
      <pieChart>
        <varyColors val="1"/>
        <ser>
          <idx val="0"/>
          <order val="0"/>
          <tx>
            <strRef>
              <f>'KQuote Mitarbeiter'!P18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C00000"/>
              </a:solidFill>
              <a:ln>
                <a:prstDash val="solid"/>
              </a:ln>
            </spPr>
          </dPt>
          <cat>
            <numRef>
              <f>'KQuote Mitarbeiter'!$O$19:$O$21</f>
            </numRef>
          </cat>
          <val>
            <numRef>
              <f>'KQuote Mitarbeiter'!$P$19:$P$21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Krankenquote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'KQuote Mitarbeiter'!Q25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'KQuote Mitarbeiter'!$P$26:$P$35</f>
            </numRef>
          </cat>
          <val>
            <numRef>
              <f>'KQuote Mitarbeiter'!$Q$26:$Q$35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Anteil Krankstunden je Objekt</a:t>
            </a:r>
          </a:p>
        </rich>
      </tx>
    </title>
    <plotArea>
      <pieChart>
        <varyColors val="1"/>
        <ser>
          <idx val="0"/>
          <order val="0"/>
          <tx>
            <strRef>
              <f>'Auswertung Objekte'!C4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3864"/>
              </a:solidFill>
              <a:ln>
                <a:prstDash val="solid"/>
              </a:ln>
            </spPr>
          </dPt>
          <dPt>
            <idx val="1"/>
            <spPr>
              <a:solidFill>
                <a:srgbClr val="70AD47"/>
              </a:solidFill>
              <a:ln>
                <a:prstDash val="solid"/>
              </a:ln>
            </spPr>
          </dPt>
          <cat>
            <numRef>
              <f>'Auswertung Objekte'!$A$5:$A$6</f>
            </numRef>
          </cat>
          <val>
            <numRef>
              <f>'Auswertung Objekte'!$C$5:$C$6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Gesamtstunden je Objekt</a:t>
            </a:r>
          </a:p>
        </rich>
      </tx>
    </title>
    <plotArea>
      <pieChart>
        <varyColors val="1"/>
        <ser>
          <idx val="0"/>
          <order val="0"/>
          <tx>
            <strRef>
              <f>'Auswertung Objekte'!B4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3864"/>
              </a:solidFill>
              <a:ln>
                <a:prstDash val="solid"/>
              </a:ln>
            </spPr>
          </dPt>
          <dPt>
            <idx val="1"/>
            <spPr>
              <a:solidFill>
                <a:srgbClr val="70AD47"/>
              </a:solidFill>
              <a:ln>
                <a:prstDash val="solid"/>
              </a:ln>
            </spPr>
          </dPt>
          <cat>
            <numRef>
              <f>'Auswertung Objekte'!$A$5:$A$6</f>
            </numRef>
          </cat>
          <val>
            <numRef>
              <f>'Auswertung Objekte'!$B$5:$B$6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Krankstunden je Monat und Objekt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'Krankenquote Objekte'!$B$4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'Krankenquote Objekte'!$A$6:$A$17</f>
            </numRef>
          </cat>
          <val>
            <numRef>
              <f>'Krankenquote Objekte'!$C$6:$C$17</f>
            </numRef>
          </val>
        </ser>
        <ser>
          <idx val="1"/>
          <order val="1"/>
          <tx>
            <strRef>
              <f>'Krankenquote Objekte'!$G$4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'Krankenquote Objekte'!$A$6:$A$17</f>
            </numRef>
          </cat>
          <val>
            <numRef>
              <f>'Krankenquote Objekte'!$H$6:$H$17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38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3</row>
      <rowOff>0</rowOff>
    </from>
    <ext cx="41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37</row>
      <rowOff>0</rowOff>
    </from>
    <ext cx="468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41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11</row>
      <rowOff>0</rowOff>
    </from>
    <ext cx="41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29</row>
      <rowOff>0</rowOff>
    </from>
    <ext cx="79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Erkl&#228;rung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Erkl&#228;rung'!A1" TargetMode="External" Id="rId1" /><Relationship Type="http://schemas.openxmlformats.org/officeDocument/2006/relationships/drawing" Target="/xl/drawings/drawing1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#'Erkl&#228;rung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Erkl&#228;rung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Erkl&#228;rung'!A1" TargetMode="External" Id="rId1" /><Relationship Type="http://schemas.openxmlformats.org/officeDocument/2006/relationships/drawing" Target="/xl/drawings/drawing2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#'Erkl&#228;rung'!A1" TargetMode="External" Id="rId1" /><Relationship Type="http://schemas.openxmlformats.org/officeDocument/2006/relationships/drawing" Target="/xl/drawings/drawing3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#'Erkl&#228;rung'!A1" TargetMode="External" Id="rId1" /><Relationship Type="http://schemas.openxmlformats.org/officeDocument/2006/relationships/drawing" Target="/xl/drawings/drawing4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#'Erkl&#228;rung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0" customWidth="1" min="3" max="3"/>
  </cols>
  <sheetData>
    <row r="1">
      <c r="B1" s="1" t="inlineStr">
        <is>
          <t>Erklärung – Operative Krankenquote</t>
        </is>
      </c>
    </row>
    <row r="4">
      <c r="B4" s="2" t="inlineStr">
        <is>
          <t>Was muss ich eintragen? (nur 3 Dinge)</t>
        </is>
      </c>
      <c r="C4" s="2" t="n"/>
    </row>
    <row r="5" ht="28" customHeight="1">
      <c r="B5" s="3" t="inlineStr">
        <is>
          <t>1. Mitarbeiter</t>
        </is>
      </c>
      <c r="C5" s="4" t="inlineStr">
        <is>
          <t>Jede Person einmal: Pers.-Nr., Name, Eintritt, ggf. Austritt, Wochenstunden. Bei Austritt nur Datum eintragen, Zeile nie löschen.</t>
        </is>
      </c>
    </row>
    <row r="6" ht="28" customHeight="1">
      <c r="B6" s="3" t="inlineStr">
        <is>
          <t>2. Stunden Objekte</t>
        </is>
      </c>
      <c r="C6" s="4" t="inlineStr">
        <is>
          <t>Pro Monat je Objekt EINE Zahl: Gesamtstunden aller Mitarbeiter im Objekt (z. B. aus Dienstplan/Zeiterfassung). Wer zwischen den Objekten wechselt, steckt mit seinen Stunden einfach in der jeweiligen Objektsumme.</t>
        </is>
      </c>
    </row>
    <row r="7" ht="42" customHeight="1">
      <c r="B7" s="3" t="inlineStr">
        <is>
          <t>3. Krankmeldungen</t>
        </is>
      </c>
      <c r="C7" s="4" t="inlineStr">
        <is>
          <t>Nur wenn jemand krank ist: Pers.-Nr. (Auswahlliste), Objekt (wo der MA eingeplant war), Krank von, Krank bis – wie auf der AU. Bis leer lassen, solange die Person noch krank ist. Arbeitstage und Krankstunden werden automatisch berechnet (Mo–Fr ohne Feiertage, × Std./Tag), auch über Monatsgrenzen hinweg.</t>
        </is>
      </c>
    </row>
    <row r="8" ht="14" customHeight="1">
      <c r="B8" s="3" t="inlineStr">
        <is>
          <t>Wechsel während Krankheit</t>
        </is>
      </c>
      <c r="C8" s="4" t="inlineStr">
        <is>
          <t>Muss eine Krankmeldung auf zwei Objekte aufgeteilt werden: zwei Zeilen mit jeweiligem Zeitraum.</t>
        </is>
      </c>
    </row>
    <row r="9" ht="28" customHeight="1">
      <c r="B9" s="3" t="inlineStr">
        <is>
          <t>Spalte „Prüfung“</t>
        </is>
      </c>
      <c r="C9" s="4" t="inlineStr">
        <is>
          <t>ok = alles richtig; offen (gelb) = noch kein Bis-Datum; rot = Fehler (Pers.-Nr. unbekannt, Objekt fehlt, Bis vor Von, vor Eintritt, nach Austritt).</t>
        </is>
      </c>
    </row>
    <row r="11">
      <c r="B11" s="2" t="inlineStr">
        <is>
          <t>Einmalig einrichten (Tab Einstellungen)</t>
        </is>
      </c>
      <c r="C11" s="2" t="n"/>
    </row>
    <row r="12" ht="14" customHeight="1">
      <c r="B12" s="3" t="inlineStr">
        <is>
          <t>Grundwerte</t>
        </is>
      </c>
      <c r="C12" s="4" t="inlineStr">
        <is>
          <t>Auswertungsjahr, Objektnamen, Ampelgrenzen, Vollzeit-Wochenstunden.</t>
        </is>
      </c>
    </row>
    <row r="13" ht="28" customHeight="1">
      <c r="B13" s="3" t="inlineStr">
        <is>
          <t>Gesamtstunden mit Krankstunden?</t>
        </is>
      </c>
      <c r="C13" s="4" t="inlineStr">
        <is>
          <t>„Nein“ (Standard), wenn in „Stunden Objekte“ nur tatsächlich gearbeitete Stunden stehen. „Ja“, wenn die Stunden aus dem Dienstplan stammen und Krankstunden bereits enthalten sind.</t>
        </is>
      </c>
    </row>
    <row r="14" ht="14" customHeight="1">
      <c r="B14" s="3" t="inlineStr">
        <is>
          <t>Feiertage</t>
        </is>
      </c>
      <c r="C14" s="4" t="inlineStr">
        <is>
          <t>NRW 2026 sind eingetragen. Die Arbeitstage je Monat berechnen sich daraus automatisch.</t>
        </is>
      </c>
    </row>
    <row r="16">
      <c r="B16" s="2" t="inlineStr">
        <is>
          <t>Die Auswertungen (alles automatisch)</t>
        </is>
      </c>
      <c r="C16" s="2" t="n"/>
    </row>
    <row r="17" ht="14" customHeight="1">
      <c r="B17" s="3" t="inlineStr">
        <is>
          <t>Krankenquote Objekte</t>
        </is>
      </c>
      <c r="C17" s="4" t="inlineStr">
        <is>
          <t>Je Monat und Objekt: Gesamtstunden, Krankstunden, Quote, Krankheitstage, Anzahl kranker MA; Liniendiagramm.</t>
        </is>
      </c>
    </row>
    <row r="18" ht="28" customHeight="1">
      <c r="B18" s="3" t="inlineStr">
        <is>
          <t>Jahreskumulierung</t>
        </is>
      </c>
      <c r="C18" s="4" t="inlineStr">
        <is>
          <t>Im Tab „Krankenquote Objekte“ unter der Monatstabelle: Gesamtstunden, Krankstunden und Quote kumuliert von Januar bis zum jeweiligen Monat (je Objekt und gesamt), mit Liniendiagramm.</t>
        </is>
      </c>
    </row>
    <row r="19" ht="28" customHeight="1">
      <c r="B19" s="3" t="inlineStr">
        <is>
          <t>KQuote Mitarbeiter</t>
        </is>
      </c>
      <c r="C19" s="4" t="inlineStr">
        <is>
          <t>Je Person: Sollstunden, Krankstunden je Objekt, Krankheitstage, Anzahl Krankmeldungen, Quote, Rang, Ampel; Kennzahlen, Kuchendiagramm Bewertung, Top 10.</t>
        </is>
      </c>
    </row>
    <row r="20" ht="14" customHeight="1">
      <c r="B20" s="3" t="inlineStr">
        <is>
          <t>Auswertung Objekte</t>
        </is>
      </c>
      <c r="C20" s="4" t="inlineStr">
        <is>
          <t>Jahresvergleich beider Objekte mit Kuchendiagrammen (Krankstunden, Gesamtstunden) und Monatsdiagramm.</t>
        </is>
      </c>
    </row>
    <row r="21" ht="14" customHeight="1">
      <c r="B21" s="3" t="inlineStr">
        <is>
          <t>Stundenauswertung</t>
        </is>
      </c>
      <c r="C21" s="4" t="inlineStr">
        <is>
          <t>Krankstunden je Mitarbeiter und Monat mit Sollstunden und Quote.</t>
        </is>
      </c>
    </row>
    <row r="22" ht="14" customHeight="1">
      <c r="B22" s="3" t="inlineStr">
        <is>
          <t>Mitarbeiter (Fluktuation)</t>
        </is>
      </c>
      <c r="C22" s="4" t="inlineStr">
        <is>
          <t>Eintritte, Austritte, Bestand je Monat, Fluktuationsquote.</t>
        </is>
      </c>
    </row>
    <row r="24">
      <c r="B24" s="2" t="inlineStr">
        <is>
          <t>Formeln</t>
        </is>
      </c>
      <c r="C24" s="2" t="n"/>
    </row>
    <row r="25" ht="14" customHeight="1">
      <c r="B25" s="3" t="inlineStr">
        <is>
          <t>Krankstunden</t>
        </is>
      </c>
      <c r="C25" s="4" t="inlineStr">
        <is>
          <t>Arbeitstage der Krankmeldung × Std./Tag (Wochenstunden ÷ 5).</t>
        </is>
      </c>
    </row>
    <row r="26" ht="14" customHeight="1">
      <c r="B26" s="3" t="inlineStr">
        <is>
          <t>Quote je Objekt</t>
        </is>
      </c>
      <c r="C26" s="4" t="inlineStr">
        <is>
          <t>Krankstunden ÷ (Gesamtstunden + Krankstunden). Bei Einstellung „Ja“: Krankstunden ÷ Gesamtstunden.</t>
        </is>
      </c>
    </row>
    <row r="27" ht="28" customHeight="1">
      <c r="B27" s="3" t="inlineStr">
        <is>
          <t>Quote je Mitarbeiter</t>
        </is>
      </c>
      <c r="C27" s="4" t="inlineStr">
        <is>
          <t>Krankstunden ÷ Sollstunden. Sollstunden = Arbeitstage zwischen Eintritt (frühestens 1.1.) und Austritt bzw. Stichtag × Std./Tag. Wichtig: Für Mitarbeiter gibt es keine Einzelstunden mehr, daher Soll statt Ist.</t>
        </is>
      </c>
    </row>
    <row r="28" ht="14" customHeight="1">
      <c r="B28" s="3" t="inlineStr">
        <is>
          <t>Ampel</t>
        </is>
      </c>
      <c r="C28" s="4" t="inlineStr">
        <is>
          <t>unauffällig ≤ Schwelle 1, auffällig ≤ Schwelle 2, darüber kritisch.</t>
        </is>
      </c>
    </row>
    <row r="29" ht="14" customHeight="1">
      <c r="B29" s="3" t="inlineStr">
        <is>
          <t>Fluktuationsquote</t>
        </is>
      </c>
      <c r="C29" s="4" t="inlineStr">
        <is>
          <t>Austritte ÷ Ø Personalbestand (Jahresbeginn + 12 Monatsenden).</t>
        </is>
      </c>
    </row>
    <row r="30" ht="14" customHeight="1">
      <c r="B30" s="3" t="inlineStr">
        <is>
          <t>Ausfall VZ-Stellen</t>
        </is>
      </c>
      <c r="C30" s="4" t="inlineStr">
        <is>
          <t>Krankstunden ÷ Jahres-Sollstunden einer Vollzeitkraft.</t>
        </is>
      </c>
    </row>
    <row r="32">
      <c r="B32" s="2" t="inlineStr">
        <is>
          <t>Hinweise</t>
        </is>
      </c>
      <c r="C32" s="2" t="n"/>
    </row>
    <row r="33" ht="14" customHeight="1">
      <c r="B33" s="3" t="inlineStr">
        <is>
          <t>Kapazität</t>
        </is>
      </c>
      <c r="C33" s="4" t="inlineStr">
        <is>
          <t>200 Mitarbeiter, 1000 Krankmeldungen.</t>
        </is>
      </c>
    </row>
    <row r="34" ht="28" customHeight="1">
      <c r="B34" s="3" t="inlineStr">
        <is>
          <t>Datenschutz</t>
        </is>
      </c>
      <c r="C34" s="4" t="inlineStr">
        <is>
          <t>Gesundheitsdaten sind besonders schützenswert (Art. 9 DSGVO). Zugriff nur für Berechtigte, Datei mit Passwort schützen.</t>
        </is>
      </c>
    </row>
    <row r="36">
      <c r="B36" s="2" t="inlineStr">
        <is>
          <t>Farblegende</t>
        </is>
      </c>
      <c r="C36" s="2" t="n"/>
    </row>
    <row r="37">
      <c r="B37" s="5" t="inlineStr">
        <is>
          <t>123</t>
        </is>
      </c>
      <c r="C37" s="6" t="inlineStr">
        <is>
          <t>Eingabe (blaue Schrift / gelbes Feld)</t>
        </is>
      </c>
    </row>
    <row r="38">
      <c r="B38" s="7" t="inlineStr">
        <is>
          <t>123</t>
        </is>
      </c>
      <c r="C38" s="6" t="inlineStr">
        <is>
          <t>Verknüpfung aus anderem Tab (grün)</t>
        </is>
      </c>
    </row>
    <row r="39">
      <c r="B39" s="8" t="inlineStr">
        <is>
          <t>123</t>
        </is>
      </c>
      <c r="C39" s="6" t="inlineStr">
        <is>
          <t>Automatisch berechnet – nicht überschreiben</t>
        </is>
      </c>
    </row>
    <row r="40">
      <c r="B40" s="9" t="inlineStr">
        <is>
          <t>unauffällig</t>
        </is>
      </c>
      <c r="C40" s="6" t="inlineStr">
        <is>
          <t>Ampel grün</t>
        </is>
      </c>
    </row>
    <row r="41">
      <c r="B41" s="10" t="inlineStr">
        <is>
          <t>auffällig</t>
        </is>
      </c>
      <c r="C41" s="6" t="inlineStr">
        <is>
          <t>Ampel gelb / offen</t>
        </is>
      </c>
    </row>
    <row r="42">
      <c r="B42" s="11" t="inlineStr">
        <is>
          <t>kritisch</t>
        </is>
      </c>
      <c r="C42" s="6" t="inlineStr">
        <is>
          <t>Ampel rot / Fehler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60" customWidth="1" min="4" max="4"/>
    <col width="26" customWidth="1" min="5" max="5"/>
    <col width="12" customWidth="1" min="6" max="6"/>
  </cols>
  <sheetData>
    <row r="1">
      <c r="A1" s="1" t="inlineStr">
        <is>
          <t>Einstellungen</t>
        </is>
      </c>
      <c r="G1" s="12" t="inlineStr">
        <is>
          <t>→ Erklärung</t>
        </is>
      </c>
    </row>
    <row r="2" ht="28" customHeight="1">
      <c r="A2" s="13" t="inlineStr">
        <is>
          <t>Zentrale Vorgaben – gelbe Felder anpassen. Alle Tabs beziehen sich auf diese Werte.</t>
        </is>
      </c>
    </row>
    <row r="3">
      <c r="B3" s="14" t="inlineStr">
        <is>
          <t>Auswertungsjahr</t>
        </is>
      </c>
      <c r="C3" s="15" t="n">
        <v>2026</v>
      </c>
      <c r="D3" s="16" t="inlineStr">
        <is>
          <t>Jahr, für das alle Auswertungen rechnen.</t>
        </is>
      </c>
    </row>
    <row r="4">
      <c r="B4" s="14" t="inlineStr">
        <is>
          <t>Name Objekt 1</t>
        </is>
      </c>
      <c r="C4" s="5" t="inlineStr">
        <is>
          <t>Objekt 1</t>
        </is>
      </c>
      <c r="D4" s="16" t="inlineStr">
        <is>
          <t>Erscheint in allen Auswahllisten und Auswertungen.</t>
        </is>
      </c>
    </row>
    <row r="5">
      <c r="B5" s="14" t="inlineStr">
        <is>
          <t>Name Objekt 2</t>
        </is>
      </c>
      <c r="C5" s="5" t="inlineStr">
        <is>
          <t>Objekt 2</t>
        </is>
      </c>
      <c r="D5" s="16" t="inlineStr"/>
    </row>
    <row r="6">
      <c r="B6" s="14" t="inlineStr">
        <is>
          <t>Vollzeit-Wochenstunden</t>
        </is>
      </c>
      <c r="C6" s="17" t="n">
        <v>40</v>
      </c>
      <c r="D6" s="16" t="inlineStr">
        <is>
          <t>Für Ausfall in Vollzeitstellen.</t>
        </is>
      </c>
    </row>
    <row r="7">
      <c r="B7" s="14" t="inlineStr">
        <is>
          <t>Ampel: unauffällig bis</t>
        </is>
      </c>
      <c r="C7" s="18" t="n">
        <v>0.03</v>
      </c>
      <c r="D7" s="16" t="inlineStr">
        <is>
          <t>Krankenquote bis zu diesem Wert = grün.</t>
        </is>
      </c>
    </row>
    <row r="8">
      <c r="B8" s="14" t="inlineStr">
        <is>
          <t>Ampel: auffällig bis</t>
        </is>
      </c>
      <c r="C8" s="18" t="n">
        <v>0.06</v>
      </c>
      <c r="D8" s="16" t="inlineStr">
        <is>
          <t>Bis zu diesem Wert = gelb, darüber = rot (kritisch).</t>
        </is>
      </c>
    </row>
    <row r="9">
      <c r="B9" s="14" t="inlineStr">
        <is>
          <t>Stichtag</t>
        </is>
      </c>
      <c r="C9" s="19">
        <f>MIN(TODAY(),DATE(C3,12,31))</f>
        <v/>
      </c>
      <c r="D9" s="16" t="inlineStr">
        <is>
          <t>Bis zu diesem Tag werden Sollstunden und offene Krankmeldungen (ohne Bis-Datum) gerechnet.</t>
        </is>
      </c>
    </row>
    <row r="10">
      <c r="B10" s="14" t="inlineStr">
        <is>
          <t>Gesamtstunden enthalten Krankstunden?</t>
        </is>
      </c>
      <c r="C10" s="5" t="inlineStr">
        <is>
          <t>Nein</t>
        </is>
      </c>
      <c r="D10" s="16" t="inlineStr">
        <is>
          <t>Nein = in „Stunden Objekte“ stehen nur geleistete Stunden. Ja = Krankstunden sind in den Gesamtstunden schon enthalten.</t>
        </is>
      </c>
    </row>
    <row r="12" ht="30" customHeight="1">
      <c r="B12" s="20" t="inlineStr">
        <is>
          <t>Monat</t>
        </is>
      </c>
      <c r="C12" s="20" t="inlineStr">
        <is>
          <t>Arbeitstage
(auto)</t>
        </is>
      </c>
      <c r="E12" s="20" t="inlineStr">
        <is>
          <t>Feiertag</t>
        </is>
      </c>
      <c r="F12" s="20" t="inlineStr">
        <is>
          <t>Datum</t>
        </is>
      </c>
    </row>
    <row r="13">
      <c r="B13" s="6" t="inlineStr">
        <is>
          <t>Januar</t>
        </is>
      </c>
      <c r="C13" s="21">
        <f>NETWORKDAYS(DATE($C$3,1,1),DATE($C$3,2,0),$F$13:$F$32)</f>
        <v/>
      </c>
      <c r="E13" s="22" t="inlineStr">
        <is>
          <t>Neujahr</t>
        </is>
      </c>
      <c r="F13" s="19" t="n">
        <v>46023</v>
      </c>
    </row>
    <row r="14">
      <c r="B14" s="6" t="inlineStr">
        <is>
          <t>Februar</t>
        </is>
      </c>
      <c r="C14" s="21">
        <f>NETWORKDAYS(DATE($C$3,2,1),DATE($C$3,3,0),$F$13:$F$32)</f>
        <v/>
      </c>
      <c r="E14" s="22" t="inlineStr">
        <is>
          <t>Karfreitag</t>
        </is>
      </c>
      <c r="F14" s="19" t="n">
        <v>46115</v>
      </c>
    </row>
    <row r="15">
      <c r="B15" s="6" t="inlineStr">
        <is>
          <t>März</t>
        </is>
      </c>
      <c r="C15" s="21">
        <f>NETWORKDAYS(DATE($C$3,3,1),DATE($C$3,4,0),$F$13:$F$32)</f>
        <v/>
      </c>
      <c r="E15" s="22" t="inlineStr">
        <is>
          <t>Ostermontag</t>
        </is>
      </c>
      <c r="F15" s="19" t="n">
        <v>46118</v>
      </c>
    </row>
    <row r="16">
      <c r="B16" s="6" t="inlineStr">
        <is>
          <t>April</t>
        </is>
      </c>
      <c r="C16" s="21">
        <f>NETWORKDAYS(DATE($C$3,4,1),DATE($C$3,5,0),$F$13:$F$32)</f>
        <v/>
      </c>
      <c r="E16" s="22" t="inlineStr">
        <is>
          <t>Tag der Arbeit</t>
        </is>
      </c>
      <c r="F16" s="19" t="n">
        <v>46143</v>
      </c>
    </row>
    <row r="17">
      <c r="B17" s="6" t="inlineStr">
        <is>
          <t>Mai</t>
        </is>
      </c>
      <c r="C17" s="21">
        <f>NETWORKDAYS(DATE($C$3,5,1),DATE($C$3,6,0),$F$13:$F$32)</f>
        <v/>
      </c>
      <c r="E17" s="22" t="inlineStr">
        <is>
          <t>Christi Himmelfahrt</t>
        </is>
      </c>
      <c r="F17" s="19" t="n">
        <v>46156</v>
      </c>
    </row>
    <row r="18">
      <c r="B18" s="6" t="inlineStr">
        <is>
          <t>Juni</t>
        </is>
      </c>
      <c r="C18" s="21">
        <f>NETWORKDAYS(DATE($C$3,6,1),DATE($C$3,7,0),$F$13:$F$32)</f>
        <v/>
      </c>
      <c r="E18" s="22" t="inlineStr">
        <is>
          <t>Pfingstmontag</t>
        </is>
      </c>
      <c r="F18" s="19" t="n">
        <v>46167</v>
      </c>
    </row>
    <row r="19">
      <c r="B19" s="6" t="inlineStr">
        <is>
          <t>Juli</t>
        </is>
      </c>
      <c r="C19" s="21">
        <f>NETWORKDAYS(DATE($C$3,7,1),DATE($C$3,8,0),$F$13:$F$32)</f>
        <v/>
      </c>
      <c r="E19" s="22" t="inlineStr">
        <is>
          <t>Fronleichnam</t>
        </is>
      </c>
      <c r="F19" s="19" t="n">
        <v>46177</v>
      </c>
    </row>
    <row r="20">
      <c r="B20" s="6" t="inlineStr">
        <is>
          <t>August</t>
        </is>
      </c>
      <c r="C20" s="21">
        <f>NETWORKDAYS(DATE($C$3,8,1),DATE($C$3,9,0),$F$13:$F$32)</f>
        <v/>
      </c>
      <c r="E20" s="22" t="inlineStr">
        <is>
          <t>Tag der Deutschen Einheit</t>
        </is>
      </c>
      <c r="F20" s="19" t="n">
        <v>46298</v>
      </c>
    </row>
    <row r="21">
      <c r="B21" s="6" t="inlineStr">
        <is>
          <t>September</t>
        </is>
      </c>
      <c r="C21" s="21">
        <f>NETWORKDAYS(DATE($C$3,9,1),DATE($C$3,10,0),$F$13:$F$32)</f>
        <v/>
      </c>
      <c r="E21" s="22" t="inlineStr">
        <is>
          <t>Allerheiligen</t>
        </is>
      </c>
      <c r="F21" s="19" t="n">
        <v>46327</v>
      </c>
    </row>
    <row r="22">
      <c r="B22" s="6" t="inlineStr">
        <is>
          <t>Oktober</t>
        </is>
      </c>
      <c r="C22" s="21">
        <f>NETWORKDAYS(DATE($C$3,10,1),DATE($C$3,11,0),$F$13:$F$32)</f>
        <v/>
      </c>
      <c r="E22" s="22" t="inlineStr">
        <is>
          <t>1. Weihnachtstag</t>
        </is>
      </c>
      <c r="F22" s="19" t="n">
        <v>46381</v>
      </c>
    </row>
    <row r="23">
      <c r="B23" s="6" t="inlineStr">
        <is>
          <t>November</t>
        </is>
      </c>
      <c r="C23" s="21">
        <f>NETWORKDAYS(DATE($C$3,11,1),DATE($C$3,12,0),$F$13:$F$32)</f>
        <v/>
      </c>
      <c r="E23" s="22" t="inlineStr">
        <is>
          <t>2. Weihnachtstag</t>
        </is>
      </c>
      <c r="F23" s="19" t="n">
        <v>46382</v>
      </c>
    </row>
    <row r="24">
      <c r="B24" s="6" t="inlineStr">
        <is>
          <t>Dezember</t>
        </is>
      </c>
      <c r="C24" s="21">
        <f>NETWORKDAYS(DATE($C$3,12,1),DATE($C$3,13,0),$F$13:$F$32)</f>
        <v/>
      </c>
      <c r="E24" s="22" t="n"/>
      <c r="F24" s="19" t="n"/>
    </row>
    <row r="25">
      <c r="B25" s="23" t="inlineStr">
        <is>
          <t>Summe</t>
        </is>
      </c>
      <c r="C25" s="24">
        <f>SUM(C13:C24)</f>
        <v/>
      </c>
      <c r="E25" s="22" t="n"/>
      <c r="F25" s="19" t="n"/>
    </row>
    <row r="26">
      <c r="E26" s="22" t="n"/>
      <c r="F26" s="19" t="n"/>
    </row>
    <row r="27">
      <c r="E27" s="22" t="n"/>
      <c r="F27" s="19" t="n"/>
    </row>
    <row r="28">
      <c r="E28" s="22" t="n"/>
      <c r="F28" s="19" t="n"/>
    </row>
    <row r="29">
      <c r="E29" s="22" t="n"/>
      <c r="F29" s="19" t="n"/>
    </row>
    <row r="30">
      <c r="E30" s="22" t="n"/>
      <c r="F30" s="19" t="n"/>
    </row>
    <row r="31">
      <c r="E31" s="22" t="n"/>
      <c r="F31" s="19" t="n"/>
    </row>
    <row r="32">
      <c r="E32" s="22" t="n"/>
      <c r="F32" s="19" t="n"/>
    </row>
    <row r="33">
      <c r="E33" s="16" t="inlineStr">
        <is>
          <t>Feiertage NRW 2026 – für ein anderes Jahr/Bundesland anpassen. Arbeitstage = Mo–Fr ohne diese Feiertage.</t>
        </is>
      </c>
    </row>
  </sheetData>
  <mergeCells count="1">
    <mergeCell ref="A2:F2"/>
  </mergeCells>
  <dataValidations count="1">
    <dataValidation sqref="C10" showDropDown="0" showInputMessage="0" showErrorMessage="0" allowBlank="0" type="list">
      <formula1>"Ja,Nein"</formula1>
    </dataValidation>
  </dataValidations>
  <hyperlinks>
    <hyperlink xmlns:r="http://schemas.openxmlformats.org/officeDocument/2006/relationships" ref="G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N2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11" customWidth="1" min="4" max="4"/>
    <col width="9" customWidth="1" min="5" max="5"/>
    <col width="8" customWidth="1" min="6" max="6"/>
    <col width="13" customWidth="1" min="7" max="7"/>
    <col width="11" customWidth="1" min="8" max="8"/>
    <col width="3" customWidth="1" min="9" max="9"/>
    <col width="12" customWidth="1" min="10" max="10"/>
    <col width="10" customWidth="1" min="11" max="11"/>
    <col width="10" customWidth="1" min="12" max="12"/>
    <col width="11" customWidth="1" min="13" max="13"/>
    <col width="28" customWidth="1" min="14" max="14"/>
  </cols>
  <sheetData>
    <row r="1">
      <c r="A1" s="1" t="inlineStr">
        <is>
          <t>Mitarbeiter – Stammdaten &amp; Fluktuation</t>
        </is>
      </c>
      <c r="N1" s="12" t="inlineStr">
        <is>
          <t>→ Erklärung</t>
        </is>
      </c>
    </row>
    <row r="2" ht="28" customHeight="1">
      <c r="A2" s="13" t="inlineStr">
        <is>
          <t>Jede Person nur EINMAL eintragen. Bei Austritt Datum eintragen – Zeile NICHT löschen. Neue Mitarbeiter unten anfügen.</t>
        </is>
      </c>
    </row>
    <row r="4">
      <c r="J4" s="2" t="inlineStr">
        <is>
          <t>Fluktuation im Auswertungsjahr</t>
        </is>
      </c>
      <c r="K4" s="2" t="n"/>
      <c r="L4" s="2" t="n"/>
      <c r="M4" s="2" t="n"/>
    </row>
    <row r="5" ht="30" customHeight="1">
      <c r="A5" s="20" t="inlineStr">
        <is>
          <t>Pers.-Nr.</t>
        </is>
      </c>
      <c r="B5" s="20" t="inlineStr">
        <is>
          <t>Name</t>
        </is>
      </c>
      <c r="C5" s="20" t="inlineStr">
        <is>
          <t>Eintritt</t>
        </is>
      </c>
      <c r="D5" s="20" t="inlineStr">
        <is>
          <t>Austritt</t>
        </is>
      </c>
      <c r="E5" s="20" t="inlineStr">
        <is>
          <t>Wochen-
stunden</t>
        </is>
      </c>
      <c r="F5" s="20" t="inlineStr">
        <is>
          <t>Std./Tag</t>
        </is>
      </c>
      <c r="G5" s="20" t="inlineStr">
        <is>
          <t>Status</t>
        </is>
      </c>
      <c r="H5" s="20" t="inlineStr">
        <is>
          <t>Sollstunden
bis Stichtag</t>
        </is>
      </c>
      <c r="J5" s="20" t="inlineStr">
        <is>
          <t>Monat</t>
        </is>
      </c>
      <c r="K5" s="20" t="inlineStr">
        <is>
          <t>Eintritte</t>
        </is>
      </c>
      <c r="L5" s="20" t="inlineStr">
        <is>
          <t>Austritte</t>
        </is>
      </c>
      <c r="M5" s="20" t="inlineStr">
        <is>
          <t>Bestand
Monatsende</t>
        </is>
      </c>
    </row>
    <row r="6">
      <c r="A6" s="25" t="n">
        <v>1001</v>
      </c>
      <c r="B6" s="22" t="inlineStr">
        <is>
          <t>Mitarbeiter 001</t>
        </is>
      </c>
      <c r="C6" s="26" t="n">
        <v>46023</v>
      </c>
      <c r="D6" s="26" t="n"/>
      <c r="E6" s="27" t="n">
        <v>40</v>
      </c>
      <c r="F6" s="28">
        <f>IF(E6="","",E6/5)</f>
        <v/>
      </c>
      <c r="G6" s="29">
        <f>IF(B6="","",IF(C6&gt;Einstellungen!$C$9,"künftig",IF(AND(D6&lt;&gt;"",D6&lt;Einstellungen!$C$9),"ausgeschieden","aktiv")))</f>
        <v/>
      </c>
      <c r="H6" s="30">
        <f>IF(OR(B6="",E6=""),"",MAX(0,NETWORKDAYS(MAX(C6,DATE(Einstellungen!$C$3,1,1)),MIN(IF(D6="",DATE(Einstellungen!$C$3,12,31),D6),Einstellungen!$C$9),Einstellungen!$F$13:$F$32))*F6)</f>
        <v/>
      </c>
      <c r="J6" s="31">
        <f>DATE(Einstellungen!$C$3,1,1)-1</f>
        <v/>
      </c>
      <c r="K6" s="32" t="inlineStr">
        <is>
          <t>Bestand Jahresbeginn →</t>
        </is>
      </c>
      <c r="L6" s="6" t="n"/>
      <c r="M6" s="33">
        <f>COUNTIFS($C$6:$C$205,"&lt;="&amp;J6,$D$6:$D$205,"&gt;"&amp;J6)+COUNTIFS($C$6:$C$205,"&lt;="&amp;J6,$D$6:$D$205,"")</f>
        <v/>
      </c>
    </row>
    <row r="7">
      <c r="A7" s="25" t="n">
        <v>1002</v>
      </c>
      <c r="B7" s="22" t="inlineStr">
        <is>
          <t>Mitarbeiter 002</t>
        </is>
      </c>
      <c r="C7" s="26" t="n">
        <v>46023</v>
      </c>
      <c r="D7" s="26" t="n"/>
      <c r="E7" s="27" t="n">
        <v>20</v>
      </c>
      <c r="F7" s="28">
        <f>IF(E7="","",E7/5)</f>
        <v/>
      </c>
      <c r="G7" s="29">
        <f>IF(B7="","",IF(C7&gt;Einstellungen!$C$9,"künftig",IF(AND(D7&lt;&gt;"",D7&lt;Einstellungen!$C$9),"ausgeschieden","aktiv")))</f>
        <v/>
      </c>
      <c r="H7" s="30">
        <f>IF(OR(B7="",E7=""),"",MAX(0,NETWORKDAYS(MAX(C7,DATE(Einstellungen!$C$3,1,1)),MIN(IF(D7="",DATE(Einstellungen!$C$3,12,31),D7),Einstellungen!$C$9),Einstellungen!$F$13:$F$32))*F7)</f>
        <v/>
      </c>
      <c r="J7" s="34">
        <f>DATE(Einstellungen!$C$3,1,1)</f>
        <v/>
      </c>
      <c r="K7" s="35">
        <f>COUNTIFS($C$6:$C$205,"&gt;="&amp;J7,$C$6:$C$205,"&lt;="&amp;DATE(Einstellungen!$C$3,2,0))</f>
        <v/>
      </c>
      <c r="L7" s="35">
        <f>COUNTIFS($D$6:$D$205,"&gt;="&amp;J7,$D$6:$D$205,"&lt;="&amp;DATE(Einstellungen!$C$3,2,0))</f>
        <v/>
      </c>
      <c r="M7" s="35">
        <f>COUNTIFS($C$6:$C$205,"&lt;="&amp;DATE(Einstellungen!$C$3,2,0),$D$6:$D$205,"&gt;"&amp;DATE(Einstellungen!$C$3,2,0))+COUNTIFS($C$6:$C$205,"&lt;="&amp;DATE(Einstellungen!$C$3,2,0),$D$6:$D$205,"")</f>
        <v/>
      </c>
    </row>
    <row r="8">
      <c r="A8" s="25" t="n">
        <v>1003</v>
      </c>
      <c r="B8" s="22" t="inlineStr">
        <is>
          <t>Mitarbeiter 003</t>
        </is>
      </c>
      <c r="C8" s="26" t="n">
        <v>46023</v>
      </c>
      <c r="D8" s="26" t="n">
        <v>46293</v>
      </c>
      <c r="E8" s="27" t="n">
        <v>40</v>
      </c>
      <c r="F8" s="28">
        <f>IF(E8="","",E8/5)</f>
        <v/>
      </c>
      <c r="G8" s="29">
        <f>IF(B8="","",IF(C8&gt;Einstellungen!$C$9,"künftig",IF(AND(D8&lt;&gt;"",D8&lt;Einstellungen!$C$9),"ausgeschieden","aktiv")))</f>
        <v/>
      </c>
      <c r="H8" s="30">
        <f>IF(OR(B8="",E8=""),"",MAX(0,NETWORKDAYS(MAX(C8,DATE(Einstellungen!$C$3,1,1)),MIN(IF(D8="",DATE(Einstellungen!$C$3,12,31),D8),Einstellungen!$C$9),Einstellungen!$F$13:$F$32))*F8)</f>
        <v/>
      </c>
      <c r="J8" s="34">
        <f>DATE(Einstellungen!$C$3,2,1)</f>
        <v/>
      </c>
      <c r="K8" s="35">
        <f>COUNTIFS($C$6:$C$205,"&gt;="&amp;J8,$C$6:$C$205,"&lt;="&amp;DATE(Einstellungen!$C$3,3,0))</f>
        <v/>
      </c>
      <c r="L8" s="35">
        <f>COUNTIFS($D$6:$D$205,"&gt;="&amp;J8,$D$6:$D$205,"&lt;="&amp;DATE(Einstellungen!$C$3,3,0))</f>
        <v/>
      </c>
      <c r="M8" s="35">
        <f>COUNTIFS($C$6:$C$205,"&lt;="&amp;DATE(Einstellungen!$C$3,3,0),$D$6:$D$205,"&gt;"&amp;DATE(Einstellungen!$C$3,3,0))+COUNTIFS($C$6:$C$205,"&lt;="&amp;DATE(Einstellungen!$C$3,3,0),$D$6:$D$205,"")</f>
        <v/>
      </c>
    </row>
    <row r="9">
      <c r="A9" s="25" t="n">
        <v>1004</v>
      </c>
      <c r="B9" s="22" t="inlineStr">
        <is>
          <t>Mitarbeiter 004</t>
        </is>
      </c>
      <c r="C9" s="26" t="n">
        <v>46023</v>
      </c>
      <c r="D9" s="26" t="n"/>
      <c r="E9" s="27" t="n">
        <v>40</v>
      </c>
      <c r="F9" s="28">
        <f>IF(E9="","",E9/5)</f>
        <v/>
      </c>
      <c r="G9" s="29">
        <f>IF(B9="","",IF(C9&gt;Einstellungen!$C$9,"künftig",IF(AND(D9&lt;&gt;"",D9&lt;Einstellungen!$C$9),"ausgeschieden","aktiv")))</f>
        <v/>
      </c>
      <c r="H9" s="30">
        <f>IF(OR(B9="",E9=""),"",MAX(0,NETWORKDAYS(MAX(C9,DATE(Einstellungen!$C$3,1,1)),MIN(IF(D9="",DATE(Einstellungen!$C$3,12,31),D9),Einstellungen!$C$9),Einstellungen!$F$13:$F$32))*F9)</f>
        <v/>
      </c>
      <c r="J9" s="34">
        <f>DATE(Einstellungen!$C$3,3,1)</f>
        <v/>
      </c>
      <c r="K9" s="35">
        <f>COUNTIFS($C$6:$C$205,"&gt;="&amp;J9,$C$6:$C$205,"&lt;="&amp;DATE(Einstellungen!$C$3,4,0))</f>
        <v/>
      </c>
      <c r="L9" s="35">
        <f>COUNTIFS($D$6:$D$205,"&gt;="&amp;J9,$D$6:$D$205,"&lt;="&amp;DATE(Einstellungen!$C$3,4,0))</f>
        <v/>
      </c>
      <c r="M9" s="35">
        <f>COUNTIFS($C$6:$C$205,"&lt;="&amp;DATE(Einstellungen!$C$3,4,0),$D$6:$D$205,"&gt;"&amp;DATE(Einstellungen!$C$3,4,0))+COUNTIFS($C$6:$C$205,"&lt;="&amp;DATE(Einstellungen!$C$3,4,0),$D$6:$D$205,"")</f>
        <v/>
      </c>
    </row>
    <row r="10">
      <c r="A10" s="25" t="n">
        <v>1005</v>
      </c>
      <c r="B10" s="22" t="inlineStr">
        <is>
          <t>Mitarbeiter 005</t>
        </is>
      </c>
      <c r="C10" s="26" t="n">
        <v>46023</v>
      </c>
      <c r="D10" s="26" t="n">
        <v>46293</v>
      </c>
      <c r="E10" s="27" t="n">
        <v>40</v>
      </c>
      <c r="F10" s="28">
        <f>IF(E10="","",E10/5)</f>
        <v/>
      </c>
      <c r="G10" s="29">
        <f>IF(B10="","",IF(C10&gt;Einstellungen!$C$9,"künftig",IF(AND(D10&lt;&gt;"",D10&lt;Einstellungen!$C$9),"ausgeschieden","aktiv")))</f>
        <v/>
      </c>
      <c r="H10" s="30">
        <f>IF(OR(B10="",E10=""),"",MAX(0,NETWORKDAYS(MAX(C10,DATE(Einstellungen!$C$3,1,1)),MIN(IF(D10="",DATE(Einstellungen!$C$3,12,31),D10),Einstellungen!$C$9),Einstellungen!$F$13:$F$32))*F10)</f>
        <v/>
      </c>
      <c r="J10" s="34">
        <f>DATE(Einstellungen!$C$3,4,1)</f>
        <v/>
      </c>
      <c r="K10" s="35">
        <f>COUNTIFS($C$6:$C$205,"&gt;="&amp;J10,$C$6:$C$205,"&lt;="&amp;DATE(Einstellungen!$C$3,5,0))</f>
        <v/>
      </c>
      <c r="L10" s="35">
        <f>COUNTIFS($D$6:$D$205,"&gt;="&amp;J10,$D$6:$D$205,"&lt;="&amp;DATE(Einstellungen!$C$3,5,0))</f>
        <v/>
      </c>
      <c r="M10" s="35">
        <f>COUNTIFS($C$6:$C$205,"&lt;="&amp;DATE(Einstellungen!$C$3,5,0),$D$6:$D$205,"&gt;"&amp;DATE(Einstellungen!$C$3,5,0))+COUNTIFS($C$6:$C$205,"&lt;="&amp;DATE(Einstellungen!$C$3,5,0),$D$6:$D$205,"")</f>
        <v/>
      </c>
    </row>
    <row r="11">
      <c r="A11" s="25" t="n">
        <v>1006</v>
      </c>
      <c r="B11" s="22" t="inlineStr">
        <is>
          <t>Mitarbeiter 006</t>
        </is>
      </c>
      <c r="C11" s="26" t="n">
        <v>46023</v>
      </c>
      <c r="D11" s="26" t="n"/>
      <c r="E11" s="27" t="n">
        <v>40</v>
      </c>
      <c r="F11" s="28">
        <f>IF(E11="","",E11/5)</f>
        <v/>
      </c>
      <c r="G11" s="29">
        <f>IF(B11="","",IF(C11&gt;Einstellungen!$C$9,"künftig",IF(AND(D11&lt;&gt;"",D11&lt;Einstellungen!$C$9),"ausgeschieden","aktiv")))</f>
        <v/>
      </c>
      <c r="H11" s="30">
        <f>IF(OR(B11="",E11=""),"",MAX(0,NETWORKDAYS(MAX(C11,DATE(Einstellungen!$C$3,1,1)),MIN(IF(D11="",DATE(Einstellungen!$C$3,12,31),D11),Einstellungen!$C$9),Einstellungen!$F$13:$F$32))*F11)</f>
        <v/>
      </c>
      <c r="J11" s="34">
        <f>DATE(Einstellungen!$C$3,5,1)</f>
        <v/>
      </c>
      <c r="K11" s="35">
        <f>COUNTIFS($C$6:$C$205,"&gt;="&amp;J11,$C$6:$C$205,"&lt;="&amp;DATE(Einstellungen!$C$3,6,0))</f>
        <v/>
      </c>
      <c r="L11" s="35">
        <f>COUNTIFS($D$6:$D$205,"&gt;="&amp;J11,$D$6:$D$205,"&lt;="&amp;DATE(Einstellungen!$C$3,6,0))</f>
        <v/>
      </c>
      <c r="M11" s="35">
        <f>COUNTIFS($C$6:$C$205,"&lt;="&amp;DATE(Einstellungen!$C$3,6,0),$D$6:$D$205,"&gt;"&amp;DATE(Einstellungen!$C$3,6,0))+COUNTIFS($C$6:$C$205,"&lt;="&amp;DATE(Einstellungen!$C$3,6,0),$D$6:$D$205,"")</f>
        <v/>
      </c>
    </row>
    <row r="12">
      <c r="A12" s="25" t="n">
        <v>1007</v>
      </c>
      <c r="B12" s="22" t="inlineStr">
        <is>
          <t>Mitarbeiter 007</t>
        </is>
      </c>
      <c r="C12" s="26" t="n">
        <v>46023</v>
      </c>
      <c r="D12" s="26" t="n"/>
      <c r="E12" s="27" t="n">
        <v>40</v>
      </c>
      <c r="F12" s="28">
        <f>IF(E12="","",E12/5)</f>
        <v/>
      </c>
      <c r="G12" s="29">
        <f>IF(B12="","",IF(C12&gt;Einstellungen!$C$9,"künftig",IF(AND(D12&lt;&gt;"",D12&lt;Einstellungen!$C$9),"ausgeschieden","aktiv")))</f>
        <v/>
      </c>
      <c r="H12" s="30">
        <f>IF(OR(B12="",E12=""),"",MAX(0,NETWORKDAYS(MAX(C12,DATE(Einstellungen!$C$3,1,1)),MIN(IF(D12="",DATE(Einstellungen!$C$3,12,31),D12),Einstellungen!$C$9),Einstellungen!$F$13:$F$32))*F12)</f>
        <v/>
      </c>
      <c r="J12" s="34">
        <f>DATE(Einstellungen!$C$3,6,1)</f>
        <v/>
      </c>
      <c r="K12" s="35">
        <f>COUNTIFS($C$6:$C$205,"&gt;="&amp;J12,$C$6:$C$205,"&lt;="&amp;DATE(Einstellungen!$C$3,7,0))</f>
        <v/>
      </c>
      <c r="L12" s="35">
        <f>COUNTIFS($D$6:$D$205,"&gt;="&amp;J12,$D$6:$D$205,"&lt;="&amp;DATE(Einstellungen!$C$3,7,0))</f>
        <v/>
      </c>
      <c r="M12" s="35">
        <f>COUNTIFS($C$6:$C$205,"&lt;="&amp;DATE(Einstellungen!$C$3,7,0),$D$6:$D$205,"&gt;"&amp;DATE(Einstellungen!$C$3,7,0))+COUNTIFS($C$6:$C$205,"&lt;="&amp;DATE(Einstellungen!$C$3,7,0),$D$6:$D$205,"")</f>
        <v/>
      </c>
    </row>
    <row r="13">
      <c r="A13" s="25" t="n">
        <v>1008</v>
      </c>
      <c r="B13" s="22" t="inlineStr">
        <is>
          <t>Mitarbeiter 008</t>
        </is>
      </c>
      <c r="C13" s="26" t="n">
        <v>46023</v>
      </c>
      <c r="D13" s="26" t="n"/>
      <c r="E13" s="27" t="n">
        <v>30</v>
      </c>
      <c r="F13" s="28">
        <f>IF(E13="","",E13/5)</f>
        <v/>
      </c>
      <c r="G13" s="29">
        <f>IF(B13="","",IF(C13&gt;Einstellungen!$C$9,"künftig",IF(AND(D13&lt;&gt;"",D13&lt;Einstellungen!$C$9),"ausgeschieden","aktiv")))</f>
        <v/>
      </c>
      <c r="H13" s="30">
        <f>IF(OR(B13="",E13=""),"",MAX(0,NETWORKDAYS(MAX(C13,DATE(Einstellungen!$C$3,1,1)),MIN(IF(D13="",DATE(Einstellungen!$C$3,12,31),D13),Einstellungen!$C$9),Einstellungen!$F$13:$F$32))*F13)</f>
        <v/>
      </c>
      <c r="J13" s="34">
        <f>DATE(Einstellungen!$C$3,7,1)</f>
        <v/>
      </c>
      <c r="K13" s="35">
        <f>COUNTIFS($C$6:$C$205,"&gt;="&amp;J13,$C$6:$C$205,"&lt;="&amp;DATE(Einstellungen!$C$3,8,0))</f>
        <v/>
      </c>
      <c r="L13" s="35">
        <f>COUNTIFS($D$6:$D$205,"&gt;="&amp;J13,$D$6:$D$205,"&lt;="&amp;DATE(Einstellungen!$C$3,8,0))</f>
        <v/>
      </c>
      <c r="M13" s="35">
        <f>COUNTIFS($C$6:$C$205,"&lt;="&amp;DATE(Einstellungen!$C$3,8,0),$D$6:$D$205,"&gt;"&amp;DATE(Einstellungen!$C$3,8,0))+COUNTIFS($C$6:$C$205,"&lt;="&amp;DATE(Einstellungen!$C$3,8,0),$D$6:$D$205,"")</f>
        <v/>
      </c>
    </row>
    <row r="14">
      <c r="A14" s="25" t="n">
        <v>1009</v>
      </c>
      <c r="B14" s="22" t="inlineStr">
        <is>
          <t>Mitarbeiter 009</t>
        </is>
      </c>
      <c r="C14" s="26" t="n">
        <v>46023</v>
      </c>
      <c r="D14" s="26" t="n"/>
      <c r="E14" s="27" t="n">
        <v>30</v>
      </c>
      <c r="F14" s="28">
        <f>IF(E14="","",E14/5)</f>
        <v/>
      </c>
      <c r="G14" s="29">
        <f>IF(B14="","",IF(C14&gt;Einstellungen!$C$9,"künftig",IF(AND(D14&lt;&gt;"",D14&lt;Einstellungen!$C$9),"ausgeschieden","aktiv")))</f>
        <v/>
      </c>
      <c r="H14" s="30">
        <f>IF(OR(B14="",E14=""),"",MAX(0,NETWORKDAYS(MAX(C14,DATE(Einstellungen!$C$3,1,1)),MIN(IF(D14="",DATE(Einstellungen!$C$3,12,31),D14),Einstellungen!$C$9),Einstellungen!$F$13:$F$32))*F14)</f>
        <v/>
      </c>
      <c r="J14" s="34">
        <f>DATE(Einstellungen!$C$3,8,1)</f>
        <v/>
      </c>
      <c r="K14" s="35">
        <f>COUNTIFS($C$6:$C$205,"&gt;="&amp;J14,$C$6:$C$205,"&lt;="&amp;DATE(Einstellungen!$C$3,9,0))</f>
        <v/>
      </c>
      <c r="L14" s="35">
        <f>COUNTIFS($D$6:$D$205,"&gt;="&amp;J14,$D$6:$D$205,"&lt;="&amp;DATE(Einstellungen!$C$3,9,0))</f>
        <v/>
      </c>
      <c r="M14" s="35">
        <f>COUNTIFS($C$6:$C$205,"&lt;="&amp;DATE(Einstellungen!$C$3,9,0),$D$6:$D$205,"&gt;"&amp;DATE(Einstellungen!$C$3,9,0))+COUNTIFS($C$6:$C$205,"&lt;="&amp;DATE(Einstellungen!$C$3,9,0),$D$6:$D$205,"")</f>
        <v/>
      </c>
    </row>
    <row r="15">
      <c r="A15" s="25" t="n">
        <v>1010</v>
      </c>
      <c r="B15" s="22" t="inlineStr">
        <is>
          <t>Mitarbeiter 010</t>
        </is>
      </c>
      <c r="C15" s="26" t="n">
        <v>46023</v>
      </c>
      <c r="D15" s="26" t="n">
        <v>46109</v>
      </c>
      <c r="E15" s="27" t="n">
        <v>40</v>
      </c>
      <c r="F15" s="28">
        <f>IF(E15="","",E15/5)</f>
        <v/>
      </c>
      <c r="G15" s="29">
        <f>IF(B15="","",IF(C15&gt;Einstellungen!$C$9,"künftig",IF(AND(D15&lt;&gt;"",D15&lt;Einstellungen!$C$9),"ausgeschieden","aktiv")))</f>
        <v/>
      </c>
      <c r="H15" s="30">
        <f>IF(OR(B15="",E15=""),"",MAX(0,NETWORKDAYS(MAX(C15,DATE(Einstellungen!$C$3,1,1)),MIN(IF(D15="",DATE(Einstellungen!$C$3,12,31),D15),Einstellungen!$C$9),Einstellungen!$F$13:$F$32))*F15)</f>
        <v/>
      </c>
      <c r="J15" s="34">
        <f>DATE(Einstellungen!$C$3,9,1)</f>
        <v/>
      </c>
      <c r="K15" s="35">
        <f>COUNTIFS($C$6:$C$205,"&gt;="&amp;J15,$C$6:$C$205,"&lt;="&amp;DATE(Einstellungen!$C$3,10,0))</f>
        <v/>
      </c>
      <c r="L15" s="35">
        <f>COUNTIFS($D$6:$D$205,"&gt;="&amp;J15,$D$6:$D$205,"&lt;="&amp;DATE(Einstellungen!$C$3,10,0))</f>
        <v/>
      </c>
      <c r="M15" s="35">
        <f>COUNTIFS($C$6:$C$205,"&lt;="&amp;DATE(Einstellungen!$C$3,10,0),$D$6:$D$205,"&gt;"&amp;DATE(Einstellungen!$C$3,10,0))+COUNTIFS($C$6:$C$205,"&lt;="&amp;DATE(Einstellungen!$C$3,10,0),$D$6:$D$205,"")</f>
        <v/>
      </c>
    </row>
    <row r="16">
      <c r="A16" s="25" t="n">
        <v>1011</v>
      </c>
      <c r="B16" s="22" t="inlineStr">
        <is>
          <t>Mitarbeiter 011</t>
        </is>
      </c>
      <c r="C16" s="26" t="n">
        <v>46023</v>
      </c>
      <c r="D16" s="26" t="n"/>
      <c r="E16" s="27" t="n">
        <v>30</v>
      </c>
      <c r="F16" s="28">
        <f>IF(E16="","",E16/5)</f>
        <v/>
      </c>
      <c r="G16" s="29">
        <f>IF(B16="","",IF(C16&gt;Einstellungen!$C$9,"künftig",IF(AND(D16&lt;&gt;"",D16&lt;Einstellungen!$C$9),"ausgeschieden","aktiv")))</f>
        <v/>
      </c>
      <c r="H16" s="30">
        <f>IF(OR(B16="",E16=""),"",MAX(0,NETWORKDAYS(MAX(C16,DATE(Einstellungen!$C$3,1,1)),MIN(IF(D16="",DATE(Einstellungen!$C$3,12,31),D16),Einstellungen!$C$9),Einstellungen!$F$13:$F$32))*F16)</f>
        <v/>
      </c>
      <c r="J16" s="34">
        <f>DATE(Einstellungen!$C$3,10,1)</f>
        <v/>
      </c>
      <c r="K16" s="35">
        <f>COUNTIFS($C$6:$C$205,"&gt;="&amp;J16,$C$6:$C$205,"&lt;="&amp;DATE(Einstellungen!$C$3,11,0))</f>
        <v/>
      </c>
      <c r="L16" s="35">
        <f>COUNTIFS($D$6:$D$205,"&gt;="&amp;J16,$D$6:$D$205,"&lt;="&amp;DATE(Einstellungen!$C$3,11,0))</f>
        <v/>
      </c>
      <c r="M16" s="35">
        <f>COUNTIFS($C$6:$C$205,"&lt;="&amp;DATE(Einstellungen!$C$3,11,0),$D$6:$D$205,"&gt;"&amp;DATE(Einstellungen!$C$3,11,0))+COUNTIFS($C$6:$C$205,"&lt;="&amp;DATE(Einstellungen!$C$3,11,0),$D$6:$D$205,"")</f>
        <v/>
      </c>
    </row>
    <row r="17">
      <c r="A17" s="25" t="n">
        <v>1012</v>
      </c>
      <c r="B17" s="22" t="inlineStr">
        <is>
          <t>Mitarbeiter 012</t>
        </is>
      </c>
      <c r="C17" s="26" t="n">
        <v>46023</v>
      </c>
      <c r="D17" s="26" t="n">
        <v>46081</v>
      </c>
      <c r="E17" s="27" t="n">
        <v>40</v>
      </c>
      <c r="F17" s="28">
        <f>IF(E17="","",E17/5)</f>
        <v/>
      </c>
      <c r="G17" s="29">
        <f>IF(B17="","",IF(C17&gt;Einstellungen!$C$9,"künftig",IF(AND(D17&lt;&gt;"",D17&lt;Einstellungen!$C$9),"ausgeschieden","aktiv")))</f>
        <v/>
      </c>
      <c r="H17" s="30">
        <f>IF(OR(B17="",E17=""),"",MAX(0,NETWORKDAYS(MAX(C17,DATE(Einstellungen!$C$3,1,1)),MIN(IF(D17="",DATE(Einstellungen!$C$3,12,31),D17),Einstellungen!$C$9),Einstellungen!$F$13:$F$32))*F17)</f>
        <v/>
      </c>
      <c r="J17" s="34">
        <f>DATE(Einstellungen!$C$3,11,1)</f>
        <v/>
      </c>
      <c r="K17" s="35">
        <f>COUNTIFS($C$6:$C$205,"&gt;="&amp;J17,$C$6:$C$205,"&lt;="&amp;DATE(Einstellungen!$C$3,12,0))</f>
        <v/>
      </c>
      <c r="L17" s="35">
        <f>COUNTIFS($D$6:$D$205,"&gt;="&amp;J17,$D$6:$D$205,"&lt;="&amp;DATE(Einstellungen!$C$3,12,0))</f>
        <v/>
      </c>
      <c r="M17" s="35">
        <f>COUNTIFS($C$6:$C$205,"&lt;="&amp;DATE(Einstellungen!$C$3,12,0),$D$6:$D$205,"&gt;"&amp;DATE(Einstellungen!$C$3,12,0))+COUNTIFS($C$6:$C$205,"&lt;="&amp;DATE(Einstellungen!$C$3,12,0),$D$6:$D$205,"")</f>
        <v/>
      </c>
    </row>
    <row r="18">
      <c r="A18" s="25" t="n">
        <v>1013</v>
      </c>
      <c r="B18" s="22" t="inlineStr">
        <is>
          <t>Mitarbeiter 013</t>
        </is>
      </c>
      <c r="C18" s="26" t="n">
        <v>46023</v>
      </c>
      <c r="D18" s="26" t="n">
        <v>46170</v>
      </c>
      <c r="E18" s="27" t="n">
        <v>40</v>
      </c>
      <c r="F18" s="28">
        <f>IF(E18="","",E18/5)</f>
        <v/>
      </c>
      <c r="G18" s="29">
        <f>IF(B18="","",IF(C18&gt;Einstellungen!$C$9,"künftig",IF(AND(D18&lt;&gt;"",D18&lt;Einstellungen!$C$9),"ausgeschieden","aktiv")))</f>
        <v/>
      </c>
      <c r="H18" s="30">
        <f>IF(OR(B18="",E18=""),"",MAX(0,NETWORKDAYS(MAX(C18,DATE(Einstellungen!$C$3,1,1)),MIN(IF(D18="",DATE(Einstellungen!$C$3,12,31),D18),Einstellungen!$C$9),Einstellungen!$F$13:$F$32))*F18)</f>
        <v/>
      </c>
      <c r="J18" s="34">
        <f>DATE(Einstellungen!$C$3,12,1)</f>
        <v/>
      </c>
      <c r="K18" s="35">
        <f>COUNTIFS($C$6:$C$205,"&gt;="&amp;J18,$C$6:$C$205,"&lt;="&amp;DATE(Einstellungen!$C$3,13,0))</f>
        <v/>
      </c>
      <c r="L18" s="35">
        <f>COUNTIFS($D$6:$D$205,"&gt;="&amp;J18,$D$6:$D$205,"&lt;="&amp;DATE(Einstellungen!$C$3,13,0))</f>
        <v/>
      </c>
      <c r="M18" s="35">
        <f>COUNTIFS($C$6:$C$205,"&lt;="&amp;DATE(Einstellungen!$C$3,13,0),$D$6:$D$205,"&gt;"&amp;DATE(Einstellungen!$C$3,13,0))+COUNTIFS($C$6:$C$205,"&lt;="&amp;DATE(Einstellungen!$C$3,13,0),$D$6:$D$205,"")</f>
        <v/>
      </c>
    </row>
    <row r="19">
      <c r="A19" s="25" t="n">
        <v>1014</v>
      </c>
      <c r="B19" s="22" t="inlineStr">
        <is>
          <t>Mitarbeiter 014</t>
        </is>
      </c>
      <c r="C19" s="26" t="n">
        <v>46023</v>
      </c>
      <c r="D19" s="26" t="n"/>
      <c r="E19" s="27" t="n">
        <v>40</v>
      </c>
      <c r="F19" s="28">
        <f>IF(E19="","",E19/5)</f>
        <v/>
      </c>
      <c r="G19" s="29">
        <f>IF(B19="","",IF(C19&gt;Einstellungen!$C$9,"künftig",IF(AND(D19&lt;&gt;"",D19&lt;Einstellungen!$C$9),"ausgeschieden","aktiv")))</f>
        <v/>
      </c>
      <c r="H19" s="30">
        <f>IF(OR(B19="",E19=""),"",MAX(0,NETWORKDAYS(MAX(C19,DATE(Einstellungen!$C$3,1,1)),MIN(IF(D19="",DATE(Einstellungen!$C$3,12,31),D19),Einstellungen!$C$9),Einstellungen!$F$13:$F$32))*F19)</f>
        <v/>
      </c>
      <c r="J19" s="23" t="inlineStr">
        <is>
          <t>Summe / Ø</t>
        </is>
      </c>
      <c r="K19" s="24">
        <f>SUM(K7:K18)</f>
        <v/>
      </c>
      <c r="L19" s="24">
        <f>SUM(L7:L18)</f>
        <v/>
      </c>
      <c r="M19" s="36">
        <f>AVERAGE(M6:M18)</f>
        <v/>
      </c>
    </row>
    <row r="20">
      <c r="A20" s="25" t="n">
        <v>1015</v>
      </c>
      <c r="B20" s="22" t="inlineStr">
        <is>
          <t>Mitarbeiter 015</t>
        </is>
      </c>
      <c r="C20" s="26" t="n">
        <v>46023</v>
      </c>
      <c r="D20" s="26" t="n"/>
      <c r="E20" s="27" t="n">
        <v>40</v>
      </c>
      <c r="F20" s="28">
        <f>IF(E20="","",E20/5)</f>
        <v/>
      </c>
      <c r="G20" s="29">
        <f>IF(B20="","",IF(C20&gt;Einstellungen!$C$9,"künftig",IF(AND(D20&lt;&gt;"",D20&lt;Einstellungen!$C$9),"ausgeschieden","aktiv")))</f>
        <v/>
      </c>
      <c r="H20" s="30">
        <f>IF(OR(B20="",E20=""),"",MAX(0,NETWORKDAYS(MAX(C20,DATE(Einstellungen!$C$3,1,1)),MIN(IF(D20="",DATE(Einstellungen!$C$3,12,31),D20),Einstellungen!$C$9),Einstellungen!$F$13:$F$32))*F20)</f>
        <v/>
      </c>
    </row>
    <row r="21">
      <c r="A21" s="25" t="n">
        <v>1016</v>
      </c>
      <c r="B21" s="22" t="inlineStr">
        <is>
          <t>Mitarbeiter 016</t>
        </is>
      </c>
      <c r="C21" s="26" t="n">
        <v>46023</v>
      </c>
      <c r="D21" s="26" t="n"/>
      <c r="E21" s="27" t="n">
        <v>40</v>
      </c>
      <c r="F21" s="28">
        <f>IF(E21="","",E21/5)</f>
        <v/>
      </c>
      <c r="G21" s="29">
        <f>IF(B21="","",IF(C21&gt;Einstellungen!$C$9,"künftig",IF(AND(D21&lt;&gt;"",D21&lt;Einstellungen!$C$9),"ausgeschieden","aktiv")))</f>
        <v/>
      </c>
      <c r="H21" s="30">
        <f>IF(OR(B21="",E21=""),"",MAX(0,NETWORKDAYS(MAX(C21,DATE(Einstellungen!$C$3,1,1)),MIN(IF(D21="",DATE(Einstellungen!$C$3,12,31),D21),Einstellungen!$C$9),Einstellungen!$F$13:$F$32))*F21)</f>
        <v/>
      </c>
      <c r="J21" s="37" t="inlineStr">
        <is>
          <t>Fluktuationsquote (BDA)</t>
        </is>
      </c>
      <c r="K21" s="38" t="n"/>
      <c r="L21" s="39" t="n"/>
      <c r="M21" s="40">
        <f>IF(M19&gt;0,L19/M19,0)</f>
        <v/>
      </c>
      <c r="N21" s="16" t="inlineStr">
        <is>
          <t>Austritte ÷ Ø Personalbestand</t>
        </is>
      </c>
    </row>
    <row r="22">
      <c r="A22" s="25" t="n">
        <v>1017</v>
      </c>
      <c r="B22" s="22" t="inlineStr">
        <is>
          <t>Mitarbeiter 017</t>
        </is>
      </c>
      <c r="C22" s="26" t="n">
        <v>46023</v>
      </c>
      <c r="D22" s="26" t="n">
        <v>46170</v>
      </c>
      <c r="E22" s="27" t="n">
        <v>30</v>
      </c>
      <c r="F22" s="28">
        <f>IF(E22="","",E22/5)</f>
        <v/>
      </c>
      <c r="G22" s="29">
        <f>IF(B22="","",IF(C22&gt;Einstellungen!$C$9,"künftig",IF(AND(D22&lt;&gt;"",D22&lt;Einstellungen!$C$9),"ausgeschieden","aktiv")))</f>
        <v/>
      </c>
      <c r="H22" s="30">
        <f>IF(OR(B22="",E22=""),"",MAX(0,NETWORKDAYS(MAX(C22,DATE(Einstellungen!$C$3,1,1)),MIN(IF(D22="",DATE(Einstellungen!$C$3,12,31),D22),Einstellungen!$C$9),Einstellungen!$F$13:$F$32))*F22)</f>
        <v/>
      </c>
      <c r="J22" s="37" t="inlineStr">
        <is>
          <t>Aktive Mitarbeiter (Stichtag)</t>
        </is>
      </c>
      <c r="K22" s="38" t="n"/>
      <c r="L22" s="39" t="n"/>
      <c r="M22" s="33">
        <f>COUNTIF($G$6:$G$205,"aktiv")</f>
        <v/>
      </c>
      <c r="N22" s="16" t="inlineStr"/>
    </row>
    <row r="23">
      <c r="A23" s="25" t="n">
        <v>1018</v>
      </c>
      <c r="B23" s="22" t="inlineStr">
        <is>
          <t>Mitarbeiter 018</t>
        </is>
      </c>
      <c r="C23" s="26" t="n">
        <v>46023</v>
      </c>
      <c r="D23" s="26" t="n"/>
      <c r="E23" s="27" t="n">
        <v>40</v>
      </c>
      <c r="F23" s="28">
        <f>IF(E23="","",E23/5)</f>
        <v/>
      </c>
      <c r="G23" s="29">
        <f>IF(B23="","",IF(C23&gt;Einstellungen!$C$9,"künftig",IF(AND(D23&lt;&gt;"",D23&lt;Einstellungen!$C$9),"ausgeschieden","aktiv")))</f>
        <v/>
      </c>
      <c r="H23" s="30">
        <f>IF(OR(B23="",E23=""),"",MAX(0,NETWORKDAYS(MAX(C23,DATE(Einstellungen!$C$3,1,1)),MIN(IF(D23="",DATE(Einstellungen!$C$3,12,31),D23),Einstellungen!$C$9),Einstellungen!$F$13:$F$32))*F23)</f>
        <v/>
      </c>
      <c r="J23" s="37" t="inlineStr">
        <is>
          <t>Ausgeschiedene gesamt</t>
        </is>
      </c>
      <c r="K23" s="38" t="n"/>
      <c r="L23" s="39" t="n"/>
      <c r="M23" s="33">
        <f>COUNTIF($G$6:$G$205,"ausgeschieden")</f>
        <v/>
      </c>
      <c r="N23" s="16" t="inlineStr"/>
    </row>
    <row r="24">
      <c r="A24" s="25" t="n">
        <v>1019</v>
      </c>
      <c r="B24" s="22" t="inlineStr">
        <is>
          <t>Mitarbeiter 019</t>
        </is>
      </c>
      <c r="C24" s="26" t="n">
        <v>46023</v>
      </c>
      <c r="D24" s="26" t="n"/>
      <c r="E24" s="27" t="n">
        <v>40</v>
      </c>
      <c r="F24" s="28">
        <f>IF(E24="","",E24/5)</f>
        <v/>
      </c>
      <c r="G24" s="29">
        <f>IF(B24="","",IF(C24&gt;Einstellungen!$C$9,"künftig",IF(AND(D24&lt;&gt;"",D24&lt;Einstellungen!$C$9),"ausgeschieden","aktiv")))</f>
        <v/>
      </c>
      <c r="H24" s="30">
        <f>IF(OR(B24="",E24=""),"",MAX(0,NETWORKDAYS(MAX(C24,DATE(Einstellungen!$C$3,1,1)),MIN(IF(D24="",DATE(Einstellungen!$C$3,12,31),D24),Einstellungen!$C$9),Einstellungen!$F$13:$F$32))*F24)</f>
        <v/>
      </c>
    </row>
    <row r="25">
      <c r="A25" s="25" t="n">
        <v>1020</v>
      </c>
      <c r="B25" s="22" t="inlineStr">
        <is>
          <t>Mitarbeiter 020</t>
        </is>
      </c>
      <c r="C25" s="26" t="n">
        <v>46023</v>
      </c>
      <c r="D25" s="26" t="n"/>
      <c r="E25" s="27" t="n">
        <v>40</v>
      </c>
      <c r="F25" s="28">
        <f>IF(E25="","",E25/5)</f>
        <v/>
      </c>
      <c r="G25" s="29">
        <f>IF(B25="","",IF(C25&gt;Einstellungen!$C$9,"künftig",IF(AND(D25&lt;&gt;"",D25&lt;Einstellungen!$C$9),"ausgeschieden","aktiv")))</f>
        <v/>
      </c>
      <c r="H25" s="30">
        <f>IF(OR(B25="",E25=""),"",MAX(0,NETWORKDAYS(MAX(C25,DATE(Einstellungen!$C$3,1,1)),MIN(IF(D25="",DATE(Einstellungen!$C$3,12,31),D25),Einstellungen!$C$9),Einstellungen!$F$13:$F$32))*F25)</f>
        <v/>
      </c>
    </row>
    <row r="26">
      <c r="A26" s="25" t="n">
        <v>1021</v>
      </c>
      <c r="B26" s="22" t="inlineStr">
        <is>
          <t>Mitarbeiter 021</t>
        </is>
      </c>
      <c r="C26" s="26" t="n">
        <v>46023</v>
      </c>
      <c r="D26" s="26" t="n"/>
      <c r="E26" s="27" t="n">
        <v>20</v>
      </c>
      <c r="F26" s="28">
        <f>IF(E26="","",E26/5)</f>
        <v/>
      </c>
      <c r="G26" s="29">
        <f>IF(B26="","",IF(C26&gt;Einstellungen!$C$9,"künftig",IF(AND(D26&lt;&gt;"",D26&lt;Einstellungen!$C$9),"ausgeschieden","aktiv")))</f>
        <v/>
      </c>
      <c r="H26" s="30">
        <f>IF(OR(B26="",E26=""),"",MAX(0,NETWORKDAYS(MAX(C26,DATE(Einstellungen!$C$3,1,1)),MIN(IF(D26="",DATE(Einstellungen!$C$3,12,31),D26),Einstellungen!$C$9),Einstellungen!$F$13:$F$32))*F26)</f>
        <v/>
      </c>
    </row>
    <row r="27">
      <c r="A27" s="25" t="n">
        <v>1022</v>
      </c>
      <c r="B27" s="22" t="inlineStr">
        <is>
          <t>Mitarbeiter 022</t>
        </is>
      </c>
      <c r="C27" s="26" t="n">
        <v>46023</v>
      </c>
      <c r="D27" s="26" t="n"/>
      <c r="E27" s="27" t="n">
        <v>20</v>
      </c>
      <c r="F27" s="28">
        <f>IF(E27="","",E27/5)</f>
        <v/>
      </c>
      <c r="G27" s="29">
        <f>IF(B27="","",IF(C27&gt;Einstellungen!$C$9,"künftig",IF(AND(D27&lt;&gt;"",D27&lt;Einstellungen!$C$9),"ausgeschieden","aktiv")))</f>
        <v/>
      </c>
      <c r="H27" s="30">
        <f>IF(OR(B27="",E27=""),"",MAX(0,NETWORKDAYS(MAX(C27,DATE(Einstellungen!$C$3,1,1)),MIN(IF(D27="",DATE(Einstellungen!$C$3,12,31),D27),Einstellungen!$C$9),Einstellungen!$F$13:$F$32))*F27)</f>
        <v/>
      </c>
    </row>
    <row r="28">
      <c r="A28" s="25" t="n">
        <v>1023</v>
      </c>
      <c r="B28" s="22" t="inlineStr">
        <is>
          <t>Mitarbeiter 023</t>
        </is>
      </c>
      <c r="C28" s="26" t="n">
        <v>46023</v>
      </c>
      <c r="D28" s="26" t="n"/>
      <c r="E28" s="27" t="n">
        <v>40</v>
      </c>
      <c r="F28" s="28">
        <f>IF(E28="","",E28/5)</f>
        <v/>
      </c>
      <c r="G28" s="29">
        <f>IF(B28="","",IF(C28&gt;Einstellungen!$C$9,"künftig",IF(AND(D28&lt;&gt;"",D28&lt;Einstellungen!$C$9),"ausgeschieden","aktiv")))</f>
        <v/>
      </c>
      <c r="H28" s="30">
        <f>IF(OR(B28="",E28=""),"",MAX(0,NETWORKDAYS(MAX(C28,DATE(Einstellungen!$C$3,1,1)),MIN(IF(D28="",DATE(Einstellungen!$C$3,12,31),D28),Einstellungen!$C$9),Einstellungen!$F$13:$F$32))*F28)</f>
        <v/>
      </c>
    </row>
    <row r="29">
      <c r="A29" s="25" t="n">
        <v>1024</v>
      </c>
      <c r="B29" s="22" t="inlineStr">
        <is>
          <t>Mitarbeiter 024</t>
        </is>
      </c>
      <c r="C29" s="26" t="n">
        <v>46023</v>
      </c>
      <c r="D29" s="26" t="n">
        <v>46231</v>
      </c>
      <c r="E29" s="27" t="n">
        <v>40</v>
      </c>
      <c r="F29" s="28">
        <f>IF(E29="","",E29/5)</f>
        <v/>
      </c>
      <c r="G29" s="29">
        <f>IF(B29="","",IF(C29&gt;Einstellungen!$C$9,"künftig",IF(AND(D29&lt;&gt;"",D29&lt;Einstellungen!$C$9),"ausgeschieden","aktiv")))</f>
        <v/>
      </c>
      <c r="H29" s="30">
        <f>IF(OR(B29="",E29=""),"",MAX(0,NETWORKDAYS(MAX(C29,DATE(Einstellungen!$C$3,1,1)),MIN(IF(D29="",DATE(Einstellungen!$C$3,12,31),D29),Einstellungen!$C$9),Einstellungen!$F$13:$F$32))*F29)</f>
        <v/>
      </c>
    </row>
    <row r="30">
      <c r="A30" s="25" t="n">
        <v>1025</v>
      </c>
      <c r="B30" s="22" t="inlineStr">
        <is>
          <t>Mitarbeiter 025</t>
        </is>
      </c>
      <c r="C30" s="26" t="n">
        <v>46023</v>
      </c>
      <c r="D30" s="26" t="n"/>
      <c r="E30" s="27" t="n">
        <v>40</v>
      </c>
      <c r="F30" s="28">
        <f>IF(E30="","",E30/5)</f>
        <v/>
      </c>
      <c r="G30" s="29">
        <f>IF(B30="","",IF(C30&gt;Einstellungen!$C$9,"künftig",IF(AND(D30&lt;&gt;"",D30&lt;Einstellungen!$C$9),"ausgeschieden","aktiv")))</f>
        <v/>
      </c>
      <c r="H30" s="30">
        <f>IF(OR(B30="",E30=""),"",MAX(0,NETWORKDAYS(MAX(C30,DATE(Einstellungen!$C$3,1,1)),MIN(IF(D30="",DATE(Einstellungen!$C$3,12,31),D30),Einstellungen!$C$9),Einstellungen!$F$13:$F$32))*F30)</f>
        <v/>
      </c>
    </row>
    <row r="31">
      <c r="A31" s="25" t="n">
        <v>1026</v>
      </c>
      <c r="B31" s="22" t="inlineStr">
        <is>
          <t>Mitarbeiter 026</t>
        </is>
      </c>
      <c r="C31" s="26" t="n">
        <v>46023</v>
      </c>
      <c r="D31" s="26" t="n">
        <v>46293</v>
      </c>
      <c r="E31" s="27" t="n">
        <v>40</v>
      </c>
      <c r="F31" s="28">
        <f>IF(E31="","",E31/5)</f>
        <v/>
      </c>
      <c r="G31" s="29">
        <f>IF(B31="","",IF(C31&gt;Einstellungen!$C$9,"künftig",IF(AND(D31&lt;&gt;"",D31&lt;Einstellungen!$C$9),"ausgeschieden","aktiv")))</f>
        <v/>
      </c>
      <c r="H31" s="30">
        <f>IF(OR(B31="",E31=""),"",MAX(0,NETWORKDAYS(MAX(C31,DATE(Einstellungen!$C$3,1,1)),MIN(IF(D31="",DATE(Einstellungen!$C$3,12,31),D31),Einstellungen!$C$9),Einstellungen!$F$13:$F$32))*F31)</f>
        <v/>
      </c>
    </row>
    <row r="32">
      <c r="A32" s="25" t="n">
        <v>1027</v>
      </c>
      <c r="B32" s="22" t="inlineStr">
        <is>
          <t>Mitarbeiter 027</t>
        </is>
      </c>
      <c r="C32" s="26" t="n">
        <v>46023</v>
      </c>
      <c r="D32" s="26" t="n">
        <v>46081</v>
      </c>
      <c r="E32" s="27" t="n">
        <v>40</v>
      </c>
      <c r="F32" s="28">
        <f>IF(E32="","",E32/5)</f>
        <v/>
      </c>
      <c r="G32" s="29">
        <f>IF(B32="","",IF(C32&gt;Einstellungen!$C$9,"künftig",IF(AND(D32&lt;&gt;"",D32&lt;Einstellungen!$C$9),"ausgeschieden","aktiv")))</f>
        <v/>
      </c>
      <c r="H32" s="30">
        <f>IF(OR(B32="",E32=""),"",MAX(0,NETWORKDAYS(MAX(C32,DATE(Einstellungen!$C$3,1,1)),MIN(IF(D32="",DATE(Einstellungen!$C$3,12,31),D32),Einstellungen!$C$9),Einstellungen!$F$13:$F$32))*F32)</f>
        <v/>
      </c>
    </row>
    <row r="33">
      <c r="A33" s="25" t="n">
        <v>1028</v>
      </c>
      <c r="B33" s="22" t="inlineStr">
        <is>
          <t>Mitarbeiter 028</t>
        </is>
      </c>
      <c r="C33" s="26" t="n">
        <v>46023</v>
      </c>
      <c r="D33" s="26" t="n"/>
      <c r="E33" s="27" t="n">
        <v>40</v>
      </c>
      <c r="F33" s="28">
        <f>IF(E33="","",E33/5)</f>
        <v/>
      </c>
      <c r="G33" s="29">
        <f>IF(B33="","",IF(C33&gt;Einstellungen!$C$9,"künftig",IF(AND(D33&lt;&gt;"",D33&lt;Einstellungen!$C$9),"ausgeschieden","aktiv")))</f>
        <v/>
      </c>
      <c r="H33" s="30">
        <f>IF(OR(B33="",E33=""),"",MAX(0,NETWORKDAYS(MAX(C33,DATE(Einstellungen!$C$3,1,1)),MIN(IF(D33="",DATE(Einstellungen!$C$3,12,31),D33),Einstellungen!$C$9),Einstellungen!$F$13:$F$32))*F33)</f>
        <v/>
      </c>
    </row>
    <row r="34">
      <c r="A34" s="25" t="n">
        <v>1029</v>
      </c>
      <c r="B34" s="22" t="inlineStr">
        <is>
          <t>Mitarbeiter 029</t>
        </is>
      </c>
      <c r="C34" s="26" t="n">
        <v>46023</v>
      </c>
      <c r="D34" s="26" t="n"/>
      <c r="E34" s="27" t="n">
        <v>30</v>
      </c>
      <c r="F34" s="28">
        <f>IF(E34="","",E34/5)</f>
        <v/>
      </c>
      <c r="G34" s="29">
        <f>IF(B34="","",IF(C34&gt;Einstellungen!$C$9,"künftig",IF(AND(D34&lt;&gt;"",D34&lt;Einstellungen!$C$9),"ausgeschieden","aktiv")))</f>
        <v/>
      </c>
      <c r="H34" s="30">
        <f>IF(OR(B34="",E34=""),"",MAX(0,NETWORKDAYS(MAX(C34,DATE(Einstellungen!$C$3,1,1)),MIN(IF(D34="",DATE(Einstellungen!$C$3,12,31),D34),Einstellungen!$C$9),Einstellungen!$F$13:$F$32))*F34)</f>
        <v/>
      </c>
    </row>
    <row r="35">
      <c r="A35" s="25" t="n">
        <v>1030</v>
      </c>
      <c r="B35" s="22" t="inlineStr">
        <is>
          <t>Mitarbeiter 030</t>
        </is>
      </c>
      <c r="C35" s="26" t="n">
        <v>46023</v>
      </c>
      <c r="D35" s="26" t="n"/>
      <c r="E35" s="27" t="n">
        <v>20</v>
      </c>
      <c r="F35" s="28">
        <f>IF(E35="","",E35/5)</f>
        <v/>
      </c>
      <c r="G35" s="29">
        <f>IF(B35="","",IF(C35&gt;Einstellungen!$C$9,"künftig",IF(AND(D35&lt;&gt;"",D35&lt;Einstellungen!$C$9),"ausgeschieden","aktiv")))</f>
        <v/>
      </c>
      <c r="H35" s="30">
        <f>IF(OR(B35="",E35=""),"",MAX(0,NETWORKDAYS(MAX(C35,DATE(Einstellungen!$C$3,1,1)),MIN(IF(D35="",DATE(Einstellungen!$C$3,12,31),D35),Einstellungen!$C$9),Einstellungen!$F$13:$F$32))*F35)</f>
        <v/>
      </c>
    </row>
    <row r="36">
      <c r="A36" s="25" t="n">
        <v>1031</v>
      </c>
      <c r="B36" s="22" t="inlineStr">
        <is>
          <t>Mitarbeiter 031</t>
        </is>
      </c>
      <c r="C36" s="26" t="n">
        <v>46023</v>
      </c>
      <c r="D36" s="26" t="n"/>
      <c r="E36" s="27" t="n">
        <v>30</v>
      </c>
      <c r="F36" s="28">
        <f>IF(E36="","",E36/5)</f>
        <v/>
      </c>
      <c r="G36" s="29">
        <f>IF(B36="","",IF(C36&gt;Einstellungen!$C$9,"künftig",IF(AND(D36&lt;&gt;"",D36&lt;Einstellungen!$C$9),"ausgeschieden","aktiv")))</f>
        <v/>
      </c>
      <c r="H36" s="30">
        <f>IF(OR(B36="",E36=""),"",MAX(0,NETWORKDAYS(MAX(C36,DATE(Einstellungen!$C$3,1,1)),MIN(IF(D36="",DATE(Einstellungen!$C$3,12,31),D36),Einstellungen!$C$9),Einstellungen!$F$13:$F$32))*F36)</f>
        <v/>
      </c>
    </row>
    <row r="37">
      <c r="A37" s="25" t="n">
        <v>1032</v>
      </c>
      <c r="B37" s="22" t="inlineStr">
        <is>
          <t>Mitarbeiter 032</t>
        </is>
      </c>
      <c r="C37" s="26" t="n">
        <v>46023</v>
      </c>
      <c r="D37" s="26" t="n">
        <v>46140</v>
      </c>
      <c r="E37" s="27" t="n">
        <v>20</v>
      </c>
      <c r="F37" s="28">
        <f>IF(E37="","",E37/5)</f>
        <v/>
      </c>
      <c r="G37" s="29">
        <f>IF(B37="","",IF(C37&gt;Einstellungen!$C$9,"künftig",IF(AND(D37&lt;&gt;"",D37&lt;Einstellungen!$C$9),"ausgeschieden","aktiv")))</f>
        <v/>
      </c>
      <c r="H37" s="30">
        <f>IF(OR(B37="",E37=""),"",MAX(0,NETWORKDAYS(MAX(C37,DATE(Einstellungen!$C$3,1,1)),MIN(IF(D37="",DATE(Einstellungen!$C$3,12,31),D37),Einstellungen!$C$9),Einstellungen!$F$13:$F$32))*F37)</f>
        <v/>
      </c>
    </row>
    <row r="38">
      <c r="A38" s="25" t="n">
        <v>1033</v>
      </c>
      <c r="B38" s="22" t="inlineStr">
        <is>
          <t>Mitarbeiter 033</t>
        </is>
      </c>
      <c r="C38" s="26" t="n">
        <v>46023</v>
      </c>
      <c r="D38" s="26" t="n"/>
      <c r="E38" s="27" t="n">
        <v>40</v>
      </c>
      <c r="F38" s="28">
        <f>IF(E38="","",E38/5)</f>
        <v/>
      </c>
      <c r="G38" s="29">
        <f>IF(B38="","",IF(C38&gt;Einstellungen!$C$9,"künftig",IF(AND(D38&lt;&gt;"",D38&lt;Einstellungen!$C$9),"ausgeschieden","aktiv")))</f>
        <v/>
      </c>
      <c r="H38" s="30">
        <f>IF(OR(B38="",E38=""),"",MAX(0,NETWORKDAYS(MAX(C38,DATE(Einstellungen!$C$3,1,1)),MIN(IF(D38="",DATE(Einstellungen!$C$3,12,31),D38),Einstellungen!$C$9),Einstellungen!$F$13:$F$32))*F38)</f>
        <v/>
      </c>
    </row>
    <row r="39">
      <c r="A39" s="25" t="n">
        <v>1034</v>
      </c>
      <c r="B39" s="22" t="inlineStr">
        <is>
          <t>Mitarbeiter 034</t>
        </is>
      </c>
      <c r="C39" s="26" t="n">
        <v>46023</v>
      </c>
      <c r="D39" s="26" t="n">
        <v>46170</v>
      </c>
      <c r="E39" s="27" t="n">
        <v>30</v>
      </c>
      <c r="F39" s="28">
        <f>IF(E39="","",E39/5)</f>
        <v/>
      </c>
      <c r="G39" s="29">
        <f>IF(B39="","",IF(C39&gt;Einstellungen!$C$9,"künftig",IF(AND(D39&lt;&gt;"",D39&lt;Einstellungen!$C$9),"ausgeschieden","aktiv")))</f>
        <v/>
      </c>
      <c r="H39" s="30">
        <f>IF(OR(B39="",E39=""),"",MAX(0,NETWORKDAYS(MAX(C39,DATE(Einstellungen!$C$3,1,1)),MIN(IF(D39="",DATE(Einstellungen!$C$3,12,31),D39),Einstellungen!$C$9),Einstellungen!$F$13:$F$32))*F39)</f>
        <v/>
      </c>
    </row>
    <row r="40">
      <c r="A40" s="25" t="n">
        <v>1035</v>
      </c>
      <c r="B40" s="22" t="inlineStr">
        <is>
          <t>Mitarbeiter 035</t>
        </is>
      </c>
      <c r="C40" s="26" t="n">
        <v>46023</v>
      </c>
      <c r="D40" s="26" t="n"/>
      <c r="E40" s="27" t="n">
        <v>40</v>
      </c>
      <c r="F40" s="28">
        <f>IF(E40="","",E40/5)</f>
        <v/>
      </c>
      <c r="G40" s="29">
        <f>IF(B40="","",IF(C40&gt;Einstellungen!$C$9,"künftig",IF(AND(D40&lt;&gt;"",D40&lt;Einstellungen!$C$9),"ausgeschieden","aktiv")))</f>
        <v/>
      </c>
      <c r="H40" s="30">
        <f>IF(OR(B40="",E40=""),"",MAX(0,NETWORKDAYS(MAX(C40,DATE(Einstellungen!$C$3,1,1)),MIN(IF(D40="",DATE(Einstellungen!$C$3,12,31),D40),Einstellungen!$C$9),Einstellungen!$F$13:$F$32))*F40)</f>
        <v/>
      </c>
    </row>
    <row r="41">
      <c r="A41" s="25" t="n">
        <v>1036</v>
      </c>
      <c r="B41" s="22" t="inlineStr">
        <is>
          <t>Mitarbeiter 036</t>
        </is>
      </c>
      <c r="C41" s="26" t="n">
        <v>46023</v>
      </c>
      <c r="D41" s="26" t="n"/>
      <c r="E41" s="27" t="n">
        <v>40</v>
      </c>
      <c r="F41" s="28">
        <f>IF(E41="","",E41/5)</f>
        <v/>
      </c>
      <c r="G41" s="29">
        <f>IF(B41="","",IF(C41&gt;Einstellungen!$C$9,"künftig",IF(AND(D41&lt;&gt;"",D41&lt;Einstellungen!$C$9),"ausgeschieden","aktiv")))</f>
        <v/>
      </c>
      <c r="H41" s="30">
        <f>IF(OR(B41="",E41=""),"",MAX(0,NETWORKDAYS(MAX(C41,DATE(Einstellungen!$C$3,1,1)),MIN(IF(D41="",DATE(Einstellungen!$C$3,12,31),D41),Einstellungen!$C$9),Einstellungen!$F$13:$F$32))*F41)</f>
        <v/>
      </c>
    </row>
    <row r="42">
      <c r="A42" s="25" t="n">
        <v>1037</v>
      </c>
      <c r="B42" s="22" t="inlineStr">
        <is>
          <t>Mitarbeiter 037</t>
        </is>
      </c>
      <c r="C42" s="26" t="n">
        <v>46023</v>
      </c>
      <c r="D42" s="26" t="n"/>
      <c r="E42" s="27" t="n">
        <v>40</v>
      </c>
      <c r="F42" s="28">
        <f>IF(E42="","",E42/5)</f>
        <v/>
      </c>
      <c r="G42" s="29">
        <f>IF(B42="","",IF(C42&gt;Einstellungen!$C$9,"künftig",IF(AND(D42&lt;&gt;"",D42&lt;Einstellungen!$C$9),"ausgeschieden","aktiv")))</f>
        <v/>
      </c>
      <c r="H42" s="30">
        <f>IF(OR(B42="",E42=""),"",MAX(0,NETWORKDAYS(MAX(C42,DATE(Einstellungen!$C$3,1,1)),MIN(IF(D42="",DATE(Einstellungen!$C$3,12,31),D42),Einstellungen!$C$9),Einstellungen!$F$13:$F$32))*F42)</f>
        <v/>
      </c>
    </row>
    <row r="43">
      <c r="A43" s="25" t="n">
        <v>1038</v>
      </c>
      <c r="B43" s="22" t="inlineStr">
        <is>
          <t>Mitarbeiter 038</t>
        </is>
      </c>
      <c r="C43" s="26" t="n">
        <v>46023</v>
      </c>
      <c r="D43" s="26" t="n"/>
      <c r="E43" s="27" t="n">
        <v>40</v>
      </c>
      <c r="F43" s="28">
        <f>IF(E43="","",E43/5)</f>
        <v/>
      </c>
      <c r="G43" s="29">
        <f>IF(B43="","",IF(C43&gt;Einstellungen!$C$9,"künftig",IF(AND(D43&lt;&gt;"",D43&lt;Einstellungen!$C$9),"ausgeschieden","aktiv")))</f>
        <v/>
      </c>
      <c r="H43" s="30">
        <f>IF(OR(B43="",E43=""),"",MAX(0,NETWORKDAYS(MAX(C43,DATE(Einstellungen!$C$3,1,1)),MIN(IF(D43="",DATE(Einstellungen!$C$3,12,31),D43),Einstellungen!$C$9),Einstellungen!$F$13:$F$32))*F43)</f>
        <v/>
      </c>
    </row>
    <row r="44">
      <c r="A44" s="25" t="n">
        <v>1039</v>
      </c>
      <c r="B44" s="22" t="inlineStr">
        <is>
          <t>Mitarbeiter 039</t>
        </is>
      </c>
      <c r="C44" s="26" t="n">
        <v>46023</v>
      </c>
      <c r="D44" s="26" t="n"/>
      <c r="E44" s="27" t="n">
        <v>40</v>
      </c>
      <c r="F44" s="28">
        <f>IF(E44="","",E44/5)</f>
        <v/>
      </c>
      <c r="G44" s="29">
        <f>IF(B44="","",IF(C44&gt;Einstellungen!$C$9,"künftig",IF(AND(D44&lt;&gt;"",D44&lt;Einstellungen!$C$9),"ausgeschieden","aktiv")))</f>
        <v/>
      </c>
      <c r="H44" s="30">
        <f>IF(OR(B44="",E44=""),"",MAX(0,NETWORKDAYS(MAX(C44,DATE(Einstellungen!$C$3,1,1)),MIN(IF(D44="",DATE(Einstellungen!$C$3,12,31),D44),Einstellungen!$C$9),Einstellungen!$F$13:$F$32))*F44)</f>
        <v/>
      </c>
    </row>
    <row r="45">
      <c r="A45" s="25" t="n">
        <v>1040</v>
      </c>
      <c r="B45" s="22" t="inlineStr">
        <is>
          <t>Mitarbeiter 040</t>
        </is>
      </c>
      <c r="C45" s="26" t="n">
        <v>46023</v>
      </c>
      <c r="D45" s="26" t="n"/>
      <c r="E45" s="27" t="n">
        <v>40</v>
      </c>
      <c r="F45" s="28">
        <f>IF(E45="","",E45/5)</f>
        <v/>
      </c>
      <c r="G45" s="29">
        <f>IF(B45="","",IF(C45&gt;Einstellungen!$C$9,"künftig",IF(AND(D45&lt;&gt;"",D45&lt;Einstellungen!$C$9),"ausgeschieden","aktiv")))</f>
        <v/>
      </c>
      <c r="H45" s="30">
        <f>IF(OR(B45="",E45=""),"",MAX(0,NETWORKDAYS(MAX(C45,DATE(Einstellungen!$C$3,1,1)),MIN(IF(D45="",DATE(Einstellungen!$C$3,12,31),D45),Einstellungen!$C$9),Einstellungen!$F$13:$F$32))*F45)</f>
        <v/>
      </c>
    </row>
    <row r="46">
      <c r="A46" s="25" t="n">
        <v>1041</v>
      </c>
      <c r="B46" s="22" t="inlineStr">
        <is>
          <t>Mitarbeiter 041</t>
        </is>
      </c>
      <c r="C46" s="26" t="n">
        <v>46023</v>
      </c>
      <c r="D46" s="26" t="n">
        <v>46231</v>
      </c>
      <c r="E46" s="27" t="n">
        <v>40</v>
      </c>
      <c r="F46" s="28">
        <f>IF(E46="","",E46/5)</f>
        <v/>
      </c>
      <c r="G46" s="29">
        <f>IF(B46="","",IF(C46&gt;Einstellungen!$C$9,"künftig",IF(AND(D46&lt;&gt;"",D46&lt;Einstellungen!$C$9),"ausgeschieden","aktiv")))</f>
        <v/>
      </c>
      <c r="H46" s="30">
        <f>IF(OR(B46="",E46=""),"",MAX(0,NETWORKDAYS(MAX(C46,DATE(Einstellungen!$C$3,1,1)),MIN(IF(D46="",DATE(Einstellungen!$C$3,12,31),D46),Einstellungen!$C$9),Einstellungen!$F$13:$F$32))*F46)</f>
        <v/>
      </c>
    </row>
    <row r="47">
      <c r="A47" s="25" t="n">
        <v>1042</v>
      </c>
      <c r="B47" s="22" t="inlineStr">
        <is>
          <t>Mitarbeiter 042</t>
        </is>
      </c>
      <c r="C47" s="26" t="n">
        <v>46023</v>
      </c>
      <c r="D47" s="26" t="n"/>
      <c r="E47" s="27" t="n">
        <v>20</v>
      </c>
      <c r="F47" s="28">
        <f>IF(E47="","",E47/5)</f>
        <v/>
      </c>
      <c r="G47" s="29">
        <f>IF(B47="","",IF(C47&gt;Einstellungen!$C$9,"künftig",IF(AND(D47&lt;&gt;"",D47&lt;Einstellungen!$C$9),"ausgeschieden","aktiv")))</f>
        <v/>
      </c>
      <c r="H47" s="30">
        <f>IF(OR(B47="",E47=""),"",MAX(0,NETWORKDAYS(MAX(C47,DATE(Einstellungen!$C$3,1,1)),MIN(IF(D47="",DATE(Einstellungen!$C$3,12,31),D47),Einstellungen!$C$9),Einstellungen!$F$13:$F$32))*F47)</f>
        <v/>
      </c>
    </row>
    <row r="48">
      <c r="A48" s="25" t="n">
        <v>1043</v>
      </c>
      <c r="B48" s="22" t="inlineStr">
        <is>
          <t>Mitarbeiter 043</t>
        </is>
      </c>
      <c r="C48" s="26" t="n">
        <v>46023</v>
      </c>
      <c r="D48" s="26" t="n">
        <v>46231</v>
      </c>
      <c r="E48" s="27" t="n">
        <v>40</v>
      </c>
      <c r="F48" s="28">
        <f>IF(E48="","",E48/5)</f>
        <v/>
      </c>
      <c r="G48" s="29">
        <f>IF(B48="","",IF(C48&gt;Einstellungen!$C$9,"künftig",IF(AND(D48&lt;&gt;"",D48&lt;Einstellungen!$C$9),"ausgeschieden","aktiv")))</f>
        <v/>
      </c>
      <c r="H48" s="30">
        <f>IF(OR(B48="",E48=""),"",MAX(0,NETWORKDAYS(MAX(C48,DATE(Einstellungen!$C$3,1,1)),MIN(IF(D48="",DATE(Einstellungen!$C$3,12,31),D48),Einstellungen!$C$9),Einstellungen!$F$13:$F$32))*F48)</f>
        <v/>
      </c>
    </row>
    <row r="49">
      <c r="A49" s="25" t="n">
        <v>1044</v>
      </c>
      <c r="B49" s="22" t="inlineStr">
        <is>
          <t>Mitarbeiter 044</t>
        </is>
      </c>
      <c r="C49" s="26" t="n">
        <v>46023</v>
      </c>
      <c r="D49" s="26" t="n">
        <v>46109</v>
      </c>
      <c r="E49" s="27" t="n">
        <v>40</v>
      </c>
      <c r="F49" s="28">
        <f>IF(E49="","",E49/5)</f>
        <v/>
      </c>
      <c r="G49" s="29">
        <f>IF(B49="","",IF(C49&gt;Einstellungen!$C$9,"künftig",IF(AND(D49&lt;&gt;"",D49&lt;Einstellungen!$C$9),"ausgeschieden","aktiv")))</f>
        <v/>
      </c>
      <c r="H49" s="30">
        <f>IF(OR(B49="",E49=""),"",MAX(0,NETWORKDAYS(MAX(C49,DATE(Einstellungen!$C$3,1,1)),MIN(IF(D49="",DATE(Einstellungen!$C$3,12,31),D49),Einstellungen!$C$9),Einstellungen!$F$13:$F$32))*F49)</f>
        <v/>
      </c>
    </row>
    <row r="50">
      <c r="A50" s="25" t="n">
        <v>1045</v>
      </c>
      <c r="B50" s="22" t="inlineStr">
        <is>
          <t>Mitarbeiter 045</t>
        </is>
      </c>
      <c r="C50" s="26" t="n">
        <v>46023</v>
      </c>
      <c r="D50" s="26" t="n"/>
      <c r="E50" s="27" t="n">
        <v>40</v>
      </c>
      <c r="F50" s="28">
        <f>IF(E50="","",E50/5)</f>
        <v/>
      </c>
      <c r="G50" s="29">
        <f>IF(B50="","",IF(C50&gt;Einstellungen!$C$9,"künftig",IF(AND(D50&lt;&gt;"",D50&lt;Einstellungen!$C$9),"ausgeschieden","aktiv")))</f>
        <v/>
      </c>
      <c r="H50" s="30">
        <f>IF(OR(B50="",E50=""),"",MAX(0,NETWORKDAYS(MAX(C50,DATE(Einstellungen!$C$3,1,1)),MIN(IF(D50="",DATE(Einstellungen!$C$3,12,31),D50),Einstellungen!$C$9),Einstellungen!$F$13:$F$32))*F50)</f>
        <v/>
      </c>
    </row>
    <row r="51">
      <c r="A51" s="25" t="n">
        <v>1046</v>
      </c>
      <c r="B51" s="22" t="inlineStr">
        <is>
          <t>Mitarbeiter 046</t>
        </is>
      </c>
      <c r="C51" s="26" t="n">
        <v>46143</v>
      </c>
      <c r="D51" s="26" t="n">
        <v>46081</v>
      </c>
      <c r="E51" s="27" t="n">
        <v>40</v>
      </c>
      <c r="F51" s="28">
        <f>IF(E51="","",E51/5)</f>
        <v/>
      </c>
      <c r="G51" s="29">
        <f>IF(B51="","",IF(C51&gt;Einstellungen!$C$9,"künftig",IF(AND(D51&lt;&gt;"",D51&lt;Einstellungen!$C$9),"ausgeschieden","aktiv")))</f>
        <v/>
      </c>
      <c r="H51" s="30">
        <f>IF(OR(B51="",E51=""),"",MAX(0,NETWORKDAYS(MAX(C51,DATE(Einstellungen!$C$3,1,1)),MIN(IF(D51="",DATE(Einstellungen!$C$3,12,31),D51),Einstellungen!$C$9),Einstellungen!$F$13:$F$32))*F51)</f>
        <v/>
      </c>
    </row>
    <row r="52">
      <c r="A52" s="25" t="n">
        <v>1047</v>
      </c>
      <c r="B52" s="22" t="inlineStr">
        <is>
          <t>Mitarbeiter 047</t>
        </is>
      </c>
      <c r="C52" s="26" t="n">
        <v>46174</v>
      </c>
      <c r="D52" s="26" t="n"/>
      <c r="E52" s="27" t="n">
        <v>30</v>
      </c>
      <c r="F52" s="28">
        <f>IF(E52="","",E52/5)</f>
        <v/>
      </c>
      <c r="G52" s="29">
        <f>IF(B52="","",IF(C52&gt;Einstellungen!$C$9,"künftig",IF(AND(D52&lt;&gt;"",D52&lt;Einstellungen!$C$9),"ausgeschieden","aktiv")))</f>
        <v/>
      </c>
      <c r="H52" s="30">
        <f>IF(OR(B52="",E52=""),"",MAX(0,NETWORKDAYS(MAX(C52,DATE(Einstellungen!$C$3,1,1)),MIN(IF(D52="",DATE(Einstellungen!$C$3,12,31),D52),Einstellungen!$C$9),Einstellungen!$F$13:$F$32))*F52)</f>
        <v/>
      </c>
    </row>
    <row r="53">
      <c r="A53" s="25" t="n">
        <v>1048</v>
      </c>
      <c r="B53" s="22" t="inlineStr">
        <is>
          <t>Mitarbeiter 048</t>
        </is>
      </c>
      <c r="C53" s="26" t="n">
        <v>46054</v>
      </c>
      <c r="D53" s="26" t="n">
        <v>46231</v>
      </c>
      <c r="E53" s="27" t="n">
        <v>40</v>
      </c>
      <c r="F53" s="28">
        <f>IF(E53="","",E53/5)</f>
        <v/>
      </c>
      <c r="G53" s="29">
        <f>IF(B53="","",IF(C53&gt;Einstellungen!$C$9,"künftig",IF(AND(D53&lt;&gt;"",D53&lt;Einstellungen!$C$9),"ausgeschieden","aktiv")))</f>
        <v/>
      </c>
      <c r="H53" s="30">
        <f>IF(OR(B53="",E53=""),"",MAX(0,NETWORKDAYS(MAX(C53,DATE(Einstellungen!$C$3,1,1)),MIN(IF(D53="",DATE(Einstellungen!$C$3,12,31),D53),Einstellungen!$C$9),Einstellungen!$F$13:$F$32))*F53)</f>
        <v/>
      </c>
    </row>
    <row r="54">
      <c r="A54" s="25" t="n">
        <v>1049</v>
      </c>
      <c r="B54" s="22" t="inlineStr">
        <is>
          <t>Mitarbeiter 049</t>
        </is>
      </c>
      <c r="C54" s="26" t="n">
        <v>46143</v>
      </c>
      <c r="D54" s="26" t="n"/>
      <c r="E54" s="27" t="n">
        <v>40</v>
      </c>
      <c r="F54" s="28">
        <f>IF(E54="","",E54/5)</f>
        <v/>
      </c>
      <c r="G54" s="29">
        <f>IF(B54="","",IF(C54&gt;Einstellungen!$C$9,"künftig",IF(AND(D54&lt;&gt;"",D54&lt;Einstellungen!$C$9),"ausgeschieden","aktiv")))</f>
        <v/>
      </c>
      <c r="H54" s="30">
        <f>IF(OR(B54="",E54=""),"",MAX(0,NETWORKDAYS(MAX(C54,DATE(Einstellungen!$C$3,1,1)),MIN(IF(D54="",DATE(Einstellungen!$C$3,12,31),D54),Einstellungen!$C$9),Einstellungen!$F$13:$F$32))*F54)</f>
        <v/>
      </c>
    </row>
    <row r="55">
      <c r="A55" s="25" t="n">
        <v>1050</v>
      </c>
      <c r="B55" s="22" t="inlineStr">
        <is>
          <t>Mitarbeiter 050</t>
        </is>
      </c>
      <c r="C55" s="26" t="n">
        <v>46054</v>
      </c>
      <c r="D55" s="26" t="n"/>
      <c r="E55" s="27" t="n">
        <v>40</v>
      </c>
      <c r="F55" s="28">
        <f>IF(E55="","",E55/5)</f>
        <v/>
      </c>
      <c r="G55" s="29">
        <f>IF(B55="","",IF(C55&gt;Einstellungen!$C$9,"künftig",IF(AND(D55&lt;&gt;"",D55&lt;Einstellungen!$C$9),"ausgeschieden","aktiv")))</f>
        <v/>
      </c>
      <c r="H55" s="30">
        <f>IF(OR(B55="",E55=""),"",MAX(0,NETWORKDAYS(MAX(C55,DATE(Einstellungen!$C$3,1,1)),MIN(IF(D55="",DATE(Einstellungen!$C$3,12,31),D55),Einstellungen!$C$9),Einstellungen!$F$13:$F$32))*F55)</f>
        <v/>
      </c>
    </row>
    <row r="56">
      <c r="A56" s="25" t="n">
        <v>1051</v>
      </c>
      <c r="B56" s="22" t="inlineStr">
        <is>
          <t>Mitarbeiter 051</t>
        </is>
      </c>
      <c r="C56" s="26" t="n">
        <v>46235</v>
      </c>
      <c r="D56" s="26" t="n"/>
      <c r="E56" s="27" t="n">
        <v>40</v>
      </c>
      <c r="F56" s="28">
        <f>IF(E56="","",E56/5)</f>
        <v/>
      </c>
      <c r="G56" s="29">
        <f>IF(B56="","",IF(C56&gt;Einstellungen!$C$9,"künftig",IF(AND(D56&lt;&gt;"",D56&lt;Einstellungen!$C$9),"ausgeschieden","aktiv")))</f>
        <v/>
      </c>
      <c r="H56" s="30">
        <f>IF(OR(B56="",E56=""),"",MAX(0,NETWORKDAYS(MAX(C56,DATE(Einstellungen!$C$3,1,1)),MIN(IF(D56="",DATE(Einstellungen!$C$3,12,31),D56),Einstellungen!$C$9),Einstellungen!$F$13:$F$32))*F56)</f>
        <v/>
      </c>
    </row>
    <row r="57">
      <c r="A57" s="25" t="n">
        <v>1052</v>
      </c>
      <c r="B57" s="22" t="inlineStr">
        <is>
          <t>Mitarbeiter 052</t>
        </is>
      </c>
      <c r="C57" s="26" t="n">
        <v>46082</v>
      </c>
      <c r="D57" s="26" t="n"/>
      <c r="E57" s="27" t="n">
        <v>20</v>
      </c>
      <c r="F57" s="28">
        <f>IF(E57="","",E57/5)</f>
        <v/>
      </c>
      <c r="G57" s="29">
        <f>IF(B57="","",IF(C57&gt;Einstellungen!$C$9,"künftig",IF(AND(D57&lt;&gt;"",D57&lt;Einstellungen!$C$9),"ausgeschieden","aktiv")))</f>
        <v/>
      </c>
      <c r="H57" s="30">
        <f>IF(OR(B57="",E57=""),"",MAX(0,NETWORKDAYS(MAX(C57,DATE(Einstellungen!$C$3,1,1)),MIN(IF(D57="",DATE(Einstellungen!$C$3,12,31),D57),Einstellungen!$C$9),Einstellungen!$F$13:$F$32))*F57)</f>
        <v/>
      </c>
    </row>
    <row r="58">
      <c r="A58" s="25" t="n">
        <v>1053</v>
      </c>
      <c r="B58" s="22" t="inlineStr">
        <is>
          <t>Mitarbeiter 053</t>
        </is>
      </c>
      <c r="C58" s="26" t="n">
        <v>46082</v>
      </c>
      <c r="D58" s="26" t="n"/>
      <c r="E58" s="27" t="n">
        <v>30</v>
      </c>
      <c r="F58" s="28">
        <f>IF(E58="","",E58/5)</f>
        <v/>
      </c>
      <c r="G58" s="29">
        <f>IF(B58="","",IF(C58&gt;Einstellungen!$C$9,"künftig",IF(AND(D58&lt;&gt;"",D58&lt;Einstellungen!$C$9),"ausgeschieden","aktiv")))</f>
        <v/>
      </c>
      <c r="H58" s="30">
        <f>IF(OR(B58="",E58=""),"",MAX(0,NETWORKDAYS(MAX(C58,DATE(Einstellungen!$C$3,1,1)),MIN(IF(D58="",DATE(Einstellungen!$C$3,12,31),D58),Einstellungen!$C$9),Einstellungen!$F$13:$F$32))*F58)</f>
        <v/>
      </c>
    </row>
    <row r="59">
      <c r="A59" s="25" t="n">
        <v>1054</v>
      </c>
      <c r="B59" s="22" t="inlineStr">
        <is>
          <t>Mitarbeiter 054</t>
        </is>
      </c>
      <c r="C59" s="26" t="n">
        <v>46054</v>
      </c>
      <c r="D59" s="26" t="n">
        <v>46231</v>
      </c>
      <c r="E59" s="27" t="n">
        <v>40</v>
      </c>
      <c r="F59" s="28">
        <f>IF(E59="","",E59/5)</f>
        <v/>
      </c>
      <c r="G59" s="29">
        <f>IF(B59="","",IF(C59&gt;Einstellungen!$C$9,"künftig",IF(AND(D59&lt;&gt;"",D59&lt;Einstellungen!$C$9),"ausgeschieden","aktiv")))</f>
        <v/>
      </c>
      <c r="H59" s="30">
        <f>IF(OR(B59="",E59=""),"",MAX(0,NETWORKDAYS(MAX(C59,DATE(Einstellungen!$C$3,1,1)),MIN(IF(D59="",DATE(Einstellungen!$C$3,12,31),D59),Einstellungen!$C$9),Einstellungen!$F$13:$F$32))*F59)</f>
        <v/>
      </c>
    </row>
    <row r="60">
      <c r="A60" s="25" t="n">
        <v>1055</v>
      </c>
      <c r="B60" s="22" t="inlineStr">
        <is>
          <t>Mitarbeiter 055</t>
        </is>
      </c>
      <c r="C60" s="26" t="n">
        <v>46054</v>
      </c>
      <c r="D60" s="26" t="n"/>
      <c r="E60" s="27" t="n">
        <v>40</v>
      </c>
      <c r="F60" s="28">
        <f>IF(E60="","",E60/5)</f>
        <v/>
      </c>
      <c r="G60" s="29">
        <f>IF(B60="","",IF(C60&gt;Einstellungen!$C$9,"künftig",IF(AND(D60&lt;&gt;"",D60&lt;Einstellungen!$C$9),"ausgeschieden","aktiv")))</f>
        <v/>
      </c>
      <c r="H60" s="30">
        <f>IF(OR(B60="",E60=""),"",MAX(0,NETWORKDAYS(MAX(C60,DATE(Einstellungen!$C$3,1,1)),MIN(IF(D60="",DATE(Einstellungen!$C$3,12,31),D60),Einstellungen!$C$9),Einstellungen!$F$13:$F$32))*F60)</f>
        <v/>
      </c>
    </row>
    <row r="61">
      <c r="A61" s="25" t="n"/>
      <c r="B61" s="22" t="n"/>
      <c r="C61" s="26" t="n"/>
      <c r="D61" s="26" t="n"/>
      <c r="E61" s="27" t="n"/>
      <c r="F61" s="28">
        <f>IF(E61="","",E61/5)</f>
        <v/>
      </c>
      <c r="G61" s="29">
        <f>IF(B61="","",IF(C61&gt;Einstellungen!$C$9,"künftig",IF(AND(D61&lt;&gt;"",D61&lt;Einstellungen!$C$9),"ausgeschieden","aktiv")))</f>
        <v/>
      </c>
      <c r="H61" s="30">
        <f>IF(OR(B61="",E61=""),"",MAX(0,NETWORKDAYS(MAX(C61,DATE(Einstellungen!$C$3,1,1)),MIN(IF(D61="",DATE(Einstellungen!$C$3,12,31),D61),Einstellungen!$C$9),Einstellungen!$F$13:$F$32))*F61)</f>
        <v/>
      </c>
    </row>
    <row r="62">
      <c r="A62" s="25" t="n"/>
      <c r="B62" s="22" t="n"/>
      <c r="C62" s="26" t="n"/>
      <c r="D62" s="26" t="n"/>
      <c r="E62" s="27" t="n"/>
      <c r="F62" s="28">
        <f>IF(E62="","",E62/5)</f>
        <v/>
      </c>
      <c r="G62" s="29">
        <f>IF(B62="","",IF(C62&gt;Einstellungen!$C$9,"künftig",IF(AND(D62&lt;&gt;"",D62&lt;Einstellungen!$C$9),"ausgeschieden","aktiv")))</f>
        <v/>
      </c>
      <c r="H62" s="30">
        <f>IF(OR(B62="",E62=""),"",MAX(0,NETWORKDAYS(MAX(C62,DATE(Einstellungen!$C$3,1,1)),MIN(IF(D62="",DATE(Einstellungen!$C$3,12,31),D62),Einstellungen!$C$9),Einstellungen!$F$13:$F$32))*F62)</f>
        <v/>
      </c>
    </row>
    <row r="63">
      <c r="A63" s="25" t="n"/>
      <c r="B63" s="22" t="n"/>
      <c r="C63" s="26" t="n"/>
      <c r="D63" s="26" t="n"/>
      <c r="E63" s="27" t="n"/>
      <c r="F63" s="28">
        <f>IF(E63="","",E63/5)</f>
        <v/>
      </c>
      <c r="G63" s="29">
        <f>IF(B63="","",IF(C63&gt;Einstellungen!$C$9,"künftig",IF(AND(D63&lt;&gt;"",D63&lt;Einstellungen!$C$9),"ausgeschieden","aktiv")))</f>
        <v/>
      </c>
      <c r="H63" s="30">
        <f>IF(OR(B63="",E63=""),"",MAX(0,NETWORKDAYS(MAX(C63,DATE(Einstellungen!$C$3,1,1)),MIN(IF(D63="",DATE(Einstellungen!$C$3,12,31),D63),Einstellungen!$C$9),Einstellungen!$F$13:$F$32))*F63)</f>
        <v/>
      </c>
    </row>
    <row r="64">
      <c r="A64" s="25" t="n"/>
      <c r="B64" s="22" t="n"/>
      <c r="C64" s="26" t="n"/>
      <c r="D64" s="26" t="n"/>
      <c r="E64" s="27" t="n"/>
      <c r="F64" s="28">
        <f>IF(E64="","",E64/5)</f>
        <v/>
      </c>
      <c r="G64" s="29">
        <f>IF(B64="","",IF(C64&gt;Einstellungen!$C$9,"künftig",IF(AND(D64&lt;&gt;"",D64&lt;Einstellungen!$C$9),"ausgeschieden","aktiv")))</f>
        <v/>
      </c>
      <c r="H64" s="30">
        <f>IF(OR(B64="",E64=""),"",MAX(0,NETWORKDAYS(MAX(C64,DATE(Einstellungen!$C$3,1,1)),MIN(IF(D64="",DATE(Einstellungen!$C$3,12,31),D64),Einstellungen!$C$9),Einstellungen!$F$13:$F$32))*F64)</f>
        <v/>
      </c>
    </row>
    <row r="65">
      <c r="A65" s="25" t="n"/>
      <c r="B65" s="22" t="n"/>
      <c r="C65" s="26" t="n"/>
      <c r="D65" s="26" t="n"/>
      <c r="E65" s="27" t="n"/>
      <c r="F65" s="28">
        <f>IF(E65="","",E65/5)</f>
        <v/>
      </c>
      <c r="G65" s="29">
        <f>IF(B65="","",IF(C65&gt;Einstellungen!$C$9,"künftig",IF(AND(D65&lt;&gt;"",D65&lt;Einstellungen!$C$9),"ausgeschieden","aktiv")))</f>
        <v/>
      </c>
      <c r="H65" s="30">
        <f>IF(OR(B65="",E65=""),"",MAX(0,NETWORKDAYS(MAX(C65,DATE(Einstellungen!$C$3,1,1)),MIN(IF(D65="",DATE(Einstellungen!$C$3,12,31),D65),Einstellungen!$C$9),Einstellungen!$F$13:$F$32))*F65)</f>
        <v/>
      </c>
    </row>
    <row r="66">
      <c r="A66" s="25" t="n"/>
      <c r="B66" s="22" t="n"/>
      <c r="C66" s="26" t="n"/>
      <c r="D66" s="26" t="n"/>
      <c r="E66" s="27" t="n"/>
      <c r="F66" s="28">
        <f>IF(E66="","",E66/5)</f>
        <v/>
      </c>
      <c r="G66" s="29">
        <f>IF(B66="","",IF(C66&gt;Einstellungen!$C$9,"künftig",IF(AND(D66&lt;&gt;"",D66&lt;Einstellungen!$C$9),"ausgeschieden","aktiv")))</f>
        <v/>
      </c>
      <c r="H66" s="30">
        <f>IF(OR(B66="",E66=""),"",MAX(0,NETWORKDAYS(MAX(C66,DATE(Einstellungen!$C$3,1,1)),MIN(IF(D66="",DATE(Einstellungen!$C$3,12,31),D66),Einstellungen!$C$9),Einstellungen!$F$13:$F$32))*F66)</f>
        <v/>
      </c>
    </row>
    <row r="67">
      <c r="A67" s="25" t="n"/>
      <c r="B67" s="22" t="n"/>
      <c r="C67" s="26" t="n"/>
      <c r="D67" s="26" t="n"/>
      <c r="E67" s="27" t="n"/>
      <c r="F67" s="28">
        <f>IF(E67="","",E67/5)</f>
        <v/>
      </c>
      <c r="G67" s="29">
        <f>IF(B67="","",IF(C67&gt;Einstellungen!$C$9,"künftig",IF(AND(D67&lt;&gt;"",D67&lt;Einstellungen!$C$9),"ausgeschieden","aktiv")))</f>
        <v/>
      </c>
      <c r="H67" s="30">
        <f>IF(OR(B67="",E67=""),"",MAX(0,NETWORKDAYS(MAX(C67,DATE(Einstellungen!$C$3,1,1)),MIN(IF(D67="",DATE(Einstellungen!$C$3,12,31),D67),Einstellungen!$C$9),Einstellungen!$F$13:$F$32))*F67)</f>
        <v/>
      </c>
    </row>
    <row r="68">
      <c r="A68" s="25" t="n"/>
      <c r="B68" s="22" t="n"/>
      <c r="C68" s="26" t="n"/>
      <c r="D68" s="26" t="n"/>
      <c r="E68" s="27" t="n"/>
      <c r="F68" s="28">
        <f>IF(E68="","",E68/5)</f>
        <v/>
      </c>
      <c r="G68" s="29">
        <f>IF(B68="","",IF(C68&gt;Einstellungen!$C$9,"künftig",IF(AND(D68&lt;&gt;"",D68&lt;Einstellungen!$C$9),"ausgeschieden","aktiv")))</f>
        <v/>
      </c>
      <c r="H68" s="30">
        <f>IF(OR(B68="",E68=""),"",MAX(0,NETWORKDAYS(MAX(C68,DATE(Einstellungen!$C$3,1,1)),MIN(IF(D68="",DATE(Einstellungen!$C$3,12,31),D68),Einstellungen!$C$9),Einstellungen!$F$13:$F$32))*F68)</f>
        <v/>
      </c>
    </row>
    <row r="69">
      <c r="A69" s="25" t="n"/>
      <c r="B69" s="22" t="n"/>
      <c r="C69" s="26" t="n"/>
      <c r="D69" s="26" t="n"/>
      <c r="E69" s="27" t="n"/>
      <c r="F69" s="28">
        <f>IF(E69="","",E69/5)</f>
        <v/>
      </c>
      <c r="G69" s="29">
        <f>IF(B69="","",IF(C69&gt;Einstellungen!$C$9,"künftig",IF(AND(D69&lt;&gt;"",D69&lt;Einstellungen!$C$9),"ausgeschieden","aktiv")))</f>
        <v/>
      </c>
      <c r="H69" s="30">
        <f>IF(OR(B69="",E69=""),"",MAX(0,NETWORKDAYS(MAX(C69,DATE(Einstellungen!$C$3,1,1)),MIN(IF(D69="",DATE(Einstellungen!$C$3,12,31),D69),Einstellungen!$C$9),Einstellungen!$F$13:$F$32))*F69)</f>
        <v/>
      </c>
    </row>
    <row r="70">
      <c r="A70" s="25" t="n"/>
      <c r="B70" s="22" t="n"/>
      <c r="C70" s="26" t="n"/>
      <c r="D70" s="26" t="n"/>
      <c r="E70" s="27" t="n"/>
      <c r="F70" s="28">
        <f>IF(E70="","",E70/5)</f>
        <v/>
      </c>
      <c r="G70" s="29">
        <f>IF(B70="","",IF(C70&gt;Einstellungen!$C$9,"künftig",IF(AND(D70&lt;&gt;"",D70&lt;Einstellungen!$C$9),"ausgeschieden","aktiv")))</f>
        <v/>
      </c>
      <c r="H70" s="30">
        <f>IF(OR(B70="",E70=""),"",MAX(0,NETWORKDAYS(MAX(C70,DATE(Einstellungen!$C$3,1,1)),MIN(IF(D70="",DATE(Einstellungen!$C$3,12,31),D70),Einstellungen!$C$9),Einstellungen!$F$13:$F$32))*F70)</f>
        <v/>
      </c>
    </row>
    <row r="71">
      <c r="A71" s="25" t="n"/>
      <c r="B71" s="22" t="n"/>
      <c r="C71" s="26" t="n"/>
      <c r="D71" s="26" t="n"/>
      <c r="E71" s="27" t="n"/>
      <c r="F71" s="28">
        <f>IF(E71="","",E71/5)</f>
        <v/>
      </c>
      <c r="G71" s="29">
        <f>IF(B71="","",IF(C71&gt;Einstellungen!$C$9,"künftig",IF(AND(D71&lt;&gt;"",D71&lt;Einstellungen!$C$9),"ausgeschieden","aktiv")))</f>
        <v/>
      </c>
      <c r="H71" s="30">
        <f>IF(OR(B71="",E71=""),"",MAX(0,NETWORKDAYS(MAX(C71,DATE(Einstellungen!$C$3,1,1)),MIN(IF(D71="",DATE(Einstellungen!$C$3,12,31),D71),Einstellungen!$C$9),Einstellungen!$F$13:$F$32))*F71)</f>
        <v/>
      </c>
    </row>
    <row r="72">
      <c r="A72" s="25" t="n"/>
      <c r="B72" s="22" t="n"/>
      <c r="C72" s="26" t="n"/>
      <c r="D72" s="26" t="n"/>
      <c r="E72" s="27" t="n"/>
      <c r="F72" s="28">
        <f>IF(E72="","",E72/5)</f>
        <v/>
      </c>
      <c r="G72" s="29">
        <f>IF(B72="","",IF(C72&gt;Einstellungen!$C$9,"künftig",IF(AND(D72&lt;&gt;"",D72&lt;Einstellungen!$C$9),"ausgeschieden","aktiv")))</f>
        <v/>
      </c>
      <c r="H72" s="30">
        <f>IF(OR(B72="",E72=""),"",MAX(0,NETWORKDAYS(MAX(C72,DATE(Einstellungen!$C$3,1,1)),MIN(IF(D72="",DATE(Einstellungen!$C$3,12,31),D72),Einstellungen!$C$9),Einstellungen!$F$13:$F$32))*F72)</f>
        <v/>
      </c>
    </row>
    <row r="73">
      <c r="A73" s="25" t="n"/>
      <c r="B73" s="22" t="n"/>
      <c r="C73" s="26" t="n"/>
      <c r="D73" s="26" t="n"/>
      <c r="E73" s="27" t="n"/>
      <c r="F73" s="28">
        <f>IF(E73="","",E73/5)</f>
        <v/>
      </c>
      <c r="G73" s="29">
        <f>IF(B73="","",IF(C73&gt;Einstellungen!$C$9,"künftig",IF(AND(D73&lt;&gt;"",D73&lt;Einstellungen!$C$9),"ausgeschieden","aktiv")))</f>
        <v/>
      </c>
      <c r="H73" s="30">
        <f>IF(OR(B73="",E73=""),"",MAX(0,NETWORKDAYS(MAX(C73,DATE(Einstellungen!$C$3,1,1)),MIN(IF(D73="",DATE(Einstellungen!$C$3,12,31),D73),Einstellungen!$C$9),Einstellungen!$F$13:$F$32))*F73)</f>
        <v/>
      </c>
    </row>
    <row r="74">
      <c r="A74" s="25" t="n"/>
      <c r="B74" s="22" t="n"/>
      <c r="C74" s="26" t="n"/>
      <c r="D74" s="26" t="n"/>
      <c r="E74" s="27" t="n"/>
      <c r="F74" s="28">
        <f>IF(E74="","",E74/5)</f>
        <v/>
      </c>
      <c r="G74" s="29">
        <f>IF(B74="","",IF(C74&gt;Einstellungen!$C$9,"künftig",IF(AND(D74&lt;&gt;"",D74&lt;Einstellungen!$C$9),"ausgeschieden","aktiv")))</f>
        <v/>
      </c>
      <c r="H74" s="30">
        <f>IF(OR(B74="",E74=""),"",MAX(0,NETWORKDAYS(MAX(C74,DATE(Einstellungen!$C$3,1,1)),MIN(IF(D74="",DATE(Einstellungen!$C$3,12,31),D74),Einstellungen!$C$9),Einstellungen!$F$13:$F$32))*F74)</f>
        <v/>
      </c>
    </row>
    <row r="75">
      <c r="A75" s="25" t="n"/>
      <c r="B75" s="22" t="n"/>
      <c r="C75" s="26" t="n"/>
      <c r="D75" s="26" t="n"/>
      <c r="E75" s="27" t="n"/>
      <c r="F75" s="28">
        <f>IF(E75="","",E75/5)</f>
        <v/>
      </c>
      <c r="G75" s="29">
        <f>IF(B75="","",IF(C75&gt;Einstellungen!$C$9,"künftig",IF(AND(D75&lt;&gt;"",D75&lt;Einstellungen!$C$9),"ausgeschieden","aktiv")))</f>
        <v/>
      </c>
      <c r="H75" s="30">
        <f>IF(OR(B75="",E75=""),"",MAX(0,NETWORKDAYS(MAX(C75,DATE(Einstellungen!$C$3,1,1)),MIN(IF(D75="",DATE(Einstellungen!$C$3,12,31),D75),Einstellungen!$C$9),Einstellungen!$F$13:$F$32))*F75)</f>
        <v/>
      </c>
    </row>
    <row r="76">
      <c r="A76" s="25" t="n"/>
      <c r="B76" s="22" t="n"/>
      <c r="C76" s="26" t="n"/>
      <c r="D76" s="26" t="n"/>
      <c r="E76" s="27" t="n"/>
      <c r="F76" s="28">
        <f>IF(E76="","",E76/5)</f>
        <v/>
      </c>
      <c r="G76" s="29">
        <f>IF(B76="","",IF(C76&gt;Einstellungen!$C$9,"künftig",IF(AND(D76&lt;&gt;"",D76&lt;Einstellungen!$C$9),"ausgeschieden","aktiv")))</f>
        <v/>
      </c>
      <c r="H76" s="30">
        <f>IF(OR(B76="",E76=""),"",MAX(0,NETWORKDAYS(MAX(C76,DATE(Einstellungen!$C$3,1,1)),MIN(IF(D76="",DATE(Einstellungen!$C$3,12,31),D76),Einstellungen!$C$9),Einstellungen!$F$13:$F$32))*F76)</f>
        <v/>
      </c>
    </row>
    <row r="77">
      <c r="A77" s="25" t="n"/>
      <c r="B77" s="22" t="n"/>
      <c r="C77" s="26" t="n"/>
      <c r="D77" s="26" t="n"/>
      <c r="E77" s="27" t="n"/>
      <c r="F77" s="28">
        <f>IF(E77="","",E77/5)</f>
        <v/>
      </c>
      <c r="G77" s="29">
        <f>IF(B77="","",IF(C77&gt;Einstellungen!$C$9,"künftig",IF(AND(D77&lt;&gt;"",D77&lt;Einstellungen!$C$9),"ausgeschieden","aktiv")))</f>
        <v/>
      </c>
      <c r="H77" s="30">
        <f>IF(OR(B77="",E77=""),"",MAX(0,NETWORKDAYS(MAX(C77,DATE(Einstellungen!$C$3,1,1)),MIN(IF(D77="",DATE(Einstellungen!$C$3,12,31),D77),Einstellungen!$C$9),Einstellungen!$F$13:$F$32))*F77)</f>
        <v/>
      </c>
    </row>
    <row r="78">
      <c r="A78" s="25" t="n"/>
      <c r="B78" s="22" t="n"/>
      <c r="C78" s="26" t="n"/>
      <c r="D78" s="26" t="n"/>
      <c r="E78" s="27" t="n"/>
      <c r="F78" s="28">
        <f>IF(E78="","",E78/5)</f>
        <v/>
      </c>
      <c r="G78" s="29">
        <f>IF(B78="","",IF(C78&gt;Einstellungen!$C$9,"künftig",IF(AND(D78&lt;&gt;"",D78&lt;Einstellungen!$C$9),"ausgeschieden","aktiv")))</f>
        <v/>
      </c>
      <c r="H78" s="30">
        <f>IF(OR(B78="",E78=""),"",MAX(0,NETWORKDAYS(MAX(C78,DATE(Einstellungen!$C$3,1,1)),MIN(IF(D78="",DATE(Einstellungen!$C$3,12,31),D78),Einstellungen!$C$9),Einstellungen!$F$13:$F$32))*F78)</f>
        <v/>
      </c>
    </row>
    <row r="79">
      <c r="A79" s="25" t="n"/>
      <c r="B79" s="22" t="n"/>
      <c r="C79" s="26" t="n"/>
      <c r="D79" s="26" t="n"/>
      <c r="E79" s="27" t="n"/>
      <c r="F79" s="28">
        <f>IF(E79="","",E79/5)</f>
        <v/>
      </c>
      <c r="G79" s="29">
        <f>IF(B79="","",IF(C79&gt;Einstellungen!$C$9,"künftig",IF(AND(D79&lt;&gt;"",D79&lt;Einstellungen!$C$9),"ausgeschieden","aktiv")))</f>
        <v/>
      </c>
      <c r="H79" s="30">
        <f>IF(OR(B79="",E79=""),"",MAX(0,NETWORKDAYS(MAX(C79,DATE(Einstellungen!$C$3,1,1)),MIN(IF(D79="",DATE(Einstellungen!$C$3,12,31),D79),Einstellungen!$C$9),Einstellungen!$F$13:$F$32))*F79)</f>
        <v/>
      </c>
    </row>
    <row r="80">
      <c r="A80" s="25" t="n"/>
      <c r="B80" s="22" t="n"/>
      <c r="C80" s="26" t="n"/>
      <c r="D80" s="26" t="n"/>
      <c r="E80" s="27" t="n"/>
      <c r="F80" s="28">
        <f>IF(E80="","",E80/5)</f>
        <v/>
      </c>
      <c r="G80" s="29">
        <f>IF(B80="","",IF(C80&gt;Einstellungen!$C$9,"künftig",IF(AND(D80&lt;&gt;"",D80&lt;Einstellungen!$C$9),"ausgeschieden","aktiv")))</f>
        <v/>
      </c>
      <c r="H80" s="30">
        <f>IF(OR(B80="",E80=""),"",MAX(0,NETWORKDAYS(MAX(C80,DATE(Einstellungen!$C$3,1,1)),MIN(IF(D80="",DATE(Einstellungen!$C$3,12,31),D80),Einstellungen!$C$9),Einstellungen!$F$13:$F$32))*F80)</f>
        <v/>
      </c>
    </row>
    <row r="81">
      <c r="A81" s="25" t="n"/>
      <c r="B81" s="22" t="n"/>
      <c r="C81" s="26" t="n"/>
      <c r="D81" s="26" t="n"/>
      <c r="E81" s="27" t="n"/>
      <c r="F81" s="28">
        <f>IF(E81="","",E81/5)</f>
        <v/>
      </c>
      <c r="G81" s="29">
        <f>IF(B81="","",IF(C81&gt;Einstellungen!$C$9,"künftig",IF(AND(D81&lt;&gt;"",D81&lt;Einstellungen!$C$9),"ausgeschieden","aktiv")))</f>
        <v/>
      </c>
      <c r="H81" s="30">
        <f>IF(OR(B81="",E81=""),"",MAX(0,NETWORKDAYS(MAX(C81,DATE(Einstellungen!$C$3,1,1)),MIN(IF(D81="",DATE(Einstellungen!$C$3,12,31),D81),Einstellungen!$C$9),Einstellungen!$F$13:$F$32))*F81)</f>
        <v/>
      </c>
    </row>
    <row r="82">
      <c r="A82" s="25" t="n"/>
      <c r="B82" s="22" t="n"/>
      <c r="C82" s="26" t="n"/>
      <c r="D82" s="26" t="n"/>
      <c r="E82" s="27" t="n"/>
      <c r="F82" s="28">
        <f>IF(E82="","",E82/5)</f>
        <v/>
      </c>
      <c r="G82" s="29">
        <f>IF(B82="","",IF(C82&gt;Einstellungen!$C$9,"künftig",IF(AND(D82&lt;&gt;"",D82&lt;Einstellungen!$C$9),"ausgeschieden","aktiv")))</f>
        <v/>
      </c>
      <c r="H82" s="30">
        <f>IF(OR(B82="",E82=""),"",MAX(0,NETWORKDAYS(MAX(C82,DATE(Einstellungen!$C$3,1,1)),MIN(IF(D82="",DATE(Einstellungen!$C$3,12,31),D82),Einstellungen!$C$9),Einstellungen!$F$13:$F$32))*F82)</f>
        <v/>
      </c>
    </row>
    <row r="83">
      <c r="A83" s="25" t="n"/>
      <c r="B83" s="22" t="n"/>
      <c r="C83" s="26" t="n"/>
      <c r="D83" s="26" t="n"/>
      <c r="E83" s="27" t="n"/>
      <c r="F83" s="28">
        <f>IF(E83="","",E83/5)</f>
        <v/>
      </c>
      <c r="G83" s="29">
        <f>IF(B83="","",IF(C83&gt;Einstellungen!$C$9,"künftig",IF(AND(D83&lt;&gt;"",D83&lt;Einstellungen!$C$9),"ausgeschieden","aktiv")))</f>
        <v/>
      </c>
      <c r="H83" s="30">
        <f>IF(OR(B83="",E83=""),"",MAX(0,NETWORKDAYS(MAX(C83,DATE(Einstellungen!$C$3,1,1)),MIN(IF(D83="",DATE(Einstellungen!$C$3,12,31),D83),Einstellungen!$C$9),Einstellungen!$F$13:$F$32))*F83)</f>
        <v/>
      </c>
    </row>
    <row r="84">
      <c r="A84" s="25" t="n"/>
      <c r="B84" s="22" t="n"/>
      <c r="C84" s="26" t="n"/>
      <c r="D84" s="26" t="n"/>
      <c r="E84" s="27" t="n"/>
      <c r="F84" s="28">
        <f>IF(E84="","",E84/5)</f>
        <v/>
      </c>
      <c r="G84" s="29">
        <f>IF(B84="","",IF(C84&gt;Einstellungen!$C$9,"künftig",IF(AND(D84&lt;&gt;"",D84&lt;Einstellungen!$C$9),"ausgeschieden","aktiv")))</f>
        <v/>
      </c>
      <c r="H84" s="30">
        <f>IF(OR(B84="",E84=""),"",MAX(0,NETWORKDAYS(MAX(C84,DATE(Einstellungen!$C$3,1,1)),MIN(IF(D84="",DATE(Einstellungen!$C$3,12,31),D84),Einstellungen!$C$9),Einstellungen!$F$13:$F$32))*F84)</f>
        <v/>
      </c>
    </row>
    <row r="85">
      <c r="A85" s="25" t="n"/>
      <c r="B85" s="22" t="n"/>
      <c r="C85" s="26" t="n"/>
      <c r="D85" s="26" t="n"/>
      <c r="E85" s="27" t="n"/>
      <c r="F85" s="28">
        <f>IF(E85="","",E85/5)</f>
        <v/>
      </c>
      <c r="G85" s="29">
        <f>IF(B85="","",IF(C85&gt;Einstellungen!$C$9,"künftig",IF(AND(D85&lt;&gt;"",D85&lt;Einstellungen!$C$9),"ausgeschieden","aktiv")))</f>
        <v/>
      </c>
      <c r="H85" s="30">
        <f>IF(OR(B85="",E85=""),"",MAX(0,NETWORKDAYS(MAX(C85,DATE(Einstellungen!$C$3,1,1)),MIN(IF(D85="",DATE(Einstellungen!$C$3,12,31),D85),Einstellungen!$C$9),Einstellungen!$F$13:$F$32))*F85)</f>
        <v/>
      </c>
    </row>
    <row r="86">
      <c r="A86" s="25" t="n"/>
      <c r="B86" s="22" t="n"/>
      <c r="C86" s="26" t="n"/>
      <c r="D86" s="26" t="n"/>
      <c r="E86" s="27" t="n"/>
      <c r="F86" s="28">
        <f>IF(E86="","",E86/5)</f>
        <v/>
      </c>
      <c r="G86" s="29">
        <f>IF(B86="","",IF(C86&gt;Einstellungen!$C$9,"künftig",IF(AND(D86&lt;&gt;"",D86&lt;Einstellungen!$C$9),"ausgeschieden","aktiv")))</f>
        <v/>
      </c>
      <c r="H86" s="30">
        <f>IF(OR(B86="",E86=""),"",MAX(0,NETWORKDAYS(MAX(C86,DATE(Einstellungen!$C$3,1,1)),MIN(IF(D86="",DATE(Einstellungen!$C$3,12,31),D86),Einstellungen!$C$9),Einstellungen!$F$13:$F$32))*F86)</f>
        <v/>
      </c>
    </row>
    <row r="87">
      <c r="A87" s="25" t="n"/>
      <c r="B87" s="22" t="n"/>
      <c r="C87" s="26" t="n"/>
      <c r="D87" s="26" t="n"/>
      <c r="E87" s="27" t="n"/>
      <c r="F87" s="28">
        <f>IF(E87="","",E87/5)</f>
        <v/>
      </c>
      <c r="G87" s="29">
        <f>IF(B87="","",IF(C87&gt;Einstellungen!$C$9,"künftig",IF(AND(D87&lt;&gt;"",D87&lt;Einstellungen!$C$9),"ausgeschieden","aktiv")))</f>
        <v/>
      </c>
      <c r="H87" s="30">
        <f>IF(OR(B87="",E87=""),"",MAX(0,NETWORKDAYS(MAX(C87,DATE(Einstellungen!$C$3,1,1)),MIN(IF(D87="",DATE(Einstellungen!$C$3,12,31),D87),Einstellungen!$C$9),Einstellungen!$F$13:$F$32))*F87)</f>
        <v/>
      </c>
    </row>
    <row r="88">
      <c r="A88" s="25" t="n"/>
      <c r="B88" s="22" t="n"/>
      <c r="C88" s="26" t="n"/>
      <c r="D88" s="26" t="n"/>
      <c r="E88" s="27" t="n"/>
      <c r="F88" s="28">
        <f>IF(E88="","",E88/5)</f>
        <v/>
      </c>
      <c r="G88" s="29">
        <f>IF(B88="","",IF(C88&gt;Einstellungen!$C$9,"künftig",IF(AND(D88&lt;&gt;"",D88&lt;Einstellungen!$C$9),"ausgeschieden","aktiv")))</f>
        <v/>
      </c>
      <c r="H88" s="30">
        <f>IF(OR(B88="",E88=""),"",MAX(0,NETWORKDAYS(MAX(C88,DATE(Einstellungen!$C$3,1,1)),MIN(IF(D88="",DATE(Einstellungen!$C$3,12,31),D88),Einstellungen!$C$9),Einstellungen!$F$13:$F$32))*F88)</f>
        <v/>
      </c>
    </row>
    <row r="89">
      <c r="A89" s="25" t="n"/>
      <c r="B89" s="22" t="n"/>
      <c r="C89" s="26" t="n"/>
      <c r="D89" s="26" t="n"/>
      <c r="E89" s="27" t="n"/>
      <c r="F89" s="28">
        <f>IF(E89="","",E89/5)</f>
        <v/>
      </c>
      <c r="G89" s="29">
        <f>IF(B89="","",IF(C89&gt;Einstellungen!$C$9,"künftig",IF(AND(D89&lt;&gt;"",D89&lt;Einstellungen!$C$9),"ausgeschieden","aktiv")))</f>
        <v/>
      </c>
      <c r="H89" s="30">
        <f>IF(OR(B89="",E89=""),"",MAX(0,NETWORKDAYS(MAX(C89,DATE(Einstellungen!$C$3,1,1)),MIN(IF(D89="",DATE(Einstellungen!$C$3,12,31),D89),Einstellungen!$C$9),Einstellungen!$F$13:$F$32))*F89)</f>
        <v/>
      </c>
    </row>
    <row r="90">
      <c r="A90" s="25" t="n"/>
      <c r="B90" s="22" t="n"/>
      <c r="C90" s="26" t="n"/>
      <c r="D90" s="26" t="n"/>
      <c r="E90" s="27" t="n"/>
      <c r="F90" s="28">
        <f>IF(E90="","",E90/5)</f>
        <v/>
      </c>
      <c r="G90" s="29">
        <f>IF(B90="","",IF(C90&gt;Einstellungen!$C$9,"künftig",IF(AND(D90&lt;&gt;"",D90&lt;Einstellungen!$C$9),"ausgeschieden","aktiv")))</f>
        <v/>
      </c>
      <c r="H90" s="30">
        <f>IF(OR(B90="",E90=""),"",MAX(0,NETWORKDAYS(MAX(C90,DATE(Einstellungen!$C$3,1,1)),MIN(IF(D90="",DATE(Einstellungen!$C$3,12,31),D90),Einstellungen!$C$9),Einstellungen!$F$13:$F$32))*F90)</f>
        <v/>
      </c>
    </row>
    <row r="91">
      <c r="A91" s="25" t="n"/>
      <c r="B91" s="22" t="n"/>
      <c r="C91" s="26" t="n"/>
      <c r="D91" s="26" t="n"/>
      <c r="E91" s="27" t="n"/>
      <c r="F91" s="28">
        <f>IF(E91="","",E91/5)</f>
        <v/>
      </c>
      <c r="G91" s="29">
        <f>IF(B91="","",IF(C91&gt;Einstellungen!$C$9,"künftig",IF(AND(D91&lt;&gt;"",D91&lt;Einstellungen!$C$9),"ausgeschieden","aktiv")))</f>
        <v/>
      </c>
      <c r="H91" s="30">
        <f>IF(OR(B91="",E91=""),"",MAX(0,NETWORKDAYS(MAX(C91,DATE(Einstellungen!$C$3,1,1)),MIN(IF(D91="",DATE(Einstellungen!$C$3,12,31),D91),Einstellungen!$C$9),Einstellungen!$F$13:$F$32))*F91)</f>
        <v/>
      </c>
    </row>
    <row r="92">
      <c r="A92" s="25" t="n"/>
      <c r="B92" s="22" t="n"/>
      <c r="C92" s="26" t="n"/>
      <c r="D92" s="26" t="n"/>
      <c r="E92" s="27" t="n"/>
      <c r="F92" s="28">
        <f>IF(E92="","",E92/5)</f>
        <v/>
      </c>
      <c r="G92" s="29">
        <f>IF(B92="","",IF(C92&gt;Einstellungen!$C$9,"künftig",IF(AND(D92&lt;&gt;"",D92&lt;Einstellungen!$C$9),"ausgeschieden","aktiv")))</f>
        <v/>
      </c>
      <c r="H92" s="30">
        <f>IF(OR(B92="",E92=""),"",MAX(0,NETWORKDAYS(MAX(C92,DATE(Einstellungen!$C$3,1,1)),MIN(IF(D92="",DATE(Einstellungen!$C$3,12,31),D92),Einstellungen!$C$9),Einstellungen!$F$13:$F$32))*F92)</f>
        <v/>
      </c>
    </row>
    <row r="93">
      <c r="A93" s="25" t="n"/>
      <c r="B93" s="22" t="n"/>
      <c r="C93" s="26" t="n"/>
      <c r="D93" s="26" t="n"/>
      <c r="E93" s="27" t="n"/>
      <c r="F93" s="28">
        <f>IF(E93="","",E93/5)</f>
        <v/>
      </c>
      <c r="G93" s="29">
        <f>IF(B93="","",IF(C93&gt;Einstellungen!$C$9,"künftig",IF(AND(D93&lt;&gt;"",D93&lt;Einstellungen!$C$9),"ausgeschieden","aktiv")))</f>
        <v/>
      </c>
      <c r="H93" s="30">
        <f>IF(OR(B93="",E93=""),"",MAX(0,NETWORKDAYS(MAX(C93,DATE(Einstellungen!$C$3,1,1)),MIN(IF(D93="",DATE(Einstellungen!$C$3,12,31),D93),Einstellungen!$C$9),Einstellungen!$F$13:$F$32))*F93)</f>
        <v/>
      </c>
    </row>
    <row r="94">
      <c r="A94" s="25" t="n"/>
      <c r="B94" s="22" t="n"/>
      <c r="C94" s="26" t="n"/>
      <c r="D94" s="26" t="n"/>
      <c r="E94" s="27" t="n"/>
      <c r="F94" s="28">
        <f>IF(E94="","",E94/5)</f>
        <v/>
      </c>
      <c r="G94" s="29">
        <f>IF(B94="","",IF(C94&gt;Einstellungen!$C$9,"künftig",IF(AND(D94&lt;&gt;"",D94&lt;Einstellungen!$C$9),"ausgeschieden","aktiv")))</f>
        <v/>
      </c>
      <c r="H94" s="30">
        <f>IF(OR(B94="",E94=""),"",MAX(0,NETWORKDAYS(MAX(C94,DATE(Einstellungen!$C$3,1,1)),MIN(IF(D94="",DATE(Einstellungen!$C$3,12,31),D94),Einstellungen!$C$9),Einstellungen!$F$13:$F$32))*F94)</f>
        <v/>
      </c>
    </row>
    <row r="95">
      <c r="A95" s="25" t="n"/>
      <c r="B95" s="22" t="n"/>
      <c r="C95" s="26" t="n"/>
      <c r="D95" s="26" t="n"/>
      <c r="E95" s="27" t="n"/>
      <c r="F95" s="28">
        <f>IF(E95="","",E95/5)</f>
        <v/>
      </c>
      <c r="G95" s="29">
        <f>IF(B95="","",IF(C95&gt;Einstellungen!$C$9,"künftig",IF(AND(D95&lt;&gt;"",D95&lt;Einstellungen!$C$9),"ausgeschieden","aktiv")))</f>
        <v/>
      </c>
      <c r="H95" s="30">
        <f>IF(OR(B95="",E95=""),"",MAX(0,NETWORKDAYS(MAX(C95,DATE(Einstellungen!$C$3,1,1)),MIN(IF(D95="",DATE(Einstellungen!$C$3,12,31),D95),Einstellungen!$C$9),Einstellungen!$F$13:$F$32))*F95)</f>
        <v/>
      </c>
    </row>
    <row r="96">
      <c r="A96" s="25" t="n"/>
      <c r="B96" s="22" t="n"/>
      <c r="C96" s="26" t="n"/>
      <c r="D96" s="26" t="n"/>
      <c r="E96" s="27" t="n"/>
      <c r="F96" s="28">
        <f>IF(E96="","",E96/5)</f>
        <v/>
      </c>
      <c r="G96" s="29">
        <f>IF(B96="","",IF(C96&gt;Einstellungen!$C$9,"künftig",IF(AND(D96&lt;&gt;"",D96&lt;Einstellungen!$C$9),"ausgeschieden","aktiv")))</f>
        <v/>
      </c>
      <c r="H96" s="30">
        <f>IF(OR(B96="",E96=""),"",MAX(0,NETWORKDAYS(MAX(C96,DATE(Einstellungen!$C$3,1,1)),MIN(IF(D96="",DATE(Einstellungen!$C$3,12,31),D96),Einstellungen!$C$9),Einstellungen!$F$13:$F$32))*F96)</f>
        <v/>
      </c>
    </row>
    <row r="97">
      <c r="A97" s="25" t="n"/>
      <c r="B97" s="22" t="n"/>
      <c r="C97" s="26" t="n"/>
      <c r="D97" s="26" t="n"/>
      <c r="E97" s="27" t="n"/>
      <c r="F97" s="28">
        <f>IF(E97="","",E97/5)</f>
        <v/>
      </c>
      <c r="G97" s="29">
        <f>IF(B97="","",IF(C97&gt;Einstellungen!$C$9,"künftig",IF(AND(D97&lt;&gt;"",D97&lt;Einstellungen!$C$9),"ausgeschieden","aktiv")))</f>
        <v/>
      </c>
      <c r="H97" s="30">
        <f>IF(OR(B97="",E97=""),"",MAX(0,NETWORKDAYS(MAX(C97,DATE(Einstellungen!$C$3,1,1)),MIN(IF(D97="",DATE(Einstellungen!$C$3,12,31),D97),Einstellungen!$C$9),Einstellungen!$F$13:$F$32))*F97)</f>
        <v/>
      </c>
    </row>
    <row r="98">
      <c r="A98" s="25" t="n"/>
      <c r="B98" s="22" t="n"/>
      <c r="C98" s="26" t="n"/>
      <c r="D98" s="26" t="n"/>
      <c r="E98" s="27" t="n"/>
      <c r="F98" s="28">
        <f>IF(E98="","",E98/5)</f>
        <v/>
      </c>
      <c r="G98" s="29">
        <f>IF(B98="","",IF(C98&gt;Einstellungen!$C$9,"künftig",IF(AND(D98&lt;&gt;"",D98&lt;Einstellungen!$C$9),"ausgeschieden","aktiv")))</f>
        <v/>
      </c>
      <c r="H98" s="30">
        <f>IF(OR(B98="",E98=""),"",MAX(0,NETWORKDAYS(MAX(C98,DATE(Einstellungen!$C$3,1,1)),MIN(IF(D98="",DATE(Einstellungen!$C$3,12,31),D98),Einstellungen!$C$9),Einstellungen!$F$13:$F$32))*F98)</f>
        <v/>
      </c>
    </row>
    <row r="99">
      <c r="A99" s="25" t="n"/>
      <c r="B99" s="22" t="n"/>
      <c r="C99" s="26" t="n"/>
      <c r="D99" s="26" t="n"/>
      <c r="E99" s="27" t="n"/>
      <c r="F99" s="28">
        <f>IF(E99="","",E99/5)</f>
        <v/>
      </c>
      <c r="G99" s="29">
        <f>IF(B99="","",IF(C99&gt;Einstellungen!$C$9,"künftig",IF(AND(D99&lt;&gt;"",D99&lt;Einstellungen!$C$9),"ausgeschieden","aktiv")))</f>
        <v/>
      </c>
      <c r="H99" s="30">
        <f>IF(OR(B99="",E99=""),"",MAX(0,NETWORKDAYS(MAX(C99,DATE(Einstellungen!$C$3,1,1)),MIN(IF(D99="",DATE(Einstellungen!$C$3,12,31),D99),Einstellungen!$C$9),Einstellungen!$F$13:$F$32))*F99)</f>
        <v/>
      </c>
    </row>
    <row r="100">
      <c r="A100" s="25" t="n"/>
      <c r="B100" s="22" t="n"/>
      <c r="C100" s="26" t="n"/>
      <c r="D100" s="26" t="n"/>
      <c r="E100" s="27" t="n"/>
      <c r="F100" s="28">
        <f>IF(E100="","",E100/5)</f>
        <v/>
      </c>
      <c r="G100" s="29">
        <f>IF(B100="","",IF(C100&gt;Einstellungen!$C$9,"künftig",IF(AND(D100&lt;&gt;"",D100&lt;Einstellungen!$C$9),"ausgeschieden","aktiv")))</f>
        <v/>
      </c>
      <c r="H100" s="30">
        <f>IF(OR(B100="",E100=""),"",MAX(0,NETWORKDAYS(MAX(C100,DATE(Einstellungen!$C$3,1,1)),MIN(IF(D100="",DATE(Einstellungen!$C$3,12,31),D100),Einstellungen!$C$9),Einstellungen!$F$13:$F$32))*F100)</f>
        <v/>
      </c>
    </row>
    <row r="101">
      <c r="A101" s="25" t="n"/>
      <c r="B101" s="22" t="n"/>
      <c r="C101" s="26" t="n"/>
      <c r="D101" s="26" t="n"/>
      <c r="E101" s="27" t="n"/>
      <c r="F101" s="28">
        <f>IF(E101="","",E101/5)</f>
        <v/>
      </c>
      <c r="G101" s="29">
        <f>IF(B101="","",IF(C101&gt;Einstellungen!$C$9,"künftig",IF(AND(D101&lt;&gt;"",D101&lt;Einstellungen!$C$9),"ausgeschieden","aktiv")))</f>
        <v/>
      </c>
      <c r="H101" s="30">
        <f>IF(OR(B101="",E101=""),"",MAX(0,NETWORKDAYS(MAX(C101,DATE(Einstellungen!$C$3,1,1)),MIN(IF(D101="",DATE(Einstellungen!$C$3,12,31),D101),Einstellungen!$C$9),Einstellungen!$F$13:$F$32))*F101)</f>
        <v/>
      </c>
    </row>
    <row r="102">
      <c r="A102" s="25" t="n"/>
      <c r="B102" s="22" t="n"/>
      <c r="C102" s="26" t="n"/>
      <c r="D102" s="26" t="n"/>
      <c r="E102" s="27" t="n"/>
      <c r="F102" s="28">
        <f>IF(E102="","",E102/5)</f>
        <v/>
      </c>
      <c r="G102" s="29">
        <f>IF(B102="","",IF(C102&gt;Einstellungen!$C$9,"künftig",IF(AND(D102&lt;&gt;"",D102&lt;Einstellungen!$C$9),"ausgeschieden","aktiv")))</f>
        <v/>
      </c>
      <c r="H102" s="30">
        <f>IF(OR(B102="",E102=""),"",MAX(0,NETWORKDAYS(MAX(C102,DATE(Einstellungen!$C$3,1,1)),MIN(IF(D102="",DATE(Einstellungen!$C$3,12,31),D102),Einstellungen!$C$9),Einstellungen!$F$13:$F$32))*F102)</f>
        <v/>
      </c>
    </row>
    <row r="103">
      <c r="A103" s="25" t="n"/>
      <c r="B103" s="22" t="n"/>
      <c r="C103" s="26" t="n"/>
      <c r="D103" s="26" t="n"/>
      <c r="E103" s="27" t="n"/>
      <c r="F103" s="28">
        <f>IF(E103="","",E103/5)</f>
        <v/>
      </c>
      <c r="G103" s="29">
        <f>IF(B103="","",IF(C103&gt;Einstellungen!$C$9,"künftig",IF(AND(D103&lt;&gt;"",D103&lt;Einstellungen!$C$9),"ausgeschieden","aktiv")))</f>
        <v/>
      </c>
      <c r="H103" s="30">
        <f>IF(OR(B103="",E103=""),"",MAX(0,NETWORKDAYS(MAX(C103,DATE(Einstellungen!$C$3,1,1)),MIN(IF(D103="",DATE(Einstellungen!$C$3,12,31),D103),Einstellungen!$C$9),Einstellungen!$F$13:$F$32))*F103)</f>
        <v/>
      </c>
    </row>
    <row r="104">
      <c r="A104" s="25" t="n"/>
      <c r="B104" s="22" t="n"/>
      <c r="C104" s="26" t="n"/>
      <c r="D104" s="26" t="n"/>
      <c r="E104" s="27" t="n"/>
      <c r="F104" s="28">
        <f>IF(E104="","",E104/5)</f>
        <v/>
      </c>
      <c r="G104" s="29">
        <f>IF(B104="","",IF(C104&gt;Einstellungen!$C$9,"künftig",IF(AND(D104&lt;&gt;"",D104&lt;Einstellungen!$C$9),"ausgeschieden","aktiv")))</f>
        <v/>
      </c>
      <c r="H104" s="30">
        <f>IF(OR(B104="",E104=""),"",MAX(0,NETWORKDAYS(MAX(C104,DATE(Einstellungen!$C$3,1,1)),MIN(IF(D104="",DATE(Einstellungen!$C$3,12,31),D104),Einstellungen!$C$9),Einstellungen!$F$13:$F$32))*F104)</f>
        <v/>
      </c>
    </row>
    <row r="105">
      <c r="A105" s="25" t="n"/>
      <c r="B105" s="22" t="n"/>
      <c r="C105" s="26" t="n"/>
      <c r="D105" s="26" t="n"/>
      <c r="E105" s="27" t="n"/>
      <c r="F105" s="28">
        <f>IF(E105="","",E105/5)</f>
        <v/>
      </c>
      <c r="G105" s="29">
        <f>IF(B105="","",IF(C105&gt;Einstellungen!$C$9,"künftig",IF(AND(D105&lt;&gt;"",D105&lt;Einstellungen!$C$9),"ausgeschieden","aktiv")))</f>
        <v/>
      </c>
      <c r="H105" s="30">
        <f>IF(OR(B105="",E105=""),"",MAX(0,NETWORKDAYS(MAX(C105,DATE(Einstellungen!$C$3,1,1)),MIN(IF(D105="",DATE(Einstellungen!$C$3,12,31),D105),Einstellungen!$C$9),Einstellungen!$F$13:$F$32))*F105)</f>
        <v/>
      </c>
    </row>
    <row r="106">
      <c r="A106" s="25" t="n"/>
      <c r="B106" s="22" t="n"/>
      <c r="C106" s="26" t="n"/>
      <c r="D106" s="26" t="n"/>
      <c r="E106" s="27" t="n"/>
      <c r="F106" s="28">
        <f>IF(E106="","",E106/5)</f>
        <v/>
      </c>
      <c r="G106" s="29">
        <f>IF(B106="","",IF(C106&gt;Einstellungen!$C$9,"künftig",IF(AND(D106&lt;&gt;"",D106&lt;Einstellungen!$C$9),"ausgeschieden","aktiv")))</f>
        <v/>
      </c>
      <c r="H106" s="30">
        <f>IF(OR(B106="",E106=""),"",MAX(0,NETWORKDAYS(MAX(C106,DATE(Einstellungen!$C$3,1,1)),MIN(IF(D106="",DATE(Einstellungen!$C$3,12,31),D106),Einstellungen!$C$9),Einstellungen!$F$13:$F$32))*F106)</f>
        <v/>
      </c>
    </row>
    <row r="107">
      <c r="A107" s="25" t="n"/>
      <c r="B107" s="22" t="n"/>
      <c r="C107" s="26" t="n"/>
      <c r="D107" s="26" t="n"/>
      <c r="E107" s="27" t="n"/>
      <c r="F107" s="28">
        <f>IF(E107="","",E107/5)</f>
        <v/>
      </c>
      <c r="G107" s="29">
        <f>IF(B107="","",IF(C107&gt;Einstellungen!$C$9,"künftig",IF(AND(D107&lt;&gt;"",D107&lt;Einstellungen!$C$9),"ausgeschieden","aktiv")))</f>
        <v/>
      </c>
      <c r="H107" s="30">
        <f>IF(OR(B107="",E107=""),"",MAX(0,NETWORKDAYS(MAX(C107,DATE(Einstellungen!$C$3,1,1)),MIN(IF(D107="",DATE(Einstellungen!$C$3,12,31),D107),Einstellungen!$C$9),Einstellungen!$F$13:$F$32))*F107)</f>
        <v/>
      </c>
    </row>
    <row r="108">
      <c r="A108" s="25" t="n"/>
      <c r="B108" s="22" t="n"/>
      <c r="C108" s="26" t="n"/>
      <c r="D108" s="26" t="n"/>
      <c r="E108" s="27" t="n"/>
      <c r="F108" s="28">
        <f>IF(E108="","",E108/5)</f>
        <v/>
      </c>
      <c r="G108" s="29">
        <f>IF(B108="","",IF(C108&gt;Einstellungen!$C$9,"künftig",IF(AND(D108&lt;&gt;"",D108&lt;Einstellungen!$C$9),"ausgeschieden","aktiv")))</f>
        <v/>
      </c>
      <c r="H108" s="30">
        <f>IF(OR(B108="",E108=""),"",MAX(0,NETWORKDAYS(MAX(C108,DATE(Einstellungen!$C$3,1,1)),MIN(IF(D108="",DATE(Einstellungen!$C$3,12,31),D108),Einstellungen!$C$9),Einstellungen!$F$13:$F$32))*F108)</f>
        <v/>
      </c>
    </row>
    <row r="109">
      <c r="A109" s="25" t="n"/>
      <c r="B109" s="22" t="n"/>
      <c r="C109" s="26" t="n"/>
      <c r="D109" s="26" t="n"/>
      <c r="E109" s="27" t="n"/>
      <c r="F109" s="28">
        <f>IF(E109="","",E109/5)</f>
        <v/>
      </c>
      <c r="G109" s="29">
        <f>IF(B109="","",IF(C109&gt;Einstellungen!$C$9,"künftig",IF(AND(D109&lt;&gt;"",D109&lt;Einstellungen!$C$9),"ausgeschieden","aktiv")))</f>
        <v/>
      </c>
      <c r="H109" s="30">
        <f>IF(OR(B109="",E109=""),"",MAX(0,NETWORKDAYS(MAX(C109,DATE(Einstellungen!$C$3,1,1)),MIN(IF(D109="",DATE(Einstellungen!$C$3,12,31),D109),Einstellungen!$C$9),Einstellungen!$F$13:$F$32))*F109)</f>
        <v/>
      </c>
    </row>
    <row r="110">
      <c r="A110" s="25" t="n"/>
      <c r="B110" s="22" t="n"/>
      <c r="C110" s="26" t="n"/>
      <c r="D110" s="26" t="n"/>
      <c r="E110" s="27" t="n"/>
      <c r="F110" s="28">
        <f>IF(E110="","",E110/5)</f>
        <v/>
      </c>
      <c r="G110" s="29">
        <f>IF(B110="","",IF(C110&gt;Einstellungen!$C$9,"künftig",IF(AND(D110&lt;&gt;"",D110&lt;Einstellungen!$C$9),"ausgeschieden","aktiv")))</f>
        <v/>
      </c>
      <c r="H110" s="30">
        <f>IF(OR(B110="",E110=""),"",MAX(0,NETWORKDAYS(MAX(C110,DATE(Einstellungen!$C$3,1,1)),MIN(IF(D110="",DATE(Einstellungen!$C$3,12,31),D110),Einstellungen!$C$9),Einstellungen!$F$13:$F$32))*F110)</f>
        <v/>
      </c>
    </row>
    <row r="111">
      <c r="A111" s="25" t="n"/>
      <c r="B111" s="22" t="n"/>
      <c r="C111" s="26" t="n"/>
      <c r="D111" s="26" t="n"/>
      <c r="E111" s="27" t="n"/>
      <c r="F111" s="28">
        <f>IF(E111="","",E111/5)</f>
        <v/>
      </c>
      <c r="G111" s="29">
        <f>IF(B111="","",IF(C111&gt;Einstellungen!$C$9,"künftig",IF(AND(D111&lt;&gt;"",D111&lt;Einstellungen!$C$9),"ausgeschieden","aktiv")))</f>
        <v/>
      </c>
      <c r="H111" s="30">
        <f>IF(OR(B111="",E111=""),"",MAX(0,NETWORKDAYS(MAX(C111,DATE(Einstellungen!$C$3,1,1)),MIN(IF(D111="",DATE(Einstellungen!$C$3,12,31),D111),Einstellungen!$C$9),Einstellungen!$F$13:$F$32))*F111)</f>
        <v/>
      </c>
    </row>
    <row r="112">
      <c r="A112" s="25" t="n"/>
      <c r="B112" s="22" t="n"/>
      <c r="C112" s="26" t="n"/>
      <c r="D112" s="26" t="n"/>
      <c r="E112" s="27" t="n"/>
      <c r="F112" s="28">
        <f>IF(E112="","",E112/5)</f>
        <v/>
      </c>
      <c r="G112" s="29">
        <f>IF(B112="","",IF(C112&gt;Einstellungen!$C$9,"künftig",IF(AND(D112&lt;&gt;"",D112&lt;Einstellungen!$C$9),"ausgeschieden","aktiv")))</f>
        <v/>
      </c>
      <c r="H112" s="30">
        <f>IF(OR(B112="",E112=""),"",MAX(0,NETWORKDAYS(MAX(C112,DATE(Einstellungen!$C$3,1,1)),MIN(IF(D112="",DATE(Einstellungen!$C$3,12,31),D112),Einstellungen!$C$9),Einstellungen!$F$13:$F$32))*F112)</f>
        <v/>
      </c>
    </row>
    <row r="113">
      <c r="A113" s="25" t="n"/>
      <c r="B113" s="22" t="n"/>
      <c r="C113" s="26" t="n"/>
      <c r="D113" s="26" t="n"/>
      <c r="E113" s="27" t="n"/>
      <c r="F113" s="28">
        <f>IF(E113="","",E113/5)</f>
        <v/>
      </c>
      <c r="G113" s="29">
        <f>IF(B113="","",IF(C113&gt;Einstellungen!$C$9,"künftig",IF(AND(D113&lt;&gt;"",D113&lt;Einstellungen!$C$9),"ausgeschieden","aktiv")))</f>
        <v/>
      </c>
      <c r="H113" s="30">
        <f>IF(OR(B113="",E113=""),"",MAX(0,NETWORKDAYS(MAX(C113,DATE(Einstellungen!$C$3,1,1)),MIN(IF(D113="",DATE(Einstellungen!$C$3,12,31),D113),Einstellungen!$C$9),Einstellungen!$F$13:$F$32))*F113)</f>
        <v/>
      </c>
    </row>
    <row r="114">
      <c r="A114" s="25" t="n"/>
      <c r="B114" s="22" t="n"/>
      <c r="C114" s="26" t="n"/>
      <c r="D114" s="26" t="n"/>
      <c r="E114" s="27" t="n"/>
      <c r="F114" s="28">
        <f>IF(E114="","",E114/5)</f>
        <v/>
      </c>
      <c r="G114" s="29">
        <f>IF(B114="","",IF(C114&gt;Einstellungen!$C$9,"künftig",IF(AND(D114&lt;&gt;"",D114&lt;Einstellungen!$C$9),"ausgeschieden","aktiv")))</f>
        <v/>
      </c>
      <c r="H114" s="30">
        <f>IF(OR(B114="",E114=""),"",MAX(0,NETWORKDAYS(MAX(C114,DATE(Einstellungen!$C$3,1,1)),MIN(IF(D114="",DATE(Einstellungen!$C$3,12,31),D114),Einstellungen!$C$9),Einstellungen!$F$13:$F$32))*F114)</f>
        <v/>
      </c>
    </row>
    <row r="115">
      <c r="A115" s="25" t="n"/>
      <c r="B115" s="22" t="n"/>
      <c r="C115" s="26" t="n"/>
      <c r="D115" s="26" t="n"/>
      <c r="E115" s="27" t="n"/>
      <c r="F115" s="28">
        <f>IF(E115="","",E115/5)</f>
        <v/>
      </c>
      <c r="G115" s="29">
        <f>IF(B115="","",IF(C115&gt;Einstellungen!$C$9,"künftig",IF(AND(D115&lt;&gt;"",D115&lt;Einstellungen!$C$9),"ausgeschieden","aktiv")))</f>
        <v/>
      </c>
      <c r="H115" s="30">
        <f>IF(OR(B115="",E115=""),"",MAX(0,NETWORKDAYS(MAX(C115,DATE(Einstellungen!$C$3,1,1)),MIN(IF(D115="",DATE(Einstellungen!$C$3,12,31),D115),Einstellungen!$C$9),Einstellungen!$F$13:$F$32))*F115)</f>
        <v/>
      </c>
    </row>
    <row r="116">
      <c r="A116" s="25" t="n"/>
      <c r="B116" s="22" t="n"/>
      <c r="C116" s="26" t="n"/>
      <c r="D116" s="26" t="n"/>
      <c r="E116" s="27" t="n"/>
      <c r="F116" s="28">
        <f>IF(E116="","",E116/5)</f>
        <v/>
      </c>
      <c r="G116" s="29">
        <f>IF(B116="","",IF(C116&gt;Einstellungen!$C$9,"künftig",IF(AND(D116&lt;&gt;"",D116&lt;Einstellungen!$C$9),"ausgeschieden","aktiv")))</f>
        <v/>
      </c>
      <c r="H116" s="30">
        <f>IF(OR(B116="",E116=""),"",MAX(0,NETWORKDAYS(MAX(C116,DATE(Einstellungen!$C$3,1,1)),MIN(IF(D116="",DATE(Einstellungen!$C$3,12,31),D116),Einstellungen!$C$9),Einstellungen!$F$13:$F$32))*F116)</f>
        <v/>
      </c>
    </row>
    <row r="117">
      <c r="A117" s="25" t="n"/>
      <c r="B117" s="22" t="n"/>
      <c r="C117" s="26" t="n"/>
      <c r="D117" s="26" t="n"/>
      <c r="E117" s="27" t="n"/>
      <c r="F117" s="28">
        <f>IF(E117="","",E117/5)</f>
        <v/>
      </c>
      <c r="G117" s="29">
        <f>IF(B117="","",IF(C117&gt;Einstellungen!$C$9,"künftig",IF(AND(D117&lt;&gt;"",D117&lt;Einstellungen!$C$9),"ausgeschieden","aktiv")))</f>
        <v/>
      </c>
      <c r="H117" s="30">
        <f>IF(OR(B117="",E117=""),"",MAX(0,NETWORKDAYS(MAX(C117,DATE(Einstellungen!$C$3,1,1)),MIN(IF(D117="",DATE(Einstellungen!$C$3,12,31),D117),Einstellungen!$C$9),Einstellungen!$F$13:$F$32))*F117)</f>
        <v/>
      </c>
    </row>
    <row r="118">
      <c r="A118" s="25" t="n"/>
      <c r="B118" s="22" t="n"/>
      <c r="C118" s="26" t="n"/>
      <c r="D118" s="26" t="n"/>
      <c r="E118" s="27" t="n"/>
      <c r="F118" s="28">
        <f>IF(E118="","",E118/5)</f>
        <v/>
      </c>
      <c r="G118" s="29">
        <f>IF(B118="","",IF(C118&gt;Einstellungen!$C$9,"künftig",IF(AND(D118&lt;&gt;"",D118&lt;Einstellungen!$C$9),"ausgeschieden","aktiv")))</f>
        <v/>
      </c>
      <c r="H118" s="30">
        <f>IF(OR(B118="",E118=""),"",MAX(0,NETWORKDAYS(MAX(C118,DATE(Einstellungen!$C$3,1,1)),MIN(IF(D118="",DATE(Einstellungen!$C$3,12,31),D118),Einstellungen!$C$9),Einstellungen!$F$13:$F$32))*F118)</f>
        <v/>
      </c>
    </row>
    <row r="119">
      <c r="A119" s="25" t="n"/>
      <c r="B119" s="22" t="n"/>
      <c r="C119" s="26" t="n"/>
      <c r="D119" s="26" t="n"/>
      <c r="E119" s="27" t="n"/>
      <c r="F119" s="28">
        <f>IF(E119="","",E119/5)</f>
        <v/>
      </c>
      <c r="G119" s="29">
        <f>IF(B119="","",IF(C119&gt;Einstellungen!$C$9,"künftig",IF(AND(D119&lt;&gt;"",D119&lt;Einstellungen!$C$9),"ausgeschieden","aktiv")))</f>
        <v/>
      </c>
      <c r="H119" s="30">
        <f>IF(OR(B119="",E119=""),"",MAX(0,NETWORKDAYS(MAX(C119,DATE(Einstellungen!$C$3,1,1)),MIN(IF(D119="",DATE(Einstellungen!$C$3,12,31),D119),Einstellungen!$C$9),Einstellungen!$F$13:$F$32))*F119)</f>
        <v/>
      </c>
    </row>
    <row r="120">
      <c r="A120" s="25" t="n"/>
      <c r="B120" s="22" t="n"/>
      <c r="C120" s="26" t="n"/>
      <c r="D120" s="26" t="n"/>
      <c r="E120" s="27" t="n"/>
      <c r="F120" s="28">
        <f>IF(E120="","",E120/5)</f>
        <v/>
      </c>
      <c r="G120" s="29">
        <f>IF(B120="","",IF(C120&gt;Einstellungen!$C$9,"künftig",IF(AND(D120&lt;&gt;"",D120&lt;Einstellungen!$C$9),"ausgeschieden","aktiv")))</f>
        <v/>
      </c>
      <c r="H120" s="30">
        <f>IF(OR(B120="",E120=""),"",MAX(0,NETWORKDAYS(MAX(C120,DATE(Einstellungen!$C$3,1,1)),MIN(IF(D120="",DATE(Einstellungen!$C$3,12,31),D120),Einstellungen!$C$9),Einstellungen!$F$13:$F$32))*F120)</f>
        <v/>
      </c>
    </row>
    <row r="121">
      <c r="A121" s="25" t="n"/>
      <c r="B121" s="22" t="n"/>
      <c r="C121" s="26" t="n"/>
      <c r="D121" s="26" t="n"/>
      <c r="E121" s="27" t="n"/>
      <c r="F121" s="28">
        <f>IF(E121="","",E121/5)</f>
        <v/>
      </c>
      <c r="G121" s="29">
        <f>IF(B121="","",IF(C121&gt;Einstellungen!$C$9,"künftig",IF(AND(D121&lt;&gt;"",D121&lt;Einstellungen!$C$9),"ausgeschieden","aktiv")))</f>
        <v/>
      </c>
      <c r="H121" s="30">
        <f>IF(OR(B121="",E121=""),"",MAX(0,NETWORKDAYS(MAX(C121,DATE(Einstellungen!$C$3,1,1)),MIN(IF(D121="",DATE(Einstellungen!$C$3,12,31),D121),Einstellungen!$C$9),Einstellungen!$F$13:$F$32))*F121)</f>
        <v/>
      </c>
    </row>
    <row r="122">
      <c r="A122" s="25" t="n"/>
      <c r="B122" s="22" t="n"/>
      <c r="C122" s="26" t="n"/>
      <c r="D122" s="26" t="n"/>
      <c r="E122" s="27" t="n"/>
      <c r="F122" s="28">
        <f>IF(E122="","",E122/5)</f>
        <v/>
      </c>
      <c r="G122" s="29">
        <f>IF(B122="","",IF(C122&gt;Einstellungen!$C$9,"künftig",IF(AND(D122&lt;&gt;"",D122&lt;Einstellungen!$C$9),"ausgeschieden","aktiv")))</f>
        <v/>
      </c>
      <c r="H122" s="30">
        <f>IF(OR(B122="",E122=""),"",MAX(0,NETWORKDAYS(MAX(C122,DATE(Einstellungen!$C$3,1,1)),MIN(IF(D122="",DATE(Einstellungen!$C$3,12,31),D122),Einstellungen!$C$9),Einstellungen!$F$13:$F$32))*F122)</f>
        <v/>
      </c>
    </row>
    <row r="123">
      <c r="A123" s="25" t="n"/>
      <c r="B123" s="22" t="n"/>
      <c r="C123" s="26" t="n"/>
      <c r="D123" s="26" t="n"/>
      <c r="E123" s="27" t="n"/>
      <c r="F123" s="28">
        <f>IF(E123="","",E123/5)</f>
        <v/>
      </c>
      <c r="G123" s="29">
        <f>IF(B123="","",IF(C123&gt;Einstellungen!$C$9,"künftig",IF(AND(D123&lt;&gt;"",D123&lt;Einstellungen!$C$9),"ausgeschieden","aktiv")))</f>
        <v/>
      </c>
      <c r="H123" s="30">
        <f>IF(OR(B123="",E123=""),"",MAX(0,NETWORKDAYS(MAX(C123,DATE(Einstellungen!$C$3,1,1)),MIN(IF(D123="",DATE(Einstellungen!$C$3,12,31),D123),Einstellungen!$C$9),Einstellungen!$F$13:$F$32))*F123)</f>
        <v/>
      </c>
    </row>
    <row r="124">
      <c r="A124" s="25" t="n"/>
      <c r="B124" s="22" t="n"/>
      <c r="C124" s="26" t="n"/>
      <c r="D124" s="26" t="n"/>
      <c r="E124" s="27" t="n"/>
      <c r="F124" s="28">
        <f>IF(E124="","",E124/5)</f>
        <v/>
      </c>
      <c r="G124" s="29">
        <f>IF(B124="","",IF(C124&gt;Einstellungen!$C$9,"künftig",IF(AND(D124&lt;&gt;"",D124&lt;Einstellungen!$C$9),"ausgeschieden","aktiv")))</f>
        <v/>
      </c>
      <c r="H124" s="30">
        <f>IF(OR(B124="",E124=""),"",MAX(0,NETWORKDAYS(MAX(C124,DATE(Einstellungen!$C$3,1,1)),MIN(IF(D124="",DATE(Einstellungen!$C$3,12,31),D124),Einstellungen!$C$9),Einstellungen!$F$13:$F$32))*F124)</f>
        <v/>
      </c>
    </row>
    <row r="125">
      <c r="A125" s="25" t="n"/>
      <c r="B125" s="22" t="n"/>
      <c r="C125" s="26" t="n"/>
      <c r="D125" s="26" t="n"/>
      <c r="E125" s="27" t="n"/>
      <c r="F125" s="28">
        <f>IF(E125="","",E125/5)</f>
        <v/>
      </c>
      <c r="G125" s="29">
        <f>IF(B125="","",IF(C125&gt;Einstellungen!$C$9,"künftig",IF(AND(D125&lt;&gt;"",D125&lt;Einstellungen!$C$9),"ausgeschieden","aktiv")))</f>
        <v/>
      </c>
      <c r="H125" s="30">
        <f>IF(OR(B125="",E125=""),"",MAX(0,NETWORKDAYS(MAX(C125,DATE(Einstellungen!$C$3,1,1)),MIN(IF(D125="",DATE(Einstellungen!$C$3,12,31),D125),Einstellungen!$C$9),Einstellungen!$F$13:$F$32))*F125)</f>
        <v/>
      </c>
    </row>
    <row r="126">
      <c r="A126" s="25" t="n"/>
      <c r="B126" s="22" t="n"/>
      <c r="C126" s="26" t="n"/>
      <c r="D126" s="26" t="n"/>
      <c r="E126" s="27" t="n"/>
      <c r="F126" s="28">
        <f>IF(E126="","",E126/5)</f>
        <v/>
      </c>
      <c r="G126" s="29">
        <f>IF(B126="","",IF(C126&gt;Einstellungen!$C$9,"künftig",IF(AND(D126&lt;&gt;"",D126&lt;Einstellungen!$C$9),"ausgeschieden","aktiv")))</f>
        <v/>
      </c>
      <c r="H126" s="30">
        <f>IF(OR(B126="",E126=""),"",MAX(0,NETWORKDAYS(MAX(C126,DATE(Einstellungen!$C$3,1,1)),MIN(IF(D126="",DATE(Einstellungen!$C$3,12,31),D126),Einstellungen!$C$9),Einstellungen!$F$13:$F$32))*F126)</f>
        <v/>
      </c>
    </row>
    <row r="127">
      <c r="A127" s="25" t="n"/>
      <c r="B127" s="22" t="n"/>
      <c r="C127" s="26" t="n"/>
      <c r="D127" s="26" t="n"/>
      <c r="E127" s="27" t="n"/>
      <c r="F127" s="28">
        <f>IF(E127="","",E127/5)</f>
        <v/>
      </c>
      <c r="G127" s="29">
        <f>IF(B127="","",IF(C127&gt;Einstellungen!$C$9,"künftig",IF(AND(D127&lt;&gt;"",D127&lt;Einstellungen!$C$9),"ausgeschieden","aktiv")))</f>
        <v/>
      </c>
      <c r="H127" s="30">
        <f>IF(OR(B127="",E127=""),"",MAX(0,NETWORKDAYS(MAX(C127,DATE(Einstellungen!$C$3,1,1)),MIN(IF(D127="",DATE(Einstellungen!$C$3,12,31),D127),Einstellungen!$C$9),Einstellungen!$F$13:$F$32))*F127)</f>
        <v/>
      </c>
    </row>
    <row r="128">
      <c r="A128" s="25" t="n"/>
      <c r="B128" s="22" t="n"/>
      <c r="C128" s="26" t="n"/>
      <c r="D128" s="26" t="n"/>
      <c r="E128" s="27" t="n"/>
      <c r="F128" s="28">
        <f>IF(E128="","",E128/5)</f>
        <v/>
      </c>
      <c r="G128" s="29">
        <f>IF(B128="","",IF(C128&gt;Einstellungen!$C$9,"künftig",IF(AND(D128&lt;&gt;"",D128&lt;Einstellungen!$C$9),"ausgeschieden","aktiv")))</f>
        <v/>
      </c>
      <c r="H128" s="30">
        <f>IF(OR(B128="",E128=""),"",MAX(0,NETWORKDAYS(MAX(C128,DATE(Einstellungen!$C$3,1,1)),MIN(IF(D128="",DATE(Einstellungen!$C$3,12,31),D128),Einstellungen!$C$9),Einstellungen!$F$13:$F$32))*F128)</f>
        <v/>
      </c>
    </row>
    <row r="129">
      <c r="A129" s="25" t="n"/>
      <c r="B129" s="22" t="n"/>
      <c r="C129" s="26" t="n"/>
      <c r="D129" s="26" t="n"/>
      <c r="E129" s="27" t="n"/>
      <c r="F129" s="28">
        <f>IF(E129="","",E129/5)</f>
        <v/>
      </c>
      <c r="G129" s="29">
        <f>IF(B129="","",IF(C129&gt;Einstellungen!$C$9,"künftig",IF(AND(D129&lt;&gt;"",D129&lt;Einstellungen!$C$9),"ausgeschieden","aktiv")))</f>
        <v/>
      </c>
      <c r="H129" s="30">
        <f>IF(OR(B129="",E129=""),"",MAX(0,NETWORKDAYS(MAX(C129,DATE(Einstellungen!$C$3,1,1)),MIN(IF(D129="",DATE(Einstellungen!$C$3,12,31),D129),Einstellungen!$C$9),Einstellungen!$F$13:$F$32))*F129)</f>
        <v/>
      </c>
    </row>
    <row r="130">
      <c r="A130" s="25" t="n"/>
      <c r="B130" s="22" t="n"/>
      <c r="C130" s="26" t="n"/>
      <c r="D130" s="26" t="n"/>
      <c r="E130" s="27" t="n"/>
      <c r="F130" s="28">
        <f>IF(E130="","",E130/5)</f>
        <v/>
      </c>
      <c r="G130" s="29">
        <f>IF(B130="","",IF(C130&gt;Einstellungen!$C$9,"künftig",IF(AND(D130&lt;&gt;"",D130&lt;Einstellungen!$C$9),"ausgeschieden","aktiv")))</f>
        <v/>
      </c>
      <c r="H130" s="30">
        <f>IF(OR(B130="",E130=""),"",MAX(0,NETWORKDAYS(MAX(C130,DATE(Einstellungen!$C$3,1,1)),MIN(IF(D130="",DATE(Einstellungen!$C$3,12,31),D130),Einstellungen!$C$9),Einstellungen!$F$13:$F$32))*F130)</f>
        <v/>
      </c>
    </row>
    <row r="131">
      <c r="A131" s="25" t="n"/>
      <c r="B131" s="22" t="n"/>
      <c r="C131" s="26" t="n"/>
      <c r="D131" s="26" t="n"/>
      <c r="E131" s="27" t="n"/>
      <c r="F131" s="28">
        <f>IF(E131="","",E131/5)</f>
        <v/>
      </c>
      <c r="G131" s="29">
        <f>IF(B131="","",IF(C131&gt;Einstellungen!$C$9,"künftig",IF(AND(D131&lt;&gt;"",D131&lt;Einstellungen!$C$9),"ausgeschieden","aktiv")))</f>
        <v/>
      </c>
      <c r="H131" s="30">
        <f>IF(OR(B131="",E131=""),"",MAX(0,NETWORKDAYS(MAX(C131,DATE(Einstellungen!$C$3,1,1)),MIN(IF(D131="",DATE(Einstellungen!$C$3,12,31),D131),Einstellungen!$C$9),Einstellungen!$F$13:$F$32))*F131)</f>
        <v/>
      </c>
    </row>
    <row r="132">
      <c r="A132" s="25" t="n"/>
      <c r="B132" s="22" t="n"/>
      <c r="C132" s="26" t="n"/>
      <c r="D132" s="26" t="n"/>
      <c r="E132" s="27" t="n"/>
      <c r="F132" s="28">
        <f>IF(E132="","",E132/5)</f>
        <v/>
      </c>
      <c r="G132" s="29">
        <f>IF(B132="","",IF(C132&gt;Einstellungen!$C$9,"künftig",IF(AND(D132&lt;&gt;"",D132&lt;Einstellungen!$C$9),"ausgeschieden","aktiv")))</f>
        <v/>
      </c>
      <c r="H132" s="30">
        <f>IF(OR(B132="",E132=""),"",MAX(0,NETWORKDAYS(MAX(C132,DATE(Einstellungen!$C$3,1,1)),MIN(IF(D132="",DATE(Einstellungen!$C$3,12,31),D132),Einstellungen!$C$9),Einstellungen!$F$13:$F$32))*F132)</f>
        <v/>
      </c>
    </row>
    <row r="133">
      <c r="A133" s="25" t="n"/>
      <c r="B133" s="22" t="n"/>
      <c r="C133" s="26" t="n"/>
      <c r="D133" s="26" t="n"/>
      <c r="E133" s="27" t="n"/>
      <c r="F133" s="28">
        <f>IF(E133="","",E133/5)</f>
        <v/>
      </c>
      <c r="G133" s="29">
        <f>IF(B133="","",IF(C133&gt;Einstellungen!$C$9,"künftig",IF(AND(D133&lt;&gt;"",D133&lt;Einstellungen!$C$9),"ausgeschieden","aktiv")))</f>
        <v/>
      </c>
      <c r="H133" s="30">
        <f>IF(OR(B133="",E133=""),"",MAX(0,NETWORKDAYS(MAX(C133,DATE(Einstellungen!$C$3,1,1)),MIN(IF(D133="",DATE(Einstellungen!$C$3,12,31),D133),Einstellungen!$C$9),Einstellungen!$F$13:$F$32))*F133)</f>
        <v/>
      </c>
    </row>
    <row r="134">
      <c r="A134" s="25" t="n"/>
      <c r="B134" s="22" t="n"/>
      <c r="C134" s="26" t="n"/>
      <c r="D134" s="26" t="n"/>
      <c r="E134" s="27" t="n"/>
      <c r="F134" s="28">
        <f>IF(E134="","",E134/5)</f>
        <v/>
      </c>
      <c r="G134" s="29">
        <f>IF(B134="","",IF(C134&gt;Einstellungen!$C$9,"künftig",IF(AND(D134&lt;&gt;"",D134&lt;Einstellungen!$C$9),"ausgeschieden","aktiv")))</f>
        <v/>
      </c>
      <c r="H134" s="30">
        <f>IF(OR(B134="",E134=""),"",MAX(0,NETWORKDAYS(MAX(C134,DATE(Einstellungen!$C$3,1,1)),MIN(IF(D134="",DATE(Einstellungen!$C$3,12,31),D134),Einstellungen!$C$9),Einstellungen!$F$13:$F$32))*F134)</f>
        <v/>
      </c>
    </row>
    <row r="135">
      <c r="A135" s="25" t="n"/>
      <c r="B135" s="22" t="n"/>
      <c r="C135" s="26" t="n"/>
      <c r="D135" s="26" t="n"/>
      <c r="E135" s="27" t="n"/>
      <c r="F135" s="28">
        <f>IF(E135="","",E135/5)</f>
        <v/>
      </c>
      <c r="G135" s="29">
        <f>IF(B135="","",IF(C135&gt;Einstellungen!$C$9,"künftig",IF(AND(D135&lt;&gt;"",D135&lt;Einstellungen!$C$9),"ausgeschieden","aktiv")))</f>
        <v/>
      </c>
      <c r="H135" s="30">
        <f>IF(OR(B135="",E135=""),"",MAX(0,NETWORKDAYS(MAX(C135,DATE(Einstellungen!$C$3,1,1)),MIN(IF(D135="",DATE(Einstellungen!$C$3,12,31),D135),Einstellungen!$C$9),Einstellungen!$F$13:$F$32))*F135)</f>
        <v/>
      </c>
    </row>
    <row r="136">
      <c r="A136" s="25" t="n"/>
      <c r="B136" s="22" t="n"/>
      <c r="C136" s="26" t="n"/>
      <c r="D136" s="26" t="n"/>
      <c r="E136" s="27" t="n"/>
      <c r="F136" s="28">
        <f>IF(E136="","",E136/5)</f>
        <v/>
      </c>
      <c r="G136" s="29">
        <f>IF(B136="","",IF(C136&gt;Einstellungen!$C$9,"künftig",IF(AND(D136&lt;&gt;"",D136&lt;Einstellungen!$C$9),"ausgeschieden","aktiv")))</f>
        <v/>
      </c>
      <c r="H136" s="30">
        <f>IF(OR(B136="",E136=""),"",MAX(0,NETWORKDAYS(MAX(C136,DATE(Einstellungen!$C$3,1,1)),MIN(IF(D136="",DATE(Einstellungen!$C$3,12,31),D136),Einstellungen!$C$9),Einstellungen!$F$13:$F$32))*F136)</f>
        <v/>
      </c>
    </row>
    <row r="137">
      <c r="A137" s="25" t="n"/>
      <c r="B137" s="22" t="n"/>
      <c r="C137" s="26" t="n"/>
      <c r="D137" s="26" t="n"/>
      <c r="E137" s="27" t="n"/>
      <c r="F137" s="28">
        <f>IF(E137="","",E137/5)</f>
        <v/>
      </c>
      <c r="G137" s="29">
        <f>IF(B137="","",IF(C137&gt;Einstellungen!$C$9,"künftig",IF(AND(D137&lt;&gt;"",D137&lt;Einstellungen!$C$9),"ausgeschieden","aktiv")))</f>
        <v/>
      </c>
      <c r="H137" s="30">
        <f>IF(OR(B137="",E137=""),"",MAX(0,NETWORKDAYS(MAX(C137,DATE(Einstellungen!$C$3,1,1)),MIN(IF(D137="",DATE(Einstellungen!$C$3,12,31),D137),Einstellungen!$C$9),Einstellungen!$F$13:$F$32))*F137)</f>
        <v/>
      </c>
    </row>
    <row r="138">
      <c r="A138" s="25" t="n"/>
      <c r="B138" s="22" t="n"/>
      <c r="C138" s="26" t="n"/>
      <c r="D138" s="26" t="n"/>
      <c r="E138" s="27" t="n"/>
      <c r="F138" s="28">
        <f>IF(E138="","",E138/5)</f>
        <v/>
      </c>
      <c r="G138" s="29">
        <f>IF(B138="","",IF(C138&gt;Einstellungen!$C$9,"künftig",IF(AND(D138&lt;&gt;"",D138&lt;Einstellungen!$C$9),"ausgeschieden","aktiv")))</f>
        <v/>
      </c>
      <c r="H138" s="30">
        <f>IF(OR(B138="",E138=""),"",MAX(0,NETWORKDAYS(MAX(C138,DATE(Einstellungen!$C$3,1,1)),MIN(IF(D138="",DATE(Einstellungen!$C$3,12,31),D138),Einstellungen!$C$9),Einstellungen!$F$13:$F$32))*F138)</f>
        <v/>
      </c>
    </row>
    <row r="139">
      <c r="A139" s="25" t="n"/>
      <c r="B139" s="22" t="n"/>
      <c r="C139" s="26" t="n"/>
      <c r="D139" s="26" t="n"/>
      <c r="E139" s="27" t="n"/>
      <c r="F139" s="28">
        <f>IF(E139="","",E139/5)</f>
        <v/>
      </c>
      <c r="G139" s="29">
        <f>IF(B139="","",IF(C139&gt;Einstellungen!$C$9,"künftig",IF(AND(D139&lt;&gt;"",D139&lt;Einstellungen!$C$9),"ausgeschieden","aktiv")))</f>
        <v/>
      </c>
      <c r="H139" s="30">
        <f>IF(OR(B139="",E139=""),"",MAX(0,NETWORKDAYS(MAX(C139,DATE(Einstellungen!$C$3,1,1)),MIN(IF(D139="",DATE(Einstellungen!$C$3,12,31),D139),Einstellungen!$C$9),Einstellungen!$F$13:$F$32))*F139)</f>
        <v/>
      </c>
    </row>
    <row r="140">
      <c r="A140" s="25" t="n"/>
      <c r="B140" s="22" t="n"/>
      <c r="C140" s="26" t="n"/>
      <c r="D140" s="26" t="n"/>
      <c r="E140" s="27" t="n"/>
      <c r="F140" s="28">
        <f>IF(E140="","",E140/5)</f>
        <v/>
      </c>
      <c r="G140" s="29">
        <f>IF(B140="","",IF(C140&gt;Einstellungen!$C$9,"künftig",IF(AND(D140&lt;&gt;"",D140&lt;Einstellungen!$C$9),"ausgeschieden","aktiv")))</f>
        <v/>
      </c>
      <c r="H140" s="30">
        <f>IF(OR(B140="",E140=""),"",MAX(0,NETWORKDAYS(MAX(C140,DATE(Einstellungen!$C$3,1,1)),MIN(IF(D140="",DATE(Einstellungen!$C$3,12,31),D140),Einstellungen!$C$9),Einstellungen!$F$13:$F$32))*F140)</f>
        <v/>
      </c>
    </row>
    <row r="141">
      <c r="A141" s="25" t="n"/>
      <c r="B141" s="22" t="n"/>
      <c r="C141" s="26" t="n"/>
      <c r="D141" s="26" t="n"/>
      <c r="E141" s="27" t="n"/>
      <c r="F141" s="28">
        <f>IF(E141="","",E141/5)</f>
        <v/>
      </c>
      <c r="G141" s="29">
        <f>IF(B141="","",IF(C141&gt;Einstellungen!$C$9,"künftig",IF(AND(D141&lt;&gt;"",D141&lt;Einstellungen!$C$9),"ausgeschieden","aktiv")))</f>
        <v/>
      </c>
      <c r="H141" s="30">
        <f>IF(OR(B141="",E141=""),"",MAX(0,NETWORKDAYS(MAX(C141,DATE(Einstellungen!$C$3,1,1)),MIN(IF(D141="",DATE(Einstellungen!$C$3,12,31),D141),Einstellungen!$C$9),Einstellungen!$F$13:$F$32))*F141)</f>
        <v/>
      </c>
    </row>
    <row r="142">
      <c r="A142" s="25" t="n"/>
      <c r="B142" s="22" t="n"/>
      <c r="C142" s="26" t="n"/>
      <c r="D142" s="26" t="n"/>
      <c r="E142" s="27" t="n"/>
      <c r="F142" s="28">
        <f>IF(E142="","",E142/5)</f>
        <v/>
      </c>
      <c r="G142" s="29">
        <f>IF(B142="","",IF(C142&gt;Einstellungen!$C$9,"künftig",IF(AND(D142&lt;&gt;"",D142&lt;Einstellungen!$C$9),"ausgeschieden","aktiv")))</f>
        <v/>
      </c>
      <c r="H142" s="30">
        <f>IF(OR(B142="",E142=""),"",MAX(0,NETWORKDAYS(MAX(C142,DATE(Einstellungen!$C$3,1,1)),MIN(IF(D142="",DATE(Einstellungen!$C$3,12,31),D142),Einstellungen!$C$9),Einstellungen!$F$13:$F$32))*F142)</f>
        <v/>
      </c>
    </row>
    <row r="143">
      <c r="A143" s="25" t="n"/>
      <c r="B143" s="22" t="n"/>
      <c r="C143" s="26" t="n"/>
      <c r="D143" s="26" t="n"/>
      <c r="E143" s="27" t="n"/>
      <c r="F143" s="28">
        <f>IF(E143="","",E143/5)</f>
        <v/>
      </c>
      <c r="G143" s="29">
        <f>IF(B143="","",IF(C143&gt;Einstellungen!$C$9,"künftig",IF(AND(D143&lt;&gt;"",D143&lt;Einstellungen!$C$9),"ausgeschieden","aktiv")))</f>
        <v/>
      </c>
      <c r="H143" s="30">
        <f>IF(OR(B143="",E143=""),"",MAX(0,NETWORKDAYS(MAX(C143,DATE(Einstellungen!$C$3,1,1)),MIN(IF(D143="",DATE(Einstellungen!$C$3,12,31),D143),Einstellungen!$C$9),Einstellungen!$F$13:$F$32))*F143)</f>
        <v/>
      </c>
    </row>
    <row r="144">
      <c r="A144" s="25" t="n"/>
      <c r="B144" s="22" t="n"/>
      <c r="C144" s="26" t="n"/>
      <c r="D144" s="26" t="n"/>
      <c r="E144" s="27" t="n"/>
      <c r="F144" s="28">
        <f>IF(E144="","",E144/5)</f>
        <v/>
      </c>
      <c r="G144" s="29">
        <f>IF(B144="","",IF(C144&gt;Einstellungen!$C$9,"künftig",IF(AND(D144&lt;&gt;"",D144&lt;Einstellungen!$C$9),"ausgeschieden","aktiv")))</f>
        <v/>
      </c>
      <c r="H144" s="30">
        <f>IF(OR(B144="",E144=""),"",MAX(0,NETWORKDAYS(MAX(C144,DATE(Einstellungen!$C$3,1,1)),MIN(IF(D144="",DATE(Einstellungen!$C$3,12,31),D144),Einstellungen!$C$9),Einstellungen!$F$13:$F$32))*F144)</f>
        <v/>
      </c>
    </row>
    <row r="145">
      <c r="A145" s="25" t="n"/>
      <c r="B145" s="22" t="n"/>
      <c r="C145" s="26" t="n"/>
      <c r="D145" s="26" t="n"/>
      <c r="E145" s="27" t="n"/>
      <c r="F145" s="28">
        <f>IF(E145="","",E145/5)</f>
        <v/>
      </c>
      <c r="G145" s="29">
        <f>IF(B145="","",IF(C145&gt;Einstellungen!$C$9,"künftig",IF(AND(D145&lt;&gt;"",D145&lt;Einstellungen!$C$9),"ausgeschieden","aktiv")))</f>
        <v/>
      </c>
      <c r="H145" s="30">
        <f>IF(OR(B145="",E145=""),"",MAX(0,NETWORKDAYS(MAX(C145,DATE(Einstellungen!$C$3,1,1)),MIN(IF(D145="",DATE(Einstellungen!$C$3,12,31),D145),Einstellungen!$C$9),Einstellungen!$F$13:$F$32))*F145)</f>
        <v/>
      </c>
    </row>
    <row r="146">
      <c r="A146" s="25" t="n"/>
      <c r="B146" s="22" t="n"/>
      <c r="C146" s="26" t="n"/>
      <c r="D146" s="26" t="n"/>
      <c r="E146" s="27" t="n"/>
      <c r="F146" s="28">
        <f>IF(E146="","",E146/5)</f>
        <v/>
      </c>
      <c r="G146" s="29">
        <f>IF(B146="","",IF(C146&gt;Einstellungen!$C$9,"künftig",IF(AND(D146&lt;&gt;"",D146&lt;Einstellungen!$C$9),"ausgeschieden","aktiv")))</f>
        <v/>
      </c>
      <c r="H146" s="30">
        <f>IF(OR(B146="",E146=""),"",MAX(0,NETWORKDAYS(MAX(C146,DATE(Einstellungen!$C$3,1,1)),MIN(IF(D146="",DATE(Einstellungen!$C$3,12,31),D146),Einstellungen!$C$9),Einstellungen!$F$13:$F$32))*F146)</f>
        <v/>
      </c>
    </row>
    <row r="147">
      <c r="A147" s="25" t="n"/>
      <c r="B147" s="22" t="n"/>
      <c r="C147" s="26" t="n"/>
      <c r="D147" s="26" t="n"/>
      <c r="E147" s="27" t="n"/>
      <c r="F147" s="28">
        <f>IF(E147="","",E147/5)</f>
        <v/>
      </c>
      <c r="G147" s="29">
        <f>IF(B147="","",IF(C147&gt;Einstellungen!$C$9,"künftig",IF(AND(D147&lt;&gt;"",D147&lt;Einstellungen!$C$9),"ausgeschieden","aktiv")))</f>
        <v/>
      </c>
      <c r="H147" s="30">
        <f>IF(OR(B147="",E147=""),"",MAX(0,NETWORKDAYS(MAX(C147,DATE(Einstellungen!$C$3,1,1)),MIN(IF(D147="",DATE(Einstellungen!$C$3,12,31),D147),Einstellungen!$C$9),Einstellungen!$F$13:$F$32))*F147)</f>
        <v/>
      </c>
    </row>
    <row r="148">
      <c r="A148" s="25" t="n"/>
      <c r="B148" s="22" t="n"/>
      <c r="C148" s="26" t="n"/>
      <c r="D148" s="26" t="n"/>
      <c r="E148" s="27" t="n"/>
      <c r="F148" s="28">
        <f>IF(E148="","",E148/5)</f>
        <v/>
      </c>
      <c r="G148" s="29">
        <f>IF(B148="","",IF(C148&gt;Einstellungen!$C$9,"künftig",IF(AND(D148&lt;&gt;"",D148&lt;Einstellungen!$C$9),"ausgeschieden","aktiv")))</f>
        <v/>
      </c>
      <c r="H148" s="30">
        <f>IF(OR(B148="",E148=""),"",MAX(0,NETWORKDAYS(MAX(C148,DATE(Einstellungen!$C$3,1,1)),MIN(IF(D148="",DATE(Einstellungen!$C$3,12,31),D148),Einstellungen!$C$9),Einstellungen!$F$13:$F$32))*F148)</f>
        <v/>
      </c>
    </row>
    <row r="149">
      <c r="A149" s="25" t="n"/>
      <c r="B149" s="22" t="n"/>
      <c r="C149" s="26" t="n"/>
      <c r="D149" s="26" t="n"/>
      <c r="E149" s="27" t="n"/>
      <c r="F149" s="28">
        <f>IF(E149="","",E149/5)</f>
        <v/>
      </c>
      <c r="G149" s="29">
        <f>IF(B149="","",IF(C149&gt;Einstellungen!$C$9,"künftig",IF(AND(D149&lt;&gt;"",D149&lt;Einstellungen!$C$9),"ausgeschieden","aktiv")))</f>
        <v/>
      </c>
      <c r="H149" s="30">
        <f>IF(OR(B149="",E149=""),"",MAX(0,NETWORKDAYS(MAX(C149,DATE(Einstellungen!$C$3,1,1)),MIN(IF(D149="",DATE(Einstellungen!$C$3,12,31),D149),Einstellungen!$C$9),Einstellungen!$F$13:$F$32))*F149)</f>
        <v/>
      </c>
    </row>
    <row r="150">
      <c r="A150" s="25" t="n"/>
      <c r="B150" s="22" t="n"/>
      <c r="C150" s="26" t="n"/>
      <c r="D150" s="26" t="n"/>
      <c r="E150" s="27" t="n"/>
      <c r="F150" s="28">
        <f>IF(E150="","",E150/5)</f>
        <v/>
      </c>
      <c r="G150" s="29">
        <f>IF(B150="","",IF(C150&gt;Einstellungen!$C$9,"künftig",IF(AND(D150&lt;&gt;"",D150&lt;Einstellungen!$C$9),"ausgeschieden","aktiv")))</f>
        <v/>
      </c>
      <c r="H150" s="30">
        <f>IF(OR(B150="",E150=""),"",MAX(0,NETWORKDAYS(MAX(C150,DATE(Einstellungen!$C$3,1,1)),MIN(IF(D150="",DATE(Einstellungen!$C$3,12,31),D150),Einstellungen!$C$9),Einstellungen!$F$13:$F$32))*F150)</f>
        <v/>
      </c>
    </row>
    <row r="151">
      <c r="A151" s="25" t="n"/>
      <c r="B151" s="22" t="n"/>
      <c r="C151" s="26" t="n"/>
      <c r="D151" s="26" t="n"/>
      <c r="E151" s="27" t="n"/>
      <c r="F151" s="28">
        <f>IF(E151="","",E151/5)</f>
        <v/>
      </c>
      <c r="G151" s="29">
        <f>IF(B151="","",IF(C151&gt;Einstellungen!$C$9,"künftig",IF(AND(D151&lt;&gt;"",D151&lt;Einstellungen!$C$9),"ausgeschieden","aktiv")))</f>
        <v/>
      </c>
      <c r="H151" s="30">
        <f>IF(OR(B151="",E151=""),"",MAX(0,NETWORKDAYS(MAX(C151,DATE(Einstellungen!$C$3,1,1)),MIN(IF(D151="",DATE(Einstellungen!$C$3,12,31),D151),Einstellungen!$C$9),Einstellungen!$F$13:$F$32))*F151)</f>
        <v/>
      </c>
    </row>
    <row r="152">
      <c r="A152" s="25" t="n"/>
      <c r="B152" s="22" t="n"/>
      <c r="C152" s="26" t="n"/>
      <c r="D152" s="26" t="n"/>
      <c r="E152" s="27" t="n"/>
      <c r="F152" s="28">
        <f>IF(E152="","",E152/5)</f>
        <v/>
      </c>
      <c r="G152" s="29">
        <f>IF(B152="","",IF(C152&gt;Einstellungen!$C$9,"künftig",IF(AND(D152&lt;&gt;"",D152&lt;Einstellungen!$C$9),"ausgeschieden","aktiv")))</f>
        <v/>
      </c>
      <c r="H152" s="30">
        <f>IF(OR(B152="",E152=""),"",MAX(0,NETWORKDAYS(MAX(C152,DATE(Einstellungen!$C$3,1,1)),MIN(IF(D152="",DATE(Einstellungen!$C$3,12,31),D152),Einstellungen!$C$9),Einstellungen!$F$13:$F$32))*F152)</f>
        <v/>
      </c>
    </row>
    <row r="153">
      <c r="A153" s="25" t="n"/>
      <c r="B153" s="22" t="n"/>
      <c r="C153" s="26" t="n"/>
      <c r="D153" s="26" t="n"/>
      <c r="E153" s="27" t="n"/>
      <c r="F153" s="28">
        <f>IF(E153="","",E153/5)</f>
        <v/>
      </c>
      <c r="G153" s="29">
        <f>IF(B153="","",IF(C153&gt;Einstellungen!$C$9,"künftig",IF(AND(D153&lt;&gt;"",D153&lt;Einstellungen!$C$9),"ausgeschieden","aktiv")))</f>
        <v/>
      </c>
      <c r="H153" s="30">
        <f>IF(OR(B153="",E153=""),"",MAX(0,NETWORKDAYS(MAX(C153,DATE(Einstellungen!$C$3,1,1)),MIN(IF(D153="",DATE(Einstellungen!$C$3,12,31),D153),Einstellungen!$C$9),Einstellungen!$F$13:$F$32))*F153)</f>
        <v/>
      </c>
    </row>
    <row r="154">
      <c r="A154" s="25" t="n"/>
      <c r="B154" s="22" t="n"/>
      <c r="C154" s="26" t="n"/>
      <c r="D154" s="26" t="n"/>
      <c r="E154" s="27" t="n"/>
      <c r="F154" s="28">
        <f>IF(E154="","",E154/5)</f>
        <v/>
      </c>
      <c r="G154" s="29">
        <f>IF(B154="","",IF(C154&gt;Einstellungen!$C$9,"künftig",IF(AND(D154&lt;&gt;"",D154&lt;Einstellungen!$C$9),"ausgeschieden","aktiv")))</f>
        <v/>
      </c>
      <c r="H154" s="30">
        <f>IF(OR(B154="",E154=""),"",MAX(0,NETWORKDAYS(MAX(C154,DATE(Einstellungen!$C$3,1,1)),MIN(IF(D154="",DATE(Einstellungen!$C$3,12,31),D154),Einstellungen!$C$9),Einstellungen!$F$13:$F$32))*F154)</f>
        <v/>
      </c>
    </row>
    <row r="155">
      <c r="A155" s="25" t="n"/>
      <c r="B155" s="22" t="n"/>
      <c r="C155" s="26" t="n"/>
      <c r="D155" s="26" t="n"/>
      <c r="E155" s="27" t="n"/>
      <c r="F155" s="28">
        <f>IF(E155="","",E155/5)</f>
        <v/>
      </c>
      <c r="G155" s="29">
        <f>IF(B155="","",IF(C155&gt;Einstellungen!$C$9,"künftig",IF(AND(D155&lt;&gt;"",D155&lt;Einstellungen!$C$9),"ausgeschieden","aktiv")))</f>
        <v/>
      </c>
      <c r="H155" s="30">
        <f>IF(OR(B155="",E155=""),"",MAX(0,NETWORKDAYS(MAX(C155,DATE(Einstellungen!$C$3,1,1)),MIN(IF(D155="",DATE(Einstellungen!$C$3,12,31),D155),Einstellungen!$C$9),Einstellungen!$F$13:$F$32))*F155)</f>
        <v/>
      </c>
    </row>
    <row r="156">
      <c r="A156" s="25" t="n"/>
      <c r="B156" s="22" t="n"/>
      <c r="C156" s="26" t="n"/>
      <c r="D156" s="26" t="n"/>
      <c r="E156" s="27" t="n"/>
      <c r="F156" s="28">
        <f>IF(E156="","",E156/5)</f>
        <v/>
      </c>
      <c r="G156" s="29">
        <f>IF(B156="","",IF(C156&gt;Einstellungen!$C$9,"künftig",IF(AND(D156&lt;&gt;"",D156&lt;Einstellungen!$C$9),"ausgeschieden","aktiv")))</f>
        <v/>
      </c>
      <c r="H156" s="30">
        <f>IF(OR(B156="",E156=""),"",MAX(0,NETWORKDAYS(MAX(C156,DATE(Einstellungen!$C$3,1,1)),MIN(IF(D156="",DATE(Einstellungen!$C$3,12,31),D156),Einstellungen!$C$9),Einstellungen!$F$13:$F$32))*F156)</f>
        <v/>
      </c>
    </row>
    <row r="157">
      <c r="A157" s="25" t="n"/>
      <c r="B157" s="22" t="n"/>
      <c r="C157" s="26" t="n"/>
      <c r="D157" s="26" t="n"/>
      <c r="E157" s="27" t="n"/>
      <c r="F157" s="28">
        <f>IF(E157="","",E157/5)</f>
        <v/>
      </c>
      <c r="G157" s="29">
        <f>IF(B157="","",IF(C157&gt;Einstellungen!$C$9,"künftig",IF(AND(D157&lt;&gt;"",D157&lt;Einstellungen!$C$9),"ausgeschieden","aktiv")))</f>
        <v/>
      </c>
      <c r="H157" s="30">
        <f>IF(OR(B157="",E157=""),"",MAX(0,NETWORKDAYS(MAX(C157,DATE(Einstellungen!$C$3,1,1)),MIN(IF(D157="",DATE(Einstellungen!$C$3,12,31),D157),Einstellungen!$C$9),Einstellungen!$F$13:$F$32))*F157)</f>
        <v/>
      </c>
    </row>
    <row r="158">
      <c r="A158" s="25" t="n"/>
      <c r="B158" s="22" t="n"/>
      <c r="C158" s="26" t="n"/>
      <c r="D158" s="26" t="n"/>
      <c r="E158" s="27" t="n"/>
      <c r="F158" s="28">
        <f>IF(E158="","",E158/5)</f>
        <v/>
      </c>
      <c r="G158" s="29">
        <f>IF(B158="","",IF(C158&gt;Einstellungen!$C$9,"künftig",IF(AND(D158&lt;&gt;"",D158&lt;Einstellungen!$C$9),"ausgeschieden","aktiv")))</f>
        <v/>
      </c>
      <c r="H158" s="30">
        <f>IF(OR(B158="",E158=""),"",MAX(0,NETWORKDAYS(MAX(C158,DATE(Einstellungen!$C$3,1,1)),MIN(IF(D158="",DATE(Einstellungen!$C$3,12,31),D158),Einstellungen!$C$9),Einstellungen!$F$13:$F$32))*F158)</f>
        <v/>
      </c>
    </row>
    <row r="159">
      <c r="A159" s="25" t="n"/>
      <c r="B159" s="22" t="n"/>
      <c r="C159" s="26" t="n"/>
      <c r="D159" s="26" t="n"/>
      <c r="E159" s="27" t="n"/>
      <c r="F159" s="28">
        <f>IF(E159="","",E159/5)</f>
        <v/>
      </c>
      <c r="G159" s="29">
        <f>IF(B159="","",IF(C159&gt;Einstellungen!$C$9,"künftig",IF(AND(D159&lt;&gt;"",D159&lt;Einstellungen!$C$9),"ausgeschieden","aktiv")))</f>
        <v/>
      </c>
      <c r="H159" s="30">
        <f>IF(OR(B159="",E159=""),"",MAX(0,NETWORKDAYS(MAX(C159,DATE(Einstellungen!$C$3,1,1)),MIN(IF(D159="",DATE(Einstellungen!$C$3,12,31),D159),Einstellungen!$C$9),Einstellungen!$F$13:$F$32))*F159)</f>
        <v/>
      </c>
    </row>
    <row r="160">
      <c r="A160" s="25" t="n"/>
      <c r="B160" s="22" t="n"/>
      <c r="C160" s="26" t="n"/>
      <c r="D160" s="26" t="n"/>
      <c r="E160" s="27" t="n"/>
      <c r="F160" s="28">
        <f>IF(E160="","",E160/5)</f>
        <v/>
      </c>
      <c r="G160" s="29">
        <f>IF(B160="","",IF(C160&gt;Einstellungen!$C$9,"künftig",IF(AND(D160&lt;&gt;"",D160&lt;Einstellungen!$C$9),"ausgeschieden","aktiv")))</f>
        <v/>
      </c>
      <c r="H160" s="30">
        <f>IF(OR(B160="",E160=""),"",MAX(0,NETWORKDAYS(MAX(C160,DATE(Einstellungen!$C$3,1,1)),MIN(IF(D160="",DATE(Einstellungen!$C$3,12,31),D160),Einstellungen!$C$9),Einstellungen!$F$13:$F$32))*F160)</f>
        <v/>
      </c>
    </row>
    <row r="161">
      <c r="A161" s="25" t="n"/>
      <c r="B161" s="22" t="n"/>
      <c r="C161" s="26" t="n"/>
      <c r="D161" s="26" t="n"/>
      <c r="E161" s="27" t="n"/>
      <c r="F161" s="28">
        <f>IF(E161="","",E161/5)</f>
        <v/>
      </c>
      <c r="G161" s="29">
        <f>IF(B161="","",IF(C161&gt;Einstellungen!$C$9,"künftig",IF(AND(D161&lt;&gt;"",D161&lt;Einstellungen!$C$9),"ausgeschieden","aktiv")))</f>
        <v/>
      </c>
      <c r="H161" s="30">
        <f>IF(OR(B161="",E161=""),"",MAX(0,NETWORKDAYS(MAX(C161,DATE(Einstellungen!$C$3,1,1)),MIN(IF(D161="",DATE(Einstellungen!$C$3,12,31),D161),Einstellungen!$C$9),Einstellungen!$F$13:$F$32))*F161)</f>
        <v/>
      </c>
    </row>
    <row r="162">
      <c r="A162" s="25" t="n"/>
      <c r="B162" s="22" t="n"/>
      <c r="C162" s="26" t="n"/>
      <c r="D162" s="26" t="n"/>
      <c r="E162" s="27" t="n"/>
      <c r="F162" s="28">
        <f>IF(E162="","",E162/5)</f>
        <v/>
      </c>
      <c r="G162" s="29">
        <f>IF(B162="","",IF(C162&gt;Einstellungen!$C$9,"künftig",IF(AND(D162&lt;&gt;"",D162&lt;Einstellungen!$C$9),"ausgeschieden","aktiv")))</f>
        <v/>
      </c>
      <c r="H162" s="30">
        <f>IF(OR(B162="",E162=""),"",MAX(0,NETWORKDAYS(MAX(C162,DATE(Einstellungen!$C$3,1,1)),MIN(IF(D162="",DATE(Einstellungen!$C$3,12,31),D162),Einstellungen!$C$9),Einstellungen!$F$13:$F$32))*F162)</f>
        <v/>
      </c>
    </row>
    <row r="163">
      <c r="A163" s="25" t="n"/>
      <c r="B163" s="22" t="n"/>
      <c r="C163" s="26" t="n"/>
      <c r="D163" s="26" t="n"/>
      <c r="E163" s="27" t="n"/>
      <c r="F163" s="28">
        <f>IF(E163="","",E163/5)</f>
        <v/>
      </c>
      <c r="G163" s="29">
        <f>IF(B163="","",IF(C163&gt;Einstellungen!$C$9,"künftig",IF(AND(D163&lt;&gt;"",D163&lt;Einstellungen!$C$9),"ausgeschieden","aktiv")))</f>
        <v/>
      </c>
      <c r="H163" s="30">
        <f>IF(OR(B163="",E163=""),"",MAX(0,NETWORKDAYS(MAX(C163,DATE(Einstellungen!$C$3,1,1)),MIN(IF(D163="",DATE(Einstellungen!$C$3,12,31),D163),Einstellungen!$C$9),Einstellungen!$F$13:$F$32))*F163)</f>
        <v/>
      </c>
    </row>
    <row r="164">
      <c r="A164" s="25" t="n"/>
      <c r="B164" s="22" t="n"/>
      <c r="C164" s="26" t="n"/>
      <c r="D164" s="26" t="n"/>
      <c r="E164" s="27" t="n"/>
      <c r="F164" s="28">
        <f>IF(E164="","",E164/5)</f>
        <v/>
      </c>
      <c r="G164" s="29">
        <f>IF(B164="","",IF(C164&gt;Einstellungen!$C$9,"künftig",IF(AND(D164&lt;&gt;"",D164&lt;Einstellungen!$C$9),"ausgeschieden","aktiv")))</f>
        <v/>
      </c>
      <c r="H164" s="30">
        <f>IF(OR(B164="",E164=""),"",MAX(0,NETWORKDAYS(MAX(C164,DATE(Einstellungen!$C$3,1,1)),MIN(IF(D164="",DATE(Einstellungen!$C$3,12,31),D164),Einstellungen!$C$9),Einstellungen!$F$13:$F$32))*F164)</f>
        <v/>
      </c>
    </row>
    <row r="165">
      <c r="A165" s="25" t="n"/>
      <c r="B165" s="22" t="n"/>
      <c r="C165" s="26" t="n"/>
      <c r="D165" s="26" t="n"/>
      <c r="E165" s="27" t="n"/>
      <c r="F165" s="28">
        <f>IF(E165="","",E165/5)</f>
        <v/>
      </c>
      <c r="G165" s="29">
        <f>IF(B165="","",IF(C165&gt;Einstellungen!$C$9,"künftig",IF(AND(D165&lt;&gt;"",D165&lt;Einstellungen!$C$9),"ausgeschieden","aktiv")))</f>
        <v/>
      </c>
      <c r="H165" s="30">
        <f>IF(OR(B165="",E165=""),"",MAX(0,NETWORKDAYS(MAX(C165,DATE(Einstellungen!$C$3,1,1)),MIN(IF(D165="",DATE(Einstellungen!$C$3,12,31),D165),Einstellungen!$C$9),Einstellungen!$F$13:$F$32))*F165)</f>
        <v/>
      </c>
    </row>
    <row r="166">
      <c r="A166" s="25" t="n"/>
      <c r="B166" s="22" t="n"/>
      <c r="C166" s="26" t="n"/>
      <c r="D166" s="26" t="n"/>
      <c r="E166" s="27" t="n"/>
      <c r="F166" s="28">
        <f>IF(E166="","",E166/5)</f>
        <v/>
      </c>
      <c r="G166" s="29">
        <f>IF(B166="","",IF(C166&gt;Einstellungen!$C$9,"künftig",IF(AND(D166&lt;&gt;"",D166&lt;Einstellungen!$C$9),"ausgeschieden","aktiv")))</f>
        <v/>
      </c>
      <c r="H166" s="30">
        <f>IF(OR(B166="",E166=""),"",MAX(0,NETWORKDAYS(MAX(C166,DATE(Einstellungen!$C$3,1,1)),MIN(IF(D166="",DATE(Einstellungen!$C$3,12,31),D166),Einstellungen!$C$9),Einstellungen!$F$13:$F$32))*F166)</f>
        <v/>
      </c>
    </row>
    <row r="167">
      <c r="A167" s="25" t="n"/>
      <c r="B167" s="22" t="n"/>
      <c r="C167" s="26" t="n"/>
      <c r="D167" s="26" t="n"/>
      <c r="E167" s="27" t="n"/>
      <c r="F167" s="28">
        <f>IF(E167="","",E167/5)</f>
        <v/>
      </c>
      <c r="G167" s="29">
        <f>IF(B167="","",IF(C167&gt;Einstellungen!$C$9,"künftig",IF(AND(D167&lt;&gt;"",D167&lt;Einstellungen!$C$9),"ausgeschieden","aktiv")))</f>
        <v/>
      </c>
      <c r="H167" s="30">
        <f>IF(OR(B167="",E167=""),"",MAX(0,NETWORKDAYS(MAX(C167,DATE(Einstellungen!$C$3,1,1)),MIN(IF(D167="",DATE(Einstellungen!$C$3,12,31),D167),Einstellungen!$C$9),Einstellungen!$F$13:$F$32))*F167)</f>
        <v/>
      </c>
    </row>
    <row r="168">
      <c r="A168" s="25" t="n"/>
      <c r="B168" s="22" t="n"/>
      <c r="C168" s="26" t="n"/>
      <c r="D168" s="26" t="n"/>
      <c r="E168" s="27" t="n"/>
      <c r="F168" s="28">
        <f>IF(E168="","",E168/5)</f>
        <v/>
      </c>
      <c r="G168" s="29">
        <f>IF(B168="","",IF(C168&gt;Einstellungen!$C$9,"künftig",IF(AND(D168&lt;&gt;"",D168&lt;Einstellungen!$C$9),"ausgeschieden","aktiv")))</f>
        <v/>
      </c>
      <c r="H168" s="30">
        <f>IF(OR(B168="",E168=""),"",MAX(0,NETWORKDAYS(MAX(C168,DATE(Einstellungen!$C$3,1,1)),MIN(IF(D168="",DATE(Einstellungen!$C$3,12,31),D168),Einstellungen!$C$9),Einstellungen!$F$13:$F$32))*F168)</f>
        <v/>
      </c>
    </row>
    <row r="169">
      <c r="A169" s="25" t="n"/>
      <c r="B169" s="22" t="n"/>
      <c r="C169" s="26" t="n"/>
      <c r="D169" s="26" t="n"/>
      <c r="E169" s="27" t="n"/>
      <c r="F169" s="28">
        <f>IF(E169="","",E169/5)</f>
        <v/>
      </c>
      <c r="G169" s="29">
        <f>IF(B169="","",IF(C169&gt;Einstellungen!$C$9,"künftig",IF(AND(D169&lt;&gt;"",D169&lt;Einstellungen!$C$9),"ausgeschieden","aktiv")))</f>
        <v/>
      </c>
      <c r="H169" s="30">
        <f>IF(OR(B169="",E169=""),"",MAX(0,NETWORKDAYS(MAX(C169,DATE(Einstellungen!$C$3,1,1)),MIN(IF(D169="",DATE(Einstellungen!$C$3,12,31),D169),Einstellungen!$C$9),Einstellungen!$F$13:$F$32))*F169)</f>
        <v/>
      </c>
    </row>
    <row r="170">
      <c r="A170" s="25" t="n"/>
      <c r="B170" s="22" t="n"/>
      <c r="C170" s="26" t="n"/>
      <c r="D170" s="26" t="n"/>
      <c r="E170" s="27" t="n"/>
      <c r="F170" s="28">
        <f>IF(E170="","",E170/5)</f>
        <v/>
      </c>
      <c r="G170" s="29">
        <f>IF(B170="","",IF(C170&gt;Einstellungen!$C$9,"künftig",IF(AND(D170&lt;&gt;"",D170&lt;Einstellungen!$C$9),"ausgeschieden","aktiv")))</f>
        <v/>
      </c>
      <c r="H170" s="30">
        <f>IF(OR(B170="",E170=""),"",MAX(0,NETWORKDAYS(MAX(C170,DATE(Einstellungen!$C$3,1,1)),MIN(IF(D170="",DATE(Einstellungen!$C$3,12,31),D170),Einstellungen!$C$9),Einstellungen!$F$13:$F$32))*F170)</f>
        <v/>
      </c>
    </row>
    <row r="171">
      <c r="A171" s="25" t="n"/>
      <c r="B171" s="22" t="n"/>
      <c r="C171" s="26" t="n"/>
      <c r="D171" s="26" t="n"/>
      <c r="E171" s="27" t="n"/>
      <c r="F171" s="28">
        <f>IF(E171="","",E171/5)</f>
        <v/>
      </c>
      <c r="G171" s="29">
        <f>IF(B171="","",IF(C171&gt;Einstellungen!$C$9,"künftig",IF(AND(D171&lt;&gt;"",D171&lt;Einstellungen!$C$9),"ausgeschieden","aktiv")))</f>
        <v/>
      </c>
      <c r="H171" s="30">
        <f>IF(OR(B171="",E171=""),"",MAX(0,NETWORKDAYS(MAX(C171,DATE(Einstellungen!$C$3,1,1)),MIN(IF(D171="",DATE(Einstellungen!$C$3,12,31),D171),Einstellungen!$C$9),Einstellungen!$F$13:$F$32))*F171)</f>
        <v/>
      </c>
    </row>
    <row r="172">
      <c r="A172" s="25" t="n"/>
      <c r="B172" s="22" t="n"/>
      <c r="C172" s="26" t="n"/>
      <c r="D172" s="26" t="n"/>
      <c r="E172" s="27" t="n"/>
      <c r="F172" s="28">
        <f>IF(E172="","",E172/5)</f>
        <v/>
      </c>
      <c r="G172" s="29">
        <f>IF(B172="","",IF(C172&gt;Einstellungen!$C$9,"künftig",IF(AND(D172&lt;&gt;"",D172&lt;Einstellungen!$C$9),"ausgeschieden","aktiv")))</f>
        <v/>
      </c>
      <c r="H172" s="30">
        <f>IF(OR(B172="",E172=""),"",MAX(0,NETWORKDAYS(MAX(C172,DATE(Einstellungen!$C$3,1,1)),MIN(IF(D172="",DATE(Einstellungen!$C$3,12,31),D172),Einstellungen!$C$9),Einstellungen!$F$13:$F$32))*F172)</f>
        <v/>
      </c>
    </row>
    <row r="173">
      <c r="A173" s="25" t="n"/>
      <c r="B173" s="22" t="n"/>
      <c r="C173" s="26" t="n"/>
      <c r="D173" s="26" t="n"/>
      <c r="E173" s="27" t="n"/>
      <c r="F173" s="28">
        <f>IF(E173="","",E173/5)</f>
        <v/>
      </c>
      <c r="G173" s="29">
        <f>IF(B173="","",IF(C173&gt;Einstellungen!$C$9,"künftig",IF(AND(D173&lt;&gt;"",D173&lt;Einstellungen!$C$9),"ausgeschieden","aktiv")))</f>
        <v/>
      </c>
      <c r="H173" s="30">
        <f>IF(OR(B173="",E173=""),"",MAX(0,NETWORKDAYS(MAX(C173,DATE(Einstellungen!$C$3,1,1)),MIN(IF(D173="",DATE(Einstellungen!$C$3,12,31),D173),Einstellungen!$C$9),Einstellungen!$F$13:$F$32))*F173)</f>
        <v/>
      </c>
    </row>
    <row r="174">
      <c r="A174" s="25" t="n"/>
      <c r="B174" s="22" t="n"/>
      <c r="C174" s="26" t="n"/>
      <c r="D174" s="26" t="n"/>
      <c r="E174" s="27" t="n"/>
      <c r="F174" s="28">
        <f>IF(E174="","",E174/5)</f>
        <v/>
      </c>
      <c r="G174" s="29">
        <f>IF(B174="","",IF(C174&gt;Einstellungen!$C$9,"künftig",IF(AND(D174&lt;&gt;"",D174&lt;Einstellungen!$C$9),"ausgeschieden","aktiv")))</f>
        <v/>
      </c>
      <c r="H174" s="30">
        <f>IF(OR(B174="",E174=""),"",MAX(0,NETWORKDAYS(MAX(C174,DATE(Einstellungen!$C$3,1,1)),MIN(IF(D174="",DATE(Einstellungen!$C$3,12,31),D174),Einstellungen!$C$9),Einstellungen!$F$13:$F$32))*F174)</f>
        <v/>
      </c>
    </row>
    <row r="175">
      <c r="A175" s="25" t="n"/>
      <c r="B175" s="22" t="n"/>
      <c r="C175" s="26" t="n"/>
      <c r="D175" s="26" t="n"/>
      <c r="E175" s="27" t="n"/>
      <c r="F175" s="28">
        <f>IF(E175="","",E175/5)</f>
        <v/>
      </c>
      <c r="G175" s="29">
        <f>IF(B175="","",IF(C175&gt;Einstellungen!$C$9,"künftig",IF(AND(D175&lt;&gt;"",D175&lt;Einstellungen!$C$9),"ausgeschieden","aktiv")))</f>
        <v/>
      </c>
      <c r="H175" s="30">
        <f>IF(OR(B175="",E175=""),"",MAX(0,NETWORKDAYS(MAX(C175,DATE(Einstellungen!$C$3,1,1)),MIN(IF(D175="",DATE(Einstellungen!$C$3,12,31),D175),Einstellungen!$C$9),Einstellungen!$F$13:$F$32))*F175)</f>
        <v/>
      </c>
    </row>
    <row r="176">
      <c r="A176" s="25" t="n"/>
      <c r="B176" s="22" t="n"/>
      <c r="C176" s="26" t="n"/>
      <c r="D176" s="26" t="n"/>
      <c r="E176" s="27" t="n"/>
      <c r="F176" s="28">
        <f>IF(E176="","",E176/5)</f>
        <v/>
      </c>
      <c r="G176" s="29">
        <f>IF(B176="","",IF(C176&gt;Einstellungen!$C$9,"künftig",IF(AND(D176&lt;&gt;"",D176&lt;Einstellungen!$C$9),"ausgeschieden","aktiv")))</f>
        <v/>
      </c>
      <c r="H176" s="30">
        <f>IF(OR(B176="",E176=""),"",MAX(0,NETWORKDAYS(MAX(C176,DATE(Einstellungen!$C$3,1,1)),MIN(IF(D176="",DATE(Einstellungen!$C$3,12,31),D176),Einstellungen!$C$9),Einstellungen!$F$13:$F$32))*F176)</f>
        <v/>
      </c>
    </row>
    <row r="177">
      <c r="A177" s="25" t="n"/>
      <c r="B177" s="22" t="n"/>
      <c r="C177" s="26" t="n"/>
      <c r="D177" s="26" t="n"/>
      <c r="E177" s="27" t="n"/>
      <c r="F177" s="28">
        <f>IF(E177="","",E177/5)</f>
        <v/>
      </c>
      <c r="G177" s="29">
        <f>IF(B177="","",IF(C177&gt;Einstellungen!$C$9,"künftig",IF(AND(D177&lt;&gt;"",D177&lt;Einstellungen!$C$9),"ausgeschieden","aktiv")))</f>
        <v/>
      </c>
      <c r="H177" s="30">
        <f>IF(OR(B177="",E177=""),"",MAX(0,NETWORKDAYS(MAX(C177,DATE(Einstellungen!$C$3,1,1)),MIN(IF(D177="",DATE(Einstellungen!$C$3,12,31),D177),Einstellungen!$C$9),Einstellungen!$F$13:$F$32))*F177)</f>
        <v/>
      </c>
    </row>
    <row r="178">
      <c r="A178" s="25" t="n"/>
      <c r="B178" s="22" t="n"/>
      <c r="C178" s="26" t="n"/>
      <c r="D178" s="26" t="n"/>
      <c r="E178" s="27" t="n"/>
      <c r="F178" s="28">
        <f>IF(E178="","",E178/5)</f>
        <v/>
      </c>
      <c r="G178" s="29">
        <f>IF(B178="","",IF(C178&gt;Einstellungen!$C$9,"künftig",IF(AND(D178&lt;&gt;"",D178&lt;Einstellungen!$C$9),"ausgeschieden","aktiv")))</f>
        <v/>
      </c>
      <c r="H178" s="30">
        <f>IF(OR(B178="",E178=""),"",MAX(0,NETWORKDAYS(MAX(C178,DATE(Einstellungen!$C$3,1,1)),MIN(IF(D178="",DATE(Einstellungen!$C$3,12,31),D178),Einstellungen!$C$9),Einstellungen!$F$13:$F$32))*F178)</f>
        <v/>
      </c>
    </row>
    <row r="179">
      <c r="A179" s="25" t="n"/>
      <c r="B179" s="22" t="n"/>
      <c r="C179" s="26" t="n"/>
      <c r="D179" s="26" t="n"/>
      <c r="E179" s="27" t="n"/>
      <c r="F179" s="28">
        <f>IF(E179="","",E179/5)</f>
        <v/>
      </c>
      <c r="G179" s="29">
        <f>IF(B179="","",IF(C179&gt;Einstellungen!$C$9,"künftig",IF(AND(D179&lt;&gt;"",D179&lt;Einstellungen!$C$9),"ausgeschieden","aktiv")))</f>
        <v/>
      </c>
      <c r="H179" s="30">
        <f>IF(OR(B179="",E179=""),"",MAX(0,NETWORKDAYS(MAX(C179,DATE(Einstellungen!$C$3,1,1)),MIN(IF(D179="",DATE(Einstellungen!$C$3,12,31),D179),Einstellungen!$C$9),Einstellungen!$F$13:$F$32))*F179)</f>
        <v/>
      </c>
    </row>
    <row r="180">
      <c r="A180" s="25" t="n"/>
      <c r="B180" s="22" t="n"/>
      <c r="C180" s="26" t="n"/>
      <c r="D180" s="26" t="n"/>
      <c r="E180" s="27" t="n"/>
      <c r="F180" s="28">
        <f>IF(E180="","",E180/5)</f>
        <v/>
      </c>
      <c r="G180" s="29">
        <f>IF(B180="","",IF(C180&gt;Einstellungen!$C$9,"künftig",IF(AND(D180&lt;&gt;"",D180&lt;Einstellungen!$C$9),"ausgeschieden","aktiv")))</f>
        <v/>
      </c>
      <c r="H180" s="30">
        <f>IF(OR(B180="",E180=""),"",MAX(0,NETWORKDAYS(MAX(C180,DATE(Einstellungen!$C$3,1,1)),MIN(IF(D180="",DATE(Einstellungen!$C$3,12,31),D180),Einstellungen!$C$9),Einstellungen!$F$13:$F$32))*F180)</f>
        <v/>
      </c>
    </row>
    <row r="181">
      <c r="A181" s="25" t="n"/>
      <c r="B181" s="22" t="n"/>
      <c r="C181" s="26" t="n"/>
      <c r="D181" s="26" t="n"/>
      <c r="E181" s="27" t="n"/>
      <c r="F181" s="28">
        <f>IF(E181="","",E181/5)</f>
        <v/>
      </c>
      <c r="G181" s="29">
        <f>IF(B181="","",IF(C181&gt;Einstellungen!$C$9,"künftig",IF(AND(D181&lt;&gt;"",D181&lt;Einstellungen!$C$9),"ausgeschieden","aktiv")))</f>
        <v/>
      </c>
      <c r="H181" s="30">
        <f>IF(OR(B181="",E181=""),"",MAX(0,NETWORKDAYS(MAX(C181,DATE(Einstellungen!$C$3,1,1)),MIN(IF(D181="",DATE(Einstellungen!$C$3,12,31),D181),Einstellungen!$C$9),Einstellungen!$F$13:$F$32))*F181)</f>
        <v/>
      </c>
    </row>
    <row r="182">
      <c r="A182" s="25" t="n"/>
      <c r="B182" s="22" t="n"/>
      <c r="C182" s="26" t="n"/>
      <c r="D182" s="26" t="n"/>
      <c r="E182" s="27" t="n"/>
      <c r="F182" s="28">
        <f>IF(E182="","",E182/5)</f>
        <v/>
      </c>
      <c r="G182" s="29">
        <f>IF(B182="","",IF(C182&gt;Einstellungen!$C$9,"künftig",IF(AND(D182&lt;&gt;"",D182&lt;Einstellungen!$C$9),"ausgeschieden","aktiv")))</f>
        <v/>
      </c>
      <c r="H182" s="30">
        <f>IF(OR(B182="",E182=""),"",MAX(0,NETWORKDAYS(MAX(C182,DATE(Einstellungen!$C$3,1,1)),MIN(IF(D182="",DATE(Einstellungen!$C$3,12,31),D182),Einstellungen!$C$9),Einstellungen!$F$13:$F$32))*F182)</f>
        <v/>
      </c>
    </row>
    <row r="183">
      <c r="A183" s="25" t="n"/>
      <c r="B183" s="22" t="n"/>
      <c r="C183" s="26" t="n"/>
      <c r="D183" s="26" t="n"/>
      <c r="E183" s="27" t="n"/>
      <c r="F183" s="28">
        <f>IF(E183="","",E183/5)</f>
        <v/>
      </c>
      <c r="G183" s="29">
        <f>IF(B183="","",IF(C183&gt;Einstellungen!$C$9,"künftig",IF(AND(D183&lt;&gt;"",D183&lt;Einstellungen!$C$9),"ausgeschieden","aktiv")))</f>
        <v/>
      </c>
      <c r="H183" s="30">
        <f>IF(OR(B183="",E183=""),"",MAX(0,NETWORKDAYS(MAX(C183,DATE(Einstellungen!$C$3,1,1)),MIN(IF(D183="",DATE(Einstellungen!$C$3,12,31),D183),Einstellungen!$C$9),Einstellungen!$F$13:$F$32))*F183)</f>
        <v/>
      </c>
    </row>
    <row r="184">
      <c r="A184" s="25" t="n"/>
      <c r="B184" s="22" t="n"/>
      <c r="C184" s="26" t="n"/>
      <c r="D184" s="26" t="n"/>
      <c r="E184" s="27" t="n"/>
      <c r="F184" s="28">
        <f>IF(E184="","",E184/5)</f>
        <v/>
      </c>
      <c r="G184" s="29">
        <f>IF(B184="","",IF(C184&gt;Einstellungen!$C$9,"künftig",IF(AND(D184&lt;&gt;"",D184&lt;Einstellungen!$C$9),"ausgeschieden","aktiv")))</f>
        <v/>
      </c>
      <c r="H184" s="30">
        <f>IF(OR(B184="",E184=""),"",MAX(0,NETWORKDAYS(MAX(C184,DATE(Einstellungen!$C$3,1,1)),MIN(IF(D184="",DATE(Einstellungen!$C$3,12,31),D184),Einstellungen!$C$9),Einstellungen!$F$13:$F$32))*F184)</f>
        <v/>
      </c>
    </row>
    <row r="185">
      <c r="A185" s="25" t="n"/>
      <c r="B185" s="22" t="n"/>
      <c r="C185" s="26" t="n"/>
      <c r="D185" s="26" t="n"/>
      <c r="E185" s="27" t="n"/>
      <c r="F185" s="28">
        <f>IF(E185="","",E185/5)</f>
        <v/>
      </c>
      <c r="G185" s="29">
        <f>IF(B185="","",IF(C185&gt;Einstellungen!$C$9,"künftig",IF(AND(D185&lt;&gt;"",D185&lt;Einstellungen!$C$9),"ausgeschieden","aktiv")))</f>
        <v/>
      </c>
      <c r="H185" s="30">
        <f>IF(OR(B185="",E185=""),"",MAX(0,NETWORKDAYS(MAX(C185,DATE(Einstellungen!$C$3,1,1)),MIN(IF(D185="",DATE(Einstellungen!$C$3,12,31),D185),Einstellungen!$C$9),Einstellungen!$F$13:$F$32))*F185)</f>
        <v/>
      </c>
    </row>
    <row r="186">
      <c r="A186" s="25" t="n"/>
      <c r="B186" s="22" t="n"/>
      <c r="C186" s="26" t="n"/>
      <c r="D186" s="26" t="n"/>
      <c r="E186" s="27" t="n"/>
      <c r="F186" s="28">
        <f>IF(E186="","",E186/5)</f>
        <v/>
      </c>
      <c r="G186" s="29">
        <f>IF(B186="","",IF(C186&gt;Einstellungen!$C$9,"künftig",IF(AND(D186&lt;&gt;"",D186&lt;Einstellungen!$C$9),"ausgeschieden","aktiv")))</f>
        <v/>
      </c>
      <c r="H186" s="30">
        <f>IF(OR(B186="",E186=""),"",MAX(0,NETWORKDAYS(MAX(C186,DATE(Einstellungen!$C$3,1,1)),MIN(IF(D186="",DATE(Einstellungen!$C$3,12,31),D186),Einstellungen!$C$9),Einstellungen!$F$13:$F$32))*F186)</f>
        <v/>
      </c>
    </row>
    <row r="187">
      <c r="A187" s="25" t="n"/>
      <c r="B187" s="22" t="n"/>
      <c r="C187" s="26" t="n"/>
      <c r="D187" s="26" t="n"/>
      <c r="E187" s="27" t="n"/>
      <c r="F187" s="28">
        <f>IF(E187="","",E187/5)</f>
        <v/>
      </c>
      <c r="G187" s="29">
        <f>IF(B187="","",IF(C187&gt;Einstellungen!$C$9,"künftig",IF(AND(D187&lt;&gt;"",D187&lt;Einstellungen!$C$9),"ausgeschieden","aktiv")))</f>
        <v/>
      </c>
      <c r="H187" s="30">
        <f>IF(OR(B187="",E187=""),"",MAX(0,NETWORKDAYS(MAX(C187,DATE(Einstellungen!$C$3,1,1)),MIN(IF(D187="",DATE(Einstellungen!$C$3,12,31),D187),Einstellungen!$C$9),Einstellungen!$F$13:$F$32))*F187)</f>
        <v/>
      </c>
    </row>
    <row r="188">
      <c r="A188" s="25" t="n"/>
      <c r="B188" s="22" t="n"/>
      <c r="C188" s="26" t="n"/>
      <c r="D188" s="26" t="n"/>
      <c r="E188" s="27" t="n"/>
      <c r="F188" s="28">
        <f>IF(E188="","",E188/5)</f>
        <v/>
      </c>
      <c r="G188" s="29">
        <f>IF(B188="","",IF(C188&gt;Einstellungen!$C$9,"künftig",IF(AND(D188&lt;&gt;"",D188&lt;Einstellungen!$C$9),"ausgeschieden","aktiv")))</f>
        <v/>
      </c>
      <c r="H188" s="30">
        <f>IF(OR(B188="",E188=""),"",MAX(0,NETWORKDAYS(MAX(C188,DATE(Einstellungen!$C$3,1,1)),MIN(IF(D188="",DATE(Einstellungen!$C$3,12,31),D188),Einstellungen!$C$9),Einstellungen!$F$13:$F$32))*F188)</f>
        <v/>
      </c>
    </row>
    <row r="189">
      <c r="A189" s="25" t="n"/>
      <c r="B189" s="22" t="n"/>
      <c r="C189" s="26" t="n"/>
      <c r="D189" s="26" t="n"/>
      <c r="E189" s="27" t="n"/>
      <c r="F189" s="28">
        <f>IF(E189="","",E189/5)</f>
        <v/>
      </c>
      <c r="G189" s="29">
        <f>IF(B189="","",IF(C189&gt;Einstellungen!$C$9,"künftig",IF(AND(D189&lt;&gt;"",D189&lt;Einstellungen!$C$9),"ausgeschieden","aktiv")))</f>
        <v/>
      </c>
      <c r="H189" s="30">
        <f>IF(OR(B189="",E189=""),"",MAX(0,NETWORKDAYS(MAX(C189,DATE(Einstellungen!$C$3,1,1)),MIN(IF(D189="",DATE(Einstellungen!$C$3,12,31),D189),Einstellungen!$C$9),Einstellungen!$F$13:$F$32))*F189)</f>
        <v/>
      </c>
    </row>
    <row r="190">
      <c r="A190" s="25" t="n"/>
      <c r="B190" s="22" t="n"/>
      <c r="C190" s="26" t="n"/>
      <c r="D190" s="26" t="n"/>
      <c r="E190" s="27" t="n"/>
      <c r="F190" s="28">
        <f>IF(E190="","",E190/5)</f>
        <v/>
      </c>
      <c r="G190" s="29">
        <f>IF(B190="","",IF(C190&gt;Einstellungen!$C$9,"künftig",IF(AND(D190&lt;&gt;"",D190&lt;Einstellungen!$C$9),"ausgeschieden","aktiv")))</f>
        <v/>
      </c>
      <c r="H190" s="30">
        <f>IF(OR(B190="",E190=""),"",MAX(0,NETWORKDAYS(MAX(C190,DATE(Einstellungen!$C$3,1,1)),MIN(IF(D190="",DATE(Einstellungen!$C$3,12,31),D190),Einstellungen!$C$9),Einstellungen!$F$13:$F$32))*F190)</f>
        <v/>
      </c>
    </row>
    <row r="191">
      <c r="A191" s="25" t="n"/>
      <c r="B191" s="22" t="n"/>
      <c r="C191" s="26" t="n"/>
      <c r="D191" s="26" t="n"/>
      <c r="E191" s="27" t="n"/>
      <c r="F191" s="28">
        <f>IF(E191="","",E191/5)</f>
        <v/>
      </c>
      <c r="G191" s="29">
        <f>IF(B191="","",IF(C191&gt;Einstellungen!$C$9,"künftig",IF(AND(D191&lt;&gt;"",D191&lt;Einstellungen!$C$9),"ausgeschieden","aktiv")))</f>
        <v/>
      </c>
      <c r="H191" s="30">
        <f>IF(OR(B191="",E191=""),"",MAX(0,NETWORKDAYS(MAX(C191,DATE(Einstellungen!$C$3,1,1)),MIN(IF(D191="",DATE(Einstellungen!$C$3,12,31),D191),Einstellungen!$C$9),Einstellungen!$F$13:$F$32))*F191)</f>
        <v/>
      </c>
    </row>
    <row r="192">
      <c r="A192" s="25" t="n"/>
      <c r="B192" s="22" t="n"/>
      <c r="C192" s="26" t="n"/>
      <c r="D192" s="26" t="n"/>
      <c r="E192" s="27" t="n"/>
      <c r="F192" s="28">
        <f>IF(E192="","",E192/5)</f>
        <v/>
      </c>
      <c r="G192" s="29">
        <f>IF(B192="","",IF(C192&gt;Einstellungen!$C$9,"künftig",IF(AND(D192&lt;&gt;"",D192&lt;Einstellungen!$C$9),"ausgeschieden","aktiv")))</f>
        <v/>
      </c>
      <c r="H192" s="30">
        <f>IF(OR(B192="",E192=""),"",MAX(0,NETWORKDAYS(MAX(C192,DATE(Einstellungen!$C$3,1,1)),MIN(IF(D192="",DATE(Einstellungen!$C$3,12,31),D192),Einstellungen!$C$9),Einstellungen!$F$13:$F$32))*F192)</f>
        <v/>
      </c>
    </row>
    <row r="193">
      <c r="A193" s="25" t="n"/>
      <c r="B193" s="22" t="n"/>
      <c r="C193" s="26" t="n"/>
      <c r="D193" s="26" t="n"/>
      <c r="E193" s="27" t="n"/>
      <c r="F193" s="28">
        <f>IF(E193="","",E193/5)</f>
        <v/>
      </c>
      <c r="G193" s="29">
        <f>IF(B193="","",IF(C193&gt;Einstellungen!$C$9,"künftig",IF(AND(D193&lt;&gt;"",D193&lt;Einstellungen!$C$9),"ausgeschieden","aktiv")))</f>
        <v/>
      </c>
      <c r="H193" s="30">
        <f>IF(OR(B193="",E193=""),"",MAX(0,NETWORKDAYS(MAX(C193,DATE(Einstellungen!$C$3,1,1)),MIN(IF(D193="",DATE(Einstellungen!$C$3,12,31),D193),Einstellungen!$C$9),Einstellungen!$F$13:$F$32))*F193)</f>
        <v/>
      </c>
    </row>
    <row r="194">
      <c r="A194" s="25" t="n"/>
      <c r="B194" s="22" t="n"/>
      <c r="C194" s="26" t="n"/>
      <c r="D194" s="26" t="n"/>
      <c r="E194" s="27" t="n"/>
      <c r="F194" s="28">
        <f>IF(E194="","",E194/5)</f>
        <v/>
      </c>
      <c r="G194" s="29">
        <f>IF(B194="","",IF(C194&gt;Einstellungen!$C$9,"künftig",IF(AND(D194&lt;&gt;"",D194&lt;Einstellungen!$C$9),"ausgeschieden","aktiv")))</f>
        <v/>
      </c>
      <c r="H194" s="30">
        <f>IF(OR(B194="",E194=""),"",MAX(0,NETWORKDAYS(MAX(C194,DATE(Einstellungen!$C$3,1,1)),MIN(IF(D194="",DATE(Einstellungen!$C$3,12,31),D194),Einstellungen!$C$9),Einstellungen!$F$13:$F$32))*F194)</f>
        <v/>
      </c>
    </row>
    <row r="195">
      <c r="A195" s="25" t="n"/>
      <c r="B195" s="22" t="n"/>
      <c r="C195" s="26" t="n"/>
      <c r="D195" s="26" t="n"/>
      <c r="E195" s="27" t="n"/>
      <c r="F195" s="28">
        <f>IF(E195="","",E195/5)</f>
        <v/>
      </c>
      <c r="G195" s="29">
        <f>IF(B195="","",IF(C195&gt;Einstellungen!$C$9,"künftig",IF(AND(D195&lt;&gt;"",D195&lt;Einstellungen!$C$9),"ausgeschieden","aktiv")))</f>
        <v/>
      </c>
      <c r="H195" s="30">
        <f>IF(OR(B195="",E195=""),"",MAX(0,NETWORKDAYS(MAX(C195,DATE(Einstellungen!$C$3,1,1)),MIN(IF(D195="",DATE(Einstellungen!$C$3,12,31),D195),Einstellungen!$C$9),Einstellungen!$F$13:$F$32))*F195)</f>
        <v/>
      </c>
    </row>
    <row r="196">
      <c r="A196" s="25" t="n"/>
      <c r="B196" s="22" t="n"/>
      <c r="C196" s="26" t="n"/>
      <c r="D196" s="26" t="n"/>
      <c r="E196" s="27" t="n"/>
      <c r="F196" s="28">
        <f>IF(E196="","",E196/5)</f>
        <v/>
      </c>
      <c r="G196" s="29">
        <f>IF(B196="","",IF(C196&gt;Einstellungen!$C$9,"künftig",IF(AND(D196&lt;&gt;"",D196&lt;Einstellungen!$C$9),"ausgeschieden","aktiv")))</f>
        <v/>
      </c>
      <c r="H196" s="30">
        <f>IF(OR(B196="",E196=""),"",MAX(0,NETWORKDAYS(MAX(C196,DATE(Einstellungen!$C$3,1,1)),MIN(IF(D196="",DATE(Einstellungen!$C$3,12,31),D196),Einstellungen!$C$9),Einstellungen!$F$13:$F$32))*F196)</f>
        <v/>
      </c>
    </row>
    <row r="197">
      <c r="A197" s="25" t="n"/>
      <c r="B197" s="22" t="n"/>
      <c r="C197" s="26" t="n"/>
      <c r="D197" s="26" t="n"/>
      <c r="E197" s="27" t="n"/>
      <c r="F197" s="28">
        <f>IF(E197="","",E197/5)</f>
        <v/>
      </c>
      <c r="G197" s="29">
        <f>IF(B197="","",IF(C197&gt;Einstellungen!$C$9,"künftig",IF(AND(D197&lt;&gt;"",D197&lt;Einstellungen!$C$9),"ausgeschieden","aktiv")))</f>
        <v/>
      </c>
      <c r="H197" s="30">
        <f>IF(OR(B197="",E197=""),"",MAX(0,NETWORKDAYS(MAX(C197,DATE(Einstellungen!$C$3,1,1)),MIN(IF(D197="",DATE(Einstellungen!$C$3,12,31),D197),Einstellungen!$C$9),Einstellungen!$F$13:$F$32))*F197)</f>
        <v/>
      </c>
    </row>
    <row r="198">
      <c r="A198" s="25" t="n"/>
      <c r="B198" s="22" t="n"/>
      <c r="C198" s="26" t="n"/>
      <c r="D198" s="26" t="n"/>
      <c r="E198" s="27" t="n"/>
      <c r="F198" s="28">
        <f>IF(E198="","",E198/5)</f>
        <v/>
      </c>
      <c r="G198" s="29">
        <f>IF(B198="","",IF(C198&gt;Einstellungen!$C$9,"künftig",IF(AND(D198&lt;&gt;"",D198&lt;Einstellungen!$C$9),"ausgeschieden","aktiv")))</f>
        <v/>
      </c>
      <c r="H198" s="30">
        <f>IF(OR(B198="",E198=""),"",MAX(0,NETWORKDAYS(MAX(C198,DATE(Einstellungen!$C$3,1,1)),MIN(IF(D198="",DATE(Einstellungen!$C$3,12,31),D198),Einstellungen!$C$9),Einstellungen!$F$13:$F$32))*F198)</f>
        <v/>
      </c>
    </row>
    <row r="199">
      <c r="A199" s="25" t="n"/>
      <c r="B199" s="22" t="n"/>
      <c r="C199" s="26" t="n"/>
      <c r="D199" s="26" t="n"/>
      <c r="E199" s="27" t="n"/>
      <c r="F199" s="28">
        <f>IF(E199="","",E199/5)</f>
        <v/>
      </c>
      <c r="G199" s="29">
        <f>IF(B199="","",IF(C199&gt;Einstellungen!$C$9,"künftig",IF(AND(D199&lt;&gt;"",D199&lt;Einstellungen!$C$9),"ausgeschieden","aktiv")))</f>
        <v/>
      </c>
      <c r="H199" s="30">
        <f>IF(OR(B199="",E199=""),"",MAX(0,NETWORKDAYS(MAX(C199,DATE(Einstellungen!$C$3,1,1)),MIN(IF(D199="",DATE(Einstellungen!$C$3,12,31),D199),Einstellungen!$C$9),Einstellungen!$F$13:$F$32))*F199)</f>
        <v/>
      </c>
    </row>
    <row r="200">
      <c r="A200" s="25" t="n"/>
      <c r="B200" s="22" t="n"/>
      <c r="C200" s="26" t="n"/>
      <c r="D200" s="26" t="n"/>
      <c r="E200" s="27" t="n"/>
      <c r="F200" s="28">
        <f>IF(E200="","",E200/5)</f>
        <v/>
      </c>
      <c r="G200" s="29">
        <f>IF(B200="","",IF(C200&gt;Einstellungen!$C$9,"künftig",IF(AND(D200&lt;&gt;"",D200&lt;Einstellungen!$C$9),"ausgeschieden","aktiv")))</f>
        <v/>
      </c>
      <c r="H200" s="30">
        <f>IF(OR(B200="",E200=""),"",MAX(0,NETWORKDAYS(MAX(C200,DATE(Einstellungen!$C$3,1,1)),MIN(IF(D200="",DATE(Einstellungen!$C$3,12,31),D200),Einstellungen!$C$9),Einstellungen!$F$13:$F$32))*F200)</f>
        <v/>
      </c>
    </row>
    <row r="201">
      <c r="A201" s="25" t="n"/>
      <c r="B201" s="22" t="n"/>
      <c r="C201" s="26" t="n"/>
      <c r="D201" s="26" t="n"/>
      <c r="E201" s="27" t="n"/>
      <c r="F201" s="28">
        <f>IF(E201="","",E201/5)</f>
        <v/>
      </c>
      <c r="G201" s="29">
        <f>IF(B201="","",IF(C201&gt;Einstellungen!$C$9,"künftig",IF(AND(D201&lt;&gt;"",D201&lt;Einstellungen!$C$9),"ausgeschieden","aktiv")))</f>
        <v/>
      </c>
      <c r="H201" s="30">
        <f>IF(OR(B201="",E201=""),"",MAX(0,NETWORKDAYS(MAX(C201,DATE(Einstellungen!$C$3,1,1)),MIN(IF(D201="",DATE(Einstellungen!$C$3,12,31),D201),Einstellungen!$C$9),Einstellungen!$F$13:$F$32))*F201)</f>
        <v/>
      </c>
    </row>
    <row r="202">
      <c r="A202" s="25" t="n"/>
      <c r="B202" s="22" t="n"/>
      <c r="C202" s="26" t="n"/>
      <c r="D202" s="26" t="n"/>
      <c r="E202" s="27" t="n"/>
      <c r="F202" s="28">
        <f>IF(E202="","",E202/5)</f>
        <v/>
      </c>
      <c r="G202" s="29">
        <f>IF(B202="","",IF(C202&gt;Einstellungen!$C$9,"künftig",IF(AND(D202&lt;&gt;"",D202&lt;Einstellungen!$C$9),"ausgeschieden","aktiv")))</f>
        <v/>
      </c>
      <c r="H202" s="30">
        <f>IF(OR(B202="",E202=""),"",MAX(0,NETWORKDAYS(MAX(C202,DATE(Einstellungen!$C$3,1,1)),MIN(IF(D202="",DATE(Einstellungen!$C$3,12,31),D202),Einstellungen!$C$9),Einstellungen!$F$13:$F$32))*F202)</f>
        <v/>
      </c>
    </row>
    <row r="203">
      <c r="A203" s="25" t="n"/>
      <c r="B203" s="22" t="n"/>
      <c r="C203" s="26" t="n"/>
      <c r="D203" s="26" t="n"/>
      <c r="E203" s="27" t="n"/>
      <c r="F203" s="28">
        <f>IF(E203="","",E203/5)</f>
        <v/>
      </c>
      <c r="G203" s="29">
        <f>IF(B203="","",IF(C203&gt;Einstellungen!$C$9,"künftig",IF(AND(D203&lt;&gt;"",D203&lt;Einstellungen!$C$9),"ausgeschieden","aktiv")))</f>
        <v/>
      </c>
      <c r="H203" s="30">
        <f>IF(OR(B203="",E203=""),"",MAX(0,NETWORKDAYS(MAX(C203,DATE(Einstellungen!$C$3,1,1)),MIN(IF(D203="",DATE(Einstellungen!$C$3,12,31),D203),Einstellungen!$C$9),Einstellungen!$F$13:$F$32))*F203)</f>
        <v/>
      </c>
    </row>
    <row r="204">
      <c r="A204" s="25" t="n"/>
      <c r="B204" s="22" t="n"/>
      <c r="C204" s="26" t="n"/>
      <c r="D204" s="26" t="n"/>
      <c r="E204" s="27" t="n"/>
      <c r="F204" s="28">
        <f>IF(E204="","",E204/5)</f>
        <v/>
      </c>
      <c r="G204" s="29">
        <f>IF(B204="","",IF(C204&gt;Einstellungen!$C$9,"künftig",IF(AND(D204&lt;&gt;"",D204&lt;Einstellungen!$C$9),"ausgeschieden","aktiv")))</f>
        <v/>
      </c>
      <c r="H204" s="30">
        <f>IF(OR(B204="",E204=""),"",MAX(0,NETWORKDAYS(MAX(C204,DATE(Einstellungen!$C$3,1,1)),MIN(IF(D204="",DATE(Einstellungen!$C$3,12,31),D204),Einstellungen!$C$9),Einstellungen!$F$13:$F$32))*F204)</f>
        <v/>
      </c>
    </row>
    <row r="205">
      <c r="A205" s="25" t="n"/>
      <c r="B205" s="22" t="n"/>
      <c r="C205" s="26" t="n"/>
      <c r="D205" s="26" t="n"/>
      <c r="E205" s="27" t="n"/>
      <c r="F205" s="28">
        <f>IF(E205="","",E205/5)</f>
        <v/>
      </c>
      <c r="G205" s="29">
        <f>IF(B205="","",IF(C205&gt;Einstellungen!$C$9,"künftig",IF(AND(D205&lt;&gt;"",D205&lt;Einstellungen!$C$9),"ausgeschieden","aktiv")))</f>
        <v/>
      </c>
      <c r="H205" s="30">
        <f>IF(OR(B205="",E205=""),"",MAX(0,NETWORKDAYS(MAX(C205,DATE(Einstellungen!$C$3,1,1)),MIN(IF(D205="",DATE(Einstellungen!$C$3,12,31),D205),Einstellungen!$C$9),Einstellungen!$F$13:$F$32))*F205)</f>
        <v/>
      </c>
    </row>
  </sheetData>
  <mergeCells count="4">
    <mergeCell ref="J23:L23"/>
    <mergeCell ref="J22:L22"/>
    <mergeCell ref="J21:L21"/>
    <mergeCell ref="A2:N2"/>
  </mergeCells>
  <conditionalFormatting sqref="G6:G205">
    <cfRule type="cellIs" priority="1" operator="equal" dxfId="0">
      <formula>"ausgeschieden"</formula>
    </cfRule>
    <cfRule type="cellIs" priority="2" operator="equal" dxfId="1">
      <formula>"aktiv"</formula>
    </cfRule>
  </conditionalFormatting>
  <conditionalFormatting sqref="A6:A205">
    <cfRule type="expression" priority="3" dxfId="2">
      <formula>AND(A6&lt;&gt;"",COUNTIF($A$6:$A$205,A6)&gt;1)</formula>
    </cfRule>
  </conditionalFormatting>
  <hyperlinks>
    <hyperlink xmlns:r="http://schemas.openxmlformats.org/officeDocument/2006/relationships" ref="N1" r:id="rId1"/>
  </hyperlinks>
  <pageMargins left="0.75" right="0.75" top="1" bottom="1" header="0.5" footer="0.5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Gesamtstunden je Objekt und Monat</t>
        </is>
      </c>
      <c r="G1" s="12" t="inlineStr">
        <is>
          <t>→ Erklärung</t>
        </is>
      </c>
    </row>
    <row r="2" ht="28" customHeight="1">
      <c r="A2" s="13" t="inlineStr">
        <is>
          <t>Nur die gelben Felder ausfüllen: Summe aller Stunden des Monats je Objekt (z. B. aus Dienstplan/Zeiterfassung). Ob Krankstunden enthalten sind, in den Einstellungen festlegen.</t>
        </is>
      </c>
    </row>
    <row r="4" ht="30" customHeight="1">
      <c r="A4" s="20" t="inlineStr">
        <is>
          <t>Monat</t>
        </is>
      </c>
      <c r="B4" s="20">
        <f>Einstellungen!$C$4</f>
        <v/>
      </c>
      <c r="C4" s="20">
        <f>Einstellungen!$C$5</f>
        <v/>
      </c>
      <c r="D4" s="20" t="inlineStr">
        <is>
          <t>Summe</t>
        </is>
      </c>
    </row>
    <row r="5">
      <c r="A5" s="37" t="inlineStr">
        <is>
          <t>Januar</t>
        </is>
      </c>
      <c r="B5" s="41" t="n">
        <v>3944</v>
      </c>
      <c r="C5" s="41" t="n">
        <v>4764</v>
      </c>
      <c r="D5" s="30">
        <f>SUM(B5:C5)</f>
        <v/>
      </c>
    </row>
    <row r="6">
      <c r="A6" s="37" t="inlineStr">
        <is>
          <t>Februar</t>
        </is>
      </c>
      <c r="B6" s="41" t="n">
        <v>3973</v>
      </c>
      <c r="C6" s="41" t="n">
        <v>4834</v>
      </c>
      <c r="D6" s="30">
        <f>SUM(B6:C6)</f>
        <v/>
      </c>
    </row>
    <row r="7">
      <c r="A7" s="37" t="inlineStr">
        <is>
          <t>März</t>
        </is>
      </c>
      <c r="B7" s="41" t="n">
        <v>4264</v>
      </c>
      <c r="C7" s="41" t="n">
        <v>4799</v>
      </c>
      <c r="D7" s="30">
        <f>SUM(B7:C7)</f>
        <v/>
      </c>
    </row>
    <row r="8">
      <c r="A8" s="37" t="inlineStr">
        <is>
          <t>April</t>
        </is>
      </c>
      <c r="B8" s="41" t="n">
        <v>4125</v>
      </c>
      <c r="C8" s="41" t="n">
        <v>4790</v>
      </c>
      <c r="D8" s="30">
        <f>SUM(B8:C8)</f>
        <v/>
      </c>
    </row>
    <row r="9">
      <c r="A9" s="37" t="inlineStr">
        <is>
          <t>Mai</t>
        </is>
      </c>
      <c r="B9" s="41" t="n">
        <v>4080</v>
      </c>
      <c r="C9" s="41" t="n">
        <v>4598</v>
      </c>
      <c r="D9" s="30">
        <f>SUM(B9:C9)</f>
        <v/>
      </c>
    </row>
    <row r="10">
      <c r="A10" s="37" t="inlineStr">
        <is>
          <t>Juni</t>
        </is>
      </c>
      <c r="B10" s="41" t="n">
        <v>4281</v>
      </c>
      <c r="C10" s="41" t="n">
        <v>4713</v>
      </c>
      <c r="D10" s="30">
        <f>SUM(B10:C10)</f>
        <v/>
      </c>
    </row>
    <row r="11">
      <c r="A11" s="37" t="inlineStr">
        <is>
          <t>Juli</t>
        </is>
      </c>
      <c r="B11" s="41" t="n">
        <v>3950</v>
      </c>
      <c r="C11" s="41" t="n">
        <v>4415</v>
      </c>
      <c r="D11" s="30">
        <f>SUM(B11:C11)</f>
        <v/>
      </c>
    </row>
    <row r="12">
      <c r="A12" s="37" t="inlineStr">
        <is>
          <t>August</t>
        </is>
      </c>
      <c r="B12" s="41" t="n">
        <v>4186</v>
      </c>
      <c r="C12" s="41" t="n">
        <v>4844</v>
      </c>
      <c r="D12" s="30">
        <f>SUM(B12:C12)</f>
        <v/>
      </c>
    </row>
    <row r="13">
      <c r="A13" s="37" t="inlineStr">
        <is>
          <t>September</t>
        </is>
      </c>
      <c r="B13" s="41" t="n">
        <v>3983</v>
      </c>
      <c r="C13" s="41" t="n">
        <v>4942</v>
      </c>
      <c r="D13" s="30">
        <f>SUM(B13:C13)</f>
        <v/>
      </c>
    </row>
    <row r="14">
      <c r="A14" s="37" t="inlineStr">
        <is>
          <t>Oktober</t>
        </is>
      </c>
      <c r="B14" s="41" t="n"/>
      <c r="C14" s="41" t="n"/>
      <c r="D14" s="30">
        <f>SUM(B14:C14)</f>
        <v/>
      </c>
    </row>
    <row r="15">
      <c r="A15" s="37" t="inlineStr">
        <is>
          <t>November</t>
        </is>
      </c>
      <c r="B15" s="41" t="n"/>
      <c r="C15" s="41" t="n"/>
      <c r="D15" s="30">
        <f>SUM(B15:C15)</f>
        <v/>
      </c>
    </row>
    <row r="16">
      <c r="A16" s="37" t="inlineStr">
        <is>
          <t>Dezember</t>
        </is>
      </c>
      <c r="B16" s="41" t="n"/>
      <c r="C16" s="41" t="n"/>
      <c r="D16" s="30">
        <f>SUM(B16:C16)</f>
        <v/>
      </c>
    </row>
    <row r="17">
      <c r="A17" s="42" t="inlineStr">
        <is>
          <t>Jahr</t>
        </is>
      </c>
      <c r="B17" s="43">
        <f>SUM(B5:B16)</f>
        <v/>
      </c>
      <c r="C17" s="43">
        <f>SUM(C5:C16)</f>
        <v/>
      </c>
      <c r="D17" s="43">
        <f>SUM(D5:D16)</f>
        <v/>
      </c>
    </row>
  </sheetData>
  <mergeCells count="1">
    <mergeCell ref="A2:E2"/>
  </mergeCells>
  <dataValidations count="1">
    <dataValidation sqref="B5:C16" showDropDown="0" showInputMessage="0" showErrorMessage="1" allowBlank="0" error="Bitte Stunden als Zahl eingeben" type="decimal" operator="between">
      <formula1>0</formula1>
      <formula2>100000</formula2>
    </dataValidation>
  </dataValidations>
  <hyperlinks>
    <hyperlink xmlns:r="http://schemas.openxmlformats.org/officeDocument/2006/relationships" ref="G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I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11" customWidth="1" min="4" max="4"/>
    <col width="11" customWidth="1" min="5" max="5"/>
    <col width="10" customWidth="1" min="6" max="6"/>
    <col width="11" customWidth="1" min="7" max="7"/>
    <col width="17" customWidth="1" min="8" max="8"/>
    <col width="3" customWidth="1" min="9" max="9"/>
    <col hidden="1" width="7" customWidth="1" min="10" max="10"/>
    <col hidden="1" width="7" customWidth="1" min="11" max="11"/>
    <col hidden="1" width="7" customWidth="1" min="12" max="12"/>
    <col hidden="1" width="7" customWidth="1" min="13" max="13"/>
    <col hidden="1" width="7" customWidth="1" min="14" max="14"/>
    <col hidden="1" width="7" customWidth="1" min="15" max="15"/>
    <col hidden="1" width="7" customWidth="1" min="16" max="16"/>
    <col hidden="1" width="7" customWidth="1" min="17" max="17"/>
    <col hidden="1" width="7" customWidth="1" min="18" max="18"/>
    <col hidden="1" width="7" customWidth="1" min="19" max="19"/>
    <col hidden="1" width="7" customWidth="1" min="20" max="20"/>
    <col hidden="1" width="7" customWidth="1" min="21" max="21"/>
    <col hidden="1" width="7" customWidth="1" min="22" max="22"/>
    <col hidden="1" width="7" customWidth="1" min="23" max="23"/>
    <col hidden="1" width="7" customWidth="1" min="24" max="24"/>
    <col hidden="1" width="7" customWidth="1" min="25" max="25"/>
    <col hidden="1" width="7" customWidth="1" min="26" max="26"/>
    <col hidden="1" width="7" customWidth="1" min="27" max="27"/>
    <col hidden="1" width="7" customWidth="1" min="28" max="28"/>
    <col hidden="1" width="7" customWidth="1" min="29" max="29"/>
    <col hidden="1" width="7" customWidth="1" min="30" max="30"/>
    <col hidden="1" width="7" customWidth="1" min="31" max="31"/>
    <col hidden="1" width="7" customWidth="1" min="32" max="32"/>
    <col hidden="1" width="7" customWidth="1" min="33" max="33"/>
    <col hidden="1" width="7" customWidth="1" min="34" max="34"/>
    <col hidden="1" width="7" customWidth="1" min="35" max="35"/>
  </cols>
  <sheetData>
    <row r="1">
      <c r="A1" s="1" t="inlineStr">
        <is>
          <t>Krankmeldungen</t>
        </is>
      </c>
      <c r="N1" s="12" t="inlineStr">
        <is>
          <t>→ Erklärung</t>
        </is>
      </c>
    </row>
    <row r="2" ht="28" customHeight="1">
      <c r="A2" s="13" t="inlineStr">
        <is>
          <t>Nur bei Krankheit eine Zeile: Pers.-Nr., Objekt, von, bis (wie AU-Bescheinigung). Bis leer = noch krank (zählt bis Stichtag). Arbeitstage (Mo–Fr ohne Feiertage) und Krankstunden rechnet die Datei. Beispiel: 517321 | Wickede | 02.03.2026 | 06.03.2026 → 5 Tage.</t>
        </is>
      </c>
    </row>
    <row r="5" ht="30" customHeight="1">
      <c r="A5" s="20" t="inlineStr">
        <is>
          <t>Pers.-Nr.</t>
        </is>
      </c>
      <c r="B5" s="20" t="inlineStr">
        <is>
          <t>Name (auto)</t>
        </is>
      </c>
      <c r="C5" s="20" t="inlineStr">
        <is>
          <t>Objekt</t>
        </is>
      </c>
      <c r="D5" s="20" t="inlineStr">
        <is>
          <t>Krank von</t>
        </is>
      </c>
      <c r="E5" s="20" t="inlineStr">
        <is>
          <t>Krank bis</t>
        </is>
      </c>
      <c r="F5" s="20" t="inlineStr">
        <is>
          <t>Arbeitstage
(auto)</t>
        </is>
      </c>
      <c r="G5" s="20" t="inlineStr">
        <is>
          <t>Krank-
stunden (auto)</t>
        </is>
      </c>
      <c r="H5" s="20" t="inlineStr">
        <is>
          <t>Prüfung (auto)</t>
        </is>
      </c>
      <c r="J5" s="44" t="inlineStr">
        <is>
          <t>Bis eff.</t>
        </is>
      </c>
      <c r="K5" s="44" t="inlineStr">
        <is>
          <t>Std/Tag</t>
        </is>
      </c>
      <c r="L5" s="44" t="inlineStr">
        <is>
          <t>Tage Jan</t>
        </is>
      </c>
      <c r="M5" s="44" t="inlineStr">
        <is>
          <t>Tage Feb</t>
        </is>
      </c>
      <c r="N5" s="44" t="inlineStr">
        <is>
          <t>Tage Mär</t>
        </is>
      </c>
      <c r="O5" s="44" t="inlineStr">
        <is>
          <t>Tage Apr</t>
        </is>
      </c>
      <c r="P5" s="44" t="inlineStr">
        <is>
          <t>Tage Mai</t>
        </is>
      </c>
      <c r="Q5" s="44" t="inlineStr">
        <is>
          <t>Tage Jun</t>
        </is>
      </c>
      <c r="R5" s="44" t="inlineStr">
        <is>
          <t>Tage Jul</t>
        </is>
      </c>
      <c r="S5" s="44" t="inlineStr">
        <is>
          <t>Tage Aug</t>
        </is>
      </c>
      <c r="T5" s="44" t="inlineStr">
        <is>
          <t>Tage Sep</t>
        </is>
      </c>
      <c r="U5" s="44" t="inlineStr">
        <is>
          <t>Tage Okt</t>
        </is>
      </c>
      <c r="V5" s="44" t="inlineStr">
        <is>
          <t>Tage Nov</t>
        </is>
      </c>
      <c r="W5" s="44" t="inlineStr">
        <is>
          <t>Tage Dez</t>
        </is>
      </c>
      <c r="X5" s="44" t="inlineStr">
        <is>
          <t>Std Jan</t>
        </is>
      </c>
      <c r="Y5" s="44" t="inlineStr">
        <is>
          <t>Std Feb</t>
        </is>
      </c>
      <c r="Z5" s="44" t="inlineStr">
        <is>
          <t>Std Mär</t>
        </is>
      </c>
      <c r="AA5" s="44" t="inlineStr">
        <is>
          <t>Std Apr</t>
        </is>
      </c>
      <c r="AB5" s="44" t="inlineStr">
        <is>
          <t>Std Mai</t>
        </is>
      </c>
      <c r="AC5" s="44" t="inlineStr">
        <is>
          <t>Std Jun</t>
        </is>
      </c>
      <c r="AD5" s="44" t="inlineStr">
        <is>
          <t>Std Jul</t>
        </is>
      </c>
      <c r="AE5" s="44" t="inlineStr">
        <is>
          <t>Std Aug</t>
        </is>
      </c>
      <c r="AF5" s="44" t="inlineStr">
        <is>
          <t>Std Sep</t>
        </is>
      </c>
      <c r="AG5" s="44" t="inlineStr">
        <is>
          <t>Std Okt</t>
        </is>
      </c>
      <c r="AH5" s="44" t="inlineStr">
        <is>
          <t>Std Nov</t>
        </is>
      </c>
      <c r="AI5" s="44" t="inlineStr">
        <is>
          <t>Std Dez</t>
        </is>
      </c>
    </row>
    <row r="6">
      <c r="A6" s="25" t="n">
        <v>1035</v>
      </c>
      <c r="B6" s="45">
        <f>IF(A6="","",IFERROR(INDEX(Mitarbeiter!$B$6:$B$205,MATCH($A6,Mitarbeiter!$A$6:$A$205,0)),"?"))</f>
        <v/>
      </c>
      <c r="C6" s="46" t="inlineStr">
        <is>
          <t>Objekt 2</t>
        </is>
      </c>
      <c r="D6" s="26" t="n">
        <v>46025</v>
      </c>
      <c r="E6" s="26" t="n">
        <v>46027</v>
      </c>
      <c r="F6" s="24">
        <f>IF(A6="","",SUM(L6:W6))</f>
        <v/>
      </c>
      <c r="G6" s="36">
        <f>IF(A6="","",SUM(X6:AI6))</f>
        <v/>
      </c>
      <c r="H6" s="8">
        <f>IF(A6="","",IF(ISNA(MATCH(A6,Mitarbeiter!$A$6:$A$205,0)),"Pers.-Nr. unbekannt",IF(D6="","Von fehlt",IF(AND(C6&lt;&gt;Einstellungen!$C$4,C6&lt;&gt;Einstellungen!$C$5),"Objekt fehlt",IF(J6&lt;D6,"Bis vor Von",IF(D6&lt;INDEX(Mitarbeiter!$C$6:$C$205,MATCH($A6,Mitarbeiter!$A$6:$A$205,0)),"vor Eintritt",IF(AND(INDEX(Mitarbeiter!$D$6:$D$205,MATCH($A6,Mitarbeiter!$A$6:$A$205,0))&lt;&gt;"",D6&gt;INDEX(Mitarbeiter!$D$6:$D$205,MATCH($A6,Mitarbeiter!$A$6:$A$205,0))),"nach Austritt",IF(E6="","offen","ok"))))))))</f>
        <v/>
      </c>
      <c r="J6" s="47">
        <f>IF(A6="","",IF(E6="",Einstellungen!$C$9,E6))</f>
        <v/>
      </c>
      <c r="K6" s="48">
        <f>IF(A6="",0,IFERROR(INDEX(Mitarbeiter!$F$6:$F$205,MATCH($A6,Mitarbeiter!$A$6:$A$205,0)),0))</f>
        <v/>
      </c>
      <c r="L6" s="49">
        <f>IF(OR(A6="",D6=""),0,MAX(0,NETWORKDAYS(MAX(D6,DATE(Einstellungen!$C$3,1,1)),MIN(J6,DATE(Einstellungen!$C$3,2,0)),Einstellungen!$F$13:$F$32)))</f>
        <v/>
      </c>
      <c r="M6" s="49">
        <f>IF(OR(A6="",D6=""),0,MAX(0,NETWORKDAYS(MAX(D6,DATE(Einstellungen!$C$3,2,1)),MIN(J6,DATE(Einstellungen!$C$3,3,0)),Einstellungen!$F$13:$F$32)))</f>
        <v/>
      </c>
      <c r="N6" s="49">
        <f>IF(OR(A6="",D6=""),0,MAX(0,NETWORKDAYS(MAX(D6,DATE(Einstellungen!$C$3,3,1)),MIN(J6,DATE(Einstellungen!$C$3,4,0)),Einstellungen!$F$13:$F$32)))</f>
        <v/>
      </c>
      <c r="O6" s="49">
        <f>IF(OR(A6="",D6=""),0,MAX(0,NETWORKDAYS(MAX(D6,DATE(Einstellungen!$C$3,4,1)),MIN(J6,DATE(Einstellungen!$C$3,5,0)),Einstellungen!$F$13:$F$32)))</f>
        <v/>
      </c>
      <c r="P6" s="49">
        <f>IF(OR(A6="",D6=""),0,MAX(0,NETWORKDAYS(MAX(D6,DATE(Einstellungen!$C$3,5,1)),MIN(J6,DATE(Einstellungen!$C$3,6,0)),Einstellungen!$F$13:$F$32)))</f>
        <v/>
      </c>
      <c r="Q6" s="49">
        <f>IF(OR(A6="",D6=""),0,MAX(0,NETWORKDAYS(MAX(D6,DATE(Einstellungen!$C$3,6,1)),MIN(J6,DATE(Einstellungen!$C$3,7,0)),Einstellungen!$F$13:$F$32)))</f>
        <v/>
      </c>
      <c r="R6" s="49">
        <f>IF(OR(A6="",D6=""),0,MAX(0,NETWORKDAYS(MAX(D6,DATE(Einstellungen!$C$3,7,1)),MIN(J6,DATE(Einstellungen!$C$3,8,0)),Einstellungen!$F$13:$F$32)))</f>
        <v/>
      </c>
      <c r="S6" s="49">
        <f>IF(OR(A6="",D6=""),0,MAX(0,NETWORKDAYS(MAX(D6,DATE(Einstellungen!$C$3,8,1)),MIN(J6,DATE(Einstellungen!$C$3,9,0)),Einstellungen!$F$13:$F$32)))</f>
        <v/>
      </c>
      <c r="T6" s="49">
        <f>IF(OR(A6="",D6=""),0,MAX(0,NETWORKDAYS(MAX(D6,DATE(Einstellungen!$C$3,9,1)),MIN(J6,DATE(Einstellungen!$C$3,10,0)),Einstellungen!$F$13:$F$32)))</f>
        <v/>
      </c>
      <c r="U6" s="49">
        <f>IF(OR(A6="",D6=""),0,MAX(0,NETWORKDAYS(MAX(D6,DATE(Einstellungen!$C$3,10,1)),MIN(J6,DATE(Einstellungen!$C$3,11,0)),Einstellungen!$F$13:$F$32)))</f>
        <v/>
      </c>
      <c r="V6" s="49">
        <f>IF(OR(A6="",D6=""),0,MAX(0,NETWORKDAYS(MAX(D6,DATE(Einstellungen!$C$3,11,1)),MIN(J6,DATE(Einstellungen!$C$3,12,0)),Einstellungen!$F$13:$F$32)))</f>
        <v/>
      </c>
      <c r="W6" s="49">
        <f>IF(OR(A6="",D6=""),0,MAX(0,NETWORKDAYS(MAX(D6,DATE(Einstellungen!$C$3,12,1)),MIN(J6,DATE(Einstellungen!$C$3,13,0)),Einstellungen!$F$13:$F$32)))</f>
        <v/>
      </c>
      <c r="X6" s="50">
        <f>L6*K6</f>
        <v/>
      </c>
      <c r="Y6" s="50">
        <f>M6*K6</f>
        <v/>
      </c>
      <c r="Z6" s="50">
        <f>N6*K6</f>
        <v/>
      </c>
      <c r="AA6" s="50">
        <f>O6*K6</f>
        <v/>
      </c>
      <c r="AB6" s="50">
        <f>P6*K6</f>
        <v/>
      </c>
      <c r="AC6" s="50">
        <f>Q6*K6</f>
        <v/>
      </c>
      <c r="AD6" s="50">
        <f>R6*K6</f>
        <v/>
      </c>
      <c r="AE6" s="50">
        <f>S6*K6</f>
        <v/>
      </c>
      <c r="AF6" s="50">
        <f>T6*K6</f>
        <v/>
      </c>
      <c r="AG6" s="50">
        <f>U6*K6</f>
        <v/>
      </c>
      <c r="AH6" s="50">
        <f>V6*K6</f>
        <v/>
      </c>
      <c r="AI6" s="50">
        <f>W6*K6</f>
        <v/>
      </c>
    </row>
    <row r="7">
      <c r="A7" s="25" t="n">
        <v>1006</v>
      </c>
      <c r="B7" s="45">
        <f>IF(A7="","",IFERROR(INDEX(Mitarbeiter!$B$6:$B$205,MATCH($A7,Mitarbeiter!$A$6:$A$205,0)),"?"))</f>
        <v/>
      </c>
      <c r="C7" s="46" t="inlineStr">
        <is>
          <t>Objekt 2</t>
        </is>
      </c>
      <c r="D7" s="26" t="n">
        <v>46025</v>
      </c>
      <c r="E7" s="26" t="n">
        <v>46026</v>
      </c>
      <c r="F7" s="24">
        <f>IF(A7="","",SUM(L7:W7))</f>
        <v/>
      </c>
      <c r="G7" s="36">
        <f>IF(A7="","",SUM(X7:AI7))</f>
        <v/>
      </c>
      <c r="H7" s="8">
        <f>IF(A7="","",IF(ISNA(MATCH(A7,Mitarbeiter!$A$6:$A$205,0)),"Pers.-Nr. unbekannt",IF(D7="","Von fehlt",IF(AND(C7&lt;&gt;Einstellungen!$C$4,C7&lt;&gt;Einstellungen!$C$5),"Objekt fehlt",IF(J7&lt;D7,"Bis vor Von",IF(D7&lt;INDEX(Mitarbeiter!$C$6:$C$205,MATCH($A7,Mitarbeiter!$A$6:$A$205,0)),"vor Eintritt",IF(AND(INDEX(Mitarbeiter!$D$6:$D$205,MATCH($A7,Mitarbeiter!$A$6:$A$205,0))&lt;&gt;"",D7&gt;INDEX(Mitarbeiter!$D$6:$D$205,MATCH($A7,Mitarbeiter!$A$6:$A$205,0))),"nach Austritt",IF(E7="","offen","ok"))))))))</f>
        <v/>
      </c>
      <c r="J7" s="47">
        <f>IF(A7="","",IF(E7="",Einstellungen!$C$9,E7))</f>
        <v/>
      </c>
      <c r="K7" s="48">
        <f>IF(A7="",0,IFERROR(INDEX(Mitarbeiter!$F$6:$F$205,MATCH($A7,Mitarbeiter!$A$6:$A$205,0)),0))</f>
        <v/>
      </c>
      <c r="L7" s="49">
        <f>IF(OR(A7="",D7=""),0,MAX(0,NETWORKDAYS(MAX(D7,DATE(Einstellungen!$C$3,1,1)),MIN(J7,DATE(Einstellungen!$C$3,2,0)),Einstellungen!$F$13:$F$32)))</f>
        <v/>
      </c>
      <c r="M7" s="49">
        <f>IF(OR(A7="",D7=""),0,MAX(0,NETWORKDAYS(MAX(D7,DATE(Einstellungen!$C$3,2,1)),MIN(J7,DATE(Einstellungen!$C$3,3,0)),Einstellungen!$F$13:$F$32)))</f>
        <v/>
      </c>
      <c r="N7" s="49">
        <f>IF(OR(A7="",D7=""),0,MAX(0,NETWORKDAYS(MAX(D7,DATE(Einstellungen!$C$3,3,1)),MIN(J7,DATE(Einstellungen!$C$3,4,0)),Einstellungen!$F$13:$F$32)))</f>
        <v/>
      </c>
      <c r="O7" s="49">
        <f>IF(OR(A7="",D7=""),0,MAX(0,NETWORKDAYS(MAX(D7,DATE(Einstellungen!$C$3,4,1)),MIN(J7,DATE(Einstellungen!$C$3,5,0)),Einstellungen!$F$13:$F$32)))</f>
        <v/>
      </c>
      <c r="P7" s="49">
        <f>IF(OR(A7="",D7=""),0,MAX(0,NETWORKDAYS(MAX(D7,DATE(Einstellungen!$C$3,5,1)),MIN(J7,DATE(Einstellungen!$C$3,6,0)),Einstellungen!$F$13:$F$32)))</f>
        <v/>
      </c>
      <c r="Q7" s="49">
        <f>IF(OR(A7="",D7=""),0,MAX(0,NETWORKDAYS(MAX(D7,DATE(Einstellungen!$C$3,6,1)),MIN(J7,DATE(Einstellungen!$C$3,7,0)),Einstellungen!$F$13:$F$32)))</f>
        <v/>
      </c>
      <c r="R7" s="49">
        <f>IF(OR(A7="",D7=""),0,MAX(0,NETWORKDAYS(MAX(D7,DATE(Einstellungen!$C$3,7,1)),MIN(J7,DATE(Einstellungen!$C$3,8,0)),Einstellungen!$F$13:$F$32)))</f>
        <v/>
      </c>
      <c r="S7" s="49">
        <f>IF(OR(A7="",D7=""),0,MAX(0,NETWORKDAYS(MAX(D7,DATE(Einstellungen!$C$3,8,1)),MIN(J7,DATE(Einstellungen!$C$3,9,0)),Einstellungen!$F$13:$F$32)))</f>
        <v/>
      </c>
      <c r="T7" s="49">
        <f>IF(OR(A7="",D7=""),0,MAX(0,NETWORKDAYS(MAX(D7,DATE(Einstellungen!$C$3,9,1)),MIN(J7,DATE(Einstellungen!$C$3,10,0)),Einstellungen!$F$13:$F$32)))</f>
        <v/>
      </c>
      <c r="U7" s="49">
        <f>IF(OR(A7="",D7=""),0,MAX(0,NETWORKDAYS(MAX(D7,DATE(Einstellungen!$C$3,10,1)),MIN(J7,DATE(Einstellungen!$C$3,11,0)),Einstellungen!$F$13:$F$32)))</f>
        <v/>
      </c>
      <c r="V7" s="49">
        <f>IF(OR(A7="",D7=""),0,MAX(0,NETWORKDAYS(MAX(D7,DATE(Einstellungen!$C$3,11,1)),MIN(J7,DATE(Einstellungen!$C$3,12,0)),Einstellungen!$F$13:$F$32)))</f>
        <v/>
      </c>
      <c r="W7" s="49">
        <f>IF(OR(A7="",D7=""),0,MAX(0,NETWORKDAYS(MAX(D7,DATE(Einstellungen!$C$3,12,1)),MIN(J7,DATE(Einstellungen!$C$3,13,0)),Einstellungen!$F$13:$F$32)))</f>
        <v/>
      </c>
      <c r="X7" s="50">
        <f>L7*K7</f>
        <v/>
      </c>
      <c r="Y7" s="50">
        <f>M7*K7</f>
        <v/>
      </c>
      <c r="Z7" s="50">
        <f>N7*K7</f>
        <v/>
      </c>
      <c r="AA7" s="50">
        <f>O7*K7</f>
        <v/>
      </c>
      <c r="AB7" s="50">
        <f>P7*K7</f>
        <v/>
      </c>
      <c r="AC7" s="50">
        <f>Q7*K7</f>
        <v/>
      </c>
      <c r="AD7" s="50">
        <f>R7*K7</f>
        <v/>
      </c>
      <c r="AE7" s="50">
        <f>S7*K7</f>
        <v/>
      </c>
      <c r="AF7" s="50">
        <f>T7*K7</f>
        <v/>
      </c>
      <c r="AG7" s="50">
        <f>U7*K7</f>
        <v/>
      </c>
      <c r="AH7" s="50">
        <f>V7*K7</f>
        <v/>
      </c>
      <c r="AI7" s="50">
        <f>W7*K7</f>
        <v/>
      </c>
    </row>
    <row r="8">
      <c r="A8" s="25" t="n">
        <v>1002</v>
      </c>
      <c r="B8" s="45">
        <f>IF(A8="","",IFERROR(INDEX(Mitarbeiter!$B$6:$B$205,MATCH($A8,Mitarbeiter!$A$6:$A$205,0)),"?"))</f>
        <v/>
      </c>
      <c r="C8" s="46" t="inlineStr">
        <is>
          <t>Objekt 1</t>
        </is>
      </c>
      <c r="D8" s="26" t="n">
        <v>46026</v>
      </c>
      <c r="E8" s="26" t="n">
        <v>46026</v>
      </c>
      <c r="F8" s="24">
        <f>IF(A8="","",SUM(L8:W8))</f>
        <v/>
      </c>
      <c r="G8" s="36">
        <f>IF(A8="","",SUM(X8:AI8))</f>
        <v/>
      </c>
      <c r="H8" s="8">
        <f>IF(A8="","",IF(ISNA(MATCH(A8,Mitarbeiter!$A$6:$A$205,0)),"Pers.-Nr. unbekannt",IF(D8="","Von fehlt",IF(AND(C8&lt;&gt;Einstellungen!$C$4,C8&lt;&gt;Einstellungen!$C$5),"Objekt fehlt",IF(J8&lt;D8,"Bis vor Von",IF(D8&lt;INDEX(Mitarbeiter!$C$6:$C$205,MATCH($A8,Mitarbeiter!$A$6:$A$205,0)),"vor Eintritt",IF(AND(INDEX(Mitarbeiter!$D$6:$D$205,MATCH($A8,Mitarbeiter!$A$6:$A$205,0))&lt;&gt;"",D8&gt;INDEX(Mitarbeiter!$D$6:$D$205,MATCH($A8,Mitarbeiter!$A$6:$A$205,0))),"nach Austritt",IF(E8="","offen","ok"))))))))</f>
        <v/>
      </c>
      <c r="J8" s="47">
        <f>IF(A8="","",IF(E8="",Einstellungen!$C$9,E8))</f>
        <v/>
      </c>
      <c r="K8" s="48">
        <f>IF(A8="",0,IFERROR(INDEX(Mitarbeiter!$F$6:$F$205,MATCH($A8,Mitarbeiter!$A$6:$A$205,0)),0))</f>
        <v/>
      </c>
      <c r="L8" s="49">
        <f>IF(OR(A8="",D8=""),0,MAX(0,NETWORKDAYS(MAX(D8,DATE(Einstellungen!$C$3,1,1)),MIN(J8,DATE(Einstellungen!$C$3,2,0)),Einstellungen!$F$13:$F$32)))</f>
        <v/>
      </c>
      <c r="M8" s="49">
        <f>IF(OR(A8="",D8=""),0,MAX(0,NETWORKDAYS(MAX(D8,DATE(Einstellungen!$C$3,2,1)),MIN(J8,DATE(Einstellungen!$C$3,3,0)),Einstellungen!$F$13:$F$32)))</f>
        <v/>
      </c>
      <c r="N8" s="49">
        <f>IF(OR(A8="",D8=""),0,MAX(0,NETWORKDAYS(MAX(D8,DATE(Einstellungen!$C$3,3,1)),MIN(J8,DATE(Einstellungen!$C$3,4,0)),Einstellungen!$F$13:$F$32)))</f>
        <v/>
      </c>
      <c r="O8" s="49">
        <f>IF(OR(A8="",D8=""),0,MAX(0,NETWORKDAYS(MAX(D8,DATE(Einstellungen!$C$3,4,1)),MIN(J8,DATE(Einstellungen!$C$3,5,0)),Einstellungen!$F$13:$F$32)))</f>
        <v/>
      </c>
      <c r="P8" s="49">
        <f>IF(OR(A8="",D8=""),0,MAX(0,NETWORKDAYS(MAX(D8,DATE(Einstellungen!$C$3,5,1)),MIN(J8,DATE(Einstellungen!$C$3,6,0)),Einstellungen!$F$13:$F$32)))</f>
        <v/>
      </c>
      <c r="Q8" s="49">
        <f>IF(OR(A8="",D8=""),0,MAX(0,NETWORKDAYS(MAX(D8,DATE(Einstellungen!$C$3,6,1)),MIN(J8,DATE(Einstellungen!$C$3,7,0)),Einstellungen!$F$13:$F$32)))</f>
        <v/>
      </c>
      <c r="R8" s="49">
        <f>IF(OR(A8="",D8=""),0,MAX(0,NETWORKDAYS(MAX(D8,DATE(Einstellungen!$C$3,7,1)),MIN(J8,DATE(Einstellungen!$C$3,8,0)),Einstellungen!$F$13:$F$32)))</f>
        <v/>
      </c>
      <c r="S8" s="49">
        <f>IF(OR(A8="",D8=""),0,MAX(0,NETWORKDAYS(MAX(D8,DATE(Einstellungen!$C$3,8,1)),MIN(J8,DATE(Einstellungen!$C$3,9,0)),Einstellungen!$F$13:$F$32)))</f>
        <v/>
      </c>
      <c r="T8" s="49">
        <f>IF(OR(A8="",D8=""),0,MAX(0,NETWORKDAYS(MAX(D8,DATE(Einstellungen!$C$3,9,1)),MIN(J8,DATE(Einstellungen!$C$3,10,0)),Einstellungen!$F$13:$F$32)))</f>
        <v/>
      </c>
      <c r="U8" s="49">
        <f>IF(OR(A8="",D8=""),0,MAX(0,NETWORKDAYS(MAX(D8,DATE(Einstellungen!$C$3,10,1)),MIN(J8,DATE(Einstellungen!$C$3,11,0)),Einstellungen!$F$13:$F$32)))</f>
        <v/>
      </c>
      <c r="V8" s="49">
        <f>IF(OR(A8="",D8=""),0,MAX(0,NETWORKDAYS(MAX(D8,DATE(Einstellungen!$C$3,11,1)),MIN(J8,DATE(Einstellungen!$C$3,12,0)),Einstellungen!$F$13:$F$32)))</f>
        <v/>
      </c>
      <c r="W8" s="49">
        <f>IF(OR(A8="",D8=""),0,MAX(0,NETWORKDAYS(MAX(D8,DATE(Einstellungen!$C$3,12,1)),MIN(J8,DATE(Einstellungen!$C$3,13,0)),Einstellungen!$F$13:$F$32)))</f>
        <v/>
      </c>
      <c r="X8" s="50">
        <f>L8*K8</f>
        <v/>
      </c>
      <c r="Y8" s="50">
        <f>M8*K8</f>
        <v/>
      </c>
      <c r="Z8" s="50">
        <f>N8*K8</f>
        <v/>
      </c>
      <c r="AA8" s="50">
        <f>O8*K8</f>
        <v/>
      </c>
      <c r="AB8" s="50">
        <f>P8*K8</f>
        <v/>
      </c>
      <c r="AC8" s="50">
        <f>Q8*K8</f>
        <v/>
      </c>
      <c r="AD8" s="50">
        <f>R8*K8</f>
        <v/>
      </c>
      <c r="AE8" s="50">
        <f>S8*K8</f>
        <v/>
      </c>
      <c r="AF8" s="50">
        <f>T8*K8</f>
        <v/>
      </c>
      <c r="AG8" s="50">
        <f>U8*K8</f>
        <v/>
      </c>
      <c r="AH8" s="50">
        <f>V8*K8</f>
        <v/>
      </c>
      <c r="AI8" s="50">
        <f>W8*K8</f>
        <v/>
      </c>
    </row>
    <row r="9">
      <c r="A9" s="25" t="n">
        <v>1024</v>
      </c>
      <c r="B9" s="45">
        <f>IF(A9="","",IFERROR(INDEX(Mitarbeiter!$B$6:$B$205,MATCH($A9,Mitarbeiter!$A$6:$A$205,0)),"?"))</f>
        <v/>
      </c>
      <c r="C9" s="46" t="inlineStr">
        <is>
          <t>Objekt 2</t>
        </is>
      </c>
      <c r="D9" s="26" t="n">
        <v>46027</v>
      </c>
      <c r="E9" s="26" t="n">
        <v>46031</v>
      </c>
      <c r="F9" s="24">
        <f>IF(A9="","",SUM(L9:W9))</f>
        <v/>
      </c>
      <c r="G9" s="36">
        <f>IF(A9="","",SUM(X9:AI9))</f>
        <v/>
      </c>
      <c r="H9" s="8">
        <f>IF(A9="","",IF(ISNA(MATCH(A9,Mitarbeiter!$A$6:$A$205,0)),"Pers.-Nr. unbekannt",IF(D9="","Von fehlt",IF(AND(C9&lt;&gt;Einstellungen!$C$4,C9&lt;&gt;Einstellungen!$C$5),"Objekt fehlt",IF(J9&lt;D9,"Bis vor Von",IF(D9&lt;INDEX(Mitarbeiter!$C$6:$C$205,MATCH($A9,Mitarbeiter!$A$6:$A$205,0)),"vor Eintritt",IF(AND(INDEX(Mitarbeiter!$D$6:$D$205,MATCH($A9,Mitarbeiter!$A$6:$A$205,0))&lt;&gt;"",D9&gt;INDEX(Mitarbeiter!$D$6:$D$205,MATCH($A9,Mitarbeiter!$A$6:$A$205,0))),"nach Austritt",IF(E9="","offen","ok"))))))))</f>
        <v/>
      </c>
      <c r="J9" s="47">
        <f>IF(A9="","",IF(E9="",Einstellungen!$C$9,E9))</f>
        <v/>
      </c>
      <c r="K9" s="48">
        <f>IF(A9="",0,IFERROR(INDEX(Mitarbeiter!$F$6:$F$205,MATCH($A9,Mitarbeiter!$A$6:$A$205,0)),0))</f>
        <v/>
      </c>
      <c r="L9" s="49">
        <f>IF(OR(A9="",D9=""),0,MAX(0,NETWORKDAYS(MAX(D9,DATE(Einstellungen!$C$3,1,1)),MIN(J9,DATE(Einstellungen!$C$3,2,0)),Einstellungen!$F$13:$F$32)))</f>
        <v/>
      </c>
      <c r="M9" s="49">
        <f>IF(OR(A9="",D9=""),0,MAX(0,NETWORKDAYS(MAX(D9,DATE(Einstellungen!$C$3,2,1)),MIN(J9,DATE(Einstellungen!$C$3,3,0)),Einstellungen!$F$13:$F$32)))</f>
        <v/>
      </c>
      <c r="N9" s="49">
        <f>IF(OR(A9="",D9=""),0,MAX(0,NETWORKDAYS(MAX(D9,DATE(Einstellungen!$C$3,3,1)),MIN(J9,DATE(Einstellungen!$C$3,4,0)),Einstellungen!$F$13:$F$32)))</f>
        <v/>
      </c>
      <c r="O9" s="49">
        <f>IF(OR(A9="",D9=""),0,MAX(0,NETWORKDAYS(MAX(D9,DATE(Einstellungen!$C$3,4,1)),MIN(J9,DATE(Einstellungen!$C$3,5,0)),Einstellungen!$F$13:$F$32)))</f>
        <v/>
      </c>
      <c r="P9" s="49">
        <f>IF(OR(A9="",D9=""),0,MAX(0,NETWORKDAYS(MAX(D9,DATE(Einstellungen!$C$3,5,1)),MIN(J9,DATE(Einstellungen!$C$3,6,0)),Einstellungen!$F$13:$F$32)))</f>
        <v/>
      </c>
      <c r="Q9" s="49">
        <f>IF(OR(A9="",D9=""),0,MAX(0,NETWORKDAYS(MAX(D9,DATE(Einstellungen!$C$3,6,1)),MIN(J9,DATE(Einstellungen!$C$3,7,0)),Einstellungen!$F$13:$F$32)))</f>
        <v/>
      </c>
      <c r="R9" s="49">
        <f>IF(OR(A9="",D9=""),0,MAX(0,NETWORKDAYS(MAX(D9,DATE(Einstellungen!$C$3,7,1)),MIN(J9,DATE(Einstellungen!$C$3,8,0)),Einstellungen!$F$13:$F$32)))</f>
        <v/>
      </c>
      <c r="S9" s="49">
        <f>IF(OR(A9="",D9=""),0,MAX(0,NETWORKDAYS(MAX(D9,DATE(Einstellungen!$C$3,8,1)),MIN(J9,DATE(Einstellungen!$C$3,9,0)),Einstellungen!$F$13:$F$32)))</f>
        <v/>
      </c>
      <c r="T9" s="49">
        <f>IF(OR(A9="",D9=""),0,MAX(0,NETWORKDAYS(MAX(D9,DATE(Einstellungen!$C$3,9,1)),MIN(J9,DATE(Einstellungen!$C$3,10,0)),Einstellungen!$F$13:$F$32)))</f>
        <v/>
      </c>
      <c r="U9" s="49">
        <f>IF(OR(A9="",D9=""),0,MAX(0,NETWORKDAYS(MAX(D9,DATE(Einstellungen!$C$3,10,1)),MIN(J9,DATE(Einstellungen!$C$3,11,0)),Einstellungen!$F$13:$F$32)))</f>
        <v/>
      </c>
      <c r="V9" s="49">
        <f>IF(OR(A9="",D9=""),0,MAX(0,NETWORKDAYS(MAX(D9,DATE(Einstellungen!$C$3,11,1)),MIN(J9,DATE(Einstellungen!$C$3,12,0)),Einstellungen!$F$13:$F$32)))</f>
        <v/>
      </c>
      <c r="W9" s="49">
        <f>IF(OR(A9="",D9=""),0,MAX(0,NETWORKDAYS(MAX(D9,DATE(Einstellungen!$C$3,12,1)),MIN(J9,DATE(Einstellungen!$C$3,13,0)),Einstellungen!$F$13:$F$32)))</f>
        <v/>
      </c>
      <c r="X9" s="50">
        <f>L9*K9</f>
        <v/>
      </c>
      <c r="Y9" s="50">
        <f>M9*K9</f>
        <v/>
      </c>
      <c r="Z9" s="50">
        <f>N9*K9</f>
        <v/>
      </c>
      <c r="AA9" s="50">
        <f>O9*K9</f>
        <v/>
      </c>
      <c r="AB9" s="50">
        <f>P9*K9</f>
        <v/>
      </c>
      <c r="AC9" s="50">
        <f>Q9*K9</f>
        <v/>
      </c>
      <c r="AD9" s="50">
        <f>R9*K9</f>
        <v/>
      </c>
      <c r="AE9" s="50">
        <f>S9*K9</f>
        <v/>
      </c>
      <c r="AF9" s="50">
        <f>T9*K9</f>
        <v/>
      </c>
      <c r="AG9" s="50">
        <f>U9*K9</f>
        <v/>
      </c>
      <c r="AH9" s="50">
        <f>V9*K9</f>
        <v/>
      </c>
      <c r="AI9" s="50">
        <f>W9*K9</f>
        <v/>
      </c>
    </row>
    <row r="10">
      <c r="A10" s="25" t="n">
        <v>1005</v>
      </c>
      <c r="B10" s="45">
        <f>IF(A10="","",IFERROR(INDEX(Mitarbeiter!$B$6:$B$205,MATCH($A10,Mitarbeiter!$A$6:$A$205,0)),"?"))</f>
        <v/>
      </c>
      <c r="C10" s="46" t="inlineStr">
        <is>
          <t>Objekt 1</t>
        </is>
      </c>
      <c r="D10" s="26" t="n">
        <v>46033</v>
      </c>
      <c r="E10" s="26" t="n">
        <v>46046</v>
      </c>
      <c r="F10" s="24">
        <f>IF(A10="","",SUM(L10:W10))</f>
        <v/>
      </c>
      <c r="G10" s="36">
        <f>IF(A10="","",SUM(X10:AI10))</f>
        <v/>
      </c>
      <c r="H10" s="8">
        <f>IF(A10="","",IF(ISNA(MATCH(A10,Mitarbeiter!$A$6:$A$205,0)),"Pers.-Nr. unbekannt",IF(D10="","Von fehlt",IF(AND(C10&lt;&gt;Einstellungen!$C$4,C10&lt;&gt;Einstellungen!$C$5),"Objekt fehlt",IF(J10&lt;D10,"Bis vor Von",IF(D10&lt;INDEX(Mitarbeiter!$C$6:$C$205,MATCH($A10,Mitarbeiter!$A$6:$A$205,0)),"vor Eintritt",IF(AND(INDEX(Mitarbeiter!$D$6:$D$205,MATCH($A10,Mitarbeiter!$A$6:$A$205,0))&lt;&gt;"",D10&gt;INDEX(Mitarbeiter!$D$6:$D$205,MATCH($A10,Mitarbeiter!$A$6:$A$205,0))),"nach Austritt",IF(E10="","offen","ok"))))))))</f>
        <v/>
      </c>
      <c r="J10" s="47">
        <f>IF(A10="","",IF(E10="",Einstellungen!$C$9,E10))</f>
        <v/>
      </c>
      <c r="K10" s="48">
        <f>IF(A10="",0,IFERROR(INDEX(Mitarbeiter!$F$6:$F$205,MATCH($A10,Mitarbeiter!$A$6:$A$205,0)),0))</f>
        <v/>
      </c>
      <c r="L10" s="49">
        <f>IF(OR(A10="",D10=""),0,MAX(0,NETWORKDAYS(MAX(D10,DATE(Einstellungen!$C$3,1,1)),MIN(J10,DATE(Einstellungen!$C$3,2,0)),Einstellungen!$F$13:$F$32)))</f>
        <v/>
      </c>
      <c r="M10" s="49">
        <f>IF(OR(A10="",D10=""),0,MAX(0,NETWORKDAYS(MAX(D10,DATE(Einstellungen!$C$3,2,1)),MIN(J10,DATE(Einstellungen!$C$3,3,0)),Einstellungen!$F$13:$F$32)))</f>
        <v/>
      </c>
      <c r="N10" s="49">
        <f>IF(OR(A10="",D10=""),0,MAX(0,NETWORKDAYS(MAX(D10,DATE(Einstellungen!$C$3,3,1)),MIN(J10,DATE(Einstellungen!$C$3,4,0)),Einstellungen!$F$13:$F$32)))</f>
        <v/>
      </c>
      <c r="O10" s="49">
        <f>IF(OR(A10="",D10=""),0,MAX(0,NETWORKDAYS(MAX(D10,DATE(Einstellungen!$C$3,4,1)),MIN(J10,DATE(Einstellungen!$C$3,5,0)),Einstellungen!$F$13:$F$32)))</f>
        <v/>
      </c>
      <c r="P10" s="49">
        <f>IF(OR(A10="",D10=""),0,MAX(0,NETWORKDAYS(MAX(D10,DATE(Einstellungen!$C$3,5,1)),MIN(J10,DATE(Einstellungen!$C$3,6,0)),Einstellungen!$F$13:$F$32)))</f>
        <v/>
      </c>
      <c r="Q10" s="49">
        <f>IF(OR(A10="",D10=""),0,MAX(0,NETWORKDAYS(MAX(D10,DATE(Einstellungen!$C$3,6,1)),MIN(J10,DATE(Einstellungen!$C$3,7,0)),Einstellungen!$F$13:$F$32)))</f>
        <v/>
      </c>
      <c r="R10" s="49">
        <f>IF(OR(A10="",D10=""),0,MAX(0,NETWORKDAYS(MAX(D10,DATE(Einstellungen!$C$3,7,1)),MIN(J10,DATE(Einstellungen!$C$3,8,0)),Einstellungen!$F$13:$F$32)))</f>
        <v/>
      </c>
      <c r="S10" s="49">
        <f>IF(OR(A10="",D10=""),0,MAX(0,NETWORKDAYS(MAX(D10,DATE(Einstellungen!$C$3,8,1)),MIN(J10,DATE(Einstellungen!$C$3,9,0)),Einstellungen!$F$13:$F$32)))</f>
        <v/>
      </c>
      <c r="T10" s="49">
        <f>IF(OR(A10="",D10=""),0,MAX(0,NETWORKDAYS(MAX(D10,DATE(Einstellungen!$C$3,9,1)),MIN(J10,DATE(Einstellungen!$C$3,10,0)),Einstellungen!$F$13:$F$32)))</f>
        <v/>
      </c>
      <c r="U10" s="49">
        <f>IF(OR(A10="",D10=""),0,MAX(0,NETWORKDAYS(MAX(D10,DATE(Einstellungen!$C$3,10,1)),MIN(J10,DATE(Einstellungen!$C$3,11,0)),Einstellungen!$F$13:$F$32)))</f>
        <v/>
      </c>
      <c r="V10" s="49">
        <f>IF(OR(A10="",D10=""),0,MAX(0,NETWORKDAYS(MAX(D10,DATE(Einstellungen!$C$3,11,1)),MIN(J10,DATE(Einstellungen!$C$3,12,0)),Einstellungen!$F$13:$F$32)))</f>
        <v/>
      </c>
      <c r="W10" s="49">
        <f>IF(OR(A10="",D10=""),0,MAX(0,NETWORKDAYS(MAX(D10,DATE(Einstellungen!$C$3,12,1)),MIN(J10,DATE(Einstellungen!$C$3,13,0)),Einstellungen!$F$13:$F$32)))</f>
        <v/>
      </c>
      <c r="X10" s="50">
        <f>L10*K10</f>
        <v/>
      </c>
      <c r="Y10" s="50">
        <f>M10*K10</f>
        <v/>
      </c>
      <c r="Z10" s="50">
        <f>N10*K10</f>
        <v/>
      </c>
      <c r="AA10" s="50">
        <f>O10*K10</f>
        <v/>
      </c>
      <c r="AB10" s="50">
        <f>P10*K10</f>
        <v/>
      </c>
      <c r="AC10" s="50">
        <f>Q10*K10</f>
        <v/>
      </c>
      <c r="AD10" s="50">
        <f>R10*K10</f>
        <v/>
      </c>
      <c r="AE10" s="50">
        <f>S10*K10</f>
        <v/>
      </c>
      <c r="AF10" s="50">
        <f>T10*K10</f>
        <v/>
      </c>
      <c r="AG10" s="50">
        <f>U10*K10</f>
        <v/>
      </c>
      <c r="AH10" s="50">
        <f>V10*K10</f>
        <v/>
      </c>
      <c r="AI10" s="50">
        <f>W10*K10</f>
        <v/>
      </c>
    </row>
    <row r="11">
      <c r="A11" s="25" t="n">
        <v>1043</v>
      </c>
      <c r="B11" s="45">
        <f>IF(A11="","",IFERROR(INDEX(Mitarbeiter!$B$6:$B$205,MATCH($A11,Mitarbeiter!$A$6:$A$205,0)),"?"))</f>
        <v/>
      </c>
      <c r="C11" s="46" t="inlineStr">
        <is>
          <t>Objekt 2</t>
        </is>
      </c>
      <c r="D11" s="26" t="n">
        <v>46035</v>
      </c>
      <c r="E11" s="26" t="n">
        <v>46036</v>
      </c>
      <c r="F11" s="24">
        <f>IF(A11="","",SUM(L11:W11))</f>
        <v/>
      </c>
      <c r="G11" s="36">
        <f>IF(A11="","",SUM(X11:AI11))</f>
        <v/>
      </c>
      <c r="H11" s="8">
        <f>IF(A11="","",IF(ISNA(MATCH(A11,Mitarbeiter!$A$6:$A$205,0)),"Pers.-Nr. unbekannt",IF(D11="","Von fehlt",IF(AND(C11&lt;&gt;Einstellungen!$C$4,C11&lt;&gt;Einstellungen!$C$5),"Objekt fehlt",IF(J11&lt;D11,"Bis vor Von",IF(D11&lt;INDEX(Mitarbeiter!$C$6:$C$205,MATCH($A11,Mitarbeiter!$A$6:$A$205,0)),"vor Eintritt",IF(AND(INDEX(Mitarbeiter!$D$6:$D$205,MATCH($A11,Mitarbeiter!$A$6:$A$205,0))&lt;&gt;"",D11&gt;INDEX(Mitarbeiter!$D$6:$D$205,MATCH($A11,Mitarbeiter!$A$6:$A$205,0))),"nach Austritt",IF(E11="","offen","ok"))))))))</f>
        <v/>
      </c>
      <c r="J11" s="47">
        <f>IF(A11="","",IF(E11="",Einstellungen!$C$9,E11))</f>
        <v/>
      </c>
      <c r="K11" s="48">
        <f>IF(A11="",0,IFERROR(INDEX(Mitarbeiter!$F$6:$F$205,MATCH($A11,Mitarbeiter!$A$6:$A$205,0)),0))</f>
        <v/>
      </c>
      <c r="L11" s="49">
        <f>IF(OR(A11="",D11=""),0,MAX(0,NETWORKDAYS(MAX(D11,DATE(Einstellungen!$C$3,1,1)),MIN(J11,DATE(Einstellungen!$C$3,2,0)),Einstellungen!$F$13:$F$32)))</f>
        <v/>
      </c>
      <c r="M11" s="49">
        <f>IF(OR(A11="",D11=""),0,MAX(0,NETWORKDAYS(MAX(D11,DATE(Einstellungen!$C$3,2,1)),MIN(J11,DATE(Einstellungen!$C$3,3,0)),Einstellungen!$F$13:$F$32)))</f>
        <v/>
      </c>
      <c r="N11" s="49">
        <f>IF(OR(A11="",D11=""),0,MAX(0,NETWORKDAYS(MAX(D11,DATE(Einstellungen!$C$3,3,1)),MIN(J11,DATE(Einstellungen!$C$3,4,0)),Einstellungen!$F$13:$F$32)))</f>
        <v/>
      </c>
      <c r="O11" s="49">
        <f>IF(OR(A11="",D11=""),0,MAX(0,NETWORKDAYS(MAX(D11,DATE(Einstellungen!$C$3,4,1)),MIN(J11,DATE(Einstellungen!$C$3,5,0)),Einstellungen!$F$13:$F$32)))</f>
        <v/>
      </c>
      <c r="P11" s="49">
        <f>IF(OR(A11="",D11=""),0,MAX(0,NETWORKDAYS(MAX(D11,DATE(Einstellungen!$C$3,5,1)),MIN(J11,DATE(Einstellungen!$C$3,6,0)),Einstellungen!$F$13:$F$32)))</f>
        <v/>
      </c>
      <c r="Q11" s="49">
        <f>IF(OR(A11="",D11=""),0,MAX(0,NETWORKDAYS(MAX(D11,DATE(Einstellungen!$C$3,6,1)),MIN(J11,DATE(Einstellungen!$C$3,7,0)),Einstellungen!$F$13:$F$32)))</f>
        <v/>
      </c>
      <c r="R11" s="49">
        <f>IF(OR(A11="",D11=""),0,MAX(0,NETWORKDAYS(MAX(D11,DATE(Einstellungen!$C$3,7,1)),MIN(J11,DATE(Einstellungen!$C$3,8,0)),Einstellungen!$F$13:$F$32)))</f>
        <v/>
      </c>
      <c r="S11" s="49">
        <f>IF(OR(A11="",D11=""),0,MAX(0,NETWORKDAYS(MAX(D11,DATE(Einstellungen!$C$3,8,1)),MIN(J11,DATE(Einstellungen!$C$3,9,0)),Einstellungen!$F$13:$F$32)))</f>
        <v/>
      </c>
      <c r="T11" s="49">
        <f>IF(OR(A11="",D11=""),0,MAX(0,NETWORKDAYS(MAX(D11,DATE(Einstellungen!$C$3,9,1)),MIN(J11,DATE(Einstellungen!$C$3,10,0)),Einstellungen!$F$13:$F$32)))</f>
        <v/>
      </c>
      <c r="U11" s="49">
        <f>IF(OR(A11="",D11=""),0,MAX(0,NETWORKDAYS(MAX(D11,DATE(Einstellungen!$C$3,10,1)),MIN(J11,DATE(Einstellungen!$C$3,11,0)),Einstellungen!$F$13:$F$32)))</f>
        <v/>
      </c>
      <c r="V11" s="49">
        <f>IF(OR(A11="",D11=""),0,MAX(0,NETWORKDAYS(MAX(D11,DATE(Einstellungen!$C$3,11,1)),MIN(J11,DATE(Einstellungen!$C$3,12,0)),Einstellungen!$F$13:$F$32)))</f>
        <v/>
      </c>
      <c r="W11" s="49">
        <f>IF(OR(A11="",D11=""),0,MAX(0,NETWORKDAYS(MAX(D11,DATE(Einstellungen!$C$3,12,1)),MIN(J11,DATE(Einstellungen!$C$3,13,0)),Einstellungen!$F$13:$F$32)))</f>
        <v/>
      </c>
      <c r="X11" s="50">
        <f>L11*K11</f>
        <v/>
      </c>
      <c r="Y11" s="50">
        <f>M11*K11</f>
        <v/>
      </c>
      <c r="Z11" s="50">
        <f>N11*K11</f>
        <v/>
      </c>
      <c r="AA11" s="50">
        <f>O11*K11</f>
        <v/>
      </c>
      <c r="AB11" s="50">
        <f>P11*K11</f>
        <v/>
      </c>
      <c r="AC11" s="50">
        <f>Q11*K11</f>
        <v/>
      </c>
      <c r="AD11" s="50">
        <f>R11*K11</f>
        <v/>
      </c>
      <c r="AE11" s="50">
        <f>S11*K11</f>
        <v/>
      </c>
      <c r="AF11" s="50">
        <f>T11*K11</f>
        <v/>
      </c>
      <c r="AG11" s="50">
        <f>U11*K11</f>
        <v/>
      </c>
      <c r="AH11" s="50">
        <f>V11*K11</f>
        <v/>
      </c>
      <c r="AI11" s="50">
        <f>W11*K11</f>
        <v/>
      </c>
    </row>
    <row r="12">
      <c r="A12" s="25" t="n">
        <v>1036</v>
      </c>
      <c r="B12" s="45">
        <f>IF(A12="","",IFERROR(INDEX(Mitarbeiter!$B$6:$B$205,MATCH($A12,Mitarbeiter!$A$6:$A$205,0)),"?"))</f>
        <v/>
      </c>
      <c r="C12" s="46" t="inlineStr">
        <is>
          <t>Objekt 2</t>
        </is>
      </c>
      <c r="D12" s="26" t="n">
        <v>46036</v>
      </c>
      <c r="E12" s="26" t="n">
        <v>46056</v>
      </c>
      <c r="F12" s="24">
        <f>IF(A12="","",SUM(L12:W12))</f>
        <v/>
      </c>
      <c r="G12" s="36">
        <f>IF(A12="","",SUM(X12:AI12))</f>
        <v/>
      </c>
      <c r="H12" s="8">
        <f>IF(A12="","",IF(ISNA(MATCH(A12,Mitarbeiter!$A$6:$A$205,0)),"Pers.-Nr. unbekannt",IF(D12="","Von fehlt",IF(AND(C12&lt;&gt;Einstellungen!$C$4,C12&lt;&gt;Einstellungen!$C$5),"Objekt fehlt",IF(J12&lt;D12,"Bis vor Von",IF(D12&lt;INDEX(Mitarbeiter!$C$6:$C$205,MATCH($A12,Mitarbeiter!$A$6:$A$205,0)),"vor Eintritt",IF(AND(INDEX(Mitarbeiter!$D$6:$D$205,MATCH($A12,Mitarbeiter!$A$6:$A$205,0))&lt;&gt;"",D12&gt;INDEX(Mitarbeiter!$D$6:$D$205,MATCH($A12,Mitarbeiter!$A$6:$A$205,0))),"nach Austritt",IF(E12="","offen","ok"))))))))</f>
        <v/>
      </c>
      <c r="J12" s="47">
        <f>IF(A12="","",IF(E12="",Einstellungen!$C$9,E12))</f>
        <v/>
      </c>
      <c r="K12" s="48">
        <f>IF(A12="",0,IFERROR(INDEX(Mitarbeiter!$F$6:$F$205,MATCH($A12,Mitarbeiter!$A$6:$A$205,0)),0))</f>
        <v/>
      </c>
      <c r="L12" s="49">
        <f>IF(OR(A12="",D12=""),0,MAX(0,NETWORKDAYS(MAX(D12,DATE(Einstellungen!$C$3,1,1)),MIN(J12,DATE(Einstellungen!$C$3,2,0)),Einstellungen!$F$13:$F$32)))</f>
        <v/>
      </c>
      <c r="M12" s="49">
        <f>IF(OR(A12="",D12=""),0,MAX(0,NETWORKDAYS(MAX(D12,DATE(Einstellungen!$C$3,2,1)),MIN(J12,DATE(Einstellungen!$C$3,3,0)),Einstellungen!$F$13:$F$32)))</f>
        <v/>
      </c>
      <c r="N12" s="49">
        <f>IF(OR(A12="",D12=""),0,MAX(0,NETWORKDAYS(MAX(D12,DATE(Einstellungen!$C$3,3,1)),MIN(J12,DATE(Einstellungen!$C$3,4,0)),Einstellungen!$F$13:$F$32)))</f>
        <v/>
      </c>
      <c r="O12" s="49">
        <f>IF(OR(A12="",D12=""),0,MAX(0,NETWORKDAYS(MAX(D12,DATE(Einstellungen!$C$3,4,1)),MIN(J12,DATE(Einstellungen!$C$3,5,0)),Einstellungen!$F$13:$F$32)))</f>
        <v/>
      </c>
      <c r="P12" s="49">
        <f>IF(OR(A12="",D12=""),0,MAX(0,NETWORKDAYS(MAX(D12,DATE(Einstellungen!$C$3,5,1)),MIN(J12,DATE(Einstellungen!$C$3,6,0)),Einstellungen!$F$13:$F$32)))</f>
        <v/>
      </c>
      <c r="Q12" s="49">
        <f>IF(OR(A12="",D12=""),0,MAX(0,NETWORKDAYS(MAX(D12,DATE(Einstellungen!$C$3,6,1)),MIN(J12,DATE(Einstellungen!$C$3,7,0)),Einstellungen!$F$13:$F$32)))</f>
        <v/>
      </c>
      <c r="R12" s="49">
        <f>IF(OR(A12="",D12=""),0,MAX(0,NETWORKDAYS(MAX(D12,DATE(Einstellungen!$C$3,7,1)),MIN(J12,DATE(Einstellungen!$C$3,8,0)),Einstellungen!$F$13:$F$32)))</f>
        <v/>
      </c>
      <c r="S12" s="49">
        <f>IF(OR(A12="",D12=""),0,MAX(0,NETWORKDAYS(MAX(D12,DATE(Einstellungen!$C$3,8,1)),MIN(J12,DATE(Einstellungen!$C$3,9,0)),Einstellungen!$F$13:$F$32)))</f>
        <v/>
      </c>
      <c r="T12" s="49">
        <f>IF(OR(A12="",D12=""),0,MAX(0,NETWORKDAYS(MAX(D12,DATE(Einstellungen!$C$3,9,1)),MIN(J12,DATE(Einstellungen!$C$3,10,0)),Einstellungen!$F$13:$F$32)))</f>
        <v/>
      </c>
      <c r="U12" s="49">
        <f>IF(OR(A12="",D12=""),0,MAX(0,NETWORKDAYS(MAX(D12,DATE(Einstellungen!$C$3,10,1)),MIN(J12,DATE(Einstellungen!$C$3,11,0)),Einstellungen!$F$13:$F$32)))</f>
        <v/>
      </c>
      <c r="V12" s="49">
        <f>IF(OR(A12="",D12=""),0,MAX(0,NETWORKDAYS(MAX(D12,DATE(Einstellungen!$C$3,11,1)),MIN(J12,DATE(Einstellungen!$C$3,12,0)),Einstellungen!$F$13:$F$32)))</f>
        <v/>
      </c>
      <c r="W12" s="49">
        <f>IF(OR(A12="",D12=""),0,MAX(0,NETWORKDAYS(MAX(D12,DATE(Einstellungen!$C$3,12,1)),MIN(J12,DATE(Einstellungen!$C$3,13,0)),Einstellungen!$F$13:$F$32)))</f>
        <v/>
      </c>
      <c r="X12" s="50">
        <f>L12*K12</f>
        <v/>
      </c>
      <c r="Y12" s="50">
        <f>M12*K12</f>
        <v/>
      </c>
      <c r="Z12" s="50">
        <f>N12*K12</f>
        <v/>
      </c>
      <c r="AA12" s="50">
        <f>O12*K12</f>
        <v/>
      </c>
      <c r="AB12" s="50">
        <f>P12*K12</f>
        <v/>
      </c>
      <c r="AC12" s="50">
        <f>Q12*K12</f>
        <v/>
      </c>
      <c r="AD12" s="50">
        <f>R12*K12</f>
        <v/>
      </c>
      <c r="AE12" s="50">
        <f>S12*K12</f>
        <v/>
      </c>
      <c r="AF12" s="50">
        <f>T12*K12</f>
        <v/>
      </c>
      <c r="AG12" s="50">
        <f>U12*K12</f>
        <v/>
      </c>
      <c r="AH12" s="50">
        <f>V12*K12</f>
        <v/>
      </c>
      <c r="AI12" s="50">
        <f>W12*K12</f>
        <v/>
      </c>
    </row>
    <row r="13">
      <c r="A13" s="25" t="n">
        <v>1009</v>
      </c>
      <c r="B13" s="45">
        <f>IF(A13="","",IFERROR(INDEX(Mitarbeiter!$B$6:$B$205,MATCH($A13,Mitarbeiter!$A$6:$A$205,0)),"?"))</f>
        <v/>
      </c>
      <c r="C13" s="46" t="inlineStr">
        <is>
          <t>Objekt 2</t>
        </is>
      </c>
      <c r="D13" s="26" t="n">
        <v>46036</v>
      </c>
      <c r="E13" s="26" t="n">
        <v>46037</v>
      </c>
      <c r="F13" s="24">
        <f>IF(A13="","",SUM(L13:W13))</f>
        <v/>
      </c>
      <c r="G13" s="36">
        <f>IF(A13="","",SUM(X13:AI13))</f>
        <v/>
      </c>
      <c r="H13" s="8">
        <f>IF(A13="","",IF(ISNA(MATCH(A13,Mitarbeiter!$A$6:$A$205,0)),"Pers.-Nr. unbekannt",IF(D13="","Von fehlt",IF(AND(C13&lt;&gt;Einstellungen!$C$4,C13&lt;&gt;Einstellungen!$C$5),"Objekt fehlt",IF(J13&lt;D13,"Bis vor Von",IF(D13&lt;INDEX(Mitarbeiter!$C$6:$C$205,MATCH($A13,Mitarbeiter!$A$6:$A$205,0)),"vor Eintritt",IF(AND(INDEX(Mitarbeiter!$D$6:$D$205,MATCH($A13,Mitarbeiter!$A$6:$A$205,0))&lt;&gt;"",D13&gt;INDEX(Mitarbeiter!$D$6:$D$205,MATCH($A13,Mitarbeiter!$A$6:$A$205,0))),"nach Austritt",IF(E13="","offen","ok"))))))))</f>
        <v/>
      </c>
      <c r="J13" s="47">
        <f>IF(A13="","",IF(E13="",Einstellungen!$C$9,E13))</f>
        <v/>
      </c>
      <c r="K13" s="48">
        <f>IF(A13="",0,IFERROR(INDEX(Mitarbeiter!$F$6:$F$205,MATCH($A13,Mitarbeiter!$A$6:$A$205,0)),0))</f>
        <v/>
      </c>
      <c r="L13" s="49">
        <f>IF(OR(A13="",D13=""),0,MAX(0,NETWORKDAYS(MAX(D13,DATE(Einstellungen!$C$3,1,1)),MIN(J13,DATE(Einstellungen!$C$3,2,0)),Einstellungen!$F$13:$F$32)))</f>
        <v/>
      </c>
      <c r="M13" s="49">
        <f>IF(OR(A13="",D13=""),0,MAX(0,NETWORKDAYS(MAX(D13,DATE(Einstellungen!$C$3,2,1)),MIN(J13,DATE(Einstellungen!$C$3,3,0)),Einstellungen!$F$13:$F$32)))</f>
        <v/>
      </c>
      <c r="N13" s="49">
        <f>IF(OR(A13="",D13=""),0,MAX(0,NETWORKDAYS(MAX(D13,DATE(Einstellungen!$C$3,3,1)),MIN(J13,DATE(Einstellungen!$C$3,4,0)),Einstellungen!$F$13:$F$32)))</f>
        <v/>
      </c>
      <c r="O13" s="49">
        <f>IF(OR(A13="",D13=""),0,MAX(0,NETWORKDAYS(MAX(D13,DATE(Einstellungen!$C$3,4,1)),MIN(J13,DATE(Einstellungen!$C$3,5,0)),Einstellungen!$F$13:$F$32)))</f>
        <v/>
      </c>
      <c r="P13" s="49">
        <f>IF(OR(A13="",D13=""),0,MAX(0,NETWORKDAYS(MAX(D13,DATE(Einstellungen!$C$3,5,1)),MIN(J13,DATE(Einstellungen!$C$3,6,0)),Einstellungen!$F$13:$F$32)))</f>
        <v/>
      </c>
      <c r="Q13" s="49">
        <f>IF(OR(A13="",D13=""),0,MAX(0,NETWORKDAYS(MAX(D13,DATE(Einstellungen!$C$3,6,1)),MIN(J13,DATE(Einstellungen!$C$3,7,0)),Einstellungen!$F$13:$F$32)))</f>
        <v/>
      </c>
      <c r="R13" s="49">
        <f>IF(OR(A13="",D13=""),0,MAX(0,NETWORKDAYS(MAX(D13,DATE(Einstellungen!$C$3,7,1)),MIN(J13,DATE(Einstellungen!$C$3,8,0)),Einstellungen!$F$13:$F$32)))</f>
        <v/>
      </c>
      <c r="S13" s="49">
        <f>IF(OR(A13="",D13=""),0,MAX(0,NETWORKDAYS(MAX(D13,DATE(Einstellungen!$C$3,8,1)),MIN(J13,DATE(Einstellungen!$C$3,9,0)),Einstellungen!$F$13:$F$32)))</f>
        <v/>
      </c>
      <c r="T13" s="49">
        <f>IF(OR(A13="",D13=""),0,MAX(0,NETWORKDAYS(MAX(D13,DATE(Einstellungen!$C$3,9,1)),MIN(J13,DATE(Einstellungen!$C$3,10,0)),Einstellungen!$F$13:$F$32)))</f>
        <v/>
      </c>
      <c r="U13" s="49">
        <f>IF(OR(A13="",D13=""),0,MAX(0,NETWORKDAYS(MAX(D13,DATE(Einstellungen!$C$3,10,1)),MIN(J13,DATE(Einstellungen!$C$3,11,0)),Einstellungen!$F$13:$F$32)))</f>
        <v/>
      </c>
      <c r="V13" s="49">
        <f>IF(OR(A13="",D13=""),0,MAX(0,NETWORKDAYS(MAX(D13,DATE(Einstellungen!$C$3,11,1)),MIN(J13,DATE(Einstellungen!$C$3,12,0)),Einstellungen!$F$13:$F$32)))</f>
        <v/>
      </c>
      <c r="W13" s="49">
        <f>IF(OR(A13="",D13=""),0,MAX(0,NETWORKDAYS(MAX(D13,DATE(Einstellungen!$C$3,12,1)),MIN(J13,DATE(Einstellungen!$C$3,13,0)),Einstellungen!$F$13:$F$32)))</f>
        <v/>
      </c>
      <c r="X13" s="50">
        <f>L13*K13</f>
        <v/>
      </c>
      <c r="Y13" s="50">
        <f>M13*K13</f>
        <v/>
      </c>
      <c r="Z13" s="50">
        <f>N13*K13</f>
        <v/>
      </c>
      <c r="AA13" s="50">
        <f>O13*K13</f>
        <v/>
      </c>
      <c r="AB13" s="50">
        <f>P13*K13</f>
        <v/>
      </c>
      <c r="AC13" s="50">
        <f>Q13*K13</f>
        <v/>
      </c>
      <c r="AD13" s="50">
        <f>R13*K13</f>
        <v/>
      </c>
      <c r="AE13" s="50">
        <f>S13*K13</f>
        <v/>
      </c>
      <c r="AF13" s="50">
        <f>T13*K13</f>
        <v/>
      </c>
      <c r="AG13" s="50">
        <f>U13*K13</f>
        <v/>
      </c>
      <c r="AH13" s="50">
        <f>V13*K13</f>
        <v/>
      </c>
      <c r="AI13" s="50">
        <f>W13*K13</f>
        <v/>
      </c>
    </row>
    <row r="14">
      <c r="A14" s="25" t="n">
        <v>1014</v>
      </c>
      <c r="B14" s="45">
        <f>IF(A14="","",IFERROR(INDEX(Mitarbeiter!$B$6:$B$205,MATCH($A14,Mitarbeiter!$A$6:$A$205,0)),"?"))</f>
        <v/>
      </c>
      <c r="C14" s="46" t="inlineStr">
        <is>
          <t>Objekt 2</t>
        </is>
      </c>
      <c r="D14" s="26" t="n">
        <v>46037</v>
      </c>
      <c r="E14" s="26" t="n">
        <v>46043</v>
      </c>
      <c r="F14" s="24">
        <f>IF(A14="","",SUM(L14:W14))</f>
        <v/>
      </c>
      <c r="G14" s="36">
        <f>IF(A14="","",SUM(X14:AI14))</f>
        <v/>
      </c>
      <c r="H14" s="8">
        <f>IF(A14="","",IF(ISNA(MATCH(A14,Mitarbeiter!$A$6:$A$205,0)),"Pers.-Nr. unbekannt",IF(D14="","Von fehlt",IF(AND(C14&lt;&gt;Einstellungen!$C$4,C14&lt;&gt;Einstellungen!$C$5),"Objekt fehlt",IF(J14&lt;D14,"Bis vor Von",IF(D14&lt;INDEX(Mitarbeiter!$C$6:$C$205,MATCH($A14,Mitarbeiter!$A$6:$A$205,0)),"vor Eintritt",IF(AND(INDEX(Mitarbeiter!$D$6:$D$205,MATCH($A14,Mitarbeiter!$A$6:$A$205,0))&lt;&gt;"",D14&gt;INDEX(Mitarbeiter!$D$6:$D$205,MATCH($A14,Mitarbeiter!$A$6:$A$205,0))),"nach Austritt",IF(E14="","offen","ok"))))))))</f>
        <v/>
      </c>
      <c r="J14" s="47">
        <f>IF(A14="","",IF(E14="",Einstellungen!$C$9,E14))</f>
        <v/>
      </c>
      <c r="K14" s="48">
        <f>IF(A14="",0,IFERROR(INDEX(Mitarbeiter!$F$6:$F$205,MATCH($A14,Mitarbeiter!$A$6:$A$205,0)),0))</f>
        <v/>
      </c>
      <c r="L14" s="49">
        <f>IF(OR(A14="",D14=""),0,MAX(0,NETWORKDAYS(MAX(D14,DATE(Einstellungen!$C$3,1,1)),MIN(J14,DATE(Einstellungen!$C$3,2,0)),Einstellungen!$F$13:$F$32)))</f>
        <v/>
      </c>
      <c r="M14" s="49">
        <f>IF(OR(A14="",D14=""),0,MAX(0,NETWORKDAYS(MAX(D14,DATE(Einstellungen!$C$3,2,1)),MIN(J14,DATE(Einstellungen!$C$3,3,0)),Einstellungen!$F$13:$F$32)))</f>
        <v/>
      </c>
      <c r="N14" s="49">
        <f>IF(OR(A14="",D14=""),0,MAX(0,NETWORKDAYS(MAX(D14,DATE(Einstellungen!$C$3,3,1)),MIN(J14,DATE(Einstellungen!$C$3,4,0)),Einstellungen!$F$13:$F$32)))</f>
        <v/>
      </c>
      <c r="O14" s="49">
        <f>IF(OR(A14="",D14=""),0,MAX(0,NETWORKDAYS(MAX(D14,DATE(Einstellungen!$C$3,4,1)),MIN(J14,DATE(Einstellungen!$C$3,5,0)),Einstellungen!$F$13:$F$32)))</f>
        <v/>
      </c>
      <c r="P14" s="49">
        <f>IF(OR(A14="",D14=""),0,MAX(0,NETWORKDAYS(MAX(D14,DATE(Einstellungen!$C$3,5,1)),MIN(J14,DATE(Einstellungen!$C$3,6,0)),Einstellungen!$F$13:$F$32)))</f>
        <v/>
      </c>
      <c r="Q14" s="49">
        <f>IF(OR(A14="",D14=""),0,MAX(0,NETWORKDAYS(MAX(D14,DATE(Einstellungen!$C$3,6,1)),MIN(J14,DATE(Einstellungen!$C$3,7,0)),Einstellungen!$F$13:$F$32)))</f>
        <v/>
      </c>
      <c r="R14" s="49">
        <f>IF(OR(A14="",D14=""),0,MAX(0,NETWORKDAYS(MAX(D14,DATE(Einstellungen!$C$3,7,1)),MIN(J14,DATE(Einstellungen!$C$3,8,0)),Einstellungen!$F$13:$F$32)))</f>
        <v/>
      </c>
      <c r="S14" s="49">
        <f>IF(OR(A14="",D14=""),0,MAX(0,NETWORKDAYS(MAX(D14,DATE(Einstellungen!$C$3,8,1)),MIN(J14,DATE(Einstellungen!$C$3,9,0)),Einstellungen!$F$13:$F$32)))</f>
        <v/>
      </c>
      <c r="T14" s="49">
        <f>IF(OR(A14="",D14=""),0,MAX(0,NETWORKDAYS(MAX(D14,DATE(Einstellungen!$C$3,9,1)),MIN(J14,DATE(Einstellungen!$C$3,10,0)),Einstellungen!$F$13:$F$32)))</f>
        <v/>
      </c>
      <c r="U14" s="49">
        <f>IF(OR(A14="",D14=""),0,MAX(0,NETWORKDAYS(MAX(D14,DATE(Einstellungen!$C$3,10,1)),MIN(J14,DATE(Einstellungen!$C$3,11,0)),Einstellungen!$F$13:$F$32)))</f>
        <v/>
      </c>
      <c r="V14" s="49">
        <f>IF(OR(A14="",D14=""),0,MAX(0,NETWORKDAYS(MAX(D14,DATE(Einstellungen!$C$3,11,1)),MIN(J14,DATE(Einstellungen!$C$3,12,0)),Einstellungen!$F$13:$F$32)))</f>
        <v/>
      </c>
      <c r="W14" s="49">
        <f>IF(OR(A14="",D14=""),0,MAX(0,NETWORKDAYS(MAX(D14,DATE(Einstellungen!$C$3,12,1)),MIN(J14,DATE(Einstellungen!$C$3,13,0)),Einstellungen!$F$13:$F$32)))</f>
        <v/>
      </c>
      <c r="X14" s="50">
        <f>L14*K14</f>
        <v/>
      </c>
      <c r="Y14" s="50">
        <f>M14*K14</f>
        <v/>
      </c>
      <c r="Z14" s="50">
        <f>N14*K14</f>
        <v/>
      </c>
      <c r="AA14" s="50">
        <f>O14*K14</f>
        <v/>
      </c>
      <c r="AB14" s="50">
        <f>P14*K14</f>
        <v/>
      </c>
      <c r="AC14" s="50">
        <f>Q14*K14</f>
        <v/>
      </c>
      <c r="AD14" s="50">
        <f>R14*K14</f>
        <v/>
      </c>
      <c r="AE14" s="50">
        <f>S14*K14</f>
        <v/>
      </c>
      <c r="AF14" s="50">
        <f>T14*K14</f>
        <v/>
      </c>
      <c r="AG14" s="50">
        <f>U14*K14</f>
        <v/>
      </c>
      <c r="AH14" s="50">
        <f>V14*K14</f>
        <v/>
      </c>
      <c r="AI14" s="50">
        <f>W14*K14</f>
        <v/>
      </c>
    </row>
    <row r="15">
      <c r="A15" s="25" t="n">
        <v>1037</v>
      </c>
      <c r="B15" s="45">
        <f>IF(A15="","",IFERROR(INDEX(Mitarbeiter!$B$6:$B$205,MATCH($A15,Mitarbeiter!$A$6:$A$205,0)),"?"))</f>
        <v/>
      </c>
      <c r="C15" s="46" t="inlineStr">
        <is>
          <t>Objekt 1</t>
        </is>
      </c>
      <c r="D15" s="26" t="n">
        <v>46037</v>
      </c>
      <c r="E15" s="26" t="n">
        <v>46039</v>
      </c>
      <c r="F15" s="24">
        <f>IF(A15="","",SUM(L15:W15))</f>
        <v/>
      </c>
      <c r="G15" s="36">
        <f>IF(A15="","",SUM(X15:AI15))</f>
        <v/>
      </c>
      <c r="H15" s="8">
        <f>IF(A15="","",IF(ISNA(MATCH(A15,Mitarbeiter!$A$6:$A$205,0)),"Pers.-Nr. unbekannt",IF(D15="","Von fehlt",IF(AND(C15&lt;&gt;Einstellungen!$C$4,C15&lt;&gt;Einstellungen!$C$5),"Objekt fehlt",IF(J15&lt;D15,"Bis vor Von",IF(D15&lt;INDEX(Mitarbeiter!$C$6:$C$205,MATCH($A15,Mitarbeiter!$A$6:$A$205,0)),"vor Eintritt",IF(AND(INDEX(Mitarbeiter!$D$6:$D$205,MATCH($A15,Mitarbeiter!$A$6:$A$205,0))&lt;&gt;"",D15&gt;INDEX(Mitarbeiter!$D$6:$D$205,MATCH($A15,Mitarbeiter!$A$6:$A$205,0))),"nach Austritt",IF(E15="","offen","ok"))))))))</f>
        <v/>
      </c>
      <c r="J15" s="47">
        <f>IF(A15="","",IF(E15="",Einstellungen!$C$9,E15))</f>
        <v/>
      </c>
      <c r="K15" s="48">
        <f>IF(A15="",0,IFERROR(INDEX(Mitarbeiter!$F$6:$F$205,MATCH($A15,Mitarbeiter!$A$6:$A$205,0)),0))</f>
        <v/>
      </c>
      <c r="L15" s="49">
        <f>IF(OR(A15="",D15=""),0,MAX(0,NETWORKDAYS(MAX(D15,DATE(Einstellungen!$C$3,1,1)),MIN(J15,DATE(Einstellungen!$C$3,2,0)),Einstellungen!$F$13:$F$32)))</f>
        <v/>
      </c>
      <c r="M15" s="49">
        <f>IF(OR(A15="",D15=""),0,MAX(0,NETWORKDAYS(MAX(D15,DATE(Einstellungen!$C$3,2,1)),MIN(J15,DATE(Einstellungen!$C$3,3,0)),Einstellungen!$F$13:$F$32)))</f>
        <v/>
      </c>
      <c r="N15" s="49">
        <f>IF(OR(A15="",D15=""),0,MAX(0,NETWORKDAYS(MAX(D15,DATE(Einstellungen!$C$3,3,1)),MIN(J15,DATE(Einstellungen!$C$3,4,0)),Einstellungen!$F$13:$F$32)))</f>
        <v/>
      </c>
      <c r="O15" s="49">
        <f>IF(OR(A15="",D15=""),0,MAX(0,NETWORKDAYS(MAX(D15,DATE(Einstellungen!$C$3,4,1)),MIN(J15,DATE(Einstellungen!$C$3,5,0)),Einstellungen!$F$13:$F$32)))</f>
        <v/>
      </c>
      <c r="P15" s="49">
        <f>IF(OR(A15="",D15=""),0,MAX(0,NETWORKDAYS(MAX(D15,DATE(Einstellungen!$C$3,5,1)),MIN(J15,DATE(Einstellungen!$C$3,6,0)),Einstellungen!$F$13:$F$32)))</f>
        <v/>
      </c>
      <c r="Q15" s="49">
        <f>IF(OR(A15="",D15=""),0,MAX(0,NETWORKDAYS(MAX(D15,DATE(Einstellungen!$C$3,6,1)),MIN(J15,DATE(Einstellungen!$C$3,7,0)),Einstellungen!$F$13:$F$32)))</f>
        <v/>
      </c>
      <c r="R15" s="49">
        <f>IF(OR(A15="",D15=""),0,MAX(0,NETWORKDAYS(MAX(D15,DATE(Einstellungen!$C$3,7,1)),MIN(J15,DATE(Einstellungen!$C$3,8,0)),Einstellungen!$F$13:$F$32)))</f>
        <v/>
      </c>
      <c r="S15" s="49">
        <f>IF(OR(A15="",D15=""),0,MAX(0,NETWORKDAYS(MAX(D15,DATE(Einstellungen!$C$3,8,1)),MIN(J15,DATE(Einstellungen!$C$3,9,0)),Einstellungen!$F$13:$F$32)))</f>
        <v/>
      </c>
      <c r="T15" s="49">
        <f>IF(OR(A15="",D15=""),0,MAX(0,NETWORKDAYS(MAX(D15,DATE(Einstellungen!$C$3,9,1)),MIN(J15,DATE(Einstellungen!$C$3,10,0)),Einstellungen!$F$13:$F$32)))</f>
        <v/>
      </c>
      <c r="U15" s="49">
        <f>IF(OR(A15="",D15=""),0,MAX(0,NETWORKDAYS(MAX(D15,DATE(Einstellungen!$C$3,10,1)),MIN(J15,DATE(Einstellungen!$C$3,11,0)),Einstellungen!$F$13:$F$32)))</f>
        <v/>
      </c>
      <c r="V15" s="49">
        <f>IF(OR(A15="",D15=""),0,MAX(0,NETWORKDAYS(MAX(D15,DATE(Einstellungen!$C$3,11,1)),MIN(J15,DATE(Einstellungen!$C$3,12,0)),Einstellungen!$F$13:$F$32)))</f>
        <v/>
      </c>
      <c r="W15" s="49">
        <f>IF(OR(A15="",D15=""),0,MAX(0,NETWORKDAYS(MAX(D15,DATE(Einstellungen!$C$3,12,1)),MIN(J15,DATE(Einstellungen!$C$3,13,0)),Einstellungen!$F$13:$F$32)))</f>
        <v/>
      </c>
      <c r="X15" s="50">
        <f>L15*K15</f>
        <v/>
      </c>
      <c r="Y15" s="50">
        <f>M15*K15</f>
        <v/>
      </c>
      <c r="Z15" s="50">
        <f>N15*K15</f>
        <v/>
      </c>
      <c r="AA15" s="50">
        <f>O15*K15</f>
        <v/>
      </c>
      <c r="AB15" s="50">
        <f>P15*K15</f>
        <v/>
      </c>
      <c r="AC15" s="50">
        <f>Q15*K15</f>
        <v/>
      </c>
      <c r="AD15" s="50">
        <f>R15*K15</f>
        <v/>
      </c>
      <c r="AE15" s="50">
        <f>S15*K15</f>
        <v/>
      </c>
      <c r="AF15" s="50">
        <f>T15*K15</f>
        <v/>
      </c>
      <c r="AG15" s="50">
        <f>U15*K15</f>
        <v/>
      </c>
      <c r="AH15" s="50">
        <f>V15*K15</f>
        <v/>
      </c>
      <c r="AI15" s="50">
        <f>W15*K15</f>
        <v/>
      </c>
    </row>
    <row r="16">
      <c r="A16" s="25" t="n">
        <v>1012</v>
      </c>
      <c r="B16" s="45">
        <f>IF(A16="","",IFERROR(INDEX(Mitarbeiter!$B$6:$B$205,MATCH($A16,Mitarbeiter!$A$6:$A$205,0)),"?"))</f>
        <v/>
      </c>
      <c r="C16" s="46" t="inlineStr">
        <is>
          <t>Objekt 2</t>
        </is>
      </c>
      <c r="D16" s="26" t="n">
        <v>46038</v>
      </c>
      <c r="E16" s="26" t="n">
        <v>46042</v>
      </c>
      <c r="F16" s="24">
        <f>IF(A16="","",SUM(L16:W16))</f>
        <v/>
      </c>
      <c r="G16" s="36">
        <f>IF(A16="","",SUM(X16:AI16))</f>
        <v/>
      </c>
      <c r="H16" s="8">
        <f>IF(A16="","",IF(ISNA(MATCH(A16,Mitarbeiter!$A$6:$A$205,0)),"Pers.-Nr. unbekannt",IF(D16="","Von fehlt",IF(AND(C16&lt;&gt;Einstellungen!$C$4,C16&lt;&gt;Einstellungen!$C$5),"Objekt fehlt",IF(J16&lt;D16,"Bis vor Von",IF(D16&lt;INDEX(Mitarbeiter!$C$6:$C$205,MATCH($A16,Mitarbeiter!$A$6:$A$205,0)),"vor Eintritt",IF(AND(INDEX(Mitarbeiter!$D$6:$D$205,MATCH($A16,Mitarbeiter!$A$6:$A$205,0))&lt;&gt;"",D16&gt;INDEX(Mitarbeiter!$D$6:$D$205,MATCH($A16,Mitarbeiter!$A$6:$A$205,0))),"nach Austritt",IF(E16="","offen","ok"))))))))</f>
        <v/>
      </c>
      <c r="J16" s="47">
        <f>IF(A16="","",IF(E16="",Einstellungen!$C$9,E16))</f>
        <v/>
      </c>
      <c r="K16" s="48">
        <f>IF(A16="",0,IFERROR(INDEX(Mitarbeiter!$F$6:$F$205,MATCH($A16,Mitarbeiter!$A$6:$A$205,0)),0))</f>
        <v/>
      </c>
      <c r="L16" s="49">
        <f>IF(OR(A16="",D16=""),0,MAX(0,NETWORKDAYS(MAX(D16,DATE(Einstellungen!$C$3,1,1)),MIN(J16,DATE(Einstellungen!$C$3,2,0)),Einstellungen!$F$13:$F$32)))</f>
        <v/>
      </c>
      <c r="M16" s="49">
        <f>IF(OR(A16="",D16=""),0,MAX(0,NETWORKDAYS(MAX(D16,DATE(Einstellungen!$C$3,2,1)),MIN(J16,DATE(Einstellungen!$C$3,3,0)),Einstellungen!$F$13:$F$32)))</f>
        <v/>
      </c>
      <c r="N16" s="49">
        <f>IF(OR(A16="",D16=""),0,MAX(0,NETWORKDAYS(MAX(D16,DATE(Einstellungen!$C$3,3,1)),MIN(J16,DATE(Einstellungen!$C$3,4,0)),Einstellungen!$F$13:$F$32)))</f>
        <v/>
      </c>
      <c r="O16" s="49">
        <f>IF(OR(A16="",D16=""),0,MAX(0,NETWORKDAYS(MAX(D16,DATE(Einstellungen!$C$3,4,1)),MIN(J16,DATE(Einstellungen!$C$3,5,0)),Einstellungen!$F$13:$F$32)))</f>
        <v/>
      </c>
      <c r="P16" s="49">
        <f>IF(OR(A16="",D16=""),0,MAX(0,NETWORKDAYS(MAX(D16,DATE(Einstellungen!$C$3,5,1)),MIN(J16,DATE(Einstellungen!$C$3,6,0)),Einstellungen!$F$13:$F$32)))</f>
        <v/>
      </c>
      <c r="Q16" s="49">
        <f>IF(OR(A16="",D16=""),0,MAX(0,NETWORKDAYS(MAX(D16,DATE(Einstellungen!$C$3,6,1)),MIN(J16,DATE(Einstellungen!$C$3,7,0)),Einstellungen!$F$13:$F$32)))</f>
        <v/>
      </c>
      <c r="R16" s="49">
        <f>IF(OR(A16="",D16=""),0,MAX(0,NETWORKDAYS(MAX(D16,DATE(Einstellungen!$C$3,7,1)),MIN(J16,DATE(Einstellungen!$C$3,8,0)),Einstellungen!$F$13:$F$32)))</f>
        <v/>
      </c>
      <c r="S16" s="49">
        <f>IF(OR(A16="",D16=""),0,MAX(0,NETWORKDAYS(MAX(D16,DATE(Einstellungen!$C$3,8,1)),MIN(J16,DATE(Einstellungen!$C$3,9,0)),Einstellungen!$F$13:$F$32)))</f>
        <v/>
      </c>
      <c r="T16" s="49">
        <f>IF(OR(A16="",D16=""),0,MAX(0,NETWORKDAYS(MAX(D16,DATE(Einstellungen!$C$3,9,1)),MIN(J16,DATE(Einstellungen!$C$3,10,0)),Einstellungen!$F$13:$F$32)))</f>
        <v/>
      </c>
      <c r="U16" s="49">
        <f>IF(OR(A16="",D16=""),0,MAX(0,NETWORKDAYS(MAX(D16,DATE(Einstellungen!$C$3,10,1)),MIN(J16,DATE(Einstellungen!$C$3,11,0)),Einstellungen!$F$13:$F$32)))</f>
        <v/>
      </c>
      <c r="V16" s="49">
        <f>IF(OR(A16="",D16=""),0,MAX(0,NETWORKDAYS(MAX(D16,DATE(Einstellungen!$C$3,11,1)),MIN(J16,DATE(Einstellungen!$C$3,12,0)),Einstellungen!$F$13:$F$32)))</f>
        <v/>
      </c>
      <c r="W16" s="49">
        <f>IF(OR(A16="",D16=""),0,MAX(0,NETWORKDAYS(MAX(D16,DATE(Einstellungen!$C$3,12,1)),MIN(J16,DATE(Einstellungen!$C$3,13,0)),Einstellungen!$F$13:$F$32)))</f>
        <v/>
      </c>
      <c r="X16" s="50">
        <f>L16*K16</f>
        <v/>
      </c>
      <c r="Y16" s="50">
        <f>M16*K16</f>
        <v/>
      </c>
      <c r="Z16" s="50">
        <f>N16*K16</f>
        <v/>
      </c>
      <c r="AA16" s="50">
        <f>O16*K16</f>
        <v/>
      </c>
      <c r="AB16" s="50">
        <f>P16*K16</f>
        <v/>
      </c>
      <c r="AC16" s="50">
        <f>Q16*K16</f>
        <v/>
      </c>
      <c r="AD16" s="50">
        <f>R16*K16</f>
        <v/>
      </c>
      <c r="AE16" s="50">
        <f>S16*K16</f>
        <v/>
      </c>
      <c r="AF16" s="50">
        <f>T16*K16</f>
        <v/>
      </c>
      <c r="AG16" s="50">
        <f>U16*K16</f>
        <v/>
      </c>
      <c r="AH16" s="50">
        <f>V16*K16</f>
        <v/>
      </c>
      <c r="AI16" s="50">
        <f>W16*K16</f>
        <v/>
      </c>
    </row>
    <row r="17">
      <c r="A17" s="25" t="n">
        <v>1005</v>
      </c>
      <c r="B17" s="45">
        <f>IF(A17="","",IFERROR(INDEX(Mitarbeiter!$B$6:$B$205,MATCH($A17,Mitarbeiter!$A$6:$A$205,0)),"?"))</f>
        <v/>
      </c>
      <c r="C17" s="46" t="inlineStr">
        <is>
          <t>Objekt 1</t>
        </is>
      </c>
      <c r="D17" s="26" t="n">
        <v>46038</v>
      </c>
      <c r="E17" s="26" t="n">
        <v>46040</v>
      </c>
      <c r="F17" s="24">
        <f>IF(A17="","",SUM(L17:W17))</f>
        <v/>
      </c>
      <c r="G17" s="36">
        <f>IF(A17="","",SUM(X17:AI17))</f>
        <v/>
      </c>
      <c r="H17" s="8">
        <f>IF(A17="","",IF(ISNA(MATCH(A17,Mitarbeiter!$A$6:$A$205,0)),"Pers.-Nr. unbekannt",IF(D17="","Von fehlt",IF(AND(C17&lt;&gt;Einstellungen!$C$4,C17&lt;&gt;Einstellungen!$C$5),"Objekt fehlt",IF(J17&lt;D17,"Bis vor Von",IF(D17&lt;INDEX(Mitarbeiter!$C$6:$C$205,MATCH($A17,Mitarbeiter!$A$6:$A$205,0)),"vor Eintritt",IF(AND(INDEX(Mitarbeiter!$D$6:$D$205,MATCH($A17,Mitarbeiter!$A$6:$A$205,0))&lt;&gt;"",D17&gt;INDEX(Mitarbeiter!$D$6:$D$205,MATCH($A17,Mitarbeiter!$A$6:$A$205,0))),"nach Austritt",IF(E17="","offen","ok"))))))))</f>
        <v/>
      </c>
      <c r="J17" s="47">
        <f>IF(A17="","",IF(E17="",Einstellungen!$C$9,E17))</f>
        <v/>
      </c>
      <c r="K17" s="48">
        <f>IF(A17="",0,IFERROR(INDEX(Mitarbeiter!$F$6:$F$205,MATCH($A17,Mitarbeiter!$A$6:$A$205,0)),0))</f>
        <v/>
      </c>
      <c r="L17" s="49">
        <f>IF(OR(A17="",D17=""),0,MAX(0,NETWORKDAYS(MAX(D17,DATE(Einstellungen!$C$3,1,1)),MIN(J17,DATE(Einstellungen!$C$3,2,0)),Einstellungen!$F$13:$F$32)))</f>
        <v/>
      </c>
      <c r="M17" s="49">
        <f>IF(OR(A17="",D17=""),0,MAX(0,NETWORKDAYS(MAX(D17,DATE(Einstellungen!$C$3,2,1)),MIN(J17,DATE(Einstellungen!$C$3,3,0)),Einstellungen!$F$13:$F$32)))</f>
        <v/>
      </c>
      <c r="N17" s="49">
        <f>IF(OR(A17="",D17=""),0,MAX(0,NETWORKDAYS(MAX(D17,DATE(Einstellungen!$C$3,3,1)),MIN(J17,DATE(Einstellungen!$C$3,4,0)),Einstellungen!$F$13:$F$32)))</f>
        <v/>
      </c>
      <c r="O17" s="49">
        <f>IF(OR(A17="",D17=""),0,MAX(0,NETWORKDAYS(MAX(D17,DATE(Einstellungen!$C$3,4,1)),MIN(J17,DATE(Einstellungen!$C$3,5,0)),Einstellungen!$F$13:$F$32)))</f>
        <v/>
      </c>
      <c r="P17" s="49">
        <f>IF(OR(A17="",D17=""),0,MAX(0,NETWORKDAYS(MAX(D17,DATE(Einstellungen!$C$3,5,1)),MIN(J17,DATE(Einstellungen!$C$3,6,0)),Einstellungen!$F$13:$F$32)))</f>
        <v/>
      </c>
      <c r="Q17" s="49">
        <f>IF(OR(A17="",D17=""),0,MAX(0,NETWORKDAYS(MAX(D17,DATE(Einstellungen!$C$3,6,1)),MIN(J17,DATE(Einstellungen!$C$3,7,0)),Einstellungen!$F$13:$F$32)))</f>
        <v/>
      </c>
      <c r="R17" s="49">
        <f>IF(OR(A17="",D17=""),0,MAX(0,NETWORKDAYS(MAX(D17,DATE(Einstellungen!$C$3,7,1)),MIN(J17,DATE(Einstellungen!$C$3,8,0)),Einstellungen!$F$13:$F$32)))</f>
        <v/>
      </c>
      <c r="S17" s="49">
        <f>IF(OR(A17="",D17=""),0,MAX(0,NETWORKDAYS(MAX(D17,DATE(Einstellungen!$C$3,8,1)),MIN(J17,DATE(Einstellungen!$C$3,9,0)),Einstellungen!$F$13:$F$32)))</f>
        <v/>
      </c>
      <c r="T17" s="49">
        <f>IF(OR(A17="",D17=""),0,MAX(0,NETWORKDAYS(MAX(D17,DATE(Einstellungen!$C$3,9,1)),MIN(J17,DATE(Einstellungen!$C$3,10,0)),Einstellungen!$F$13:$F$32)))</f>
        <v/>
      </c>
      <c r="U17" s="49">
        <f>IF(OR(A17="",D17=""),0,MAX(0,NETWORKDAYS(MAX(D17,DATE(Einstellungen!$C$3,10,1)),MIN(J17,DATE(Einstellungen!$C$3,11,0)),Einstellungen!$F$13:$F$32)))</f>
        <v/>
      </c>
      <c r="V17" s="49">
        <f>IF(OR(A17="",D17=""),0,MAX(0,NETWORKDAYS(MAX(D17,DATE(Einstellungen!$C$3,11,1)),MIN(J17,DATE(Einstellungen!$C$3,12,0)),Einstellungen!$F$13:$F$32)))</f>
        <v/>
      </c>
      <c r="W17" s="49">
        <f>IF(OR(A17="",D17=""),0,MAX(0,NETWORKDAYS(MAX(D17,DATE(Einstellungen!$C$3,12,1)),MIN(J17,DATE(Einstellungen!$C$3,13,0)),Einstellungen!$F$13:$F$32)))</f>
        <v/>
      </c>
      <c r="X17" s="50">
        <f>L17*K17</f>
        <v/>
      </c>
      <c r="Y17" s="50">
        <f>M17*K17</f>
        <v/>
      </c>
      <c r="Z17" s="50">
        <f>N17*K17</f>
        <v/>
      </c>
      <c r="AA17" s="50">
        <f>O17*K17</f>
        <v/>
      </c>
      <c r="AB17" s="50">
        <f>P17*K17</f>
        <v/>
      </c>
      <c r="AC17" s="50">
        <f>Q17*K17</f>
        <v/>
      </c>
      <c r="AD17" s="50">
        <f>R17*K17</f>
        <v/>
      </c>
      <c r="AE17" s="50">
        <f>S17*K17</f>
        <v/>
      </c>
      <c r="AF17" s="50">
        <f>T17*K17</f>
        <v/>
      </c>
      <c r="AG17" s="50">
        <f>U17*K17</f>
        <v/>
      </c>
      <c r="AH17" s="50">
        <f>V17*K17</f>
        <v/>
      </c>
      <c r="AI17" s="50">
        <f>W17*K17</f>
        <v/>
      </c>
    </row>
    <row r="18">
      <c r="A18" s="25" t="n">
        <v>1018</v>
      </c>
      <c r="B18" s="45">
        <f>IF(A18="","",IFERROR(INDEX(Mitarbeiter!$B$6:$B$205,MATCH($A18,Mitarbeiter!$A$6:$A$205,0)),"?"))</f>
        <v/>
      </c>
      <c r="C18" s="46" t="inlineStr">
        <is>
          <t>Objekt 1</t>
        </is>
      </c>
      <c r="D18" s="26" t="n">
        <v>46041</v>
      </c>
      <c r="E18" s="26" t="n">
        <v>46042</v>
      </c>
      <c r="F18" s="24">
        <f>IF(A18="","",SUM(L18:W18))</f>
        <v/>
      </c>
      <c r="G18" s="36">
        <f>IF(A18="","",SUM(X18:AI18))</f>
        <v/>
      </c>
      <c r="H18" s="8">
        <f>IF(A18="","",IF(ISNA(MATCH(A18,Mitarbeiter!$A$6:$A$205,0)),"Pers.-Nr. unbekannt",IF(D18="","Von fehlt",IF(AND(C18&lt;&gt;Einstellungen!$C$4,C18&lt;&gt;Einstellungen!$C$5),"Objekt fehlt",IF(J18&lt;D18,"Bis vor Von",IF(D18&lt;INDEX(Mitarbeiter!$C$6:$C$205,MATCH($A18,Mitarbeiter!$A$6:$A$205,0)),"vor Eintritt",IF(AND(INDEX(Mitarbeiter!$D$6:$D$205,MATCH($A18,Mitarbeiter!$A$6:$A$205,0))&lt;&gt;"",D18&gt;INDEX(Mitarbeiter!$D$6:$D$205,MATCH($A18,Mitarbeiter!$A$6:$A$205,0))),"nach Austritt",IF(E18="","offen","ok"))))))))</f>
        <v/>
      </c>
      <c r="J18" s="47">
        <f>IF(A18="","",IF(E18="",Einstellungen!$C$9,E18))</f>
        <v/>
      </c>
      <c r="K18" s="48">
        <f>IF(A18="",0,IFERROR(INDEX(Mitarbeiter!$F$6:$F$205,MATCH($A18,Mitarbeiter!$A$6:$A$205,0)),0))</f>
        <v/>
      </c>
      <c r="L18" s="49">
        <f>IF(OR(A18="",D18=""),0,MAX(0,NETWORKDAYS(MAX(D18,DATE(Einstellungen!$C$3,1,1)),MIN(J18,DATE(Einstellungen!$C$3,2,0)),Einstellungen!$F$13:$F$32)))</f>
        <v/>
      </c>
      <c r="M18" s="49">
        <f>IF(OR(A18="",D18=""),0,MAX(0,NETWORKDAYS(MAX(D18,DATE(Einstellungen!$C$3,2,1)),MIN(J18,DATE(Einstellungen!$C$3,3,0)),Einstellungen!$F$13:$F$32)))</f>
        <v/>
      </c>
      <c r="N18" s="49">
        <f>IF(OR(A18="",D18=""),0,MAX(0,NETWORKDAYS(MAX(D18,DATE(Einstellungen!$C$3,3,1)),MIN(J18,DATE(Einstellungen!$C$3,4,0)),Einstellungen!$F$13:$F$32)))</f>
        <v/>
      </c>
      <c r="O18" s="49">
        <f>IF(OR(A18="",D18=""),0,MAX(0,NETWORKDAYS(MAX(D18,DATE(Einstellungen!$C$3,4,1)),MIN(J18,DATE(Einstellungen!$C$3,5,0)),Einstellungen!$F$13:$F$32)))</f>
        <v/>
      </c>
      <c r="P18" s="49">
        <f>IF(OR(A18="",D18=""),0,MAX(0,NETWORKDAYS(MAX(D18,DATE(Einstellungen!$C$3,5,1)),MIN(J18,DATE(Einstellungen!$C$3,6,0)),Einstellungen!$F$13:$F$32)))</f>
        <v/>
      </c>
      <c r="Q18" s="49">
        <f>IF(OR(A18="",D18=""),0,MAX(0,NETWORKDAYS(MAX(D18,DATE(Einstellungen!$C$3,6,1)),MIN(J18,DATE(Einstellungen!$C$3,7,0)),Einstellungen!$F$13:$F$32)))</f>
        <v/>
      </c>
      <c r="R18" s="49">
        <f>IF(OR(A18="",D18=""),0,MAX(0,NETWORKDAYS(MAX(D18,DATE(Einstellungen!$C$3,7,1)),MIN(J18,DATE(Einstellungen!$C$3,8,0)),Einstellungen!$F$13:$F$32)))</f>
        <v/>
      </c>
      <c r="S18" s="49">
        <f>IF(OR(A18="",D18=""),0,MAX(0,NETWORKDAYS(MAX(D18,DATE(Einstellungen!$C$3,8,1)),MIN(J18,DATE(Einstellungen!$C$3,9,0)),Einstellungen!$F$13:$F$32)))</f>
        <v/>
      </c>
      <c r="T18" s="49">
        <f>IF(OR(A18="",D18=""),0,MAX(0,NETWORKDAYS(MAX(D18,DATE(Einstellungen!$C$3,9,1)),MIN(J18,DATE(Einstellungen!$C$3,10,0)),Einstellungen!$F$13:$F$32)))</f>
        <v/>
      </c>
      <c r="U18" s="49">
        <f>IF(OR(A18="",D18=""),0,MAX(0,NETWORKDAYS(MAX(D18,DATE(Einstellungen!$C$3,10,1)),MIN(J18,DATE(Einstellungen!$C$3,11,0)),Einstellungen!$F$13:$F$32)))</f>
        <v/>
      </c>
      <c r="V18" s="49">
        <f>IF(OR(A18="",D18=""),0,MAX(0,NETWORKDAYS(MAX(D18,DATE(Einstellungen!$C$3,11,1)),MIN(J18,DATE(Einstellungen!$C$3,12,0)),Einstellungen!$F$13:$F$32)))</f>
        <v/>
      </c>
      <c r="W18" s="49">
        <f>IF(OR(A18="",D18=""),0,MAX(0,NETWORKDAYS(MAX(D18,DATE(Einstellungen!$C$3,12,1)),MIN(J18,DATE(Einstellungen!$C$3,13,0)),Einstellungen!$F$13:$F$32)))</f>
        <v/>
      </c>
      <c r="X18" s="50">
        <f>L18*K18</f>
        <v/>
      </c>
      <c r="Y18" s="50">
        <f>M18*K18</f>
        <v/>
      </c>
      <c r="Z18" s="50">
        <f>N18*K18</f>
        <v/>
      </c>
      <c r="AA18" s="50">
        <f>O18*K18</f>
        <v/>
      </c>
      <c r="AB18" s="50">
        <f>P18*K18</f>
        <v/>
      </c>
      <c r="AC18" s="50">
        <f>Q18*K18</f>
        <v/>
      </c>
      <c r="AD18" s="50">
        <f>R18*K18</f>
        <v/>
      </c>
      <c r="AE18" s="50">
        <f>S18*K18</f>
        <v/>
      </c>
      <c r="AF18" s="50">
        <f>T18*K18</f>
        <v/>
      </c>
      <c r="AG18" s="50">
        <f>U18*K18</f>
        <v/>
      </c>
      <c r="AH18" s="50">
        <f>V18*K18</f>
        <v/>
      </c>
      <c r="AI18" s="50">
        <f>W18*K18</f>
        <v/>
      </c>
    </row>
    <row r="19">
      <c r="A19" s="25" t="n">
        <v>1013</v>
      </c>
      <c r="B19" s="45">
        <f>IF(A19="","",IFERROR(INDEX(Mitarbeiter!$B$6:$B$205,MATCH($A19,Mitarbeiter!$A$6:$A$205,0)),"?"))</f>
        <v/>
      </c>
      <c r="C19" s="46" t="inlineStr">
        <is>
          <t>Objekt 1</t>
        </is>
      </c>
      <c r="D19" s="26" t="n">
        <v>46041</v>
      </c>
      <c r="E19" s="26" t="n">
        <v>46043</v>
      </c>
      <c r="F19" s="24">
        <f>IF(A19="","",SUM(L19:W19))</f>
        <v/>
      </c>
      <c r="G19" s="36">
        <f>IF(A19="","",SUM(X19:AI19))</f>
        <v/>
      </c>
      <c r="H19" s="8">
        <f>IF(A19="","",IF(ISNA(MATCH(A19,Mitarbeiter!$A$6:$A$205,0)),"Pers.-Nr. unbekannt",IF(D19="","Von fehlt",IF(AND(C19&lt;&gt;Einstellungen!$C$4,C19&lt;&gt;Einstellungen!$C$5),"Objekt fehlt",IF(J19&lt;D19,"Bis vor Von",IF(D19&lt;INDEX(Mitarbeiter!$C$6:$C$205,MATCH($A19,Mitarbeiter!$A$6:$A$205,0)),"vor Eintritt",IF(AND(INDEX(Mitarbeiter!$D$6:$D$205,MATCH($A19,Mitarbeiter!$A$6:$A$205,0))&lt;&gt;"",D19&gt;INDEX(Mitarbeiter!$D$6:$D$205,MATCH($A19,Mitarbeiter!$A$6:$A$205,0))),"nach Austritt",IF(E19="","offen","ok"))))))))</f>
        <v/>
      </c>
      <c r="J19" s="47">
        <f>IF(A19="","",IF(E19="",Einstellungen!$C$9,E19))</f>
        <v/>
      </c>
      <c r="K19" s="48">
        <f>IF(A19="",0,IFERROR(INDEX(Mitarbeiter!$F$6:$F$205,MATCH($A19,Mitarbeiter!$A$6:$A$205,0)),0))</f>
        <v/>
      </c>
      <c r="L19" s="49">
        <f>IF(OR(A19="",D19=""),0,MAX(0,NETWORKDAYS(MAX(D19,DATE(Einstellungen!$C$3,1,1)),MIN(J19,DATE(Einstellungen!$C$3,2,0)),Einstellungen!$F$13:$F$32)))</f>
        <v/>
      </c>
      <c r="M19" s="49">
        <f>IF(OR(A19="",D19=""),0,MAX(0,NETWORKDAYS(MAX(D19,DATE(Einstellungen!$C$3,2,1)),MIN(J19,DATE(Einstellungen!$C$3,3,0)),Einstellungen!$F$13:$F$32)))</f>
        <v/>
      </c>
      <c r="N19" s="49">
        <f>IF(OR(A19="",D19=""),0,MAX(0,NETWORKDAYS(MAX(D19,DATE(Einstellungen!$C$3,3,1)),MIN(J19,DATE(Einstellungen!$C$3,4,0)),Einstellungen!$F$13:$F$32)))</f>
        <v/>
      </c>
      <c r="O19" s="49">
        <f>IF(OR(A19="",D19=""),0,MAX(0,NETWORKDAYS(MAX(D19,DATE(Einstellungen!$C$3,4,1)),MIN(J19,DATE(Einstellungen!$C$3,5,0)),Einstellungen!$F$13:$F$32)))</f>
        <v/>
      </c>
      <c r="P19" s="49">
        <f>IF(OR(A19="",D19=""),0,MAX(0,NETWORKDAYS(MAX(D19,DATE(Einstellungen!$C$3,5,1)),MIN(J19,DATE(Einstellungen!$C$3,6,0)),Einstellungen!$F$13:$F$32)))</f>
        <v/>
      </c>
      <c r="Q19" s="49">
        <f>IF(OR(A19="",D19=""),0,MAX(0,NETWORKDAYS(MAX(D19,DATE(Einstellungen!$C$3,6,1)),MIN(J19,DATE(Einstellungen!$C$3,7,0)),Einstellungen!$F$13:$F$32)))</f>
        <v/>
      </c>
      <c r="R19" s="49">
        <f>IF(OR(A19="",D19=""),0,MAX(0,NETWORKDAYS(MAX(D19,DATE(Einstellungen!$C$3,7,1)),MIN(J19,DATE(Einstellungen!$C$3,8,0)),Einstellungen!$F$13:$F$32)))</f>
        <v/>
      </c>
      <c r="S19" s="49">
        <f>IF(OR(A19="",D19=""),0,MAX(0,NETWORKDAYS(MAX(D19,DATE(Einstellungen!$C$3,8,1)),MIN(J19,DATE(Einstellungen!$C$3,9,0)),Einstellungen!$F$13:$F$32)))</f>
        <v/>
      </c>
      <c r="T19" s="49">
        <f>IF(OR(A19="",D19=""),0,MAX(0,NETWORKDAYS(MAX(D19,DATE(Einstellungen!$C$3,9,1)),MIN(J19,DATE(Einstellungen!$C$3,10,0)),Einstellungen!$F$13:$F$32)))</f>
        <v/>
      </c>
      <c r="U19" s="49">
        <f>IF(OR(A19="",D19=""),0,MAX(0,NETWORKDAYS(MAX(D19,DATE(Einstellungen!$C$3,10,1)),MIN(J19,DATE(Einstellungen!$C$3,11,0)),Einstellungen!$F$13:$F$32)))</f>
        <v/>
      </c>
      <c r="V19" s="49">
        <f>IF(OR(A19="",D19=""),0,MAX(0,NETWORKDAYS(MAX(D19,DATE(Einstellungen!$C$3,11,1)),MIN(J19,DATE(Einstellungen!$C$3,12,0)),Einstellungen!$F$13:$F$32)))</f>
        <v/>
      </c>
      <c r="W19" s="49">
        <f>IF(OR(A19="",D19=""),0,MAX(0,NETWORKDAYS(MAX(D19,DATE(Einstellungen!$C$3,12,1)),MIN(J19,DATE(Einstellungen!$C$3,13,0)),Einstellungen!$F$13:$F$32)))</f>
        <v/>
      </c>
      <c r="X19" s="50">
        <f>L19*K19</f>
        <v/>
      </c>
      <c r="Y19" s="50">
        <f>M19*K19</f>
        <v/>
      </c>
      <c r="Z19" s="50">
        <f>N19*K19</f>
        <v/>
      </c>
      <c r="AA19" s="50">
        <f>O19*K19</f>
        <v/>
      </c>
      <c r="AB19" s="50">
        <f>P19*K19</f>
        <v/>
      </c>
      <c r="AC19" s="50">
        <f>Q19*K19</f>
        <v/>
      </c>
      <c r="AD19" s="50">
        <f>R19*K19</f>
        <v/>
      </c>
      <c r="AE19" s="50">
        <f>S19*K19</f>
        <v/>
      </c>
      <c r="AF19" s="50">
        <f>T19*K19</f>
        <v/>
      </c>
      <c r="AG19" s="50">
        <f>U19*K19</f>
        <v/>
      </c>
      <c r="AH19" s="50">
        <f>V19*K19</f>
        <v/>
      </c>
      <c r="AI19" s="50">
        <f>W19*K19</f>
        <v/>
      </c>
    </row>
    <row r="20">
      <c r="A20" s="25" t="n">
        <v>1001</v>
      </c>
      <c r="B20" s="45">
        <f>IF(A20="","",IFERROR(INDEX(Mitarbeiter!$B$6:$B$205,MATCH($A20,Mitarbeiter!$A$6:$A$205,0)),"?"))</f>
        <v/>
      </c>
      <c r="C20" s="46" t="inlineStr">
        <is>
          <t>Objekt 2</t>
        </is>
      </c>
      <c r="D20" s="26" t="n">
        <v>46041</v>
      </c>
      <c r="E20" s="26" t="n">
        <v>46043</v>
      </c>
      <c r="F20" s="24">
        <f>IF(A20="","",SUM(L20:W20))</f>
        <v/>
      </c>
      <c r="G20" s="36">
        <f>IF(A20="","",SUM(X20:AI20))</f>
        <v/>
      </c>
      <c r="H20" s="8">
        <f>IF(A20="","",IF(ISNA(MATCH(A20,Mitarbeiter!$A$6:$A$205,0)),"Pers.-Nr. unbekannt",IF(D20="","Von fehlt",IF(AND(C20&lt;&gt;Einstellungen!$C$4,C20&lt;&gt;Einstellungen!$C$5),"Objekt fehlt",IF(J20&lt;D20,"Bis vor Von",IF(D20&lt;INDEX(Mitarbeiter!$C$6:$C$205,MATCH($A20,Mitarbeiter!$A$6:$A$205,0)),"vor Eintritt",IF(AND(INDEX(Mitarbeiter!$D$6:$D$205,MATCH($A20,Mitarbeiter!$A$6:$A$205,0))&lt;&gt;"",D20&gt;INDEX(Mitarbeiter!$D$6:$D$205,MATCH($A20,Mitarbeiter!$A$6:$A$205,0))),"nach Austritt",IF(E20="","offen","ok"))))))))</f>
        <v/>
      </c>
      <c r="J20" s="47">
        <f>IF(A20="","",IF(E20="",Einstellungen!$C$9,E20))</f>
        <v/>
      </c>
      <c r="K20" s="48">
        <f>IF(A20="",0,IFERROR(INDEX(Mitarbeiter!$F$6:$F$205,MATCH($A20,Mitarbeiter!$A$6:$A$205,0)),0))</f>
        <v/>
      </c>
      <c r="L20" s="49">
        <f>IF(OR(A20="",D20=""),0,MAX(0,NETWORKDAYS(MAX(D20,DATE(Einstellungen!$C$3,1,1)),MIN(J20,DATE(Einstellungen!$C$3,2,0)),Einstellungen!$F$13:$F$32)))</f>
        <v/>
      </c>
      <c r="M20" s="49">
        <f>IF(OR(A20="",D20=""),0,MAX(0,NETWORKDAYS(MAX(D20,DATE(Einstellungen!$C$3,2,1)),MIN(J20,DATE(Einstellungen!$C$3,3,0)),Einstellungen!$F$13:$F$32)))</f>
        <v/>
      </c>
      <c r="N20" s="49">
        <f>IF(OR(A20="",D20=""),0,MAX(0,NETWORKDAYS(MAX(D20,DATE(Einstellungen!$C$3,3,1)),MIN(J20,DATE(Einstellungen!$C$3,4,0)),Einstellungen!$F$13:$F$32)))</f>
        <v/>
      </c>
      <c r="O20" s="49">
        <f>IF(OR(A20="",D20=""),0,MAX(0,NETWORKDAYS(MAX(D20,DATE(Einstellungen!$C$3,4,1)),MIN(J20,DATE(Einstellungen!$C$3,5,0)),Einstellungen!$F$13:$F$32)))</f>
        <v/>
      </c>
      <c r="P20" s="49">
        <f>IF(OR(A20="",D20=""),0,MAX(0,NETWORKDAYS(MAX(D20,DATE(Einstellungen!$C$3,5,1)),MIN(J20,DATE(Einstellungen!$C$3,6,0)),Einstellungen!$F$13:$F$32)))</f>
        <v/>
      </c>
      <c r="Q20" s="49">
        <f>IF(OR(A20="",D20=""),0,MAX(0,NETWORKDAYS(MAX(D20,DATE(Einstellungen!$C$3,6,1)),MIN(J20,DATE(Einstellungen!$C$3,7,0)),Einstellungen!$F$13:$F$32)))</f>
        <v/>
      </c>
      <c r="R20" s="49">
        <f>IF(OR(A20="",D20=""),0,MAX(0,NETWORKDAYS(MAX(D20,DATE(Einstellungen!$C$3,7,1)),MIN(J20,DATE(Einstellungen!$C$3,8,0)),Einstellungen!$F$13:$F$32)))</f>
        <v/>
      </c>
      <c r="S20" s="49">
        <f>IF(OR(A20="",D20=""),0,MAX(0,NETWORKDAYS(MAX(D20,DATE(Einstellungen!$C$3,8,1)),MIN(J20,DATE(Einstellungen!$C$3,9,0)),Einstellungen!$F$13:$F$32)))</f>
        <v/>
      </c>
      <c r="T20" s="49">
        <f>IF(OR(A20="",D20=""),0,MAX(0,NETWORKDAYS(MAX(D20,DATE(Einstellungen!$C$3,9,1)),MIN(J20,DATE(Einstellungen!$C$3,10,0)),Einstellungen!$F$13:$F$32)))</f>
        <v/>
      </c>
      <c r="U20" s="49">
        <f>IF(OR(A20="",D20=""),0,MAX(0,NETWORKDAYS(MAX(D20,DATE(Einstellungen!$C$3,10,1)),MIN(J20,DATE(Einstellungen!$C$3,11,0)),Einstellungen!$F$13:$F$32)))</f>
        <v/>
      </c>
      <c r="V20" s="49">
        <f>IF(OR(A20="",D20=""),0,MAX(0,NETWORKDAYS(MAX(D20,DATE(Einstellungen!$C$3,11,1)),MIN(J20,DATE(Einstellungen!$C$3,12,0)),Einstellungen!$F$13:$F$32)))</f>
        <v/>
      </c>
      <c r="W20" s="49">
        <f>IF(OR(A20="",D20=""),0,MAX(0,NETWORKDAYS(MAX(D20,DATE(Einstellungen!$C$3,12,1)),MIN(J20,DATE(Einstellungen!$C$3,13,0)),Einstellungen!$F$13:$F$32)))</f>
        <v/>
      </c>
      <c r="X20" s="50">
        <f>L20*K20</f>
        <v/>
      </c>
      <c r="Y20" s="50">
        <f>M20*K20</f>
        <v/>
      </c>
      <c r="Z20" s="50">
        <f>N20*K20</f>
        <v/>
      </c>
      <c r="AA20" s="50">
        <f>O20*K20</f>
        <v/>
      </c>
      <c r="AB20" s="50">
        <f>P20*K20</f>
        <v/>
      </c>
      <c r="AC20" s="50">
        <f>Q20*K20</f>
        <v/>
      </c>
      <c r="AD20" s="50">
        <f>R20*K20</f>
        <v/>
      </c>
      <c r="AE20" s="50">
        <f>S20*K20</f>
        <v/>
      </c>
      <c r="AF20" s="50">
        <f>T20*K20</f>
        <v/>
      </c>
      <c r="AG20" s="50">
        <f>U20*K20</f>
        <v/>
      </c>
      <c r="AH20" s="50">
        <f>V20*K20</f>
        <v/>
      </c>
      <c r="AI20" s="50">
        <f>W20*K20</f>
        <v/>
      </c>
    </row>
    <row r="21">
      <c r="A21" s="25" t="n">
        <v>1024</v>
      </c>
      <c r="B21" s="45">
        <f>IF(A21="","",IFERROR(INDEX(Mitarbeiter!$B$6:$B$205,MATCH($A21,Mitarbeiter!$A$6:$A$205,0)),"?"))</f>
        <v/>
      </c>
      <c r="C21" s="46" t="inlineStr">
        <is>
          <t>Objekt 2</t>
        </is>
      </c>
      <c r="D21" s="26" t="n">
        <v>46044</v>
      </c>
      <c r="E21" s="26" t="n">
        <v>46046</v>
      </c>
      <c r="F21" s="24">
        <f>IF(A21="","",SUM(L21:W21))</f>
        <v/>
      </c>
      <c r="G21" s="36">
        <f>IF(A21="","",SUM(X21:AI21))</f>
        <v/>
      </c>
      <c r="H21" s="8">
        <f>IF(A21="","",IF(ISNA(MATCH(A21,Mitarbeiter!$A$6:$A$205,0)),"Pers.-Nr. unbekannt",IF(D21="","Von fehlt",IF(AND(C21&lt;&gt;Einstellungen!$C$4,C21&lt;&gt;Einstellungen!$C$5),"Objekt fehlt",IF(J21&lt;D21,"Bis vor Von",IF(D21&lt;INDEX(Mitarbeiter!$C$6:$C$205,MATCH($A21,Mitarbeiter!$A$6:$A$205,0)),"vor Eintritt",IF(AND(INDEX(Mitarbeiter!$D$6:$D$205,MATCH($A21,Mitarbeiter!$A$6:$A$205,0))&lt;&gt;"",D21&gt;INDEX(Mitarbeiter!$D$6:$D$205,MATCH($A21,Mitarbeiter!$A$6:$A$205,0))),"nach Austritt",IF(E21="","offen","ok"))))))))</f>
        <v/>
      </c>
      <c r="J21" s="47">
        <f>IF(A21="","",IF(E21="",Einstellungen!$C$9,E21))</f>
        <v/>
      </c>
      <c r="K21" s="48">
        <f>IF(A21="",0,IFERROR(INDEX(Mitarbeiter!$F$6:$F$205,MATCH($A21,Mitarbeiter!$A$6:$A$205,0)),0))</f>
        <v/>
      </c>
      <c r="L21" s="49">
        <f>IF(OR(A21="",D21=""),0,MAX(0,NETWORKDAYS(MAX(D21,DATE(Einstellungen!$C$3,1,1)),MIN(J21,DATE(Einstellungen!$C$3,2,0)),Einstellungen!$F$13:$F$32)))</f>
        <v/>
      </c>
      <c r="M21" s="49">
        <f>IF(OR(A21="",D21=""),0,MAX(0,NETWORKDAYS(MAX(D21,DATE(Einstellungen!$C$3,2,1)),MIN(J21,DATE(Einstellungen!$C$3,3,0)),Einstellungen!$F$13:$F$32)))</f>
        <v/>
      </c>
      <c r="N21" s="49">
        <f>IF(OR(A21="",D21=""),0,MAX(0,NETWORKDAYS(MAX(D21,DATE(Einstellungen!$C$3,3,1)),MIN(J21,DATE(Einstellungen!$C$3,4,0)),Einstellungen!$F$13:$F$32)))</f>
        <v/>
      </c>
      <c r="O21" s="49">
        <f>IF(OR(A21="",D21=""),0,MAX(0,NETWORKDAYS(MAX(D21,DATE(Einstellungen!$C$3,4,1)),MIN(J21,DATE(Einstellungen!$C$3,5,0)),Einstellungen!$F$13:$F$32)))</f>
        <v/>
      </c>
      <c r="P21" s="49">
        <f>IF(OR(A21="",D21=""),0,MAX(0,NETWORKDAYS(MAX(D21,DATE(Einstellungen!$C$3,5,1)),MIN(J21,DATE(Einstellungen!$C$3,6,0)),Einstellungen!$F$13:$F$32)))</f>
        <v/>
      </c>
      <c r="Q21" s="49">
        <f>IF(OR(A21="",D21=""),0,MAX(0,NETWORKDAYS(MAX(D21,DATE(Einstellungen!$C$3,6,1)),MIN(J21,DATE(Einstellungen!$C$3,7,0)),Einstellungen!$F$13:$F$32)))</f>
        <v/>
      </c>
      <c r="R21" s="49">
        <f>IF(OR(A21="",D21=""),0,MAX(0,NETWORKDAYS(MAX(D21,DATE(Einstellungen!$C$3,7,1)),MIN(J21,DATE(Einstellungen!$C$3,8,0)),Einstellungen!$F$13:$F$32)))</f>
        <v/>
      </c>
      <c r="S21" s="49">
        <f>IF(OR(A21="",D21=""),0,MAX(0,NETWORKDAYS(MAX(D21,DATE(Einstellungen!$C$3,8,1)),MIN(J21,DATE(Einstellungen!$C$3,9,0)),Einstellungen!$F$13:$F$32)))</f>
        <v/>
      </c>
      <c r="T21" s="49">
        <f>IF(OR(A21="",D21=""),0,MAX(0,NETWORKDAYS(MAX(D21,DATE(Einstellungen!$C$3,9,1)),MIN(J21,DATE(Einstellungen!$C$3,10,0)),Einstellungen!$F$13:$F$32)))</f>
        <v/>
      </c>
      <c r="U21" s="49">
        <f>IF(OR(A21="",D21=""),0,MAX(0,NETWORKDAYS(MAX(D21,DATE(Einstellungen!$C$3,10,1)),MIN(J21,DATE(Einstellungen!$C$3,11,0)),Einstellungen!$F$13:$F$32)))</f>
        <v/>
      </c>
      <c r="V21" s="49">
        <f>IF(OR(A21="",D21=""),0,MAX(0,NETWORKDAYS(MAX(D21,DATE(Einstellungen!$C$3,11,1)),MIN(J21,DATE(Einstellungen!$C$3,12,0)),Einstellungen!$F$13:$F$32)))</f>
        <v/>
      </c>
      <c r="W21" s="49">
        <f>IF(OR(A21="",D21=""),0,MAX(0,NETWORKDAYS(MAX(D21,DATE(Einstellungen!$C$3,12,1)),MIN(J21,DATE(Einstellungen!$C$3,13,0)),Einstellungen!$F$13:$F$32)))</f>
        <v/>
      </c>
      <c r="X21" s="50">
        <f>L21*K21</f>
        <v/>
      </c>
      <c r="Y21" s="50">
        <f>M21*K21</f>
        <v/>
      </c>
      <c r="Z21" s="50">
        <f>N21*K21</f>
        <v/>
      </c>
      <c r="AA21" s="50">
        <f>O21*K21</f>
        <v/>
      </c>
      <c r="AB21" s="50">
        <f>P21*K21</f>
        <v/>
      </c>
      <c r="AC21" s="50">
        <f>Q21*K21</f>
        <v/>
      </c>
      <c r="AD21" s="50">
        <f>R21*K21</f>
        <v/>
      </c>
      <c r="AE21" s="50">
        <f>S21*K21</f>
        <v/>
      </c>
      <c r="AF21" s="50">
        <f>T21*K21</f>
        <v/>
      </c>
      <c r="AG21" s="50">
        <f>U21*K21</f>
        <v/>
      </c>
      <c r="AH21" s="50">
        <f>V21*K21</f>
        <v/>
      </c>
      <c r="AI21" s="50">
        <f>W21*K21</f>
        <v/>
      </c>
    </row>
    <row r="22">
      <c r="A22" s="25" t="n">
        <v>1002</v>
      </c>
      <c r="B22" s="45">
        <f>IF(A22="","",IFERROR(INDEX(Mitarbeiter!$B$6:$B$205,MATCH($A22,Mitarbeiter!$A$6:$A$205,0)),"?"))</f>
        <v/>
      </c>
      <c r="C22" s="46" t="inlineStr">
        <is>
          <t>Objekt 2</t>
        </is>
      </c>
      <c r="D22" s="26" t="n">
        <v>46045</v>
      </c>
      <c r="E22" s="26" t="n">
        <v>46058</v>
      </c>
      <c r="F22" s="24">
        <f>IF(A22="","",SUM(L22:W22))</f>
        <v/>
      </c>
      <c r="G22" s="36">
        <f>IF(A22="","",SUM(X22:AI22))</f>
        <v/>
      </c>
      <c r="H22" s="8">
        <f>IF(A22="","",IF(ISNA(MATCH(A22,Mitarbeiter!$A$6:$A$205,0)),"Pers.-Nr. unbekannt",IF(D22="","Von fehlt",IF(AND(C22&lt;&gt;Einstellungen!$C$4,C22&lt;&gt;Einstellungen!$C$5),"Objekt fehlt",IF(J22&lt;D22,"Bis vor Von",IF(D22&lt;INDEX(Mitarbeiter!$C$6:$C$205,MATCH($A22,Mitarbeiter!$A$6:$A$205,0)),"vor Eintritt",IF(AND(INDEX(Mitarbeiter!$D$6:$D$205,MATCH($A22,Mitarbeiter!$A$6:$A$205,0))&lt;&gt;"",D22&gt;INDEX(Mitarbeiter!$D$6:$D$205,MATCH($A22,Mitarbeiter!$A$6:$A$205,0))),"nach Austritt",IF(E22="","offen","ok"))))))))</f>
        <v/>
      </c>
      <c r="J22" s="47">
        <f>IF(A22="","",IF(E22="",Einstellungen!$C$9,E22))</f>
        <v/>
      </c>
      <c r="K22" s="48">
        <f>IF(A22="",0,IFERROR(INDEX(Mitarbeiter!$F$6:$F$205,MATCH($A22,Mitarbeiter!$A$6:$A$205,0)),0))</f>
        <v/>
      </c>
      <c r="L22" s="49">
        <f>IF(OR(A22="",D22=""),0,MAX(0,NETWORKDAYS(MAX(D22,DATE(Einstellungen!$C$3,1,1)),MIN(J22,DATE(Einstellungen!$C$3,2,0)),Einstellungen!$F$13:$F$32)))</f>
        <v/>
      </c>
      <c r="M22" s="49">
        <f>IF(OR(A22="",D22=""),0,MAX(0,NETWORKDAYS(MAX(D22,DATE(Einstellungen!$C$3,2,1)),MIN(J22,DATE(Einstellungen!$C$3,3,0)),Einstellungen!$F$13:$F$32)))</f>
        <v/>
      </c>
      <c r="N22" s="49">
        <f>IF(OR(A22="",D22=""),0,MAX(0,NETWORKDAYS(MAX(D22,DATE(Einstellungen!$C$3,3,1)),MIN(J22,DATE(Einstellungen!$C$3,4,0)),Einstellungen!$F$13:$F$32)))</f>
        <v/>
      </c>
      <c r="O22" s="49">
        <f>IF(OR(A22="",D22=""),0,MAX(0,NETWORKDAYS(MAX(D22,DATE(Einstellungen!$C$3,4,1)),MIN(J22,DATE(Einstellungen!$C$3,5,0)),Einstellungen!$F$13:$F$32)))</f>
        <v/>
      </c>
      <c r="P22" s="49">
        <f>IF(OR(A22="",D22=""),0,MAX(0,NETWORKDAYS(MAX(D22,DATE(Einstellungen!$C$3,5,1)),MIN(J22,DATE(Einstellungen!$C$3,6,0)),Einstellungen!$F$13:$F$32)))</f>
        <v/>
      </c>
      <c r="Q22" s="49">
        <f>IF(OR(A22="",D22=""),0,MAX(0,NETWORKDAYS(MAX(D22,DATE(Einstellungen!$C$3,6,1)),MIN(J22,DATE(Einstellungen!$C$3,7,0)),Einstellungen!$F$13:$F$32)))</f>
        <v/>
      </c>
      <c r="R22" s="49">
        <f>IF(OR(A22="",D22=""),0,MAX(0,NETWORKDAYS(MAX(D22,DATE(Einstellungen!$C$3,7,1)),MIN(J22,DATE(Einstellungen!$C$3,8,0)),Einstellungen!$F$13:$F$32)))</f>
        <v/>
      </c>
      <c r="S22" s="49">
        <f>IF(OR(A22="",D22=""),0,MAX(0,NETWORKDAYS(MAX(D22,DATE(Einstellungen!$C$3,8,1)),MIN(J22,DATE(Einstellungen!$C$3,9,0)),Einstellungen!$F$13:$F$32)))</f>
        <v/>
      </c>
      <c r="T22" s="49">
        <f>IF(OR(A22="",D22=""),0,MAX(0,NETWORKDAYS(MAX(D22,DATE(Einstellungen!$C$3,9,1)),MIN(J22,DATE(Einstellungen!$C$3,10,0)),Einstellungen!$F$13:$F$32)))</f>
        <v/>
      </c>
      <c r="U22" s="49">
        <f>IF(OR(A22="",D22=""),0,MAX(0,NETWORKDAYS(MAX(D22,DATE(Einstellungen!$C$3,10,1)),MIN(J22,DATE(Einstellungen!$C$3,11,0)),Einstellungen!$F$13:$F$32)))</f>
        <v/>
      </c>
      <c r="V22" s="49">
        <f>IF(OR(A22="",D22=""),0,MAX(0,NETWORKDAYS(MAX(D22,DATE(Einstellungen!$C$3,11,1)),MIN(J22,DATE(Einstellungen!$C$3,12,0)),Einstellungen!$F$13:$F$32)))</f>
        <v/>
      </c>
      <c r="W22" s="49">
        <f>IF(OR(A22="",D22=""),0,MAX(0,NETWORKDAYS(MAX(D22,DATE(Einstellungen!$C$3,12,1)),MIN(J22,DATE(Einstellungen!$C$3,13,0)),Einstellungen!$F$13:$F$32)))</f>
        <v/>
      </c>
      <c r="X22" s="50">
        <f>L22*K22</f>
        <v/>
      </c>
      <c r="Y22" s="50">
        <f>M22*K22</f>
        <v/>
      </c>
      <c r="Z22" s="50">
        <f>N22*K22</f>
        <v/>
      </c>
      <c r="AA22" s="50">
        <f>O22*K22</f>
        <v/>
      </c>
      <c r="AB22" s="50">
        <f>P22*K22</f>
        <v/>
      </c>
      <c r="AC22" s="50">
        <f>Q22*K22</f>
        <v/>
      </c>
      <c r="AD22" s="50">
        <f>R22*K22</f>
        <v/>
      </c>
      <c r="AE22" s="50">
        <f>S22*K22</f>
        <v/>
      </c>
      <c r="AF22" s="50">
        <f>T22*K22</f>
        <v/>
      </c>
      <c r="AG22" s="50">
        <f>U22*K22</f>
        <v/>
      </c>
      <c r="AH22" s="50">
        <f>V22*K22</f>
        <v/>
      </c>
      <c r="AI22" s="50">
        <f>W22*K22</f>
        <v/>
      </c>
    </row>
    <row r="23">
      <c r="A23" s="25" t="n">
        <v>1023</v>
      </c>
      <c r="B23" s="45">
        <f>IF(A23="","",IFERROR(INDEX(Mitarbeiter!$B$6:$B$205,MATCH($A23,Mitarbeiter!$A$6:$A$205,0)),"?"))</f>
        <v/>
      </c>
      <c r="C23" s="46" t="inlineStr">
        <is>
          <t>Objekt 2</t>
        </is>
      </c>
      <c r="D23" s="26" t="n">
        <v>46047</v>
      </c>
      <c r="E23" s="26" t="n">
        <v>46051</v>
      </c>
      <c r="F23" s="24">
        <f>IF(A23="","",SUM(L23:W23))</f>
        <v/>
      </c>
      <c r="G23" s="36">
        <f>IF(A23="","",SUM(X23:AI23))</f>
        <v/>
      </c>
      <c r="H23" s="8">
        <f>IF(A23="","",IF(ISNA(MATCH(A23,Mitarbeiter!$A$6:$A$205,0)),"Pers.-Nr. unbekannt",IF(D23="","Von fehlt",IF(AND(C23&lt;&gt;Einstellungen!$C$4,C23&lt;&gt;Einstellungen!$C$5),"Objekt fehlt",IF(J23&lt;D23,"Bis vor Von",IF(D23&lt;INDEX(Mitarbeiter!$C$6:$C$205,MATCH($A23,Mitarbeiter!$A$6:$A$205,0)),"vor Eintritt",IF(AND(INDEX(Mitarbeiter!$D$6:$D$205,MATCH($A23,Mitarbeiter!$A$6:$A$205,0))&lt;&gt;"",D23&gt;INDEX(Mitarbeiter!$D$6:$D$205,MATCH($A23,Mitarbeiter!$A$6:$A$205,0))),"nach Austritt",IF(E23="","offen","ok"))))))))</f>
        <v/>
      </c>
      <c r="J23" s="47">
        <f>IF(A23="","",IF(E23="",Einstellungen!$C$9,E23))</f>
        <v/>
      </c>
      <c r="K23" s="48">
        <f>IF(A23="",0,IFERROR(INDEX(Mitarbeiter!$F$6:$F$205,MATCH($A23,Mitarbeiter!$A$6:$A$205,0)),0))</f>
        <v/>
      </c>
      <c r="L23" s="49">
        <f>IF(OR(A23="",D23=""),0,MAX(0,NETWORKDAYS(MAX(D23,DATE(Einstellungen!$C$3,1,1)),MIN(J23,DATE(Einstellungen!$C$3,2,0)),Einstellungen!$F$13:$F$32)))</f>
        <v/>
      </c>
      <c r="M23" s="49">
        <f>IF(OR(A23="",D23=""),0,MAX(0,NETWORKDAYS(MAX(D23,DATE(Einstellungen!$C$3,2,1)),MIN(J23,DATE(Einstellungen!$C$3,3,0)),Einstellungen!$F$13:$F$32)))</f>
        <v/>
      </c>
      <c r="N23" s="49">
        <f>IF(OR(A23="",D23=""),0,MAX(0,NETWORKDAYS(MAX(D23,DATE(Einstellungen!$C$3,3,1)),MIN(J23,DATE(Einstellungen!$C$3,4,0)),Einstellungen!$F$13:$F$32)))</f>
        <v/>
      </c>
      <c r="O23" s="49">
        <f>IF(OR(A23="",D23=""),0,MAX(0,NETWORKDAYS(MAX(D23,DATE(Einstellungen!$C$3,4,1)),MIN(J23,DATE(Einstellungen!$C$3,5,0)),Einstellungen!$F$13:$F$32)))</f>
        <v/>
      </c>
      <c r="P23" s="49">
        <f>IF(OR(A23="",D23=""),0,MAX(0,NETWORKDAYS(MAX(D23,DATE(Einstellungen!$C$3,5,1)),MIN(J23,DATE(Einstellungen!$C$3,6,0)),Einstellungen!$F$13:$F$32)))</f>
        <v/>
      </c>
      <c r="Q23" s="49">
        <f>IF(OR(A23="",D23=""),0,MAX(0,NETWORKDAYS(MAX(D23,DATE(Einstellungen!$C$3,6,1)),MIN(J23,DATE(Einstellungen!$C$3,7,0)),Einstellungen!$F$13:$F$32)))</f>
        <v/>
      </c>
      <c r="R23" s="49">
        <f>IF(OR(A23="",D23=""),0,MAX(0,NETWORKDAYS(MAX(D23,DATE(Einstellungen!$C$3,7,1)),MIN(J23,DATE(Einstellungen!$C$3,8,0)),Einstellungen!$F$13:$F$32)))</f>
        <v/>
      </c>
      <c r="S23" s="49">
        <f>IF(OR(A23="",D23=""),0,MAX(0,NETWORKDAYS(MAX(D23,DATE(Einstellungen!$C$3,8,1)),MIN(J23,DATE(Einstellungen!$C$3,9,0)),Einstellungen!$F$13:$F$32)))</f>
        <v/>
      </c>
      <c r="T23" s="49">
        <f>IF(OR(A23="",D23=""),0,MAX(0,NETWORKDAYS(MAX(D23,DATE(Einstellungen!$C$3,9,1)),MIN(J23,DATE(Einstellungen!$C$3,10,0)),Einstellungen!$F$13:$F$32)))</f>
        <v/>
      </c>
      <c r="U23" s="49">
        <f>IF(OR(A23="",D23=""),0,MAX(0,NETWORKDAYS(MAX(D23,DATE(Einstellungen!$C$3,10,1)),MIN(J23,DATE(Einstellungen!$C$3,11,0)),Einstellungen!$F$13:$F$32)))</f>
        <v/>
      </c>
      <c r="V23" s="49">
        <f>IF(OR(A23="",D23=""),0,MAX(0,NETWORKDAYS(MAX(D23,DATE(Einstellungen!$C$3,11,1)),MIN(J23,DATE(Einstellungen!$C$3,12,0)),Einstellungen!$F$13:$F$32)))</f>
        <v/>
      </c>
      <c r="W23" s="49">
        <f>IF(OR(A23="",D23=""),0,MAX(0,NETWORKDAYS(MAX(D23,DATE(Einstellungen!$C$3,12,1)),MIN(J23,DATE(Einstellungen!$C$3,13,0)),Einstellungen!$F$13:$F$32)))</f>
        <v/>
      </c>
      <c r="X23" s="50">
        <f>L23*K23</f>
        <v/>
      </c>
      <c r="Y23" s="50">
        <f>M23*K23</f>
        <v/>
      </c>
      <c r="Z23" s="50">
        <f>N23*K23</f>
        <v/>
      </c>
      <c r="AA23" s="50">
        <f>O23*K23</f>
        <v/>
      </c>
      <c r="AB23" s="50">
        <f>P23*K23</f>
        <v/>
      </c>
      <c r="AC23" s="50">
        <f>Q23*K23</f>
        <v/>
      </c>
      <c r="AD23" s="50">
        <f>R23*K23</f>
        <v/>
      </c>
      <c r="AE23" s="50">
        <f>S23*K23</f>
        <v/>
      </c>
      <c r="AF23" s="50">
        <f>T23*K23</f>
        <v/>
      </c>
      <c r="AG23" s="50">
        <f>U23*K23</f>
        <v/>
      </c>
      <c r="AH23" s="50">
        <f>V23*K23</f>
        <v/>
      </c>
      <c r="AI23" s="50">
        <f>W23*K23</f>
        <v/>
      </c>
    </row>
    <row r="24">
      <c r="A24" s="25" t="n">
        <v>1019</v>
      </c>
      <c r="B24" s="45">
        <f>IF(A24="","",IFERROR(INDEX(Mitarbeiter!$B$6:$B$205,MATCH($A24,Mitarbeiter!$A$6:$A$205,0)),"?"))</f>
        <v/>
      </c>
      <c r="C24" s="46" t="inlineStr">
        <is>
          <t>Objekt 1</t>
        </is>
      </c>
      <c r="D24" s="26" t="n">
        <v>46048</v>
      </c>
      <c r="E24" s="26" t="n"/>
      <c r="F24" s="24">
        <f>IF(A24="","",SUM(L24:W24))</f>
        <v/>
      </c>
      <c r="G24" s="36">
        <f>IF(A24="","",SUM(X24:AI24))</f>
        <v/>
      </c>
      <c r="H24" s="8">
        <f>IF(A24="","",IF(ISNA(MATCH(A24,Mitarbeiter!$A$6:$A$205,0)),"Pers.-Nr. unbekannt",IF(D24="","Von fehlt",IF(AND(C24&lt;&gt;Einstellungen!$C$4,C24&lt;&gt;Einstellungen!$C$5),"Objekt fehlt",IF(J24&lt;D24,"Bis vor Von",IF(D24&lt;INDEX(Mitarbeiter!$C$6:$C$205,MATCH($A24,Mitarbeiter!$A$6:$A$205,0)),"vor Eintritt",IF(AND(INDEX(Mitarbeiter!$D$6:$D$205,MATCH($A24,Mitarbeiter!$A$6:$A$205,0))&lt;&gt;"",D24&gt;INDEX(Mitarbeiter!$D$6:$D$205,MATCH($A24,Mitarbeiter!$A$6:$A$205,0))),"nach Austritt",IF(E24="","offen","ok"))))))))</f>
        <v/>
      </c>
      <c r="J24" s="47">
        <f>IF(A24="","",IF(E24="",Einstellungen!$C$9,E24))</f>
        <v/>
      </c>
      <c r="K24" s="48">
        <f>IF(A24="",0,IFERROR(INDEX(Mitarbeiter!$F$6:$F$205,MATCH($A24,Mitarbeiter!$A$6:$A$205,0)),0))</f>
        <v/>
      </c>
      <c r="L24" s="49">
        <f>IF(OR(A24="",D24=""),0,MAX(0,NETWORKDAYS(MAX(D24,DATE(Einstellungen!$C$3,1,1)),MIN(J24,DATE(Einstellungen!$C$3,2,0)),Einstellungen!$F$13:$F$32)))</f>
        <v/>
      </c>
      <c r="M24" s="49">
        <f>IF(OR(A24="",D24=""),0,MAX(0,NETWORKDAYS(MAX(D24,DATE(Einstellungen!$C$3,2,1)),MIN(J24,DATE(Einstellungen!$C$3,3,0)),Einstellungen!$F$13:$F$32)))</f>
        <v/>
      </c>
      <c r="N24" s="49">
        <f>IF(OR(A24="",D24=""),0,MAX(0,NETWORKDAYS(MAX(D24,DATE(Einstellungen!$C$3,3,1)),MIN(J24,DATE(Einstellungen!$C$3,4,0)),Einstellungen!$F$13:$F$32)))</f>
        <v/>
      </c>
      <c r="O24" s="49">
        <f>IF(OR(A24="",D24=""),0,MAX(0,NETWORKDAYS(MAX(D24,DATE(Einstellungen!$C$3,4,1)),MIN(J24,DATE(Einstellungen!$C$3,5,0)),Einstellungen!$F$13:$F$32)))</f>
        <v/>
      </c>
      <c r="P24" s="49">
        <f>IF(OR(A24="",D24=""),0,MAX(0,NETWORKDAYS(MAX(D24,DATE(Einstellungen!$C$3,5,1)),MIN(J24,DATE(Einstellungen!$C$3,6,0)),Einstellungen!$F$13:$F$32)))</f>
        <v/>
      </c>
      <c r="Q24" s="49">
        <f>IF(OR(A24="",D24=""),0,MAX(0,NETWORKDAYS(MAX(D24,DATE(Einstellungen!$C$3,6,1)),MIN(J24,DATE(Einstellungen!$C$3,7,0)),Einstellungen!$F$13:$F$32)))</f>
        <v/>
      </c>
      <c r="R24" s="49">
        <f>IF(OR(A24="",D24=""),0,MAX(0,NETWORKDAYS(MAX(D24,DATE(Einstellungen!$C$3,7,1)),MIN(J24,DATE(Einstellungen!$C$3,8,0)),Einstellungen!$F$13:$F$32)))</f>
        <v/>
      </c>
      <c r="S24" s="49">
        <f>IF(OR(A24="",D24=""),0,MAX(0,NETWORKDAYS(MAX(D24,DATE(Einstellungen!$C$3,8,1)),MIN(J24,DATE(Einstellungen!$C$3,9,0)),Einstellungen!$F$13:$F$32)))</f>
        <v/>
      </c>
      <c r="T24" s="49">
        <f>IF(OR(A24="",D24=""),0,MAX(0,NETWORKDAYS(MAX(D24,DATE(Einstellungen!$C$3,9,1)),MIN(J24,DATE(Einstellungen!$C$3,10,0)),Einstellungen!$F$13:$F$32)))</f>
        <v/>
      </c>
      <c r="U24" s="49">
        <f>IF(OR(A24="",D24=""),0,MAX(0,NETWORKDAYS(MAX(D24,DATE(Einstellungen!$C$3,10,1)),MIN(J24,DATE(Einstellungen!$C$3,11,0)),Einstellungen!$F$13:$F$32)))</f>
        <v/>
      </c>
      <c r="V24" s="49">
        <f>IF(OR(A24="",D24=""),0,MAX(0,NETWORKDAYS(MAX(D24,DATE(Einstellungen!$C$3,11,1)),MIN(J24,DATE(Einstellungen!$C$3,12,0)),Einstellungen!$F$13:$F$32)))</f>
        <v/>
      </c>
      <c r="W24" s="49">
        <f>IF(OR(A24="",D24=""),0,MAX(0,NETWORKDAYS(MAX(D24,DATE(Einstellungen!$C$3,12,1)),MIN(J24,DATE(Einstellungen!$C$3,13,0)),Einstellungen!$F$13:$F$32)))</f>
        <v/>
      </c>
      <c r="X24" s="50">
        <f>L24*K24</f>
        <v/>
      </c>
      <c r="Y24" s="50">
        <f>M24*K24</f>
        <v/>
      </c>
      <c r="Z24" s="50">
        <f>N24*K24</f>
        <v/>
      </c>
      <c r="AA24" s="50">
        <f>O24*K24</f>
        <v/>
      </c>
      <c r="AB24" s="50">
        <f>P24*K24</f>
        <v/>
      </c>
      <c r="AC24" s="50">
        <f>Q24*K24</f>
        <v/>
      </c>
      <c r="AD24" s="50">
        <f>R24*K24</f>
        <v/>
      </c>
      <c r="AE24" s="50">
        <f>S24*K24</f>
        <v/>
      </c>
      <c r="AF24" s="50">
        <f>T24*K24</f>
        <v/>
      </c>
      <c r="AG24" s="50">
        <f>U24*K24</f>
        <v/>
      </c>
      <c r="AH24" s="50">
        <f>V24*K24</f>
        <v/>
      </c>
      <c r="AI24" s="50">
        <f>W24*K24</f>
        <v/>
      </c>
    </row>
    <row r="25">
      <c r="A25" s="25" t="n">
        <v>1042</v>
      </c>
      <c r="B25" s="45">
        <f>IF(A25="","",IFERROR(INDEX(Mitarbeiter!$B$6:$B$205,MATCH($A25,Mitarbeiter!$A$6:$A$205,0)),"?"))</f>
        <v/>
      </c>
      <c r="C25" s="46" t="inlineStr">
        <is>
          <t>Objekt 2</t>
        </is>
      </c>
      <c r="D25" s="26" t="n">
        <v>46054</v>
      </c>
      <c r="E25" s="26" t="n">
        <v>46056</v>
      </c>
      <c r="F25" s="24">
        <f>IF(A25="","",SUM(L25:W25))</f>
        <v/>
      </c>
      <c r="G25" s="36">
        <f>IF(A25="","",SUM(X25:AI25))</f>
        <v/>
      </c>
      <c r="H25" s="8">
        <f>IF(A25="","",IF(ISNA(MATCH(A25,Mitarbeiter!$A$6:$A$205,0)),"Pers.-Nr. unbekannt",IF(D25="","Von fehlt",IF(AND(C25&lt;&gt;Einstellungen!$C$4,C25&lt;&gt;Einstellungen!$C$5),"Objekt fehlt",IF(J25&lt;D25,"Bis vor Von",IF(D25&lt;INDEX(Mitarbeiter!$C$6:$C$205,MATCH($A25,Mitarbeiter!$A$6:$A$205,0)),"vor Eintritt",IF(AND(INDEX(Mitarbeiter!$D$6:$D$205,MATCH($A25,Mitarbeiter!$A$6:$A$205,0))&lt;&gt;"",D25&gt;INDEX(Mitarbeiter!$D$6:$D$205,MATCH($A25,Mitarbeiter!$A$6:$A$205,0))),"nach Austritt",IF(E25="","offen","ok"))))))))</f>
        <v/>
      </c>
      <c r="J25" s="47">
        <f>IF(A25="","",IF(E25="",Einstellungen!$C$9,E25))</f>
        <v/>
      </c>
      <c r="K25" s="48">
        <f>IF(A25="",0,IFERROR(INDEX(Mitarbeiter!$F$6:$F$205,MATCH($A25,Mitarbeiter!$A$6:$A$205,0)),0))</f>
        <v/>
      </c>
      <c r="L25" s="49">
        <f>IF(OR(A25="",D25=""),0,MAX(0,NETWORKDAYS(MAX(D25,DATE(Einstellungen!$C$3,1,1)),MIN(J25,DATE(Einstellungen!$C$3,2,0)),Einstellungen!$F$13:$F$32)))</f>
        <v/>
      </c>
      <c r="M25" s="49">
        <f>IF(OR(A25="",D25=""),0,MAX(0,NETWORKDAYS(MAX(D25,DATE(Einstellungen!$C$3,2,1)),MIN(J25,DATE(Einstellungen!$C$3,3,0)),Einstellungen!$F$13:$F$32)))</f>
        <v/>
      </c>
      <c r="N25" s="49">
        <f>IF(OR(A25="",D25=""),0,MAX(0,NETWORKDAYS(MAX(D25,DATE(Einstellungen!$C$3,3,1)),MIN(J25,DATE(Einstellungen!$C$3,4,0)),Einstellungen!$F$13:$F$32)))</f>
        <v/>
      </c>
      <c r="O25" s="49">
        <f>IF(OR(A25="",D25=""),0,MAX(0,NETWORKDAYS(MAX(D25,DATE(Einstellungen!$C$3,4,1)),MIN(J25,DATE(Einstellungen!$C$3,5,0)),Einstellungen!$F$13:$F$32)))</f>
        <v/>
      </c>
      <c r="P25" s="49">
        <f>IF(OR(A25="",D25=""),0,MAX(0,NETWORKDAYS(MAX(D25,DATE(Einstellungen!$C$3,5,1)),MIN(J25,DATE(Einstellungen!$C$3,6,0)),Einstellungen!$F$13:$F$32)))</f>
        <v/>
      </c>
      <c r="Q25" s="49">
        <f>IF(OR(A25="",D25=""),0,MAX(0,NETWORKDAYS(MAX(D25,DATE(Einstellungen!$C$3,6,1)),MIN(J25,DATE(Einstellungen!$C$3,7,0)),Einstellungen!$F$13:$F$32)))</f>
        <v/>
      </c>
      <c r="R25" s="49">
        <f>IF(OR(A25="",D25=""),0,MAX(0,NETWORKDAYS(MAX(D25,DATE(Einstellungen!$C$3,7,1)),MIN(J25,DATE(Einstellungen!$C$3,8,0)),Einstellungen!$F$13:$F$32)))</f>
        <v/>
      </c>
      <c r="S25" s="49">
        <f>IF(OR(A25="",D25=""),0,MAX(0,NETWORKDAYS(MAX(D25,DATE(Einstellungen!$C$3,8,1)),MIN(J25,DATE(Einstellungen!$C$3,9,0)),Einstellungen!$F$13:$F$32)))</f>
        <v/>
      </c>
      <c r="T25" s="49">
        <f>IF(OR(A25="",D25=""),0,MAX(0,NETWORKDAYS(MAX(D25,DATE(Einstellungen!$C$3,9,1)),MIN(J25,DATE(Einstellungen!$C$3,10,0)),Einstellungen!$F$13:$F$32)))</f>
        <v/>
      </c>
      <c r="U25" s="49">
        <f>IF(OR(A25="",D25=""),0,MAX(0,NETWORKDAYS(MAX(D25,DATE(Einstellungen!$C$3,10,1)),MIN(J25,DATE(Einstellungen!$C$3,11,0)),Einstellungen!$F$13:$F$32)))</f>
        <v/>
      </c>
      <c r="V25" s="49">
        <f>IF(OR(A25="",D25=""),0,MAX(0,NETWORKDAYS(MAX(D25,DATE(Einstellungen!$C$3,11,1)),MIN(J25,DATE(Einstellungen!$C$3,12,0)),Einstellungen!$F$13:$F$32)))</f>
        <v/>
      </c>
      <c r="W25" s="49">
        <f>IF(OR(A25="",D25=""),0,MAX(0,NETWORKDAYS(MAX(D25,DATE(Einstellungen!$C$3,12,1)),MIN(J25,DATE(Einstellungen!$C$3,13,0)),Einstellungen!$F$13:$F$32)))</f>
        <v/>
      </c>
      <c r="X25" s="50">
        <f>L25*K25</f>
        <v/>
      </c>
      <c r="Y25" s="50">
        <f>M25*K25</f>
        <v/>
      </c>
      <c r="Z25" s="50">
        <f>N25*K25</f>
        <v/>
      </c>
      <c r="AA25" s="50">
        <f>O25*K25</f>
        <v/>
      </c>
      <c r="AB25" s="50">
        <f>P25*K25</f>
        <v/>
      </c>
      <c r="AC25" s="50">
        <f>Q25*K25</f>
        <v/>
      </c>
      <c r="AD25" s="50">
        <f>R25*K25</f>
        <v/>
      </c>
      <c r="AE25" s="50">
        <f>S25*K25</f>
        <v/>
      </c>
      <c r="AF25" s="50">
        <f>T25*K25</f>
        <v/>
      </c>
      <c r="AG25" s="50">
        <f>U25*K25</f>
        <v/>
      </c>
      <c r="AH25" s="50">
        <f>V25*K25</f>
        <v/>
      </c>
      <c r="AI25" s="50">
        <f>W25*K25</f>
        <v/>
      </c>
    </row>
    <row r="26">
      <c r="A26" s="25" t="n">
        <v>1021</v>
      </c>
      <c r="B26" s="45">
        <f>IF(A26="","",IFERROR(INDEX(Mitarbeiter!$B$6:$B$205,MATCH($A26,Mitarbeiter!$A$6:$A$205,0)),"?"))</f>
        <v/>
      </c>
      <c r="C26" s="46" t="inlineStr">
        <is>
          <t>Objekt 1</t>
        </is>
      </c>
      <c r="D26" s="26" t="n">
        <v>46056</v>
      </c>
      <c r="E26" s="26" t="n">
        <v>46058</v>
      </c>
      <c r="F26" s="24">
        <f>IF(A26="","",SUM(L26:W26))</f>
        <v/>
      </c>
      <c r="G26" s="36">
        <f>IF(A26="","",SUM(X26:AI26))</f>
        <v/>
      </c>
      <c r="H26" s="8">
        <f>IF(A26="","",IF(ISNA(MATCH(A26,Mitarbeiter!$A$6:$A$205,0)),"Pers.-Nr. unbekannt",IF(D26="","Von fehlt",IF(AND(C26&lt;&gt;Einstellungen!$C$4,C26&lt;&gt;Einstellungen!$C$5),"Objekt fehlt",IF(J26&lt;D26,"Bis vor Von",IF(D26&lt;INDEX(Mitarbeiter!$C$6:$C$205,MATCH($A26,Mitarbeiter!$A$6:$A$205,0)),"vor Eintritt",IF(AND(INDEX(Mitarbeiter!$D$6:$D$205,MATCH($A26,Mitarbeiter!$A$6:$A$205,0))&lt;&gt;"",D26&gt;INDEX(Mitarbeiter!$D$6:$D$205,MATCH($A26,Mitarbeiter!$A$6:$A$205,0))),"nach Austritt",IF(E26="","offen","ok"))))))))</f>
        <v/>
      </c>
      <c r="J26" s="47">
        <f>IF(A26="","",IF(E26="",Einstellungen!$C$9,E26))</f>
        <v/>
      </c>
      <c r="K26" s="48">
        <f>IF(A26="",0,IFERROR(INDEX(Mitarbeiter!$F$6:$F$205,MATCH($A26,Mitarbeiter!$A$6:$A$205,0)),0))</f>
        <v/>
      </c>
      <c r="L26" s="49">
        <f>IF(OR(A26="",D26=""),0,MAX(0,NETWORKDAYS(MAX(D26,DATE(Einstellungen!$C$3,1,1)),MIN(J26,DATE(Einstellungen!$C$3,2,0)),Einstellungen!$F$13:$F$32)))</f>
        <v/>
      </c>
      <c r="M26" s="49">
        <f>IF(OR(A26="",D26=""),0,MAX(0,NETWORKDAYS(MAX(D26,DATE(Einstellungen!$C$3,2,1)),MIN(J26,DATE(Einstellungen!$C$3,3,0)),Einstellungen!$F$13:$F$32)))</f>
        <v/>
      </c>
      <c r="N26" s="49">
        <f>IF(OR(A26="",D26=""),0,MAX(0,NETWORKDAYS(MAX(D26,DATE(Einstellungen!$C$3,3,1)),MIN(J26,DATE(Einstellungen!$C$3,4,0)),Einstellungen!$F$13:$F$32)))</f>
        <v/>
      </c>
      <c r="O26" s="49">
        <f>IF(OR(A26="",D26=""),0,MAX(0,NETWORKDAYS(MAX(D26,DATE(Einstellungen!$C$3,4,1)),MIN(J26,DATE(Einstellungen!$C$3,5,0)),Einstellungen!$F$13:$F$32)))</f>
        <v/>
      </c>
      <c r="P26" s="49">
        <f>IF(OR(A26="",D26=""),0,MAX(0,NETWORKDAYS(MAX(D26,DATE(Einstellungen!$C$3,5,1)),MIN(J26,DATE(Einstellungen!$C$3,6,0)),Einstellungen!$F$13:$F$32)))</f>
        <v/>
      </c>
      <c r="Q26" s="49">
        <f>IF(OR(A26="",D26=""),0,MAX(0,NETWORKDAYS(MAX(D26,DATE(Einstellungen!$C$3,6,1)),MIN(J26,DATE(Einstellungen!$C$3,7,0)),Einstellungen!$F$13:$F$32)))</f>
        <v/>
      </c>
      <c r="R26" s="49">
        <f>IF(OR(A26="",D26=""),0,MAX(0,NETWORKDAYS(MAX(D26,DATE(Einstellungen!$C$3,7,1)),MIN(J26,DATE(Einstellungen!$C$3,8,0)),Einstellungen!$F$13:$F$32)))</f>
        <v/>
      </c>
      <c r="S26" s="49">
        <f>IF(OR(A26="",D26=""),0,MAX(0,NETWORKDAYS(MAX(D26,DATE(Einstellungen!$C$3,8,1)),MIN(J26,DATE(Einstellungen!$C$3,9,0)),Einstellungen!$F$13:$F$32)))</f>
        <v/>
      </c>
      <c r="T26" s="49">
        <f>IF(OR(A26="",D26=""),0,MAX(0,NETWORKDAYS(MAX(D26,DATE(Einstellungen!$C$3,9,1)),MIN(J26,DATE(Einstellungen!$C$3,10,0)),Einstellungen!$F$13:$F$32)))</f>
        <v/>
      </c>
      <c r="U26" s="49">
        <f>IF(OR(A26="",D26=""),0,MAX(0,NETWORKDAYS(MAX(D26,DATE(Einstellungen!$C$3,10,1)),MIN(J26,DATE(Einstellungen!$C$3,11,0)),Einstellungen!$F$13:$F$32)))</f>
        <v/>
      </c>
      <c r="V26" s="49">
        <f>IF(OR(A26="",D26=""),0,MAX(0,NETWORKDAYS(MAX(D26,DATE(Einstellungen!$C$3,11,1)),MIN(J26,DATE(Einstellungen!$C$3,12,0)),Einstellungen!$F$13:$F$32)))</f>
        <v/>
      </c>
      <c r="W26" s="49">
        <f>IF(OR(A26="",D26=""),0,MAX(0,NETWORKDAYS(MAX(D26,DATE(Einstellungen!$C$3,12,1)),MIN(J26,DATE(Einstellungen!$C$3,13,0)),Einstellungen!$F$13:$F$32)))</f>
        <v/>
      </c>
      <c r="X26" s="50">
        <f>L26*K26</f>
        <v/>
      </c>
      <c r="Y26" s="50">
        <f>M26*K26</f>
        <v/>
      </c>
      <c r="Z26" s="50">
        <f>N26*K26</f>
        <v/>
      </c>
      <c r="AA26" s="50">
        <f>O26*K26</f>
        <v/>
      </c>
      <c r="AB26" s="50">
        <f>P26*K26</f>
        <v/>
      </c>
      <c r="AC26" s="50">
        <f>Q26*K26</f>
        <v/>
      </c>
      <c r="AD26" s="50">
        <f>R26*K26</f>
        <v/>
      </c>
      <c r="AE26" s="50">
        <f>S26*K26</f>
        <v/>
      </c>
      <c r="AF26" s="50">
        <f>T26*K26</f>
        <v/>
      </c>
      <c r="AG26" s="50">
        <f>U26*K26</f>
        <v/>
      </c>
      <c r="AH26" s="50">
        <f>V26*K26</f>
        <v/>
      </c>
      <c r="AI26" s="50">
        <f>W26*K26</f>
        <v/>
      </c>
    </row>
    <row r="27">
      <c r="A27" s="25" t="n">
        <v>1030</v>
      </c>
      <c r="B27" s="45">
        <f>IF(A27="","",IFERROR(INDEX(Mitarbeiter!$B$6:$B$205,MATCH($A27,Mitarbeiter!$A$6:$A$205,0)),"?"))</f>
        <v/>
      </c>
      <c r="C27" s="46" t="inlineStr">
        <is>
          <t>Objekt 1</t>
        </is>
      </c>
      <c r="D27" s="26" t="n">
        <v>46063</v>
      </c>
      <c r="E27" s="26" t="n">
        <v>46063</v>
      </c>
      <c r="F27" s="24">
        <f>IF(A27="","",SUM(L27:W27))</f>
        <v/>
      </c>
      <c r="G27" s="36">
        <f>IF(A27="","",SUM(X27:AI27))</f>
        <v/>
      </c>
      <c r="H27" s="8">
        <f>IF(A27="","",IF(ISNA(MATCH(A27,Mitarbeiter!$A$6:$A$205,0)),"Pers.-Nr. unbekannt",IF(D27="","Von fehlt",IF(AND(C27&lt;&gt;Einstellungen!$C$4,C27&lt;&gt;Einstellungen!$C$5),"Objekt fehlt",IF(J27&lt;D27,"Bis vor Von",IF(D27&lt;INDEX(Mitarbeiter!$C$6:$C$205,MATCH($A27,Mitarbeiter!$A$6:$A$205,0)),"vor Eintritt",IF(AND(INDEX(Mitarbeiter!$D$6:$D$205,MATCH($A27,Mitarbeiter!$A$6:$A$205,0))&lt;&gt;"",D27&gt;INDEX(Mitarbeiter!$D$6:$D$205,MATCH($A27,Mitarbeiter!$A$6:$A$205,0))),"nach Austritt",IF(E27="","offen","ok"))))))))</f>
        <v/>
      </c>
      <c r="J27" s="47">
        <f>IF(A27="","",IF(E27="",Einstellungen!$C$9,E27))</f>
        <v/>
      </c>
      <c r="K27" s="48">
        <f>IF(A27="",0,IFERROR(INDEX(Mitarbeiter!$F$6:$F$205,MATCH($A27,Mitarbeiter!$A$6:$A$205,0)),0))</f>
        <v/>
      </c>
      <c r="L27" s="49">
        <f>IF(OR(A27="",D27=""),0,MAX(0,NETWORKDAYS(MAX(D27,DATE(Einstellungen!$C$3,1,1)),MIN(J27,DATE(Einstellungen!$C$3,2,0)),Einstellungen!$F$13:$F$32)))</f>
        <v/>
      </c>
      <c r="M27" s="49">
        <f>IF(OR(A27="",D27=""),0,MAX(0,NETWORKDAYS(MAX(D27,DATE(Einstellungen!$C$3,2,1)),MIN(J27,DATE(Einstellungen!$C$3,3,0)),Einstellungen!$F$13:$F$32)))</f>
        <v/>
      </c>
      <c r="N27" s="49">
        <f>IF(OR(A27="",D27=""),0,MAX(0,NETWORKDAYS(MAX(D27,DATE(Einstellungen!$C$3,3,1)),MIN(J27,DATE(Einstellungen!$C$3,4,0)),Einstellungen!$F$13:$F$32)))</f>
        <v/>
      </c>
      <c r="O27" s="49">
        <f>IF(OR(A27="",D27=""),0,MAX(0,NETWORKDAYS(MAX(D27,DATE(Einstellungen!$C$3,4,1)),MIN(J27,DATE(Einstellungen!$C$3,5,0)),Einstellungen!$F$13:$F$32)))</f>
        <v/>
      </c>
      <c r="P27" s="49">
        <f>IF(OR(A27="",D27=""),0,MAX(0,NETWORKDAYS(MAX(D27,DATE(Einstellungen!$C$3,5,1)),MIN(J27,DATE(Einstellungen!$C$3,6,0)),Einstellungen!$F$13:$F$32)))</f>
        <v/>
      </c>
      <c r="Q27" s="49">
        <f>IF(OR(A27="",D27=""),0,MAX(0,NETWORKDAYS(MAX(D27,DATE(Einstellungen!$C$3,6,1)),MIN(J27,DATE(Einstellungen!$C$3,7,0)),Einstellungen!$F$13:$F$32)))</f>
        <v/>
      </c>
      <c r="R27" s="49">
        <f>IF(OR(A27="",D27=""),0,MAX(0,NETWORKDAYS(MAX(D27,DATE(Einstellungen!$C$3,7,1)),MIN(J27,DATE(Einstellungen!$C$3,8,0)),Einstellungen!$F$13:$F$32)))</f>
        <v/>
      </c>
      <c r="S27" s="49">
        <f>IF(OR(A27="",D27=""),0,MAX(0,NETWORKDAYS(MAX(D27,DATE(Einstellungen!$C$3,8,1)),MIN(J27,DATE(Einstellungen!$C$3,9,0)),Einstellungen!$F$13:$F$32)))</f>
        <v/>
      </c>
      <c r="T27" s="49">
        <f>IF(OR(A27="",D27=""),0,MAX(0,NETWORKDAYS(MAX(D27,DATE(Einstellungen!$C$3,9,1)),MIN(J27,DATE(Einstellungen!$C$3,10,0)),Einstellungen!$F$13:$F$32)))</f>
        <v/>
      </c>
      <c r="U27" s="49">
        <f>IF(OR(A27="",D27=""),0,MAX(0,NETWORKDAYS(MAX(D27,DATE(Einstellungen!$C$3,10,1)),MIN(J27,DATE(Einstellungen!$C$3,11,0)),Einstellungen!$F$13:$F$32)))</f>
        <v/>
      </c>
      <c r="V27" s="49">
        <f>IF(OR(A27="",D27=""),0,MAX(0,NETWORKDAYS(MAX(D27,DATE(Einstellungen!$C$3,11,1)),MIN(J27,DATE(Einstellungen!$C$3,12,0)),Einstellungen!$F$13:$F$32)))</f>
        <v/>
      </c>
      <c r="W27" s="49">
        <f>IF(OR(A27="",D27=""),0,MAX(0,NETWORKDAYS(MAX(D27,DATE(Einstellungen!$C$3,12,1)),MIN(J27,DATE(Einstellungen!$C$3,13,0)),Einstellungen!$F$13:$F$32)))</f>
        <v/>
      </c>
      <c r="X27" s="50">
        <f>L27*K27</f>
        <v/>
      </c>
      <c r="Y27" s="50">
        <f>M27*K27</f>
        <v/>
      </c>
      <c r="Z27" s="50">
        <f>N27*K27</f>
        <v/>
      </c>
      <c r="AA27" s="50">
        <f>O27*K27</f>
        <v/>
      </c>
      <c r="AB27" s="50">
        <f>P27*K27</f>
        <v/>
      </c>
      <c r="AC27" s="50">
        <f>Q27*K27</f>
        <v/>
      </c>
      <c r="AD27" s="50">
        <f>R27*K27</f>
        <v/>
      </c>
      <c r="AE27" s="50">
        <f>S27*K27</f>
        <v/>
      </c>
      <c r="AF27" s="50">
        <f>T27*K27</f>
        <v/>
      </c>
      <c r="AG27" s="50">
        <f>U27*K27</f>
        <v/>
      </c>
      <c r="AH27" s="50">
        <f>V27*K27</f>
        <v/>
      </c>
      <c r="AI27" s="50">
        <f>W27*K27</f>
        <v/>
      </c>
    </row>
    <row r="28">
      <c r="A28" s="25" t="n">
        <v>1008</v>
      </c>
      <c r="B28" s="45">
        <f>IF(A28="","",IFERROR(INDEX(Mitarbeiter!$B$6:$B$205,MATCH($A28,Mitarbeiter!$A$6:$A$205,0)),"?"))</f>
        <v/>
      </c>
      <c r="C28" s="46" t="inlineStr">
        <is>
          <t>Objekt 2</t>
        </is>
      </c>
      <c r="D28" s="26" t="n">
        <v>46064</v>
      </c>
      <c r="E28" s="26" t="n">
        <v>46066</v>
      </c>
      <c r="F28" s="24">
        <f>IF(A28="","",SUM(L28:W28))</f>
        <v/>
      </c>
      <c r="G28" s="36">
        <f>IF(A28="","",SUM(X28:AI28))</f>
        <v/>
      </c>
      <c r="H28" s="8">
        <f>IF(A28="","",IF(ISNA(MATCH(A28,Mitarbeiter!$A$6:$A$205,0)),"Pers.-Nr. unbekannt",IF(D28="","Von fehlt",IF(AND(C28&lt;&gt;Einstellungen!$C$4,C28&lt;&gt;Einstellungen!$C$5),"Objekt fehlt",IF(J28&lt;D28,"Bis vor Von",IF(D28&lt;INDEX(Mitarbeiter!$C$6:$C$205,MATCH($A28,Mitarbeiter!$A$6:$A$205,0)),"vor Eintritt",IF(AND(INDEX(Mitarbeiter!$D$6:$D$205,MATCH($A28,Mitarbeiter!$A$6:$A$205,0))&lt;&gt;"",D28&gt;INDEX(Mitarbeiter!$D$6:$D$205,MATCH($A28,Mitarbeiter!$A$6:$A$205,0))),"nach Austritt",IF(E28="","offen","ok"))))))))</f>
        <v/>
      </c>
      <c r="J28" s="47">
        <f>IF(A28="","",IF(E28="",Einstellungen!$C$9,E28))</f>
        <v/>
      </c>
      <c r="K28" s="48">
        <f>IF(A28="",0,IFERROR(INDEX(Mitarbeiter!$F$6:$F$205,MATCH($A28,Mitarbeiter!$A$6:$A$205,0)),0))</f>
        <v/>
      </c>
      <c r="L28" s="49">
        <f>IF(OR(A28="",D28=""),0,MAX(0,NETWORKDAYS(MAX(D28,DATE(Einstellungen!$C$3,1,1)),MIN(J28,DATE(Einstellungen!$C$3,2,0)),Einstellungen!$F$13:$F$32)))</f>
        <v/>
      </c>
      <c r="M28" s="49">
        <f>IF(OR(A28="",D28=""),0,MAX(0,NETWORKDAYS(MAX(D28,DATE(Einstellungen!$C$3,2,1)),MIN(J28,DATE(Einstellungen!$C$3,3,0)),Einstellungen!$F$13:$F$32)))</f>
        <v/>
      </c>
      <c r="N28" s="49">
        <f>IF(OR(A28="",D28=""),0,MAX(0,NETWORKDAYS(MAX(D28,DATE(Einstellungen!$C$3,3,1)),MIN(J28,DATE(Einstellungen!$C$3,4,0)),Einstellungen!$F$13:$F$32)))</f>
        <v/>
      </c>
      <c r="O28" s="49">
        <f>IF(OR(A28="",D28=""),0,MAX(0,NETWORKDAYS(MAX(D28,DATE(Einstellungen!$C$3,4,1)),MIN(J28,DATE(Einstellungen!$C$3,5,0)),Einstellungen!$F$13:$F$32)))</f>
        <v/>
      </c>
      <c r="P28" s="49">
        <f>IF(OR(A28="",D28=""),0,MAX(0,NETWORKDAYS(MAX(D28,DATE(Einstellungen!$C$3,5,1)),MIN(J28,DATE(Einstellungen!$C$3,6,0)),Einstellungen!$F$13:$F$32)))</f>
        <v/>
      </c>
      <c r="Q28" s="49">
        <f>IF(OR(A28="",D28=""),0,MAX(0,NETWORKDAYS(MAX(D28,DATE(Einstellungen!$C$3,6,1)),MIN(J28,DATE(Einstellungen!$C$3,7,0)),Einstellungen!$F$13:$F$32)))</f>
        <v/>
      </c>
      <c r="R28" s="49">
        <f>IF(OR(A28="",D28=""),0,MAX(0,NETWORKDAYS(MAX(D28,DATE(Einstellungen!$C$3,7,1)),MIN(J28,DATE(Einstellungen!$C$3,8,0)),Einstellungen!$F$13:$F$32)))</f>
        <v/>
      </c>
      <c r="S28" s="49">
        <f>IF(OR(A28="",D28=""),0,MAX(0,NETWORKDAYS(MAX(D28,DATE(Einstellungen!$C$3,8,1)),MIN(J28,DATE(Einstellungen!$C$3,9,0)),Einstellungen!$F$13:$F$32)))</f>
        <v/>
      </c>
      <c r="T28" s="49">
        <f>IF(OR(A28="",D28=""),0,MAX(0,NETWORKDAYS(MAX(D28,DATE(Einstellungen!$C$3,9,1)),MIN(J28,DATE(Einstellungen!$C$3,10,0)),Einstellungen!$F$13:$F$32)))</f>
        <v/>
      </c>
      <c r="U28" s="49">
        <f>IF(OR(A28="",D28=""),0,MAX(0,NETWORKDAYS(MAX(D28,DATE(Einstellungen!$C$3,10,1)),MIN(J28,DATE(Einstellungen!$C$3,11,0)),Einstellungen!$F$13:$F$32)))</f>
        <v/>
      </c>
      <c r="V28" s="49">
        <f>IF(OR(A28="",D28=""),0,MAX(0,NETWORKDAYS(MAX(D28,DATE(Einstellungen!$C$3,11,1)),MIN(J28,DATE(Einstellungen!$C$3,12,0)),Einstellungen!$F$13:$F$32)))</f>
        <v/>
      </c>
      <c r="W28" s="49">
        <f>IF(OR(A28="",D28=""),0,MAX(0,NETWORKDAYS(MAX(D28,DATE(Einstellungen!$C$3,12,1)),MIN(J28,DATE(Einstellungen!$C$3,13,0)),Einstellungen!$F$13:$F$32)))</f>
        <v/>
      </c>
      <c r="X28" s="50">
        <f>L28*K28</f>
        <v/>
      </c>
      <c r="Y28" s="50">
        <f>M28*K28</f>
        <v/>
      </c>
      <c r="Z28" s="50">
        <f>N28*K28</f>
        <v/>
      </c>
      <c r="AA28" s="50">
        <f>O28*K28</f>
        <v/>
      </c>
      <c r="AB28" s="50">
        <f>P28*K28</f>
        <v/>
      </c>
      <c r="AC28" s="50">
        <f>Q28*K28</f>
        <v/>
      </c>
      <c r="AD28" s="50">
        <f>R28*K28</f>
        <v/>
      </c>
      <c r="AE28" s="50">
        <f>S28*K28</f>
        <v/>
      </c>
      <c r="AF28" s="50">
        <f>T28*K28</f>
        <v/>
      </c>
      <c r="AG28" s="50">
        <f>U28*K28</f>
        <v/>
      </c>
      <c r="AH28" s="50">
        <f>V28*K28</f>
        <v/>
      </c>
      <c r="AI28" s="50">
        <f>W28*K28</f>
        <v/>
      </c>
    </row>
    <row r="29">
      <c r="A29" s="25" t="n">
        <v>1011</v>
      </c>
      <c r="B29" s="45">
        <f>IF(A29="","",IFERROR(INDEX(Mitarbeiter!$B$6:$B$205,MATCH($A29,Mitarbeiter!$A$6:$A$205,0)),"?"))</f>
        <v/>
      </c>
      <c r="C29" s="46" t="inlineStr">
        <is>
          <t>Objekt 1</t>
        </is>
      </c>
      <c r="D29" s="26" t="n">
        <v>46074</v>
      </c>
      <c r="E29" s="26" t="n">
        <v>46087</v>
      </c>
      <c r="F29" s="24">
        <f>IF(A29="","",SUM(L29:W29))</f>
        <v/>
      </c>
      <c r="G29" s="36">
        <f>IF(A29="","",SUM(X29:AI29))</f>
        <v/>
      </c>
      <c r="H29" s="8">
        <f>IF(A29="","",IF(ISNA(MATCH(A29,Mitarbeiter!$A$6:$A$205,0)),"Pers.-Nr. unbekannt",IF(D29="","Von fehlt",IF(AND(C29&lt;&gt;Einstellungen!$C$4,C29&lt;&gt;Einstellungen!$C$5),"Objekt fehlt",IF(J29&lt;D29,"Bis vor Von",IF(D29&lt;INDEX(Mitarbeiter!$C$6:$C$205,MATCH($A29,Mitarbeiter!$A$6:$A$205,0)),"vor Eintritt",IF(AND(INDEX(Mitarbeiter!$D$6:$D$205,MATCH($A29,Mitarbeiter!$A$6:$A$205,0))&lt;&gt;"",D29&gt;INDEX(Mitarbeiter!$D$6:$D$205,MATCH($A29,Mitarbeiter!$A$6:$A$205,0))),"nach Austritt",IF(E29="","offen","ok"))))))))</f>
        <v/>
      </c>
      <c r="J29" s="47">
        <f>IF(A29="","",IF(E29="",Einstellungen!$C$9,E29))</f>
        <v/>
      </c>
      <c r="K29" s="48">
        <f>IF(A29="",0,IFERROR(INDEX(Mitarbeiter!$F$6:$F$205,MATCH($A29,Mitarbeiter!$A$6:$A$205,0)),0))</f>
        <v/>
      </c>
      <c r="L29" s="49">
        <f>IF(OR(A29="",D29=""),0,MAX(0,NETWORKDAYS(MAX(D29,DATE(Einstellungen!$C$3,1,1)),MIN(J29,DATE(Einstellungen!$C$3,2,0)),Einstellungen!$F$13:$F$32)))</f>
        <v/>
      </c>
      <c r="M29" s="49">
        <f>IF(OR(A29="",D29=""),0,MAX(0,NETWORKDAYS(MAX(D29,DATE(Einstellungen!$C$3,2,1)),MIN(J29,DATE(Einstellungen!$C$3,3,0)),Einstellungen!$F$13:$F$32)))</f>
        <v/>
      </c>
      <c r="N29" s="49">
        <f>IF(OR(A29="",D29=""),0,MAX(0,NETWORKDAYS(MAX(D29,DATE(Einstellungen!$C$3,3,1)),MIN(J29,DATE(Einstellungen!$C$3,4,0)),Einstellungen!$F$13:$F$32)))</f>
        <v/>
      </c>
      <c r="O29" s="49">
        <f>IF(OR(A29="",D29=""),0,MAX(0,NETWORKDAYS(MAX(D29,DATE(Einstellungen!$C$3,4,1)),MIN(J29,DATE(Einstellungen!$C$3,5,0)),Einstellungen!$F$13:$F$32)))</f>
        <v/>
      </c>
      <c r="P29" s="49">
        <f>IF(OR(A29="",D29=""),0,MAX(0,NETWORKDAYS(MAX(D29,DATE(Einstellungen!$C$3,5,1)),MIN(J29,DATE(Einstellungen!$C$3,6,0)),Einstellungen!$F$13:$F$32)))</f>
        <v/>
      </c>
      <c r="Q29" s="49">
        <f>IF(OR(A29="",D29=""),0,MAX(0,NETWORKDAYS(MAX(D29,DATE(Einstellungen!$C$3,6,1)),MIN(J29,DATE(Einstellungen!$C$3,7,0)),Einstellungen!$F$13:$F$32)))</f>
        <v/>
      </c>
      <c r="R29" s="49">
        <f>IF(OR(A29="",D29=""),0,MAX(0,NETWORKDAYS(MAX(D29,DATE(Einstellungen!$C$3,7,1)),MIN(J29,DATE(Einstellungen!$C$3,8,0)),Einstellungen!$F$13:$F$32)))</f>
        <v/>
      </c>
      <c r="S29" s="49">
        <f>IF(OR(A29="",D29=""),0,MAX(0,NETWORKDAYS(MAX(D29,DATE(Einstellungen!$C$3,8,1)),MIN(J29,DATE(Einstellungen!$C$3,9,0)),Einstellungen!$F$13:$F$32)))</f>
        <v/>
      </c>
      <c r="T29" s="49">
        <f>IF(OR(A29="",D29=""),0,MAX(0,NETWORKDAYS(MAX(D29,DATE(Einstellungen!$C$3,9,1)),MIN(J29,DATE(Einstellungen!$C$3,10,0)),Einstellungen!$F$13:$F$32)))</f>
        <v/>
      </c>
      <c r="U29" s="49">
        <f>IF(OR(A29="",D29=""),0,MAX(0,NETWORKDAYS(MAX(D29,DATE(Einstellungen!$C$3,10,1)),MIN(J29,DATE(Einstellungen!$C$3,11,0)),Einstellungen!$F$13:$F$32)))</f>
        <v/>
      </c>
      <c r="V29" s="49">
        <f>IF(OR(A29="",D29=""),0,MAX(0,NETWORKDAYS(MAX(D29,DATE(Einstellungen!$C$3,11,1)),MIN(J29,DATE(Einstellungen!$C$3,12,0)),Einstellungen!$F$13:$F$32)))</f>
        <v/>
      </c>
      <c r="W29" s="49">
        <f>IF(OR(A29="",D29=""),0,MAX(0,NETWORKDAYS(MAX(D29,DATE(Einstellungen!$C$3,12,1)),MIN(J29,DATE(Einstellungen!$C$3,13,0)),Einstellungen!$F$13:$F$32)))</f>
        <v/>
      </c>
      <c r="X29" s="50">
        <f>L29*K29</f>
        <v/>
      </c>
      <c r="Y29" s="50">
        <f>M29*K29</f>
        <v/>
      </c>
      <c r="Z29" s="50">
        <f>N29*K29</f>
        <v/>
      </c>
      <c r="AA29" s="50">
        <f>O29*K29</f>
        <v/>
      </c>
      <c r="AB29" s="50">
        <f>P29*K29</f>
        <v/>
      </c>
      <c r="AC29" s="50">
        <f>Q29*K29</f>
        <v/>
      </c>
      <c r="AD29" s="50">
        <f>R29*K29</f>
        <v/>
      </c>
      <c r="AE29" s="50">
        <f>S29*K29</f>
        <v/>
      </c>
      <c r="AF29" s="50">
        <f>T29*K29</f>
        <v/>
      </c>
      <c r="AG29" s="50">
        <f>U29*K29</f>
        <v/>
      </c>
      <c r="AH29" s="50">
        <f>V29*K29</f>
        <v/>
      </c>
      <c r="AI29" s="50">
        <f>W29*K29</f>
        <v/>
      </c>
    </row>
    <row r="30">
      <c r="A30" s="25" t="n">
        <v>1008</v>
      </c>
      <c r="B30" s="45">
        <f>IF(A30="","",IFERROR(INDEX(Mitarbeiter!$B$6:$B$205,MATCH($A30,Mitarbeiter!$A$6:$A$205,0)),"?"))</f>
        <v/>
      </c>
      <c r="C30" s="46" t="inlineStr">
        <is>
          <t>Objekt 1</t>
        </is>
      </c>
      <c r="D30" s="26" t="n">
        <v>46075</v>
      </c>
      <c r="E30" s="26" t="n">
        <v>46095</v>
      </c>
      <c r="F30" s="24">
        <f>IF(A30="","",SUM(L30:W30))</f>
        <v/>
      </c>
      <c r="G30" s="36">
        <f>IF(A30="","",SUM(X30:AI30))</f>
        <v/>
      </c>
      <c r="H30" s="8">
        <f>IF(A30="","",IF(ISNA(MATCH(A30,Mitarbeiter!$A$6:$A$205,0)),"Pers.-Nr. unbekannt",IF(D30="","Von fehlt",IF(AND(C30&lt;&gt;Einstellungen!$C$4,C30&lt;&gt;Einstellungen!$C$5),"Objekt fehlt",IF(J30&lt;D30,"Bis vor Von",IF(D30&lt;INDEX(Mitarbeiter!$C$6:$C$205,MATCH($A30,Mitarbeiter!$A$6:$A$205,0)),"vor Eintritt",IF(AND(INDEX(Mitarbeiter!$D$6:$D$205,MATCH($A30,Mitarbeiter!$A$6:$A$205,0))&lt;&gt;"",D30&gt;INDEX(Mitarbeiter!$D$6:$D$205,MATCH($A30,Mitarbeiter!$A$6:$A$205,0))),"nach Austritt",IF(E30="","offen","ok"))))))))</f>
        <v/>
      </c>
      <c r="J30" s="47">
        <f>IF(A30="","",IF(E30="",Einstellungen!$C$9,E30))</f>
        <v/>
      </c>
      <c r="K30" s="48">
        <f>IF(A30="",0,IFERROR(INDEX(Mitarbeiter!$F$6:$F$205,MATCH($A30,Mitarbeiter!$A$6:$A$205,0)),0))</f>
        <v/>
      </c>
      <c r="L30" s="49">
        <f>IF(OR(A30="",D30=""),0,MAX(0,NETWORKDAYS(MAX(D30,DATE(Einstellungen!$C$3,1,1)),MIN(J30,DATE(Einstellungen!$C$3,2,0)),Einstellungen!$F$13:$F$32)))</f>
        <v/>
      </c>
      <c r="M30" s="49">
        <f>IF(OR(A30="",D30=""),0,MAX(0,NETWORKDAYS(MAX(D30,DATE(Einstellungen!$C$3,2,1)),MIN(J30,DATE(Einstellungen!$C$3,3,0)),Einstellungen!$F$13:$F$32)))</f>
        <v/>
      </c>
      <c r="N30" s="49">
        <f>IF(OR(A30="",D30=""),0,MAX(0,NETWORKDAYS(MAX(D30,DATE(Einstellungen!$C$3,3,1)),MIN(J30,DATE(Einstellungen!$C$3,4,0)),Einstellungen!$F$13:$F$32)))</f>
        <v/>
      </c>
      <c r="O30" s="49">
        <f>IF(OR(A30="",D30=""),0,MAX(0,NETWORKDAYS(MAX(D30,DATE(Einstellungen!$C$3,4,1)),MIN(J30,DATE(Einstellungen!$C$3,5,0)),Einstellungen!$F$13:$F$32)))</f>
        <v/>
      </c>
      <c r="P30" s="49">
        <f>IF(OR(A30="",D30=""),0,MAX(0,NETWORKDAYS(MAX(D30,DATE(Einstellungen!$C$3,5,1)),MIN(J30,DATE(Einstellungen!$C$3,6,0)),Einstellungen!$F$13:$F$32)))</f>
        <v/>
      </c>
      <c r="Q30" s="49">
        <f>IF(OR(A30="",D30=""),0,MAX(0,NETWORKDAYS(MAX(D30,DATE(Einstellungen!$C$3,6,1)),MIN(J30,DATE(Einstellungen!$C$3,7,0)),Einstellungen!$F$13:$F$32)))</f>
        <v/>
      </c>
      <c r="R30" s="49">
        <f>IF(OR(A30="",D30=""),0,MAX(0,NETWORKDAYS(MAX(D30,DATE(Einstellungen!$C$3,7,1)),MIN(J30,DATE(Einstellungen!$C$3,8,0)),Einstellungen!$F$13:$F$32)))</f>
        <v/>
      </c>
      <c r="S30" s="49">
        <f>IF(OR(A30="",D30=""),0,MAX(0,NETWORKDAYS(MAX(D30,DATE(Einstellungen!$C$3,8,1)),MIN(J30,DATE(Einstellungen!$C$3,9,0)),Einstellungen!$F$13:$F$32)))</f>
        <v/>
      </c>
      <c r="T30" s="49">
        <f>IF(OR(A30="",D30=""),0,MAX(0,NETWORKDAYS(MAX(D30,DATE(Einstellungen!$C$3,9,1)),MIN(J30,DATE(Einstellungen!$C$3,10,0)),Einstellungen!$F$13:$F$32)))</f>
        <v/>
      </c>
      <c r="U30" s="49">
        <f>IF(OR(A30="",D30=""),0,MAX(0,NETWORKDAYS(MAX(D30,DATE(Einstellungen!$C$3,10,1)),MIN(J30,DATE(Einstellungen!$C$3,11,0)),Einstellungen!$F$13:$F$32)))</f>
        <v/>
      </c>
      <c r="V30" s="49">
        <f>IF(OR(A30="",D30=""),0,MAX(0,NETWORKDAYS(MAX(D30,DATE(Einstellungen!$C$3,11,1)),MIN(J30,DATE(Einstellungen!$C$3,12,0)),Einstellungen!$F$13:$F$32)))</f>
        <v/>
      </c>
      <c r="W30" s="49">
        <f>IF(OR(A30="",D30=""),0,MAX(0,NETWORKDAYS(MAX(D30,DATE(Einstellungen!$C$3,12,1)),MIN(J30,DATE(Einstellungen!$C$3,13,0)),Einstellungen!$F$13:$F$32)))</f>
        <v/>
      </c>
      <c r="X30" s="50">
        <f>L30*K30</f>
        <v/>
      </c>
      <c r="Y30" s="50">
        <f>M30*K30</f>
        <v/>
      </c>
      <c r="Z30" s="50">
        <f>N30*K30</f>
        <v/>
      </c>
      <c r="AA30" s="50">
        <f>O30*K30</f>
        <v/>
      </c>
      <c r="AB30" s="50">
        <f>P30*K30</f>
        <v/>
      </c>
      <c r="AC30" s="50">
        <f>Q30*K30</f>
        <v/>
      </c>
      <c r="AD30" s="50">
        <f>R30*K30</f>
        <v/>
      </c>
      <c r="AE30" s="50">
        <f>S30*K30</f>
        <v/>
      </c>
      <c r="AF30" s="50">
        <f>T30*K30</f>
        <v/>
      </c>
      <c r="AG30" s="50">
        <f>U30*K30</f>
        <v/>
      </c>
      <c r="AH30" s="50">
        <f>V30*K30</f>
        <v/>
      </c>
      <c r="AI30" s="50">
        <f>W30*K30</f>
        <v/>
      </c>
    </row>
    <row r="31">
      <c r="A31" s="25" t="n">
        <v>1042</v>
      </c>
      <c r="B31" s="45">
        <f>IF(A31="","",IFERROR(INDEX(Mitarbeiter!$B$6:$B$205,MATCH($A31,Mitarbeiter!$A$6:$A$205,0)),"?"))</f>
        <v/>
      </c>
      <c r="C31" s="46" t="inlineStr">
        <is>
          <t>Objekt 1</t>
        </is>
      </c>
      <c r="D31" s="26" t="n">
        <v>46076</v>
      </c>
      <c r="E31" s="26" t="n">
        <v>46078</v>
      </c>
      <c r="F31" s="24">
        <f>IF(A31="","",SUM(L31:W31))</f>
        <v/>
      </c>
      <c r="G31" s="36">
        <f>IF(A31="","",SUM(X31:AI31))</f>
        <v/>
      </c>
      <c r="H31" s="8">
        <f>IF(A31="","",IF(ISNA(MATCH(A31,Mitarbeiter!$A$6:$A$205,0)),"Pers.-Nr. unbekannt",IF(D31="","Von fehlt",IF(AND(C31&lt;&gt;Einstellungen!$C$4,C31&lt;&gt;Einstellungen!$C$5),"Objekt fehlt",IF(J31&lt;D31,"Bis vor Von",IF(D31&lt;INDEX(Mitarbeiter!$C$6:$C$205,MATCH($A31,Mitarbeiter!$A$6:$A$205,0)),"vor Eintritt",IF(AND(INDEX(Mitarbeiter!$D$6:$D$205,MATCH($A31,Mitarbeiter!$A$6:$A$205,0))&lt;&gt;"",D31&gt;INDEX(Mitarbeiter!$D$6:$D$205,MATCH($A31,Mitarbeiter!$A$6:$A$205,0))),"nach Austritt",IF(E31="","offen","ok"))))))))</f>
        <v/>
      </c>
      <c r="J31" s="47">
        <f>IF(A31="","",IF(E31="",Einstellungen!$C$9,E31))</f>
        <v/>
      </c>
      <c r="K31" s="48">
        <f>IF(A31="",0,IFERROR(INDEX(Mitarbeiter!$F$6:$F$205,MATCH($A31,Mitarbeiter!$A$6:$A$205,0)),0))</f>
        <v/>
      </c>
      <c r="L31" s="49">
        <f>IF(OR(A31="",D31=""),0,MAX(0,NETWORKDAYS(MAX(D31,DATE(Einstellungen!$C$3,1,1)),MIN(J31,DATE(Einstellungen!$C$3,2,0)),Einstellungen!$F$13:$F$32)))</f>
        <v/>
      </c>
      <c r="M31" s="49">
        <f>IF(OR(A31="",D31=""),0,MAX(0,NETWORKDAYS(MAX(D31,DATE(Einstellungen!$C$3,2,1)),MIN(J31,DATE(Einstellungen!$C$3,3,0)),Einstellungen!$F$13:$F$32)))</f>
        <v/>
      </c>
      <c r="N31" s="49">
        <f>IF(OR(A31="",D31=""),0,MAX(0,NETWORKDAYS(MAX(D31,DATE(Einstellungen!$C$3,3,1)),MIN(J31,DATE(Einstellungen!$C$3,4,0)),Einstellungen!$F$13:$F$32)))</f>
        <v/>
      </c>
      <c r="O31" s="49">
        <f>IF(OR(A31="",D31=""),0,MAX(0,NETWORKDAYS(MAX(D31,DATE(Einstellungen!$C$3,4,1)),MIN(J31,DATE(Einstellungen!$C$3,5,0)),Einstellungen!$F$13:$F$32)))</f>
        <v/>
      </c>
      <c r="P31" s="49">
        <f>IF(OR(A31="",D31=""),0,MAX(0,NETWORKDAYS(MAX(D31,DATE(Einstellungen!$C$3,5,1)),MIN(J31,DATE(Einstellungen!$C$3,6,0)),Einstellungen!$F$13:$F$32)))</f>
        <v/>
      </c>
      <c r="Q31" s="49">
        <f>IF(OR(A31="",D31=""),0,MAX(0,NETWORKDAYS(MAX(D31,DATE(Einstellungen!$C$3,6,1)),MIN(J31,DATE(Einstellungen!$C$3,7,0)),Einstellungen!$F$13:$F$32)))</f>
        <v/>
      </c>
      <c r="R31" s="49">
        <f>IF(OR(A31="",D31=""),0,MAX(0,NETWORKDAYS(MAX(D31,DATE(Einstellungen!$C$3,7,1)),MIN(J31,DATE(Einstellungen!$C$3,8,0)),Einstellungen!$F$13:$F$32)))</f>
        <v/>
      </c>
      <c r="S31" s="49">
        <f>IF(OR(A31="",D31=""),0,MAX(0,NETWORKDAYS(MAX(D31,DATE(Einstellungen!$C$3,8,1)),MIN(J31,DATE(Einstellungen!$C$3,9,0)),Einstellungen!$F$13:$F$32)))</f>
        <v/>
      </c>
      <c r="T31" s="49">
        <f>IF(OR(A31="",D31=""),0,MAX(0,NETWORKDAYS(MAX(D31,DATE(Einstellungen!$C$3,9,1)),MIN(J31,DATE(Einstellungen!$C$3,10,0)),Einstellungen!$F$13:$F$32)))</f>
        <v/>
      </c>
      <c r="U31" s="49">
        <f>IF(OR(A31="",D31=""),0,MAX(0,NETWORKDAYS(MAX(D31,DATE(Einstellungen!$C$3,10,1)),MIN(J31,DATE(Einstellungen!$C$3,11,0)),Einstellungen!$F$13:$F$32)))</f>
        <v/>
      </c>
      <c r="V31" s="49">
        <f>IF(OR(A31="",D31=""),0,MAX(0,NETWORKDAYS(MAX(D31,DATE(Einstellungen!$C$3,11,1)),MIN(J31,DATE(Einstellungen!$C$3,12,0)),Einstellungen!$F$13:$F$32)))</f>
        <v/>
      </c>
      <c r="W31" s="49">
        <f>IF(OR(A31="",D31=""),0,MAX(0,NETWORKDAYS(MAX(D31,DATE(Einstellungen!$C$3,12,1)),MIN(J31,DATE(Einstellungen!$C$3,13,0)),Einstellungen!$F$13:$F$32)))</f>
        <v/>
      </c>
      <c r="X31" s="50">
        <f>L31*K31</f>
        <v/>
      </c>
      <c r="Y31" s="50">
        <f>M31*K31</f>
        <v/>
      </c>
      <c r="Z31" s="50">
        <f>N31*K31</f>
        <v/>
      </c>
      <c r="AA31" s="50">
        <f>O31*K31</f>
        <v/>
      </c>
      <c r="AB31" s="50">
        <f>P31*K31</f>
        <v/>
      </c>
      <c r="AC31" s="50">
        <f>Q31*K31</f>
        <v/>
      </c>
      <c r="AD31" s="50">
        <f>R31*K31</f>
        <v/>
      </c>
      <c r="AE31" s="50">
        <f>S31*K31</f>
        <v/>
      </c>
      <c r="AF31" s="50">
        <f>T31*K31</f>
        <v/>
      </c>
      <c r="AG31" s="50">
        <f>U31*K31</f>
        <v/>
      </c>
      <c r="AH31" s="50">
        <f>V31*K31</f>
        <v/>
      </c>
      <c r="AI31" s="50">
        <f>W31*K31</f>
        <v/>
      </c>
    </row>
    <row r="32">
      <c r="A32" s="25" t="n">
        <v>1031</v>
      </c>
      <c r="B32" s="45">
        <f>IF(A32="","",IFERROR(INDEX(Mitarbeiter!$B$6:$B$205,MATCH($A32,Mitarbeiter!$A$6:$A$205,0)),"?"))</f>
        <v/>
      </c>
      <c r="C32" s="46" t="inlineStr">
        <is>
          <t>Objekt 1</t>
        </is>
      </c>
      <c r="D32" s="26" t="n">
        <v>46078</v>
      </c>
      <c r="E32" s="26" t="n">
        <v>46082</v>
      </c>
      <c r="F32" s="24">
        <f>IF(A32="","",SUM(L32:W32))</f>
        <v/>
      </c>
      <c r="G32" s="36">
        <f>IF(A32="","",SUM(X32:AI32))</f>
        <v/>
      </c>
      <c r="H32" s="8">
        <f>IF(A32="","",IF(ISNA(MATCH(A32,Mitarbeiter!$A$6:$A$205,0)),"Pers.-Nr. unbekannt",IF(D32="","Von fehlt",IF(AND(C32&lt;&gt;Einstellungen!$C$4,C32&lt;&gt;Einstellungen!$C$5),"Objekt fehlt",IF(J32&lt;D32,"Bis vor Von",IF(D32&lt;INDEX(Mitarbeiter!$C$6:$C$205,MATCH($A32,Mitarbeiter!$A$6:$A$205,0)),"vor Eintritt",IF(AND(INDEX(Mitarbeiter!$D$6:$D$205,MATCH($A32,Mitarbeiter!$A$6:$A$205,0))&lt;&gt;"",D32&gt;INDEX(Mitarbeiter!$D$6:$D$205,MATCH($A32,Mitarbeiter!$A$6:$A$205,0))),"nach Austritt",IF(E32="","offen","ok"))))))))</f>
        <v/>
      </c>
      <c r="J32" s="47">
        <f>IF(A32="","",IF(E32="",Einstellungen!$C$9,E32))</f>
        <v/>
      </c>
      <c r="K32" s="48">
        <f>IF(A32="",0,IFERROR(INDEX(Mitarbeiter!$F$6:$F$205,MATCH($A32,Mitarbeiter!$A$6:$A$205,0)),0))</f>
        <v/>
      </c>
      <c r="L32" s="49">
        <f>IF(OR(A32="",D32=""),0,MAX(0,NETWORKDAYS(MAX(D32,DATE(Einstellungen!$C$3,1,1)),MIN(J32,DATE(Einstellungen!$C$3,2,0)),Einstellungen!$F$13:$F$32)))</f>
        <v/>
      </c>
      <c r="M32" s="49">
        <f>IF(OR(A32="",D32=""),0,MAX(0,NETWORKDAYS(MAX(D32,DATE(Einstellungen!$C$3,2,1)),MIN(J32,DATE(Einstellungen!$C$3,3,0)),Einstellungen!$F$13:$F$32)))</f>
        <v/>
      </c>
      <c r="N32" s="49">
        <f>IF(OR(A32="",D32=""),0,MAX(0,NETWORKDAYS(MAX(D32,DATE(Einstellungen!$C$3,3,1)),MIN(J32,DATE(Einstellungen!$C$3,4,0)),Einstellungen!$F$13:$F$32)))</f>
        <v/>
      </c>
      <c r="O32" s="49">
        <f>IF(OR(A32="",D32=""),0,MAX(0,NETWORKDAYS(MAX(D32,DATE(Einstellungen!$C$3,4,1)),MIN(J32,DATE(Einstellungen!$C$3,5,0)),Einstellungen!$F$13:$F$32)))</f>
        <v/>
      </c>
      <c r="P32" s="49">
        <f>IF(OR(A32="",D32=""),0,MAX(0,NETWORKDAYS(MAX(D32,DATE(Einstellungen!$C$3,5,1)),MIN(J32,DATE(Einstellungen!$C$3,6,0)),Einstellungen!$F$13:$F$32)))</f>
        <v/>
      </c>
      <c r="Q32" s="49">
        <f>IF(OR(A32="",D32=""),0,MAX(0,NETWORKDAYS(MAX(D32,DATE(Einstellungen!$C$3,6,1)),MIN(J32,DATE(Einstellungen!$C$3,7,0)),Einstellungen!$F$13:$F$32)))</f>
        <v/>
      </c>
      <c r="R32" s="49">
        <f>IF(OR(A32="",D32=""),0,MAX(0,NETWORKDAYS(MAX(D32,DATE(Einstellungen!$C$3,7,1)),MIN(J32,DATE(Einstellungen!$C$3,8,0)),Einstellungen!$F$13:$F$32)))</f>
        <v/>
      </c>
      <c r="S32" s="49">
        <f>IF(OR(A32="",D32=""),0,MAX(0,NETWORKDAYS(MAX(D32,DATE(Einstellungen!$C$3,8,1)),MIN(J32,DATE(Einstellungen!$C$3,9,0)),Einstellungen!$F$13:$F$32)))</f>
        <v/>
      </c>
      <c r="T32" s="49">
        <f>IF(OR(A32="",D32=""),0,MAX(0,NETWORKDAYS(MAX(D32,DATE(Einstellungen!$C$3,9,1)),MIN(J32,DATE(Einstellungen!$C$3,10,0)),Einstellungen!$F$13:$F$32)))</f>
        <v/>
      </c>
      <c r="U32" s="49">
        <f>IF(OR(A32="",D32=""),0,MAX(0,NETWORKDAYS(MAX(D32,DATE(Einstellungen!$C$3,10,1)),MIN(J32,DATE(Einstellungen!$C$3,11,0)),Einstellungen!$F$13:$F$32)))</f>
        <v/>
      </c>
      <c r="V32" s="49">
        <f>IF(OR(A32="",D32=""),0,MAX(0,NETWORKDAYS(MAX(D32,DATE(Einstellungen!$C$3,11,1)),MIN(J32,DATE(Einstellungen!$C$3,12,0)),Einstellungen!$F$13:$F$32)))</f>
        <v/>
      </c>
      <c r="W32" s="49">
        <f>IF(OR(A32="",D32=""),0,MAX(0,NETWORKDAYS(MAX(D32,DATE(Einstellungen!$C$3,12,1)),MIN(J32,DATE(Einstellungen!$C$3,13,0)),Einstellungen!$F$13:$F$32)))</f>
        <v/>
      </c>
      <c r="X32" s="50">
        <f>L32*K32</f>
        <v/>
      </c>
      <c r="Y32" s="50">
        <f>M32*K32</f>
        <v/>
      </c>
      <c r="Z32" s="50">
        <f>N32*K32</f>
        <v/>
      </c>
      <c r="AA32" s="50">
        <f>O32*K32</f>
        <v/>
      </c>
      <c r="AB32" s="50">
        <f>P32*K32</f>
        <v/>
      </c>
      <c r="AC32" s="50">
        <f>Q32*K32</f>
        <v/>
      </c>
      <c r="AD32" s="50">
        <f>R32*K32</f>
        <v/>
      </c>
      <c r="AE32" s="50">
        <f>S32*K32</f>
        <v/>
      </c>
      <c r="AF32" s="50">
        <f>T32*K32</f>
        <v/>
      </c>
      <c r="AG32" s="50">
        <f>U32*K32</f>
        <v/>
      </c>
      <c r="AH32" s="50">
        <f>V32*K32</f>
        <v/>
      </c>
      <c r="AI32" s="50">
        <f>W32*K32</f>
        <v/>
      </c>
    </row>
    <row r="33">
      <c r="A33" s="25" t="n">
        <v>1048</v>
      </c>
      <c r="B33" s="45">
        <f>IF(A33="","",IFERROR(INDEX(Mitarbeiter!$B$6:$B$205,MATCH($A33,Mitarbeiter!$A$6:$A$205,0)),"?"))</f>
        <v/>
      </c>
      <c r="C33" s="46" t="inlineStr">
        <is>
          <t>Objekt 2</t>
        </is>
      </c>
      <c r="D33" s="26" t="n">
        <v>46083</v>
      </c>
      <c r="E33" s="26" t="n">
        <v>46083</v>
      </c>
      <c r="F33" s="24">
        <f>IF(A33="","",SUM(L33:W33))</f>
        <v/>
      </c>
      <c r="G33" s="36">
        <f>IF(A33="","",SUM(X33:AI33))</f>
        <v/>
      </c>
      <c r="H33" s="8">
        <f>IF(A33="","",IF(ISNA(MATCH(A33,Mitarbeiter!$A$6:$A$205,0)),"Pers.-Nr. unbekannt",IF(D33="","Von fehlt",IF(AND(C33&lt;&gt;Einstellungen!$C$4,C33&lt;&gt;Einstellungen!$C$5),"Objekt fehlt",IF(J33&lt;D33,"Bis vor Von",IF(D33&lt;INDEX(Mitarbeiter!$C$6:$C$205,MATCH($A33,Mitarbeiter!$A$6:$A$205,0)),"vor Eintritt",IF(AND(INDEX(Mitarbeiter!$D$6:$D$205,MATCH($A33,Mitarbeiter!$A$6:$A$205,0))&lt;&gt;"",D33&gt;INDEX(Mitarbeiter!$D$6:$D$205,MATCH($A33,Mitarbeiter!$A$6:$A$205,0))),"nach Austritt",IF(E33="","offen","ok"))))))))</f>
        <v/>
      </c>
      <c r="J33" s="47">
        <f>IF(A33="","",IF(E33="",Einstellungen!$C$9,E33))</f>
        <v/>
      </c>
      <c r="K33" s="48">
        <f>IF(A33="",0,IFERROR(INDEX(Mitarbeiter!$F$6:$F$205,MATCH($A33,Mitarbeiter!$A$6:$A$205,0)),0))</f>
        <v/>
      </c>
      <c r="L33" s="49">
        <f>IF(OR(A33="",D33=""),0,MAX(0,NETWORKDAYS(MAX(D33,DATE(Einstellungen!$C$3,1,1)),MIN(J33,DATE(Einstellungen!$C$3,2,0)),Einstellungen!$F$13:$F$32)))</f>
        <v/>
      </c>
      <c r="M33" s="49">
        <f>IF(OR(A33="",D33=""),0,MAX(0,NETWORKDAYS(MAX(D33,DATE(Einstellungen!$C$3,2,1)),MIN(J33,DATE(Einstellungen!$C$3,3,0)),Einstellungen!$F$13:$F$32)))</f>
        <v/>
      </c>
      <c r="N33" s="49">
        <f>IF(OR(A33="",D33=""),0,MAX(0,NETWORKDAYS(MAX(D33,DATE(Einstellungen!$C$3,3,1)),MIN(J33,DATE(Einstellungen!$C$3,4,0)),Einstellungen!$F$13:$F$32)))</f>
        <v/>
      </c>
      <c r="O33" s="49">
        <f>IF(OR(A33="",D33=""),0,MAX(0,NETWORKDAYS(MAX(D33,DATE(Einstellungen!$C$3,4,1)),MIN(J33,DATE(Einstellungen!$C$3,5,0)),Einstellungen!$F$13:$F$32)))</f>
        <v/>
      </c>
      <c r="P33" s="49">
        <f>IF(OR(A33="",D33=""),0,MAX(0,NETWORKDAYS(MAX(D33,DATE(Einstellungen!$C$3,5,1)),MIN(J33,DATE(Einstellungen!$C$3,6,0)),Einstellungen!$F$13:$F$32)))</f>
        <v/>
      </c>
      <c r="Q33" s="49">
        <f>IF(OR(A33="",D33=""),0,MAX(0,NETWORKDAYS(MAX(D33,DATE(Einstellungen!$C$3,6,1)),MIN(J33,DATE(Einstellungen!$C$3,7,0)),Einstellungen!$F$13:$F$32)))</f>
        <v/>
      </c>
      <c r="R33" s="49">
        <f>IF(OR(A33="",D33=""),0,MAX(0,NETWORKDAYS(MAX(D33,DATE(Einstellungen!$C$3,7,1)),MIN(J33,DATE(Einstellungen!$C$3,8,0)),Einstellungen!$F$13:$F$32)))</f>
        <v/>
      </c>
      <c r="S33" s="49">
        <f>IF(OR(A33="",D33=""),0,MAX(0,NETWORKDAYS(MAX(D33,DATE(Einstellungen!$C$3,8,1)),MIN(J33,DATE(Einstellungen!$C$3,9,0)),Einstellungen!$F$13:$F$32)))</f>
        <v/>
      </c>
      <c r="T33" s="49">
        <f>IF(OR(A33="",D33=""),0,MAX(0,NETWORKDAYS(MAX(D33,DATE(Einstellungen!$C$3,9,1)),MIN(J33,DATE(Einstellungen!$C$3,10,0)),Einstellungen!$F$13:$F$32)))</f>
        <v/>
      </c>
      <c r="U33" s="49">
        <f>IF(OR(A33="",D33=""),0,MAX(0,NETWORKDAYS(MAX(D33,DATE(Einstellungen!$C$3,10,1)),MIN(J33,DATE(Einstellungen!$C$3,11,0)),Einstellungen!$F$13:$F$32)))</f>
        <v/>
      </c>
      <c r="V33" s="49">
        <f>IF(OR(A33="",D33=""),0,MAX(0,NETWORKDAYS(MAX(D33,DATE(Einstellungen!$C$3,11,1)),MIN(J33,DATE(Einstellungen!$C$3,12,0)),Einstellungen!$F$13:$F$32)))</f>
        <v/>
      </c>
      <c r="W33" s="49">
        <f>IF(OR(A33="",D33=""),0,MAX(0,NETWORKDAYS(MAX(D33,DATE(Einstellungen!$C$3,12,1)),MIN(J33,DATE(Einstellungen!$C$3,13,0)),Einstellungen!$F$13:$F$32)))</f>
        <v/>
      </c>
      <c r="X33" s="50">
        <f>L33*K33</f>
        <v/>
      </c>
      <c r="Y33" s="50">
        <f>M33*K33</f>
        <v/>
      </c>
      <c r="Z33" s="50">
        <f>N33*K33</f>
        <v/>
      </c>
      <c r="AA33" s="50">
        <f>O33*K33</f>
        <v/>
      </c>
      <c r="AB33" s="50">
        <f>P33*K33</f>
        <v/>
      </c>
      <c r="AC33" s="50">
        <f>Q33*K33</f>
        <v/>
      </c>
      <c r="AD33" s="50">
        <f>R33*K33</f>
        <v/>
      </c>
      <c r="AE33" s="50">
        <f>S33*K33</f>
        <v/>
      </c>
      <c r="AF33" s="50">
        <f>T33*K33</f>
        <v/>
      </c>
      <c r="AG33" s="50">
        <f>U33*K33</f>
        <v/>
      </c>
      <c r="AH33" s="50">
        <f>V33*K33</f>
        <v/>
      </c>
      <c r="AI33" s="50">
        <f>W33*K33</f>
        <v/>
      </c>
    </row>
    <row r="34">
      <c r="A34" s="25" t="n">
        <v>1042</v>
      </c>
      <c r="B34" s="45">
        <f>IF(A34="","",IFERROR(INDEX(Mitarbeiter!$B$6:$B$205,MATCH($A34,Mitarbeiter!$A$6:$A$205,0)),"?"))</f>
        <v/>
      </c>
      <c r="C34" s="46" t="inlineStr">
        <is>
          <t>Objekt 1</t>
        </is>
      </c>
      <c r="D34" s="26" t="n">
        <v>46084</v>
      </c>
      <c r="E34" s="26" t="n">
        <v>46090</v>
      </c>
      <c r="F34" s="24">
        <f>IF(A34="","",SUM(L34:W34))</f>
        <v/>
      </c>
      <c r="G34" s="36">
        <f>IF(A34="","",SUM(X34:AI34))</f>
        <v/>
      </c>
      <c r="H34" s="8">
        <f>IF(A34="","",IF(ISNA(MATCH(A34,Mitarbeiter!$A$6:$A$205,0)),"Pers.-Nr. unbekannt",IF(D34="","Von fehlt",IF(AND(C34&lt;&gt;Einstellungen!$C$4,C34&lt;&gt;Einstellungen!$C$5),"Objekt fehlt",IF(J34&lt;D34,"Bis vor Von",IF(D34&lt;INDEX(Mitarbeiter!$C$6:$C$205,MATCH($A34,Mitarbeiter!$A$6:$A$205,0)),"vor Eintritt",IF(AND(INDEX(Mitarbeiter!$D$6:$D$205,MATCH($A34,Mitarbeiter!$A$6:$A$205,0))&lt;&gt;"",D34&gt;INDEX(Mitarbeiter!$D$6:$D$205,MATCH($A34,Mitarbeiter!$A$6:$A$205,0))),"nach Austritt",IF(E34="","offen","ok"))))))))</f>
        <v/>
      </c>
      <c r="J34" s="47">
        <f>IF(A34="","",IF(E34="",Einstellungen!$C$9,E34))</f>
        <v/>
      </c>
      <c r="K34" s="48">
        <f>IF(A34="",0,IFERROR(INDEX(Mitarbeiter!$F$6:$F$205,MATCH($A34,Mitarbeiter!$A$6:$A$205,0)),0))</f>
        <v/>
      </c>
      <c r="L34" s="49">
        <f>IF(OR(A34="",D34=""),0,MAX(0,NETWORKDAYS(MAX(D34,DATE(Einstellungen!$C$3,1,1)),MIN(J34,DATE(Einstellungen!$C$3,2,0)),Einstellungen!$F$13:$F$32)))</f>
        <v/>
      </c>
      <c r="M34" s="49">
        <f>IF(OR(A34="",D34=""),0,MAX(0,NETWORKDAYS(MAX(D34,DATE(Einstellungen!$C$3,2,1)),MIN(J34,DATE(Einstellungen!$C$3,3,0)),Einstellungen!$F$13:$F$32)))</f>
        <v/>
      </c>
      <c r="N34" s="49">
        <f>IF(OR(A34="",D34=""),0,MAX(0,NETWORKDAYS(MAX(D34,DATE(Einstellungen!$C$3,3,1)),MIN(J34,DATE(Einstellungen!$C$3,4,0)),Einstellungen!$F$13:$F$32)))</f>
        <v/>
      </c>
      <c r="O34" s="49">
        <f>IF(OR(A34="",D34=""),0,MAX(0,NETWORKDAYS(MAX(D34,DATE(Einstellungen!$C$3,4,1)),MIN(J34,DATE(Einstellungen!$C$3,5,0)),Einstellungen!$F$13:$F$32)))</f>
        <v/>
      </c>
      <c r="P34" s="49">
        <f>IF(OR(A34="",D34=""),0,MAX(0,NETWORKDAYS(MAX(D34,DATE(Einstellungen!$C$3,5,1)),MIN(J34,DATE(Einstellungen!$C$3,6,0)),Einstellungen!$F$13:$F$32)))</f>
        <v/>
      </c>
      <c r="Q34" s="49">
        <f>IF(OR(A34="",D34=""),0,MAX(0,NETWORKDAYS(MAX(D34,DATE(Einstellungen!$C$3,6,1)),MIN(J34,DATE(Einstellungen!$C$3,7,0)),Einstellungen!$F$13:$F$32)))</f>
        <v/>
      </c>
      <c r="R34" s="49">
        <f>IF(OR(A34="",D34=""),0,MAX(0,NETWORKDAYS(MAX(D34,DATE(Einstellungen!$C$3,7,1)),MIN(J34,DATE(Einstellungen!$C$3,8,0)),Einstellungen!$F$13:$F$32)))</f>
        <v/>
      </c>
      <c r="S34" s="49">
        <f>IF(OR(A34="",D34=""),0,MAX(0,NETWORKDAYS(MAX(D34,DATE(Einstellungen!$C$3,8,1)),MIN(J34,DATE(Einstellungen!$C$3,9,0)),Einstellungen!$F$13:$F$32)))</f>
        <v/>
      </c>
      <c r="T34" s="49">
        <f>IF(OR(A34="",D34=""),0,MAX(0,NETWORKDAYS(MAX(D34,DATE(Einstellungen!$C$3,9,1)),MIN(J34,DATE(Einstellungen!$C$3,10,0)),Einstellungen!$F$13:$F$32)))</f>
        <v/>
      </c>
      <c r="U34" s="49">
        <f>IF(OR(A34="",D34=""),0,MAX(0,NETWORKDAYS(MAX(D34,DATE(Einstellungen!$C$3,10,1)),MIN(J34,DATE(Einstellungen!$C$3,11,0)),Einstellungen!$F$13:$F$32)))</f>
        <v/>
      </c>
      <c r="V34" s="49">
        <f>IF(OR(A34="",D34=""),0,MAX(0,NETWORKDAYS(MAX(D34,DATE(Einstellungen!$C$3,11,1)),MIN(J34,DATE(Einstellungen!$C$3,12,0)),Einstellungen!$F$13:$F$32)))</f>
        <v/>
      </c>
      <c r="W34" s="49">
        <f>IF(OR(A34="",D34=""),0,MAX(0,NETWORKDAYS(MAX(D34,DATE(Einstellungen!$C$3,12,1)),MIN(J34,DATE(Einstellungen!$C$3,13,0)),Einstellungen!$F$13:$F$32)))</f>
        <v/>
      </c>
      <c r="X34" s="50">
        <f>L34*K34</f>
        <v/>
      </c>
      <c r="Y34" s="50">
        <f>M34*K34</f>
        <v/>
      </c>
      <c r="Z34" s="50">
        <f>N34*K34</f>
        <v/>
      </c>
      <c r="AA34" s="50">
        <f>O34*K34</f>
        <v/>
      </c>
      <c r="AB34" s="50">
        <f>P34*K34</f>
        <v/>
      </c>
      <c r="AC34" s="50">
        <f>Q34*K34</f>
        <v/>
      </c>
      <c r="AD34" s="50">
        <f>R34*K34</f>
        <v/>
      </c>
      <c r="AE34" s="50">
        <f>S34*K34</f>
        <v/>
      </c>
      <c r="AF34" s="50">
        <f>T34*K34</f>
        <v/>
      </c>
      <c r="AG34" s="50">
        <f>U34*K34</f>
        <v/>
      </c>
      <c r="AH34" s="50">
        <f>V34*K34</f>
        <v/>
      </c>
      <c r="AI34" s="50">
        <f>W34*K34</f>
        <v/>
      </c>
    </row>
    <row r="35">
      <c r="A35" s="25" t="n">
        <v>1031</v>
      </c>
      <c r="B35" s="45">
        <f>IF(A35="","",IFERROR(INDEX(Mitarbeiter!$B$6:$B$205,MATCH($A35,Mitarbeiter!$A$6:$A$205,0)),"?"))</f>
        <v/>
      </c>
      <c r="C35" s="46" t="inlineStr">
        <is>
          <t>Objekt 2</t>
        </is>
      </c>
      <c r="D35" s="26" t="n">
        <v>46085</v>
      </c>
      <c r="E35" s="26" t="n">
        <v>46091</v>
      </c>
      <c r="F35" s="24">
        <f>IF(A35="","",SUM(L35:W35))</f>
        <v/>
      </c>
      <c r="G35" s="36">
        <f>IF(A35="","",SUM(X35:AI35))</f>
        <v/>
      </c>
      <c r="H35" s="8">
        <f>IF(A35="","",IF(ISNA(MATCH(A35,Mitarbeiter!$A$6:$A$205,0)),"Pers.-Nr. unbekannt",IF(D35="","Von fehlt",IF(AND(C35&lt;&gt;Einstellungen!$C$4,C35&lt;&gt;Einstellungen!$C$5),"Objekt fehlt",IF(J35&lt;D35,"Bis vor Von",IF(D35&lt;INDEX(Mitarbeiter!$C$6:$C$205,MATCH($A35,Mitarbeiter!$A$6:$A$205,0)),"vor Eintritt",IF(AND(INDEX(Mitarbeiter!$D$6:$D$205,MATCH($A35,Mitarbeiter!$A$6:$A$205,0))&lt;&gt;"",D35&gt;INDEX(Mitarbeiter!$D$6:$D$205,MATCH($A35,Mitarbeiter!$A$6:$A$205,0))),"nach Austritt",IF(E35="","offen","ok"))))))))</f>
        <v/>
      </c>
      <c r="J35" s="47">
        <f>IF(A35="","",IF(E35="",Einstellungen!$C$9,E35))</f>
        <v/>
      </c>
      <c r="K35" s="48">
        <f>IF(A35="",0,IFERROR(INDEX(Mitarbeiter!$F$6:$F$205,MATCH($A35,Mitarbeiter!$A$6:$A$205,0)),0))</f>
        <v/>
      </c>
      <c r="L35" s="49">
        <f>IF(OR(A35="",D35=""),0,MAX(0,NETWORKDAYS(MAX(D35,DATE(Einstellungen!$C$3,1,1)),MIN(J35,DATE(Einstellungen!$C$3,2,0)),Einstellungen!$F$13:$F$32)))</f>
        <v/>
      </c>
      <c r="M35" s="49">
        <f>IF(OR(A35="",D35=""),0,MAX(0,NETWORKDAYS(MAX(D35,DATE(Einstellungen!$C$3,2,1)),MIN(J35,DATE(Einstellungen!$C$3,3,0)),Einstellungen!$F$13:$F$32)))</f>
        <v/>
      </c>
      <c r="N35" s="49">
        <f>IF(OR(A35="",D35=""),0,MAX(0,NETWORKDAYS(MAX(D35,DATE(Einstellungen!$C$3,3,1)),MIN(J35,DATE(Einstellungen!$C$3,4,0)),Einstellungen!$F$13:$F$32)))</f>
        <v/>
      </c>
      <c r="O35" s="49">
        <f>IF(OR(A35="",D35=""),0,MAX(0,NETWORKDAYS(MAX(D35,DATE(Einstellungen!$C$3,4,1)),MIN(J35,DATE(Einstellungen!$C$3,5,0)),Einstellungen!$F$13:$F$32)))</f>
        <v/>
      </c>
      <c r="P35" s="49">
        <f>IF(OR(A35="",D35=""),0,MAX(0,NETWORKDAYS(MAX(D35,DATE(Einstellungen!$C$3,5,1)),MIN(J35,DATE(Einstellungen!$C$3,6,0)),Einstellungen!$F$13:$F$32)))</f>
        <v/>
      </c>
      <c r="Q35" s="49">
        <f>IF(OR(A35="",D35=""),0,MAX(0,NETWORKDAYS(MAX(D35,DATE(Einstellungen!$C$3,6,1)),MIN(J35,DATE(Einstellungen!$C$3,7,0)),Einstellungen!$F$13:$F$32)))</f>
        <v/>
      </c>
      <c r="R35" s="49">
        <f>IF(OR(A35="",D35=""),0,MAX(0,NETWORKDAYS(MAX(D35,DATE(Einstellungen!$C$3,7,1)),MIN(J35,DATE(Einstellungen!$C$3,8,0)),Einstellungen!$F$13:$F$32)))</f>
        <v/>
      </c>
      <c r="S35" s="49">
        <f>IF(OR(A35="",D35=""),0,MAX(0,NETWORKDAYS(MAX(D35,DATE(Einstellungen!$C$3,8,1)),MIN(J35,DATE(Einstellungen!$C$3,9,0)),Einstellungen!$F$13:$F$32)))</f>
        <v/>
      </c>
      <c r="T35" s="49">
        <f>IF(OR(A35="",D35=""),0,MAX(0,NETWORKDAYS(MAX(D35,DATE(Einstellungen!$C$3,9,1)),MIN(J35,DATE(Einstellungen!$C$3,10,0)),Einstellungen!$F$13:$F$32)))</f>
        <v/>
      </c>
      <c r="U35" s="49">
        <f>IF(OR(A35="",D35=""),0,MAX(0,NETWORKDAYS(MAX(D35,DATE(Einstellungen!$C$3,10,1)),MIN(J35,DATE(Einstellungen!$C$3,11,0)),Einstellungen!$F$13:$F$32)))</f>
        <v/>
      </c>
      <c r="V35" s="49">
        <f>IF(OR(A35="",D35=""),0,MAX(0,NETWORKDAYS(MAX(D35,DATE(Einstellungen!$C$3,11,1)),MIN(J35,DATE(Einstellungen!$C$3,12,0)),Einstellungen!$F$13:$F$32)))</f>
        <v/>
      </c>
      <c r="W35" s="49">
        <f>IF(OR(A35="",D35=""),0,MAX(0,NETWORKDAYS(MAX(D35,DATE(Einstellungen!$C$3,12,1)),MIN(J35,DATE(Einstellungen!$C$3,13,0)),Einstellungen!$F$13:$F$32)))</f>
        <v/>
      </c>
      <c r="X35" s="50">
        <f>L35*K35</f>
        <v/>
      </c>
      <c r="Y35" s="50">
        <f>M35*K35</f>
        <v/>
      </c>
      <c r="Z35" s="50">
        <f>N35*K35</f>
        <v/>
      </c>
      <c r="AA35" s="50">
        <f>O35*K35</f>
        <v/>
      </c>
      <c r="AB35" s="50">
        <f>P35*K35</f>
        <v/>
      </c>
      <c r="AC35" s="50">
        <f>Q35*K35</f>
        <v/>
      </c>
      <c r="AD35" s="50">
        <f>R35*K35</f>
        <v/>
      </c>
      <c r="AE35" s="50">
        <f>S35*K35</f>
        <v/>
      </c>
      <c r="AF35" s="50">
        <f>T35*K35</f>
        <v/>
      </c>
      <c r="AG35" s="50">
        <f>U35*K35</f>
        <v/>
      </c>
      <c r="AH35" s="50">
        <f>V35*K35</f>
        <v/>
      </c>
      <c r="AI35" s="50">
        <f>W35*K35</f>
        <v/>
      </c>
    </row>
    <row r="36">
      <c r="A36" s="25" t="n">
        <v>1029</v>
      </c>
      <c r="B36" s="45">
        <f>IF(A36="","",IFERROR(INDEX(Mitarbeiter!$B$6:$B$205,MATCH($A36,Mitarbeiter!$A$6:$A$205,0)),"?"))</f>
        <v/>
      </c>
      <c r="C36" s="46" t="inlineStr">
        <is>
          <t>Objekt 2</t>
        </is>
      </c>
      <c r="D36" s="26" t="n">
        <v>46087</v>
      </c>
      <c r="E36" s="26" t="n">
        <v>46089</v>
      </c>
      <c r="F36" s="24">
        <f>IF(A36="","",SUM(L36:W36))</f>
        <v/>
      </c>
      <c r="G36" s="36">
        <f>IF(A36="","",SUM(X36:AI36))</f>
        <v/>
      </c>
      <c r="H36" s="8">
        <f>IF(A36="","",IF(ISNA(MATCH(A36,Mitarbeiter!$A$6:$A$205,0)),"Pers.-Nr. unbekannt",IF(D36="","Von fehlt",IF(AND(C36&lt;&gt;Einstellungen!$C$4,C36&lt;&gt;Einstellungen!$C$5),"Objekt fehlt",IF(J36&lt;D36,"Bis vor Von",IF(D36&lt;INDEX(Mitarbeiter!$C$6:$C$205,MATCH($A36,Mitarbeiter!$A$6:$A$205,0)),"vor Eintritt",IF(AND(INDEX(Mitarbeiter!$D$6:$D$205,MATCH($A36,Mitarbeiter!$A$6:$A$205,0))&lt;&gt;"",D36&gt;INDEX(Mitarbeiter!$D$6:$D$205,MATCH($A36,Mitarbeiter!$A$6:$A$205,0))),"nach Austritt",IF(E36="","offen","ok"))))))))</f>
        <v/>
      </c>
      <c r="J36" s="47">
        <f>IF(A36="","",IF(E36="",Einstellungen!$C$9,E36))</f>
        <v/>
      </c>
      <c r="K36" s="48">
        <f>IF(A36="",0,IFERROR(INDEX(Mitarbeiter!$F$6:$F$205,MATCH($A36,Mitarbeiter!$A$6:$A$205,0)),0))</f>
        <v/>
      </c>
      <c r="L36" s="49">
        <f>IF(OR(A36="",D36=""),0,MAX(0,NETWORKDAYS(MAX(D36,DATE(Einstellungen!$C$3,1,1)),MIN(J36,DATE(Einstellungen!$C$3,2,0)),Einstellungen!$F$13:$F$32)))</f>
        <v/>
      </c>
      <c r="M36" s="49">
        <f>IF(OR(A36="",D36=""),0,MAX(0,NETWORKDAYS(MAX(D36,DATE(Einstellungen!$C$3,2,1)),MIN(J36,DATE(Einstellungen!$C$3,3,0)),Einstellungen!$F$13:$F$32)))</f>
        <v/>
      </c>
      <c r="N36" s="49">
        <f>IF(OR(A36="",D36=""),0,MAX(0,NETWORKDAYS(MAX(D36,DATE(Einstellungen!$C$3,3,1)),MIN(J36,DATE(Einstellungen!$C$3,4,0)),Einstellungen!$F$13:$F$32)))</f>
        <v/>
      </c>
      <c r="O36" s="49">
        <f>IF(OR(A36="",D36=""),0,MAX(0,NETWORKDAYS(MAX(D36,DATE(Einstellungen!$C$3,4,1)),MIN(J36,DATE(Einstellungen!$C$3,5,0)),Einstellungen!$F$13:$F$32)))</f>
        <v/>
      </c>
      <c r="P36" s="49">
        <f>IF(OR(A36="",D36=""),0,MAX(0,NETWORKDAYS(MAX(D36,DATE(Einstellungen!$C$3,5,1)),MIN(J36,DATE(Einstellungen!$C$3,6,0)),Einstellungen!$F$13:$F$32)))</f>
        <v/>
      </c>
      <c r="Q36" s="49">
        <f>IF(OR(A36="",D36=""),0,MAX(0,NETWORKDAYS(MAX(D36,DATE(Einstellungen!$C$3,6,1)),MIN(J36,DATE(Einstellungen!$C$3,7,0)),Einstellungen!$F$13:$F$32)))</f>
        <v/>
      </c>
      <c r="R36" s="49">
        <f>IF(OR(A36="",D36=""),0,MAX(0,NETWORKDAYS(MAX(D36,DATE(Einstellungen!$C$3,7,1)),MIN(J36,DATE(Einstellungen!$C$3,8,0)),Einstellungen!$F$13:$F$32)))</f>
        <v/>
      </c>
      <c r="S36" s="49">
        <f>IF(OR(A36="",D36=""),0,MAX(0,NETWORKDAYS(MAX(D36,DATE(Einstellungen!$C$3,8,1)),MIN(J36,DATE(Einstellungen!$C$3,9,0)),Einstellungen!$F$13:$F$32)))</f>
        <v/>
      </c>
      <c r="T36" s="49">
        <f>IF(OR(A36="",D36=""),0,MAX(0,NETWORKDAYS(MAX(D36,DATE(Einstellungen!$C$3,9,1)),MIN(J36,DATE(Einstellungen!$C$3,10,0)),Einstellungen!$F$13:$F$32)))</f>
        <v/>
      </c>
      <c r="U36" s="49">
        <f>IF(OR(A36="",D36=""),0,MAX(0,NETWORKDAYS(MAX(D36,DATE(Einstellungen!$C$3,10,1)),MIN(J36,DATE(Einstellungen!$C$3,11,0)),Einstellungen!$F$13:$F$32)))</f>
        <v/>
      </c>
      <c r="V36" s="49">
        <f>IF(OR(A36="",D36=""),0,MAX(0,NETWORKDAYS(MAX(D36,DATE(Einstellungen!$C$3,11,1)),MIN(J36,DATE(Einstellungen!$C$3,12,0)),Einstellungen!$F$13:$F$32)))</f>
        <v/>
      </c>
      <c r="W36" s="49">
        <f>IF(OR(A36="",D36=""),0,MAX(0,NETWORKDAYS(MAX(D36,DATE(Einstellungen!$C$3,12,1)),MIN(J36,DATE(Einstellungen!$C$3,13,0)),Einstellungen!$F$13:$F$32)))</f>
        <v/>
      </c>
      <c r="X36" s="50">
        <f>L36*K36</f>
        <v/>
      </c>
      <c r="Y36" s="50">
        <f>M36*K36</f>
        <v/>
      </c>
      <c r="Z36" s="50">
        <f>N36*K36</f>
        <v/>
      </c>
      <c r="AA36" s="50">
        <f>O36*K36</f>
        <v/>
      </c>
      <c r="AB36" s="50">
        <f>P36*K36</f>
        <v/>
      </c>
      <c r="AC36" s="50">
        <f>Q36*K36</f>
        <v/>
      </c>
      <c r="AD36" s="50">
        <f>R36*K36</f>
        <v/>
      </c>
      <c r="AE36" s="50">
        <f>S36*K36</f>
        <v/>
      </c>
      <c r="AF36" s="50">
        <f>T36*K36</f>
        <v/>
      </c>
      <c r="AG36" s="50">
        <f>U36*K36</f>
        <v/>
      </c>
      <c r="AH36" s="50">
        <f>V36*K36</f>
        <v/>
      </c>
      <c r="AI36" s="50">
        <f>W36*K36</f>
        <v/>
      </c>
    </row>
    <row r="37">
      <c r="A37" s="25" t="n">
        <v>1040</v>
      </c>
      <c r="B37" s="45">
        <f>IF(A37="","",IFERROR(INDEX(Mitarbeiter!$B$6:$B$205,MATCH($A37,Mitarbeiter!$A$6:$A$205,0)),"?"))</f>
        <v/>
      </c>
      <c r="C37" s="46" t="inlineStr">
        <is>
          <t>Objekt 1</t>
        </is>
      </c>
      <c r="D37" s="26" t="n">
        <v>46089</v>
      </c>
      <c r="E37" s="26" t="n">
        <v>46091</v>
      </c>
      <c r="F37" s="24">
        <f>IF(A37="","",SUM(L37:W37))</f>
        <v/>
      </c>
      <c r="G37" s="36">
        <f>IF(A37="","",SUM(X37:AI37))</f>
        <v/>
      </c>
      <c r="H37" s="8">
        <f>IF(A37="","",IF(ISNA(MATCH(A37,Mitarbeiter!$A$6:$A$205,0)),"Pers.-Nr. unbekannt",IF(D37="","Von fehlt",IF(AND(C37&lt;&gt;Einstellungen!$C$4,C37&lt;&gt;Einstellungen!$C$5),"Objekt fehlt",IF(J37&lt;D37,"Bis vor Von",IF(D37&lt;INDEX(Mitarbeiter!$C$6:$C$205,MATCH($A37,Mitarbeiter!$A$6:$A$205,0)),"vor Eintritt",IF(AND(INDEX(Mitarbeiter!$D$6:$D$205,MATCH($A37,Mitarbeiter!$A$6:$A$205,0))&lt;&gt;"",D37&gt;INDEX(Mitarbeiter!$D$6:$D$205,MATCH($A37,Mitarbeiter!$A$6:$A$205,0))),"nach Austritt",IF(E37="","offen","ok"))))))))</f>
        <v/>
      </c>
      <c r="J37" s="47">
        <f>IF(A37="","",IF(E37="",Einstellungen!$C$9,E37))</f>
        <v/>
      </c>
      <c r="K37" s="48">
        <f>IF(A37="",0,IFERROR(INDEX(Mitarbeiter!$F$6:$F$205,MATCH($A37,Mitarbeiter!$A$6:$A$205,0)),0))</f>
        <v/>
      </c>
      <c r="L37" s="49">
        <f>IF(OR(A37="",D37=""),0,MAX(0,NETWORKDAYS(MAX(D37,DATE(Einstellungen!$C$3,1,1)),MIN(J37,DATE(Einstellungen!$C$3,2,0)),Einstellungen!$F$13:$F$32)))</f>
        <v/>
      </c>
      <c r="M37" s="49">
        <f>IF(OR(A37="",D37=""),0,MAX(0,NETWORKDAYS(MAX(D37,DATE(Einstellungen!$C$3,2,1)),MIN(J37,DATE(Einstellungen!$C$3,3,0)),Einstellungen!$F$13:$F$32)))</f>
        <v/>
      </c>
      <c r="N37" s="49">
        <f>IF(OR(A37="",D37=""),0,MAX(0,NETWORKDAYS(MAX(D37,DATE(Einstellungen!$C$3,3,1)),MIN(J37,DATE(Einstellungen!$C$3,4,0)),Einstellungen!$F$13:$F$32)))</f>
        <v/>
      </c>
      <c r="O37" s="49">
        <f>IF(OR(A37="",D37=""),0,MAX(0,NETWORKDAYS(MAX(D37,DATE(Einstellungen!$C$3,4,1)),MIN(J37,DATE(Einstellungen!$C$3,5,0)),Einstellungen!$F$13:$F$32)))</f>
        <v/>
      </c>
      <c r="P37" s="49">
        <f>IF(OR(A37="",D37=""),0,MAX(0,NETWORKDAYS(MAX(D37,DATE(Einstellungen!$C$3,5,1)),MIN(J37,DATE(Einstellungen!$C$3,6,0)),Einstellungen!$F$13:$F$32)))</f>
        <v/>
      </c>
      <c r="Q37" s="49">
        <f>IF(OR(A37="",D37=""),0,MAX(0,NETWORKDAYS(MAX(D37,DATE(Einstellungen!$C$3,6,1)),MIN(J37,DATE(Einstellungen!$C$3,7,0)),Einstellungen!$F$13:$F$32)))</f>
        <v/>
      </c>
      <c r="R37" s="49">
        <f>IF(OR(A37="",D37=""),0,MAX(0,NETWORKDAYS(MAX(D37,DATE(Einstellungen!$C$3,7,1)),MIN(J37,DATE(Einstellungen!$C$3,8,0)),Einstellungen!$F$13:$F$32)))</f>
        <v/>
      </c>
      <c r="S37" s="49">
        <f>IF(OR(A37="",D37=""),0,MAX(0,NETWORKDAYS(MAX(D37,DATE(Einstellungen!$C$3,8,1)),MIN(J37,DATE(Einstellungen!$C$3,9,0)),Einstellungen!$F$13:$F$32)))</f>
        <v/>
      </c>
      <c r="T37" s="49">
        <f>IF(OR(A37="",D37=""),0,MAX(0,NETWORKDAYS(MAX(D37,DATE(Einstellungen!$C$3,9,1)),MIN(J37,DATE(Einstellungen!$C$3,10,0)),Einstellungen!$F$13:$F$32)))</f>
        <v/>
      </c>
      <c r="U37" s="49">
        <f>IF(OR(A37="",D37=""),0,MAX(0,NETWORKDAYS(MAX(D37,DATE(Einstellungen!$C$3,10,1)),MIN(J37,DATE(Einstellungen!$C$3,11,0)),Einstellungen!$F$13:$F$32)))</f>
        <v/>
      </c>
      <c r="V37" s="49">
        <f>IF(OR(A37="",D37=""),0,MAX(0,NETWORKDAYS(MAX(D37,DATE(Einstellungen!$C$3,11,1)),MIN(J37,DATE(Einstellungen!$C$3,12,0)),Einstellungen!$F$13:$F$32)))</f>
        <v/>
      </c>
      <c r="W37" s="49">
        <f>IF(OR(A37="",D37=""),0,MAX(0,NETWORKDAYS(MAX(D37,DATE(Einstellungen!$C$3,12,1)),MIN(J37,DATE(Einstellungen!$C$3,13,0)),Einstellungen!$F$13:$F$32)))</f>
        <v/>
      </c>
      <c r="X37" s="50">
        <f>L37*K37</f>
        <v/>
      </c>
      <c r="Y37" s="50">
        <f>M37*K37</f>
        <v/>
      </c>
      <c r="Z37" s="50">
        <f>N37*K37</f>
        <v/>
      </c>
      <c r="AA37" s="50">
        <f>O37*K37</f>
        <v/>
      </c>
      <c r="AB37" s="50">
        <f>P37*K37</f>
        <v/>
      </c>
      <c r="AC37" s="50">
        <f>Q37*K37</f>
        <v/>
      </c>
      <c r="AD37" s="50">
        <f>R37*K37</f>
        <v/>
      </c>
      <c r="AE37" s="50">
        <f>S37*K37</f>
        <v/>
      </c>
      <c r="AF37" s="50">
        <f>T37*K37</f>
        <v/>
      </c>
      <c r="AG37" s="50">
        <f>U37*K37</f>
        <v/>
      </c>
      <c r="AH37" s="50">
        <f>V37*K37</f>
        <v/>
      </c>
      <c r="AI37" s="50">
        <f>W37*K37</f>
        <v/>
      </c>
    </row>
    <row r="38">
      <c r="A38" s="25" t="n">
        <v>1035</v>
      </c>
      <c r="B38" s="45">
        <f>IF(A38="","",IFERROR(INDEX(Mitarbeiter!$B$6:$B$205,MATCH($A38,Mitarbeiter!$A$6:$A$205,0)),"?"))</f>
        <v/>
      </c>
      <c r="C38" s="46" t="inlineStr">
        <is>
          <t>Objekt 2</t>
        </is>
      </c>
      <c r="D38" s="26" t="n">
        <v>46092</v>
      </c>
      <c r="E38" s="26" t="n">
        <v>46105</v>
      </c>
      <c r="F38" s="24">
        <f>IF(A38="","",SUM(L38:W38))</f>
        <v/>
      </c>
      <c r="G38" s="36">
        <f>IF(A38="","",SUM(X38:AI38))</f>
        <v/>
      </c>
      <c r="H38" s="8">
        <f>IF(A38="","",IF(ISNA(MATCH(A38,Mitarbeiter!$A$6:$A$205,0)),"Pers.-Nr. unbekannt",IF(D38="","Von fehlt",IF(AND(C38&lt;&gt;Einstellungen!$C$4,C38&lt;&gt;Einstellungen!$C$5),"Objekt fehlt",IF(J38&lt;D38,"Bis vor Von",IF(D38&lt;INDEX(Mitarbeiter!$C$6:$C$205,MATCH($A38,Mitarbeiter!$A$6:$A$205,0)),"vor Eintritt",IF(AND(INDEX(Mitarbeiter!$D$6:$D$205,MATCH($A38,Mitarbeiter!$A$6:$A$205,0))&lt;&gt;"",D38&gt;INDEX(Mitarbeiter!$D$6:$D$205,MATCH($A38,Mitarbeiter!$A$6:$A$205,0))),"nach Austritt",IF(E38="","offen","ok"))))))))</f>
        <v/>
      </c>
      <c r="J38" s="47">
        <f>IF(A38="","",IF(E38="",Einstellungen!$C$9,E38))</f>
        <v/>
      </c>
      <c r="K38" s="48">
        <f>IF(A38="",0,IFERROR(INDEX(Mitarbeiter!$F$6:$F$205,MATCH($A38,Mitarbeiter!$A$6:$A$205,0)),0))</f>
        <v/>
      </c>
      <c r="L38" s="49">
        <f>IF(OR(A38="",D38=""),0,MAX(0,NETWORKDAYS(MAX(D38,DATE(Einstellungen!$C$3,1,1)),MIN(J38,DATE(Einstellungen!$C$3,2,0)),Einstellungen!$F$13:$F$32)))</f>
        <v/>
      </c>
      <c r="M38" s="49">
        <f>IF(OR(A38="",D38=""),0,MAX(0,NETWORKDAYS(MAX(D38,DATE(Einstellungen!$C$3,2,1)),MIN(J38,DATE(Einstellungen!$C$3,3,0)),Einstellungen!$F$13:$F$32)))</f>
        <v/>
      </c>
      <c r="N38" s="49">
        <f>IF(OR(A38="",D38=""),0,MAX(0,NETWORKDAYS(MAX(D38,DATE(Einstellungen!$C$3,3,1)),MIN(J38,DATE(Einstellungen!$C$3,4,0)),Einstellungen!$F$13:$F$32)))</f>
        <v/>
      </c>
      <c r="O38" s="49">
        <f>IF(OR(A38="",D38=""),0,MAX(0,NETWORKDAYS(MAX(D38,DATE(Einstellungen!$C$3,4,1)),MIN(J38,DATE(Einstellungen!$C$3,5,0)),Einstellungen!$F$13:$F$32)))</f>
        <v/>
      </c>
      <c r="P38" s="49">
        <f>IF(OR(A38="",D38=""),0,MAX(0,NETWORKDAYS(MAX(D38,DATE(Einstellungen!$C$3,5,1)),MIN(J38,DATE(Einstellungen!$C$3,6,0)),Einstellungen!$F$13:$F$32)))</f>
        <v/>
      </c>
      <c r="Q38" s="49">
        <f>IF(OR(A38="",D38=""),0,MAX(0,NETWORKDAYS(MAX(D38,DATE(Einstellungen!$C$3,6,1)),MIN(J38,DATE(Einstellungen!$C$3,7,0)),Einstellungen!$F$13:$F$32)))</f>
        <v/>
      </c>
      <c r="R38" s="49">
        <f>IF(OR(A38="",D38=""),0,MAX(0,NETWORKDAYS(MAX(D38,DATE(Einstellungen!$C$3,7,1)),MIN(J38,DATE(Einstellungen!$C$3,8,0)),Einstellungen!$F$13:$F$32)))</f>
        <v/>
      </c>
      <c r="S38" s="49">
        <f>IF(OR(A38="",D38=""),0,MAX(0,NETWORKDAYS(MAX(D38,DATE(Einstellungen!$C$3,8,1)),MIN(J38,DATE(Einstellungen!$C$3,9,0)),Einstellungen!$F$13:$F$32)))</f>
        <v/>
      </c>
      <c r="T38" s="49">
        <f>IF(OR(A38="",D38=""),0,MAX(0,NETWORKDAYS(MAX(D38,DATE(Einstellungen!$C$3,9,1)),MIN(J38,DATE(Einstellungen!$C$3,10,0)),Einstellungen!$F$13:$F$32)))</f>
        <v/>
      </c>
      <c r="U38" s="49">
        <f>IF(OR(A38="",D38=""),0,MAX(0,NETWORKDAYS(MAX(D38,DATE(Einstellungen!$C$3,10,1)),MIN(J38,DATE(Einstellungen!$C$3,11,0)),Einstellungen!$F$13:$F$32)))</f>
        <v/>
      </c>
      <c r="V38" s="49">
        <f>IF(OR(A38="",D38=""),0,MAX(0,NETWORKDAYS(MAX(D38,DATE(Einstellungen!$C$3,11,1)),MIN(J38,DATE(Einstellungen!$C$3,12,0)),Einstellungen!$F$13:$F$32)))</f>
        <v/>
      </c>
      <c r="W38" s="49">
        <f>IF(OR(A38="",D38=""),0,MAX(0,NETWORKDAYS(MAX(D38,DATE(Einstellungen!$C$3,12,1)),MIN(J38,DATE(Einstellungen!$C$3,13,0)),Einstellungen!$F$13:$F$32)))</f>
        <v/>
      </c>
      <c r="X38" s="50">
        <f>L38*K38</f>
        <v/>
      </c>
      <c r="Y38" s="50">
        <f>M38*K38</f>
        <v/>
      </c>
      <c r="Z38" s="50">
        <f>N38*K38</f>
        <v/>
      </c>
      <c r="AA38" s="50">
        <f>O38*K38</f>
        <v/>
      </c>
      <c r="AB38" s="50">
        <f>P38*K38</f>
        <v/>
      </c>
      <c r="AC38" s="50">
        <f>Q38*K38</f>
        <v/>
      </c>
      <c r="AD38" s="50">
        <f>R38*K38</f>
        <v/>
      </c>
      <c r="AE38" s="50">
        <f>S38*K38</f>
        <v/>
      </c>
      <c r="AF38" s="50">
        <f>T38*K38</f>
        <v/>
      </c>
      <c r="AG38" s="50">
        <f>U38*K38</f>
        <v/>
      </c>
      <c r="AH38" s="50">
        <f>V38*K38</f>
        <v/>
      </c>
      <c r="AI38" s="50">
        <f>W38*K38</f>
        <v/>
      </c>
    </row>
    <row r="39">
      <c r="A39" s="25" t="n">
        <v>1048</v>
      </c>
      <c r="B39" s="45">
        <f>IF(A39="","",IFERROR(INDEX(Mitarbeiter!$B$6:$B$205,MATCH($A39,Mitarbeiter!$A$6:$A$205,0)),"?"))</f>
        <v/>
      </c>
      <c r="C39" s="46" t="inlineStr">
        <is>
          <t>Objekt 2</t>
        </is>
      </c>
      <c r="D39" s="26" t="n">
        <v>46094</v>
      </c>
      <c r="E39" s="26" t="n">
        <v>46095</v>
      </c>
      <c r="F39" s="24">
        <f>IF(A39="","",SUM(L39:W39))</f>
        <v/>
      </c>
      <c r="G39" s="36">
        <f>IF(A39="","",SUM(X39:AI39))</f>
        <v/>
      </c>
      <c r="H39" s="8">
        <f>IF(A39="","",IF(ISNA(MATCH(A39,Mitarbeiter!$A$6:$A$205,0)),"Pers.-Nr. unbekannt",IF(D39="","Von fehlt",IF(AND(C39&lt;&gt;Einstellungen!$C$4,C39&lt;&gt;Einstellungen!$C$5),"Objekt fehlt",IF(J39&lt;D39,"Bis vor Von",IF(D39&lt;INDEX(Mitarbeiter!$C$6:$C$205,MATCH($A39,Mitarbeiter!$A$6:$A$205,0)),"vor Eintritt",IF(AND(INDEX(Mitarbeiter!$D$6:$D$205,MATCH($A39,Mitarbeiter!$A$6:$A$205,0))&lt;&gt;"",D39&gt;INDEX(Mitarbeiter!$D$6:$D$205,MATCH($A39,Mitarbeiter!$A$6:$A$205,0))),"nach Austritt",IF(E39="","offen","ok"))))))))</f>
        <v/>
      </c>
      <c r="J39" s="47">
        <f>IF(A39="","",IF(E39="",Einstellungen!$C$9,E39))</f>
        <v/>
      </c>
      <c r="K39" s="48">
        <f>IF(A39="",0,IFERROR(INDEX(Mitarbeiter!$F$6:$F$205,MATCH($A39,Mitarbeiter!$A$6:$A$205,0)),0))</f>
        <v/>
      </c>
      <c r="L39" s="49">
        <f>IF(OR(A39="",D39=""),0,MAX(0,NETWORKDAYS(MAX(D39,DATE(Einstellungen!$C$3,1,1)),MIN(J39,DATE(Einstellungen!$C$3,2,0)),Einstellungen!$F$13:$F$32)))</f>
        <v/>
      </c>
      <c r="M39" s="49">
        <f>IF(OR(A39="",D39=""),0,MAX(0,NETWORKDAYS(MAX(D39,DATE(Einstellungen!$C$3,2,1)),MIN(J39,DATE(Einstellungen!$C$3,3,0)),Einstellungen!$F$13:$F$32)))</f>
        <v/>
      </c>
      <c r="N39" s="49">
        <f>IF(OR(A39="",D39=""),0,MAX(0,NETWORKDAYS(MAX(D39,DATE(Einstellungen!$C$3,3,1)),MIN(J39,DATE(Einstellungen!$C$3,4,0)),Einstellungen!$F$13:$F$32)))</f>
        <v/>
      </c>
      <c r="O39" s="49">
        <f>IF(OR(A39="",D39=""),0,MAX(0,NETWORKDAYS(MAX(D39,DATE(Einstellungen!$C$3,4,1)),MIN(J39,DATE(Einstellungen!$C$3,5,0)),Einstellungen!$F$13:$F$32)))</f>
        <v/>
      </c>
      <c r="P39" s="49">
        <f>IF(OR(A39="",D39=""),0,MAX(0,NETWORKDAYS(MAX(D39,DATE(Einstellungen!$C$3,5,1)),MIN(J39,DATE(Einstellungen!$C$3,6,0)),Einstellungen!$F$13:$F$32)))</f>
        <v/>
      </c>
      <c r="Q39" s="49">
        <f>IF(OR(A39="",D39=""),0,MAX(0,NETWORKDAYS(MAX(D39,DATE(Einstellungen!$C$3,6,1)),MIN(J39,DATE(Einstellungen!$C$3,7,0)),Einstellungen!$F$13:$F$32)))</f>
        <v/>
      </c>
      <c r="R39" s="49">
        <f>IF(OR(A39="",D39=""),0,MAX(0,NETWORKDAYS(MAX(D39,DATE(Einstellungen!$C$3,7,1)),MIN(J39,DATE(Einstellungen!$C$3,8,0)),Einstellungen!$F$13:$F$32)))</f>
        <v/>
      </c>
      <c r="S39" s="49">
        <f>IF(OR(A39="",D39=""),0,MAX(0,NETWORKDAYS(MAX(D39,DATE(Einstellungen!$C$3,8,1)),MIN(J39,DATE(Einstellungen!$C$3,9,0)),Einstellungen!$F$13:$F$32)))</f>
        <v/>
      </c>
      <c r="T39" s="49">
        <f>IF(OR(A39="",D39=""),0,MAX(0,NETWORKDAYS(MAX(D39,DATE(Einstellungen!$C$3,9,1)),MIN(J39,DATE(Einstellungen!$C$3,10,0)),Einstellungen!$F$13:$F$32)))</f>
        <v/>
      </c>
      <c r="U39" s="49">
        <f>IF(OR(A39="",D39=""),0,MAX(0,NETWORKDAYS(MAX(D39,DATE(Einstellungen!$C$3,10,1)),MIN(J39,DATE(Einstellungen!$C$3,11,0)),Einstellungen!$F$13:$F$32)))</f>
        <v/>
      </c>
      <c r="V39" s="49">
        <f>IF(OR(A39="",D39=""),0,MAX(0,NETWORKDAYS(MAX(D39,DATE(Einstellungen!$C$3,11,1)),MIN(J39,DATE(Einstellungen!$C$3,12,0)),Einstellungen!$F$13:$F$32)))</f>
        <v/>
      </c>
      <c r="W39" s="49">
        <f>IF(OR(A39="",D39=""),0,MAX(0,NETWORKDAYS(MAX(D39,DATE(Einstellungen!$C$3,12,1)),MIN(J39,DATE(Einstellungen!$C$3,13,0)),Einstellungen!$F$13:$F$32)))</f>
        <v/>
      </c>
      <c r="X39" s="50">
        <f>L39*K39</f>
        <v/>
      </c>
      <c r="Y39" s="50">
        <f>M39*K39</f>
        <v/>
      </c>
      <c r="Z39" s="50">
        <f>N39*K39</f>
        <v/>
      </c>
      <c r="AA39" s="50">
        <f>O39*K39</f>
        <v/>
      </c>
      <c r="AB39" s="50">
        <f>P39*K39</f>
        <v/>
      </c>
      <c r="AC39" s="50">
        <f>Q39*K39</f>
        <v/>
      </c>
      <c r="AD39" s="50">
        <f>R39*K39</f>
        <v/>
      </c>
      <c r="AE39" s="50">
        <f>S39*K39</f>
        <v/>
      </c>
      <c r="AF39" s="50">
        <f>T39*K39</f>
        <v/>
      </c>
      <c r="AG39" s="50">
        <f>U39*K39</f>
        <v/>
      </c>
      <c r="AH39" s="50">
        <f>V39*K39</f>
        <v/>
      </c>
      <c r="AI39" s="50">
        <f>W39*K39</f>
        <v/>
      </c>
    </row>
    <row r="40">
      <c r="A40" s="25" t="n">
        <v>1022</v>
      </c>
      <c r="B40" s="45">
        <f>IF(A40="","",IFERROR(INDEX(Mitarbeiter!$B$6:$B$205,MATCH($A40,Mitarbeiter!$A$6:$A$205,0)),"?"))</f>
        <v/>
      </c>
      <c r="C40" s="46" t="inlineStr">
        <is>
          <t>Objekt 2</t>
        </is>
      </c>
      <c r="D40" s="26" t="n">
        <v>46095</v>
      </c>
      <c r="E40" s="26" t="n">
        <v>46095</v>
      </c>
      <c r="F40" s="24">
        <f>IF(A40="","",SUM(L40:W40))</f>
        <v/>
      </c>
      <c r="G40" s="36">
        <f>IF(A40="","",SUM(X40:AI40))</f>
        <v/>
      </c>
      <c r="H40" s="8">
        <f>IF(A40="","",IF(ISNA(MATCH(A40,Mitarbeiter!$A$6:$A$205,0)),"Pers.-Nr. unbekannt",IF(D40="","Von fehlt",IF(AND(C40&lt;&gt;Einstellungen!$C$4,C40&lt;&gt;Einstellungen!$C$5),"Objekt fehlt",IF(J40&lt;D40,"Bis vor Von",IF(D40&lt;INDEX(Mitarbeiter!$C$6:$C$205,MATCH($A40,Mitarbeiter!$A$6:$A$205,0)),"vor Eintritt",IF(AND(INDEX(Mitarbeiter!$D$6:$D$205,MATCH($A40,Mitarbeiter!$A$6:$A$205,0))&lt;&gt;"",D40&gt;INDEX(Mitarbeiter!$D$6:$D$205,MATCH($A40,Mitarbeiter!$A$6:$A$205,0))),"nach Austritt",IF(E40="","offen","ok"))))))))</f>
        <v/>
      </c>
      <c r="J40" s="47">
        <f>IF(A40="","",IF(E40="",Einstellungen!$C$9,E40))</f>
        <v/>
      </c>
      <c r="K40" s="48">
        <f>IF(A40="",0,IFERROR(INDEX(Mitarbeiter!$F$6:$F$205,MATCH($A40,Mitarbeiter!$A$6:$A$205,0)),0))</f>
        <v/>
      </c>
      <c r="L40" s="49">
        <f>IF(OR(A40="",D40=""),0,MAX(0,NETWORKDAYS(MAX(D40,DATE(Einstellungen!$C$3,1,1)),MIN(J40,DATE(Einstellungen!$C$3,2,0)),Einstellungen!$F$13:$F$32)))</f>
        <v/>
      </c>
      <c r="M40" s="49">
        <f>IF(OR(A40="",D40=""),0,MAX(0,NETWORKDAYS(MAX(D40,DATE(Einstellungen!$C$3,2,1)),MIN(J40,DATE(Einstellungen!$C$3,3,0)),Einstellungen!$F$13:$F$32)))</f>
        <v/>
      </c>
      <c r="N40" s="49">
        <f>IF(OR(A40="",D40=""),0,MAX(0,NETWORKDAYS(MAX(D40,DATE(Einstellungen!$C$3,3,1)),MIN(J40,DATE(Einstellungen!$C$3,4,0)),Einstellungen!$F$13:$F$32)))</f>
        <v/>
      </c>
      <c r="O40" s="49">
        <f>IF(OR(A40="",D40=""),0,MAX(0,NETWORKDAYS(MAX(D40,DATE(Einstellungen!$C$3,4,1)),MIN(J40,DATE(Einstellungen!$C$3,5,0)),Einstellungen!$F$13:$F$32)))</f>
        <v/>
      </c>
      <c r="P40" s="49">
        <f>IF(OR(A40="",D40=""),0,MAX(0,NETWORKDAYS(MAX(D40,DATE(Einstellungen!$C$3,5,1)),MIN(J40,DATE(Einstellungen!$C$3,6,0)),Einstellungen!$F$13:$F$32)))</f>
        <v/>
      </c>
      <c r="Q40" s="49">
        <f>IF(OR(A40="",D40=""),0,MAX(0,NETWORKDAYS(MAX(D40,DATE(Einstellungen!$C$3,6,1)),MIN(J40,DATE(Einstellungen!$C$3,7,0)),Einstellungen!$F$13:$F$32)))</f>
        <v/>
      </c>
      <c r="R40" s="49">
        <f>IF(OR(A40="",D40=""),0,MAX(0,NETWORKDAYS(MAX(D40,DATE(Einstellungen!$C$3,7,1)),MIN(J40,DATE(Einstellungen!$C$3,8,0)),Einstellungen!$F$13:$F$32)))</f>
        <v/>
      </c>
      <c r="S40" s="49">
        <f>IF(OR(A40="",D40=""),0,MAX(0,NETWORKDAYS(MAX(D40,DATE(Einstellungen!$C$3,8,1)),MIN(J40,DATE(Einstellungen!$C$3,9,0)),Einstellungen!$F$13:$F$32)))</f>
        <v/>
      </c>
      <c r="T40" s="49">
        <f>IF(OR(A40="",D40=""),0,MAX(0,NETWORKDAYS(MAX(D40,DATE(Einstellungen!$C$3,9,1)),MIN(J40,DATE(Einstellungen!$C$3,10,0)),Einstellungen!$F$13:$F$32)))</f>
        <v/>
      </c>
      <c r="U40" s="49">
        <f>IF(OR(A40="",D40=""),0,MAX(0,NETWORKDAYS(MAX(D40,DATE(Einstellungen!$C$3,10,1)),MIN(J40,DATE(Einstellungen!$C$3,11,0)),Einstellungen!$F$13:$F$32)))</f>
        <v/>
      </c>
      <c r="V40" s="49">
        <f>IF(OR(A40="",D40=""),0,MAX(0,NETWORKDAYS(MAX(D40,DATE(Einstellungen!$C$3,11,1)),MIN(J40,DATE(Einstellungen!$C$3,12,0)),Einstellungen!$F$13:$F$32)))</f>
        <v/>
      </c>
      <c r="W40" s="49">
        <f>IF(OR(A40="",D40=""),0,MAX(0,NETWORKDAYS(MAX(D40,DATE(Einstellungen!$C$3,12,1)),MIN(J40,DATE(Einstellungen!$C$3,13,0)),Einstellungen!$F$13:$F$32)))</f>
        <v/>
      </c>
      <c r="X40" s="50">
        <f>L40*K40</f>
        <v/>
      </c>
      <c r="Y40" s="50">
        <f>M40*K40</f>
        <v/>
      </c>
      <c r="Z40" s="50">
        <f>N40*K40</f>
        <v/>
      </c>
      <c r="AA40" s="50">
        <f>O40*K40</f>
        <v/>
      </c>
      <c r="AB40" s="50">
        <f>P40*K40</f>
        <v/>
      </c>
      <c r="AC40" s="50">
        <f>Q40*K40</f>
        <v/>
      </c>
      <c r="AD40" s="50">
        <f>R40*K40</f>
        <v/>
      </c>
      <c r="AE40" s="50">
        <f>S40*K40</f>
        <v/>
      </c>
      <c r="AF40" s="50">
        <f>T40*K40</f>
        <v/>
      </c>
      <c r="AG40" s="50">
        <f>U40*K40</f>
        <v/>
      </c>
      <c r="AH40" s="50">
        <f>V40*K40</f>
        <v/>
      </c>
      <c r="AI40" s="50">
        <f>W40*K40</f>
        <v/>
      </c>
    </row>
    <row r="41">
      <c r="A41" s="25" t="n">
        <v>1036</v>
      </c>
      <c r="B41" s="45">
        <f>IF(A41="","",IFERROR(INDEX(Mitarbeiter!$B$6:$B$205,MATCH($A41,Mitarbeiter!$A$6:$A$205,0)),"?"))</f>
        <v/>
      </c>
      <c r="C41" s="46" t="inlineStr">
        <is>
          <t>Objekt 2</t>
        </is>
      </c>
      <c r="D41" s="26" t="n">
        <v>46095</v>
      </c>
      <c r="E41" s="26" t="n">
        <v>46097</v>
      </c>
      <c r="F41" s="24">
        <f>IF(A41="","",SUM(L41:W41))</f>
        <v/>
      </c>
      <c r="G41" s="36">
        <f>IF(A41="","",SUM(X41:AI41))</f>
        <v/>
      </c>
      <c r="H41" s="8">
        <f>IF(A41="","",IF(ISNA(MATCH(A41,Mitarbeiter!$A$6:$A$205,0)),"Pers.-Nr. unbekannt",IF(D41="","Von fehlt",IF(AND(C41&lt;&gt;Einstellungen!$C$4,C41&lt;&gt;Einstellungen!$C$5),"Objekt fehlt",IF(J41&lt;D41,"Bis vor Von",IF(D41&lt;INDEX(Mitarbeiter!$C$6:$C$205,MATCH($A41,Mitarbeiter!$A$6:$A$205,0)),"vor Eintritt",IF(AND(INDEX(Mitarbeiter!$D$6:$D$205,MATCH($A41,Mitarbeiter!$A$6:$A$205,0))&lt;&gt;"",D41&gt;INDEX(Mitarbeiter!$D$6:$D$205,MATCH($A41,Mitarbeiter!$A$6:$A$205,0))),"nach Austritt",IF(E41="","offen","ok"))))))))</f>
        <v/>
      </c>
      <c r="J41" s="47">
        <f>IF(A41="","",IF(E41="",Einstellungen!$C$9,E41))</f>
        <v/>
      </c>
      <c r="K41" s="48">
        <f>IF(A41="",0,IFERROR(INDEX(Mitarbeiter!$F$6:$F$205,MATCH($A41,Mitarbeiter!$A$6:$A$205,0)),0))</f>
        <v/>
      </c>
      <c r="L41" s="49">
        <f>IF(OR(A41="",D41=""),0,MAX(0,NETWORKDAYS(MAX(D41,DATE(Einstellungen!$C$3,1,1)),MIN(J41,DATE(Einstellungen!$C$3,2,0)),Einstellungen!$F$13:$F$32)))</f>
        <v/>
      </c>
      <c r="M41" s="49">
        <f>IF(OR(A41="",D41=""),0,MAX(0,NETWORKDAYS(MAX(D41,DATE(Einstellungen!$C$3,2,1)),MIN(J41,DATE(Einstellungen!$C$3,3,0)),Einstellungen!$F$13:$F$32)))</f>
        <v/>
      </c>
      <c r="N41" s="49">
        <f>IF(OR(A41="",D41=""),0,MAX(0,NETWORKDAYS(MAX(D41,DATE(Einstellungen!$C$3,3,1)),MIN(J41,DATE(Einstellungen!$C$3,4,0)),Einstellungen!$F$13:$F$32)))</f>
        <v/>
      </c>
      <c r="O41" s="49">
        <f>IF(OR(A41="",D41=""),0,MAX(0,NETWORKDAYS(MAX(D41,DATE(Einstellungen!$C$3,4,1)),MIN(J41,DATE(Einstellungen!$C$3,5,0)),Einstellungen!$F$13:$F$32)))</f>
        <v/>
      </c>
      <c r="P41" s="49">
        <f>IF(OR(A41="",D41=""),0,MAX(0,NETWORKDAYS(MAX(D41,DATE(Einstellungen!$C$3,5,1)),MIN(J41,DATE(Einstellungen!$C$3,6,0)),Einstellungen!$F$13:$F$32)))</f>
        <v/>
      </c>
      <c r="Q41" s="49">
        <f>IF(OR(A41="",D41=""),0,MAX(0,NETWORKDAYS(MAX(D41,DATE(Einstellungen!$C$3,6,1)),MIN(J41,DATE(Einstellungen!$C$3,7,0)),Einstellungen!$F$13:$F$32)))</f>
        <v/>
      </c>
      <c r="R41" s="49">
        <f>IF(OR(A41="",D41=""),0,MAX(0,NETWORKDAYS(MAX(D41,DATE(Einstellungen!$C$3,7,1)),MIN(J41,DATE(Einstellungen!$C$3,8,0)),Einstellungen!$F$13:$F$32)))</f>
        <v/>
      </c>
      <c r="S41" s="49">
        <f>IF(OR(A41="",D41=""),0,MAX(0,NETWORKDAYS(MAX(D41,DATE(Einstellungen!$C$3,8,1)),MIN(J41,DATE(Einstellungen!$C$3,9,0)),Einstellungen!$F$13:$F$32)))</f>
        <v/>
      </c>
      <c r="T41" s="49">
        <f>IF(OR(A41="",D41=""),0,MAX(0,NETWORKDAYS(MAX(D41,DATE(Einstellungen!$C$3,9,1)),MIN(J41,DATE(Einstellungen!$C$3,10,0)),Einstellungen!$F$13:$F$32)))</f>
        <v/>
      </c>
      <c r="U41" s="49">
        <f>IF(OR(A41="",D41=""),0,MAX(0,NETWORKDAYS(MAX(D41,DATE(Einstellungen!$C$3,10,1)),MIN(J41,DATE(Einstellungen!$C$3,11,0)),Einstellungen!$F$13:$F$32)))</f>
        <v/>
      </c>
      <c r="V41" s="49">
        <f>IF(OR(A41="",D41=""),0,MAX(0,NETWORKDAYS(MAX(D41,DATE(Einstellungen!$C$3,11,1)),MIN(J41,DATE(Einstellungen!$C$3,12,0)),Einstellungen!$F$13:$F$32)))</f>
        <v/>
      </c>
      <c r="W41" s="49">
        <f>IF(OR(A41="",D41=""),0,MAX(0,NETWORKDAYS(MAX(D41,DATE(Einstellungen!$C$3,12,1)),MIN(J41,DATE(Einstellungen!$C$3,13,0)),Einstellungen!$F$13:$F$32)))</f>
        <v/>
      </c>
      <c r="X41" s="50">
        <f>L41*K41</f>
        <v/>
      </c>
      <c r="Y41" s="50">
        <f>M41*K41</f>
        <v/>
      </c>
      <c r="Z41" s="50">
        <f>N41*K41</f>
        <v/>
      </c>
      <c r="AA41" s="50">
        <f>O41*K41</f>
        <v/>
      </c>
      <c r="AB41" s="50">
        <f>P41*K41</f>
        <v/>
      </c>
      <c r="AC41" s="50">
        <f>Q41*K41</f>
        <v/>
      </c>
      <c r="AD41" s="50">
        <f>R41*K41</f>
        <v/>
      </c>
      <c r="AE41" s="50">
        <f>S41*K41</f>
        <v/>
      </c>
      <c r="AF41" s="50">
        <f>T41*K41</f>
        <v/>
      </c>
      <c r="AG41" s="50">
        <f>U41*K41</f>
        <v/>
      </c>
      <c r="AH41" s="50">
        <f>V41*K41</f>
        <v/>
      </c>
      <c r="AI41" s="50">
        <f>W41*K41</f>
        <v/>
      </c>
    </row>
    <row r="42">
      <c r="A42" s="25" t="n">
        <v>1020</v>
      </c>
      <c r="B42" s="45">
        <f>IF(A42="","",IFERROR(INDEX(Mitarbeiter!$B$6:$B$205,MATCH($A42,Mitarbeiter!$A$6:$A$205,0)),"?"))</f>
        <v/>
      </c>
      <c r="C42" s="46" t="inlineStr">
        <is>
          <t>Objekt 2</t>
        </is>
      </c>
      <c r="D42" s="26" t="n">
        <v>46096</v>
      </c>
      <c r="E42" s="26" t="n">
        <v>46102</v>
      </c>
      <c r="F42" s="24">
        <f>IF(A42="","",SUM(L42:W42))</f>
        <v/>
      </c>
      <c r="G42" s="36">
        <f>IF(A42="","",SUM(X42:AI42))</f>
        <v/>
      </c>
      <c r="H42" s="8">
        <f>IF(A42="","",IF(ISNA(MATCH(A42,Mitarbeiter!$A$6:$A$205,0)),"Pers.-Nr. unbekannt",IF(D42="","Von fehlt",IF(AND(C42&lt;&gt;Einstellungen!$C$4,C42&lt;&gt;Einstellungen!$C$5),"Objekt fehlt",IF(J42&lt;D42,"Bis vor Von",IF(D42&lt;INDEX(Mitarbeiter!$C$6:$C$205,MATCH($A42,Mitarbeiter!$A$6:$A$205,0)),"vor Eintritt",IF(AND(INDEX(Mitarbeiter!$D$6:$D$205,MATCH($A42,Mitarbeiter!$A$6:$A$205,0))&lt;&gt;"",D42&gt;INDEX(Mitarbeiter!$D$6:$D$205,MATCH($A42,Mitarbeiter!$A$6:$A$205,0))),"nach Austritt",IF(E42="","offen","ok"))))))))</f>
        <v/>
      </c>
      <c r="J42" s="47">
        <f>IF(A42="","",IF(E42="",Einstellungen!$C$9,E42))</f>
        <v/>
      </c>
      <c r="K42" s="48">
        <f>IF(A42="",0,IFERROR(INDEX(Mitarbeiter!$F$6:$F$205,MATCH($A42,Mitarbeiter!$A$6:$A$205,0)),0))</f>
        <v/>
      </c>
      <c r="L42" s="49">
        <f>IF(OR(A42="",D42=""),0,MAX(0,NETWORKDAYS(MAX(D42,DATE(Einstellungen!$C$3,1,1)),MIN(J42,DATE(Einstellungen!$C$3,2,0)),Einstellungen!$F$13:$F$32)))</f>
        <v/>
      </c>
      <c r="M42" s="49">
        <f>IF(OR(A42="",D42=""),0,MAX(0,NETWORKDAYS(MAX(D42,DATE(Einstellungen!$C$3,2,1)),MIN(J42,DATE(Einstellungen!$C$3,3,0)),Einstellungen!$F$13:$F$32)))</f>
        <v/>
      </c>
      <c r="N42" s="49">
        <f>IF(OR(A42="",D42=""),0,MAX(0,NETWORKDAYS(MAX(D42,DATE(Einstellungen!$C$3,3,1)),MIN(J42,DATE(Einstellungen!$C$3,4,0)),Einstellungen!$F$13:$F$32)))</f>
        <v/>
      </c>
      <c r="O42" s="49">
        <f>IF(OR(A42="",D42=""),0,MAX(0,NETWORKDAYS(MAX(D42,DATE(Einstellungen!$C$3,4,1)),MIN(J42,DATE(Einstellungen!$C$3,5,0)),Einstellungen!$F$13:$F$32)))</f>
        <v/>
      </c>
      <c r="P42" s="49">
        <f>IF(OR(A42="",D42=""),0,MAX(0,NETWORKDAYS(MAX(D42,DATE(Einstellungen!$C$3,5,1)),MIN(J42,DATE(Einstellungen!$C$3,6,0)),Einstellungen!$F$13:$F$32)))</f>
        <v/>
      </c>
      <c r="Q42" s="49">
        <f>IF(OR(A42="",D42=""),0,MAX(0,NETWORKDAYS(MAX(D42,DATE(Einstellungen!$C$3,6,1)),MIN(J42,DATE(Einstellungen!$C$3,7,0)),Einstellungen!$F$13:$F$32)))</f>
        <v/>
      </c>
      <c r="R42" s="49">
        <f>IF(OR(A42="",D42=""),0,MAX(0,NETWORKDAYS(MAX(D42,DATE(Einstellungen!$C$3,7,1)),MIN(J42,DATE(Einstellungen!$C$3,8,0)),Einstellungen!$F$13:$F$32)))</f>
        <v/>
      </c>
      <c r="S42" s="49">
        <f>IF(OR(A42="",D42=""),0,MAX(0,NETWORKDAYS(MAX(D42,DATE(Einstellungen!$C$3,8,1)),MIN(J42,DATE(Einstellungen!$C$3,9,0)),Einstellungen!$F$13:$F$32)))</f>
        <v/>
      </c>
      <c r="T42" s="49">
        <f>IF(OR(A42="",D42=""),0,MAX(0,NETWORKDAYS(MAX(D42,DATE(Einstellungen!$C$3,9,1)),MIN(J42,DATE(Einstellungen!$C$3,10,0)),Einstellungen!$F$13:$F$32)))</f>
        <v/>
      </c>
      <c r="U42" s="49">
        <f>IF(OR(A42="",D42=""),0,MAX(0,NETWORKDAYS(MAX(D42,DATE(Einstellungen!$C$3,10,1)),MIN(J42,DATE(Einstellungen!$C$3,11,0)),Einstellungen!$F$13:$F$32)))</f>
        <v/>
      </c>
      <c r="V42" s="49">
        <f>IF(OR(A42="",D42=""),0,MAX(0,NETWORKDAYS(MAX(D42,DATE(Einstellungen!$C$3,11,1)),MIN(J42,DATE(Einstellungen!$C$3,12,0)),Einstellungen!$F$13:$F$32)))</f>
        <v/>
      </c>
      <c r="W42" s="49">
        <f>IF(OR(A42="",D42=""),0,MAX(0,NETWORKDAYS(MAX(D42,DATE(Einstellungen!$C$3,12,1)),MIN(J42,DATE(Einstellungen!$C$3,13,0)),Einstellungen!$F$13:$F$32)))</f>
        <v/>
      </c>
      <c r="X42" s="50">
        <f>L42*K42</f>
        <v/>
      </c>
      <c r="Y42" s="50">
        <f>M42*K42</f>
        <v/>
      </c>
      <c r="Z42" s="50">
        <f>N42*K42</f>
        <v/>
      </c>
      <c r="AA42" s="50">
        <f>O42*K42</f>
        <v/>
      </c>
      <c r="AB42" s="50">
        <f>P42*K42</f>
        <v/>
      </c>
      <c r="AC42" s="50">
        <f>Q42*K42</f>
        <v/>
      </c>
      <c r="AD42" s="50">
        <f>R42*K42</f>
        <v/>
      </c>
      <c r="AE42" s="50">
        <f>S42*K42</f>
        <v/>
      </c>
      <c r="AF42" s="50">
        <f>T42*K42</f>
        <v/>
      </c>
      <c r="AG42" s="50">
        <f>U42*K42</f>
        <v/>
      </c>
      <c r="AH42" s="50">
        <f>V42*K42</f>
        <v/>
      </c>
      <c r="AI42" s="50">
        <f>W42*K42</f>
        <v/>
      </c>
    </row>
    <row r="43">
      <c r="A43" s="25" t="n">
        <v>1041</v>
      </c>
      <c r="B43" s="45">
        <f>IF(A43="","",IFERROR(INDEX(Mitarbeiter!$B$6:$B$205,MATCH($A43,Mitarbeiter!$A$6:$A$205,0)),"?"))</f>
        <v/>
      </c>
      <c r="C43" s="46" t="inlineStr">
        <is>
          <t>Objekt 1</t>
        </is>
      </c>
      <c r="D43" s="26" t="n">
        <v>46096</v>
      </c>
      <c r="E43" s="26" t="n">
        <v>46109</v>
      </c>
      <c r="F43" s="24">
        <f>IF(A43="","",SUM(L43:W43))</f>
        <v/>
      </c>
      <c r="G43" s="36">
        <f>IF(A43="","",SUM(X43:AI43))</f>
        <v/>
      </c>
      <c r="H43" s="8">
        <f>IF(A43="","",IF(ISNA(MATCH(A43,Mitarbeiter!$A$6:$A$205,0)),"Pers.-Nr. unbekannt",IF(D43="","Von fehlt",IF(AND(C43&lt;&gt;Einstellungen!$C$4,C43&lt;&gt;Einstellungen!$C$5),"Objekt fehlt",IF(J43&lt;D43,"Bis vor Von",IF(D43&lt;INDEX(Mitarbeiter!$C$6:$C$205,MATCH($A43,Mitarbeiter!$A$6:$A$205,0)),"vor Eintritt",IF(AND(INDEX(Mitarbeiter!$D$6:$D$205,MATCH($A43,Mitarbeiter!$A$6:$A$205,0))&lt;&gt;"",D43&gt;INDEX(Mitarbeiter!$D$6:$D$205,MATCH($A43,Mitarbeiter!$A$6:$A$205,0))),"nach Austritt",IF(E43="","offen","ok"))))))))</f>
        <v/>
      </c>
      <c r="J43" s="47">
        <f>IF(A43="","",IF(E43="",Einstellungen!$C$9,E43))</f>
        <v/>
      </c>
      <c r="K43" s="48">
        <f>IF(A43="",0,IFERROR(INDEX(Mitarbeiter!$F$6:$F$205,MATCH($A43,Mitarbeiter!$A$6:$A$205,0)),0))</f>
        <v/>
      </c>
      <c r="L43" s="49">
        <f>IF(OR(A43="",D43=""),0,MAX(0,NETWORKDAYS(MAX(D43,DATE(Einstellungen!$C$3,1,1)),MIN(J43,DATE(Einstellungen!$C$3,2,0)),Einstellungen!$F$13:$F$32)))</f>
        <v/>
      </c>
      <c r="M43" s="49">
        <f>IF(OR(A43="",D43=""),0,MAX(0,NETWORKDAYS(MAX(D43,DATE(Einstellungen!$C$3,2,1)),MIN(J43,DATE(Einstellungen!$C$3,3,0)),Einstellungen!$F$13:$F$32)))</f>
        <v/>
      </c>
      <c r="N43" s="49">
        <f>IF(OR(A43="",D43=""),0,MAX(0,NETWORKDAYS(MAX(D43,DATE(Einstellungen!$C$3,3,1)),MIN(J43,DATE(Einstellungen!$C$3,4,0)),Einstellungen!$F$13:$F$32)))</f>
        <v/>
      </c>
      <c r="O43" s="49">
        <f>IF(OR(A43="",D43=""),0,MAX(0,NETWORKDAYS(MAX(D43,DATE(Einstellungen!$C$3,4,1)),MIN(J43,DATE(Einstellungen!$C$3,5,0)),Einstellungen!$F$13:$F$32)))</f>
        <v/>
      </c>
      <c r="P43" s="49">
        <f>IF(OR(A43="",D43=""),0,MAX(0,NETWORKDAYS(MAX(D43,DATE(Einstellungen!$C$3,5,1)),MIN(J43,DATE(Einstellungen!$C$3,6,0)),Einstellungen!$F$13:$F$32)))</f>
        <v/>
      </c>
      <c r="Q43" s="49">
        <f>IF(OR(A43="",D43=""),0,MAX(0,NETWORKDAYS(MAX(D43,DATE(Einstellungen!$C$3,6,1)),MIN(J43,DATE(Einstellungen!$C$3,7,0)),Einstellungen!$F$13:$F$32)))</f>
        <v/>
      </c>
      <c r="R43" s="49">
        <f>IF(OR(A43="",D43=""),0,MAX(0,NETWORKDAYS(MAX(D43,DATE(Einstellungen!$C$3,7,1)),MIN(J43,DATE(Einstellungen!$C$3,8,0)),Einstellungen!$F$13:$F$32)))</f>
        <v/>
      </c>
      <c r="S43" s="49">
        <f>IF(OR(A43="",D43=""),0,MAX(0,NETWORKDAYS(MAX(D43,DATE(Einstellungen!$C$3,8,1)),MIN(J43,DATE(Einstellungen!$C$3,9,0)),Einstellungen!$F$13:$F$32)))</f>
        <v/>
      </c>
      <c r="T43" s="49">
        <f>IF(OR(A43="",D43=""),0,MAX(0,NETWORKDAYS(MAX(D43,DATE(Einstellungen!$C$3,9,1)),MIN(J43,DATE(Einstellungen!$C$3,10,0)),Einstellungen!$F$13:$F$32)))</f>
        <v/>
      </c>
      <c r="U43" s="49">
        <f>IF(OR(A43="",D43=""),0,MAX(0,NETWORKDAYS(MAX(D43,DATE(Einstellungen!$C$3,10,1)),MIN(J43,DATE(Einstellungen!$C$3,11,0)),Einstellungen!$F$13:$F$32)))</f>
        <v/>
      </c>
      <c r="V43" s="49">
        <f>IF(OR(A43="",D43=""),0,MAX(0,NETWORKDAYS(MAX(D43,DATE(Einstellungen!$C$3,11,1)),MIN(J43,DATE(Einstellungen!$C$3,12,0)),Einstellungen!$F$13:$F$32)))</f>
        <v/>
      </c>
      <c r="W43" s="49">
        <f>IF(OR(A43="",D43=""),0,MAX(0,NETWORKDAYS(MAX(D43,DATE(Einstellungen!$C$3,12,1)),MIN(J43,DATE(Einstellungen!$C$3,13,0)),Einstellungen!$F$13:$F$32)))</f>
        <v/>
      </c>
      <c r="X43" s="50">
        <f>L43*K43</f>
        <v/>
      </c>
      <c r="Y43" s="50">
        <f>M43*K43</f>
        <v/>
      </c>
      <c r="Z43" s="50">
        <f>N43*K43</f>
        <v/>
      </c>
      <c r="AA43" s="50">
        <f>O43*K43</f>
        <v/>
      </c>
      <c r="AB43" s="50">
        <f>P43*K43</f>
        <v/>
      </c>
      <c r="AC43" s="50">
        <f>Q43*K43</f>
        <v/>
      </c>
      <c r="AD43" s="50">
        <f>R43*K43</f>
        <v/>
      </c>
      <c r="AE43" s="50">
        <f>S43*K43</f>
        <v/>
      </c>
      <c r="AF43" s="50">
        <f>T43*K43</f>
        <v/>
      </c>
      <c r="AG43" s="50">
        <f>U43*K43</f>
        <v/>
      </c>
      <c r="AH43" s="50">
        <f>V43*K43</f>
        <v/>
      </c>
      <c r="AI43" s="50">
        <f>W43*K43</f>
        <v/>
      </c>
    </row>
    <row r="44">
      <c r="A44" s="25" t="n">
        <v>1031</v>
      </c>
      <c r="B44" s="45">
        <f>IF(A44="","",IFERROR(INDEX(Mitarbeiter!$B$6:$B$205,MATCH($A44,Mitarbeiter!$A$6:$A$205,0)),"?"))</f>
        <v/>
      </c>
      <c r="C44" s="46" t="inlineStr">
        <is>
          <t>Objekt 2</t>
        </is>
      </c>
      <c r="D44" s="26" t="n">
        <v>46099</v>
      </c>
      <c r="E44" s="26" t="n">
        <v>46103</v>
      </c>
      <c r="F44" s="24">
        <f>IF(A44="","",SUM(L44:W44))</f>
        <v/>
      </c>
      <c r="G44" s="36">
        <f>IF(A44="","",SUM(X44:AI44))</f>
        <v/>
      </c>
      <c r="H44" s="8">
        <f>IF(A44="","",IF(ISNA(MATCH(A44,Mitarbeiter!$A$6:$A$205,0)),"Pers.-Nr. unbekannt",IF(D44="","Von fehlt",IF(AND(C44&lt;&gt;Einstellungen!$C$4,C44&lt;&gt;Einstellungen!$C$5),"Objekt fehlt",IF(J44&lt;D44,"Bis vor Von",IF(D44&lt;INDEX(Mitarbeiter!$C$6:$C$205,MATCH($A44,Mitarbeiter!$A$6:$A$205,0)),"vor Eintritt",IF(AND(INDEX(Mitarbeiter!$D$6:$D$205,MATCH($A44,Mitarbeiter!$A$6:$A$205,0))&lt;&gt;"",D44&gt;INDEX(Mitarbeiter!$D$6:$D$205,MATCH($A44,Mitarbeiter!$A$6:$A$205,0))),"nach Austritt",IF(E44="","offen","ok"))))))))</f>
        <v/>
      </c>
      <c r="J44" s="47">
        <f>IF(A44="","",IF(E44="",Einstellungen!$C$9,E44))</f>
        <v/>
      </c>
      <c r="K44" s="48">
        <f>IF(A44="",0,IFERROR(INDEX(Mitarbeiter!$F$6:$F$205,MATCH($A44,Mitarbeiter!$A$6:$A$205,0)),0))</f>
        <v/>
      </c>
      <c r="L44" s="49">
        <f>IF(OR(A44="",D44=""),0,MAX(0,NETWORKDAYS(MAX(D44,DATE(Einstellungen!$C$3,1,1)),MIN(J44,DATE(Einstellungen!$C$3,2,0)),Einstellungen!$F$13:$F$32)))</f>
        <v/>
      </c>
      <c r="M44" s="49">
        <f>IF(OR(A44="",D44=""),0,MAX(0,NETWORKDAYS(MAX(D44,DATE(Einstellungen!$C$3,2,1)),MIN(J44,DATE(Einstellungen!$C$3,3,0)),Einstellungen!$F$13:$F$32)))</f>
        <v/>
      </c>
      <c r="N44" s="49">
        <f>IF(OR(A44="",D44=""),0,MAX(0,NETWORKDAYS(MAX(D44,DATE(Einstellungen!$C$3,3,1)),MIN(J44,DATE(Einstellungen!$C$3,4,0)),Einstellungen!$F$13:$F$32)))</f>
        <v/>
      </c>
      <c r="O44" s="49">
        <f>IF(OR(A44="",D44=""),0,MAX(0,NETWORKDAYS(MAX(D44,DATE(Einstellungen!$C$3,4,1)),MIN(J44,DATE(Einstellungen!$C$3,5,0)),Einstellungen!$F$13:$F$32)))</f>
        <v/>
      </c>
      <c r="P44" s="49">
        <f>IF(OR(A44="",D44=""),0,MAX(0,NETWORKDAYS(MAX(D44,DATE(Einstellungen!$C$3,5,1)),MIN(J44,DATE(Einstellungen!$C$3,6,0)),Einstellungen!$F$13:$F$32)))</f>
        <v/>
      </c>
      <c r="Q44" s="49">
        <f>IF(OR(A44="",D44=""),0,MAX(0,NETWORKDAYS(MAX(D44,DATE(Einstellungen!$C$3,6,1)),MIN(J44,DATE(Einstellungen!$C$3,7,0)),Einstellungen!$F$13:$F$32)))</f>
        <v/>
      </c>
      <c r="R44" s="49">
        <f>IF(OR(A44="",D44=""),0,MAX(0,NETWORKDAYS(MAX(D44,DATE(Einstellungen!$C$3,7,1)),MIN(J44,DATE(Einstellungen!$C$3,8,0)),Einstellungen!$F$13:$F$32)))</f>
        <v/>
      </c>
      <c r="S44" s="49">
        <f>IF(OR(A44="",D44=""),0,MAX(0,NETWORKDAYS(MAX(D44,DATE(Einstellungen!$C$3,8,1)),MIN(J44,DATE(Einstellungen!$C$3,9,0)),Einstellungen!$F$13:$F$32)))</f>
        <v/>
      </c>
      <c r="T44" s="49">
        <f>IF(OR(A44="",D44=""),0,MAX(0,NETWORKDAYS(MAX(D44,DATE(Einstellungen!$C$3,9,1)),MIN(J44,DATE(Einstellungen!$C$3,10,0)),Einstellungen!$F$13:$F$32)))</f>
        <v/>
      </c>
      <c r="U44" s="49">
        <f>IF(OR(A44="",D44=""),0,MAX(0,NETWORKDAYS(MAX(D44,DATE(Einstellungen!$C$3,10,1)),MIN(J44,DATE(Einstellungen!$C$3,11,0)),Einstellungen!$F$13:$F$32)))</f>
        <v/>
      </c>
      <c r="V44" s="49">
        <f>IF(OR(A44="",D44=""),0,MAX(0,NETWORKDAYS(MAX(D44,DATE(Einstellungen!$C$3,11,1)),MIN(J44,DATE(Einstellungen!$C$3,12,0)),Einstellungen!$F$13:$F$32)))</f>
        <v/>
      </c>
      <c r="W44" s="49">
        <f>IF(OR(A44="",D44=""),0,MAX(0,NETWORKDAYS(MAX(D44,DATE(Einstellungen!$C$3,12,1)),MIN(J44,DATE(Einstellungen!$C$3,13,0)),Einstellungen!$F$13:$F$32)))</f>
        <v/>
      </c>
      <c r="X44" s="50">
        <f>L44*K44</f>
        <v/>
      </c>
      <c r="Y44" s="50">
        <f>M44*K44</f>
        <v/>
      </c>
      <c r="Z44" s="50">
        <f>N44*K44</f>
        <v/>
      </c>
      <c r="AA44" s="50">
        <f>O44*K44</f>
        <v/>
      </c>
      <c r="AB44" s="50">
        <f>P44*K44</f>
        <v/>
      </c>
      <c r="AC44" s="50">
        <f>Q44*K44</f>
        <v/>
      </c>
      <c r="AD44" s="50">
        <f>R44*K44</f>
        <v/>
      </c>
      <c r="AE44" s="50">
        <f>S44*K44</f>
        <v/>
      </c>
      <c r="AF44" s="50">
        <f>T44*K44</f>
        <v/>
      </c>
      <c r="AG44" s="50">
        <f>U44*K44</f>
        <v/>
      </c>
      <c r="AH44" s="50">
        <f>V44*K44</f>
        <v/>
      </c>
      <c r="AI44" s="50">
        <f>W44*K44</f>
        <v/>
      </c>
    </row>
    <row r="45">
      <c r="A45" s="25" t="n">
        <v>1004</v>
      </c>
      <c r="B45" s="45">
        <f>IF(A45="","",IFERROR(INDEX(Mitarbeiter!$B$6:$B$205,MATCH($A45,Mitarbeiter!$A$6:$A$205,0)),"?"))</f>
        <v/>
      </c>
      <c r="C45" s="46" t="inlineStr">
        <is>
          <t>Objekt 1</t>
        </is>
      </c>
      <c r="D45" s="26" t="n">
        <v>46099</v>
      </c>
      <c r="E45" s="26" t="n">
        <v>46119</v>
      </c>
      <c r="F45" s="24">
        <f>IF(A45="","",SUM(L45:W45))</f>
        <v/>
      </c>
      <c r="G45" s="36">
        <f>IF(A45="","",SUM(X45:AI45))</f>
        <v/>
      </c>
      <c r="H45" s="8">
        <f>IF(A45="","",IF(ISNA(MATCH(A45,Mitarbeiter!$A$6:$A$205,0)),"Pers.-Nr. unbekannt",IF(D45="","Von fehlt",IF(AND(C45&lt;&gt;Einstellungen!$C$4,C45&lt;&gt;Einstellungen!$C$5),"Objekt fehlt",IF(J45&lt;D45,"Bis vor Von",IF(D45&lt;INDEX(Mitarbeiter!$C$6:$C$205,MATCH($A45,Mitarbeiter!$A$6:$A$205,0)),"vor Eintritt",IF(AND(INDEX(Mitarbeiter!$D$6:$D$205,MATCH($A45,Mitarbeiter!$A$6:$A$205,0))&lt;&gt;"",D45&gt;INDEX(Mitarbeiter!$D$6:$D$205,MATCH($A45,Mitarbeiter!$A$6:$A$205,0))),"nach Austritt",IF(E45="","offen","ok"))))))))</f>
        <v/>
      </c>
      <c r="J45" s="47">
        <f>IF(A45="","",IF(E45="",Einstellungen!$C$9,E45))</f>
        <v/>
      </c>
      <c r="K45" s="48">
        <f>IF(A45="",0,IFERROR(INDEX(Mitarbeiter!$F$6:$F$205,MATCH($A45,Mitarbeiter!$A$6:$A$205,0)),0))</f>
        <v/>
      </c>
      <c r="L45" s="49">
        <f>IF(OR(A45="",D45=""),0,MAX(0,NETWORKDAYS(MAX(D45,DATE(Einstellungen!$C$3,1,1)),MIN(J45,DATE(Einstellungen!$C$3,2,0)),Einstellungen!$F$13:$F$32)))</f>
        <v/>
      </c>
      <c r="M45" s="49">
        <f>IF(OR(A45="",D45=""),0,MAX(0,NETWORKDAYS(MAX(D45,DATE(Einstellungen!$C$3,2,1)),MIN(J45,DATE(Einstellungen!$C$3,3,0)),Einstellungen!$F$13:$F$32)))</f>
        <v/>
      </c>
      <c r="N45" s="49">
        <f>IF(OR(A45="",D45=""),0,MAX(0,NETWORKDAYS(MAX(D45,DATE(Einstellungen!$C$3,3,1)),MIN(J45,DATE(Einstellungen!$C$3,4,0)),Einstellungen!$F$13:$F$32)))</f>
        <v/>
      </c>
      <c r="O45" s="49">
        <f>IF(OR(A45="",D45=""),0,MAX(0,NETWORKDAYS(MAX(D45,DATE(Einstellungen!$C$3,4,1)),MIN(J45,DATE(Einstellungen!$C$3,5,0)),Einstellungen!$F$13:$F$32)))</f>
        <v/>
      </c>
      <c r="P45" s="49">
        <f>IF(OR(A45="",D45=""),0,MAX(0,NETWORKDAYS(MAX(D45,DATE(Einstellungen!$C$3,5,1)),MIN(J45,DATE(Einstellungen!$C$3,6,0)),Einstellungen!$F$13:$F$32)))</f>
        <v/>
      </c>
      <c r="Q45" s="49">
        <f>IF(OR(A45="",D45=""),0,MAX(0,NETWORKDAYS(MAX(D45,DATE(Einstellungen!$C$3,6,1)),MIN(J45,DATE(Einstellungen!$C$3,7,0)),Einstellungen!$F$13:$F$32)))</f>
        <v/>
      </c>
      <c r="R45" s="49">
        <f>IF(OR(A45="",D45=""),0,MAX(0,NETWORKDAYS(MAX(D45,DATE(Einstellungen!$C$3,7,1)),MIN(J45,DATE(Einstellungen!$C$3,8,0)),Einstellungen!$F$13:$F$32)))</f>
        <v/>
      </c>
      <c r="S45" s="49">
        <f>IF(OR(A45="",D45=""),0,MAX(0,NETWORKDAYS(MAX(D45,DATE(Einstellungen!$C$3,8,1)),MIN(J45,DATE(Einstellungen!$C$3,9,0)),Einstellungen!$F$13:$F$32)))</f>
        <v/>
      </c>
      <c r="T45" s="49">
        <f>IF(OR(A45="",D45=""),0,MAX(0,NETWORKDAYS(MAX(D45,DATE(Einstellungen!$C$3,9,1)),MIN(J45,DATE(Einstellungen!$C$3,10,0)),Einstellungen!$F$13:$F$32)))</f>
        <v/>
      </c>
      <c r="U45" s="49">
        <f>IF(OR(A45="",D45=""),0,MAX(0,NETWORKDAYS(MAX(D45,DATE(Einstellungen!$C$3,10,1)),MIN(J45,DATE(Einstellungen!$C$3,11,0)),Einstellungen!$F$13:$F$32)))</f>
        <v/>
      </c>
      <c r="V45" s="49">
        <f>IF(OR(A45="",D45=""),0,MAX(0,NETWORKDAYS(MAX(D45,DATE(Einstellungen!$C$3,11,1)),MIN(J45,DATE(Einstellungen!$C$3,12,0)),Einstellungen!$F$13:$F$32)))</f>
        <v/>
      </c>
      <c r="W45" s="49">
        <f>IF(OR(A45="",D45=""),0,MAX(0,NETWORKDAYS(MAX(D45,DATE(Einstellungen!$C$3,12,1)),MIN(J45,DATE(Einstellungen!$C$3,13,0)),Einstellungen!$F$13:$F$32)))</f>
        <v/>
      </c>
      <c r="X45" s="50">
        <f>L45*K45</f>
        <v/>
      </c>
      <c r="Y45" s="50">
        <f>M45*K45</f>
        <v/>
      </c>
      <c r="Z45" s="50">
        <f>N45*K45</f>
        <v/>
      </c>
      <c r="AA45" s="50">
        <f>O45*K45</f>
        <v/>
      </c>
      <c r="AB45" s="50">
        <f>P45*K45</f>
        <v/>
      </c>
      <c r="AC45" s="50">
        <f>Q45*K45</f>
        <v/>
      </c>
      <c r="AD45" s="50">
        <f>R45*K45</f>
        <v/>
      </c>
      <c r="AE45" s="50">
        <f>S45*K45</f>
        <v/>
      </c>
      <c r="AF45" s="50">
        <f>T45*K45</f>
        <v/>
      </c>
      <c r="AG45" s="50">
        <f>U45*K45</f>
        <v/>
      </c>
      <c r="AH45" s="50">
        <f>V45*K45</f>
        <v/>
      </c>
      <c r="AI45" s="50">
        <f>W45*K45</f>
        <v/>
      </c>
    </row>
    <row r="46">
      <c r="A46" s="25" t="n">
        <v>1055</v>
      </c>
      <c r="B46" s="45">
        <f>IF(A46="","",IFERROR(INDEX(Mitarbeiter!$B$6:$B$205,MATCH($A46,Mitarbeiter!$A$6:$A$205,0)),"?"))</f>
        <v/>
      </c>
      <c r="C46" s="46" t="inlineStr">
        <is>
          <t>Objekt 1</t>
        </is>
      </c>
      <c r="D46" s="26" t="n">
        <v>46101</v>
      </c>
      <c r="E46" s="26" t="n">
        <v>46105</v>
      </c>
      <c r="F46" s="24">
        <f>IF(A46="","",SUM(L46:W46))</f>
        <v/>
      </c>
      <c r="G46" s="36">
        <f>IF(A46="","",SUM(X46:AI46))</f>
        <v/>
      </c>
      <c r="H46" s="8">
        <f>IF(A46="","",IF(ISNA(MATCH(A46,Mitarbeiter!$A$6:$A$205,0)),"Pers.-Nr. unbekannt",IF(D46="","Von fehlt",IF(AND(C46&lt;&gt;Einstellungen!$C$4,C46&lt;&gt;Einstellungen!$C$5),"Objekt fehlt",IF(J46&lt;D46,"Bis vor Von",IF(D46&lt;INDEX(Mitarbeiter!$C$6:$C$205,MATCH($A46,Mitarbeiter!$A$6:$A$205,0)),"vor Eintritt",IF(AND(INDEX(Mitarbeiter!$D$6:$D$205,MATCH($A46,Mitarbeiter!$A$6:$A$205,0))&lt;&gt;"",D46&gt;INDEX(Mitarbeiter!$D$6:$D$205,MATCH($A46,Mitarbeiter!$A$6:$A$205,0))),"nach Austritt",IF(E46="","offen","ok"))))))))</f>
        <v/>
      </c>
      <c r="J46" s="47">
        <f>IF(A46="","",IF(E46="",Einstellungen!$C$9,E46))</f>
        <v/>
      </c>
      <c r="K46" s="48">
        <f>IF(A46="",0,IFERROR(INDEX(Mitarbeiter!$F$6:$F$205,MATCH($A46,Mitarbeiter!$A$6:$A$205,0)),0))</f>
        <v/>
      </c>
      <c r="L46" s="49">
        <f>IF(OR(A46="",D46=""),0,MAX(0,NETWORKDAYS(MAX(D46,DATE(Einstellungen!$C$3,1,1)),MIN(J46,DATE(Einstellungen!$C$3,2,0)),Einstellungen!$F$13:$F$32)))</f>
        <v/>
      </c>
      <c r="M46" s="49">
        <f>IF(OR(A46="",D46=""),0,MAX(0,NETWORKDAYS(MAX(D46,DATE(Einstellungen!$C$3,2,1)),MIN(J46,DATE(Einstellungen!$C$3,3,0)),Einstellungen!$F$13:$F$32)))</f>
        <v/>
      </c>
      <c r="N46" s="49">
        <f>IF(OR(A46="",D46=""),0,MAX(0,NETWORKDAYS(MAX(D46,DATE(Einstellungen!$C$3,3,1)),MIN(J46,DATE(Einstellungen!$C$3,4,0)),Einstellungen!$F$13:$F$32)))</f>
        <v/>
      </c>
      <c r="O46" s="49">
        <f>IF(OR(A46="",D46=""),0,MAX(0,NETWORKDAYS(MAX(D46,DATE(Einstellungen!$C$3,4,1)),MIN(J46,DATE(Einstellungen!$C$3,5,0)),Einstellungen!$F$13:$F$32)))</f>
        <v/>
      </c>
      <c r="P46" s="49">
        <f>IF(OR(A46="",D46=""),0,MAX(0,NETWORKDAYS(MAX(D46,DATE(Einstellungen!$C$3,5,1)),MIN(J46,DATE(Einstellungen!$C$3,6,0)),Einstellungen!$F$13:$F$32)))</f>
        <v/>
      </c>
      <c r="Q46" s="49">
        <f>IF(OR(A46="",D46=""),0,MAX(0,NETWORKDAYS(MAX(D46,DATE(Einstellungen!$C$3,6,1)),MIN(J46,DATE(Einstellungen!$C$3,7,0)),Einstellungen!$F$13:$F$32)))</f>
        <v/>
      </c>
      <c r="R46" s="49">
        <f>IF(OR(A46="",D46=""),0,MAX(0,NETWORKDAYS(MAX(D46,DATE(Einstellungen!$C$3,7,1)),MIN(J46,DATE(Einstellungen!$C$3,8,0)),Einstellungen!$F$13:$F$32)))</f>
        <v/>
      </c>
      <c r="S46" s="49">
        <f>IF(OR(A46="",D46=""),0,MAX(0,NETWORKDAYS(MAX(D46,DATE(Einstellungen!$C$3,8,1)),MIN(J46,DATE(Einstellungen!$C$3,9,0)),Einstellungen!$F$13:$F$32)))</f>
        <v/>
      </c>
      <c r="T46" s="49">
        <f>IF(OR(A46="",D46=""),0,MAX(0,NETWORKDAYS(MAX(D46,DATE(Einstellungen!$C$3,9,1)),MIN(J46,DATE(Einstellungen!$C$3,10,0)),Einstellungen!$F$13:$F$32)))</f>
        <v/>
      </c>
      <c r="U46" s="49">
        <f>IF(OR(A46="",D46=""),0,MAX(0,NETWORKDAYS(MAX(D46,DATE(Einstellungen!$C$3,10,1)),MIN(J46,DATE(Einstellungen!$C$3,11,0)),Einstellungen!$F$13:$F$32)))</f>
        <v/>
      </c>
      <c r="V46" s="49">
        <f>IF(OR(A46="",D46=""),0,MAX(0,NETWORKDAYS(MAX(D46,DATE(Einstellungen!$C$3,11,1)),MIN(J46,DATE(Einstellungen!$C$3,12,0)),Einstellungen!$F$13:$F$32)))</f>
        <v/>
      </c>
      <c r="W46" s="49">
        <f>IF(OR(A46="",D46=""),0,MAX(0,NETWORKDAYS(MAX(D46,DATE(Einstellungen!$C$3,12,1)),MIN(J46,DATE(Einstellungen!$C$3,13,0)),Einstellungen!$F$13:$F$32)))</f>
        <v/>
      </c>
      <c r="X46" s="50">
        <f>L46*K46</f>
        <v/>
      </c>
      <c r="Y46" s="50">
        <f>M46*K46</f>
        <v/>
      </c>
      <c r="Z46" s="50">
        <f>N46*K46</f>
        <v/>
      </c>
      <c r="AA46" s="50">
        <f>O46*K46</f>
        <v/>
      </c>
      <c r="AB46" s="50">
        <f>P46*K46</f>
        <v/>
      </c>
      <c r="AC46" s="50">
        <f>Q46*K46</f>
        <v/>
      </c>
      <c r="AD46" s="50">
        <f>R46*K46</f>
        <v/>
      </c>
      <c r="AE46" s="50">
        <f>S46*K46</f>
        <v/>
      </c>
      <c r="AF46" s="50">
        <f>T46*K46</f>
        <v/>
      </c>
      <c r="AG46" s="50">
        <f>U46*K46</f>
        <v/>
      </c>
      <c r="AH46" s="50">
        <f>V46*K46</f>
        <v/>
      </c>
      <c r="AI46" s="50">
        <f>W46*K46</f>
        <v/>
      </c>
    </row>
    <row r="47">
      <c r="A47" s="25" t="n">
        <v>1013</v>
      </c>
      <c r="B47" s="45">
        <f>IF(A47="","",IFERROR(INDEX(Mitarbeiter!$B$6:$B$205,MATCH($A47,Mitarbeiter!$A$6:$A$205,0)),"?"))</f>
        <v/>
      </c>
      <c r="C47" s="46" t="inlineStr">
        <is>
          <t>Objekt 2</t>
        </is>
      </c>
      <c r="D47" s="26" t="n">
        <v>46104</v>
      </c>
      <c r="E47" s="26" t="n">
        <v>46117</v>
      </c>
      <c r="F47" s="24">
        <f>IF(A47="","",SUM(L47:W47))</f>
        <v/>
      </c>
      <c r="G47" s="36">
        <f>IF(A47="","",SUM(X47:AI47))</f>
        <v/>
      </c>
      <c r="H47" s="8">
        <f>IF(A47="","",IF(ISNA(MATCH(A47,Mitarbeiter!$A$6:$A$205,0)),"Pers.-Nr. unbekannt",IF(D47="","Von fehlt",IF(AND(C47&lt;&gt;Einstellungen!$C$4,C47&lt;&gt;Einstellungen!$C$5),"Objekt fehlt",IF(J47&lt;D47,"Bis vor Von",IF(D47&lt;INDEX(Mitarbeiter!$C$6:$C$205,MATCH($A47,Mitarbeiter!$A$6:$A$205,0)),"vor Eintritt",IF(AND(INDEX(Mitarbeiter!$D$6:$D$205,MATCH($A47,Mitarbeiter!$A$6:$A$205,0))&lt;&gt;"",D47&gt;INDEX(Mitarbeiter!$D$6:$D$205,MATCH($A47,Mitarbeiter!$A$6:$A$205,0))),"nach Austritt",IF(E47="","offen","ok"))))))))</f>
        <v/>
      </c>
      <c r="J47" s="47">
        <f>IF(A47="","",IF(E47="",Einstellungen!$C$9,E47))</f>
        <v/>
      </c>
      <c r="K47" s="48">
        <f>IF(A47="",0,IFERROR(INDEX(Mitarbeiter!$F$6:$F$205,MATCH($A47,Mitarbeiter!$A$6:$A$205,0)),0))</f>
        <v/>
      </c>
      <c r="L47" s="49">
        <f>IF(OR(A47="",D47=""),0,MAX(0,NETWORKDAYS(MAX(D47,DATE(Einstellungen!$C$3,1,1)),MIN(J47,DATE(Einstellungen!$C$3,2,0)),Einstellungen!$F$13:$F$32)))</f>
        <v/>
      </c>
      <c r="M47" s="49">
        <f>IF(OR(A47="",D47=""),0,MAX(0,NETWORKDAYS(MAX(D47,DATE(Einstellungen!$C$3,2,1)),MIN(J47,DATE(Einstellungen!$C$3,3,0)),Einstellungen!$F$13:$F$32)))</f>
        <v/>
      </c>
      <c r="N47" s="49">
        <f>IF(OR(A47="",D47=""),0,MAX(0,NETWORKDAYS(MAX(D47,DATE(Einstellungen!$C$3,3,1)),MIN(J47,DATE(Einstellungen!$C$3,4,0)),Einstellungen!$F$13:$F$32)))</f>
        <v/>
      </c>
      <c r="O47" s="49">
        <f>IF(OR(A47="",D47=""),0,MAX(0,NETWORKDAYS(MAX(D47,DATE(Einstellungen!$C$3,4,1)),MIN(J47,DATE(Einstellungen!$C$3,5,0)),Einstellungen!$F$13:$F$32)))</f>
        <v/>
      </c>
      <c r="P47" s="49">
        <f>IF(OR(A47="",D47=""),0,MAX(0,NETWORKDAYS(MAX(D47,DATE(Einstellungen!$C$3,5,1)),MIN(J47,DATE(Einstellungen!$C$3,6,0)),Einstellungen!$F$13:$F$32)))</f>
        <v/>
      </c>
      <c r="Q47" s="49">
        <f>IF(OR(A47="",D47=""),0,MAX(0,NETWORKDAYS(MAX(D47,DATE(Einstellungen!$C$3,6,1)),MIN(J47,DATE(Einstellungen!$C$3,7,0)),Einstellungen!$F$13:$F$32)))</f>
        <v/>
      </c>
      <c r="R47" s="49">
        <f>IF(OR(A47="",D47=""),0,MAX(0,NETWORKDAYS(MAX(D47,DATE(Einstellungen!$C$3,7,1)),MIN(J47,DATE(Einstellungen!$C$3,8,0)),Einstellungen!$F$13:$F$32)))</f>
        <v/>
      </c>
      <c r="S47" s="49">
        <f>IF(OR(A47="",D47=""),0,MAX(0,NETWORKDAYS(MAX(D47,DATE(Einstellungen!$C$3,8,1)),MIN(J47,DATE(Einstellungen!$C$3,9,0)),Einstellungen!$F$13:$F$32)))</f>
        <v/>
      </c>
      <c r="T47" s="49">
        <f>IF(OR(A47="",D47=""),0,MAX(0,NETWORKDAYS(MAX(D47,DATE(Einstellungen!$C$3,9,1)),MIN(J47,DATE(Einstellungen!$C$3,10,0)),Einstellungen!$F$13:$F$32)))</f>
        <v/>
      </c>
      <c r="U47" s="49">
        <f>IF(OR(A47="",D47=""),0,MAX(0,NETWORKDAYS(MAX(D47,DATE(Einstellungen!$C$3,10,1)),MIN(J47,DATE(Einstellungen!$C$3,11,0)),Einstellungen!$F$13:$F$32)))</f>
        <v/>
      </c>
      <c r="V47" s="49">
        <f>IF(OR(A47="",D47=""),0,MAX(0,NETWORKDAYS(MAX(D47,DATE(Einstellungen!$C$3,11,1)),MIN(J47,DATE(Einstellungen!$C$3,12,0)),Einstellungen!$F$13:$F$32)))</f>
        <v/>
      </c>
      <c r="W47" s="49">
        <f>IF(OR(A47="",D47=""),0,MAX(0,NETWORKDAYS(MAX(D47,DATE(Einstellungen!$C$3,12,1)),MIN(J47,DATE(Einstellungen!$C$3,13,0)),Einstellungen!$F$13:$F$32)))</f>
        <v/>
      </c>
      <c r="X47" s="50">
        <f>L47*K47</f>
        <v/>
      </c>
      <c r="Y47" s="50">
        <f>M47*K47</f>
        <v/>
      </c>
      <c r="Z47" s="50">
        <f>N47*K47</f>
        <v/>
      </c>
      <c r="AA47" s="50">
        <f>O47*K47</f>
        <v/>
      </c>
      <c r="AB47" s="50">
        <f>P47*K47</f>
        <v/>
      </c>
      <c r="AC47" s="50">
        <f>Q47*K47</f>
        <v/>
      </c>
      <c r="AD47" s="50">
        <f>R47*K47</f>
        <v/>
      </c>
      <c r="AE47" s="50">
        <f>S47*K47</f>
        <v/>
      </c>
      <c r="AF47" s="50">
        <f>T47*K47</f>
        <v/>
      </c>
      <c r="AG47" s="50">
        <f>U47*K47</f>
        <v/>
      </c>
      <c r="AH47" s="50">
        <f>V47*K47</f>
        <v/>
      </c>
      <c r="AI47" s="50">
        <f>W47*K47</f>
        <v/>
      </c>
    </row>
    <row r="48">
      <c r="A48" s="25" t="n">
        <v>1053</v>
      </c>
      <c r="B48" s="45">
        <f>IF(A48="","",IFERROR(INDEX(Mitarbeiter!$B$6:$B$205,MATCH($A48,Mitarbeiter!$A$6:$A$205,0)),"?"))</f>
        <v/>
      </c>
      <c r="C48" s="46" t="inlineStr">
        <is>
          <t>Objekt 2</t>
        </is>
      </c>
      <c r="D48" s="26" t="n">
        <v>46105</v>
      </c>
      <c r="E48" s="26" t="n">
        <v>46106</v>
      </c>
      <c r="F48" s="24">
        <f>IF(A48="","",SUM(L48:W48))</f>
        <v/>
      </c>
      <c r="G48" s="36">
        <f>IF(A48="","",SUM(X48:AI48))</f>
        <v/>
      </c>
      <c r="H48" s="8">
        <f>IF(A48="","",IF(ISNA(MATCH(A48,Mitarbeiter!$A$6:$A$205,0)),"Pers.-Nr. unbekannt",IF(D48="","Von fehlt",IF(AND(C48&lt;&gt;Einstellungen!$C$4,C48&lt;&gt;Einstellungen!$C$5),"Objekt fehlt",IF(J48&lt;D48,"Bis vor Von",IF(D48&lt;INDEX(Mitarbeiter!$C$6:$C$205,MATCH($A48,Mitarbeiter!$A$6:$A$205,0)),"vor Eintritt",IF(AND(INDEX(Mitarbeiter!$D$6:$D$205,MATCH($A48,Mitarbeiter!$A$6:$A$205,0))&lt;&gt;"",D48&gt;INDEX(Mitarbeiter!$D$6:$D$205,MATCH($A48,Mitarbeiter!$A$6:$A$205,0))),"nach Austritt",IF(E48="","offen","ok"))))))))</f>
        <v/>
      </c>
      <c r="J48" s="47">
        <f>IF(A48="","",IF(E48="",Einstellungen!$C$9,E48))</f>
        <v/>
      </c>
      <c r="K48" s="48">
        <f>IF(A48="",0,IFERROR(INDEX(Mitarbeiter!$F$6:$F$205,MATCH($A48,Mitarbeiter!$A$6:$A$205,0)),0))</f>
        <v/>
      </c>
      <c r="L48" s="49">
        <f>IF(OR(A48="",D48=""),0,MAX(0,NETWORKDAYS(MAX(D48,DATE(Einstellungen!$C$3,1,1)),MIN(J48,DATE(Einstellungen!$C$3,2,0)),Einstellungen!$F$13:$F$32)))</f>
        <v/>
      </c>
      <c r="M48" s="49">
        <f>IF(OR(A48="",D48=""),0,MAX(0,NETWORKDAYS(MAX(D48,DATE(Einstellungen!$C$3,2,1)),MIN(J48,DATE(Einstellungen!$C$3,3,0)),Einstellungen!$F$13:$F$32)))</f>
        <v/>
      </c>
      <c r="N48" s="49">
        <f>IF(OR(A48="",D48=""),0,MAX(0,NETWORKDAYS(MAX(D48,DATE(Einstellungen!$C$3,3,1)),MIN(J48,DATE(Einstellungen!$C$3,4,0)),Einstellungen!$F$13:$F$32)))</f>
        <v/>
      </c>
      <c r="O48" s="49">
        <f>IF(OR(A48="",D48=""),0,MAX(0,NETWORKDAYS(MAX(D48,DATE(Einstellungen!$C$3,4,1)),MIN(J48,DATE(Einstellungen!$C$3,5,0)),Einstellungen!$F$13:$F$32)))</f>
        <v/>
      </c>
      <c r="P48" s="49">
        <f>IF(OR(A48="",D48=""),0,MAX(0,NETWORKDAYS(MAX(D48,DATE(Einstellungen!$C$3,5,1)),MIN(J48,DATE(Einstellungen!$C$3,6,0)),Einstellungen!$F$13:$F$32)))</f>
        <v/>
      </c>
      <c r="Q48" s="49">
        <f>IF(OR(A48="",D48=""),0,MAX(0,NETWORKDAYS(MAX(D48,DATE(Einstellungen!$C$3,6,1)),MIN(J48,DATE(Einstellungen!$C$3,7,0)),Einstellungen!$F$13:$F$32)))</f>
        <v/>
      </c>
      <c r="R48" s="49">
        <f>IF(OR(A48="",D48=""),0,MAX(0,NETWORKDAYS(MAX(D48,DATE(Einstellungen!$C$3,7,1)),MIN(J48,DATE(Einstellungen!$C$3,8,0)),Einstellungen!$F$13:$F$32)))</f>
        <v/>
      </c>
      <c r="S48" s="49">
        <f>IF(OR(A48="",D48=""),0,MAX(0,NETWORKDAYS(MAX(D48,DATE(Einstellungen!$C$3,8,1)),MIN(J48,DATE(Einstellungen!$C$3,9,0)),Einstellungen!$F$13:$F$32)))</f>
        <v/>
      </c>
      <c r="T48" s="49">
        <f>IF(OR(A48="",D48=""),0,MAX(0,NETWORKDAYS(MAX(D48,DATE(Einstellungen!$C$3,9,1)),MIN(J48,DATE(Einstellungen!$C$3,10,0)),Einstellungen!$F$13:$F$32)))</f>
        <v/>
      </c>
      <c r="U48" s="49">
        <f>IF(OR(A48="",D48=""),0,MAX(0,NETWORKDAYS(MAX(D48,DATE(Einstellungen!$C$3,10,1)),MIN(J48,DATE(Einstellungen!$C$3,11,0)),Einstellungen!$F$13:$F$32)))</f>
        <v/>
      </c>
      <c r="V48" s="49">
        <f>IF(OR(A48="",D48=""),0,MAX(0,NETWORKDAYS(MAX(D48,DATE(Einstellungen!$C$3,11,1)),MIN(J48,DATE(Einstellungen!$C$3,12,0)),Einstellungen!$F$13:$F$32)))</f>
        <v/>
      </c>
      <c r="W48" s="49">
        <f>IF(OR(A48="",D48=""),0,MAX(0,NETWORKDAYS(MAX(D48,DATE(Einstellungen!$C$3,12,1)),MIN(J48,DATE(Einstellungen!$C$3,13,0)),Einstellungen!$F$13:$F$32)))</f>
        <v/>
      </c>
      <c r="X48" s="50">
        <f>L48*K48</f>
        <v/>
      </c>
      <c r="Y48" s="50">
        <f>M48*K48</f>
        <v/>
      </c>
      <c r="Z48" s="50">
        <f>N48*K48</f>
        <v/>
      </c>
      <c r="AA48" s="50">
        <f>O48*K48</f>
        <v/>
      </c>
      <c r="AB48" s="50">
        <f>P48*K48</f>
        <v/>
      </c>
      <c r="AC48" s="50">
        <f>Q48*K48</f>
        <v/>
      </c>
      <c r="AD48" s="50">
        <f>R48*K48</f>
        <v/>
      </c>
      <c r="AE48" s="50">
        <f>S48*K48</f>
        <v/>
      </c>
      <c r="AF48" s="50">
        <f>T48*K48</f>
        <v/>
      </c>
      <c r="AG48" s="50">
        <f>U48*K48</f>
        <v/>
      </c>
      <c r="AH48" s="50">
        <f>V48*K48</f>
        <v/>
      </c>
      <c r="AI48" s="50">
        <f>W48*K48</f>
        <v/>
      </c>
    </row>
    <row r="49">
      <c r="A49" s="25" t="n">
        <v>1007</v>
      </c>
      <c r="B49" s="45">
        <f>IF(A49="","",IFERROR(INDEX(Mitarbeiter!$B$6:$B$205,MATCH($A49,Mitarbeiter!$A$6:$A$205,0)),"?"))</f>
        <v/>
      </c>
      <c r="C49" s="46" t="inlineStr">
        <is>
          <t>Objekt 1</t>
        </is>
      </c>
      <c r="D49" s="26" t="n">
        <v>46108</v>
      </c>
      <c r="E49" s="26" t="n">
        <v>46121</v>
      </c>
      <c r="F49" s="24">
        <f>IF(A49="","",SUM(L49:W49))</f>
        <v/>
      </c>
      <c r="G49" s="36">
        <f>IF(A49="","",SUM(X49:AI49))</f>
        <v/>
      </c>
      <c r="H49" s="8">
        <f>IF(A49="","",IF(ISNA(MATCH(A49,Mitarbeiter!$A$6:$A$205,0)),"Pers.-Nr. unbekannt",IF(D49="","Von fehlt",IF(AND(C49&lt;&gt;Einstellungen!$C$4,C49&lt;&gt;Einstellungen!$C$5),"Objekt fehlt",IF(J49&lt;D49,"Bis vor Von",IF(D49&lt;INDEX(Mitarbeiter!$C$6:$C$205,MATCH($A49,Mitarbeiter!$A$6:$A$205,0)),"vor Eintritt",IF(AND(INDEX(Mitarbeiter!$D$6:$D$205,MATCH($A49,Mitarbeiter!$A$6:$A$205,0))&lt;&gt;"",D49&gt;INDEX(Mitarbeiter!$D$6:$D$205,MATCH($A49,Mitarbeiter!$A$6:$A$205,0))),"nach Austritt",IF(E49="","offen","ok"))))))))</f>
        <v/>
      </c>
      <c r="J49" s="47">
        <f>IF(A49="","",IF(E49="",Einstellungen!$C$9,E49))</f>
        <v/>
      </c>
      <c r="K49" s="48">
        <f>IF(A49="",0,IFERROR(INDEX(Mitarbeiter!$F$6:$F$205,MATCH($A49,Mitarbeiter!$A$6:$A$205,0)),0))</f>
        <v/>
      </c>
      <c r="L49" s="49">
        <f>IF(OR(A49="",D49=""),0,MAX(0,NETWORKDAYS(MAX(D49,DATE(Einstellungen!$C$3,1,1)),MIN(J49,DATE(Einstellungen!$C$3,2,0)),Einstellungen!$F$13:$F$32)))</f>
        <v/>
      </c>
      <c r="M49" s="49">
        <f>IF(OR(A49="",D49=""),0,MAX(0,NETWORKDAYS(MAX(D49,DATE(Einstellungen!$C$3,2,1)),MIN(J49,DATE(Einstellungen!$C$3,3,0)),Einstellungen!$F$13:$F$32)))</f>
        <v/>
      </c>
      <c r="N49" s="49">
        <f>IF(OR(A49="",D49=""),0,MAX(0,NETWORKDAYS(MAX(D49,DATE(Einstellungen!$C$3,3,1)),MIN(J49,DATE(Einstellungen!$C$3,4,0)),Einstellungen!$F$13:$F$32)))</f>
        <v/>
      </c>
      <c r="O49" s="49">
        <f>IF(OR(A49="",D49=""),0,MAX(0,NETWORKDAYS(MAX(D49,DATE(Einstellungen!$C$3,4,1)),MIN(J49,DATE(Einstellungen!$C$3,5,0)),Einstellungen!$F$13:$F$32)))</f>
        <v/>
      </c>
      <c r="P49" s="49">
        <f>IF(OR(A49="",D49=""),0,MAX(0,NETWORKDAYS(MAX(D49,DATE(Einstellungen!$C$3,5,1)),MIN(J49,DATE(Einstellungen!$C$3,6,0)),Einstellungen!$F$13:$F$32)))</f>
        <v/>
      </c>
      <c r="Q49" s="49">
        <f>IF(OR(A49="",D49=""),0,MAX(0,NETWORKDAYS(MAX(D49,DATE(Einstellungen!$C$3,6,1)),MIN(J49,DATE(Einstellungen!$C$3,7,0)),Einstellungen!$F$13:$F$32)))</f>
        <v/>
      </c>
      <c r="R49" s="49">
        <f>IF(OR(A49="",D49=""),0,MAX(0,NETWORKDAYS(MAX(D49,DATE(Einstellungen!$C$3,7,1)),MIN(J49,DATE(Einstellungen!$C$3,8,0)),Einstellungen!$F$13:$F$32)))</f>
        <v/>
      </c>
      <c r="S49" s="49">
        <f>IF(OR(A49="",D49=""),0,MAX(0,NETWORKDAYS(MAX(D49,DATE(Einstellungen!$C$3,8,1)),MIN(J49,DATE(Einstellungen!$C$3,9,0)),Einstellungen!$F$13:$F$32)))</f>
        <v/>
      </c>
      <c r="T49" s="49">
        <f>IF(OR(A49="",D49=""),0,MAX(0,NETWORKDAYS(MAX(D49,DATE(Einstellungen!$C$3,9,1)),MIN(J49,DATE(Einstellungen!$C$3,10,0)),Einstellungen!$F$13:$F$32)))</f>
        <v/>
      </c>
      <c r="U49" s="49">
        <f>IF(OR(A49="",D49=""),0,MAX(0,NETWORKDAYS(MAX(D49,DATE(Einstellungen!$C$3,10,1)),MIN(J49,DATE(Einstellungen!$C$3,11,0)),Einstellungen!$F$13:$F$32)))</f>
        <v/>
      </c>
      <c r="V49" s="49">
        <f>IF(OR(A49="",D49=""),0,MAX(0,NETWORKDAYS(MAX(D49,DATE(Einstellungen!$C$3,11,1)),MIN(J49,DATE(Einstellungen!$C$3,12,0)),Einstellungen!$F$13:$F$32)))</f>
        <v/>
      </c>
      <c r="W49" s="49">
        <f>IF(OR(A49="",D49=""),0,MAX(0,NETWORKDAYS(MAX(D49,DATE(Einstellungen!$C$3,12,1)),MIN(J49,DATE(Einstellungen!$C$3,13,0)),Einstellungen!$F$13:$F$32)))</f>
        <v/>
      </c>
      <c r="X49" s="50">
        <f>L49*K49</f>
        <v/>
      </c>
      <c r="Y49" s="50">
        <f>M49*K49</f>
        <v/>
      </c>
      <c r="Z49" s="50">
        <f>N49*K49</f>
        <v/>
      </c>
      <c r="AA49" s="50">
        <f>O49*K49</f>
        <v/>
      </c>
      <c r="AB49" s="50">
        <f>P49*K49</f>
        <v/>
      </c>
      <c r="AC49" s="50">
        <f>Q49*K49</f>
        <v/>
      </c>
      <c r="AD49" s="50">
        <f>R49*K49</f>
        <v/>
      </c>
      <c r="AE49" s="50">
        <f>S49*K49</f>
        <v/>
      </c>
      <c r="AF49" s="50">
        <f>T49*K49</f>
        <v/>
      </c>
      <c r="AG49" s="50">
        <f>U49*K49</f>
        <v/>
      </c>
      <c r="AH49" s="50">
        <f>V49*K49</f>
        <v/>
      </c>
      <c r="AI49" s="50">
        <f>W49*K49</f>
        <v/>
      </c>
    </row>
    <row r="50">
      <c r="A50" s="25" t="n">
        <v>1010</v>
      </c>
      <c r="B50" s="45">
        <f>IF(A50="","",IFERROR(INDEX(Mitarbeiter!$B$6:$B$205,MATCH($A50,Mitarbeiter!$A$6:$A$205,0)),"?"))</f>
        <v/>
      </c>
      <c r="C50" s="46" t="inlineStr">
        <is>
          <t>Objekt 2</t>
        </is>
      </c>
      <c r="D50" s="26" t="n">
        <v>46108</v>
      </c>
      <c r="E50" s="26" t="n">
        <v>46110</v>
      </c>
      <c r="F50" s="24">
        <f>IF(A50="","",SUM(L50:W50))</f>
        <v/>
      </c>
      <c r="G50" s="36">
        <f>IF(A50="","",SUM(X50:AI50))</f>
        <v/>
      </c>
      <c r="H50" s="8">
        <f>IF(A50="","",IF(ISNA(MATCH(A50,Mitarbeiter!$A$6:$A$205,0)),"Pers.-Nr. unbekannt",IF(D50="","Von fehlt",IF(AND(C50&lt;&gt;Einstellungen!$C$4,C50&lt;&gt;Einstellungen!$C$5),"Objekt fehlt",IF(J50&lt;D50,"Bis vor Von",IF(D50&lt;INDEX(Mitarbeiter!$C$6:$C$205,MATCH($A50,Mitarbeiter!$A$6:$A$205,0)),"vor Eintritt",IF(AND(INDEX(Mitarbeiter!$D$6:$D$205,MATCH($A50,Mitarbeiter!$A$6:$A$205,0))&lt;&gt;"",D50&gt;INDEX(Mitarbeiter!$D$6:$D$205,MATCH($A50,Mitarbeiter!$A$6:$A$205,0))),"nach Austritt",IF(E50="","offen","ok"))))))))</f>
        <v/>
      </c>
      <c r="J50" s="47">
        <f>IF(A50="","",IF(E50="",Einstellungen!$C$9,E50))</f>
        <v/>
      </c>
      <c r="K50" s="48">
        <f>IF(A50="",0,IFERROR(INDEX(Mitarbeiter!$F$6:$F$205,MATCH($A50,Mitarbeiter!$A$6:$A$205,0)),0))</f>
        <v/>
      </c>
      <c r="L50" s="49">
        <f>IF(OR(A50="",D50=""),0,MAX(0,NETWORKDAYS(MAX(D50,DATE(Einstellungen!$C$3,1,1)),MIN(J50,DATE(Einstellungen!$C$3,2,0)),Einstellungen!$F$13:$F$32)))</f>
        <v/>
      </c>
      <c r="M50" s="49">
        <f>IF(OR(A50="",D50=""),0,MAX(0,NETWORKDAYS(MAX(D50,DATE(Einstellungen!$C$3,2,1)),MIN(J50,DATE(Einstellungen!$C$3,3,0)),Einstellungen!$F$13:$F$32)))</f>
        <v/>
      </c>
      <c r="N50" s="49">
        <f>IF(OR(A50="",D50=""),0,MAX(0,NETWORKDAYS(MAX(D50,DATE(Einstellungen!$C$3,3,1)),MIN(J50,DATE(Einstellungen!$C$3,4,0)),Einstellungen!$F$13:$F$32)))</f>
        <v/>
      </c>
      <c r="O50" s="49">
        <f>IF(OR(A50="",D50=""),0,MAX(0,NETWORKDAYS(MAX(D50,DATE(Einstellungen!$C$3,4,1)),MIN(J50,DATE(Einstellungen!$C$3,5,0)),Einstellungen!$F$13:$F$32)))</f>
        <v/>
      </c>
      <c r="P50" s="49">
        <f>IF(OR(A50="",D50=""),0,MAX(0,NETWORKDAYS(MAX(D50,DATE(Einstellungen!$C$3,5,1)),MIN(J50,DATE(Einstellungen!$C$3,6,0)),Einstellungen!$F$13:$F$32)))</f>
        <v/>
      </c>
      <c r="Q50" s="49">
        <f>IF(OR(A50="",D50=""),0,MAX(0,NETWORKDAYS(MAX(D50,DATE(Einstellungen!$C$3,6,1)),MIN(J50,DATE(Einstellungen!$C$3,7,0)),Einstellungen!$F$13:$F$32)))</f>
        <v/>
      </c>
      <c r="R50" s="49">
        <f>IF(OR(A50="",D50=""),0,MAX(0,NETWORKDAYS(MAX(D50,DATE(Einstellungen!$C$3,7,1)),MIN(J50,DATE(Einstellungen!$C$3,8,0)),Einstellungen!$F$13:$F$32)))</f>
        <v/>
      </c>
      <c r="S50" s="49">
        <f>IF(OR(A50="",D50=""),0,MAX(0,NETWORKDAYS(MAX(D50,DATE(Einstellungen!$C$3,8,1)),MIN(J50,DATE(Einstellungen!$C$3,9,0)),Einstellungen!$F$13:$F$32)))</f>
        <v/>
      </c>
      <c r="T50" s="49">
        <f>IF(OR(A50="",D50=""),0,MAX(0,NETWORKDAYS(MAX(D50,DATE(Einstellungen!$C$3,9,1)),MIN(J50,DATE(Einstellungen!$C$3,10,0)),Einstellungen!$F$13:$F$32)))</f>
        <v/>
      </c>
      <c r="U50" s="49">
        <f>IF(OR(A50="",D50=""),0,MAX(0,NETWORKDAYS(MAX(D50,DATE(Einstellungen!$C$3,10,1)),MIN(J50,DATE(Einstellungen!$C$3,11,0)),Einstellungen!$F$13:$F$32)))</f>
        <v/>
      </c>
      <c r="V50" s="49">
        <f>IF(OR(A50="",D50=""),0,MAX(0,NETWORKDAYS(MAX(D50,DATE(Einstellungen!$C$3,11,1)),MIN(J50,DATE(Einstellungen!$C$3,12,0)),Einstellungen!$F$13:$F$32)))</f>
        <v/>
      </c>
      <c r="W50" s="49">
        <f>IF(OR(A50="",D50=""),0,MAX(0,NETWORKDAYS(MAX(D50,DATE(Einstellungen!$C$3,12,1)),MIN(J50,DATE(Einstellungen!$C$3,13,0)),Einstellungen!$F$13:$F$32)))</f>
        <v/>
      </c>
      <c r="X50" s="50">
        <f>L50*K50</f>
        <v/>
      </c>
      <c r="Y50" s="50">
        <f>M50*K50</f>
        <v/>
      </c>
      <c r="Z50" s="50">
        <f>N50*K50</f>
        <v/>
      </c>
      <c r="AA50" s="50">
        <f>O50*K50</f>
        <v/>
      </c>
      <c r="AB50" s="50">
        <f>P50*K50</f>
        <v/>
      </c>
      <c r="AC50" s="50">
        <f>Q50*K50</f>
        <v/>
      </c>
      <c r="AD50" s="50">
        <f>R50*K50</f>
        <v/>
      </c>
      <c r="AE50" s="50">
        <f>S50*K50</f>
        <v/>
      </c>
      <c r="AF50" s="50">
        <f>T50*K50</f>
        <v/>
      </c>
      <c r="AG50" s="50">
        <f>U50*K50</f>
        <v/>
      </c>
      <c r="AH50" s="50">
        <f>V50*K50</f>
        <v/>
      </c>
      <c r="AI50" s="50">
        <f>W50*K50</f>
        <v/>
      </c>
    </row>
    <row r="51">
      <c r="A51" s="25" t="n">
        <v>1040</v>
      </c>
      <c r="B51" s="45">
        <f>IF(A51="","",IFERROR(INDEX(Mitarbeiter!$B$6:$B$205,MATCH($A51,Mitarbeiter!$A$6:$A$205,0)),"?"))</f>
        <v/>
      </c>
      <c r="C51" s="46" t="inlineStr">
        <is>
          <t>Objekt 2</t>
        </is>
      </c>
      <c r="D51" s="26" t="n">
        <v>46108</v>
      </c>
      <c r="E51" s="26" t="n">
        <v>46121</v>
      </c>
      <c r="F51" s="24">
        <f>IF(A51="","",SUM(L51:W51))</f>
        <v/>
      </c>
      <c r="G51" s="36">
        <f>IF(A51="","",SUM(X51:AI51))</f>
        <v/>
      </c>
      <c r="H51" s="8">
        <f>IF(A51="","",IF(ISNA(MATCH(A51,Mitarbeiter!$A$6:$A$205,0)),"Pers.-Nr. unbekannt",IF(D51="","Von fehlt",IF(AND(C51&lt;&gt;Einstellungen!$C$4,C51&lt;&gt;Einstellungen!$C$5),"Objekt fehlt",IF(J51&lt;D51,"Bis vor Von",IF(D51&lt;INDEX(Mitarbeiter!$C$6:$C$205,MATCH($A51,Mitarbeiter!$A$6:$A$205,0)),"vor Eintritt",IF(AND(INDEX(Mitarbeiter!$D$6:$D$205,MATCH($A51,Mitarbeiter!$A$6:$A$205,0))&lt;&gt;"",D51&gt;INDEX(Mitarbeiter!$D$6:$D$205,MATCH($A51,Mitarbeiter!$A$6:$A$205,0))),"nach Austritt",IF(E51="","offen","ok"))))))))</f>
        <v/>
      </c>
      <c r="J51" s="47">
        <f>IF(A51="","",IF(E51="",Einstellungen!$C$9,E51))</f>
        <v/>
      </c>
      <c r="K51" s="48">
        <f>IF(A51="",0,IFERROR(INDEX(Mitarbeiter!$F$6:$F$205,MATCH($A51,Mitarbeiter!$A$6:$A$205,0)),0))</f>
        <v/>
      </c>
      <c r="L51" s="49">
        <f>IF(OR(A51="",D51=""),0,MAX(0,NETWORKDAYS(MAX(D51,DATE(Einstellungen!$C$3,1,1)),MIN(J51,DATE(Einstellungen!$C$3,2,0)),Einstellungen!$F$13:$F$32)))</f>
        <v/>
      </c>
      <c r="M51" s="49">
        <f>IF(OR(A51="",D51=""),0,MAX(0,NETWORKDAYS(MAX(D51,DATE(Einstellungen!$C$3,2,1)),MIN(J51,DATE(Einstellungen!$C$3,3,0)),Einstellungen!$F$13:$F$32)))</f>
        <v/>
      </c>
      <c r="N51" s="49">
        <f>IF(OR(A51="",D51=""),0,MAX(0,NETWORKDAYS(MAX(D51,DATE(Einstellungen!$C$3,3,1)),MIN(J51,DATE(Einstellungen!$C$3,4,0)),Einstellungen!$F$13:$F$32)))</f>
        <v/>
      </c>
      <c r="O51" s="49">
        <f>IF(OR(A51="",D51=""),0,MAX(0,NETWORKDAYS(MAX(D51,DATE(Einstellungen!$C$3,4,1)),MIN(J51,DATE(Einstellungen!$C$3,5,0)),Einstellungen!$F$13:$F$32)))</f>
        <v/>
      </c>
      <c r="P51" s="49">
        <f>IF(OR(A51="",D51=""),0,MAX(0,NETWORKDAYS(MAX(D51,DATE(Einstellungen!$C$3,5,1)),MIN(J51,DATE(Einstellungen!$C$3,6,0)),Einstellungen!$F$13:$F$32)))</f>
        <v/>
      </c>
      <c r="Q51" s="49">
        <f>IF(OR(A51="",D51=""),0,MAX(0,NETWORKDAYS(MAX(D51,DATE(Einstellungen!$C$3,6,1)),MIN(J51,DATE(Einstellungen!$C$3,7,0)),Einstellungen!$F$13:$F$32)))</f>
        <v/>
      </c>
      <c r="R51" s="49">
        <f>IF(OR(A51="",D51=""),0,MAX(0,NETWORKDAYS(MAX(D51,DATE(Einstellungen!$C$3,7,1)),MIN(J51,DATE(Einstellungen!$C$3,8,0)),Einstellungen!$F$13:$F$32)))</f>
        <v/>
      </c>
      <c r="S51" s="49">
        <f>IF(OR(A51="",D51=""),0,MAX(0,NETWORKDAYS(MAX(D51,DATE(Einstellungen!$C$3,8,1)),MIN(J51,DATE(Einstellungen!$C$3,9,0)),Einstellungen!$F$13:$F$32)))</f>
        <v/>
      </c>
      <c r="T51" s="49">
        <f>IF(OR(A51="",D51=""),0,MAX(0,NETWORKDAYS(MAX(D51,DATE(Einstellungen!$C$3,9,1)),MIN(J51,DATE(Einstellungen!$C$3,10,0)),Einstellungen!$F$13:$F$32)))</f>
        <v/>
      </c>
      <c r="U51" s="49">
        <f>IF(OR(A51="",D51=""),0,MAX(0,NETWORKDAYS(MAX(D51,DATE(Einstellungen!$C$3,10,1)),MIN(J51,DATE(Einstellungen!$C$3,11,0)),Einstellungen!$F$13:$F$32)))</f>
        <v/>
      </c>
      <c r="V51" s="49">
        <f>IF(OR(A51="",D51=""),0,MAX(0,NETWORKDAYS(MAX(D51,DATE(Einstellungen!$C$3,11,1)),MIN(J51,DATE(Einstellungen!$C$3,12,0)),Einstellungen!$F$13:$F$32)))</f>
        <v/>
      </c>
      <c r="W51" s="49">
        <f>IF(OR(A51="",D51=""),0,MAX(0,NETWORKDAYS(MAX(D51,DATE(Einstellungen!$C$3,12,1)),MIN(J51,DATE(Einstellungen!$C$3,13,0)),Einstellungen!$F$13:$F$32)))</f>
        <v/>
      </c>
      <c r="X51" s="50">
        <f>L51*K51</f>
        <v/>
      </c>
      <c r="Y51" s="50">
        <f>M51*K51</f>
        <v/>
      </c>
      <c r="Z51" s="50">
        <f>N51*K51</f>
        <v/>
      </c>
      <c r="AA51" s="50">
        <f>O51*K51</f>
        <v/>
      </c>
      <c r="AB51" s="50">
        <f>P51*K51</f>
        <v/>
      </c>
      <c r="AC51" s="50">
        <f>Q51*K51</f>
        <v/>
      </c>
      <c r="AD51" s="50">
        <f>R51*K51</f>
        <v/>
      </c>
      <c r="AE51" s="50">
        <f>S51*K51</f>
        <v/>
      </c>
      <c r="AF51" s="50">
        <f>T51*K51</f>
        <v/>
      </c>
      <c r="AG51" s="50">
        <f>U51*K51</f>
        <v/>
      </c>
      <c r="AH51" s="50">
        <f>V51*K51</f>
        <v/>
      </c>
      <c r="AI51" s="50">
        <f>W51*K51</f>
        <v/>
      </c>
    </row>
    <row r="52">
      <c r="A52" s="25" t="n">
        <v>1040</v>
      </c>
      <c r="B52" s="45">
        <f>IF(A52="","",IFERROR(INDEX(Mitarbeiter!$B$6:$B$205,MATCH($A52,Mitarbeiter!$A$6:$A$205,0)),"?"))</f>
        <v/>
      </c>
      <c r="C52" s="46" t="inlineStr">
        <is>
          <t>Objekt 1</t>
        </is>
      </c>
      <c r="D52" s="26" t="n">
        <v>46114</v>
      </c>
      <c r="E52" s="26" t="n">
        <v>46115</v>
      </c>
      <c r="F52" s="24">
        <f>IF(A52="","",SUM(L52:W52))</f>
        <v/>
      </c>
      <c r="G52" s="36">
        <f>IF(A52="","",SUM(X52:AI52))</f>
        <v/>
      </c>
      <c r="H52" s="8">
        <f>IF(A52="","",IF(ISNA(MATCH(A52,Mitarbeiter!$A$6:$A$205,0)),"Pers.-Nr. unbekannt",IF(D52="","Von fehlt",IF(AND(C52&lt;&gt;Einstellungen!$C$4,C52&lt;&gt;Einstellungen!$C$5),"Objekt fehlt",IF(J52&lt;D52,"Bis vor Von",IF(D52&lt;INDEX(Mitarbeiter!$C$6:$C$205,MATCH($A52,Mitarbeiter!$A$6:$A$205,0)),"vor Eintritt",IF(AND(INDEX(Mitarbeiter!$D$6:$D$205,MATCH($A52,Mitarbeiter!$A$6:$A$205,0))&lt;&gt;"",D52&gt;INDEX(Mitarbeiter!$D$6:$D$205,MATCH($A52,Mitarbeiter!$A$6:$A$205,0))),"nach Austritt",IF(E52="","offen","ok"))))))))</f>
        <v/>
      </c>
      <c r="J52" s="47">
        <f>IF(A52="","",IF(E52="",Einstellungen!$C$9,E52))</f>
        <v/>
      </c>
      <c r="K52" s="48">
        <f>IF(A52="",0,IFERROR(INDEX(Mitarbeiter!$F$6:$F$205,MATCH($A52,Mitarbeiter!$A$6:$A$205,0)),0))</f>
        <v/>
      </c>
      <c r="L52" s="49">
        <f>IF(OR(A52="",D52=""),0,MAX(0,NETWORKDAYS(MAX(D52,DATE(Einstellungen!$C$3,1,1)),MIN(J52,DATE(Einstellungen!$C$3,2,0)),Einstellungen!$F$13:$F$32)))</f>
        <v/>
      </c>
      <c r="M52" s="49">
        <f>IF(OR(A52="",D52=""),0,MAX(0,NETWORKDAYS(MAX(D52,DATE(Einstellungen!$C$3,2,1)),MIN(J52,DATE(Einstellungen!$C$3,3,0)),Einstellungen!$F$13:$F$32)))</f>
        <v/>
      </c>
      <c r="N52" s="49">
        <f>IF(OR(A52="",D52=""),0,MAX(0,NETWORKDAYS(MAX(D52,DATE(Einstellungen!$C$3,3,1)),MIN(J52,DATE(Einstellungen!$C$3,4,0)),Einstellungen!$F$13:$F$32)))</f>
        <v/>
      </c>
      <c r="O52" s="49">
        <f>IF(OR(A52="",D52=""),0,MAX(0,NETWORKDAYS(MAX(D52,DATE(Einstellungen!$C$3,4,1)),MIN(J52,DATE(Einstellungen!$C$3,5,0)),Einstellungen!$F$13:$F$32)))</f>
        <v/>
      </c>
      <c r="P52" s="49">
        <f>IF(OR(A52="",D52=""),0,MAX(0,NETWORKDAYS(MAX(D52,DATE(Einstellungen!$C$3,5,1)),MIN(J52,DATE(Einstellungen!$C$3,6,0)),Einstellungen!$F$13:$F$32)))</f>
        <v/>
      </c>
      <c r="Q52" s="49">
        <f>IF(OR(A52="",D52=""),0,MAX(0,NETWORKDAYS(MAX(D52,DATE(Einstellungen!$C$3,6,1)),MIN(J52,DATE(Einstellungen!$C$3,7,0)),Einstellungen!$F$13:$F$32)))</f>
        <v/>
      </c>
      <c r="R52" s="49">
        <f>IF(OR(A52="",D52=""),0,MAX(0,NETWORKDAYS(MAX(D52,DATE(Einstellungen!$C$3,7,1)),MIN(J52,DATE(Einstellungen!$C$3,8,0)),Einstellungen!$F$13:$F$32)))</f>
        <v/>
      </c>
      <c r="S52" s="49">
        <f>IF(OR(A52="",D52=""),0,MAX(0,NETWORKDAYS(MAX(D52,DATE(Einstellungen!$C$3,8,1)),MIN(J52,DATE(Einstellungen!$C$3,9,0)),Einstellungen!$F$13:$F$32)))</f>
        <v/>
      </c>
      <c r="T52" s="49">
        <f>IF(OR(A52="",D52=""),0,MAX(0,NETWORKDAYS(MAX(D52,DATE(Einstellungen!$C$3,9,1)),MIN(J52,DATE(Einstellungen!$C$3,10,0)),Einstellungen!$F$13:$F$32)))</f>
        <v/>
      </c>
      <c r="U52" s="49">
        <f>IF(OR(A52="",D52=""),0,MAX(0,NETWORKDAYS(MAX(D52,DATE(Einstellungen!$C$3,10,1)),MIN(J52,DATE(Einstellungen!$C$3,11,0)),Einstellungen!$F$13:$F$32)))</f>
        <v/>
      </c>
      <c r="V52" s="49">
        <f>IF(OR(A52="",D52=""),0,MAX(0,NETWORKDAYS(MAX(D52,DATE(Einstellungen!$C$3,11,1)),MIN(J52,DATE(Einstellungen!$C$3,12,0)),Einstellungen!$F$13:$F$32)))</f>
        <v/>
      </c>
      <c r="W52" s="49">
        <f>IF(OR(A52="",D52=""),0,MAX(0,NETWORKDAYS(MAX(D52,DATE(Einstellungen!$C$3,12,1)),MIN(J52,DATE(Einstellungen!$C$3,13,0)),Einstellungen!$F$13:$F$32)))</f>
        <v/>
      </c>
      <c r="X52" s="50">
        <f>L52*K52</f>
        <v/>
      </c>
      <c r="Y52" s="50">
        <f>M52*K52</f>
        <v/>
      </c>
      <c r="Z52" s="50">
        <f>N52*K52</f>
        <v/>
      </c>
      <c r="AA52" s="50">
        <f>O52*K52</f>
        <v/>
      </c>
      <c r="AB52" s="50">
        <f>P52*K52</f>
        <v/>
      </c>
      <c r="AC52" s="50">
        <f>Q52*K52</f>
        <v/>
      </c>
      <c r="AD52" s="50">
        <f>R52*K52</f>
        <v/>
      </c>
      <c r="AE52" s="50">
        <f>S52*K52</f>
        <v/>
      </c>
      <c r="AF52" s="50">
        <f>T52*K52</f>
        <v/>
      </c>
      <c r="AG52" s="50">
        <f>U52*K52</f>
        <v/>
      </c>
      <c r="AH52" s="50">
        <f>V52*K52</f>
        <v/>
      </c>
      <c r="AI52" s="50">
        <f>W52*K52</f>
        <v/>
      </c>
    </row>
    <row r="53">
      <c r="A53" s="25" t="n">
        <v>1013</v>
      </c>
      <c r="B53" s="45">
        <f>IF(A53="","",IFERROR(INDEX(Mitarbeiter!$B$6:$B$205,MATCH($A53,Mitarbeiter!$A$6:$A$205,0)),"?"))</f>
        <v/>
      </c>
      <c r="C53" s="46" t="inlineStr">
        <is>
          <t>Objekt 1</t>
        </is>
      </c>
      <c r="D53" s="26" t="n">
        <v>46114</v>
      </c>
      <c r="E53" s="26" t="n">
        <v>46134</v>
      </c>
      <c r="F53" s="24">
        <f>IF(A53="","",SUM(L53:W53))</f>
        <v/>
      </c>
      <c r="G53" s="36">
        <f>IF(A53="","",SUM(X53:AI53))</f>
        <v/>
      </c>
      <c r="H53" s="8">
        <f>IF(A53="","",IF(ISNA(MATCH(A53,Mitarbeiter!$A$6:$A$205,0)),"Pers.-Nr. unbekannt",IF(D53="","Von fehlt",IF(AND(C53&lt;&gt;Einstellungen!$C$4,C53&lt;&gt;Einstellungen!$C$5),"Objekt fehlt",IF(J53&lt;D53,"Bis vor Von",IF(D53&lt;INDEX(Mitarbeiter!$C$6:$C$205,MATCH($A53,Mitarbeiter!$A$6:$A$205,0)),"vor Eintritt",IF(AND(INDEX(Mitarbeiter!$D$6:$D$205,MATCH($A53,Mitarbeiter!$A$6:$A$205,0))&lt;&gt;"",D53&gt;INDEX(Mitarbeiter!$D$6:$D$205,MATCH($A53,Mitarbeiter!$A$6:$A$205,0))),"nach Austritt",IF(E53="","offen","ok"))))))))</f>
        <v/>
      </c>
      <c r="J53" s="47">
        <f>IF(A53="","",IF(E53="",Einstellungen!$C$9,E53))</f>
        <v/>
      </c>
      <c r="K53" s="48">
        <f>IF(A53="",0,IFERROR(INDEX(Mitarbeiter!$F$6:$F$205,MATCH($A53,Mitarbeiter!$A$6:$A$205,0)),0))</f>
        <v/>
      </c>
      <c r="L53" s="49">
        <f>IF(OR(A53="",D53=""),0,MAX(0,NETWORKDAYS(MAX(D53,DATE(Einstellungen!$C$3,1,1)),MIN(J53,DATE(Einstellungen!$C$3,2,0)),Einstellungen!$F$13:$F$32)))</f>
        <v/>
      </c>
      <c r="M53" s="49">
        <f>IF(OR(A53="",D53=""),0,MAX(0,NETWORKDAYS(MAX(D53,DATE(Einstellungen!$C$3,2,1)),MIN(J53,DATE(Einstellungen!$C$3,3,0)),Einstellungen!$F$13:$F$32)))</f>
        <v/>
      </c>
      <c r="N53" s="49">
        <f>IF(OR(A53="",D53=""),0,MAX(0,NETWORKDAYS(MAX(D53,DATE(Einstellungen!$C$3,3,1)),MIN(J53,DATE(Einstellungen!$C$3,4,0)),Einstellungen!$F$13:$F$32)))</f>
        <v/>
      </c>
      <c r="O53" s="49">
        <f>IF(OR(A53="",D53=""),0,MAX(0,NETWORKDAYS(MAX(D53,DATE(Einstellungen!$C$3,4,1)),MIN(J53,DATE(Einstellungen!$C$3,5,0)),Einstellungen!$F$13:$F$32)))</f>
        <v/>
      </c>
      <c r="P53" s="49">
        <f>IF(OR(A53="",D53=""),0,MAX(0,NETWORKDAYS(MAX(D53,DATE(Einstellungen!$C$3,5,1)),MIN(J53,DATE(Einstellungen!$C$3,6,0)),Einstellungen!$F$13:$F$32)))</f>
        <v/>
      </c>
      <c r="Q53" s="49">
        <f>IF(OR(A53="",D53=""),0,MAX(0,NETWORKDAYS(MAX(D53,DATE(Einstellungen!$C$3,6,1)),MIN(J53,DATE(Einstellungen!$C$3,7,0)),Einstellungen!$F$13:$F$32)))</f>
        <v/>
      </c>
      <c r="R53" s="49">
        <f>IF(OR(A53="",D53=""),0,MAX(0,NETWORKDAYS(MAX(D53,DATE(Einstellungen!$C$3,7,1)),MIN(J53,DATE(Einstellungen!$C$3,8,0)),Einstellungen!$F$13:$F$32)))</f>
        <v/>
      </c>
      <c r="S53" s="49">
        <f>IF(OR(A53="",D53=""),0,MAX(0,NETWORKDAYS(MAX(D53,DATE(Einstellungen!$C$3,8,1)),MIN(J53,DATE(Einstellungen!$C$3,9,0)),Einstellungen!$F$13:$F$32)))</f>
        <v/>
      </c>
      <c r="T53" s="49">
        <f>IF(OR(A53="",D53=""),0,MAX(0,NETWORKDAYS(MAX(D53,DATE(Einstellungen!$C$3,9,1)),MIN(J53,DATE(Einstellungen!$C$3,10,0)),Einstellungen!$F$13:$F$32)))</f>
        <v/>
      </c>
      <c r="U53" s="49">
        <f>IF(OR(A53="",D53=""),0,MAX(0,NETWORKDAYS(MAX(D53,DATE(Einstellungen!$C$3,10,1)),MIN(J53,DATE(Einstellungen!$C$3,11,0)),Einstellungen!$F$13:$F$32)))</f>
        <v/>
      </c>
      <c r="V53" s="49">
        <f>IF(OR(A53="",D53=""),0,MAX(0,NETWORKDAYS(MAX(D53,DATE(Einstellungen!$C$3,11,1)),MIN(J53,DATE(Einstellungen!$C$3,12,0)),Einstellungen!$F$13:$F$32)))</f>
        <v/>
      </c>
      <c r="W53" s="49">
        <f>IF(OR(A53="",D53=""),0,MAX(0,NETWORKDAYS(MAX(D53,DATE(Einstellungen!$C$3,12,1)),MIN(J53,DATE(Einstellungen!$C$3,13,0)),Einstellungen!$F$13:$F$32)))</f>
        <v/>
      </c>
      <c r="X53" s="50">
        <f>L53*K53</f>
        <v/>
      </c>
      <c r="Y53" s="50">
        <f>M53*K53</f>
        <v/>
      </c>
      <c r="Z53" s="50">
        <f>N53*K53</f>
        <v/>
      </c>
      <c r="AA53" s="50">
        <f>O53*K53</f>
        <v/>
      </c>
      <c r="AB53" s="50">
        <f>P53*K53</f>
        <v/>
      </c>
      <c r="AC53" s="50">
        <f>Q53*K53</f>
        <v/>
      </c>
      <c r="AD53" s="50">
        <f>R53*K53</f>
        <v/>
      </c>
      <c r="AE53" s="50">
        <f>S53*K53</f>
        <v/>
      </c>
      <c r="AF53" s="50">
        <f>T53*K53</f>
        <v/>
      </c>
      <c r="AG53" s="50">
        <f>U53*K53</f>
        <v/>
      </c>
      <c r="AH53" s="50">
        <f>V53*K53</f>
        <v/>
      </c>
      <c r="AI53" s="50">
        <f>W53*K53</f>
        <v/>
      </c>
    </row>
    <row r="54">
      <c r="A54" s="25" t="n">
        <v>1018</v>
      </c>
      <c r="B54" s="45">
        <f>IF(A54="","",IFERROR(INDEX(Mitarbeiter!$B$6:$B$205,MATCH($A54,Mitarbeiter!$A$6:$A$205,0)),"?"))</f>
        <v/>
      </c>
      <c r="C54" s="46" t="inlineStr">
        <is>
          <t>Objekt 1</t>
        </is>
      </c>
      <c r="D54" s="26" t="n">
        <v>46115</v>
      </c>
      <c r="E54" s="26" t="n">
        <v>46115</v>
      </c>
      <c r="F54" s="24">
        <f>IF(A54="","",SUM(L54:W54))</f>
        <v/>
      </c>
      <c r="G54" s="36">
        <f>IF(A54="","",SUM(X54:AI54))</f>
        <v/>
      </c>
      <c r="H54" s="8">
        <f>IF(A54="","",IF(ISNA(MATCH(A54,Mitarbeiter!$A$6:$A$205,0)),"Pers.-Nr. unbekannt",IF(D54="","Von fehlt",IF(AND(C54&lt;&gt;Einstellungen!$C$4,C54&lt;&gt;Einstellungen!$C$5),"Objekt fehlt",IF(J54&lt;D54,"Bis vor Von",IF(D54&lt;INDEX(Mitarbeiter!$C$6:$C$205,MATCH($A54,Mitarbeiter!$A$6:$A$205,0)),"vor Eintritt",IF(AND(INDEX(Mitarbeiter!$D$6:$D$205,MATCH($A54,Mitarbeiter!$A$6:$A$205,0))&lt;&gt;"",D54&gt;INDEX(Mitarbeiter!$D$6:$D$205,MATCH($A54,Mitarbeiter!$A$6:$A$205,0))),"nach Austritt",IF(E54="","offen","ok"))))))))</f>
        <v/>
      </c>
      <c r="J54" s="47">
        <f>IF(A54="","",IF(E54="",Einstellungen!$C$9,E54))</f>
        <v/>
      </c>
      <c r="K54" s="48">
        <f>IF(A54="",0,IFERROR(INDEX(Mitarbeiter!$F$6:$F$205,MATCH($A54,Mitarbeiter!$A$6:$A$205,0)),0))</f>
        <v/>
      </c>
      <c r="L54" s="49">
        <f>IF(OR(A54="",D54=""),0,MAX(0,NETWORKDAYS(MAX(D54,DATE(Einstellungen!$C$3,1,1)),MIN(J54,DATE(Einstellungen!$C$3,2,0)),Einstellungen!$F$13:$F$32)))</f>
        <v/>
      </c>
      <c r="M54" s="49">
        <f>IF(OR(A54="",D54=""),0,MAX(0,NETWORKDAYS(MAX(D54,DATE(Einstellungen!$C$3,2,1)),MIN(J54,DATE(Einstellungen!$C$3,3,0)),Einstellungen!$F$13:$F$32)))</f>
        <v/>
      </c>
      <c r="N54" s="49">
        <f>IF(OR(A54="",D54=""),0,MAX(0,NETWORKDAYS(MAX(D54,DATE(Einstellungen!$C$3,3,1)),MIN(J54,DATE(Einstellungen!$C$3,4,0)),Einstellungen!$F$13:$F$32)))</f>
        <v/>
      </c>
      <c r="O54" s="49">
        <f>IF(OR(A54="",D54=""),0,MAX(0,NETWORKDAYS(MAX(D54,DATE(Einstellungen!$C$3,4,1)),MIN(J54,DATE(Einstellungen!$C$3,5,0)),Einstellungen!$F$13:$F$32)))</f>
        <v/>
      </c>
      <c r="P54" s="49">
        <f>IF(OR(A54="",D54=""),0,MAX(0,NETWORKDAYS(MAX(D54,DATE(Einstellungen!$C$3,5,1)),MIN(J54,DATE(Einstellungen!$C$3,6,0)),Einstellungen!$F$13:$F$32)))</f>
        <v/>
      </c>
      <c r="Q54" s="49">
        <f>IF(OR(A54="",D54=""),0,MAX(0,NETWORKDAYS(MAX(D54,DATE(Einstellungen!$C$3,6,1)),MIN(J54,DATE(Einstellungen!$C$3,7,0)),Einstellungen!$F$13:$F$32)))</f>
        <v/>
      </c>
      <c r="R54" s="49">
        <f>IF(OR(A54="",D54=""),0,MAX(0,NETWORKDAYS(MAX(D54,DATE(Einstellungen!$C$3,7,1)),MIN(J54,DATE(Einstellungen!$C$3,8,0)),Einstellungen!$F$13:$F$32)))</f>
        <v/>
      </c>
      <c r="S54" s="49">
        <f>IF(OR(A54="",D54=""),0,MAX(0,NETWORKDAYS(MAX(D54,DATE(Einstellungen!$C$3,8,1)),MIN(J54,DATE(Einstellungen!$C$3,9,0)),Einstellungen!$F$13:$F$32)))</f>
        <v/>
      </c>
      <c r="T54" s="49">
        <f>IF(OR(A54="",D54=""),0,MAX(0,NETWORKDAYS(MAX(D54,DATE(Einstellungen!$C$3,9,1)),MIN(J54,DATE(Einstellungen!$C$3,10,0)),Einstellungen!$F$13:$F$32)))</f>
        <v/>
      </c>
      <c r="U54" s="49">
        <f>IF(OR(A54="",D54=""),0,MAX(0,NETWORKDAYS(MAX(D54,DATE(Einstellungen!$C$3,10,1)),MIN(J54,DATE(Einstellungen!$C$3,11,0)),Einstellungen!$F$13:$F$32)))</f>
        <v/>
      </c>
      <c r="V54" s="49">
        <f>IF(OR(A54="",D54=""),0,MAX(0,NETWORKDAYS(MAX(D54,DATE(Einstellungen!$C$3,11,1)),MIN(J54,DATE(Einstellungen!$C$3,12,0)),Einstellungen!$F$13:$F$32)))</f>
        <v/>
      </c>
      <c r="W54" s="49">
        <f>IF(OR(A54="",D54=""),0,MAX(0,NETWORKDAYS(MAX(D54,DATE(Einstellungen!$C$3,12,1)),MIN(J54,DATE(Einstellungen!$C$3,13,0)),Einstellungen!$F$13:$F$32)))</f>
        <v/>
      </c>
      <c r="X54" s="50">
        <f>L54*K54</f>
        <v/>
      </c>
      <c r="Y54" s="50">
        <f>M54*K54</f>
        <v/>
      </c>
      <c r="Z54" s="50">
        <f>N54*K54</f>
        <v/>
      </c>
      <c r="AA54" s="50">
        <f>O54*K54</f>
        <v/>
      </c>
      <c r="AB54" s="50">
        <f>P54*K54</f>
        <v/>
      </c>
      <c r="AC54" s="50">
        <f>Q54*K54</f>
        <v/>
      </c>
      <c r="AD54" s="50">
        <f>R54*K54</f>
        <v/>
      </c>
      <c r="AE54" s="50">
        <f>S54*K54</f>
        <v/>
      </c>
      <c r="AF54" s="50">
        <f>T54*K54</f>
        <v/>
      </c>
      <c r="AG54" s="50">
        <f>U54*K54</f>
        <v/>
      </c>
      <c r="AH54" s="50">
        <f>V54*K54</f>
        <v/>
      </c>
      <c r="AI54" s="50">
        <f>W54*K54</f>
        <v/>
      </c>
    </row>
    <row r="55">
      <c r="A55" s="25" t="n">
        <v>1031</v>
      </c>
      <c r="B55" s="45">
        <f>IF(A55="","",IFERROR(INDEX(Mitarbeiter!$B$6:$B$205,MATCH($A55,Mitarbeiter!$A$6:$A$205,0)),"?"))</f>
        <v/>
      </c>
      <c r="C55" s="46" t="inlineStr">
        <is>
          <t>Objekt 1</t>
        </is>
      </c>
      <c r="D55" s="26" t="n">
        <v>46118</v>
      </c>
      <c r="E55" s="26" t="n">
        <v>46118</v>
      </c>
      <c r="F55" s="24">
        <f>IF(A55="","",SUM(L55:W55))</f>
        <v/>
      </c>
      <c r="G55" s="36">
        <f>IF(A55="","",SUM(X55:AI55))</f>
        <v/>
      </c>
      <c r="H55" s="8">
        <f>IF(A55="","",IF(ISNA(MATCH(A55,Mitarbeiter!$A$6:$A$205,0)),"Pers.-Nr. unbekannt",IF(D55="","Von fehlt",IF(AND(C55&lt;&gt;Einstellungen!$C$4,C55&lt;&gt;Einstellungen!$C$5),"Objekt fehlt",IF(J55&lt;D55,"Bis vor Von",IF(D55&lt;INDEX(Mitarbeiter!$C$6:$C$205,MATCH($A55,Mitarbeiter!$A$6:$A$205,0)),"vor Eintritt",IF(AND(INDEX(Mitarbeiter!$D$6:$D$205,MATCH($A55,Mitarbeiter!$A$6:$A$205,0))&lt;&gt;"",D55&gt;INDEX(Mitarbeiter!$D$6:$D$205,MATCH($A55,Mitarbeiter!$A$6:$A$205,0))),"nach Austritt",IF(E55="","offen","ok"))))))))</f>
        <v/>
      </c>
      <c r="J55" s="47">
        <f>IF(A55="","",IF(E55="",Einstellungen!$C$9,E55))</f>
        <v/>
      </c>
      <c r="K55" s="48">
        <f>IF(A55="",0,IFERROR(INDEX(Mitarbeiter!$F$6:$F$205,MATCH($A55,Mitarbeiter!$A$6:$A$205,0)),0))</f>
        <v/>
      </c>
      <c r="L55" s="49">
        <f>IF(OR(A55="",D55=""),0,MAX(0,NETWORKDAYS(MAX(D55,DATE(Einstellungen!$C$3,1,1)),MIN(J55,DATE(Einstellungen!$C$3,2,0)),Einstellungen!$F$13:$F$32)))</f>
        <v/>
      </c>
      <c r="M55" s="49">
        <f>IF(OR(A55="",D55=""),0,MAX(0,NETWORKDAYS(MAX(D55,DATE(Einstellungen!$C$3,2,1)),MIN(J55,DATE(Einstellungen!$C$3,3,0)),Einstellungen!$F$13:$F$32)))</f>
        <v/>
      </c>
      <c r="N55" s="49">
        <f>IF(OR(A55="",D55=""),0,MAX(0,NETWORKDAYS(MAX(D55,DATE(Einstellungen!$C$3,3,1)),MIN(J55,DATE(Einstellungen!$C$3,4,0)),Einstellungen!$F$13:$F$32)))</f>
        <v/>
      </c>
      <c r="O55" s="49">
        <f>IF(OR(A55="",D55=""),0,MAX(0,NETWORKDAYS(MAX(D55,DATE(Einstellungen!$C$3,4,1)),MIN(J55,DATE(Einstellungen!$C$3,5,0)),Einstellungen!$F$13:$F$32)))</f>
        <v/>
      </c>
      <c r="P55" s="49">
        <f>IF(OR(A55="",D55=""),0,MAX(0,NETWORKDAYS(MAX(D55,DATE(Einstellungen!$C$3,5,1)),MIN(J55,DATE(Einstellungen!$C$3,6,0)),Einstellungen!$F$13:$F$32)))</f>
        <v/>
      </c>
      <c r="Q55" s="49">
        <f>IF(OR(A55="",D55=""),0,MAX(0,NETWORKDAYS(MAX(D55,DATE(Einstellungen!$C$3,6,1)),MIN(J55,DATE(Einstellungen!$C$3,7,0)),Einstellungen!$F$13:$F$32)))</f>
        <v/>
      </c>
      <c r="R55" s="49">
        <f>IF(OR(A55="",D55=""),0,MAX(0,NETWORKDAYS(MAX(D55,DATE(Einstellungen!$C$3,7,1)),MIN(J55,DATE(Einstellungen!$C$3,8,0)),Einstellungen!$F$13:$F$32)))</f>
        <v/>
      </c>
      <c r="S55" s="49">
        <f>IF(OR(A55="",D55=""),0,MAX(0,NETWORKDAYS(MAX(D55,DATE(Einstellungen!$C$3,8,1)),MIN(J55,DATE(Einstellungen!$C$3,9,0)),Einstellungen!$F$13:$F$32)))</f>
        <v/>
      </c>
      <c r="T55" s="49">
        <f>IF(OR(A55="",D55=""),0,MAX(0,NETWORKDAYS(MAX(D55,DATE(Einstellungen!$C$3,9,1)),MIN(J55,DATE(Einstellungen!$C$3,10,0)),Einstellungen!$F$13:$F$32)))</f>
        <v/>
      </c>
      <c r="U55" s="49">
        <f>IF(OR(A55="",D55=""),0,MAX(0,NETWORKDAYS(MAX(D55,DATE(Einstellungen!$C$3,10,1)),MIN(J55,DATE(Einstellungen!$C$3,11,0)),Einstellungen!$F$13:$F$32)))</f>
        <v/>
      </c>
      <c r="V55" s="49">
        <f>IF(OR(A55="",D55=""),0,MAX(0,NETWORKDAYS(MAX(D55,DATE(Einstellungen!$C$3,11,1)),MIN(J55,DATE(Einstellungen!$C$3,12,0)),Einstellungen!$F$13:$F$32)))</f>
        <v/>
      </c>
      <c r="W55" s="49">
        <f>IF(OR(A55="",D55=""),0,MAX(0,NETWORKDAYS(MAX(D55,DATE(Einstellungen!$C$3,12,1)),MIN(J55,DATE(Einstellungen!$C$3,13,0)),Einstellungen!$F$13:$F$32)))</f>
        <v/>
      </c>
      <c r="X55" s="50">
        <f>L55*K55</f>
        <v/>
      </c>
      <c r="Y55" s="50">
        <f>M55*K55</f>
        <v/>
      </c>
      <c r="Z55" s="50">
        <f>N55*K55</f>
        <v/>
      </c>
      <c r="AA55" s="50">
        <f>O55*K55</f>
        <v/>
      </c>
      <c r="AB55" s="50">
        <f>P55*K55</f>
        <v/>
      </c>
      <c r="AC55" s="50">
        <f>Q55*K55</f>
        <v/>
      </c>
      <c r="AD55" s="50">
        <f>R55*K55</f>
        <v/>
      </c>
      <c r="AE55" s="50">
        <f>S55*K55</f>
        <v/>
      </c>
      <c r="AF55" s="50">
        <f>T55*K55</f>
        <v/>
      </c>
      <c r="AG55" s="50">
        <f>U55*K55</f>
        <v/>
      </c>
      <c r="AH55" s="50">
        <f>V55*K55</f>
        <v/>
      </c>
      <c r="AI55" s="50">
        <f>W55*K55</f>
        <v/>
      </c>
    </row>
    <row r="56">
      <c r="A56" s="25" t="n">
        <v>1050</v>
      </c>
      <c r="B56" s="45">
        <f>IF(A56="","",IFERROR(INDEX(Mitarbeiter!$B$6:$B$205,MATCH($A56,Mitarbeiter!$A$6:$A$205,0)),"?"))</f>
        <v/>
      </c>
      <c r="C56" s="46" t="inlineStr">
        <is>
          <t>Objekt 1</t>
        </is>
      </c>
      <c r="D56" s="26" t="n">
        <v>46118</v>
      </c>
      <c r="E56" s="26" t="n">
        <v>46120</v>
      </c>
      <c r="F56" s="24">
        <f>IF(A56="","",SUM(L56:W56))</f>
        <v/>
      </c>
      <c r="G56" s="36">
        <f>IF(A56="","",SUM(X56:AI56))</f>
        <v/>
      </c>
      <c r="H56" s="8">
        <f>IF(A56="","",IF(ISNA(MATCH(A56,Mitarbeiter!$A$6:$A$205,0)),"Pers.-Nr. unbekannt",IF(D56="","Von fehlt",IF(AND(C56&lt;&gt;Einstellungen!$C$4,C56&lt;&gt;Einstellungen!$C$5),"Objekt fehlt",IF(J56&lt;D56,"Bis vor Von",IF(D56&lt;INDEX(Mitarbeiter!$C$6:$C$205,MATCH($A56,Mitarbeiter!$A$6:$A$205,0)),"vor Eintritt",IF(AND(INDEX(Mitarbeiter!$D$6:$D$205,MATCH($A56,Mitarbeiter!$A$6:$A$205,0))&lt;&gt;"",D56&gt;INDEX(Mitarbeiter!$D$6:$D$205,MATCH($A56,Mitarbeiter!$A$6:$A$205,0))),"nach Austritt",IF(E56="","offen","ok"))))))))</f>
        <v/>
      </c>
      <c r="J56" s="47">
        <f>IF(A56="","",IF(E56="",Einstellungen!$C$9,E56))</f>
        <v/>
      </c>
      <c r="K56" s="48">
        <f>IF(A56="",0,IFERROR(INDEX(Mitarbeiter!$F$6:$F$205,MATCH($A56,Mitarbeiter!$A$6:$A$205,0)),0))</f>
        <v/>
      </c>
      <c r="L56" s="49">
        <f>IF(OR(A56="",D56=""),0,MAX(0,NETWORKDAYS(MAX(D56,DATE(Einstellungen!$C$3,1,1)),MIN(J56,DATE(Einstellungen!$C$3,2,0)),Einstellungen!$F$13:$F$32)))</f>
        <v/>
      </c>
      <c r="M56" s="49">
        <f>IF(OR(A56="",D56=""),0,MAX(0,NETWORKDAYS(MAX(D56,DATE(Einstellungen!$C$3,2,1)),MIN(J56,DATE(Einstellungen!$C$3,3,0)),Einstellungen!$F$13:$F$32)))</f>
        <v/>
      </c>
      <c r="N56" s="49">
        <f>IF(OR(A56="",D56=""),0,MAX(0,NETWORKDAYS(MAX(D56,DATE(Einstellungen!$C$3,3,1)),MIN(J56,DATE(Einstellungen!$C$3,4,0)),Einstellungen!$F$13:$F$32)))</f>
        <v/>
      </c>
      <c r="O56" s="49">
        <f>IF(OR(A56="",D56=""),0,MAX(0,NETWORKDAYS(MAX(D56,DATE(Einstellungen!$C$3,4,1)),MIN(J56,DATE(Einstellungen!$C$3,5,0)),Einstellungen!$F$13:$F$32)))</f>
        <v/>
      </c>
      <c r="P56" s="49">
        <f>IF(OR(A56="",D56=""),0,MAX(0,NETWORKDAYS(MAX(D56,DATE(Einstellungen!$C$3,5,1)),MIN(J56,DATE(Einstellungen!$C$3,6,0)),Einstellungen!$F$13:$F$32)))</f>
        <v/>
      </c>
      <c r="Q56" s="49">
        <f>IF(OR(A56="",D56=""),0,MAX(0,NETWORKDAYS(MAX(D56,DATE(Einstellungen!$C$3,6,1)),MIN(J56,DATE(Einstellungen!$C$3,7,0)),Einstellungen!$F$13:$F$32)))</f>
        <v/>
      </c>
      <c r="R56" s="49">
        <f>IF(OR(A56="",D56=""),0,MAX(0,NETWORKDAYS(MAX(D56,DATE(Einstellungen!$C$3,7,1)),MIN(J56,DATE(Einstellungen!$C$3,8,0)),Einstellungen!$F$13:$F$32)))</f>
        <v/>
      </c>
      <c r="S56" s="49">
        <f>IF(OR(A56="",D56=""),0,MAX(0,NETWORKDAYS(MAX(D56,DATE(Einstellungen!$C$3,8,1)),MIN(J56,DATE(Einstellungen!$C$3,9,0)),Einstellungen!$F$13:$F$32)))</f>
        <v/>
      </c>
      <c r="T56" s="49">
        <f>IF(OR(A56="",D56=""),0,MAX(0,NETWORKDAYS(MAX(D56,DATE(Einstellungen!$C$3,9,1)),MIN(J56,DATE(Einstellungen!$C$3,10,0)),Einstellungen!$F$13:$F$32)))</f>
        <v/>
      </c>
      <c r="U56" s="49">
        <f>IF(OR(A56="",D56=""),0,MAX(0,NETWORKDAYS(MAX(D56,DATE(Einstellungen!$C$3,10,1)),MIN(J56,DATE(Einstellungen!$C$3,11,0)),Einstellungen!$F$13:$F$32)))</f>
        <v/>
      </c>
      <c r="V56" s="49">
        <f>IF(OR(A56="",D56=""),0,MAX(0,NETWORKDAYS(MAX(D56,DATE(Einstellungen!$C$3,11,1)),MIN(J56,DATE(Einstellungen!$C$3,12,0)),Einstellungen!$F$13:$F$32)))</f>
        <v/>
      </c>
      <c r="W56" s="49">
        <f>IF(OR(A56="",D56=""),0,MAX(0,NETWORKDAYS(MAX(D56,DATE(Einstellungen!$C$3,12,1)),MIN(J56,DATE(Einstellungen!$C$3,13,0)),Einstellungen!$F$13:$F$32)))</f>
        <v/>
      </c>
      <c r="X56" s="50">
        <f>L56*K56</f>
        <v/>
      </c>
      <c r="Y56" s="50">
        <f>M56*K56</f>
        <v/>
      </c>
      <c r="Z56" s="50">
        <f>N56*K56</f>
        <v/>
      </c>
      <c r="AA56" s="50">
        <f>O56*K56</f>
        <v/>
      </c>
      <c r="AB56" s="50">
        <f>P56*K56</f>
        <v/>
      </c>
      <c r="AC56" s="50">
        <f>Q56*K56</f>
        <v/>
      </c>
      <c r="AD56" s="50">
        <f>R56*K56</f>
        <v/>
      </c>
      <c r="AE56" s="50">
        <f>S56*K56</f>
        <v/>
      </c>
      <c r="AF56" s="50">
        <f>T56*K56</f>
        <v/>
      </c>
      <c r="AG56" s="50">
        <f>U56*K56</f>
        <v/>
      </c>
      <c r="AH56" s="50">
        <f>V56*K56</f>
        <v/>
      </c>
      <c r="AI56" s="50">
        <f>W56*K56</f>
        <v/>
      </c>
    </row>
    <row r="57">
      <c r="A57" s="25" t="n">
        <v>1005</v>
      </c>
      <c r="B57" s="45">
        <f>IF(A57="","",IFERROR(INDEX(Mitarbeiter!$B$6:$B$205,MATCH($A57,Mitarbeiter!$A$6:$A$205,0)),"?"))</f>
        <v/>
      </c>
      <c r="C57" s="46" t="inlineStr">
        <is>
          <t>Objekt 2</t>
        </is>
      </c>
      <c r="D57" s="26" t="n">
        <v>46120</v>
      </c>
      <c r="E57" s="26" t="n">
        <v>46126</v>
      </c>
      <c r="F57" s="24">
        <f>IF(A57="","",SUM(L57:W57))</f>
        <v/>
      </c>
      <c r="G57" s="36">
        <f>IF(A57="","",SUM(X57:AI57))</f>
        <v/>
      </c>
      <c r="H57" s="8">
        <f>IF(A57="","",IF(ISNA(MATCH(A57,Mitarbeiter!$A$6:$A$205,0)),"Pers.-Nr. unbekannt",IF(D57="","Von fehlt",IF(AND(C57&lt;&gt;Einstellungen!$C$4,C57&lt;&gt;Einstellungen!$C$5),"Objekt fehlt",IF(J57&lt;D57,"Bis vor Von",IF(D57&lt;INDEX(Mitarbeiter!$C$6:$C$205,MATCH($A57,Mitarbeiter!$A$6:$A$205,0)),"vor Eintritt",IF(AND(INDEX(Mitarbeiter!$D$6:$D$205,MATCH($A57,Mitarbeiter!$A$6:$A$205,0))&lt;&gt;"",D57&gt;INDEX(Mitarbeiter!$D$6:$D$205,MATCH($A57,Mitarbeiter!$A$6:$A$205,0))),"nach Austritt",IF(E57="","offen","ok"))))))))</f>
        <v/>
      </c>
      <c r="J57" s="47">
        <f>IF(A57="","",IF(E57="",Einstellungen!$C$9,E57))</f>
        <v/>
      </c>
      <c r="K57" s="48">
        <f>IF(A57="",0,IFERROR(INDEX(Mitarbeiter!$F$6:$F$205,MATCH($A57,Mitarbeiter!$A$6:$A$205,0)),0))</f>
        <v/>
      </c>
      <c r="L57" s="49">
        <f>IF(OR(A57="",D57=""),0,MAX(0,NETWORKDAYS(MAX(D57,DATE(Einstellungen!$C$3,1,1)),MIN(J57,DATE(Einstellungen!$C$3,2,0)),Einstellungen!$F$13:$F$32)))</f>
        <v/>
      </c>
      <c r="M57" s="49">
        <f>IF(OR(A57="",D57=""),0,MAX(0,NETWORKDAYS(MAX(D57,DATE(Einstellungen!$C$3,2,1)),MIN(J57,DATE(Einstellungen!$C$3,3,0)),Einstellungen!$F$13:$F$32)))</f>
        <v/>
      </c>
      <c r="N57" s="49">
        <f>IF(OR(A57="",D57=""),0,MAX(0,NETWORKDAYS(MAX(D57,DATE(Einstellungen!$C$3,3,1)),MIN(J57,DATE(Einstellungen!$C$3,4,0)),Einstellungen!$F$13:$F$32)))</f>
        <v/>
      </c>
      <c r="O57" s="49">
        <f>IF(OR(A57="",D57=""),0,MAX(0,NETWORKDAYS(MAX(D57,DATE(Einstellungen!$C$3,4,1)),MIN(J57,DATE(Einstellungen!$C$3,5,0)),Einstellungen!$F$13:$F$32)))</f>
        <v/>
      </c>
      <c r="P57" s="49">
        <f>IF(OR(A57="",D57=""),0,MAX(0,NETWORKDAYS(MAX(D57,DATE(Einstellungen!$C$3,5,1)),MIN(J57,DATE(Einstellungen!$C$3,6,0)),Einstellungen!$F$13:$F$32)))</f>
        <v/>
      </c>
      <c r="Q57" s="49">
        <f>IF(OR(A57="",D57=""),0,MAX(0,NETWORKDAYS(MAX(D57,DATE(Einstellungen!$C$3,6,1)),MIN(J57,DATE(Einstellungen!$C$3,7,0)),Einstellungen!$F$13:$F$32)))</f>
        <v/>
      </c>
      <c r="R57" s="49">
        <f>IF(OR(A57="",D57=""),0,MAX(0,NETWORKDAYS(MAX(D57,DATE(Einstellungen!$C$3,7,1)),MIN(J57,DATE(Einstellungen!$C$3,8,0)),Einstellungen!$F$13:$F$32)))</f>
        <v/>
      </c>
      <c r="S57" s="49">
        <f>IF(OR(A57="",D57=""),0,MAX(0,NETWORKDAYS(MAX(D57,DATE(Einstellungen!$C$3,8,1)),MIN(J57,DATE(Einstellungen!$C$3,9,0)),Einstellungen!$F$13:$F$32)))</f>
        <v/>
      </c>
      <c r="T57" s="49">
        <f>IF(OR(A57="",D57=""),0,MAX(0,NETWORKDAYS(MAX(D57,DATE(Einstellungen!$C$3,9,1)),MIN(J57,DATE(Einstellungen!$C$3,10,0)),Einstellungen!$F$13:$F$32)))</f>
        <v/>
      </c>
      <c r="U57" s="49">
        <f>IF(OR(A57="",D57=""),0,MAX(0,NETWORKDAYS(MAX(D57,DATE(Einstellungen!$C$3,10,1)),MIN(J57,DATE(Einstellungen!$C$3,11,0)),Einstellungen!$F$13:$F$32)))</f>
        <v/>
      </c>
      <c r="V57" s="49">
        <f>IF(OR(A57="",D57=""),0,MAX(0,NETWORKDAYS(MAX(D57,DATE(Einstellungen!$C$3,11,1)),MIN(J57,DATE(Einstellungen!$C$3,12,0)),Einstellungen!$F$13:$F$32)))</f>
        <v/>
      </c>
      <c r="W57" s="49">
        <f>IF(OR(A57="",D57=""),0,MAX(0,NETWORKDAYS(MAX(D57,DATE(Einstellungen!$C$3,12,1)),MIN(J57,DATE(Einstellungen!$C$3,13,0)),Einstellungen!$F$13:$F$32)))</f>
        <v/>
      </c>
      <c r="X57" s="50">
        <f>L57*K57</f>
        <v/>
      </c>
      <c r="Y57" s="50">
        <f>M57*K57</f>
        <v/>
      </c>
      <c r="Z57" s="50">
        <f>N57*K57</f>
        <v/>
      </c>
      <c r="AA57" s="50">
        <f>O57*K57</f>
        <v/>
      </c>
      <c r="AB57" s="50">
        <f>P57*K57</f>
        <v/>
      </c>
      <c r="AC57" s="50">
        <f>Q57*K57</f>
        <v/>
      </c>
      <c r="AD57" s="50">
        <f>R57*K57</f>
        <v/>
      </c>
      <c r="AE57" s="50">
        <f>S57*K57</f>
        <v/>
      </c>
      <c r="AF57" s="50">
        <f>T57*K57</f>
        <v/>
      </c>
      <c r="AG57" s="50">
        <f>U57*K57</f>
        <v/>
      </c>
      <c r="AH57" s="50">
        <f>V57*K57</f>
        <v/>
      </c>
      <c r="AI57" s="50">
        <f>W57*K57</f>
        <v/>
      </c>
    </row>
    <row r="58">
      <c r="A58" s="25" t="n">
        <v>1028</v>
      </c>
      <c r="B58" s="45">
        <f>IF(A58="","",IFERROR(INDEX(Mitarbeiter!$B$6:$B$205,MATCH($A58,Mitarbeiter!$A$6:$A$205,0)),"?"))</f>
        <v/>
      </c>
      <c r="C58" s="46" t="inlineStr">
        <is>
          <t>Objekt 2</t>
        </is>
      </c>
      <c r="D58" s="26" t="n">
        <v>46121</v>
      </c>
      <c r="E58" s="26" t="n">
        <v>46121</v>
      </c>
      <c r="F58" s="24">
        <f>IF(A58="","",SUM(L58:W58))</f>
        <v/>
      </c>
      <c r="G58" s="36">
        <f>IF(A58="","",SUM(X58:AI58))</f>
        <v/>
      </c>
      <c r="H58" s="8">
        <f>IF(A58="","",IF(ISNA(MATCH(A58,Mitarbeiter!$A$6:$A$205,0)),"Pers.-Nr. unbekannt",IF(D58="","Von fehlt",IF(AND(C58&lt;&gt;Einstellungen!$C$4,C58&lt;&gt;Einstellungen!$C$5),"Objekt fehlt",IF(J58&lt;D58,"Bis vor Von",IF(D58&lt;INDEX(Mitarbeiter!$C$6:$C$205,MATCH($A58,Mitarbeiter!$A$6:$A$205,0)),"vor Eintritt",IF(AND(INDEX(Mitarbeiter!$D$6:$D$205,MATCH($A58,Mitarbeiter!$A$6:$A$205,0))&lt;&gt;"",D58&gt;INDEX(Mitarbeiter!$D$6:$D$205,MATCH($A58,Mitarbeiter!$A$6:$A$205,0))),"nach Austritt",IF(E58="","offen","ok"))))))))</f>
        <v/>
      </c>
      <c r="J58" s="47">
        <f>IF(A58="","",IF(E58="",Einstellungen!$C$9,E58))</f>
        <v/>
      </c>
      <c r="K58" s="48">
        <f>IF(A58="",0,IFERROR(INDEX(Mitarbeiter!$F$6:$F$205,MATCH($A58,Mitarbeiter!$A$6:$A$205,0)),0))</f>
        <v/>
      </c>
      <c r="L58" s="49">
        <f>IF(OR(A58="",D58=""),0,MAX(0,NETWORKDAYS(MAX(D58,DATE(Einstellungen!$C$3,1,1)),MIN(J58,DATE(Einstellungen!$C$3,2,0)),Einstellungen!$F$13:$F$32)))</f>
        <v/>
      </c>
      <c r="M58" s="49">
        <f>IF(OR(A58="",D58=""),0,MAX(0,NETWORKDAYS(MAX(D58,DATE(Einstellungen!$C$3,2,1)),MIN(J58,DATE(Einstellungen!$C$3,3,0)),Einstellungen!$F$13:$F$32)))</f>
        <v/>
      </c>
      <c r="N58" s="49">
        <f>IF(OR(A58="",D58=""),0,MAX(0,NETWORKDAYS(MAX(D58,DATE(Einstellungen!$C$3,3,1)),MIN(J58,DATE(Einstellungen!$C$3,4,0)),Einstellungen!$F$13:$F$32)))</f>
        <v/>
      </c>
      <c r="O58" s="49">
        <f>IF(OR(A58="",D58=""),0,MAX(0,NETWORKDAYS(MAX(D58,DATE(Einstellungen!$C$3,4,1)),MIN(J58,DATE(Einstellungen!$C$3,5,0)),Einstellungen!$F$13:$F$32)))</f>
        <v/>
      </c>
      <c r="P58" s="49">
        <f>IF(OR(A58="",D58=""),0,MAX(0,NETWORKDAYS(MAX(D58,DATE(Einstellungen!$C$3,5,1)),MIN(J58,DATE(Einstellungen!$C$3,6,0)),Einstellungen!$F$13:$F$32)))</f>
        <v/>
      </c>
      <c r="Q58" s="49">
        <f>IF(OR(A58="",D58=""),0,MAX(0,NETWORKDAYS(MAX(D58,DATE(Einstellungen!$C$3,6,1)),MIN(J58,DATE(Einstellungen!$C$3,7,0)),Einstellungen!$F$13:$F$32)))</f>
        <v/>
      </c>
      <c r="R58" s="49">
        <f>IF(OR(A58="",D58=""),0,MAX(0,NETWORKDAYS(MAX(D58,DATE(Einstellungen!$C$3,7,1)),MIN(J58,DATE(Einstellungen!$C$3,8,0)),Einstellungen!$F$13:$F$32)))</f>
        <v/>
      </c>
      <c r="S58" s="49">
        <f>IF(OR(A58="",D58=""),0,MAX(0,NETWORKDAYS(MAX(D58,DATE(Einstellungen!$C$3,8,1)),MIN(J58,DATE(Einstellungen!$C$3,9,0)),Einstellungen!$F$13:$F$32)))</f>
        <v/>
      </c>
      <c r="T58" s="49">
        <f>IF(OR(A58="",D58=""),0,MAX(0,NETWORKDAYS(MAX(D58,DATE(Einstellungen!$C$3,9,1)),MIN(J58,DATE(Einstellungen!$C$3,10,0)),Einstellungen!$F$13:$F$32)))</f>
        <v/>
      </c>
      <c r="U58" s="49">
        <f>IF(OR(A58="",D58=""),0,MAX(0,NETWORKDAYS(MAX(D58,DATE(Einstellungen!$C$3,10,1)),MIN(J58,DATE(Einstellungen!$C$3,11,0)),Einstellungen!$F$13:$F$32)))</f>
        <v/>
      </c>
      <c r="V58" s="49">
        <f>IF(OR(A58="",D58=""),0,MAX(0,NETWORKDAYS(MAX(D58,DATE(Einstellungen!$C$3,11,1)),MIN(J58,DATE(Einstellungen!$C$3,12,0)),Einstellungen!$F$13:$F$32)))</f>
        <v/>
      </c>
      <c r="W58" s="49">
        <f>IF(OR(A58="",D58=""),0,MAX(0,NETWORKDAYS(MAX(D58,DATE(Einstellungen!$C$3,12,1)),MIN(J58,DATE(Einstellungen!$C$3,13,0)),Einstellungen!$F$13:$F$32)))</f>
        <v/>
      </c>
      <c r="X58" s="50">
        <f>L58*K58</f>
        <v/>
      </c>
      <c r="Y58" s="50">
        <f>M58*K58</f>
        <v/>
      </c>
      <c r="Z58" s="50">
        <f>N58*K58</f>
        <v/>
      </c>
      <c r="AA58" s="50">
        <f>O58*K58</f>
        <v/>
      </c>
      <c r="AB58" s="50">
        <f>P58*K58</f>
        <v/>
      </c>
      <c r="AC58" s="50">
        <f>Q58*K58</f>
        <v/>
      </c>
      <c r="AD58" s="50">
        <f>R58*K58</f>
        <v/>
      </c>
      <c r="AE58" s="50">
        <f>S58*K58</f>
        <v/>
      </c>
      <c r="AF58" s="50">
        <f>T58*K58</f>
        <v/>
      </c>
      <c r="AG58" s="50">
        <f>U58*K58</f>
        <v/>
      </c>
      <c r="AH58" s="50">
        <f>V58*K58</f>
        <v/>
      </c>
      <c r="AI58" s="50">
        <f>W58*K58</f>
        <v/>
      </c>
    </row>
    <row r="59">
      <c r="A59" s="25" t="n">
        <v>1034</v>
      </c>
      <c r="B59" s="45">
        <f>IF(A59="","",IFERROR(INDEX(Mitarbeiter!$B$6:$B$205,MATCH($A59,Mitarbeiter!$A$6:$A$205,0)),"?"))</f>
        <v/>
      </c>
      <c r="C59" s="46" t="inlineStr">
        <is>
          <t>Objekt 2</t>
        </is>
      </c>
      <c r="D59" s="26" t="n">
        <v>46122</v>
      </c>
      <c r="E59" s="26" t="n">
        <v>46135</v>
      </c>
      <c r="F59" s="24">
        <f>IF(A59="","",SUM(L59:W59))</f>
        <v/>
      </c>
      <c r="G59" s="36">
        <f>IF(A59="","",SUM(X59:AI59))</f>
        <v/>
      </c>
      <c r="H59" s="8">
        <f>IF(A59="","",IF(ISNA(MATCH(A59,Mitarbeiter!$A$6:$A$205,0)),"Pers.-Nr. unbekannt",IF(D59="","Von fehlt",IF(AND(C59&lt;&gt;Einstellungen!$C$4,C59&lt;&gt;Einstellungen!$C$5),"Objekt fehlt",IF(J59&lt;D59,"Bis vor Von",IF(D59&lt;INDEX(Mitarbeiter!$C$6:$C$205,MATCH($A59,Mitarbeiter!$A$6:$A$205,0)),"vor Eintritt",IF(AND(INDEX(Mitarbeiter!$D$6:$D$205,MATCH($A59,Mitarbeiter!$A$6:$A$205,0))&lt;&gt;"",D59&gt;INDEX(Mitarbeiter!$D$6:$D$205,MATCH($A59,Mitarbeiter!$A$6:$A$205,0))),"nach Austritt",IF(E59="","offen","ok"))))))))</f>
        <v/>
      </c>
      <c r="J59" s="47">
        <f>IF(A59="","",IF(E59="",Einstellungen!$C$9,E59))</f>
        <v/>
      </c>
      <c r="K59" s="48">
        <f>IF(A59="",0,IFERROR(INDEX(Mitarbeiter!$F$6:$F$205,MATCH($A59,Mitarbeiter!$A$6:$A$205,0)),0))</f>
        <v/>
      </c>
      <c r="L59" s="49">
        <f>IF(OR(A59="",D59=""),0,MAX(0,NETWORKDAYS(MAX(D59,DATE(Einstellungen!$C$3,1,1)),MIN(J59,DATE(Einstellungen!$C$3,2,0)),Einstellungen!$F$13:$F$32)))</f>
        <v/>
      </c>
      <c r="M59" s="49">
        <f>IF(OR(A59="",D59=""),0,MAX(0,NETWORKDAYS(MAX(D59,DATE(Einstellungen!$C$3,2,1)),MIN(J59,DATE(Einstellungen!$C$3,3,0)),Einstellungen!$F$13:$F$32)))</f>
        <v/>
      </c>
      <c r="N59" s="49">
        <f>IF(OR(A59="",D59=""),0,MAX(0,NETWORKDAYS(MAX(D59,DATE(Einstellungen!$C$3,3,1)),MIN(J59,DATE(Einstellungen!$C$3,4,0)),Einstellungen!$F$13:$F$32)))</f>
        <v/>
      </c>
      <c r="O59" s="49">
        <f>IF(OR(A59="",D59=""),0,MAX(0,NETWORKDAYS(MAX(D59,DATE(Einstellungen!$C$3,4,1)),MIN(J59,DATE(Einstellungen!$C$3,5,0)),Einstellungen!$F$13:$F$32)))</f>
        <v/>
      </c>
      <c r="P59" s="49">
        <f>IF(OR(A59="",D59=""),0,MAX(0,NETWORKDAYS(MAX(D59,DATE(Einstellungen!$C$3,5,1)),MIN(J59,DATE(Einstellungen!$C$3,6,0)),Einstellungen!$F$13:$F$32)))</f>
        <v/>
      </c>
      <c r="Q59" s="49">
        <f>IF(OR(A59="",D59=""),0,MAX(0,NETWORKDAYS(MAX(D59,DATE(Einstellungen!$C$3,6,1)),MIN(J59,DATE(Einstellungen!$C$3,7,0)),Einstellungen!$F$13:$F$32)))</f>
        <v/>
      </c>
      <c r="R59" s="49">
        <f>IF(OR(A59="",D59=""),0,MAX(0,NETWORKDAYS(MAX(D59,DATE(Einstellungen!$C$3,7,1)),MIN(J59,DATE(Einstellungen!$C$3,8,0)),Einstellungen!$F$13:$F$32)))</f>
        <v/>
      </c>
      <c r="S59" s="49">
        <f>IF(OR(A59="",D59=""),0,MAX(0,NETWORKDAYS(MAX(D59,DATE(Einstellungen!$C$3,8,1)),MIN(J59,DATE(Einstellungen!$C$3,9,0)),Einstellungen!$F$13:$F$32)))</f>
        <v/>
      </c>
      <c r="T59" s="49">
        <f>IF(OR(A59="",D59=""),0,MAX(0,NETWORKDAYS(MAX(D59,DATE(Einstellungen!$C$3,9,1)),MIN(J59,DATE(Einstellungen!$C$3,10,0)),Einstellungen!$F$13:$F$32)))</f>
        <v/>
      </c>
      <c r="U59" s="49">
        <f>IF(OR(A59="",D59=""),0,MAX(0,NETWORKDAYS(MAX(D59,DATE(Einstellungen!$C$3,10,1)),MIN(J59,DATE(Einstellungen!$C$3,11,0)),Einstellungen!$F$13:$F$32)))</f>
        <v/>
      </c>
      <c r="V59" s="49">
        <f>IF(OR(A59="",D59=""),0,MAX(0,NETWORKDAYS(MAX(D59,DATE(Einstellungen!$C$3,11,1)),MIN(J59,DATE(Einstellungen!$C$3,12,0)),Einstellungen!$F$13:$F$32)))</f>
        <v/>
      </c>
      <c r="W59" s="49">
        <f>IF(OR(A59="",D59=""),0,MAX(0,NETWORKDAYS(MAX(D59,DATE(Einstellungen!$C$3,12,1)),MIN(J59,DATE(Einstellungen!$C$3,13,0)),Einstellungen!$F$13:$F$32)))</f>
        <v/>
      </c>
      <c r="X59" s="50">
        <f>L59*K59</f>
        <v/>
      </c>
      <c r="Y59" s="50">
        <f>M59*K59</f>
        <v/>
      </c>
      <c r="Z59" s="50">
        <f>N59*K59</f>
        <v/>
      </c>
      <c r="AA59" s="50">
        <f>O59*K59</f>
        <v/>
      </c>
      <c r="AB59" s="50">
        <f>P59*K59</f>
        <v/>
      </c>
      <c r="AC59" s="50">
        <f>Q59*K59</f>
        <v/>
      </c>
      <c r="AD59" s="50">
        <f>R59*K59</f>
        <v/>
      </c>
      <c r="AE59" s="50">
        <f>S59*K59</f>
        <v/>
      </c>
      <c r="AF59" s="50">
        <f>T59*K59</f>
        <v/>
      </c>
      <c r="AG59" s="50">
        <f>U59*K59</f>
        <v/>
      </c>
      <c r="AH59" s="50">
        <f>V59*K59</f>
        <v/>
      </c>
      <c r="AI59" s="50">
        <f>W59*K59</f>
        <v/>
      </c>
    </row>
    <row r="60">
      <c r="A60" s="25" t="n">
        <v>1024</v>
      </c>
      <c r="B60" s="45">
        <f>IF(A60="","",IFERROR(INDEX(Mitarbeiter!$B$6:$B$205,MATCH($A60,Mitarbeiter!$A$6:$A$205,0)),"?"))</f>
        <v/>
      </c>
      <c r="C60" s="46" t="inlineStr">
        <is>
          <t>Objekt 2</t>
        </is>
      </c>
      <c r="D60" s="26" t="n">
        <v>46123</v>
      </c>
      <c r="E60" s="26" t="n">
        <v>46129</v>
      </c>
      <c r="F60" s="24">
        <f>IF(A60="","",SUM(L60:W60))</f>
        <v/>
      </c>
      <c r="G60" s="36">
        <f>IF(A60="","",SUM(X60:AI60))</f>
        <v/>
      </c>
      <c r="H60" s="8">
        <f>IF(A60="","",IF(ISNA(MATCH(A60,Mitarbeiter!$A$6:$A$205,0)),"Pers.-Nr. unbekannt",IF(D60="","Von fehlt",IF(AND(C60&lt;&gt;Einstellungen!$C$4,C60&lt;&gt;Einstellungen!$C$5),"Objekt fehlt",IF(J60&lt;D60,"Bis vor Von",IF(D60&lt;INDEX(Mitarbeiter!$C$6:$C$205,MATCH($A60,Mitarbeiter!$A$6:$A$205,0)),"vor Eintritt",IF(AND(INDEX(Mitarbeiter!$D$6:$D$205,MATCH($A60,Mitarbeiter!$A$6:$A$205,0))&lt;&gt;"",D60&gt;INDEX(Mitarbeiter!$D$6:$D$205,MATCH($A60,Mitarbeiter!$A$6:$A$205,0))),"nach Austritt",IF(E60="","offen","ok"))))))))</f>
        <v/>
      </c>
      <c r="J60" s="47">
        <f>IF(A60="","",IF(E60="",Einstellungen!$C$9,E60))</f>
        <v/>
      </c>
      <c r="K60" s="48">
        <f>IF(A60="",0,IFERROR(INDEX(Mitarbeiter!$F$6:$F$205,MATCH($A60,Mitarbeiter!$A$6:$A$205,0)),0))</f>
        <v/>
      </c>
      <c r="L60" s="49">
        <f>IF(OR(A60="",D60=""),0,MAX(0,NETWORKDAYS(MAX(D60,DATE(Einstellungen!$C$3,1,1)),MIN(J60,DATE(Einstellungen!$C$3,2,0)),Einstellungen!$F$13:$F$32)))</f>
        <v/>
      </c>
      <c r="M60" s="49">
        <f>IF(OR(A60="",D60=""),0,MAX(0,NETWORKDAYS(MAX(D60,DATE(Einstellungen!$C$3,2,1)),MIN(J60,DATE(Einstellungen!$C$3,3,0)),Einstellungen!$F$13:$F$32)))</f>
        <v/>
      </c>
      <c r="N60" s="49">
        <f>IF(OR(A60="",D60=""),0,MAX(0,NETWORKDAYS(MAX(D60,DATE(Einstellungen!$C$3,3,1)),MIN(J60,DATE(Einstellungen!$C$3,4,0)),Einstellungen!$F$13:$F$32)))</f>
        <v/>
      </c>
      <c r="O60" s="49">
        <f>IF(OR(A60="",D60=""),0,MAX(0,NETWORKDAYS(MAX(D60,DATE(Einstellungen!$C$3,4,1)),MIN(J60,DATE(Einstellungen!$C$3,5,0)),Einstellungen!$F$13:$F$32)))</f>
        <v/>
      </c>
      <c r="P60" s="49">
        <f>IF(OR(A60="",D60=""),0,MAX(0,NETWORKDAYS(MAX(D60,DATE(Einstellungen!$C$3,5,1)),MIN(J60,DATE(Einstellungen!$C$3,6,0)),Einstellungen!$F$13:$F$32)))</f>
        <v/>
      </c>
      <c r="Q60" s="49">
        <f>IF(OR(A60="",D60=""),0,MAX(0,NETWORKDAYS(MAX(D60,DATE(Einstellungen!$C$3,6,1)),MIN(J60,DATE(Einstellungen!$C$3,7,0)),Einstellungen!$F$13:$F$32)))</f>
        <v/>
      </c>
      <c r="R60" s="49">
        <f>IF(OR(A60="",D60=""),0,MAX(0,NETWORKDAYS(MAX(D60,DATE(Einstellungen!$C$3,7,1)),MIN(J60,DATE(Einstellungen!$C$3,8,0)),Einstellungen!$F$13:$F$32)))</f>
        <v/>
      </c>
      <c r="S60" s="49">
        <f>IF(OR(A60="",D60=""),0,MAX(0,NETWORKDAYS(MAX(D60,DATE(Einstellungen!$C$3,8,1)),MIN(J60,DATE(Einstellungen!$C$3,9,0)),Einstellungen!$F$13:$F$32)))</f>
        <v/>
      </c>
      <c r="T60" s="49">
        <f>IF(OR(A60="",D60=""),0,MAX(0,NETWORKDAYS(MAX(D60,DATE(Einstellungen!$C$3,9,1)),MIN(J60,DATE(Einstellungen!$C$3,10,0)),Einstellungen!$F$13:$F$32)))</f>
        <v/>
      </c>
      <c r="U60" s="49">
        <f>IF(OR(A60="",D60=""),0,MAX(0,NETWORKDAYS(MAX(D60,DATE(Einstellungen!$C$3,10,1)),MIN(J60,DATE(Einstellungen!$C$3,11,0)),Einstellungen!$F$13:$F$32)))</f>
        <v/>
      </c>
      <c r="V60" s="49">
        <f>IF(OR(A60="",D60=""),0,MAX(0,NETWORKDAYS(MAX(D60,DATE(Einstellungen!$C$3,11,1)),MIN(J60,DATE(Einstellungen!$C$3,12,0)),Einstellungen!$F$13:$F$32)))</f>
        <v/>
      </c>
      <c r="W60" s="49">
        <f>IF(OR(A60="",D60=""),0,MAX(0,NETWORKDAYS(MAX(D60,DATE(Einstellungen!$C$3,12,1)),MIN(J60,DATE(Einstellungen!$C$3,13,0)),Einstellungen!$F$13:$F$32)))</f>
        <v/>
      </c>
      <c r="X60" s="50">
        <f>L60*K60</f>
        <v/>
      </c>
      <c r="Y60" s="50">
        <f>M60*K60</f>
        <v/>
      </c>
      <c r="Z60" s="50">
        <f>N60*K60</f>
        <v/>
      </c>
      <c r="AA60" s="50">
        <f>O60*K60</f>
        <v/>
      </c>
      <c r="AB60" s="50">
        <f>P60*K60</f>
        <v/>
      </c>
      <c r="AC60" s="50">
        <f>Q60*K60</f>
        <v/>
      </c>
      <c r="AD60" s="50">
        <f>R60*K60</f>
        <v/>
      </c>
      <c r="AE60" s="50">
        <f>S60*K60</f>
        <v/>
      </c>
      <c r="AF60" s="50">
        <f>T60*K60</f>
        <v/>
      </c>
      <c r="AG60" s="50">
        <f>U60*K60</f>
        <v/>
      </c>
      <c r="AH60" s="50">
        <f>V60*K60</f>
        <v/>
      </c>
      <c r="AI60" s="50">
        <f>W60*K60</f>
        <v/>
      </c>
    </row>
    <row r="61">
      <c r="A61" s="25" t="n">
        <v>1008</v>
      </c>
      <c r="B61" s="45">
        <f>IF(A61="","",IFERROR(INDEX(Mitarbeiter!$B$6:$B$205,MATCH($A61,Mitarbeiter!$A$6:$A$205,0)),"?"))</f>
        <v/>
      </c>
      <c r="C61" s="46" t="inlineStr">
        <is>
          <t>Objekt 2</t>
        </is>
      </c>
      <c r="D61" s="26" t="n">
        <v>46123</v>
      </c>
      <c r="E61" s="26" t="n"/>
      <c r="F61" s="24">
        <f>IF(A61="","",SUM(L61:W61))</f>
        <v/>
      </c>
      <c r="G61" s="36">
        <f>IF(A61="","",SUM(X61:AI61))</f>
        <v/>
      </c>
      <c r="H61" s="8">
        <f>IF(A61="","",IF(ISNA(MATCH(A61,Mitarbeiter!$A$6:$A$205,0)),"Pers.-Nr. unbekannt",IF(D61="","Von fehlt",IF(AND(C61&lt;&gt;Einstellungen!$C$4,C61&lt;&gt;Einstellungen!$C$5),"Objekt fehlt",IF(J61&lt;D61,"Bis vor Von",IF(D61&lt;INDEX(Mitarbeiter!$C$6:$C$205,MATCH($A61,Mitarbeiter!$A$6:$A$205,0)),"vor Eintritt",IF(AND(INDEX(Mitarbeiter!$D$6:$D$205,MATCH($A61,Mitarbeiter!$A$6:$A$205,0))&lt;&gt;"",D61&gt;INDEX(Mitarbeiter!$D$6:$D$205,MATCH($A61,Mitarbeiter!$A$6:$A$205,0))),"nach Austritt",IF(E61="","offen","ok"))))))))</f>
        <v/>
      </c>
      <c r="J61" s="47">
        <f>IF(A61="","",IF(E61="",Einstellungen!$C$9,E61))</f>
        <v/>
      </c>
      <c r="K61" s="48">
        <f>IF(A61="",0,IFERROR(INDEX(Mitarbeiter!$F$6:$F$205,MATCH($A61,Mitarbeiter!$A$6:$A$205,0)),0))</f>
        <v/>
      </c>
      <c r="L61" s="49">
        <f>IF(OR(A61="",D61=""),0,MAX(0,NETWORKDAYS(MAX(D61,DATE(Einstellungen!$C$3,1,1)),MIN(J61,DATE(Einstellungen!$C$3,2,0)),Einstellungen!$F$13:$F$32)))</f>
        <v/>
      </c>
      <c r="M61" s="49">
        <f>IF(OR(A61="",D61=""),0,MAX(0,NETWORKDAYS(MAX(D61,DATE(Einstellungen!$C$3,2,1)),MIN(J61,DATE(Einstellungen!$C$3,3,0)),Einstellungen!$F$13:$F$32)))</f>
        <v/>
      </c>
      <c r="N61" s="49">
        <f>IF(OR(A61="",D61=""),0,MAX(0,NETWORKDAYS(MAX(D61,DATE(Einstellungen!$C$3,3,1)),MIN(J61,DATE(Einstellungen!$C$3,4,0)),Einstellungen!$F$13:$F$32)))</f>
        <v/>
      </c>
      <c r="O61" s="49">
        <f>IF(OR(A61="",D61=""),0,MAX(0,NETWORKDAYS(MAX(D61,DATE(Einstellungen!$C$3,4,1)),MIN(J61,DATE(Einstellungen!$C$3,5,0)),Einstellungen!$F$13:$F$32)))</f>
        <v/>
      </c>
      <c r="P61" s="49">
        <f>IF(OR(A61="",D61=""),0,MAX(0,NETWORKDAYS(MAX(D61,DATE(Einstellungen!$C$3,5,1)),MIN(J61,DATE(Einstellungen!$C$3,6,0)),Einstellungen!$F$13:$F$32)))</f>
        <v/>
      </c>
      <c r="Q61" s="49">
        <f>IF(OR(A61="",D61=""),0,MAX(0,NETWORKDAYS(MAX(D61,DATE(Einstellungen!$C$3,6,1)),MIN(J61,DATE(Einstellungen!$C$3,7,0)),Einstellungen!$F$13:$F$32)))</f>
        <v/>
      </c>
      <c r="R61" s="49">
        <f>IF(OR(A61="",D61=""),0,MAX(0,NETWORKDAYS(MAX(D61,DATE(Einstellungen!$C$3,7,1)),MIN(J61,DATE(Einstellungen!$C$3,8,0)),Einstellungen!$F$13:$F$32)))</f>
        <v/>
      </c>
      <c r="S61" s="49">
        <f>IF(OR(A61="",D61=""),0,MAX(0,NETWORKDAYS(MAX(D61,DATE(Einstellungen!$C$3,8,1)),MIN(J61,DATE(Einstellungen!$C$3,9,0)),Einstellungen!$F$13:$F$32)))</f>
        <v/>
      </c>
      <c r="T61" s="49">
        <f>IF(OR(A61="",D61=""),0,MAX(0,NETWORKDAYS(MAX(D61,DATE(Einstellungen!$C$3,9,1)),MIN(J61,DATE(Einstellungen!$C$3,10,0)),Einstellungen!$F$13:$F$32)))</f>
        <v/>
      </c>
      <c r="U61" s="49">
        <f>IF(OR(A61="",D61=""),0,MAX(0,NETWORKDAYS(MAX(D61,DATE(Einstellungen!$C$3,10,1)),MIN(J61,DATE(Einstellungen!$C$3,11,0)),Einstellungen!$F$13:$F$32)))</f>
        <v/>
      </c>
      <c r="V61" s="49">
        <f>IF(OR(A61="",D61=""),0,MAX(0,NETWORKDAYS(MAX(D61,DATE(Einstellungen!$C$3,11,1)),MIN(J61,DATE(Einstellungen!$C$3,12,0)),Einstellungen!$F$13:$F$32)))</f>
        <v/>
      </c>
      <c r="W61" s="49">
        <f>IF(OR(A61="",D61=""),0,MAX(0,NETWORKDAYS(MAX(D61,DATE(Einstellungen!$C$3,12,1)),MIN(J61,DATE(Einstellungen!$C$3,13,0)),Einstellungen!$F$13:$F$32)))</f>
        <v/>
      </c>
      <c r="X61" s="50">
        <f>L61*K61</f>
        <v/>
      </c>
      <c r="Y61" s="50">
        <f>M61*K61</f>
        <v/>
      </c>
      <c r="Z61" s="50">
        <f>N61*K61</f>
        <v/>
      </c>
      <c r="AA61" s="50">
        <f>O61*K61</f>
        <v/>
      </c>
      <c r="AB61" s="50">
        <f>P61*K61</f>
        <v/>
      </c>
      <c r="AC61" s="50">
        <f>Q61*K61</f>
        <v/>
      </c>
      <c r="AD61" s="50">
        <f>R61*K61</f>
        <v/>
      </c>
      <c r="AE61" s="50">
        <f>S61*K61</f>
        <v/>
      </c>
      <c r="AF61" s="50">
        <f>T61*K61</f>
        <v/>
      </c>
      <c r="AG61" s="50">
        <f>U61*K61</f>
        <v/>
      </c>
      <c r="AH61" s="50">
        <f>V61*K61</f>
        <v/>
      </c>
      <c r="AI61" s="50">
        <f>W61*K61</f>
        <v/>
      </c>
    </row>
    <row r="62">
      <c r="A62" s="25" t="n">
        <v>1052</v>
      </c>
      <c r="B62" s="45">
        <f>IF(A62="","",IFERROR(INDEX(Mitarbeiter!$B$6:$B$205,MATCH($A62,Mitarbeiter!$A$6:$A$205,0)),"?"))</f>
        <v/>
      </c>
      <c r="C62" s="46" t="inlineStr">
        <is>
          <t>Objekt 2</t>
        </is>
      </c>
      <c r="D62" s="26" t="n">
        <v>46125</v>
      </c>
      <c r="E62" s="26" t="n">
        <v>46125</v>
      </c>
      <c r="F62" s="24">
        <f>IF(A62="","",SUM(L62:W62))</f>
        <v/>
      </c>
      <c r="G62" s="36">
        <f>IF(A62="","",SUM(X62:AI62))</f>
        <v/>
      </c>
      <c r="H62" s="8">
        <f>IF(A62="","",IF(ISNA(MATCH(A62,Mitarbeiter!$A$6:$A$205,0)),"Pers.-Nr. unbekannt",IF(D62="","Von fehlt",IF(AND(C62&lt;&gt;Einstellungen!$C$4,C62&lt;&gt;Einstellungen!$C$5),"Objekt fehlt",IF(J62&lt;D62,"Bis vor Von",IF(D62&lt;INDEX(Mitarbeiter!$C$6:$C$205,MATCH($A62,Mitarbeiter!$A$6:$A$205,0)),"vor Eintritt",IF(AND(INDEX(Mitarbeiter!$D$6:$D$205,MATCH($A62,Mitarbeiter!$A$6:$A$205,0))&lt;&gt;"",D62&gt;INDEX(Mitarbeiter!$D$6:$D$205,MATCH($A62,Mitarbeiter!$A$6:$A$205,0))),"nach Austritt",IF(E62="","offen","ok"))))))))</f>
        <v/>
      </c>
      <c r="J62" s="47">
        <f>IF(A62="","",IF(E62="",Einstellungen!$C$9,E62))</f>
        <v/>
      </c>
      <c r="K62" s="48">
        <f>IF(A62="",0,IFERROR(INDEX(Mitarbeiter!$F$6:$F$205,MATCH($A62,Mitarbeiter!$A$6:$A$205,0)),0))</f>
        <v/>
      </c>
      <c r="L62" s="49">
        <f>IF(OR(A62="",D62=""),0,MAX(0,NETWORKDAYS(MAX(D62,DATE(Einstellungen!$C$3,1,1)),MIN(J62,DATE(Einstellungen!$C$3,2,0)),Einstellungen!$F$13:$F$32)))</f>
        <v/>
      </c>
      <c r="M62" s="49">
        <f>IF(OR(A62="",D62=""),0,MAX(0,NETWORKDAYS(MAX(D62,DATE(Einstellungen!$C$3,2,1)),MIN(J62,DATE(Einstellungen!$C$3,3,0)),Einstellungen!$F$13:$F$32)))</f>
        <v/>
      </c>
      <c r="N62" s="49">
        <f>IF(OR(A62="",D62=""),0,MAX(0,NETWORKDAYS(MAX(D62,DATE(Einstellungen!$C$3,3,1)),MIN(J62,DATE(Einstellungen!$C$3,4,0)),Einstellungen!$F$13:$F$32)))</f>
        <v/>
      </c>
      <c r="O62" s="49">
        <f>IF(OR(A62="",D62=""),0,MAX(0,NETWORKDAYS(MAX(D62,DATE(Einstellungen!$C$3,4,1)),MIN(J62,DATE(Einstellungen!$C$3,5,0)),Einstellungen!$F$13:$F$32)))</f>
        <v/>
      </c>
      <c r="P62" s="49">
        <f>IF(OR(A62="",D62=""),0,MAX(0,NETWORKDAYS(MAX(D62,DATE(Einstellungen!$C$3,5,1)),MIN(J62,DATE(Einstellungen!$C$3,6,0)),Einstellungen!$F$13:$F$32)))</f>
        <v/>
      </c>
      <c r="Q62" s="49">
        <f>IF(OR(A62="",D62=""),0,MAX(0,NETWORKDAYS(MAX(D62,DATE(Einstellungen!$C$3,6,1)),MIN(J62,DATE(Einstellungen!$C$3,7,0)),Einstellungen!$F$13:$F$32)))</f>
        <v/>
      </c>
      <c r="R62" s="49">
        <f>IF(OR(A62="",D62=""),0,MAX(0,NETWORKDAYS(MAX(D62,DATE(Einstellungen!$C$3,7,1)),MIN(J62,DATE(Einstellungen!$C$3,8,0)),Einstellungen!$F$13:$F$32)))</f>
        <v/>
      </c>
      <c r="S62" s="49">
        <f>IF(OR(A62="",D62=""),0,MAX(0,NETWORKDAYS(MAX(D62,DATE(Einstellungen!$C$3,8,1)),MIN(J62,DATE(Einstellungen!$C$3,9,0)),Einstellungen!$F$13:$F$32)))</f>
        <v/>
      </c>
      <c r="T62" s="49">
        <f>IF(OR(A62="",D62=""),0,MAX(0,NETWORKDAYS(MAX(D62,DATE(Einstellungen!$C$3,9,1)),MIN(J62,DATE(Einstellungen!$C$3,10,0)),Einstellungen!$F$13:$F$32)))</f>
        <v/>
      </c>
      <c r="U62" s="49">
        <f>IF(OR(A62="",D62=""),0,MAX(0,NETWORKDAYS(MAX(D62,DATE(Einstellungen!$C$3,10,1)),MIN(J62,DATE(Einstellungen!$C$3,11,0)),Einstellungen!$F$13:$F$32)))</f>
        <v/>
      </c>
      <c r="V62" s="49">
        <f>IF(OR(A62="",D62=""),0,MAX(0,NETWORKDAYS(MAX(D62,DATE(Einstellungen!$C$3,11,1)),MIN(J62,DATE(Einstellungen!$C$3,12,0)),Einstellungen!$F$13:$F$32)))</f>
        <v/>
      </c>
      <c r="W62" s="49">
        <f>IF(OR(A62="",D62=""),0,MAX(0,NETWORKDAYS(MAX(D62,DATE(Einstellungen!$C$3,12,1)),MIN(J62,DATE(Einstellungen!$C$3,13,0)),Einstellungen!$F$13:$F$32)))</f>
        <v/>
      </c>
      <c r="X62" s="50">
        <f>L62*K62</f>
        <v/>
      </c>
      <c r="Y62" s="50">
        <f>M62*K62</f>
        <v/>
      </c>
      <c r="Z62" s="50">
        <f>N62*K62</f>
        <v/>
      </c>
      <c r="AA62" s="50">
        <f>O62*K62</f>
        <v/>
      </c>
      <c r="AB62" s="50">
        <f>P62*K62</f>
        <v/>
      </c>
      <c r="AC62" s="50">
        <f>Q62*K62</f>
        <v/>
      </c>
      <c r="AD62" s="50">
        <f>R62*K62</f>
        <v/>
      </c>
      <c r="AE62" s="50">
        <f>S62*K62</f>
        <v/>
      </c>
      <c r="AF62" s="50">
        <f>T62*K62</f>
        <v/>
      </c>
      <c r="AG62" s="50">
        <f>U62*K62</f>
        <v/>
      </c>
      <c r="AH62" s="50">
        <f>V62*K62</f>
        <v/>
      </c>
      <c r="AI62" s="50">
        <f>W62*K62</f>
        <v/>
      </c>
    </row>
    <row r="63">
      <c r="A63" s="25" t="n">
        <v>1021</v>
      </c>
      <c r="B63" s="45">
        <f>IF(A63="","",IFERROR(INDEX(Mitarbeiter!$B$6:$B$205,MATCH($A63,Mitarbeiter!$A$6:$A$205,0)),"?"))</f>
        <v/>
      </c>
      <c r="C63" s="46" t="inlineStr">
        <is>
          <t>Objekt 1</t>
        </is>
      </c>
      <c r="D63" s="26" t="n">
        <v>46140</v>
      </c>
      <c r="E63" s="26" t="n">
        <v>46160</v>
      </c>
      <c r="F63" s="24">
        <f>IF(A63="","",SUM(L63:W63))</f>
        <v/>
      </c>
      <c r="G63" s="36">
        <f>IF(A63="","",SUM(X63:AI63))</f>
        <v/>
      </c>
      <c r="H63" s="8">
        <f>IF(A63="","",IF(ISNA(MATCH(A63,Mitarbeiter!$A$6:$A$205,0)),"Pers.-Nr. unbekannt",IF(D63="","Von fehlt",IF(AND(C63&lt;&gt;Einstellungen!$C$4,C63&lt;&gt;Einstellungen!$C$5),"Objekt fehlt",IF(J63&lt;D63,"Bis vor Von",IF(D63&lt;INDEX(Mitarbeiter!$C$6:$C$205,MATCH($A63,Mitarbeiter!$A$6:$A$205,0)),"vor Eintritt",IF(AND(INDEX(Mitarbeiter!$D$6:$D$205,MATCH($A63,Mitarbeiter!$A$6:$A$205,0))&lt;&gt;"",D63&gt;INDEX(Mitarbeiter!$D$6:$D$205,MATCH($A63,Mitarbeiter!$A$6:$A$205,0))),"nach Austritt",IF(E63="","offen","ok"))))))))</f>
        <v/>
      </c>
      <c r="J63" s="47">
        <f>IF(A63="","",IF(E63="",Einstellungen!$C$9,E63))</f>
        <v/>
      </c>
      <c r="K63" s="48">
        <f>IF(A63="",0,IFERROR(INDEX(Mitarbeiter!$F$6:$F$205,MATCH($A63,Mitarbeiter!$A$6:$A$205,0)),0))</f>
        <v/>
      </c>
      <c r="L63" s="49">
        <f>IF(OR(A63="",D63=""),0,MAX(0,NETWORKDAYS(MAX(D63,DATE(Einstellungen!$C$3,1,1)),MIN(J63,DATE(Einstellungen!$C$3,2,0)),Einstellungen!$F$13:$F$32)))</f>
        <v/>
      </c>
      <c r="M63" s="49">
        <f>IF(OR(A63="",D63=""),0,MAX(0,NETWORKDAYS(MAX(D63,DATE(Einstellungen!$C$3,2,1)),MIN(J63,DATE(Einstellungen!$C$3,3,0)),Einstellungen!$F$13:$F$32)))</f>
        <v/>
      </c>
      <c r="N63" s="49">
        <f>IF(OR(A63="",D63=""),0,MAX(0,NETWORKDAYS(MAX(D63,DATE(Einstellungen!$C$3,3,1)),MIN(J63,DATE(Einstellungen!$C$3,4,0)),Einstellungen!$F$13:$F$32)))</f>
        <v/>
      </c>
      <c r="O63" s="49">
        <f>IF(OR(A63="",D63=""),0,MAX(0,NETWORKDAYS(MAX(D63,DATE(Einstellungen!$C$3,4,1)),MIN(J63,DATE(Einstellungen!$C$3,5,0)),Einstellungen!$F$13:$F$32)))</f>
        <v/>
      </c>
      <c r="P63" s="49">
        <f>IF(OR(A63="",D63=""),0,MAX(0,NETWORKDAYS(MAX(D63,DATE(Einstellungen!$C$3,5,1)),MIN(J63,DATE(Einstellungen!$C$3,6,0)),Einstellungen!$F$13:$F$32)))</f>
        <v/>
      </c>
      <c r="Q63" s="49">
        <f>IF(OR(A63="",D63=""),0,MAX(0,NETWORKDAYS(MAX(D63,DATE(Einstellungen!$C$3,6,1)),MIN(J63,DATE(Einstellungen!$C$3,7,0)),Einstellungen!$F$13:$F$32)))</f>
        <v/>
      </c>
      <c r="R63" s="49">
        <f>IF(OR(A63="",D63=""),0,MAX(0,NETWORKDAYS(MAX(D63,DATE(Einstellungen!$C$3,7,1)),MIN(J63,DATE(Einstellungen!$C$3,8,0)),Einstellungen!$F$13:$F$32)))</f>
        <v/>
      </c>
      <c r="S63" s="49">
        <f>IF(OR(A63="",D63=""),0,MAX(0,NETWORKDAYS(MAX(D63,DATE(Einstellungen!$C$3,8,1)),MIN(J63,DATE(Einstellungen!$C$3,9,0)),Einstellungen!$F$13:$F$32)))</f>
        <v/>
      </c>
      <c r="T63" s="49">
        <f>IF(OR(A63="",D63=""),0,MAX(0,NETWORKDAYS(MAX(D63,DATE(Einstellungen!$C$3,9,1)),MIN(J63,DATE(Einstellungen!$C$3,10,0)),Einstellungen!$F$13:$F$32)))</f>
        <v/>
      </c>
      <c r="U63" s="49">
        <f>IF(OR(A63="",D63=""),0,MAX(0,NETWORKDAYS(MAX(D63,DATE(Einstellungen!$C$3,10,1)),MIN(J63,DATE(Einstellungen!$C$3,11,0)),Einstellungen!$F$13:$F$32)))</f>
        <v/>
      </c>
      <c r="V63" s="49">
        <f>IF(OR(A63="",D63=""),0,MAX(0,NETWORKDAYS(MAX(D63,DATE(Einstellungen!$C$3,11,1)),MIN(J63,DATE(Einstellungen!$C$3,12,0)),Einstellungen!$F$13:$F$32)))</f>
        <v/>
      </c>
      <c r="W63" s="49">
        <f>IF(OR(A63="",D63=""),0,MAX(0,NETWORKDAYS(MAX(D63,DATE(Einstellungen!$C$3,12,1)),MIN(J63,DATE(Einstellungen!$C$3,13,0)),Einstellungen!$F$13:$F$32)))</f>
        <v/>
      </c>
      <c r="X63" s="50">
        <f>L63*K63</f>
        <v/>
      </c>
      <c r="Y63" s="50">
        <f>M63*K63</f>
        <v/>
      </c>
      <c r="Z63" s="50">
        <f>N63*K63</f>
        <v/>
      </c>
      <c r="AA63" s="50">
        <f>O63*K63</f>
        <v/>
      </c>
      <c r="AB63" s="50">
        <f>P63*K63</f>
        <v/>
      </c>
      <c r="AC63" s="50">
        <f>Q63*K63</f>
        <v/>
      </c>
      <c r="AD63" s="50">
        <f>R63*K63</f>
        <v/>
      </c>
      <c r="AE63" s="50">
        <f>S63*K63</f>
        <v/>
      </c>
      <c r="AF63" s="50">
        <f>T63*K63</f>
        <v/>
      </c>
      <c r="AG63" s="50">
        <f>U63*K63</f>
        <v/>
      </c>
      <c r="AH63" s="50">
        <f>V63*K63</f>
        <v/>
      </c>
      <c r="AI63" s="50">
        <f>W63*K63</f>
        <v/>
      </c>
    </row>
    <row r="64">
      <c r="A64" s="25" t="n">
        <v>1028</v>
      </c>
      <c r="B64" s="45">
        <f>IF(A64="","",IFERROR(INDEX(Mitarbeiter!$B$6:$B$205,MATCH($A64,Mitarbeiter!$A$6:$A$205,0)),"?"))</f>
        <v/>
      </c>
      <c r="C64" s="46" t="inlineStr">
        <is>
          <t>Objekt 2</t>
        </is>
      </c>
      <c r="D64" s="26" t="n">
        <v>46143</v>
      </c>
      <c r="E64" s="26" t="n">
        <v>46163</v>
      </c>
      <c r="F64" s="24">
        <f>IF(A64="","",SUM(L64:W64))</f>
        <v/>
      </c>
      <c r="G64" s="36">
        <f>IF(A64="","",SUM(X64:AI64))</f>
        <v/>
      </c>
      <c r="H64" s="8">
        <f>IF(A64="","",IF(ISNA(MATCH(A64,Mitarbeiter!$A$6:$A$205,0)),"Pers.-Nr. unbekannt",IF(D64="","Von fehlt",IF(AND(C64&lt;&gt;Einstellungen!$C$4,C64&lt;&gt;Einstellungen!$C$5),"Objekt fehlt",IF(J64&lt;D64,"Bis vor Von",IF(D64&lt;INDEX(Mitarbeiter!$C$6:$C$205,MATCH($A64,Mitarbeiter!$A$6:$A$205,0)),"vor Eintritt",IF(AND(INDEX(Mitarbeiter!$D$6:$D$205,MATCH($A64,Mitarbeiter!$A$6:$A$205,0))&lt;&gt;"",D64&gt;INDEX(Mitarbeiter!$D$6:$D$205,MATCH($A64,Mitarbeiter!$A$6:$A$205,0))),"nach Austritt",IF(E64="","offen","ok"))))))))</f>
        <v/>
      </c>
      <c r="J64" s="47">
        <f>IF(A64="","",IF(E64="",Einstellungen!$C$9,E64))</f>
        <v/>
      </c>
      <c r="K64" s="48">
        <f>IF(A64="",0,IFERROR(INDEX(Mitarbeiter!$F$6:$F$205,MATCH($A64,Mitarbeiter!$A$6:$A$205,0)),0))</f>
        <v/>
      </c>
      <c r="L64" s="49">
        <f>IF(OR(A64="",D64=""),0,MAX(0,NETWORKDAYS(MAX(D64,DATE(Einstellungen!$C$3,1,1)),MIN(J64,DATE(Einstellungen!$C$3,2,0)),Einstellungen!$F$13:$F$32)))</f>
        <v/>
      </c>
      <c r="M64" s="49">
        <f>IF(OR(A64="",D64=""),0,MAX(0,NETWORKDAYS(MAX(D64,DATE(Einstellungen!$C$3,2,1)),MIN(J64,DATE(Einstellungen!$C$3,3,0)),Einstellungen!$F$13:$F$32)))</f>
        <v/>
      </c>
      <c r="N64" s="49">
        <f>IF(OR(A64="",D64=""),0,MAX(0,NETWORKDAYS(MAX(D64,DATE(Einstellungen!$C$3,3,1)),MIN(J64,DATE(Einstellungen!$C$3,4,0)),Einstellungen!$F$13:$F$32)))</f>
        <v/>
      </c>
      <c r="O64" s="49">
        <f>IF(OR(A64="",D64=""),0,MAX(0,NETWORKDAYS(MAX(D64,DATE(Einstellungen!$C$3,4,1)),MIN(J64,DATE(Einstellungen!$C$3,5,0)),Einstellungen!$F$13:$F$32)))</f>
        <v/>
      </c>
      <c r="P64" s="49">
        <f>IF(OR(A64="",D64=""),0,MAX(0,NETWORKDAYS(MAX(D64,DATE(Einstellungen!$C$3,5,1)),MIN(J64,DATE(Einstellungen!$C$3,6,0)),Einstellungen!$F$13:$F$32)))</f>
        <v/>
      </c>
      <c r="Q64" s="49">
        <f>IF(OR(A64="",D64=""),0,MAX(0,NETWORKDAYS(MAX(D64,DATE(Einstellungen!$C$3,6,1)),MIN(J64,DATE(Einstellungen!$C$3,7,0)),Einstellungen!$F$13:$F$32)))</f>
        <v/>
      </c>
      <c r="R64" s="49">
        <f>IF(OR(A64="",D64=""),0,MAX(0,NETWORKDAYS(MAX(D64,DATE(Einstellungen!$C$3,7,1)),MIN(J64,DATE(Einstellungen!$C$3,8,0)),Einstellungen!$F$13:$F$32)))</f>
        <v/>
      </c>
      <c r="S64" s="49">
        <f>IF(OR(A64="",D64=""),0,MAX(0,NETWORKDAYS(MAX(D64,DATE(Einstellungen!$C$3,8,1)),MIN(J64,DATE(Einstellungen!$C$3,9,0)),Einstellungen!$F$13:$F$32)))</f>
        <v/>
      </c>
      <c r="T64" s="49">
        <f>IF(OR(A64="",D64=""),0,MAX(0,NETWORKDAYS(MAX(D64,DATE(Einstellungen!$C$3,9,1)),MIN(J64,DATE(Einstellungen!$C$3,10,0)),Einstellungen!$F$13:$F$32)))</f>
        <v/>
      </c>
      <c r="U64" s="49">
        <f>IF(OR(A64="",D64=""),0,MAX(0,NETWORKDAYS(MAX(D64,DATE(Einstellungen!$C$3,10,1)),MIN(J64,DATE(Einstellungen!$C$3,11,0)),Einstellungen!$F$13:$F$32)))</f>
        <v/>
      </c>
      <c r="V64" s="49">
        <f>IF(OR(A64="",D64=""),0,MAX(0,NETWORKDAYS(MAX(D64,DATE(Einstellungen!$C$3,11,1)),MIN(J64,DATE(Einstellungen!$C$3,12,0)),Einstellungen!$F$13:$F$32)))</f>
        <v/>
      </c>
      <c r="W64" s="49">
        <f>IF(OR(A64="",D64=""),0,MAX(0,NETWORKDAYS(MAX(D64,DATE(Einstellungen!$C$3,12,1)),MIN(J64,DATE(Einstellungen!$C$3,13,0)),Einstellungen!$F$13:$F$32)))</f>
        <v/>
      </c>
      <c r="X64" s="50">
        <f>L64*K64</f>
        <v/>
      </c>
      <c r="Y64" s="50">
        <f>M64*K64</f>
        <v/>
      </c>
      <c r="Z64" s="50">
        <f>N64*K64</f>
        <v/>
      </c>
      <c r="AA64" s="50">
        <f>O64*K64</f>
        <v/>
      </c>
      <c r="AB64" s="50">
        <f>P64*K64</f>
        <v/>
      </c>
      <c r="AC64" s="50">
        <f>Q64*K64</f>
        <v/>
      </c>
      <c r="AD64" s="50">
        <f>R64*K64</f>
        <v/>
      </c>
      <c r="AE64" s="50">
        <f>S64*K64</f>
        <v/>
      </c>
      <c r="AF64" s="50">
        <f>T64*K64</f>
        <v/>
      </c>
      <c r="AG64" s="50">
        <f>U64*K64</f>
        <v/>
      </c>
      <c r="AH64" s="50">
        <f>V64*K64</f>
        <v/>
      </c>
      <c r="AI64" s="50">
        <f>W64*K64</f>
        <v/>
      </c>
    </row>
    <row r="65">
      <c r="A65" s="25" t="n">
        <v>1021</v>
      </c>
      <c r="B65" s="45">
        <f>IF(A65="","",IFERROR(INDEX(Mitarbeiter!$B$6:$B$205,MATCH($A65,Mitarbeiter!$A$6:$A$205,0)),"?"))</f>
        <v/>
      </c>
      <c r="C65" s="46" t="inlineStr">
        <is>
          <t>Objekt 2</t>
        </is>
      </c>
      <c r="D65" s="26" t="n">
        <v>46144</v>
      </c>
      <c r="E65" s="26" t="n">
        <v>46145</v>
      </c>
      <c r="F65" s="24">
        <f>IF(A65="","",SUM(L65:W65))</f>
        <v/>
      </c>
      <c r="G65" s="36">
        <f>IF(A65="","",SUM(X65:AI65))</f>
        <v/>
      </c>
      <c r="H65" s="8">
        <f>IF(A65="","",IF(ISNA(MATCH(A65,Mitarbeiter!$A$6:$A$205,0)),"Pers.-Nr. unbekannt",IF(D65="","Von fehlt",IF(AND(C65&lt;&gt;Einstellungen!$C$4,C65&lt;&gt;Einstellungen!$C$5),"Objekt fehlt",IF(J65&lt;D65,"Bis vor Von",IF(D65&lt;INDEX(Mitarbeiter!$C$6:$C$205,MATCH($A65,Mitarbeiter!$A$6:$A$205,0)),"vor Eintritt",IF(AND(INDEX(Mitarbeiter!$D$6:$D$205,MATCH($A65,Mitarbeiter!$A$6:$A$205,0))&lt;&gt;"",D65&gt;INDEX(Mitarbeiter!$D$6:$D$205,MATCH($A65,Mitarbeiter!$A$6:$A$205,0))),"nach Austritt",IF(E65="","offen","ok"))))))))</f>
        <v/>
      </c>
      <c r="J65" s="47">
        <f>IF(A65="","",IF(E65="",Einstellungen!$C$9,E65))</f>
        <v/>
      </c>
      <c r="K65" s="48">
        <f>IF(A65="",0,IFERROR(INDEX(Mitarbeiter!$F$6:$F$205,MATCH($A65,Mitarbeiter!$A$6:$A$205,0)),0))</f>
        <v/>
      </c>
      <c r="L65" s="49">
        <f>IF(OR(A65="",D65=""),0,MAX(0,NETWORKDAYS(MAX(D65,DATE(Einstellungen!$C$3,1,1)),MIN(J65,DATE(Einstellungen!$C$3,2,0)),Einstellungen!$F$13:$F$32)))</f>
        <v/>
      </c>
      <c r="M65" s="49">
        <f>IF(OR(A65="",D65=""),0,MAX(0,NETWORKDAYS(MAX(D65,DATE(Einstellungen!$C$3,2,1)),MIN(J65,DATE(Einstellungen!$C$3,3,0)),Einstellungen!$F$13:$F$32)))</f>
        <v/>
      </c>
      <c r="N65" s="49">
        <f>IF(OR(A65="",D65=""),0,MAX(0,NETWORKDAYS(MAX(D65,DATE(Einstellungen!$C$3,3,1)),MIN(J65,DATE(Einstellungen!$C$3,4,0)),Einstellungen!$F$13:$F$32)))</f>
        <v/>
      </c>
      <c r="O65" s="49">
        <f>IF(OR(A65="",D65=""),0,MAX(0,NETWORKDAYS(MAX(D65,DATE(Einstellungen!$C$3,4,1)),MIN(J65,DATE(Einstellungen!$C$3,5,0)),Einstellungen!$F$13:$F$32)))</f>
        <v/>
      </c>
      <c r="P65" s="49">
        <f>IF(OR(A65="",D65=""),0,MAX(0,NETWORKDAYS(MAX(D65,DATE(Einstellungen!$C$3,5,1)),MIN(J65,DATE(Einstellungen!$C$3,6,0)),Einstellungen!$F$13:$F$32)))</f>
        <v/>
      </c>
      <c r="Q65" s="49">
        <f>IF(OR(A65="",D65=""),0,MAX(0,NETWORKDAYS(MAX(D65,DATE(Einstellungen!$C$3,6,1)),MIN(J65,DATE(Einstellungen!$C$3,7,0)),Einstellungen!$F$13:$F$32)))</f>
        <v/>
      </c>
      <c r="R65" s="49">
        <f>IF(OR(A65="",D65=""),0,MAX(0,NETWORKDAYS(MAX(D65,DATE(Einstellungen!$C$3,7,1)),MIN(J65,DATE(Einstellungen!$C$3,8,0)),Einstellungen!$F$13:$F$32)))</f>
        <v/>
      </c>
      <c r="S65" s="49">
        <f>IF(OR(A65="",D65=""),0,MAX(0,NETWORKDAYS(MAX(D65,DATE(Einstellungen!$C$3,8,1)),MIN(J65,DATE(Einstellungen!$C$3,9,0)),Einstellungen!$F$13:$F$32)))</f>
        <v/>
      </c>
      <c r="T65" s="49">
        <f>IF(OR(A65="",D65=""),0,MAX(0,NETWORKDAYS(MAX(D65,DATE(Einstellungen!$C$3,9,1)),MIN(J65,DATE(Einstellungen!$C$3,10,0)),Einstellungen!$F$13:$F$32)))</f>
        <v/>
      </c>
      <c r="U65" s="49">
        <f>IF(OR(A65="",D65=""),0,MAX(0,NETWORKDAYS(MAX(D65,DATE(Einstellungen!$C$3,10,1)),MIN(J65,DATE(Einstellungen!$C$3,11,0)),Einstellungen!$F$13:$F$32)))</f>
        <v/>
      </c>
      <c r="V65" s="49">
        <f>IF(OR(A65="",D65=""),0,MAX(0,NETWORKDAYS(MAX(D65,DATE(Einstellungen!$C$3,11,1)),MIN(J65,DATE(Einstellungen!$C$3,12,0)),Einstellungen!$F$13:$F$32)))</f>
        <v/>
      </c>
      <c r="W65" s="49">
        <f>IF(OR(A65="",D65=""),0,MAX(0,NETWORKDAYS(MAX(D65,DATE(Einstellungen!$C$3,12,1)),MIN(J65,DATE(Einstellungen!$C$3,13,0)),Einstellungen!$F$13:$F$32)))</f>
        <v/>
      </c>
      <c r="X65" s="50">
        <f>L65*K65</f>
        <v/>
      </c>
      <c r="Y65" s="50">
        <f>M65*K65</f>
        <v/>
      </c>
      <c r="Z65" s="50">
        <f>N65*K65</f>
        <v/>
      </c>
      <c r="AA65" s="50">
        <f>O65*K65</f>
        <v/>
      </c>
      <c r="AB65" s="50">
        <f>P65*K65</f>
        <v/>
      </c>
      <c r="AC65" s="50">
        <f>Q65*K65</f>
        <v/>
      </c>
      <c r="AD65" s="50">
        <f>R65*K65</f>
        <v/>
      </c>
      <c r="AE65" s="50">
        <f>S65*K65</f>
        <v/>
      </c>
      <c r="AF65" s="50">
        <f>T65*K65</f>
        <v/>
      </c>
      <c r="AG65" s="50">
        <f>U65*K65</f>
        <v/>
      </c>
      <c r="AH65" s="50">
        <f>V65*K65</f>
        <v/>
      </c>
      <c r="AI65" s="50">
        <f>W65*K65</f>
        <v/>
      </c>
    </row>
    <row r="66">
      <c r="A66" s="25" t="n">
        <v>1022</v>
      </c>
      <c r="B66" s="45">
        <f>IF(A66="","",IFERROR(INDEX(Mitarbeiter!$B$6:$B$205,MATCH($A66,Mitarbeiter!$A$6:$A$205,0)),"?"))</f>
        <v/>
      </c>
      <c r="C66" s="46" t="inlineStr">
        <is>
          <t>Objekt 2</t>
        </is>
      </c>
      <c r="D66" s="26" t="n">
        <v>46154</v>
      </c>
      <c r="E66" s="26" t="n">
        <v>46156</v>
      </c>
      <c r="F66" s="24">
        <f>IF(A66="","",SUM(L66:W66))</f>
        <v/>
      </c>
      <c r="G66" s="36">
        <f>IF(A66="","",SUM(X66:AI66))</f>
        <v/>
      </c>
      <c r="H66" s="8">
        <f>IF(A66="","",IF(ISNA(MATCH(A66,Mitarbeiter!$A$6:$A$205,0)),"Pers.-Nr. unbekannt",IF(D66="","Von fehlt",IF(AND(C66&lt;&gt;Einstellungen!$C$4,C66&lt;&gt;Einstellungen!$C$5),"Objekt fehlt",IF(J66&lt;D66,"Bis vor Von",IF(D66&lt;INDEX(Mitarbeiter!$C$6:$C$205,MATCH($A66,Mitarbeiter!$A$6:$A$205,0)),"vor Eintritt",IF(AND(INDEX(Mitarbeiter!$D$6:$D$205,MATCH($A66,Mitarbeiter!$A$6:$A$205,0))&lt;&gt;"",D66&gt;INDEX(Mitarbeiter!$D$6:$D$205,MATCH($A66,Mitarbeiter!$A$6:$A$205,0))),"nach Austritt",IF(E66="","offen","ok"))))))))</f>
        <v/>
      </c>
      <c r="J66" s="47">
        <f>IF(A66="","",IF(E66="",Einstellungen!$C$9,E66))</f>
        <v/>
      </c>
      <c r="K66" s="48">
        <f>IF(A66="",0,IFERROR(INDEX(Mitarbeiter!$F$6:$F$205,MATCH($A66,Mitarbeiter!$A$6:$A$205,0)),0))</f>
        <v/>
      </c>
      <c r="L66" s="49">
        <f>IF(OR(A66="",D66=""),0,MAX(0,NETWORKDAYS(MAX(D66,DATE(Einstellungen!$C$3,1,1)),MIN(J66,DATE(Einstellungen!$C$3,2,0)),Einstellungen!$F$13:$F$32)))</f>
        <v/>
      </c>
      <c r="M66" s="49">
        <f>IF(OR(A66="",D66=""),0,MAX(0,NETWORKDAYS(MAX(D66,DATE(Einstellungen!$C$3,2,1)),MIN(J66,DATE(Einstellungen!$C$3,3,0)),Einstellungen!$F$13:$F$32)))</f>
        <v/>
      </c>
      <c r="N66" s="49">
        <f>IF(OR(A66="",D66=""),0,MAX(0,NETWORKDAYS(MAX(D66,DATE(Einstellungen!$C$3,3,1)),MIN(J66,DATE(Einstellungen!$C$3,4,0)),Einstellungen!$F$13:$F$32)))</f>
        <v/>
      </c>
      <c r="O66" s="49">
        <f>IF(OR(A66="",D66=""),0,MAX(0,NETWORKDAYS(MAX(D66,DATE(Einstellungen!$C$3,4,1)),MIN(J66,DATE(Einstellungen!$C$3,5,0)),Einstellungen!$F$13:$F$32)))</f>
        <v/>
      </c>
      <c r="P66" s="49">
        <f>IF(OR(A66="",D66=""),0,MAX(0,NETWORKDAYS(MAX(D66,DATE(Einstellungen!$C$3,5,1)),MIN(J66,DATE(Einstellungen!$C$3,6,0)),Einstellungen!$F$13:$F$32)))</f>
        <v/>
      </c>
      <c r="Q66" s="49">
        <f>IF(OR(A66="",D66=""),0,MAX(0,NETWORKDAYS(MAX(D66,DATE(Einstellungen!$C$3,6,1)),MIN(J66,DATE(Einstellungen!$C$3,7,0)),Einstellungen!$F$13:$F$32)))</f>
        <v/>
      </c>
      <c r="R66" s="49">
        <f>IF(OR(A66="",D66=""),0,MAX(0,NETWORKDAYS(MAX(D66,DATE(Einstellungen!$C$3,7,1)),MIN(J66,DATE(Einstellungen!$C$3,8,0)),Einstellungen!$F$13:$F$32)))</f>
        <v/>
      </c>
      <c r="S66" s="49">
        <f>IF(OR(A66="",D66=""),0,MAX(0,NETWORKDAYS(MAX(D66,DATE(Einstellungen!$C$3,8,1)),MIN(J66,DATE(Einstellungen!$C$3,9,0)),Einstellungen!$F$13:$F$32)))</f>
        <v/>
      </c>
      <c r="T66" s="49">
        <f>IF(OR(A66="",D66=""),0,MAX(0,NETWORKDAYS(MAX(D66,DATE(Einstellungen!$C$3,9,1)),MIN(J66,DATE(Einstellungen!$C$3,10,0)),Einstellungen!$F$13:$F$32)))</f>
        <v/>
      </c>
      <c r="U66" s="49">
        <f>IF(OR(A66="",D66=""),0,MAX(0,NETWORKDAYS(MAX(D66,DATE(Einstellungen!$C$3,10,1)),MIN(J66,DATE(Einstellungen!$C$3,11,0)),Einstellungen!$F$13:$F$32)))</f>
        <v/>
      </c>
      <c r="V66" s="49">
        <f>IF(OR(A66="",D66=""),0,MAX(0,NETWORKDAYS(MAX(D66,DATE(Einstellungen!$C$3,11,1)),MIN(J66,DATE(Einstellungen!$C$3,12,0)),Einstellungen!$F$13:$F$32)))</f>
        <v/>
      </c>
      <c r="W66" s="49">
        <f>IF(OR(A66="",D66=""),0,MAX(0,NETWORKDAYS(MAX(D66,DATE(Einstellungen!$C$3,12,1)),MIN(J66,DATE(Einstellungen!$C$3,13,0)),Einstellungen!$F$13:$F$32)))</f>
        <v/>
      </c>
      <c r="X66" s="50">
        <f>L66*K66</f>
        <v/>
      </c>
      <c r="Y66" s="50">
        <f>M66*K66</f>
        <v/>
      </c>
      <c r="Z66" s="50">
        <f>N66*K66</f>
        <v/>
      </c>
      <c r="AA66" s="50">
        <f>O66*K66</f>
        <v/>
      </c>
      <c r="AB66" s="50">
        <f>P66*K66</f>
        <v/>
      </c>
      <c r="AC66" s="50">
        <f>Q66*K66</f>
        <v/>
      </c>
      <c r="AD66" s="50">
        <f>R66*K66</f>
        <v/>
      </c>
      <c r="AE66" s="50">
        <f>S66*K66</f>
        <v/>
      </c>
      <c r="AF66" s="50">
        <f>T66*K66</f>
        <v/>
      </c>
      <c r="AG66" s="50">
        <f>U66*K66</f>
        <v/>
      </c>
      <c r="AH66" s="50">
        <f>V66*K66</f>
        <v/>
      </c>
      <c r="AI66" s="50">
        <f>W66*K66</f>
        <v/>
      </c>
    </row>
    <row r="67">
      <c r="A67" s="25" t="n">
        <v>1021</v>
      </c>
      <c r="B67" s="45">
        <f>IF(A67="","",IFERROR(INDEX(Mitarbeiter!$B$6:$B$205,MATCH($A67,Mitarbeiter!$A$6:$A$205,0)),"?"))</f>
        <v/>
      </c>
      <c r="C67" s="46" t="inlineStr">
        <is>
          <t>Objekt 2</t>
        </is>
      </c>
      <c r="D67" s="26" t="n">
        <v>46158</v>
      </c>
      <c r="E67" s="26" t="n"/>
      <c r="F67" s="24">
        <f>IF(A67="","",SUM(L67:W67))</f>
        <v/>
      </c>
      <c r="G67" s="36">
        <f>IF(A67="","",SUM(X67:AI67))</f>
        <v/>
      </c>
      <c r="H67" s="8">
        <f>IF(A67="","",IF(ISNA(MATCH(A67,Mitarbeiter!$A$6:$A$205,0)),"Pers.-Nr. unbekannt",IF(D67="","Von fehlt",IF(AND(C67&lt;&gt;Einstellungen!$C$4,C67&lt;&gt;Einstellungen!$C$5),"Objekt fehlt",IF(J67&lt;D67,"Bis vor Von",IF(D67&lt;INDEX(Mitarbeiter!$C$6:$C$205,MATCH($A67,Mitarbeiter!$A$6:$A$205,0)),"vor Eintritt",IF(AND(INDEX(Mitarbeiter!$D$6:$D$205,MATCH($A67,Mitarbeiter!$A$6:$A$205,0))&lt;&gt;"",D67&gt;INDEX(Mitarbeiter!$D$6:$D$205,MATCH($A67,Mitarbeiter!$A$6:$A$205,0))),"nach Austritt",IF(E67="","offen","ok"))))))))</f>
        <v/>
      </c>
      <c r="J67" s="47">
        <f>IF(A67="","",IF(E67="",Einstellungen!$C$9,E67))</f>
        <v/>
      </c>
      <c r="K67" s="48">
        <f>IF(A67="",0,IFERROR(INDEX(Mitarbeiter!$F$6:$F$205,MATCH($A67,Mitarbeiter!$A$6:$A$205,0)),0))</f>
        <v/>
      </c>
      <c r="L67" s="49">
        <f>IF(OR(A67="",D67=""),0,MAX(0,NETWORKDAYS(MAX(D67,DATE(Einstellungen!$C$3,1,1)),MIN(J67,DATE(Einstellungen!$C$3,2,0)),Einstellungen!$F$13:$F$32)))</f>
        <v/>
      </c>
      <c r="M67" s="49">
        <f>IF(OR(A67="",D67=""),0,MAX(0,NETWORKDAYS(MAX(D67,DATE(Einstellungen!$C$3,2,1)),MIN(J67,DATE(Einstellungen!$C$3,3,0)),Einstellungen!$F$13:$F$32)))</f>
        <v/>
      </c>
      <c r="N67" s="49">
        <f>IF(OR(A67="",D67=""),0,MAX(0,NETWORKDAYS(MAX(D67,DATE(Einstellungen!$C$3,3,1)),MIN(J67,DATE(Einstellungen!$C$3,4,0)),Einstellungen!$F$13:$F$32)))</f>
        <v/>
      </c>
      <c r="O67" s="49">
        <f>IF(OR(A67="",D67=""),0,MAX(0,NETWORKDAYS(MAX(D67,DATE(Einstellungen!$C$3,4,1)),MIN(J67,DATE(Einstellungen!$C$3,5,0)),Einstellungen!$F$13:$F$32)))</f>
        <v/>
      </c>
      <c r="P67" s="49">
        <f>IF(OR(A67="",D67=""),0,MAX(0,NETWORKDAYS(MAX(D67,DATE(Einstellungen!$C$3,5,1)),MIN(J67,DATE(Einstellungen!$C$3,6,0)),Einstellungen!$F$13:$F$32)))</f>
        <v/>
      </c>
      <c r="Q67" s="49">
        <f>IF(OR(A67="",D67=""),0,MAX(0,NETWORKDAYS(MAX(D67,DATE(Einstellungen!$C$3,6,1)),MIN(J67,DATE(Einstellungen!$C$3,7,0)),Einstellungen!$F$13:$F$32)))</f>
        <v/>
      </c>
      <c r="R67" s="49">
        <f>IF(OR(A67="",D67=""),0,MAX(0,NETWORKDAYS(MAX(D67,DATE(Einstellungen!$C$3,7,1)),MIN(J67,DATE(Einstellungen!$C$3,8,0)),Einstellungen!$F$13:$F$32)))</f>
        <v/>
      </c>
      <c r="S67" s="49">
        <f>IF(OR(A67="",D67=""),0,MAX(0,NETWORKDAYS(MAX(D67,DATE(Einstellungen!$C$3,8,1)),MIN(J67,DATE(Einstellungen!$C$3,9,0)),Einstellungen!$F$13:$F$32)))</f>
        <v/>
      </c>
      <c r="T67" s="49">
        <f>IF(OR(A67="",D67=""),0,MAX(0,NETWORKDAYS(MAX(D67,DATE(Einstellungen!$C$3,9,1)),MIN(J67,DATE(Einstellungen!$C$3,10,0)),Einstellungen!$F$13:$F$32)))</f>
        <v/>
      </c>
      <c r="U67" s="49">
        <f>IF(OR(A67="",D67=""),0,MAX(0,NETWORKDAYS(MAX(D67,DATE(Einstellungen!$C$3,10,1)),MIN(J67,DATE(Einstellungen!$C$3,11,0)),Einstellungen!$F$13:$F$32)))</f>
        <v/>
      </c>
      <c r="V67" s="49">
        <f>IF(OR(A67="",D67=""),0,MAX(0,NETWORKDAYS(MAX(D67,DATE(Einstellungen!$C$3,11,1)),MIN(J67,DATE(Einstellungen!$C$3,12,0)),Einstellungen!$F$13:$F$32)))</f>
        <v/>
      </c>
      <c r="W67" s="49">
        <f>IF(OR(A67="",D67=""),0,MAX(0,NETWORKDAYS(MAX(D67,DATE(Einstellungen!$C$3,12,1)),MIN(J67,DATE(Einstellungen!$C$3,13,0)),Einstellungen!$F$13:$F$32)))</f>
        <v/>
      </c>
      <c r="X67" s="50">
        <f>L67*K67</f>
        <v/>
      </c>
      <c r="Y67" s="50">
        <f>M67*K67</f>
        <v/>
      </c>
      <c r="Z67" s="50">
        <f>N67*K67</f>
        <v/>
      </c>
      <c r="AA67" s="50">
        <f>O67*K67</f>
        <v/>
      </c>
      <c r="AB67" s="50">
        <f>P67*K67</f>
        <v/>
      </c>
      <c r="AC67" s="50">
        <f>Q67*K67</f>
        <v/>
      </c>
      <c r="AD67" s="50">
        <f>R67*K67</f>
        <v/>
      </c>
      <c r="AE67" s="50">
        <f>S67*K67</f>
        <v/>
      </c>
      <c r="AF67" s="50">
        <f>T67*K67</f>
        <v/>
      </c>
      <c r="AG67" s="50">
        <f>U67*K67</f>
        <v/>
      </c>
      <c r="AH67" s="50">
        <f>V67*K67</f>
        <v/>
      </c>
      <c r="AI67" s="50">
        <f>W67*K67</f>
        <v/>
      </c>
    </row>
    <row r="68">
      <c r="A68" s="25" t="n">
        <v>1017</v>
      </c>
      <c r="B68" s="45">
        <f>IF(A68="","",IFERROR(INDEX(Mitarbeiter!$B$6:$B$205,MATCH($A68,Mitarbeiter!$A$6:$A$205,0)),"?"))</f>
        <v/>
      </c>
      <c r="C68" s="46" t="inlineStr">
        <is>
          <t>Objekt 1</t>
        </is>
      </c>
      <c r="D68" s="26" t="n">
        <v>46159</v>
      </c>
      <c r="E68" s="26" t="n">
        <v>46161</v>
      </c>
      <c r="F68" s="24">
        <f>IF(A68="","",SUM(L68:W68))</f>
        <v/>
      </c>
      <c r="G68" s="36">
        <f>IF(A68="","",SUM(X68:AI68))</f>
        <v/>
      </c>
      <c r="H68" s="8">
        <f>IF(A68="","",IF(ISNA(MATCH(A68,Mitarbeiter!$A$6:$A$205,0)),"Pers.-Nr. unbekannt",IF(D68="","Von fehlt",IF(AND(C68&lt;&gt;Einstellungen!$C$4,C68&lt;&gt;Einstellungen!$C$5),"Objekt fehlt",IF(J68&lt;D68,"Bis vor Von",IF(D68&lt;INDEX(Mitarbeiter!$C$6:$C$205,MATCH($A68,Mitarbeiter!$A$6:$A$205,0)),"vor Eintritt",IF(AND(INDEX(Mitarbeiter!$D$6:$D$205,MATCH($A68,Mitarbeiter!$A$6:$A$205,0))&lt;&gt;"",D68&gt;INDEX(Mitarbeiter!$D$6:$D$205,MATCH($A68,Mitarbeiter!$A$6:$A$205,0))),"nach Austritt",IF(E68="","offen","ok"))))))))</f>
        <v/>
      </c>
      <c r="J68" s="47">
        <f>IF(A68="","",IF(E68="",Einstellungen!$C$9,E68))</f>
        <v/>
      </c>
      <c r="K68" s="48">
        <f>IF(A68="",0,IFERROR(INDEX(Mitarbeiter!$F$6:$F$205,MATCH($A68,Mitarbeiter!$A$6:$A$205,0)),0))</f>
        <v/>
      </c>
      <c r="L68" s="49">
        <f>IF(OR(A68="",D68=""),0,MAX(0,NETWORKDAYS(MAX(D68,DATE(Einstellungen!$C$3,1,1)),MIN(J68,DATE(Einstellungen!$C$3,2,0)),Einstellungen!$F$13:$F$32)))</f>
        <v/>
      </c>
      <c r="M68" s="49">
        <f>IF(OR(A68="",D68=""),0,MAX(0,NETWORKDAYS(MAX(D68,DATE(Einstellungen!$C$3,2,1)),MIN(J68,DATE(Einstellungen!$C$3,3,0)),Einstellungen!$F$13:$F$32)))</f>
        <v/>
      </c>
      <c r="N68" s="49">
        <f>IF(OR(A68="",D68=""),0,MAX(0,NETWORKDAYS(MAX(D68,DATE(Einstellungen!$C$3,3,1)),MIN(J68,DATE(Einstellungen!$C$3,4,0)),Einstellungen!$F$13:$F$32)))</f>
        <v/>
      </c>
      <c r="O68" s="49">
        <f>IF(OR(A68="",D68=""),0,MAX(0,NETWORKDAYS(MAX(D68,DATE(Einstellungen!$C$3,4,1)),MIN(J68,DATE(Einstellungen!$C$3,5,0)),Einstellungen!$F$13:$F$32)))</f>
        <v/>
      </c>
      <c r="P68" s="49">
        <f>IF(OR(A68="",D68=""),0,MAX(0,NETWORKDAYS(MAX(D68,DATE(Einstellungen!$C$3,5,1)),MIN(J68,DATE(Einstellungen!$C$3,6,0)),Einstellungen!$F$13:$F$32)))</f>
        <v/>
      </c>
      <c r="Q68" s="49">
        <f>IF(OR(A68="",D68=""),0,MAX(0,NETWORKDAYS(MAX(D68,DATE(Einstellungen!$C$3,6,1)),MIN(J68,DATE(Einstellungen!$C$3,7,0)),Einstellungen!$F$13:$F$32)))</f>
        <v/>
      </c>
      <c r="R68" s="49">
        <f>IF(OR(A68="",D68=""),0,MAX(0,NETWORKDAYS(MAX(D68,DATE(Einstellungen!$C$3,7,1)),MIN(J68,DATE(Einstellungen!$C$3,8,0)),Einstellungen!$F$13:$F$32)))</f>
        <v/>
      </c>
      <c r="S68" s="49">
        <f>IF(OR(A68="",D68=""),0,MAX(0,NETWORKDAYS(MAX(D68,DATE(Einstellungen!$C$3,8,1)),MIN(J68,DATE(Einstellungen!$C$3,9,0)),Einstellungen!$F$13:$F$32)))</f>
        <v/>
      </c>
      <c r="T68" s="49">
        <f>IF(OR(A68="",D68=""),0,MAX(0,NETWORKDAYS(MAX(D68,DATE(Einstellungen!$C$3,9,1)),MIN(J68,DATE(Einstellungen!$C$3,10,0)),Einstellungen!$F$13:$F$32)))</f>
        <v/>
      </c>
      <c r="U68" s="49">
        <f>IF(OR(A68="",D68=""),0,MAX(0,NETWORKDAYS(MAX(D68,DATE(Einstellungen!$C$3,10,1)),MIN(J68,DATE(Einstellungen!$C$3,11,0)),Einstellungen!$F$13:$F$32)))</f>
        <v/>
      </c>
      <c r="V68" s="49">
        <f>IF(OR(A68="",D68=""),0,MAX(0,NETWORKDAYS(MAX(D68,DATE(Einstellungen!$C$3,11,1)),MIN(J68,DATE(Einstellungen!$C$3,12,0)),Einstellungen!$F$13:$F$32)))</f>
        <v/>
      </c>
      <c r="W68" s="49">
        <f>IF(OR(A68="",D68=""),0,MAX(0,NETWORKDAYS(MAX(D68,DATE(Einstellungen!$C$3,12,1)),MIN(J68,DATE(Einstellungen!$C$3,13,0)),Einstellungen!$F$13:$F$32)))</f>
        <v/>
      </c>
      <c r="X68" s="50">
        <f>L68*K68</f>
        <v/>
      </c>
      <c r="Y68" s="50">
        <f>M68*K68</f>
        <v/>
      </c>
      <c r="Z68" s="50">
        <f>N68*K68</f>
        <v/>
      </c>
      <c r="AA68" s="50">
        <f>O68*K68</f>
        <v/>
      </c>
      <c r="AB68" s="50">
        <f>P68*K68</f>
        <v/>
      </c>
      <c r="AC68" s="50">
        <f>Q68*K68</f>
        <v/>
      </c>
      <c r="AD68" s="50">
        <f>R68*K68</f>
        <v/>
      </c>
      <c r="AE68" s="50">
        <f>S68*K68</f>
        <v/>
      </c>
      <c r="AF68" s="50">
        <f>T68*K68</f>
        <v/>
      </c>
      <c r="AG68" s="50">
        <f>U68*K68</f>
        <v/>
      </c>
      <c r="AH68" s="50">
        <f>V68*K68</f>
        <v/>
      </c>
      <c r="AI68" s="50">
        <f>W68*K68</f>
        <v/>
      </c>
    </row>
    <row r="69">
      <c r="A69" s="25" t="n">
        <v>1040</v>
      </c>
      <c r="B69" s="45">
        <f>IF(A69="","",IFERROR(INDEX(Mitarbeiter!$B$6:$B$205,MATCH($A69,Mitarbeiter!$A$6:$A$205,0)),"?"))</f>
        <v/>
      </c>
      <c r="C69" s="46" t="inlineStr">
        <is>
          <t>Objekt 2</t>
        </is>
      </c>
      <c r="D69" s="26" t="n">
        <v>46159</v>
      </c>
      <c r="E69" s="26" t="n">
        <v>46172</v>
      </c>
      <c r="F69" s="24">
        <f>IF(A69="","",SUM(L69:W69))</f>
        <v/>
      </c>
      <c r="G69" s="36">
        <f>IF(A69="","",SUM(X69:AI69))</f>
        <v/>
      </c>
      <c r="H69" s="8">
        <f>IF(A69="","",IF(ISNA(MATCH(A69,Mitarbeiter!$A$6:$A$205,0)),"Pers.-Nr. unbekannt",IF(D69="","Von fehlt",IF(AND(C69&lt;&gt;Einstellungen!$C$4,C69&lt;&gt;Einstellungen!$C$5),"Objekt fehlt",IF(J69&lt;D69,"Bis vor Von",IF(D69&lt;INDEX(Mitarbeiter!$C$6:$C$205,MATCH($A69,Mitarbeiter!$A$6:$A$205,0)),"vor Eintritt",IF(AND(INDEX(Mitarbeiter!$D$6:$D$205,MATCH($A69,Mitarbeiter!$A$6:$A$205,0))&lt;&gt;"",D69&gt;INDEX(Mitarbeiter!$D$6:$D$205,MATCH($A69,Mitarbeiter!$A$6:$A$205,0))),"nach Austritt",IF(E69="","offen","ok"))))))))</f>
        <v/>
      </c>
      <c r="J69" s="47">
        <f>IF(A69="","",IF(E69="",Einstellungen!$C$9,E69))</f>
        <v/>
      </c>
      <c r="K69" s="48">
        <f>IF(A69="",0,IFERROR(INDEX(Mitarbeiter!$F$6:$F$205,MATCH($A69,Mitarbeiter!$A$6:$A$205,0)),0))</f>
        <v/>
      </c>
      <c r="L69" s="49">
        <f>IF(OR(A69="",D69=""),0,MAX(0,NETWORKDAYS(MAX(D69,DATE(Einstellungen!$C$3,1,1)),MIN(J69,DATE(Einstellungen!$C$3,2,0)),Einstellungen!$F$13:$F$32)))</f>
        <v/>
      </c>
      <c r="M69" s="49">
        <f>IF(OR(A69="",D69=""),0,MAX(0,NETWORKDAYS(MAX(D69,DATE(Einstellungen!$C$3,2,1)),MIN(J69,DATE(Einstellungen!$C$3,3,0)),Einstellungen!$F$13:$F$32)))</f>
        <v/>
      </c>
      <c r="N69" s="49">
        <f>IF(OR(A69="",D69=""),0,MAX(0,NETWORKDAYS(MAX(D69,DATE(Einstellungen!$C$3,3,1)),MIN(J69,DATE(Einstellungen!$C$3,4,0)),Einstellungen!$F$13:$F$32)))</f>
        <v/>
      </c>
      <c r="O69" s="49">
        <f>IF(OR(A69="",D69=""),0,MAX(0,NETWORKDAYS(MAX(D69,DATE(Einstellungen!$C$3,4,1)),MIN(J69,DATE(Einstellungen!$C$3,5,0)),Einstellungen!$F$13:$F$32)))</f>
        <v/>
      </c>
      <c r="P69" s="49">
        <f>IF(OR(A69="",D69=""),0,MAX(0,NETWORKDAYS(MAX(D69,DATE(Einstellungen!$C$3,5,1)),MIN(J69,DATE(Einstellungen!$C$3,6,0)),Einstellungen!$F$13:$F$32)))</f>
        <v/>
      </c>
      <c r="Q69" s="49">
        <f>IF(OR(A69="",D69=""),0,MAX(0,NETWORKDAYS(MAX(D69,DATE(Einstellungen!$C$3,6,1)),MIN(J69,DATE(Einstellungen!$C$3,7,0)),Einstellungen!$F$13:$F$32)))</f>
        <v/>
      </c>
      <c r="R69" s="49">
        <f>IF(OR(A69="",D69=""),0,MAX(0,NETWORKDAYS(MAX(D69,DATE(Einstellungen!$C$3,7,1)),MIN(J69,DATE(Einstellungen!$C$3,8,0)),Einstellungen!$F$13:$F$32)))</f>
        <v/>
      </c>
      <c r="S69" s="49">
        <f>IF(OR(A69="",D69=""),0,MAX(0,NETWORKDAYS(MAX(D69,DATE(Einstellungen!$C$3,8,1)),MIN(J69,DATE(Einstellungen!$C$3,9,0)),Einstellungen!$F$13:$F$32)))</f>
        <v/>
      </c>
      <c r="T69" s="49">
        <f>IF(OR(A69="",D69=""),0,MAX(0,NETWORKDAYS(MAX(D69,DATE(Einstellungen!$C$3,9,1)),MIN(J69,DATE(Einstellungen!$C$3,10,0)),Einstellungen!$F$13:$F$32)))</f>
        <v/>
      </c>
      <c r="U69" s="49">
        <f>IF(OR(A69="",D69=""),0,MAX(0,NETWORKDAYS(MAX(D69,DATE(Einstellungen!$C$3,10,1)),MIN(J69,DATE(Einstellungen!$C$3,11,0)),Einstellungen!$F$13:$F$32)))</f>
        <v/>
      </c>
      <c r="V69" s="49">
        <f>IF(OR(A69="",D69=""),0,MAX(0,NETWORKDAYS(MAX(D69,DATE(Einstellungen!$C$3,11,1)),MIN(J69,DATE(Einstellungen!$C$3,12,0)),Einstellungen!$F$13:$F$32)))</f>
        <v/>
      </c>
      <c r="W69" s="49">
        <f>IF(OR(A69="",D69=""),0,MAX(0,NETWORKDAYS(MAX(D69,DATE(Einstellungen!$C$3,12,1)),MIN(J69,DATE(Einstellungen!$C$3,13,0)),Einstellungen!$F$13:$F$32)))</f>
        <v/>
      </c>
      <c r="X69" s="50">
        <f>L69*K69</f>
        <v/>
      </c>
      <c r="Y69" s="50">
        <f>M69*K69</f>
        <v/>
      </c>
      <c r="Z69" s="50">
        <f>N69*K69</f>
        <v/>
      </c>
      <c r="AA69" s="50">
        <f>O69*K69</f>
        <v/>
      </c>
      <c r="AB69" s="50">
        <f>P69*K69</f>
        <v/>
      </c>
      <c r="AC69" s="50">
        <f>Q69*K69</f>
        <v/>
      </c>
      <c r="AD69" s="50">
        <f>R69*K69</f>
        <v/>
      </c>
      <c r="AE69" s="50">
        <f>S69*K69</f>
        <v/>
      </c>
      <c r="AF69" s="50">
        <f>T69*K69</f>
        <v/>
      </c>
      <c r="AG69" s="50">
        <f>U69*K69</f>
        <v/>
      </c>
      <c r="AH69" s="50">
        <f>V69*K69</f>
        <v/>
      </c>
      <c r="AI69" s="50">
        <f>W69*K69</f>
        <v/>
      </c>
    </row>
    <row r="70">
      <c r="A70" s="25" t="n">
        <v>1033</v>
      </c>
      <c r="B70" s="45">
        <f>IF(A70="","",IFERROR(INDEX(Mitarbeiter!$B$6:$B$205,MATCH($A70,Mitarbeiter!$A$6:$A$205,0)),"?"))</f>
        <v/>
      </c>
      <c r="C70" s="46" t="inlineStr">
        <is>
          <t>Objekt 2</t>
        </is>
      </c>
      <c r="D70" s="26" t="n">
        <v>46160</v>
      </c>
      <c r="E70" s="26" t="n">
        <v>46162</v>
      </c>
      <c r="F70" s="24">
        <f>IF(A70="","",SUM(L70:W70))</f>
        <v/>
      </c>
      <c r="G70" s="36">
        <f>IF(A70="","",SUM(X70:AI70))</f>
        <v/>
      </c>
      <c r="H70" s="8">
        <f>IF(A70="","",IF(ISNA(MATCH(A70,Mitarbeiter!$A$6:$A$205,0)),"Pers.-Nr. unbekannt",IF(D70="","Von fehlt",IF(AND(C70&lt;&gt;Einstellungen!$C$4,C70&lt;&gt;Einstellungen!$C$5),"Objekt fehlt",IF(J70&lt;D70,"Bis vor Von",IF(D70&lt;INDEX(Mitarbeiter!$C$6:$C$205,MATCH($A70,Mitarbeiter!$A$6:$A$205,0)),"vor Eintritt",IF(AND(INDEX(Mitarbeiter!$D$6:$D$205,MATCH($A70,Mitarbeiter!$A$6:$A$205,0))&lt;&gt;"",D70&gt;INDEX(Mitarbeiter!$D$6:$D$205,MATCH($A70,Mitarbeiter!$A$6:$A$205,0))),"nach Austritt",IF(E70="","offen","ok"))))))))</f>
        <v/>
      </c>
      <c r="J70" s="47">
        <f>IF(A70="","",IF(E70="",Einstellungen!$C$9,E70))</f>
        <v/>
      </c>
      <c r="K70" s="48">
        <f>IF(A70="",0,IFERROR(INDEX(Mitarbeiter!$F$6:$F$205,MATCH($A70,Mitarbeiter!$A$6:$A$205,0)),0))</f>
        <v/>
      </c>
      <c r="L70" s="49">
        <f>IF(OR(A70="",D70=""),0,MAX(0,NETWORKDAYS(MAX(D70,DATE(Einstellungen!$C$3,1,1)),MIN(J70,DATE(Einstellungen!$C$3,2,0)),Einstellungen!$F$13:$F$32)))</f>
        <v/>
      </c>
      <c r="M70" s="49">
        <f>IF(OR(A70="",D70=""),0,MAX(0,NETWORKDAYS(MAX(D70,DATE(Einstellungen!$C$3,2,1)),MIN(J70,DATE(Einstellungen!$C$3,3,0)),Einstellungen!$F$13:$F$32)))</f>
        <v/>
      </c>
      <c r="N70" s="49">
        <f>IF(OR(A70="",D70=""),0,MAX(0,NETWORKDAYS(MAX(D70,DATE(Einstellungen!$C$3,3,1)),MIN(J70,DATE(Einstellungen!$C$3,4,0)),Einstellungen!$F$13:$F$32)))</f>
        <v/>
      </c>
      <c r="O70" s="49">
        <f>IF(OR(A70="",D70=""),0,MAX(0,NETWORKDAYS(MAX(D70,DATE(Einstellungen!$C$3,4,1)),MIN(J70,DATE(Einstellungen!$C$3,5,0)),Einstellungen!$F$13:$F$32)))</f>
        <v/>
      </c>
      <c r="P70" s="49">
        <f>IF(OR(A70="",D70=""),0,MAX(0,NETWORKDAYS(MAX(D70,DATE(Einstellungen!$C$3,5,1)),MIN(J70,DATE(Einstellungen!$C$3,6,0)),Einstellungen!$F$13:$F$32)))</f>
        <v/>
      </c>
      <c r="Q70" s="49">
        <f>IF(OR(A70="",D70=""),0,MAX(0,NETWORKDAYS(MAX(D70,DATE(Einstellungen!$C$3,6,1)),MIN(J70,DATE(Einstellungen!$C$3,7,0)),Einstellungen!$F$13:$F$32)))</f>
        <v/>
      </c>
      <c r="R70" s="49">
        <f>IF(OR(A70="",D70=""),0,MAX(0,NETWORKDAYS(MAX(D70,DATE(Einstellungen!$C$3,7,1)),MIN(J70,DATE(Einstellungen!$C$3,8,0)),Einstellungen!$F$13:$F$32)))</f>
        <v/>
      </c>
      <c r="S70" s="49">
        <f>IF(OR(A70="",D70=""),0,MAX(0,NETWORKDAYS(MAX(D70,DATE(Einstellungen!$C$3,8,1)),MIN(J70,DATE(Einstellungen!$C$3,9,0)),Einstellungen!$F$13:$F$32)))</f>
        <v/>
      </c>
      <c r="T70" s="49">
        <f>IF(OR(A70="",D70=""),0,MAX(0,NETWORKDAYS(MAX(D70,DATE(Einstellungen!$C$3,9,1)),MIN(J70,DATE(Einstellungen!$C$3,10,0)),Einstellungen!$F$13:$F$32)))</f>
        <v/>
      </c>
      <c r="U70" s="49">
        <f>IF(OR(A70="",D70=""),0,MAX(0,NETWORKDAYS(MAX(D70,DATE(Einstellungen!$C$3,10,1)),MIN(J70,DATE(Einstellungen!$C$3,11,0)),Einstellungen!$F$13:$F$32)))</f>
        <v/>
      </c>
      <c r="V70" s="49">
        <f>IF(OR(A70="",D70=""),0,MAX(0,NETWORKDAYS(MAX(D70,DATE(Einstellungen!$C$3,11,1)),MIN(J70,DATE(Einstellungen!$C$3,12,0)),Einstellungen!$F$13:$F$32)))</f>
        <v/>
      </c>
      <c r="W70" s="49">
        <f>IF(OR(A70="",D70=""),0,MAX(0,NETWORKDAYS(MAX(D70,DATE(Einstellungen!$C$3,12,1)),MIN(J70,DATE(Einstellungen!$C$3,13,0)),Einstellungen!$F$13:$F$32)))</f>
        <v/>
      </c>
      <c r="X70" s="50">
        <f>L70*K70</f>
        <v/>
      </c>
      <c r="Y70" s="50">
        <f>M70*K70</f>
        <v/>
      </c>
      <c r="Z70" s="50">
        <f>N70*K70</f>
        <v/>
      </c>
      <c r="AA70" s="50">
        <f>O70*K70</f>
        <v/>
      </c>
      <c r="AB70" s="50">
        <f>P70*K70</f>
        <v/>
      </c>
      <c r="AC70" s="50">
        <f>Q70*K70</f>
        <v/>
      </c>
      <c r="AD70" s="50">
        <f>R70*K70</f>
        <v/>
      </c>
      <c r="AE70" s="50">
        <f>S70*K70</f>
        <v/>
      </c>
      <c r="AF70" s="50">
        <f>T70*K70</f>
        <v/>
      </c>
      <c r="AG70" s="50">
        <f>U70*K70</f>
        <v/>
      </c>
      <c r="AH70" s="50">
        <f>V70*K70</f>
        <v/>
      </c>
      <c r="AI70" s="50">
        <f>W70*K70</f>
        <v/>
      </c>
    </row>
    <row r="71">
      <c r="A71" s="25" t="n">
        <v>1028</v>
      </c>
      <c r="B71" s="45">
        <f>IF(A71="","",IFERROR(INDEX(Mitarbeiter!$B$6:$B$205,MATCH($A71,Mitarbeiter!$A$6:$A$205,0)),"?"))</f>
        <v/>
      </c>
      <c r="C71" s="46" t="inlineStr">
        <is>
          <t>Objekt 2</t>
        </is>
      </c>
      <c r="D71" s="26" t="n">
        <v>46162</v>
      </c>
      <c r="E71" s="26" t="n">
        <v>46162</v>
      </c>
      <c r="F71" s="24">
        <f>IF(A71="","",SUM(L71:W71))</f>
        <v/>
      </c>
      <c r="G71" s="36">
        <f>IF(A71="","",SUM(X71:AI71))</f>
        <v/>
      </c>
      <c r="H71" s="8">
        <f>IF(A71="","",IF(ISNA(MATCH(A71,Mitarbeiter!$A$6:$A$205,0)),"Pers.-Nr. unbekannt",IF(D71="","Von fehlt",IF(AND(C71&lt;&gt;Einstellungen!$C$4,C71&lt;&gt;Einstellungen!$C$5),"Objekt fehlt",IF(J71&lt;D71,"Bis vor Von",IF(D71&lt;INDEX(Mitarbeiter!$C$6:$C$205,MATCH($A71,Mitarbeiter!$A$6:$A$205,0)),"vor Eintritt",IF(AND(INDEX(Mitarbeiter!$D$6:$D$205,MATCH($A71,Mitarbeiter!$A$6:$A$205,0))&lt;&gt;"",D71&gt;INDEX(Mitarbeiter!$D$6:$D$205,MATCH($A71,Mitarbeiter!$A$6:$A$205,0))),"nach Austritt",IF(E71="","offen","ok"))))))))</f>
        <v/>
      </c>
      <c r="J71" s="47">
        <f>IF(A71="","",IF(E71="",Einstellungen!$C$9,E71))</f>
        <v/>
      </c>
      <c r="K71" s="48">
        <f>IF(A71="",0,IFERROR(INDEX(Mitarbeiter!$F$6:$F$205,MATCH($A71,Mitarbeiter!$A$6:$A$205,0)),0))</f>
        <v/>
      </c>
      <c r="L71" s="49">
        <f>IF(OR(A71="",D71=""),0,MAX(0,NETWORKDAYS(MAX(D71,DATE(Einstellungen!$C$3,1,1)),MIN(J71,DATE(Einstellungen!$C$3,2,0)),Einstellungen!$F$13:$F$32)))</f>
        <v/>
      </c>
      <c r="M71" s="49">
        <f>IF(OR(A71="",D71=""),0,MAX(0,NETWORKDAYS(MAX(D71,DATE(Einstellungen!$C$3,2,1)),MIN(J71,DATE(Einstellungen!$C$3,3,0)),Einstellungen!$F$13:$F$32)))</f>
        <v/>
      </c>
      <c r="N71" s="49">
        <f>IF(OR(A71="",D71=""),0,MAX(0,NETWORKDAYS(MAX(D71,DATE(Einstellungen!$C$3,3,1)),MIN(J71,DATE(Einstellungen!$C$3,4,0)),Einstellungen!$F$13:$F$32)))</f>
        <v/>
      </c>
      <c r="O71" s="49">
        <f>IF(OR(A71="",D71=""),0,MAX(0,NETWORKDAYS(MAX(D71,DATE(Einstellungen!$C$3,4,1)),MIN(J71,DATE(Einstellungen!$C$3,5,0)),Einstellungen!$F$13:$F$32)))</f>
        <v/>
      </c>
      <c r="P71" s="49">
        <f>IF(OR(A71="",D71=""),0,MAX(0,NETWORKDAYS(MAX(D71,DATE(Einstellungen!$C$3,5,1)),MIN(J71,DATE(Einstellungen!$C$3,6,0)),Einstellungen!$F$13:$F$32)))</f>
        <v/>
      </c>
      <c r="Q71" s="49">
        <f>IF(OR(A71="",D71=""),0,MAX(0,NETWORKDAYS(MAX(D71,DATE(Einstellungen!$C$3,6,1)),MIN(J71,DATE(Einstellungen!$C$3,7,0)),Einstellungen!$F$13:$F$32)))</f>
        <v/>
      </c>
      <c r="R71" s="49">
        <f>IF(OR(A71="",D71=""),0,MAX(0,NETWORKDAYS(MAX(D71,DATE(Einstellungen!$C$3,7,1)),MIN(J71,DATE(Einstellungen!$C$3,8,0)),Einstellungen!$F$13:$F$32)))</f>
        <v/>
      </c>
      <c r="S71" s="49">
        <f>IF(OR(A71="",D71=""),0,MAX(0,NETWORKDAYS(MAX(D71,DATE(Einstellungen!$C$3,8,1)),MIN(J71,DATE(Einstellungen!$C$3,9,0)),Einstellungen!$F$13:$F$32)))</f>
        <v/>
      </c>
      <c r="T71" s="49">
        <f>IF(OR(A71="",D71=""),0,MAX(0,NETWORKDAYS(MAX(D71,DATE(Einstellungen!$C$3,9,1)),MIN(J71,DATE(Einstellungen!$C$3,10,0)),Einstellungen!$F$13:$F$32)))</f>
        <v/>
      </c>
      <c r="U71" s="49">
        <f>IF(OR(A71="",D71=""),0,MAX(0,NETWORKDAYS(MAX(D71,DATE(Einstellungen!$C$3,10,1)),MIN(J71,DATE(Einstellungen!$C$3,11,0)),Einstellungen!$F$13:$F$32)))</f>
        <v/>
      </c>
      <c r="V71" s="49">
        <f>IF(OR(A71="",D71=""),0,MAX(0,NETWORKDAYS(MAX(D71,DATE(Einstellungen!$C$3,11,1)),MIN(J71,DATE(Einstellungen!$C$3,12,0)),Einstellungen!$F$13:$F$32)))</f>
        <v/>
      </c>
      <c r="W71" s="49">
        <f>IF(OR(A71="",D71=""),0,MAX(0,NETWORKDAYS(MAX(D71,DATE(Einstellungen!$C$3,12,1)),MIN(J71,DATE(Einstellungen!$C$3,13,0)),Einstellungen!$F$13:$F$32)))</f>
        <v/>
      </c>
      <c r="X71" s="50">
        <f>L71*K71</f>
        <v/>
      </c>
      <c r="Y71" s="50">
        <f>M71*K71</f>
        <v/>
      </c>
      <c r="Z71" s="50">
        <f>N71*K71</f>
        <v/>
      </c>
      <c r="AA71" s="50">
        <f>O71*K71</f>
        <v/>
      </c>
      <c r="AB71" s="50">
        <f>P71*K71</f>
        <v/>
      </c>
      <c r="AC71" s="50">
        <f>Q71*K71</f>
        <v/>
      </c>
      <c r="AD71" s="50">
        <f>R71*K71</f>
        <v/>
      </c>
      <c r="AE71" s="50">
        <f>S71*K71</f>
        <v/>
      </c>
      <c r="AF71" s="50">
        <f>T71*K71</f>
        <v/>
      </c>
      <c r="AG71" s="50">
        <f>U71*K71</f>
        <v/>
      </c>
      <c r="AH71" s="50">
        <f>V71*K71</f>
        <v/>
      </c>
      <c r="AI71" s="50">
        <f>W71*K71</f>
        <v/>
      </c>
    </row>
    <row r="72">
      <c r="A72" s="25" t="n">
        <v>1029</v>
      </c>
      <c r="B72" s="45">
        <f>IF(A72="","",IFERROR(INDEX(Mitarbeiter!$B$6:$B$205,MATCH($A72,Mitarbeiter!$A$6:$A$205,0)),"?"))</f>
        <v/>
      </c>
      <c r="C72" s="46" t="inlineStr">
        <is>
          <t>Objekt 1</t>
        </is>
      </c>
      <c r="D72" s="26" t="n">
        <v>46163</v>
      </c>
      <c r="E72" s="26" t="n">
        <v>46163</v>
      </c>
      <c r="F72" s="24">
        <f>IF(A72="","",SUM(L72:W72))</f>
        <v/>
      </c>
      <c r="G72" s="36">
        <f>IF(A72="","",SUM(X72:AI72))</f>
        <v/>
      </c>
      <c r="H72" s="8">
        <f>IF(A72="","",IF(ISNA(MATCH(A72,Mitarbeiter!$A$6:$A$205,0)),"Pers.-Nr. unbekannt",IF(D72="","Von fehlt",IF(AND(C72&lt;&gt;Einstellungen!$C$4,C72&lt;&gt;Einstellungen!$C$5),"Objekt fehlt",IF(J72&lt;D72,"Bis vor Von",IF(D72&lt;INDEX(Mitarbeiter!$C$6:$C$205,MATCH($A72,Mitarbeiter!$A$6:$A$205,0)),"vor Eintritt",IF(AND(INDEX(Mitarbeiter!$D$6:$D$205,MATCH($A72,Mitarbeiter!$A$6:$A$205,0))&lt;&gt;"",D72&gt;INDEX(Mitarbeiter!$D$6:$D$205,MATCH($A72,Mitarbeiter!$A$6:$A$205,0))),"nach Austritt",IF(E72="","offen","ok"))))))))</f>
        <v/>
      </c>
      <c r="J72" s="47">
        <f>IF(A72="","",IF(E72="",Einstellungen!$C$9,E72))</f>
        <v/>
      </c>
      <c r="K72" s="48">
        <f>IF(A72="",0,IFERROR(INDEX(Mitarbeiter!$F$6:$F$205,MATCH($A72,Mitarbeiter!$A$6:$A$205,0)),0))</f>
        <v/>
      </c>
      <c r="L72" s="49">
        <f>IF(OR(A72="",D72=""),0,MAX(0,NETWORKDAYS(MAX(D72,DATE(Einstellungen!$C$3,1,1)),MIN(J72,DATE(Einstellungen!$C$3,2,0)),Einstellungen!$F$13:$F$32)))</f>
        <v/>
      </c>
      <c r="M72" s="49">
        <f>IF(OR(A72="",D72=""),0,MAX(0,NETWORKDAYS(MAX(D72,DATE(Einstellungen!$C$3,2,1)),MIN(J72,DATE(Einstellungen!$C$3,3,0)),Einstellungen!$F$13:$F$32)))</f>
        <v/>
      </c>
      <c r="N72" s="49">
        <f>IF(OR(A72="",D72=""),0,MAX(0,NETWORKDAYS(MAX(D72,DATE(Einstellungen!$C$3,3,1)),MIN(J72,DATE(Einstellungen!$C$3,4,0)),Einstellungen!$F$13:$F$32)))</f>
        <v/>
      </c>
      <c r="O72" s="49">
        <f>IF(OR(A72="",D72=""),0,MAX(0,NETWORKDAYS(MAX(D72,DATE(Einstellungen!$C$3,4,1)),MIN(J72,DATE(Einstellungen!$C$3,5,0)),Einstellungen!$F$13:$F$32)))</f>
        <v/>
      </c>
      <c r="P72" s="49">
        <f>IF(OR(A72="",D72=""),0,MAX(0,NETWORKDAYS(MAX(D72,DATE(Einstellungen!$C$3,5,1)),MIN(J72,DATE(Einstellungen!$C$3,6,0)),Einstellungen!$F$13:$F$32)))</f>
        <v/>
      </c>
      <c r="Q72" s="49">
        <f>IF(OR(A72="",D72=""),0,MAX(0,NETWORKDAYS(MAX(D72,DATE(Einstellungen!$C$3,6,1)),MIN(J72,DATE(Einstellungen!$C$3,7,0)),Einstellungen!$F$13:$F$32)))</f>
        <v/>
      </c>
      <c r="R72" s="49">
        <f>IF(OR(A72="",D72=""),0,MAX(0,NETWORKDAYS(MAX(D72,DATE(Einstellungen!$C$3,7,1)),MIN(J72,DATE(Einstellungen!$C$3,8,0)),Einstellungen!$F$13:$F$32)))</f>
        <v/>
      </c>
      <c r="S72" s="49">
        <f>IF(OR(A72="",D72=""),0,MAX(0,NETWORKDAYS(MAX(D72,DATE(Einstellungen!$C$3,8,1)),MIN(J72,DATE(Einstellungen!$C$3,9,0)),Einstellungen!$F$13:$F$32)))</f>
        <v/>
      </c>
      <c r="T72" s="49">
        <f>IF(OR(A72="",D72=""),0,MAX(0,NETWORKDAYS(MAX(D72,DATE(Einstellungen!$C$3,9,1)),MIN(J72,DATE(Einstellungen!$C$3,10,0)),Einstellungen!$F$13:$F$32)))</f>
        <v/>
      </c>
      <c r="U72" s="49">
        <f>IF(OR(A72="",D72=""),0,MAX(0,NETWORKDAYS(MAX(D72,DATE(Einstellungen!$C$3,10,1)),MIN(J72,DATE(Einstellungen!$C$3,11,0)),Einstellungen!$F$13:$F$32)))</f>
        <v/>
      </c>
      <c r="V72" s="49">
        <f>IF(OR(A72="",D72=""),0,MAX(0,NETWORKDAYS(MAX(D72,DATE(Einstellungen!$C$3,11,1)),MIN(J72,DATE(Einstellungen!$C$3,12,0)),Einstellungen!$F$13:$F$32)))</f>
        <v/>
      </c>
      <c r="W72" s="49">
        <f>IF(OR(A72="",D72=""),0,MAX(0,NETWORKDAYS(MAX(D72,DATE(Einstellungen!$C$3,12,1)),MIN(J72,DATE(Einstellungen!$C$3,13,0)),Einstellungen!$F$13:$F$32)))</f>
        <v/>
      </c>
      <c r="X72" s="50">
        <f>L72*K72</f>
        <v/>
      </c>
      <c r="Y72" s="50">
        <f>M72*K72</f>
        <v/>
      </c>
      <c r="Z72" s="50">
        <f>N72*K72</f>
        <v/>
      </c>
      <c r="AA72" s="50">
        <f>O72*K72</f>
        <v/>
      </c>
      <c r="AB72" s="50">
        <f>P72*K72</f>
        <v/>
      </c>
      <c r="AC72" s="50">
        <f>Q72*K72</f>
        <v/>
      </c>
      <c r="AD72" s="50">
        <f>R72*K72</f>
        <v/>
      </c>
      <c r="AE72" s="50">
        <f>S72*K72</f>
        <v/>
      </c>
      <c r="AF72" s="50">
        <f>T72*K72</f>
        <v/>
      </c>
      <c r="AG72" s="50">
        <f>U72*K72</f>
        <v/>
      </c>
      <c r="AH72" s="50">
        <f>V72*K72</f>
        <v/>
      </c>
      <c r="AI72" s="50">
        <f>W72*K72</f>
        <v/>
      </c>
    </row>
    <row r="73">
      <c r="A73" s="25" t="n">
        <v>1049</v>
      </c>
      <c r="B73" s="45">
        <f>IF(A73="","",IFERROR(INDEX(Mitarbeiter!$B$6:$B$205,MATCH($A73,Mitarbeiter!$A$6:$A$205,0)),"?"))</f>
        <v/>
      </c>
      <c r="C73" s="46" t="inlineStr">
        <is>
          <t>Objekt 2</t>
        </is>
      </c>
      <c r="D73" s="26" t="n">
        <v>46164</v>
      </c>
      <c r="E73" s="26" t="n">
        <v>46166</v>
      </c>
      <c r="F73" s="24">
        <f>IF(A73="","",SUM(L73:W73))</f>
        <v/>
      </c>
      <c r="G73" s="36">
        <f>IF(A73="","",SUM(X73:AI73))</f>
        <v/>
      </c>
      <c r="H73" s="8">
        <f>IF(A73="","",IF(ISNA(MATCH(A73,Mitarbeiter!$A$6:$A$205,0)),"Pers.-Nr. unbekannt",IF(D73="","Von fehlt",IF(AND(C73&lt;&gt;Einstellungen!$C$4,C73&lt;&gt;Einstellungen!$C$5),"Objekt fehlt",IF(J73&lt;D73,"Bis vor Von",IF(D73&lt;INDEX(Mitarbeiter!$C$6:$C$205,MATCH($A73,Mitarbeiter!$A$6:$A$205,0)),"vor Eintritt",IF(AND(INDEX(Mitarbeiter!$D$6:$D$205,MATCH($A73,Mitarbeiter!$A$6:$A$205,0))&lt;&gt;"",D73&gt;INDEX(Mitarbeiter!$D$6:$D$205,MATCH($A73,Mitarbeiter!$A$6:$A$205,0))),"nach Austritt",IF(E73="","offen","ok"))))))))</f>
        <v/>
      </c>
      <c r="J73" s="47">
        <f>IF(A73="","",IF(E73="",Einstellungen!$C$9,E73))</f>
        <v/>
      </c>
      <c r="K73" s="48">
        <f>IF(A73="",0,IFERROR(INDEX(Mitarbeiter!$F$6:$F$205,MATCH($A73,Mitarbeiter!$A$6:$A$205,0)),0))</f>
        <v/>
      </c>
      <c r="L73" s="49">
        <f>IF(OR(A73="",D73=""),0,MAX(0,NETWORKDAYS(MAX(D73,DATE(Einstellungen!$C$3,1,1)),MIN(J73,DATE(Einstellungen!$C$3,2,0)),Einstellungen!$F$13:$F$32)))</f>
        <v/>
      </c>
      <c r="M73" s="49">
        <f>IF(OR(A73="",D73=""),0,MAX(0,NETWORKDAYS(MAX(D73,DATE(Einstellungen!$C$3,2,1)),MIN(J73,DATE(Einstellungen!$C$3,3,0)),Einstellungen!$F$13:$F$32)))</f>
        <v/>
      </c>
      <c r="N73" s="49">
        <f>IF(OR(A73="",D73=""),0,MAX(0,NETWORKDAYS(MAX(D73,DATE(Einstellungen!$C$3,3,1)),MIN(J73,DATE(Einstellungen!$C$3,4,0)),Einstellungen!$F$13:$F$32)))</f>
        <v/>
      </c>
      <c r="O73" s="49">
        <f>IF(OR(A73="",D73=""),0,MAX(0,NETWORKDAYS(MAX(D73,DATE(Einstellungen!$C$3,4,1)),MIN(J73,DATE(Einstellungen!$C$3,5,0)),Einstellungen!$F$13:$F$32)))</f>
        <v/>
      </c>
      <c r="P73" s="49">
        <f>IF(OR(A73="",D73=""),0,MAX(0,NETWORKDAYS(MAX(D73,DATE(Einstellungen!$C$3,5,1)),MIN(J73,DATE(Einstellungen!$C$3,6,0)),Einstellungen!$F$13:$F$32)))</f>
        <v/>
      </c>
      <c r="Q73" s="49">
        <f>IF(OR(A73="",D73=""),0,MAX(0,NETWORKDAYS(MAX(D73,DATE(Einstellungen!$C$3,6,1)),MIN(J73,DATE(Einstellungen!$C$3,7,0)),Einstellungen!$F$13:$F$32)))</f>
        <v/>
      </c>
      <c r="R73" s="49">
        <f>IF(OR(A73="",D73=""),0,MAX(0,NETWORKDAYS(MAX(D73,DATE(Einstellungen!$C$3,7,1)),MIN(J73,DATE(Einstellungen!$C$3,8,0)),Einstellungen!$F$13:$F$32)))</f>
        <v/>
      </c>
      <c r="S73" s="49">
        <f>IF(OR(A73="",D73=""),0,MAX(0,NETWORKDAYS(MAX(D73,DATE(Einstellungen!$C$3,8,1)),MIN(J73,DATE(Einstellungen!$C$3,9,0)),Einstellungen!$F$13:$F$32)))</f>
        <v/>
      </c>
      <c r="T73" s="49">
        <f>IF(OR(A73="",D73=""),0,MAX(0,NETWORKDAYS(MAX(D73,DATE(Einstellungen!$C$3,9,1)),MIN(J73,DATE(Einstellungen!$C$3,10,0)),Einstellungen!$F$13:$F$32)))</f>
        <v/>
      </c>
      <c r="U73" s="49">
        <f>IF(OR(A73="",D73=""),0,MAX(0,NETWORKDAYS(MAX(D73,DATE(Einstellungen!$C$3,10,1)),MIN(J73,DATE(Einstellungen!$C$3,11,0)),Einstellungen!$F$13:$F$32)))</f>
        <v/>
      </c>
      <c r="V73" s="49">
        <f>IF(OR(A73="",D73=""),0,MAX(0,NETWORKDAYS(MAX(D73,DATE(Einstellungen!$C$3,11,1)),MIN(J73,DATE(Einstellungen!$C$3,12,0)),Einstellungen!$F$13:$F$32)))</f>
        <v/>
      </c>
      <c r="W73" s="49">
        <f>IF(OR(A73="",D73=""),0,MAX(0,NETWORKDAYS(MAX(D73,DATE(Einstellungen!$C$3,12,1)),MIN(J73,DATE(Einstellungen!$C$3,13,0)),Einstellungen!$F$13:$F$32)))</f>
        <v/>
      </c>
      <c r="X73" s="50">
        <f>L73*K73</f>
        <v/>
      </c>
      <c r="Y73" s="50">
        <f>M73*K73</f>
        <v/>
      </c>
      <c r="Z73" s="50">
        <f>N73*K73</f>
        <v/>
      </c>
      <c r="AA73" s="50">
        <f>O73*K73</f>
        <v/>
      </c>
      <c r="AB73" s="50">
        <f>P73*K73</f>
        <v/>
      </c>
      <c r="AC73" s="50">
        <f>Q73*K73</f>
        <v/>
      </c>
      <c r="AD73" s="50">
        <f>R73*K73</f>
        <v/>
      </c>
      <c r="AE73" s="50">
        <f>S73*K73</f>
        <v/>
      </c>
      <c r="AF73" s="50">
        <f>T73*K73</f>
        <v/>
      </c>
      <c r="AG73" s="50">
        <f>U73*K73</f>
        <v/>
      </c>
      <c r="AH73" s="50">
        <f>V73*K73</f>
        <v/>
      </c>
      <c r="AI73" s="50">
        <f>W73*K73</f>
        <v/>
      </c>
    </row>
    <row r="74">
      <c r="A74" s="25" t="n">
        <v>1041</v>
      </c>
      <c r="B74" s="45">
        <f>IF(A74="","",IFERROR(INDEX(Mitarbeiter!$B$6:$B$205,MATCH($A74,Mitarbeiter!$A$6:$A$205,0)),"?"))</f>
        <v/>
      </c>
      <c r="C74" s="46" t="inlineStr">
        <is>
          <t>Objekt 2</t>
        </is>
      </c>
      <c r="D74" s="26" t="n">
        <v>46166</v>
      </c>
      <c r="E74" s="26" t="n">
        <v>46166</v>
      </c>
      <c r="F74" s="24">
        <f>IF(A74="","",SUM(L74:W74))</f>
        <v/>
      </c>
      <c r="G74" s="36">
        <f>IF(A74="","",SUM(X74:AI74))</f>
        <v/>
      </c>
      <c r="H74" s="8">
        <f>IF(A74="","",IF(ISNA(MATCH(A74,Mitarbeiter!$A$6:$A$205,0)),"Pers.-Nr. unbekannt",IF(D74="","Von fehlt",IF(AND(C74&lt;&gt;Einstellungen!$C$4,C74&lt;&gt;Einstellungen!$C$5),"Objekt fehlt",IF(J74&lt;D74,"Bis vor Von",IF(D74&lt;INDEX(Mitarbeiter!$C$6:$C$205,MATCH($A74,Mitarbeiter!$A$6:$A$205,0)),"vor Eintritt",IF(AND(INDEX(Mitarbeiter!$D$6:$D$205,MATCH($A74,Mitarbeiter!$A$6:$A$205,0))&lt;&gt;"",D74&gt;INDEX(Mitarbeiter!$D$6:$D$205,MATCH($A74,Mitarbeiter!$A$6:$A$205,0))),"nach Austritt",IF(E74="","offen","ok"))))))))</f>
        <v/>
      </c>
      <c r="J74" s="47">
        <f>IF(A74="","",IF(E74="",Einstellungen!$C$9,E74))</f>
        <v/>
      </c>
      <c r="K74" s="48">
        <f>IF(A74="",0,IFERROR(INDEX(Mitarbeiter!$F$6:$F$205,MATCH($A74,Mitarbeiter!$A$6:$A$205,0)),0))</f>
        <v/>
      </c>
      <c r="L74" s="49">
        <f>IF(OR(A74="",D74=""),0,MAX(0,NETWORKDAYS(MAX(D74,DATE(Einstellungen!$C$3,1,1)),MIN(J74,DATE(Einstellungen!$C$3,2,0)),Einstellungen!$F$13:$F$32)))</f>
        <v/>
      </c>
      <c r="M74" s="49">
        <f>IF(OR(A74="",D74=""),0,MAX(0,NETWORKDAYS(MAX(D74,DATE(Einstellungen!$C$3,2,1)),MIN(J74,DATE(Einstellungen!$C$3,3,0)),Einstellungen!$F$13:$F$32)))</f>
        <v/>
      </c>
      <c r="N74" s="49">
        <f>IF(OR(A74="",D74=""),0,MAX(0,NETWORKDAYS(MAX(D74,DATE(Einstellungen!$C$3,3,1)),MIN(J74,DATE(Einstellungen!$C$3,4,0)),Einstellungen!$F$13:$F$32)))</f>
        <v/>
      </c>
      <c r="O74" s="49">
        <f>IF(OR(A74="",D74=""),0,MAX(0,NETWORKDAYS(MAX(D74,DATE(Einstellungen!$C$3,4,1)),MIN(J74,DATE(Einstellungen!$C$3,5,0)),Einstellungen!$F$13:$F$32)))</f>
        <v/>
      </c>
      <c r="P74" s="49">
        <f>IF(OR(A74="",D74=""),0,MAX(0,NETWORKDAYS(MAX(D74,DATE(Einstellungen!$C$3,5,1)),MIN(J74,DATE(Einstellungen!$C$3,6,0)),Einstellungen!$F$13:$F$32)))</f>
        <v/>
      </c>
      <c r="Q74" s="49">
        <f>IF(OR(A74="",D74=""),0,MAX(0,NETWORKDAYS(MAX(D74,DATE(Einstellungen!$C$3,6,1)),MIN(J74,DATE(Einstellungen!$C$3,7,0)),Einstellungen!$F$13:$F$32)))</f>
        <v/>
      </c>
      <c r="R74" s="49">
        <f>IF(OR(A74="",D74=""),0,MAX(0,NETWORKDAYS(MAX(D74,DATE(Einstellungen!$C$3,7,1)),MIN(J74,DATE(Einstellungen!$C$3,8,0)),Einstellungen!$F$13:$F$32)))</f>
        <v/>
      </c>
      <c r="S74" s="49">
        <f>IF(OR(A74="",D74=""),0,MAX(0,NETWORKDAYS(MAX(D74,DATE(Einstellungen!$C$3,8,1)),MIN(J74,DATE(Einstellungen!$C$3,9,0)),Einstellungen!$F$13:$F$32)))</f>
        <v/>
      </c>
      <c r="T74" s="49">
        <f>IF(OR(A74="",D74=""),0,MAX(0,NETWORKDAYS(MAX(D74,DATE(Einstellungen!$C$3,9,1)),MIN(J74,DATE(Einstellungen!$C$3,10,0)),Einstellungen!$F$13:$F$32)))</f>
        <v/>
      </c>
      <c r="U74" s="49">
        <f>IF(OR(A74="",D74=""),0,MAX(0,NETWORKDAYS(MAX(D74,DATE(Einstellungen!$C$3,10,1)),MIN(J74,DATE(Einstellungen!$C$3,11,0)),Einstellungen!$F$13:$F$32)))</f>
        <v/>
      </c>
      <c r="V74" s="49">
        <f>IF(OR(A74="",D74=""),0,MAX(0,NETWORKDAYS(MAX(D74,DATE(Einstellungen!$C$3,11,1)),MIN(J74,DATE(Einstellungen!$C$3,12,0)),Einstellungen!$F$13:$F$32)))</f>
        <v/>
      </c>
      <c r="W74" s="49">
        <f>IF(OR(A74="",D74=""),0,MAX(0,NETWORKDAYS(MAX(D74,DATE(Einstellungen!$C$3,12,1)),MIN(J74,DATE(Einstellungen!$C$3,13,0)),Einstellungen!$F$13:$F$32)))</f>
        <v/>
      </c>
      <c r="X74" s="50">
        <f>L74*K74</f>
        <v/>
      </c>
      <c r="Y74" s="50">
        <f>M74*K74</f>
        <v/>
      </c>
      <c r="Z74" s="50">
        <f>N74*K74</f>
        <v/>
      </c>
      <c r="AA74" s="50">
        <f>O74*K74</f>
        <v/>
      </c>
      <c r="AB74" s="50">
        <f>P74*K74</f>
        <v/>
      </c>
      <c r="AC74" s="50">
        <f>Q74*K74</f>
        <v/>
      </c>
      <c r="AD74" s="50">
        <f>R74*K74</f>
        <v/>
      </c>
      <c r="AE74" s="50">
        <f>S74*K74</f>
        <v/>
      </c>
      <c r="AF74" s="50">
        <f>T74*K74</f>
        <v/>
      </c>
      <c r="AG74" s="50">
        <f>U74*K74</f>
        <v/>
      </c>
      <c r="AH74" s="50">
        <f>V74*K74</f>
        <v/>
      </c>
      <c r="AI74" s="50">
        <f>W74*K74</f>
        <v/>
      </c>
    </row>
    <row r="75">
      <c r="A75" s="25" t="n">
        <v>1022</v>
      </c>
      <c r="B75" s="45">
        <f>IF(A75="","",IFERROR(INDEX(Mitarbeiter!$B$6:$B$205,MATCH($A75,Mitarbeiter!$A$6:$A$205,0)),"?"))</f>
        <v/>
      </c>
      <c r="C75" s="46" t="inlineStr">
        <is>
          <t>Objekt 2</t>
        </is>
      </c>
      <c r="D75" s="26" t="n">
        <v>46166</v>
      </c>
      <c r="E75" s="26" t="n">
        <v>46166</v>
      </c>
      <c r="F75" s="24">
        <f>IF(A75="","",SUM(L75:W75))</f>
        <v/>
      </c>
      <c r="G75" s="36">
        <f>IF(A75="","",SUM(X75:AI75))</f>
        <v/>
      </c>
      <c r="H75" s="8">
        <f>IF(A75="","",IF(ISNA(MATCH(A75,Mitarbeiter!$A$6:$A$205,0)),"Pers.-Nr. unbekannt",IF(D75="","Von fehlt",IF(AND(C75&lt;&gt;Einstellungen!$C$4,C75&lt;&gt;Einstellungen!$C$5),"Objekt fehlt",IF(J75&lt;D75,"Bis vor Von",IF(D75&lt;INDEX(Mitarbeiter!$C$6:$C$205,MATCH($A75,Mitarbeiter!$A$6:$A$205,0)),"vor Eintritt",IF(AND(INDEX(Mitarbeiter!$D$6:$D$205,MATCH($A75,Mitarbeiter!$A$6:$A$205,0))&lt;&gt;"",D75&gt;INDEX(Mitarbeiter!$D$6:$D$205,MATCH($A75,Mitarbeiter!$A$6:$A$205,0))),"nach Austritt",IF(E75="","offen","ok"))))))))</f>
        <v/>
      </c>
      <c r="J75" s="47">
        <f>IF(A75="","",IF(E75="",Einstellungen!$C$9,E75))</f>
        <v/>
      </c>
      <c r="K75" s="48">
        <f>IF(A75="",0,IFERROR(INDEX(Mitarbeiter!$F$6:$F$205,MATCH($A75,Mitarbeiter!$A$6:$A$205,0)),0))</f>
        <v/>
      </c>
      <c r="L75" s="49">
        <f>IF(OR(A75="",D75=""),0,MAX(0,NETWORKDAYS(MAX(D75,DATE(Einstellungen!$C$3,1,1)),MIN(J75,DATE(Einstellungen!$C$3,2,0)),Einstellungen!$F$13:$F$32)))</f>
        <v/>
      </c>
      <c r="M75" s="49">
        <f>IF(OR(A75="",D75=""),0,MAX(0,NETWORKDAYS(MAX(D75,DATE(Einstellungen!$C$3,2,1)),MIN(J75,DATE(Einstellungen!$C$3,3,0)),Einstellungen!$F$13:$F$32)))</f>
        <v/>
      </c>
      <c r="N75" s="49">
        <f>IF(OR(A75="",D75=""),0,MAX(0,NETWORKDAYS(MAX(D75,DATE(Einstellungen!$C$3,3,1)),MIN(J75,DATE(Einstellungen!$C$3,4,0)),Einstellungen!$F$13:$F$32)))</f>
        <v/>
      </c>
      <c r="O75" s="49">
        <f>IF(OR(A75="",D75=""),0,MAX(0,NETWORKDAYS(MAX(D75,DATE(Einstellungen!$C$3,4,1)),MIN(J75,DATE(Einstellungen!$C$3,5,0)),Einstellungen!$F$13:$F$32)))</f>
        <v/>
      </c>
      <c r="P75" s="49">
        <f>IF(OR(A75="",D75=""),0,MAX(0,NETWORKDAYS(MAX(D75,DATE(Einstellungen!$C$3,5,1)),MIN(J75,DATE(Einstellungen!$C$3,6,0)),Einstellungen!$F$13:$F$32)))</f>
        <v/>
      </c>
      <c r="Q75" s="49">
        <f>IF(OR(A75="",D75=""),0,MAX(0,NETWORKDAYS(MAX(D75,DATE(Einstellungen!$C$3,6,1)),MIN(J75,DATE(Einstellungen!$C$3,7,0)),Einstellungen!$F$13:$F$32)))</f>
        <v/>
      </c>
      <c r="R75" s="49">
        <f>IF(OR(A75="",D75=""),0,MAX(0,NETWORKDAYS(MAX(D75,DATE(Einstellungen!$C$3,7,1)),MIN(J75,DATE(Einstellungen!$C$3,8,0)),Einstellungen!$F$13:$F$32)))</f>
        <v/>
      </c>
      <c r="S75" s="49">
        <f>IF(OR(A75="",D75=""),0,MAX(0,NETWORKDAYS(MAX(D75,DATE(Einstellungen!$C$3,8,1)),MIN(J75,DATE(Einstellungen!$C$3,9,0)),Einstellungen!$F$13:$F$32)))</f>
        <v/>
      </c>
      <c r="T75" s="49">
        <f>IF(OR(A75="",D75=""),0,MAX(0,NETWORKDAYS(MAX(D75,DATE(Einstellungen!$C$3,9,1)),MIN(J75,DATE(Einstellungen!$C$3,10,0)),Einstellungen!$F$13:$F$32)))</f>
        <v/>
      </c>
      <c r="U75" s="49">
        <f>IF(OR(A75="",D75=""),0,MAX(0,NETWORKDAYS(MAX(D75,DATE(Einstellungen!$C$3,10,1)),MIN(J75,DATE(Einstellungen!$C$3,11,0)),Einstellungen!$F$13:$F$32)))</f>
        <v/>
      </c>
      <c r="V75" s="49">
        <f>IF(OR(A75="",D75=""),0,MAX(0,NETWORKDAYS(MAX(D75,DATE(Einstellungen!$C$3,11,1)),MIN(J75,DATE(Einstellungen!$C$3,12,0)),Einstellungen!$F$13:$F$32)))</f>
        <v/>
      </c>
      <c r="W75" s="49">
        <f>IF(OR(A75="",D75=""),0,MAX(0,NETWORKDAYS(MAX(D75,DATE(Einstellungen!$C$3,12,1)),MIN(J75,DATE(Einstellungen!$C$3,13,0)),Einstellungen!$F$13:$F$32)))</f>
        <v/>
      </c>
      <c r="X75" s="50">
        <f>L75*K75</f>
        <v/>
      </c>
      <c r="Y75" s="50">
        <f>M75*K75</f>
        <v/>
      </c>
      <c r="Z75" s="50">
        <f>N75*K75</f>
        <v/>
      </c>
      <c r="AA75" s="50">
        <f>O75*K75</f>
        <v/>
      </c>
      <c r="AB75" s="50">
        <f>P75*K75</f>
        <v/>
      </c>
      <c r="AC75" s="50">
        <f>Q75*K75</f>
        <v/>
      </c>
      <c r="AD75" s="50">
        <f>R75*K75</f>
        <v/>
      </c>
      <c r="AE75" s="50">
        <f>S75*K75</f>
        <v/>
      </c>
      <c r="AF75" s="50">
        <f>T75*K75</f>
        <v/>
      </c>
      <c r="AG75" s="50">
        <f>U75*K75</f>
        <v/>
      </c>
      <c r="AH75" s="50">
        <f>V75*K75</f>
        <v/>
      </c>
      <c r="AI75" s="50">
        <f>W75*K75</f>
        <v/>
      </c>
    </row>
    <row r="76">
      <c r="A76" s="25" t="n">
        <v>1019</v>
      </c>
      <c r="B76" s="45">
        <f>IF(A76="","",IFERROR(INDEX(Mitarbeiter!$B$6:$B$205,MATCH($A76,Mitarbeiter!$A$6:$A$205,0)),"?"))</f>
        <v/>
      </c>
      <c r="C76" s="46" t="inlineStr">
        <is>
          <t>Objekt 1</t>
        </is>
      </c>
      <c r="D76" s="26" t="n">
        <v>46168</v>
      </c>
      <c r="E76" s="26" t="n">
        <v>46172</v>
      </c>
      <c r="F76" s="24">
        <f>IF(A76="","",SUM(L76:W76))</f>
        <v/>
      </c>
      <c r="G76" s="36">
        <f>IF(A76="","",SUM(X76:AI76))</f>
        <v/>
      </c>
      <c r="H76" s="8">
        <f>IF(A76="","",IF(ISNA(MATCH(A76,Mitarbeiter!$A$6:$A$205,0)),"Pers.-Nr. unbekannt",IF(D76="","Von fehlt",IF(AND(C76&lt;&gt;Einstellungen!$C$4,C76&lt;&gt;Einstellungen!$C$5),"Objekt fehlt",IF(J76&lt;D76,"Bis vor Von",IF(D76&lt;INDEX(Mitarbeiter!$C$6:$C$205,MATCH($A76,Mitarbeiter!$A$6:$A$205,0)),"vor Eintritt",IF(AND(INDEX(Mitarbeiter!$D$6:$D$205,MATCH($A76,Mitarbeiter!$A$6:$A$205,0))&lt;&gt;"",D76&gt;INDEX(Mitarbeiter!$D$6:$D$205,MATCH($A76,Mitarbeiter!$A$6:$A$205,0))),"nach Austritt",IF(E76="","offen","ok"))))))))</f>
        <v/>
      </c>
      <c r="J76" s="47">
        <f>IF(A76="","",IF(E76="",Einstellungen!$C$9,E76))</f>
        <v/>
      </c>
      <c r="K76" s="48">
        <f>IF(A76="",0,IFERROR(INDEX(Mitarbeiter!$F$6:$F$205,MATCH($A76,Mitarbeiter!$A$6:$A$205,0)),0))</f>
        <v/>
      </c>
      <c r="L76" s="49">
        <f>IF(OR(A76="",D76=""),0,MAX(0,NETWORKDAYS(MAX(D76,DATE(Einstellungen!$C$3,1,1)),MIN(J76,DATE(Einstellungen!$C$3,2,0)),Einstellungen!$F$13:$F$32)))</f>
        <v/>
      </c>
      <c r="M76" s="49">
        <f>IF(OR(A76="",D76=""),0,MAX(0,NETWORKDAYS(MAX(D76,DATE(Einstellungen!$C$3,2,1)),MIN(J76,DATE(Einstellungen!$C$3,3,0)),Einstellungen!$F$13:$F$32)))</f>
        <v/>
      </c>
      <c r="N76" s="49">
        <f>IF(OR(A76="",D76=""),0,MAX(0,NETWORKDAYS(MAX(D76,DATE(Einstellungen!$C$3,3,1)),MIN(J76,DATE(Einstellungen!$C$3,4,0)),Einstellungen!$F$13:$F$32)))</f>
        <v/>
      </c>
      <c r="O76" s="49">
        <f>IF(OR(A76="",D76=""),0,MAX(0,NETWORKDAYS(MAX(D76,DATE(Einstellungen!$C$3,4,1)),MIN(J76,DATE(Einstellungen!$C$3,5,0)),Einstellungen!$F$13:$F$32)))</f>
        <v/>
      </c>
      <c r="P76" s="49">
        <f>IF(OR(A76="",D76=""),0,MAX(0,NETWORKDAYS(MAX(D76,DATE(Einstellungen!$C$3,5,1)),MIN(J76,DATE(Einstellungen!$C$3,6,0)),Einstellungen!$F$13:$F$32)))</f>
        <v/>
      </c>
      <c r="Q76" s="49">
        <f>IF(OR(A76="",D76=""),0,MAX(0,NETWORKDAYS(MAX(D76,DATE(Einstellungen!$C$3,6,1)),MIN(J76,DATE(Einstellungen!$C$3,7,0)),Einstellungen!$F$13:$F$32)))</f>
        <v/>
      </c>
      <c r="R76" s="49">
        <f>IF(OR(A76="",D76=""),0,MAX(0,NETWORKDAYS(MAX(D76,DATE(Einstellungen!$C$3,7,1)),MIN(J76,DATE(Einstellungen!$C$3,8,0)),Einstellungen!$F$13:$F$32)))</f>
        <v/>
      </c>
      <c r="S76" s="49">
        <f>IF(OR(A76="",D76=""),0,MAX(0,NETWORKDAYS(MAX(D76,DATE(Einstellungen!$C$3,8,1)),MIN(J76,DATE(Einstellungen!$C$3,9,0)),Einstellungen!$F$13:$F$32)))</f>
        <v/>
      </c>
      <c r="T76" s="49">
        <f>IF(OR(A76="",D76=""),0,MAX(0,NETWORKDAYS(MAX(D76,DATE(Einstellungen!$C$3,9,1)),MIN(J76,DATE(Einstellungen!$C$3,10,0)),Einstellungen!$F$13:$F$32)))</f>
        <v/>
      </c>
      <c r="U76" s="49">
        <f>IF(OR(A76="",D76=""),0,MAX(0,NETWORKDAYS(MAX(D76,DATE(Einstellungen!$C$3,10,1)),MIN(J76,DATE(Einstellungen!$C$3,11,0)),Einstellungen!$F$13:$F$32)))</f>
        <v/>
      </c>
      <c r="V76" s="49">
        <f>IF(OR(A76="",D76=""),0,MAX(0,NETWORKDAYS(MAX(D76,DATE(Einstellungen!$C$3,11,1)),MIN(J76,DATE(Einstellungen!$C$3,12,0)),Einstellungen!$F$13:$F$32)))</f>
        <v/>
      </c>
      <c r="W76" s="49">
        <f>IF(OR(A76="",D76=""),0,MAX(0,NETWORKDAYS(MAX(D76,DATE(Einstellungen!$C$3,12,1)),MIN(J76,DATE(Einstellungen!$C$3,13,0)),Einstellungen!$F$13:$F$32)))</f>
        <v/>
      </c>
      <c r="X76" s="50">
        <f>L76*K76</f>
        <v/>
      </c>
      <c r="Y76" s="50">
        <f>M76*K76</f>
        <v/>
      </c>
      <c r="Z76" s="50">
        <f>N76*K76</f>
        <v/>
      </c>
      <c r="AA76" s="50">
        <f>O76*K76</f>
        <v/>
      </c>
      <c r="AB76" s="50">
        <f>P76*K76</f>
        <v/>
      </c>
      <c r="AC76" s="50">
        <f>Q76*K76</f>
        <v/>
      </c>
      <c r="AD76" s="50">
        <f>R76*K76</f>
        <v/>
      </c>
      <c r="AE76" s="50">
        <f>S76*K76</f>
        <v/>
      </c>
      <c r="AF76" s="50">
        <f>T76*K76</f>
        <v/>
      </c>
      <c r="AG76" s="50">
        <f>U76*K76</f>
        <v/>
      </c>
      <c r="AH76" s="50">
        <f>V76*K76</f>
        <v/>
      </c>
      <c r="AI76" s="50">
        <f>W76*K76</f>
        <v/>
      </c>
    </row>
    <row r="77">
      <c r="A77" s="25" t="n">
        <v>1049</v>
      </c>
      <c r="B77" s="45">
        <f>IF(A77="","",IFERROR(INDEX(Mitarbeiter!$B$6:$B$205,MATCH($A77,Mitarbeiter!$A$6:$A$205,0)),"?"))</f>
        <v/>
      </c>
      <c r="C77" s="46" t="inlineStr">
        <is>
          <t>Objekt 2</t>
        </is>
      </c>
      <c r="D77" s="26" t="n">
        <v>46174</v>
      </c>
      <c r="E77" s="26" t="n">
        <v>46187</v>
      </c>
      <c r="F77" s="24">
        <f>IF(A77="","",SUM(L77:W77))</f>
        <v/>
      </c>
      <c r="G77" s="36">
        <f>IF(A77="","",SUM(X77:AI77))</f>
        <v/>
      </c>
      <c r="H77" s="8">
        <f>IF(A77="","",IF(ISNA(MATCH(A77,Mitarbeiter!$A$6:$A$205,0)),"Pers.-Nr. unbekannt",IF(D77="","Von fehlt",IF(AND(C77&lt;&gt;Einstellungen!$C$4,C77&lt;&gt;Einstellungen!$C$5),"Objekt fehlt",IF(J77&lt;D77,"Bis vor Von",IF(D77&lt;INDEX(Mitarbeiter!$C$6:$C$205,MATCH($A77,Mitarbeiter!$A$6:$A$205,0)),"vor Eintritt",IF(AND(INDEX(Mitarbeiter!$D$6:$D$205,MATCH($A77,Mitarbeiter!$A$6:$A$205,0))&lt;&gt;"",D77&gt;INDEX(Mitarbeiter!$D$6:$D$205,MATCH($A77,Mitarbeiter!$A$6:$A$205,0))),"nach Austritt",IF(E77="","offen","ok"))))))))</f>
        <v/>
      </c>
      <c r="J77" s="47">
        <f>IF(A77="","",IF(E77="",Einstellungen!$C$9,E77))</f>
        <v/>
      </c>
      <c r="K77" s="48">
        <f>IF(A77="",0,IFERROR(INDEX(Mitarbeiter!$F$6:$F$205,MATCH($A77,Mitarbeiter!$A$6:$A$205,0)),0))</f>
        <v/>
      </c>
      <c r="L77" s="49">
        <f>IF(OR(A77="",D77=""),0,MAX(0,NETWORKDAYS(MAX(D77,DATE(Einstellungen!$C$3,1,1)),MIN(J77,DATE(Einstellungen!$C$3,2,0)),Einstellungen!$F$13:$F$32)))</f>
        <v/>
      </c>
      <c r="M77" s="49">
        <f>IF(OR(A77="",D77=""),0,MAX(0,NETWORKDAYS(MAX(D77,DATE(Einstellungen!$C$3,2,1)),MIN(J77,DATE(Einstellungen!$C$3,3,0)),Einstellungen!$F$13:$F$32)))</f>
        <v/>
      </c>
      <c r="N77" s="49">
        <f>IF(OR(A77="",D77=""),0,MAX(0,NETWORKDAYS(MAX(D77,DATE(Einstellungen!$C$3,3,1)),MIN(J77,DATE(Einstellungen!$C$3,4,0)),Einstellungen!$F$13:$F$32)))</f>
        <v/>
      </c>
      <c r="O77" s="49">
        <f>IF(OR(A77="",D77=""),0,MAX(0,NETWORKDAYS(MAX(D77,DATE(Einstellungen!$C$3,4,1)),MIN(J77,DATE(Einstellungen!$C$3,5,0)),Einstellungen!$F$13:$F$32)))</f>
        <v/>
      </c>
      <c r="P77" s="49">
        <f>IF(OR(A77="",D77=""),0,MAX(0,NETWORKDAYS(MAX(D77,DATE(Einstellungen!$C$3,5,1)),MIN(J77,DATE(Einstellungen!$C$3,6,0)),Einstellungen!$F$13:$F$32)))</f>
        <v/>
      </c>
      <c r="Q77" s="49">
        <f>IF(OR(A77="",D77=""),0,MAX(0,NETWORKDAYS(MAX(D77,DATE(Einstellungen!$C$3,6,1)),MIN(J77,DATE(Einstellungen!$C$3,7,0)),Einstellungen!$F$13:$F$32)))</f>
        <v/>
      </c>
      <c r="R77" s="49">
        <f>IF(OR(A77="",D77=""),0,MAX(0,NETWORKDAYS(MAX(D77,DATE(Einstellungen!$C$3,7,1)),MIN(J77,DATE(Einstellungen!$C$3,8,0)),Einstellungen!$F$13:$F$32)))</f>
        <v/>
      </c>
      <c r="S77" s="49">
        <f>IF(OR(A77="",D77=""),0,MAX(0,NETWORKDAYS(MAX(D77,DATE(Einstellungen!$C$3,8,1)),MIN(J77,DATE(Einstellungen!$C$3,9,0)),Einstellungen!$F$13:$F$32)))</f>
        <v/>
      </c>
      <c r="T77" s="49">
        <f>IF(OR(A77="",D77=""),0,MAX(0,NETWORKDAYS(MAX(D77,DATE(Einstellungen!$C$3,9,1)),MIN(J77,DATE(Einstellungen!$C$3,10,0)),Einstellungen!$F$13:$F$32)))</f>
        <v/>
      </c>
      <c r="U77" s="49">
        <f>IF(OR(A77="",D77=""),0,MAX(0,NETWORKDAYS(MAX(D77,DATE(Einstellungen!$C$3,10,1)),MIN(J77,DATE(Einstellungen!$C$3,11,0)),Einstellungen!$F$13:$F$32)))</f>
        <v/>
      </c>
      <c r="V77" s="49">
        <f>IF(OR(A77="",D77=""),0,MAX(0,NETWORKDAYS(MAX(D77,DATE(Einstellungen!$C$3,11,1)),MIN(J77,DATE(Einstellungen!$C$3,12,0)),Einstellungen!$F$13:$F$32)))</f>
        <v/>
      </c>
      <c r="W77" s="49">
        <f>IF(OR(A77="",D77=""),0,MAX(0,NETWORKDAYS(MAX(D77,DATE(Einstellungen!$C$3,12,1)),MIN(J77,DATE(Einstellungen!$C$3,13,0)),Einstellungen!$F$13:$F$32)))</f>
        <v/>
      </c>
      <c r="X77" s="50">
        <f>L77*K77</f>
        <v/>
      </c>
      <c r="Y77" s="50">
        <f>M77*K77</f>
        <v/>
      </c>
      <c r="Z77" s="50">
        <f>N77*K77</f>
        <v/>
      </c>
      <c r="AA77" s="50">
        <f>O77*K77</f>
        <v/>
      </c>
      <c r="AB77" s="50">
        <f>P77*K77</f>
        <v/>
      </c>
      <c r="AC77" s="50">
        <f>Q77*K77</f>
        <v/>
      </c>
      <c r="AD77" s="50">
        <f>R77*K77</f>
        <v/>
      </c>
      <c r="AE77" s="50">
        <f>S77*K77</f>
        <v/>
      </c>
      <c r="AF77" s="50">
        <f>T77*K77</f>
        <v/>
      </c>
      <c r="AG77" s="50">
        <f>U77*K77</f>
        <v/>
      </c>
      <c r="AH77" s="50">
        <f>V77*K77</f>
        <v/>
      </c>
      <c r="AI77" s="50">
        <f>W77*K77</f>
        <v/>
      </c>
    </row>
    <row r="78">
      <c r="A78" s="25" t="n">
        <v>1019</v>
      </c>
      <c r="B78" s="45">
        <f>IF(A78="","",IFERROR(INDEX(Mitarbeiter!$B$6:$B$205,MATCH($A78,Mitarbeiter!$A$6:$A$205,0)),"?"))</f>
        <v/>
      </c>
      <c r="C78" s="46" t="inlineStr">
        <is>
          <t>Objekt 2</t>
        </is>
      </c>
      <c r="D78" s="26" t="n">
        <v>46177</v>
      </c>
      <c r="E78" s="26" t="n">
        <v>46178</v>
      </c>
      <c r="F78" s="24">
        <f>IF(A78="","",SUM(L78:W78))</f>
        <v/>
      </c>
      <c r="G78" s="36">
        <f>IF(A78="","",SUM(X78:AI78))</f>
        <v/>
      </c>
      <c r="H78" s="8">
        <f>IF(A78="","",IF(ISNA(MATCH(A78,Mitarbeiter!$A$6:$A$205,0)),"Pers.-Nr. unbekannt",IF(D78="","Von fehlt",IF(AND(C78&lt;&gt;Einstellungen!$C$4,C78&lt;&gt;Einstellungen!$C$5),"Objekt fehlt",IF(J78&lt;D78,"Bis vor Von",IF(D78&lt;INDEX(Mitarbeiter!$C$6:$C$205,MATCH($A78,Mitarbeiter!$A$6:$A$205,0)),"vor Eintritt",IF(AND(INDEX(Mitarbeiter!$D$6:$D$205,MATCH($A78,Mitarbeiter!$A$6:$A$205,0))&lt;&gt;"",D78&gt;INDEX(Mitarbeiter!$D$6:$D$205,MATCH($A78,Mitarbeiter!$A$6:$A$205,0))),"nach Austritt",IF(E78="","offen","ok"))))))))</f>
        <v/>
      </c>
      <c r="J78" s="47">
        <f>IF(A78="","",IF(E78="",Einstellungen!$C$9,E78))</f>
        <v/>
      </c>
      <c r="K78" s="48">
        <f>IF(A78="",0,IFERROR(INDEX(Mitarbeiter!$F$6:$F$205,MATCH($A78,Mitarbeiter!$A$6:$A$205,0)),0))</f>
        <v/>
      </c>
      <c r="L78" s="49">
        <f>IF(OR(A78="",D78=""),0,MAX(0,NETWORKDAYS(MAX(D78,DATE(Einstellungen!$C$3,1,1)),MIN(J78,DATE(Einstellungen!$C$3,2,0)),Einstellungen!$F$13:$F$32)))</f>
        <v/>
      </c>
      <c r="M78" s="49">
        <f>IF(OR(A78="",D78=""),0,MAX(0,NETWORKDAYS(MAX(D78,DATE(Einstellungen!$C$3,2,1)),MIN(J78,DATE(Einstellungen!$C$3,3,0)),Einstellungen!$F$13:$F$32)))</f>
        <v/>
      </c>
      <c r="N78" s="49">
        <f>IF(OR(A78="",D78=""),0,MAX(0,NETWORKDAYS(MAX(D78,DATE(Einstellungen!$C$3,3,1)),MIN(J78,DATE(Einstellungen!$C$3,4,0)),Einstellungen!$F$13:$F$32)))</f>
        <v/>
      </c>
      <c r="O78" s="49">
        <f>IF(OR(A78="",D78=""),0,MAX(0,NETWORKDAYS(MAX(D78,DATE(Einstellungen!$C$3,4,1)),MIN(J78,DATE(Einstellungen!$C$3,5,0)),Einstellungen!$F$13:$F$32)))</f>
        <v/>
      </c>
      <c r="P78" s="49">
        <f>IF(OR(A78="",D78=""),0,MAX(0,NETWORKDAYS(MAX(D78,DATE(Einstellungen!$C$3,5,1)),MIN(J78,DATE(Einstellungen!$C$3,6,0)),Einstellungen!$F$13:$F$32)))</f>
        <v/>
      </c>
      <c r="Q78" s="49">
        <f>IF(OR(A78="",D78=""),0,MAX(0,NETWORKDAYS(MAX(D78,DATE(Einstellungen!$C$3,6,1)),MIN(J78,DATE(Einstellungen!$C$3,7,0)),Einstellungen!$F$13:$F$32)))</f>
        <v/>
      </c>
      <c r="R78" s="49">
        <f>IF(OR(A78="",D78=""),0,MAX(0,NETWORKDAYS(MAX(D78,DATE(Einstellungen!$C$3,7,1)),MIN(J78,DATE(Einstellungen!$C$3,8,0)),Einstellungen!$F$13:$F$32)))</f>
        <v/>
      </c>
      <c r="S78" s="49">
        <f>IF(OR(A78="",D78=""),0,MAX(0,NETWORKDAYS(MAX(D78,DATE(Einstellungen!$C$3,8,1)),MIN(J78,DATE(Einstellungen!$C$3,9,0)),Einstellungen!$F$13:$F$32)))</f>
        <v/>
      </c>
      <c r="T78" s="49">
        <f>IF(OR(A78="",D78=""),0,MAX(0,NETWORKDAYS(MAX(D78,DATE(Einstellungen!$C$3,9,1)),MIN(J78,DATE(Einstellungen!$C$3,10,0)),Einstellungen!$F$13:$F$32)))</f>
        <v/>
      </c>
      <c r="U78" s="49">
        <f>IF(OR(A78="",D78=""),0,MAX(0,NETWORKDAYS(MAX(D78,DATE(Einstellungen!$C$3,10,1)),MIN(J78,DATE(Einstellungen!$C$3,11,0)),Einstellungen!$F$13:$F$32)))</f>
        <v/>
      </c>
      <c r="V78" s="49">
        <f>IF(OR(A78="",D78=""),0,MAX(0,NETWORKDAYS(MAX(D78,DATE(Einstellungen!$C$3,11,1)),MIN(J78,DATE(Einstellungen!$C$3,12,0)),Einstellungen!$F$13:$F$32)))</f>
        <v/>
      </c>
      <c r="W78" s="49">
        <f>IF(OR(A78="",D78=""),0,MAX(0,NETWORKDAYS(MAX(D78,DATE(Einstellungen!$C$3,12,1)),MIN(J78,DATE(Einstellungen!$C$3,13,0)),Einstellungen!$F$13:$F$32)))</f>
        <v/>
      </c>
      <c r="X78" s="50">
        <f>L78*K78</f>
        <v/>
      </c>
      <c r="Y78" s="50">
        <f>M78*K78</f>
        <v/>
      </c>
      <c r="Z78" s="50">
        <f>N78*K78</f>
        <v/>
      </c>
      <c r="AA78" s="50">
        <f>O78*K78</f>
        <v/>
      </c>
      <c r="AB78" s="50">
        <f>P78*K78</f>
        <v/>
      </c>
      <c r="AC78" s="50">
        <f>Q78*K78</f>
        <v/>
      </c>
      <c r="AD78" s="50">
        <f>R78*K78</f>
        <v/>
      </c>
      <c r="AE78" s="50">
        <f>S78*K78</f>
        <v/>
      </c>
      <c r="AF78" s="50">
        <f>T78*K78</f>
        <v/>
      </c>
      <c r="AG78" s="50">
        <f>U78*K78</f>
        <v/>
      </c>
      <c r="AH78" s="50">
        <f>V78*K78</f>
        <v/>
      </c>
      <c r="AI78" s="50">
        <f>W78*K78</f>
        <v/>
      </c>
    </row>
    <row r="79">
      <c r="A79" s="25" t="n">
        <v>1025</v>
      </c>
      <c r="B79" s="45">
        <f>IF(A79="","",IFERROR(INDEX(Mitarbeiter!$B$6:$B$205,MATCH($A79,Mitarbeiter!$A$6:$A$205,0)),"?"))</f>
        <v/>
      </c>
      <c r="C79" s="46" t="inlineStr">
        <is>
          <t>Objekt 2</t>
        </is>
      </c>
      <c r="D79" s="26" t="n">
        <v>46177</v>
      </c>
      <c r="E79" s="26" t="n">
        <v>46183</v>
      </c>
      <c r="F79" s="24">
        <f>IF(A79="","",SUM(L79:W79))</f>
        <v/>
      </c>
      <c r="G79" s="36">
        <f>IF(A79="","",SUM(X79:AI79))</f>
        <v/>
      </c>
      <c r="H79" s="8">
        <f>IF(A79="","",IF(ISNA(MATCH(A79,Mitarbeiter!$A$6:$A$205,0)),"Pers.-Nr. unbekannt",IF(D79="","Von fehlt",IF(AND(C79&lt;&gt;Einstellungen!$C$4,C79&lt;&gt;Einstellungen!$C$5),"Objekt fehlt",IF(J79&lt;D79,"Bis vor Von",IF(D79&lt;INDEX(Mitarbeiter!$C$6:$C$205,MATCH($A79,Mitarbeiter!$A$6:$A$205,0)),"vor Eintritt",IF(AND(INDEX(Mitarbeiter!$D$6:$D$205,MATCH($A79,Mitarbeiter!$A$6:$A$205,0))&lt;&gt;"",D79&gt;INDEX(Mitarbeiter!$D$6:$D$205,MATCH($A79,Mitarbeiter!$A$6:$A$205,0))),"nach Austritt",IF(E79="","offen","ok"))))))))</f>
        <v/>
      </c>
      <c r="J79" s="47">
        <f>IF(A79="","",IF(E79="",Einstellungen!$C$9,E79))</f>
        <v/>
      </c>
      <c r="K79" s="48">
        <f>IF(A79="",0,IFERROR(INDEX(Mitarbeiter!$F$6:$F$205,MATCH($A79,Mitarbeiter!$A$6:$A$205,0)),0))</f>
        <v/>
      </c>
      <c r="L79" s="49">
        <f>IF(OR(A79="",D79=""),0,MAX(0,NETWORKDAYS(MAX(D79,DATE(Einstellungen!$C$3,1,1)),MIN(J79,DATE(Einstellungen!$C$3,2,0)),Einstellungen!$F$13:$F$32)))</f>
        <v/>
      </c>
      <c r="M79" s="49">
        <f>IF(OR(A79="",D79=""),0,MAX(0,NETWORKDAYS(MAX(D79,DATE(Einstellungen!$C$3,2,1)),MIN(J79,DATE(Einstellungen!$C$3,3,0)),Einstellungen!$F$13:$F$32)))</f>
        <v/>
      </c>
      <c r="N79" s="49">
        <f>IF(OR(A79="",D79=""),0,MAX(0,NETWORKDAYS(MAX(D79,DATE(Einstellungen!$C$3,3,1)),MIN(J79,DATE(Einstellungen!$C$3,4,0)),Einstellungen!$F$13:$F$32)))</f>
        <v/>
      </c>
      <c r="O79" s="49">
        <f>IF(OR(A79="",D79=""),0,MAX(0,NETWORKDAYS(MAX(D79,DATE(Einstellungen!$C$3,4,1)),MIN(J79,DATE(Einstellungen!$C$3,5,0)),Einstellungen!$F$13:$F$32)))</f>
        <v/>
      </c>
      <c r="P79" s="49">
        <f>IF(OR(A79="",D79=""),0,MAX(0,NETWORKDAYS(MAX(D79,DATE(Einstellungen!$C$3,5,1)),MIN(J79,DATE(Einstellungen!$C$3,6,0)),Einstellungen!$F$13:$F$32)))</f>
        <v/>
      </c>
      <c r="Q79" s="49">
        <f>IF(OR(A79="",D79=""),0,MAX(0,NETWORKDAYS(MAX(D79,DATE(Einstellungen!$C$3,6,1)),MIN(J79,DATE(Einstellungen!$C$3,7,0)),Einstellungen!$F$13:$F$32)))</f>
        <v/>
      </c>
      <c r="R79" s="49">
        <f>IF(OR(A79="",D79=""),0,MAX(0,NETWORKDAYS(MAX(D79,DATE(Einstellungen!$C$3,7,1)),MIN(J79,DATE(Einstellungen!$C$3,8,0)),Einstellungen!$F$13:$F$32)))</f>
        <v/>
      </c>
      <c r="S79" s="49">
        <f>IF(OR(A79="",D79=""),0,MAX(0,NETWORKDAYS(MAX(D79,DATE(Einstellungen!$C$3,8,1)),MIN(J79,DATE(Einstellungen!$C$3,9,0)),Einstellungen!$F$13:$F$32)))</f>
        <v/>
      </c>
      <c r="T79" s="49">
        <f>IF(OR(A79="",D79=""),0,MAX(0,NETWORKDAYS(MAX(D79,DATE(Einstellungen!$C$3,9,1)),MIN(J79,DATE(Einstellungen!$C$3,10,0)),Einstellungen!$F$13:$F$32)))</f>
        <v/>
      </c>
      <c r="U79" s="49">
        <f>IF(OR(A79="",D79=""),0,MAX(0,NETWORKDAYS(MAX(D79,DATE(Einstellungen!$C$3,10,1)),MIN(J79,DATE(Einstellungen!$C$3,11,0)),Einstellungen!$F$13:$F$32)))</f>
        <v/>
      </c>
      <c r="V79" s="49">
        <f>IF(OR(A79="",D79=""),0,MAX(0,NETWORKDAYS(MAX(D79,DATE(Einstellungen!$C$3,11,1)),MIN(J79,DATE(Einstellungen!$C$3,12,0)),Einstellungen!$F$13:$F$32)))</f>
        <v/>
      </c>
      <c r="W79" s="49">
        <f>IF(OR(A79="",D79=""),0,MAX(0,NETWORKDAYS(MAX(D79,DATE(Einstellungen!$C$3,12,1)),MIN(J79,DATE(Einstellungen!$C$3,13,0)),Einstellungen!$F$13:$F$32)))</f>
        <v/>
      </c>
      <c r="X79" s="50">
        <f>L79*K79</f>
        <v/>
      </c>
      <c r="Y79" s="50">
        <f>M79*K79</f>
        <v/>
      </c>
      <c r="Z79" s="50">
        <f>N79*K79</f>
        <v/>
      </c>
      <c r="AA79" s="50">
        <f>O79*K79</f>
        <v/>
      </c>
      <c r="AB79" s="50">
        <f>P79*K79</f>
        <v/>
      </c>
      <c r="AC79" s="50">
        <f>Q79*K79</f>
        <v/>
      </c>
      <c r="AD79" s="50">
        <f>R79*K79</f>
        <v/>
      </c>
      <c r="AE79" s="50">
        <f>S79*K79</f>
        <v/>
      </c>
      <c r="AF79" s="50">
        <f>T79*K79</f>
        <v/>
      </c>
      <c r="AG79" s="50">
        <f>U79*K79</f>
        <v/>
      </c>
      <c r="AH79" s="50">
        <f>V79*K79</f>
        <v/>
      </c>
      <c r="AI79" s="50">
        <f>W79*K79</f>
        <v/>
      </c>
    </row>
    <row r="80">
      <c r="A80" s="25" t="n">
        <v>1023</v>
      </c>
      <c r="B80" s="45">
        <f>IF(A80="","",IFERROR(INDEX(Mitarbeiter!$B$6:$B$205,MATCH($A80,Mitarbeiter!$A$6:$A$205,0)),"?"))</f>
        <v/>
      </c>
      <c r="C80" s="46" t="inlineStr">
        <is>
          <t>Objekt 1</t>
        </is>
      </c>
      <c r="D80" s="26" t="n">
        <v>46184</v>
      </c>
      <c r="E80" s="26" t="n">
        <v>46184</v>
      </c>
      <c r="F80" s="24">
        <f>IF(A80="","",SUM(L80:W80))</f>
        <v/>
      </c>
      <c r="G80" s="36">
        <f>IF(A80="","",SUM(X80:AI80))</f>
        <v/>
      </c>
      <c r="H80" s="8">
        <f>IF(A80="","",IF(ISNA(MATCH(A80,Mitarbeiter!$A$6:$A$205,0)),"Pers.-Nr. unbekannt",IF(D80="","Von fehlt",IF(AND(C80&lt;&gt;Einstellungen!$C$4,C80&lt;&gt;Einstellungen!$C$5),"Objekt fehlt",IF(J80&lt;D80,"Bis vor Von",IF(D80&lt;INDEX(Mitarbeiter!$C$6:$C$205,MATCH($A80,Mitarbeiter!$A$6:$A$205,0)),"vor Eintritt",IF(AND(INDEX(Mitarbeiter!$D$6:$D$205,MATCH($A80,Mitarbeiter!$A$6:$A$205,0))&lt;&gt;"",D80&gt;INDEX(Mitarbeiter!$D$6:$D$205,MATCH($A80,Mitarbeiter!$A$6:$A$205,0))),"nach Austritt",IF(E80="","offen","ok"))))))))</f>
        <v/>
      </c>
      <c r="J80" s="47">
        <f>IF(A80="","",IF(E80="",Einstellungen!$C$9,E80))</f>
        <v/>
      </c>
      <c r="K80" s="48">
        <f>IF(A80="",0,IFERROR(INDEX(Mitarbeiter!$F$6:$F$205,MATCH($A80,Mitarbeiter!$A$6:$A$205,0)),0))</f>
        <v/>
      </c>
      <c r="L80" s="49">
        <f>IF(OR(A80="",D80=""),0,MAX(0,NETWORKDAYS(MAX(D80,DATE(Einstellungen!$C$3,1,1)),MIN(J80,DATE(Einstellungen!$C$3,2,0)),Einstellungen!$F$13:$F$32)))</f>
        <v/>
      </c>
      <c r="M80" s="49">
        <f>IF(OR(A80="",D80=""),0,MAX(0,NETWORKDAYS(MAX(D80,DATE(Einstellungen!$C$3,2,1)),MIN(J80,DATE(Einstellungen!$C$3,3,0)),Einstellungen!$F$13:$F$32)))</f>
        <v/>
      </c>
      <c r="N80" s="49">
        <f>IF(OR(A80="",D80=""),0,MAX(0,NETWORKDAYS(MAX(D80,DATE(Einstellungen!$C$3,3,1)),MIN(J80,DATE(Einstellungen!$C$3,4,0)),Einstellungen!$F$13:$F$32)))</f>
        <v/>
      </c>
      <c r="O80" s="49">
        <f>IF(OR(A80="",D80=""),0,MAX(0,NETWORKDAYS(MAX(D80,DATE(Einstellungen!$C$3,4,1)),MIN(J80,DATE(Einstellungen!$C$3,5,0)),Einstellungen!$F$13:$F$32)))</f>
        <v/>
      </c>
      <c r="P80" s="49">
        <f>IF(OR(A80="",D80=""),0,MAX(0,NETWORKDAYS(MAX(D80,DATE(Einstellungen!$C$3,5,1)),MIN(J80,DATE(Einstellungen!$C$3,6,0)),Einstellungen!$F$13:$F$32)))</f>
        <v/>
      </c>
      <c r="Q80" s="49">
        <f>IF(OR(A80="",D80=""),0,MAX(0,NETWORKDAYS(MAX(D80,DATE(Einstellungen!$C$3,6,1)),MIN(J80,DATE(Einstellungen!$C$3,7,0)),Einstellungen!$F$13:$F$32)))</f>
        <v/>
      </c>
      <c r="R80" s="49">
        <f>IF(OR(A80="",D80=""),0,MAX(0,NETWORKDAYS(MAX(D80,DATE(Einstellungen!$C$3,7,1)),MIN(J80,DATE(Einstellungen!$C$3,8,0)),Einstellungen!$F$13:$F$32)))</f>
        <v/>
      </c>
      <c r="S80" s="49">
        <f>IF(OR(A80="",D80=""),0,MAX(0,NETWORKDAYS(MAX(D80,DATE(Einstellungen!$C$3,8,1)),MIN(J80,DATE(Einstellungen!$C$3,9,0)),Einstellungen!$F$13:$F$32)))</f>
        <v/>
      </c>
      <c r="T80" s="49">
        <f>IF(OR(A80="",D80=""),0,MAX(0,NETWORKDAYS(MAX(D80,DATE(Einstellungen!$C$3,9,1)),MIN(J80,DATE(Einstellungen!$C$3,10,0)),Einstellungen!$F$13:$F$32)))</f>
        <v/>
      </c>
      <c r="U80" s="49">
        <f>IF(OR(A80="",D80=""),0,MAX(0,NETWORKDAYS(MAX(D80,DATE(Einstellungen!$C$3,10,1)),MIN(J80,DATE(Einstellungen!$C$3,11,0)),Einstellungen!$F$13:$F$32)))</f>
        <v/>
      </c>
      <c r="V80" s="49">
        <f>IF(OR(A80="",D80=""),0,MAX(0,NETWORKDAYS(MAX(D80,DATE(Einstellungen!$C$3,11,1)),MIN(J80,DATE(Einstellungen!$C$3,12,0)),Einstellungen!$F$13:$F$32)))</f>
        <v/>
      </c>
      <c r="W80" s="49">
        <f>IF(OR(A80="",D80=""),0,MAX(0,NETWORKDAYS(MAX(D80,DATE(Einstellungen!$C$3,12,1)),MIN(J80,DATE(Einstellungen!$C$3,13,0)),Einstellungen!$F$13:$F$32)))</f>
        <v/>
      </c>
      <c r="X80" s="50">
        <f>L80*K80</f>
        <v/>
      </c>
      <c r="Y80" s="50">
        <f>M80*K80</f>
        <v/>
      </c>
      <c r="Z80" s="50">
        <f>N80*K80</f>
        <v/>
      </c>
      <c r="AA80" s="50">
        <f>O80*K80</f>
        <v/>
      </c>
      <c r="AB80" s="50">
        <f>P80*K80</f>
        <v/>
      </c>
      <c r="AC80" s="50">
        <f>Q80*K80</f>
        <v/>
      </c>
      <c r="AD80" s="50">
        <f>R80*K80</f>
        <v/>
      </c>
      <c r="AE80" s="50">
        <f>S80*K80</f>
        <v/>
      </c>
      <c r="AF80" s="50">
        <f>T80*K80</f>
        <v/>
      </c>
      <c r="AG80" s="50">
        <f>U80*K80</f>
        <v/>
      </c>
      <c r="AH80" s="50">
        <f>V80*K80</f>
        <v/>
      </c>
      <c r="AI80" s="50">
        <f>W80*K80</f>
        <v/>
      </c>
    </row>
    <row r="81">
      <c r="A81" s="25" t="n">
        <v>1052</v>
      </c>
      <c r="B81" s="45">
        <f>IF(A81="","",IFERROR(INDEX(Mitarbeiter!$B$6:$B$205,MATCH($A81,Mitarbeiter!$A$6:$A$205,0)),"?"))</f>
        <v/>
      </c>
      <c r="C81" s="46" t="inlineStr">
        <is>
          <t>Objekt 1</t>
        </is>
      </c>
      <c r="D81" s="26" t="n">
        <v>46189</v>
      </c>
      <c r="E81" s="26" t="n">
        <v>46209</v>
      </c>
      <c r="F81" s="24">
        <f>IF(A81="","",SUM(L81:W81))</f>
        <v/>
      </c>
      <c r="G81" s="36">
        <f>IF(A81="","",SUM(X81:AI81))</f>
        <v/>
      </c>
      <c r="H81" s="8">
        <f>IF(A81="","",IF(ISNA(MATCH(A81,Mitarbeiter!$A$6:$A$205,0)),"Pers.-Nr. unbekannt",IF(D81="","Von fehlt",IF(AND(C81&lt;&gt;Einstellungen!$C$4,C81&lt;&gt;Einstellungen!$C$5),"Objekt fehlt",IF(J81&lt;D81,"Bis vor Von",IF(D81&lt;INDEX(Mitarbeiter!$C$6:$C$205,MATCH($A81,Mitarbeiter!$A$6:$A$205,0)),"vor Eintritt",IF(AND(INDEX(Mitarbeiter!$D$6:$D$205,MATCH($A81,Mitarbeiter!$A$6:$A$205,0))&lt;&gt;"",D81&gt;INDEX(Mitarbeiter!$D$6:$D$205,MATCH($A81,Mitarbeiter!$A$6:$A$205,0))),"nach Austritt",IF(E81="","offen","ok"))))))))</f>
        <v/>
      </c>
      <c r="J81" s="47">
        <f>IF(A81="","",IF(E81="",Einstellungen!$C$9,E81))</f>
        <v/>
      </c>
      <c r="K81" s="48">
        <f>IF(A81="",0,IFERROR(INDEX(Mitarbeiter!$F$6:$F$205,MATCH($A81,Mitarbeiter!$A$6:$A$205,0)),0))</f>
        <v/>
      </c>
      <c r="L81" s="49">
        <f>IF(OR(A81="",D81=""),0,MAX(0,NETWORKDAYS(MAX(D81,DATE(Einstellungen!$C$3,1,1)),MIN(J81,DATE(Einstellungen!$C$3,2,0)),Einstellungen!$F$13:$F$32)))</f>
        <v/>
      </c>
      <c r="M81" s="49">
        <f>IF(OR(A81="",D81=""),0,MAX(0,NETWORKDAYS(MAX(D81,DATE(Einstellungen!$C$3,2,1)),MIN(J81,DATE(Einstellungen!$C$3,3,0)),Einstellungen!$F$13:$F$32)))</f>
        <v/>
      </c>
      <c r="N81" s="49">
        <f>IF(OR(A81="",D81=""),0,MAX(0,NETWORKDAYS(MAX(D81,DATE(Einstellungen!$C$3,3,1)),MIN(J81,DATE(Einstellungen!$C$3,4,0)),Einstellungen!$F$13:$F$32)))</f>
        <v/>
      </c>
      <c r="O81" s="49">
        <f>IF(OR(A81="",D81=""),0,MAX(0,NETWORKDAYS(MAX(D81,DATE(Einstellungen!$C$3,4,1)),MIN(J81,DATE(Einstellungen!$C$3,5,0)),Einstellungen!$F$13:$F$32)))</f>
        <v/>
      </c>
      <c r="P81" s="49">
        <f>IF(OR(A81="",D81=""),0,MAX(0,NETWORKDAYS(MAX(D81,DATE(Einstellungen!$C$3,5,1)),MIN(J81,DATE(Einstellungen!$C$3,6,0)),Einstellungen!$F$13:$F$32)))</f>
        <v/>
      </c>
      <c r="Q81" s="49">
        <f>IF(OR(A81="",D81=""),0,MAX(0,NETWORKDAYS(MAX(D81,DATE(Einstellungen!$C$3,6,1)),MIN(J81,DATE(Einstellungen!$C$3,7,0)),Einstellungen!$F$13:$F$32)))</f>
        <v/>
      </c>
      <c r="R81" s="49">
        <f>IF(OR(A81="",D81=""),0,MAX(0,NETWORKDAYS(MAX(D81,DATE(Einstellungen!$C$3,7,1)),MIN(J81,DATE(Einstellungen!$C$3,8,0)),Einstellungen!$F$13:$F$32)))</f>
        <v/>
      </c>
      <c r="S81" s="49">
        <f>IF(OR(A81="",D81=""),0,MAX(0,NETWORKDAYS(MAX(D81,DATE(Einstellungen!$C$3,8,1)),MIN(J81,DATE(Einstellungen!$C$3,9,0)),Einstellungen!$F$13:$F$32)))</f>
        <v/>
      </c>
      <c r="T81" s="49">
        <f>IF(OR(A81="",D81=""),0,MAX(0,NETWORKDAYS(MAX(D81,DATE(Einstellungen!$C$3,9,1)),MIN(J81,DATE(Einstellungen!$C$3,10,0)),Einstellungen!$F$13:$F$32)))</f>
        <v/>
      </c>
      <c r="U81" s="49">
        <f>IF(OR(A81="",D81=""),0,MAX(0,NETWORKDAYS(MAX(D81,DATE(Einstellungen!$C$3,10,1)),MIN(J81,DATE(Einstellungen!$C$3,11,0)),Einstellungen!$F$13:$F$32)))</f>
        <v/>
      </c>
      <c r="V81" s="49">
        <f>IF(OR(A81="",D81=""),0,MAX(0,NETWORKDAYS(MAX(D81,DATE(Einstellungen!$C$3,11,1)),MIN(J81,DATE(Einstellungen!$C$3,12,0)),Einstellungen!$F$13:$F$32)))</f>
        <v/>
      </c>
      <c r="W81" s="49">
        <f>IF(OR(A81="",D81=""),0,MAX(0,NETWORKDAYS(MAX(D81,DATE(Einstellungen!$C$3,12,1)),MIN(J81,DATE(Einstellungen!$C$3,13,0)),Einstellungen!$F$13:$F$32)))</f>
        <v/>
      </c>
      <c r="X81" s="50">
        <f>L81*K81</f>
        <v/>
      </c>
      <c r="Y81" s="50">
        <f>M81*K81</f>
        <v/>
      </c>
      <c r="Z81" s="50">
        <f>N81*K81</f>
        <v/>
      </c>
      <c r="AA81" s="50">
        <f>O81*K81</f>
        <v/>
      </c>
      <c r="AB81" s="50">
        <f>P81*K81</f>
        <v/>
      </c>
      <c r="AC81" s="50">
        <f>Q81*K81</f>
        <v/>
      </c>
      <c r="AD81" s="50">
        <f>R81*K81</f>
        <v/>
      </c>
      <c r="AE81" s="50">
        <f>S81*K81</f>
        <v/>
      </c>
      <c r="AF81" s="50">
        <f>T81*K81</f>
        <v/>
      </c>
      <c r="AG81" s="50">
        <f>U81*K81</f>
        <v/>
      </c>
      <c r="AH81" s="50">
        <f>V81*K81</f>
        <v/>
      </c>
      <c r="AI81" s="50">
        <f>W81*K81</f>
        <v/>
      </c>
    </row>
    <row r="82">
      <c r="A82" s="25" t="n">
        <v>1024</v>
      </c>
      <c r="B82" s="45">
        <f>IF(A82="","",IFERROR(INDEX(Mitarbeiter!$B$6:$B$205,MATCH($A82,Mitarbeiter!$A$6:$A$205,0)),"?"))</f>
        <v/>
      </c>
      <c r="C82" s="46" t="inlineStr">
        <is>
          <t>Objekt 2</t>
        </is>
      </c>
      <c r="D82" s="26" t="n">
        <v>46190</v>
      </c>
      <c r="E82" s="26" t="n">
        <v>46192</v>
      </c>
      <c r="F82" s="24">
        <f>IF(A82="","",SUM(L82:W82))</f>
        <v/>
      </c>
      <c r="G82" s="36">
        <f>IF(A82="","",SUM(X82:AI82))</f>
        <v/>
      </c>
      <c r="H82" s="8">
        <f>IF(A82="","",IF(ISNA(MATCH(A82,Mitarbeiter!$A$6:$A$205,0)),"Pers.-Nr. unbekannt",IF(D82="","Von fehlt",IF(AND(C82&lt;&gt;Einstellungen!$C$4,C82&lt;&gt;Einstellungen!$C$5),"Objekt fehlt",IF(J82&lt;D82,"Bis vor Von",IF(D82&lt;INDEX(Mitarbeiter!$C$6:$C$205,MATCH($A82,Mitarbeiter!$A$6:$A$205,0)),"vor Eintritt",IF(AND(INDEX(Mitarbeiter!$D$6:$D$205,MATCH($A82,Mitarbeiter!$A$6:$A$205,0))&lt;&gt;"",D82&gt;INDEX(Mitarbeiter!$D$6:$D$205,MATCH($A82,Mitarbeiter!$A$6:$A$205,0))),"nach Austritt",IF(E82="","offen","ok"))))))))</f>
        <v/>
      </c>
      <c r="J82" s="47">
        <f>IF(A82="","",IF(E82="",Einstellungen!$C$9,E82))</f>
        <v/>
      </c>
      <c r="K82" s="48">
        <f>IF(A82="",0,IFERROR(INDEX(Mitarbeiter!$F$6:$F$205,MATCH($A82,Mitarbeiter!$A$6:$A$205,0)),0))</f>
        <v/>
      </c>
      <c r="L82" s="49">
        <f>IF(OR(A82="",D82=""),0,MAX(0,NETWORKDAYS(MAX(D82,DATE(Einstellungen!$C$3,1,1)),MIN(J82,DATE(Einstellungen!$C$3,2,0)),Einstellungen!$F$13:$F$32)))</f>
        <v/>
      </c>
      <c r="M82" s="49">
        <f>IF(OR(A82="",D82=""),0,MAX(0,NETWORKDAYS(MAX(D82,DATE(Einstellungen!$C$3,2,1)),MIN(J82,DATE(Einstellungen!$C$3,3,0)),Einstellungen!$F$13:$F$32)))</f>
        <v/>
      </c>
      <c r="N82" s="49">
        <f>IF(OR(A82="",D82=""),0,MAX(0,NETWORKDAYS(MAX(D82,DATE(Einstellungen!$C$3,3,1)),MIN(J82,DATE(Einstellungen!$C$3,4,0)),Einstellungen!$F$13:$F$32)))</f>
        <v/>
      </c>
      <c r="O82" s="49">
        <f>IF(OR(A82="",D82=""),0,MAX(0,NETWORKDAYS(MAX(D82,DATE(Einstellungen!$C$3,4,1)),MIN(J82,DATE(Einstellungen!$C$3,5,0)),Einstellungen!$F$13:$F$32)))</f>
        <v/>
      </c>
      <c r="P82" s="49">
        <f>IF(OR(A82="",D82=""),0,MAX(0,NETWORKDAYS(MAX(D82,DATE(Einstellungen!$C$3,5,1)),MIN(J82,DATE(Einstellungen!$C$3,6,0)),Einstellungen!$F$13:$F$32)))</f>
        <v/>
      </c>
      <c r="Q82" s="49">
        <f>IF(OR(A82="",D82=""),0,MAX(0,NETWORKDAYS(MAX(D82,DATE(Einstellungen!$C$3,6,1)),MIN(J82,DATE(Einstellungen!$C$3,7,0)),Einstellungen!$F$13:$F$32)))</f>
        <v/>
      </c>
      <c r="R82" s="49">
        <f>IF(OR(A82="",D82=""),0,MAX(0,NETWORKDAYS(MAX(D82,DATE(Einstellungen!$C$3,7,1)),MIN(J82,DATE(Einstellungen!$C$3,8,0)),Einstellungen!$F$13:$F$32)))</f>
        <v/>
      </c>
      <c r="S82" s="49">
        <f>IF(OR(A82="",D82=""),0,MAX(0,NETWORKDAYS(MAX(D82,DATE(Einstellungen!$C$3,8,1)),MIN(J82,DATE(Einstellungen!$C$3,9,0)),Einstellungen!$F$13:$F$32)))</f>
        <v/>
      </c>
      <c r="T82" s="49">
        <f>IF(OR(A82="",D82=""),0,MAX(0,NETWORKDAYS(MAX(D82,DATE(Einstellungen!$C$3,9,1)),MIN(J82,DATE(Einstellungen!$C$3,10,0)),Einstellungen!$F$13:$F$32)))</f>
        <v/>
      </c>
      <c r="U82" s="49">
        <f>IF(OR(A82="",D82=""),0,MAX(0,NETWORKDAYS(MAX(D82,DATE(Einstellungen!$C$3,10,1)),MIN(J82,DATE(Einstellungen!$C$3,11,0)),Einstellungen!$F$13:$F$32)))</f>
        <v/>
      </c>
      <c r="V82" s="49">
        <f>IF(OR(A82="",D82=""),0,MAX(0,NETWORKDAYS(MAX(D82,DATE(Einstellungen!$C$3,11,1)),MIN(J82,DATE(Einstellungen!$C$3,12,0)),Einstellungen!$F$13:$F$32)))</f>
        <v/>
      </c>
      <c r="W82" s="49">
        <f>IF(OR(A82="",D82=""),0,MAX(0,NETWORKDAYS(MAX(D82,DATE(Einstellungen!$C$3,12,1)),MIN(J82,DATE(Einstellungen!$C$3,13,0)),Einstellungen!$F$13:$F$32)))</f>
        <v/>
      </c>
      <c r="X82" s="50">
        <f>L82*K82</f>
        <v/>
      </c>
      <c r="Y82" s="50">
        <f>M82*K82</f>
        <v/>
      </c>
      <c r="Z82" s="50">
        <f>N82*K82</f>
        <v/>
      </c>
      <c r="AA82" s="50">
        <f>O82*K82</f>
        <v/>
      </c>
      <c r="AB82" s="50">
        <f>P82*K82</f>
        <v/>
      </c>
      <c r="AC82" s="50">
        <f>Q82*K82</f>
        <v/>
      </c>
      <c r="AD82" s="50">
        <f>R82*K82</f>
        <v/>
      </c>
      <c r="AE82" s="50">
        <f>S82*K82</f>
        <v/>
      </c>
      <c r="AF82" s="50">
        <f>T82*K82</f>
        <v/>
      </c>
      <c r="AG82" s="50">
        <f>U82*K82</f>
        <v/>
      </c>
      <c r="AH82" s="50">
        <f>V82*K82</f>
        <v/>
      </c>
      <c r="AI82" s="50">
        <f>W82*K82</f>
        <v/>
      </c>
    </row>
    <row r="83">
      <c r="A83" s="25" t="n">
        <v>1028</v>
      </c>
      <c r="B83" s="45">
        <f>IF(A83="","",IFERROR(INDEX(Mitarbeiter!$B$6:$B$205,MATCH($A83,Mitarbeiter!$A$6:$A$205,0)),"?"))</f>
        <v/>
      </c>
      <c r="C83" s="46" t="inlineStr">
        <is>
          <t>Objekt 1</t>
        </is>
      </c>
      <c r="D83" s="26" t="n">
        <v>46190</v>
      </c>
      <c r="E83" s="26" t="n">
        <v>46190</v>
      </c>
      <c r="F83" s="24">
        <f>IF(A83="","",SUM(L83:W83))</f>
        <v/>
      </c>
      <c r="G83" s="36">
        <f>IF(A83="","",SUM(X83:AI83))</f>
        <v/>
      </c>
      <c r="H83" s="8">
        <f>IF(A83="","",IF(ISNA(MATCH(A83,Mitarbeiter!$A$6:$A$205,0)),"Pers.-Nr. unbekannt",IF(D83="","Von fehlt",IF(AND(C83&lt;&gt;Einstellungen!$C$4,C83&lt;&gt;Einstellungen!$C$5),"Objekt fehlt",IF(J83&lt;D83,"Bis vor Von",IF(D83&lt;INDEX(Mitarbeiter!$C$6:$C$205,MATCH($A83,Mitarbeiter!$A$6:$A$205,0)),"vor Eintritt",IF(AND(INDEX(Mitarbeiter!$D$6:$D$205,MATCH($A83,Mitarbeiter!$A$6:$A$205,0))&lt;&gt;"",D83&gt;INDEX(Mitarbeiter!$D$6:$D$205,MATCH($A83,Mitarbeiter!$A$6:$A$205,0))),"nach Austritt",IF(E83="","offen","ok"))))))))</f>
        <v/>
      </c>
      <c r="J83" s="47">
        <f>IF(A83="","",IF(E83="",Einstellungen!$C$9,E83))</f>
        <v/>
      </c>
      <c r="K83" s="48">
        <f>IF(A83="",0,IFERROR(INDEX(Mitarbeiter!$F$6:$F$205,MATCH($A83,Mitarbeiter!$A$6:$A$205,0)),0))</f>
        <v/>
      </c>
      <c r="L83" s="49">
        <f>IF(OR(A83="",D83=""),0,MAX(0,NETWORKDAYS(MAX(D83,DATE(Einstellungen!$C$3,1,1)),MIN(J83,DATE(Einstellungen!$C$3,2,0)),Einstellungen!$F$13:$F$32)))</f>
        <v/>
      </c>
      <c r="M83" s="49">
        <f>IF(OR(A83="",D83=""),0,MAX(0,NETWORKDAYS(MAX(D83,DATE(Einstellungen!$C$3,2,1)),MIN(J83,DATE(Einstellungen!$C$3,3,0)),Einstellungen!$F$13:$F$32)))</f>
        <v/>
      </c>
      <c r="N83" s="49">
        <f>IF(OR(A83="",D83=""),0,MAX(0,NETWORKDAYS(MAX(D83,DATE(Einstellungen!$C$3,3,1)),MIN(J83,DATE(Einstellungen!$C$3,4,0)),Einstellungen!$F$13:$F$32)))</f>
        <v/>
      </c>
      <c r="O83" s="49">
        <f>IF(OR(A83="",D83=""),0,MAX(0,NETWORKDAYS(MAX(D83,DATE(Einstellungen!$C$3,4,1)),MIN(J83,DATE(Einstellungen!$C$3,5,0)),Einstellungen!$F$13:$F$32)))</f>
        <v/>
      </c>
      <c r="P83" s="49">
        <f>IF(OR(A83="",D83=""),0,MAX(0,NETWORKDAYS(MAX(D83,DATE(Einstellungen!$C$3,5,1)),MIN(J83,DATE(Einstellungen!$C$3,6,0)),Einstellungen!$F$13:$F$32)))</f>
        <v/>
      </c>
      <c r="Q83" s="49">
        <f>IF(OR(A83="",D83=""),0,MAX(0,NETWORKDAYS(MAX(D83,DATE(Einstellungen!$C$3,6,1)),MIN(J83,DATE(Einstellungen!$C$3,7,0)),Einstellungen!$F$13:$F$32)))</f>
        <v/>
      </c>
      <c r="R83" s="49">
        <f>IF(OR(A83="",D83=""),0,MAX(0,NETWORKDAYS(MAX(D83,DATE(Einstellungen!$C$3,7,1)),MIN(J83,DATE(Einstellungen!$C$3,8,0)),Einstellungen!$F$13:$F$32)))</f>
        <v/>
      </c>
      <c r="S83" s="49">
        <f>IF(OR(A83="",D83=""),0,MAX(0,NETWORKDAYS(MAX(D83,DATE(Einstellungen!$C$3,8,1)),MIN(J83,DATE(Einstellungen!$C$3,9,0)),Einstellungen!$F$13:$F$32)))</f>
        <v/>
      </c>
      <c r="T83" s="49">
        <f>IF(OR(A83="",D83=""),0,MAX(0,NETWORKDAYS(MAX(D83,DATE(Einstellungen!$C$3,9,1)),MIN(J83,DATE(Einstellungen!$C$3,10,0)),Einstellungen!$F$13:$F$32)))</f>
        <v/>
      </c>
      <c r="U83" s="49">
        <f>IF(OR(A83="",D83=""),0,MAX(0,NETWORKDAYS(MAX(D83,DATE(Einstellungen!$C$3,10,1)),MIN(J83,DATE(Einstellungen!$C$3,11,0)),Einstellungen!$F$13:$F$32)))</f>
        <v/>
      </c>
      <c r="V83" s="49">
        <f>IF(OR(A83="",D83=""),0,MAX(0,NETWORKDAYS(MAX(D83,DATE(Einstellungen!$C$3,11,1)),MIN(J83,DATE(Einstellungen!$C$3,12,0)),Einstellungen!$F$13:$F$32)))</f>
        <v/>
      </c>
      <c r="W83" s="49">
        <f>IF(OR(A83="",D83=""),0,MAX(0,NETWORKDAYS(MAX(D83,DATE(Einstellungen!$C$3,12,1)),MIN(J83,DATE(Einstellungen!$C$3,13,0)),Einstellungen!$F$13:$F$32)))</f>
        <v/>
      </c>
      <c r="X83" s="50">
        <f>L83*K83</f>
        <v/>
      </c>
      <c r="Y83" s="50">
        <f>M83*K83</f>
        <v/>
      </c>
      <c r="Z83" s="50">
        <f>N83*K83</f>
        <v/>
      </c>
      <c r="AA83" s="50">
        <f>O83*K83</f>
        <v/>
      </c>
      <c r="AB83" s="50">
        <f>P83*K83</f>
        <v/>
      </c>
      <c r="AC83" s="50">
        <f>Q83*K83</f>
        <v/>
      </c>
      <c r="AD83" s="50">
        <f>R83*K83</f>
        <v/>
      </c>
      <c r="AE83" s="50">
        <f>S83*K83</f>
        <v/>
      </c>
      <c r="AF83" s="50">
        <f>T83*K83</f>
        <v/>
      </c>
      <c r="AG83" s="50">
        <f>U83*K83</f>
        <v/>
      </c>
      <c r="AH83" s="50">
        <f>V83*K83</f>
        <v/>
      </c>
      <c r="AI83" s="50">
        <f>W83*K83</f>
        <v/>
      </c>
    </row>
    <row r="84">
      <c r="A84" s="25" t="n">
        <v>1006</v>
      </c>
      <c r="B84" s="45">
        <f>IF(A84="","",IFERROR(INDEX(Mitarbeiter!$B$6:$B$205,MATCH($A84,Mitarbeiter!$A$6:$A$205,0)),"?"))</f>
        <v/>
      </c>
      <c r="C84" s="46" t="inlineStr">
        <is>
          <t>Objekt 2</t>
        </is>
      </c>
      <c r="D84" s="26" t="n">
        <v>46193</v>
      </c>
      <c r="E84" s="26" t="n">
        <v>46206</v>
      </c>
      <c r="F84" s="24">
        <f>IF(A84="","",SUM(L84:W84))</f>
        <v/>
      </c>
      <c r="G84" s="36">
        <f>IF(A84="","",SUM(X84:AI84))</f>
        <v/>
      </c>
      <c r="H84" s="8">
        <f>IF(A84="","",IF(ISNA(MATCH(A84,Mitarbeiter!$A$6:$A$205,0)),"Pers.-Nr. unbekannt",IF(D84="","Von fehlt",IF(AND(C84&lt;&gt;Einstellungen!$C$4,C84&lt;&gt;Einstellungen!$C$5),"Objekt fehlt",IF(J84&lt;D84,"Bis vor Von",IF(D84&lt;INDEX(Mitarbeiter!$C$6:$C$205,MATCH($A84,Mitarbeiter!$A$6:$A$205,0)),"vor Eintritt",IF(AND(INDEX(Mitarbeiter!$D$6:$D$205,MATCH($A84,Mitarbeiter!$A$6:$A$205,0))&lt;&gt;"",D84&gt;INDEX(Mitarbeiter!$D$6:$D$205,MATCH($A84,Mitarbeiter!$A$6:$A$205,0))),"nach Austritt",IF(E84="","offen","ok"))))))))</f>
        <v/>
      </c>
      <c r="J84" s="47">
        <f>IF(A84="","",IF(E84="",Einstellungen!$C$9,E84))</f>
        <v/>
      </c>
      <c r="K84" s="48">
        <f>IF(A84="",0,IFERROR(INDEX(Mitarbeiter!$F$6:$F$205,MATCH($A84,Mitarbeiter!$A$6:$A$205,0)),0))</f>
        <v/>
      </c>
      <c r="L84" s="49">
        <f>IF(OR(A84="",D84=""),0,MAX(0,NETWORKDAYS(MAX(D84,DATE(Einstellungen!$C$3,1,1)),MIN(J84,DATE(Einstellungen!$C$3,2,0)),Einstellungen!$F$13:$F$32)))</f>
        <v/>
      </c>
      <c r="M84" s="49">
        <f>IF(OR(A84="",D84=""),0,MAX(0,NETWORKDAYS(MAX(D84,DATE(Einstellungen!$C$3,2,1)),MIN(J84,DATE(Einstellungen!$C$3,3,0)),Einstellungen!$F$13:$F$32)))</f>
        <v/>
      </c>
      <c r="N84" s="49">
        <f>IF(OR(A84="",D84=""),0,MAX(0,NETWORKDAYS(MAX(D84,DATE(Einstellungen!$C$3,3,1)),MIN(J84,DATE(Einstellungen!$C$3,4,0)),Einstellungen!$F$13:$F$32)))</f>
        <v/>
      </c>
      <c r="O84" s="49">
        <f>IF(OR(A84="",D84=""),0,MAX(0,NETWORKDAYS(MAX(D84,DATE(Einstellungen!$C$3,4,1)),MIN(J84,DATE(Einstellungen!$C$3,5,0)),Einstellungen!$F$13:$F$32)))</f>
        <v/>
      </c>
      <c r="P84" s="49">
        <f>IF(OR(A84="",D84=""),0,MAX(0,NETWORKDAYS(MAX(D84,DATE(Einstellungen!$C$3,5,1)),MIN(J84,DATE(Einstellungen!$C$3,6,0)),Einstellungen!$F$13:$F$32)))</f>
        <v/>
      </c>
      <c r="Q84" s="49">
        <f>IF(OR(A84="",D84=""),0,MAX(0,NETWORKDAYS(MAX(D84,DATE(Einstellungen!$C$3,6,1)),MIN(J84,DATE(Einstellungen!$C$3,7,0)),Einstellungen!$F$13:$F$32)))</f>
        <v/>
      </c>
      <c r="R84" s="49">
        <f>IF(OR(A84="",D84=""),0,MAX(0,NETWORKDAYS(MAX(D84,DATE(Einstellungen!$C$3,7,1)),MIN(J84,DATE(Einstellungen!$C$3,8,0)),Einstellungen!$F$13:$F$32)))</f>
        <v/>
      </c>
      <c r="S84" s="49">
        <f>IF(OR(A84="",D84=""),0,MAX(0,NETWORKDAYS(MAX(D84,DATE(Einstellungen!$C$3,8,1)),MIN(J84,DATE(Einstellungen!$C$3,9,0)),Einstellungen!$F$13:$F$32)))</f>
        <v/>
      </c>
      <c r="T84" s="49">
        <f>IF(OR(A84="",D84=""),0,MAX(0,NETWORKDAYS(MAX(D84,DATE(Einstellungen!$C$3,9,1)),MIN(J84,DATE(Einstellungen!$C$3,10,0)),Einstellungen!$F$13:$F$32)))</f>
        <v/>
      </c>
      <c r="U84" s="49">
        <f>IF(OR(A84="",D84=""),0,MAX(0,NETWORKDAYS(MAX(D84,DATE(Einstellungen!$C$3,10,1)),MIN(J84,DATE(Einstellungen!$C$3,11,0)),Einstellungen!$F$13:$F$32)))</f>
        <v/>
      </c>
      <c r="V84" s="49">
        <f>IF(OR(A84="",D84=""),0,MAX(0,NETWORKDAYS(MAX(D84,DATE(Einstellungen!$C$3,11,1)),MIN(J84,DATE(Einstellungen!$C$3,12,0)),Einstellungen!$F$13:$F$32)))</f>
        <v/>
      </c>
      <c r="W84" s="49">
        <f>IF(OR(A84="",D84=""),0,MAX(0,NETWORKDAYS(MAX(D84,DATE(Einstellungen!$C$3,12,1)),MIN(J84,DATE(Einstellungen!$C$3,13,0)),Einstellungen!$F$13:$F$32)))</f>
        <v/>
      </c>
      <c r="X84" s="50">
        <f>L84*K84</f>
        <v/>
      </c>
      <c r="Y84" s="50">
        <f>M84*K84</f>
        <v/>
      </c>
      <c r="Z84" s="50">
        <f>N84*K84</f>
        <v/>
      </c>
      <c r="AA84" s="50">
        <f>O84*K84</f>
        <v/>
      </c>
      <c r="AB84" s="50">
        <f>P84*K84</f>
        <v/>
      </c>
      <c r="AC84" s="50">
        <f>Q84*K84</f>
        <v/>
      </c>
      <c r="AD84" s="50">
        <f>R84*K84</f>
        <v/>
      </c>
      <c r="AE84" s="50">
        <f>S84*K84</f>
        <v/>
      </c>
      <c r="AF84" s="50">
        <f>T84*K84</f>
        <v/>
      </c>
      <c r="AG84" s="50">
        <f>U84*K84</f>
        <v/>
      </c>
      <c r="AH84" s="50">
        <f>V84*K84</f>
        <v/>
      </c>
      <c r="AI84" s="50">
        <f>W84*K84</f>
        <v/>
      </c>
    </row>
    <row r="85">
      <c r="A85" s="25" t="n">
        <v>1020</v>
      </c>
      <c r="B85" s="45">
        <f>IF(A85="","",IFERROR(INDEX(Mitarbeiter!$B$6:$B$205,MATCH($A85,Mitarbeiter!$A$6:$A$205,0)),"?"))</f>
        <v/>
      </c>
      <c r="C85" s="46" t="inlineStr">
        <is>
          <t>Objekt 2</t>
        </is>
      </c>
      <c r="D85" s="26" t="n">
        <v>46196</v>
      </c>
      <c r="E85" s="26" t="n">
        <v>46198</v>
      </c>
      <c r="F85" s="24">
        <f>IF(A85="","",SUM(L85:W85))</f>
        <v/>
      </c>
      <c r="G85" s="36">
        <f>IF(A85="","",SUM(X85:AI85))</f>
        <v/>
      </c>
      <c r="H85" s="8">
        <f>IF(A85="","",IF(ISNA(MATCH(A85,Mitarbeiter!$A$6:$A$205,0)),"Pers.-Nr. unbekannt",IF(D85="","Von fehlt",IF(AND(C85&lt;&gt;Einstellungen!$C$4,C85&lt;&gt;Einstellungen!$C$5),"Objekt fehlt",IF(J85&lt;D85,"Bis vor Von",IF(D85&lt;INDEX(Mitarbeiter!$C$6:$C$205,MATCH($A85,Mitarbeiter!$A$6:$A$205,0)),"vor Eintritt",IF(AND(INDEX(Mitarbeiter!$D$6:$D$205,MATCH($A85,Mitarbeiter!$A$6:$A$205,0))&lt;&gt;"",D85&gt;INDEX(Mitarbeiter!$D$6:$D$205,MATCH($A85,Mitarbeiter!$A$6:$A$205,0))),"nach Austritt",IF(E85="","offen","ok"))))))))</f>
        <v/>
      </c>
      <c r="J85" s="47">
        <f>IF(A85="","",IF(E85="",Einstellungen!$C$9,E85))</f>
        <v/>
      </c>
      <c r="K85" s="48">
        <f>IF(A85="",0,IFERROR(INDEX(Mitarbeiter!$F$6:$F$205,MATCH($A85,Mitarbeiter!$A$6:$A$205,0)),0))</f>
        <v/>
      </c>
      <c r="L85" s="49">
        <f>IF(OR(A85="",D85=""),0,MAX(0,NETWORKDAYS(MAX(D85,DATE(Einstellungen!$C$3,1,1)),MIN(J85,DATE(Einstellungen!$C$3,2,0)),Einstellungen!$F$13:$F$32)))</f>
        <v/>
      </c>
      <c r="M85" s="49">
        <f>IF(OR(A85="",D85=""),0,MAX(0,NETWORKDAYS(MAX(D85,DATE(Einstellungen!$C$3,2,1)),MIN(J85,DATE(Einstellungen!$C$3,3,0)),Einstellungen!$F$13:$F$32)))</f>
        <v/>
      </c>
      <c r="N85" s="49">
        <f>IF(OR(A85="",D85=""),0,MAX(0,NETWORKDAYS(MAX(D85,DATE(Einstellungen!$C$3,3,1)),MIN(J85,DATE(Einstellungen!$C$3,4,0)),Einstellungen!$F$13:$F$32)))</f>
        <v/>
      </c>
      <c r="O85" s="49">
        <f>IF(OR(A85="",D85=""),0,MAX(0,NETWORKDAYS(MAX(D85,DATE(Einstellungen!$C$3,4,1)),MIN(J85,DATE(Einstellungen!$C$3,5,0)),Einstellungen!$F$13:$F$32)))</f>
        <v/>
      </c>
      <c r="P85" s="49">
        <f>IF(OR(A85="",D85=""),0,MAX(0,NETWORKDAYS(MAX(D85,DATE(Einstellungen!$C$3,5,1)),MIN(J85,DATE(Einstellungen!$C$3,6,0)),Einstellungen!$F$13:$F$32)))</f>
        <v/>
      </c>
      <c r="Q85" s="49">
        <f>IF(OR(A85="",D85=""),0,MAX(0,NETWORKDAYS(MAX(D85,DATE(Einstellungen!$C$3,6,1)),MIN(J85,DATE(Einstellungen!$C$3,7,0)),Einstellungen!$F$13:$F$32)))</f>
        <v/>
      </c>
      <c r="R85" s="49">
        <f>IF(OR(A85="",D85=""),0,MAX(0,NETWORKDAYS(MAX(D85,DATE(Einstellungen!$C$3,7,1)),MIN(J85,DATE(Einstellungen!$C$3,8,0)),Einstellungen!$F$13:$F$32)))</f>
        <v/>
      </c>
      <c r="S85" s="49">
        <f>IF(OR(A85="",D85=""),0,MAX(0,NETWORKDAYS(MAX(D85,DATE(Einstellungen!$C$3,8,1)),MIN(J85,DATE(Einstellungen!$C$3,9,0)),Einstellungen!$F$13:$F$32)))</f>
        <v/>
      </c>
      <c r="T85" s="49">
        <f>IF(OR(A85="",D85=""),0,MAX(0,NETWORKDAYS(MAX(D85,DATE(Einstellungen!$C$3,9,1)),MIN(J85,DATE(Einstellungen!$C$3,10,0)),Einstellungen!$F$13:$F$32)))</f>
        <v/>
      </c>
      <c r="U85" s="49">
        <f>IF(OR(A85="",D85=""),0,MAX(0,NETWORKDAYS(MAX(D85,DATE(Einstellungen!$C$3,10,1)),MIN(J85,DATE(Einstellungen!$C$3,11,0)),Einstellungen!$F$13:$F$32)))</f>
        <v/>
      </c>
      <c r="V85" s="49">
        <f>IF(OR(A85="",D85=""),0,MAX(0,NETWORKDAYS(MAX(D85,DATE(Einstellungen!$C$3,11,1)),MIN(J85,DATE(Einstellungen!$C$3,12,0)),Einstellungen!$F$13:$F$32)))</f>
        <v/>
      </c>
      <c r="W85" s="49">
        <f>IF(OR(A85="",D85=""),0,MAX(0,NETWORKDAYS(MAX(D85,DATE(Einstellungen!$C$3,12,1)),MIN(J85,DATE(Einstellungen!$C$3,13,0)),Einstellungen!$F$13:$F$32)))</f>
        <v/>
      </c>
      <c r="X85" s="50">
        <f>L85*K85</f>
        <v/>
      </c>
      <c r="Y85" s="50">
        <f>M85*K85</f>
        <v/>
      </c>
      <c r="Z85" s="50">
        <f>N85*K85</f>
        <v/>
      </c>
      <c r="AA85" s="50">
        <f>O85*K85</f>
        <v/>
      </c>
      <c r="AB85" s="50">
        <f>P85*K85</f>
        <v/>
      </c>
      <c r="AC85" s="50">
        <f>Q85*K85</f>
        <v/>
      </c>
      <c r="AD85" s="50">
        <f>R85*K85</f>
        <v/>
      </c>
      <c r="AE85" s="50">
        <f>S85*K85</f>
        <v/>
      </c>
      <c r="AF85" s="50">
        <f>T85*K85</f>
        <v/>
      </c>
      <c r="AG85" s="50">
        <f>U85*K85</f>
        <v/>
      </c>
      <c r="AH85" s="50">
        <f>V85*K85</f>
        <v/>
      </c>
      <c r="AI85" s="50">
        <f>W85*K85</f>
        <v/>
      </c>
    </row>
    <row r="86">
      <c r="A86" s="25" t="n">
        <v>1054</v>
      </c>
      <c r="B86" s="45">
        <f>IF(A86="","",IFERROR(INDEX(Mitarbeiter!$B$6:$B$205,MATCH($A86,Mitarbeiter!$A$6:$A$205,0)),"?"))</f>
        <v/>
      </c>
      <c r="C86" s="46" t="inlineStr">
        <is>
          <t>Objekt 2</t>
        </is>
      </c>
      <c r="D86" s="26" t="n">
        <v>46201</v>
      </c>
      <c r="E86" s="26" t="n">
        <v>46221</v>
      </c>
      <c r="F86" s="24">
        <f>IF(A86="","",SUM(L86:W86))</f>
        <v/>
      </c>
      <c r="G86" s="36">
        <f>IF(A86="","",SUM(X86:AI86))</f>
        <v/>
      </c>
      <c r="H86" s="8">
        <f>IF(A86="","",IF(ISNA(MATCH(A86,Mitarbeiter!$A$6:$A$205,0)),"Pers.-Nr. unbekannt",IF(D86="","Von fehlt",IF(AND(C86&lt;&gt;Einstellungen!$C$4,C86&lt;&gt;Einstellungen!$C$5),"Objekt fehlt",IF(J86&lt;D86,"Bis vor Von",IF(D86&lt;INDEX(Mitarbeiter!$C$6:$C$205,MATCH($A86,Mitarbeiter!$A$6:$A$205,0)),"vor Eintritt",IF(AND(INDEX(Mitarbeiter!$D$6:$D$205,MATCH($A86,Mitarbeiter!$A$6:$A$205,0))&lt;&gt;"",D86&gt;INDEX(Mitarbeiter!$D$6:$D$205,MATCH($A86,Mitarbeiter!$A$6:$A$205,0))),"nach Austritt",IF(E86="","offen","ok"))))))))</f>
        <v/>
      </c>
      <c r="J86" s="47">
        <f>IF(A86="","",IF(E86="",Einstellungen!$C$9,E86))</f>
        <v/>
      </c>
      <c r="K86" s="48">
        <f>IF(A86="",0,IFERROR(INDEX(Mitarbeiter!$F$6:$F$205,MATCH($A86,Mitarbeiter!$A$6:$A$205,0)),0))</f>
        <v/>
      </c>
      <c r="L86" s="49">
        <f>IF(OR(A86="",D86=""),0,MAX(0,NETWORKDAYS(MAX(D86,DATE(Einstellungen!$C$3,1,1)),MIN(J86,DATE(Einstellungen!$C$3,2,0)),Einstellungen!$F$13:$F$32)))</f>
        <v/>
      </c>
      <c r="M86" s="49">
        <f>IF(OR(A86="",D86=""),0,MAX(0,NETWORKDAYS(MAX(D86,DATE(Einstellungen!$C$3,2,1)),MIN(J86,DATE(Einstellungen!$C$3,3,0)),Einstellungen!$F$13:$F$32)))</f>
        <v/>
      </c>
      <c r="N86" s="49">
        <f>IF(OR(A86="",D86=""),0,MAX(0,NETWORKDAYS(MAX(D86,DATE(Einstellungen!$C$3,3,1)),MIN(J86,DATE(Einstellungen!$C$3,4,0)),Einstellungen!$F$13:$F$32)))</f>
        <v/>
      </c>
      <c r="O86" s="49">
        <f>IF(OR(A86="",D86=""),0,MAX(0,NETWORKDAYS(MAX(D86,DATE(Einstellungen!$C$3,4,1)),MIN(J86,DATE(Einstellungen!$C$3,5,0)),Einstellungen!$F$13:$F$32)))</f>
        <v/>
      </c>
      <c r="P86" s="49">
        <f>IF(OR(A86="",D86=""),0,MAX(0,NETWORKDAYS(MAX(D86,DATE(Einstellungen!$C$3,5,1)),MIN(J86,DATE(Einstellungen!$C$3,6,0)),Einstellungen!$F$13:$F$32)))</f>
        <v/>
      </c>
      <c r="Q86" s="49">
        <f>IF(OR(A86="",D86=""),0,MAX(0,NETWORKDAYS(MAX(D86,DATE(Einstellungen!$C$3,6,1)),MIN(J86,DATE(Einstellungen!$C$3,7,0)),Einstellungen!$F$13:$F$32)))</f>
        <v/>
      </c>
      <c r="R86" s="49">
        <f>IF(OR(A86="",D86=""),0,MAX(0,NETWORKDAYS(MAX(D86,DATE(Einstellungen!$C$3,7,1)),MIN(J86,DATE(Einstellungen!$C$3,8,0)),Einstellungen!$F$13:$F$32)))</f>
        <v/>
      </c>
      <c r="S86" s="49">
        <f>IF(OR(A86="",D86=""),0,MAX(0,NETWORKDAYS(MAX(D86,DATE(Einstellungen!$C$3,8,1)),MIN(J86,DATE(Einstellungen!$C$3,9,0)),Einstellungen!$F$13:$F$32)))</f>
        <v/>
      </c>
      <c r="T86" s="49">
        <f>IF(OR(A86="",D86=""),0,MAX(0,NETWORKDAYS(MAX(D86,DATE(Einstellungen!$C$3,9,1)),MIN(J86,DATE(Einstellungen!$C$3,10,0)),Einstellungen!$F$13:$F$32)))</f>
        <v/>
      </c>
      <c r="U86" s="49">
        <f>IF(OR(A86="",D86=""),0,MAX(0,NETWORKDAYS(MAX(D86,DATE(Einstellungen!$C$3,10,1)),MIN(J86,DATE(Einstellungen!$C$3,11,0)),Einstellungen!$F$13:$F$32)))</f>
        <v/>
      </c>
      <c r="V86" s="49">
        <f>IF(OR(A86="",D86=""),0,MAX(0,NETWORKDAYS(MAX(D86,DATE(Einstellungen!$C$3,11,1)),MIN(J86,DATE(Einstellungen!$C$3,12,0)),Einstellungen!$F$13:$F$32)))</f>
        <v/>
      </c>
      <c r="W86" s="49">
        <f>IF(OR(A86="",D86=""),0,MAX(0,NETWORKDAYS(MAX(D86,DATE(Einstellungen!$C$3,12,1)),MIN(J86,DATE(Einstellungen!$C$3,13,0)),Einstellungen!$F$13:$F$32)))</f>
        <v/>
      </c>
      <c r="X86" s="50">
        <f>L86*K86</f>
        <v/>
      </c>
      <c r="Y86" s="50">
        <f>M86*K86</f>
        <v/>
      </c>
      <c r="Z86" s="50">
        <f>N86*K86</f>
        <v/>
      </c>
      <c r="AA86" s="50">
        <f>O86*K86</f>
        <v/>
      </c>
      <c r="AB86" s="50">
        <f>P86*K86</f>
        <v/>
      </c>
      <c r="AC86" s="50">
        <f>Q86*K86</f>
        <v/>
      </c>
      <c r="AD86" s="50">
        <f>R86*K86</f>
        <v/>
      </c>
      <c r="AE86" s="50">
        <f>S86*K86</f>
        <v/>
      </c>
      <c r="AF86" s="50">
        <f>T86*K86</f>
        <v/>
      </c>
      <c r="AG86" s="50">
        <f>U86*K86</f>
        <v/>
      </c>
      <c r="AH86" s="50">
        <f>V86*K86</f>
        <v/>
      </c>
      <c r="AI86" s="50">
        <f>W86*K86</f>
        <v/>
      </c>
    </row>
    <row r="87">
      <c r="A87" s="25" t="n">
        <v>1035</v>
      </c>
      <c r="B87" s="45">
        <f>IF(A87="","",IFERROR(INDEX(Mitarbeiter!$B$6:$B$205,MATCH($A87,Mitarbeiter!$A$6:$A$205,0)),"?"))</f>
        <v/>
      </c>
      <c r="C87" s="46" t="inlineStr">
        <is>
          <t>Objekt 1</t>
        </is>
      </c>
      <c r="D87" s="26" t="n">
        <v>46205</v>
      </c>
      <c r="E87" s="26" t="n">
        <v>46207</v>
      </c>
      <c r="F87" s="24">
        <f>IF(A87="","",SUM(L87:W87))</f>
        <v/>
      </c>
      <c r="G87" s="36">
        <f>IF(A87="","",SUM(X87:AI87))</f>
        <v/>
      </c>
      <c r="H87" s="8">
        <f>IF(A87="","",IF(ISNA(MATCH(A87,Mitarbeiter!$A$6:$A$205,0)),"Pers.-Nr. unbekannt",IF(D87="","Von fehlt",IF(AND(C87&lt;&gt;Einstellungen!$C$4,C87&lt;&gt;Einstellungen!$C$5),"Objekt fehlt",IF(J87&lt;D87,"Bis vor Von",IF(D87&lt;INDEX(Mitarbeiter!$C$6:$C$205,MATCH($A87,Mitarbeiter!$A$6:$A$205,0)),"vor Eintritt",IF(AND(INDEX(Mitarbeiter!$D$6:$D$205,MATCH($A87,Mitarbeiter!$A$6:$A$205,0))&lt;&gt;"",D87&gt;INDEX(Mitarbeiter!$D$6:$D$205,MATCH($A87,Mitarbeiter!$A$6:$A$205,0))),"nach Austritt",IF(E87="","offen","ok"))))))))</f>
        <v/>
      </c>
      <c r="J87" s="47">
        <f>IF(A87="","",IF(E87="",Einstellungen!$C$9,E87))</f>
        <v/>
      </c>
      <c r="K87" s="48">
        <f>IF(A87="",0,IFERROR(INDEX(Mitarbeiter!$F$6:$F$205,MATCH($A87,Mitarbeiter!$A$6:$A$205,0)),0))</f>
        <v/>
      </c>
      <c r="L87" s="49">
        <f>IF(OR(A87="",D87=""),0,MAX(0,NETWORKDAYS(MAX(D87,DATE(Einstellungen!$C$3,1,1)),MIN(J87,DATE(Einstellungen!$C$3,2,0)),Einstellungen!$F$13:$F$32)))</f>
        <v/>
      </c>
      <c r="M87" s="49">
        <f>IF(OR(A87="",D87=""),0,MAX(0,NETWORKDAYS(MAX(D87,DATE(Einstellungen!$C$3,2,1)),MIN(J87,DATE(Einstellungen!$C$3,3,0)),Einstellungen!$F$13:$F$32)))</f>
        <v/>
      </c>
      <c r="N87" s="49">
        <f>IF(OR(A87="",D87=""),0,MAX(0,NETWORKDAYS(MAX(D87,DATE(Einstellungen!$C$3,3,1)),MIN(J87,DATE(Einstellungen!$C$3,4,0)),Einstellungen!$F$13:$F$32)))</f>
        <v/>
      </c>
      <c r="O87" s="49">
        <f>IF(OR(A87="",D87=""),0,MAX(0,NETWORKDAYS(MAX(D87,DATE(Einstellungen!$C$3,4,1)),MIN(J87,DATE(Einstellungen!$C$3,5,0)),Einstellungen!$F$13:$F$32)))</f>
        <v/>
      </c>
      <c r="P87" s="49">
        <f>IF(OR(A87="",D87=""),0,MAX(0,NETWORKDAYS(MAX(D87,DATE(Einstellungen!$C$3,5,1)),MIN(J87,DATE(Einstellungen!$C$3,6,0)),Einstellungen!$F$13:$F$32)))</f>
        <v/>
      </c>
      <c r="Q87" s="49">
        <f>IF(OR(A87="",D87=""),0,MAX(0,NETWORKDAYS(MAX(D87,DATE(Einstellungen!$C$3,6,1)),MIN(J87,DATE(Einstellungen!$C$3,7,0)),Einstellungen!$F$13:$F$32)))</f>
        <v/>
      </c>
      <c r="R87" s="49">
        <f>IF(OR(A87="",D87=""),0,MAX(0,NETWORKDAYS(MAX(D87,DATE(Einstellungen!$C$3,7,1)),MIN(J87,DATE(Einstellungen!$C$3,8,0)),Einstellungen!$F$13:$F$32)))</f>
        <v/>
      </c>
      <c r="S87" s="49">
        <f>IF(OR(A87="",D87=""),0,MAX(0,NETWORKDAYS(MAX(D87,DATE(Einstellungen!$C$3,8,1)),MIN(J87,DATE(Einstellungen!$C$3,9,0)),Einstellungen!$F$13:$F$32)))</f>
        <v/>
      </c>
      <c r="T87" s="49">
        <f>IF(OR(A87="",D87=""),0,MAX(0,NETWORKDAYS(MAX(D87,DATE(Einstellungen!$C$3,9,1)),MIN(J87,DATE(Einstellungen!$C$3,10,0)),Einstellungen!$F$13:$F$32)))</f>
        <v/>
      </c>
      <c r="U87" s="49">
        <f>IF(OR(A87="",D87=""),0,MAX(0,NETWORKDAYS(MAX(D87,DATE(Einstellungen!$C$3,10,1)),MIN(J87,DATE(Einstellungen!$C$3,11,0)),Einstellungen!$F$13:$F$32)))</f>
        <v/>
      </c>
      <c r="V87" s="49">
        <f>IF(OR(A87="",D87=""),0,MAX(0,NETWORKDAYS(MAX(D87,DATE(Einstellungen!$C$3,11,1)),MIN(J87,DATE(Einstellungen!$C$3,12,0)),Einstellungen!$F$13:$F$32)))</f>
        <v/>
      </c>
      <c r="W87" s="49">
        <f>IF(OR(A87="",D87=""),0,MAX(0,NETWORKDAYS(MAX(D87,DATE(Einstellungen!$C$3,12,1)),MIN(J87,DATE(Einstellungen!$C$3,13,0)),Einstellungen!$F$13:$F$32)))</f>
        <v/>
      </c>
      <c r="X87" s="50">
        <f>L87*K87</f>
        <v/>
      </c>
      <c r="Y87" s="50">
        <f>M87*K87</f>
        <v/>
      </c>
      <c r="Z87" s="50">
        <f>N87*K87</f>
        <v/>
      </c>
      <c r="AA87" s="50">
        <f>O87*K87</f>
        <v/>
      </c>
      <c r="AB87" s="50">
        <f>P87*K87</f>
        <v/>
      </c>
      <c r="AC87" s="50">
        <f>Q87*K87</f>
        <v/>
      </c>
      <c r="AD87" s="50">
        <f>R87*K87</f>
        <v/>
      </c>
      <c r="AE87" s="50">
        <f>S87*K87</f>
        <v/>
      </c>
      <c r="AF87" s="50">
        <f>T87*K87</f>
        <v/>
      </c>
      <c r="AG87" s="50">
        <f>U87*K87</f>
        <v/>
      </c>
      <c r="AH87" s="50">
        <f>V87*K87</f>
        <v/>
      </c>
      <c r="AI87" s="50">
        <f>W87*K87</f>
        <v/>
      </c>
    </row>
    <row r="88">
      <c r="A88" s="25" t="n">
        <v>1011</v>
      </c>
      <c r="B88" s="45">
        <f>IF(A88="","",IFERROR(INDEX(Mitarbeiter!$B$6:$B$205,MATCH($A88,Mitarbeiter!$A$6:$A$205,0)),"?"))</f>
        <v/>
      </c>
      <c r="C88" s="46" t="inlineStr">
        <is>
          <t>Objekt 1</t>
        </is>
      </c>
      <c r="D88" s="26" t="n">
        <v>46207</v>
      </c>
      <c r="E88" s="26" t="n">
        <v>46211</v>
      </c>
      <c r="F88" s="24">
        <f>IF(A88="","",SUM(L88:W88))</f>
        <v/>
      </c>
      <c r="G88" s="36">
        <f>IF(A88="","",SUM(X88:AI88))</f>
        <v/>
      </c>
      <c r="H88" s="8">
        <f>IF(A88="","",IF(ISNA(MATCH(A88,Mitarbeiter!$A$6:$A$205,0)),"Pers.-Nr. unbekannt",IF(D88="","Von fehlt",IF(AND(C88&lt;&gt;Einstellungen!$C$4,C88&lt;&gt;Einstellungen!$C$5),"Objekt fehlt",IF(J88&lt;D88,"Bis vor Von",IF(D88&lt;INDEX(Mitarbeiter!$C$6:$C$205,MATCH($A88,Mitarbeiter!$A$6:$A$205,0)),"vor Eintritt",IF(AND(INDEX(Mitarbeiter!$D$6:$D$205,MATCH($A88,Mitarbeiter!$A$6:$A$205,0))&lt;&gt;"",D88&gt;INDEX(Mitarbeiter!$D$6:$D$205,MATCH($A88,Mitarbeiter!$A$6:$A$205,0))),"nach Austritt",IF(E88="","offen","ok"))))))))</f>
        <v/>
      </c>
      <c r="J88" s="47">
        <f>IF(A88="","",IF(E88="",Einstellungen!$C$9,E88))</f>
        <v/>
      </c>
      <c r="K88" s="48">
        <f>IF(A88="",0,IFERROR(INDEX(Mitarbeiter!$F$6:$F$205,MATCH($A88,Mitarbeiter!$A$6:$A$205,0)),0))</f>
        <v/>
      </c>
      <c r="L88" s="49">
        <f>IF(OR(A88="",D88=""),0,MAX(0,NETWORKDAYS(MAX(D88,DATE(Einstellungen!$C$3,1,1)),MIN(J88,DATE(Einstellungen!$C$3,2,0)),Einstellungen!$F$13:$F$32)))</f>
        <v/>
      </c>
      <c r="M88" s="49">
        <f>IF(OR(A88="",D88=""),0,MAX(0,NETWORKDAYS(MAX(D88,DATE(Einstellungen!$C$3,2,1)),MIN(J88,DATE(Einstellungen!$C$3,3,0)),Einstellungen!$F$13:$F$32)))</f>
        <v/>
      </c>
      <c r="N88" s="49">
        <f>IF(OR(A88="",D88=""),0,MAX(0,NETWORKDAYS(MAX(D88,DATE(Einstellungen!$C$3,3,1)),MIN(J88,DATE(Einstellungen!$C$3,4,0)),Einstellungen!$F$13:$F$32)))</f>
        <v/>
      </c>
      <c r="O88" s="49">
        <f>IF(OR(A88="",D88=""),0,MAX(0,NETWORKDAYS(MAX(D88,DATE(Einstellungen!$C$3,4,1)),MIN(J88,DATE(Einstellungen!$C$3,5,0)),Einstellungen!$F$13:$F$32)))</f>
        <v/>
      </c>
      <c r="P88" s="49">
        <f>IF(OR(A88="",D88=""),0,MAX(0,NETWORKDAYS(MAX(D88,DATE(Einstellungen!$C$3,5,1)),MIN(J88,DATE(Einstellungen!$C$3,6,0)),Einstellungen!$F$13:$F$32)))</f>
        <v/>
      </c>
      <c r="Q88" s="49">
        <f>IF(OR(A88="",D88=""),0,MAX(0,NETWORKDAYS(MAX(D88,DATE(Einstellungen!$C$3,6,1)),MIN(J88,DATE(Einstellungen!$C$3,7,0)),Einstellungen!$F$13:$F$32)))</f>
        <v/>
      </c>
      <c r="R88" s="49">
        <f>IF(OR(A88="",D88=""),0,MAX(0,NETWORKDAYS(MAX(D88,DATE(Einstellungen!$C$3,7,1)),MIN(J88,DATE(Einstellungen!$C$3,8,0)),Einstellungen!$F$13:$F$32)))</f>
        <v/>
      </c>
      <c r="S88" s="49">
        <f>IF(OR(A88="",D88=""),0,MAX(0,NETWORKDAYS(MAX(D88,DATE(Einstellungen!$C$3,8,1)),MIN(J88,DATE(Einstellungen!$C$3,9,0)),Einstellungen!$F$13:$F$32)))</f>
        <v/>
      </c>
      <c r="T88" s="49">
        <f>IF(OR(A88="",D88=""),0,MAX(0,NETWORKDAYS(MAX(D88,DATE(Einstellungen!$C$3,9,1)),MIN(J88,DATE(Einstellungen!$C$3,10,0)),Einstellungen!$F$13:$F$32)))</f>
        <v/>
      </c>
      <c r="U88" s="49">
        <f>IF(OR(A88="",D88=""),0,MAX(0,NETWORKDAYS(MAX(D88,DATE(Einstellungen!$C$3,10,1)),MIN(J88,DATE(Einstellungen!$C$3,11,0)),Einstellungen!$F$13:$F$32)))</f>
        <v/>
      </c>
      <c r="V88" s="49">
        <f>IF(OR(A88="",D88=""),0,MAX(0,NETWORKDAYS(MAX(D88,DATE(Einstellungen!$C$3,11,1)),MIN(J88,DATE(Einstellungen!$C$3,12,0)),Einstellungen!$F$13:$F$32)))</f>
        <v/>
      </c>
      <c r="W88" s="49">
        <f>IF(OR(A88="",D88=""),0,MAX(0,NETWORKDAYS(MAX(D88,DATE(Einstellungen!$C$3,12,1)),MIN(J88,DATE(Einstellungen!$C$3,13,0)),Einstellungen!$F$13:$F$32)))</f>
        <v/>
      </c>
      <c r="X88" s="50">
        <f>L88*K88</f>
        <v/>
      </c>
      <c r="Y88" s="50">
        <f>M88*K88</f>
        <v/>
      </c>
      <c r="Z88" s="50">
        <f>N88*K88</f>
        <v/>
      </c>
      <c r="AA88" s="50">
        <f>O88*K88</f>
        <v/>
      </c>
      <c r="AB88" s="50">
        <f>P88*K88</f>
        <v/>
      </c>
      <c r="AC88" s="50">
        <f>Q88*K88</f>
        <v/>
      </c>
      <c r="AD88" s="50">
        <f>R88*K88</f>
        <v/>
      </c>
      <c r="AE88" s="50">
        <f>S88*K88</f>
        <v/>
      </c>
      <c r="AF88" s="50">
        <f>T88*K88</f>
        <v/>
      </c>
      <c r="AG88" s="50">
        <f>U88*K88</f>
        <v/>
      </c>
      <c r="AH88" s="50">
        <f>V88*K88</f>
        <v/>
      </c>
      <c r="AI88" s="50">
        <f>W88*K88</f>
        <v/>
      </c>
    </row>
    <row r="89">
      <c r="A89" s="25" t="n">
        <v>1025</v>
      </c>
      <c r="B89" s="45">
        <f>IF(A89="","",IFERROR(INDEX(Mitarbeiter!$B$6:$B$205,MATCH($A89,Mitarbeiter!$A$6:$A$205,0)),"?"))</f>
        <v/>
      </c>
      <c r="C89" s="46" t="inlineStr">
        <is>
          <t>Objekt 1</t>
        </is>
      </c>
      <c r="D89" s="26" t="n">
        <v>46208</v>
      </c>
      <c r="E89" s="26" t="n">
        <v>46214</v>
      </c>
      <c r="F89" s="24">
        <f>IF(A89="","",SUM(L89:W89))</f>
        <v/>
      </c>
      <c r="G89" s="36">
        <f>IF(A89="","",SUM(X89:AI89))</f>
        <v/>
      </c>
      <c r="H89" s="8">
        <f>IF(A89="","",IF(ISNA(MATCH(A89,Mitarbeiter!$A$6:$A$205,0)),"Pers.-Nr. unbekannt",IF(D89="","Von fehlt",IF(AND(C89&lt;&gt;Einstellungen!$C$4,C89&lt;&gt;Einstellungen!$C$5),"Objekt fehlt",IF(J89&lt;D89,"Bis vor Von",IF(D89&lt;INDEX(Mitarbeiter!$C$6:$C$205,MATCH($A89,Mitarbeiter!$A$6:$A$205,0)),"vor Eintritt",IF(AND(INDEX(Mitarbeiter!$D$6:$D$205,MATCH($A89,Mitarbeiter!$A$6:$A$205,0))&lt;&gt;"",D89&gt;INDEX(Mitarbeiter!$D$6:$D$205,MATCH($A89,Mitarbeiter!$A$6:$A$205,0))),"nach Austritt",IF(E89="","offen","ok"))))))))</f>
        <v/>
      </c>
      <c r="J89" s="47">
        <f>IF(A89="","",IF(E89="",Einstellungen!$C$9,E89))</f>
        <v/>
      </c>
      <c r="K89" s="48">
        <f>IF(A89="",0,IFERROR(INDEX(Mitarbeiter!$F$6:$F$205,MATCH($A89,Mitarbeiter!$A$6:$A$205,0)),0))</f>
        <v/>
      </c>
      <c r="L89" s="49">
        <f>IF(OR(A89="",D89=""),0,MAX(0,NETWORKDAYS(MAX(D89,DATE(Einstellungen!$C$3,1,1)),MIN(J89,DATE(Einstellungen!$C$3,2,0)),Einstellungen!$F$13:$F$32)))</f>
        <v/>
      </c>
      <c r="M89" s="49">
        <f>IF(OR(A89="",D89=""),0,MAX(0,NETWORKDAYS(MAX(D89,DATE(Einstellungen!$C$3,2,1)),MIN(J89,DATE(Einstellungen!$C$3,3,0)),Einstellungen!$F$13:$F$32)))</f>
        <v/>
      </c>
      <c r="N89" s="49">
        <f>IF(OR(A89="",D89=""),0,MAX(0,NETWORKDAYS(MAX(D89,DATE(Einstellungen!$C$3,3,1)),MIN(J89,DATE(Einstellungen!$C$3,4,0)),Einstellungen!$F$13:$F$32)))</f>
        <v/>
      </c>
      <c r="O89" s="49">
        <f>IF(OR(A89="",D89=""),0,MAX(0,NETWORKDAYS(MAX(D89,DATE(Einstellungen!$C$3,4,1)),MIN(J89,DATE(Einstellungen!$C$3,5,0)),Einstellungen!$F$13:$F$32)))</f>
        <v/>
      </c>
      <c r="P89" s="49">
        <f>IF(OR(A89="",D89=""),0,MAX(0,NETWORKDAYS(MAX(D89,DATE(Einstellungen!$C$3,5,1)),MIN(J89,DATE(Einstellungen!$C$3,6,0)),Einstellungen!$F$13:$F$32)))</f>
        <v/>
      </c>
      <c r="Q89" s="49">
        <f>IF(OR(A89="",D89=""),0,MAX(0,NETWORKDAYS(MAX(D89,DATE(Einstellungen!$C$3,6,1)),MIN(J89,DATE(Einstellungen!$C$3,7,0)),Einstellungen!$F$13:$F$32)))</f>
        <v/>
      </c>
      <c r="R89" s="49">
        <f>IF(OR(A89="",D89=""),0,MAX(0,NETWORKDAYS(MAX(D89,DATE(Einstellungen!$C$3,7,1)),MIN(J89,DATE(Einstellungen!$C$3,8,0)),Einstellungen!$F$13:$F$32)))</f>
        <v/>
      </c>
      <c r="S89" s="49">
        <f>IF(OR(A89="",D89=""),0,MAX(0,NETWORKDAYS(MAX(D89,DATE(Einstellungen!$C$3,8,1)),MIN(J89,DATE(Einstellungen!$C$3,9,0)),Einstellungen!$F$13:$F$32)))</f>
        <v/>
      </c>
      <c r="T89" s="49">
        <f>IF(OR(A89="",D89=""),0,MAX(0,NETWORKDAYS(MAX(D89,DATE(Einstellungen!$C$3,9,1)),MIN(J89,DATE(Einstellungen!$C$3,10,0)),Einstellungen!$F$13:$F$32)))</f>
        <v/>
      </c>
      <c r="U89" s="49">
        <f>IF(OR(A89="",D89=""),0,MAX(0,NETWORKDAYS(MAX(D89,DATE(Einstellungen!$C$3,10,1)),MIN(J89,DATE(Einstellungen!$C$3,11,0)),Einstellungen!$F$13:$F$32)))</f>
        <v/>
      </c>
      <c r="V89" s="49">
        <f>IF(OR(A89="",D89=""),0,MAX(0,NETWORKDAYS(MAX(D89,DATE(Einstellungen!$C$3,11,1)),MIN(J89,DATE(Einstellungen!$C$3,12,0)),Einstellungen!$F$13:$F$32)))</f>
        <v/>
      </c>
      <c r="W89" s="49">
        <f>IF(OR(A89="",D89=""),0,MAX(0,NETWORKDAYS(MAX(D89,DATE(Einstellungen!$C$3,12,1)),MIN(J89,DATE(Einstellungen!$C$3,13,0)),Einstellungen!$F$13:$F$32)))</f>
        <v/>
      </c>
      <c r="X89" s="50">
        <f>L89*K89</f>
        <v/>
      </c>
      <c r="Y89" s="50">
        <f>M89*K89</f>
        <v/>
      </c>
      <c r="Z89" s="50">
        <f>N89*K89</f>
        <v/>
      </c>
      <c r="AA89" s="50">
        <f>O89*K89</f>
        <v/>
      </c>
      <c r="AB89" s="50">
        <f>P89*K89</f>
        <v/>
      </c>
      <c r="AC89" s="50">
        <f>Q89*K89</f>
        <v/>
      </c>
      <c r="AD89" s="50">
        <f>R89*K89</f>
        <v/>
      </c>
      <c r="AE89" s="50">
        <f>S89*K89</f>
        <v/>
      </c>
      <c r="AF89" s="50">
        <f>T89*K89</f>
        <v/>
      </c>
      <c r="AG89" s="50">
        <f>U89*K89</f>
        <v/>
      </c>
      <c r="AH89" s="50">
        <f>V89*K89</f>
        <v/>
      </c>
      <c r="AI89" s="50">
        <f>W89*K89</f>
        <v/>
      </c>
    </row>
    <row r="90">
      <c r="A90" s="25" t="n">
        <v>1043</v>
      </c>
      <c r="B90" s="45">
        <f>IF(A90="","",IFERROR(INDEX(Mitarbeiter!$B$6:$B$205,MATCH($A90,Mitarbeiter!$A$6:$A$205,0)),"?"))</f>
        <v/>
      </c>
      <c r="C90" s="46" t="inlineStr">
        <is>
          <t>Objekt 2</t>
        </is>
      </c>
      <c r="D90" s="26" t="n">
        <v>46209</v>
      </c>
      <c r="E90" s="26" t="n">
        <v>46222</v>
      </c>
      <c r="F90" s="24">
        <f>IF(A90="","",SUM(L90:W90))</f>
        <v/>
      </c>
      <c r="G90" s="36">
        <f>IF(A90="","",SUM(X90:AI90))</f>
        <v/>
      </c>
      <c r="H90" s="8">
        <f>IF(A90="","",IF(ISNA(MATCH(A90,Mitarbeiter!$A$6:$A$205,0)),"Pers.-Nr. unbekannt",IF(D90="","Von fehlt",IF(AND(C90&lt;&gt;Einstellungen!$C$4,C90&lt;&gt;Einstellungen!$C$5),"Objekt fehlt",IF(J90&lt;D90,"Bis vor Von",IF(D90&lt;INDEX(Mitarbeiter!$C$6:$C$205,MATCH($A90,Mitarbeiter!$A$6:$A$205,0)),"vor Eintritt",IF(AND(INDEX(Mitarbeiter!$D$6:$D$205,MATCH($A90,Mitarbeiter!$A$6:$A$205,0))&lt;&gt;"",D90&gt;INDEX(Mitarbeiter!$D$6:$D$205,MATCH($A90,Mitarbeiter!$A$6:$A$205,0))),"nach Austritt",IF(E90="","offen","ok"))))))))</f>
        <v/>
      </c>
      <c r="J90" s="47">
        <f>IF(A90="","",IF(E90="",Einstellungen!$C$9,E90))</f>
        <v/>
      </c>
      <c r="K90" s="48">
        <f>IF(A90="",0,IFERROR(INDEX(Mitarbeiter!$F$6:$F$205,MATCH($A90,Mitarbeiter!$A$6:$A$205,0)),0))</f>
        <v/>
      </c>
      <c r="L90" s="49">
        <f>IF(OR(A90="",D90=""),0,MAX(0,NETWORKDAYS(MAX(D90,DATE(Einstellungen!$C$3,1,1)),MIN(J90,DATE(Einstellungen!$C$3,2,0)),Einstellungen!$F$13:$F$32)))</f>
        <v/>
      </c>
      <c r="M90" s="49">
        <f>IF(OR(A90="",D90=""),0,MAX(0,NETWORKDAYS(MAX(D90,DATE(Einstellungen!$C$3,2,1)),MIN(J90,DATE(Einstellungen!$C$3,3,0)),Einstellungen!$F$13:$F$32)))</f>
        <v/>
      </c>
      <c r="N90" s="49">
        <f>IF(OR(A90="",D90=""),0,MAX(0,NETWORKDAYS(MAX(D90,DATE(Einstellungen!$C$3,3,1)),MIN(J90,DATE(Einstellungen!$C$3,4,0)),Einstellungen!$F$13:$F$32)))</f>
        <v/>
      </c>
      <c r="O90" s="49">
        <f>IF(OR(A90="",D90=""),0,MAX(0,NETWORKDAYS(MAX(D90,DATE(Einstellungen!$C$3,4,1)),MIN(J90,DATE(Einstellungen!$C$3,5,0)),Einstellungen!$F$13:$F$32)))</f>
        <v/>
      </c>
      <c r="P90" s="49">
        <f>IF(OR(A90="",D90=""),0,MAX(0,NETWORKDAYS(MAX(D90,DATE(Einstellungen!$C$3,5,1)),MIN(J90,DATE(Einstellungen!$C$3,6,0)),Einstellungen!$F$13:$F$32)))</f>
        <v/>
      </c>
      <c r="Q90" s="49">
        <f>IF(OR(A90="",D90=""),0,MAX(0,NETWORKDAYS(MAX(D90,DATE(Einstellungen!$C$3,6,1)),MIN(J90,DATE(Einstellungen!$C$3,7,0)),Einstellungen!$F$13:$F$32)))</f>
        <v/>
      </c>
      <c r="R90" s="49">
        <f>IF(OR(A90="",D90=""),0,MAX(0,NETWORKDAYS(MAX(D90,DATE(Einstellungen!$C$3,7,1)),MIN(J90,DATE(Einstellungen!$C$3,8,0)),Einstellungen!$F$13:$F$32)))</f>
        <v/>
      </c>
      <c r="S90" s="49">
        <f>IF(OR(A90="",D90=""),0,MAX(0,NETWORKDAYS(MAX(D90,DATE(Einstellungen!$C$3,8,1)),MIN(J90,DATE(Einstellungen!$C$3,9,0)),Einstellungen!$F$13:$F$32)))</f>
        <v/>
      </c>
      <c r="T90" s="49">
        <f>IF(OR(A90="",D90=""),0,MAX(0,NETWORKDAYS(MAX(D90,DATE(Einstellungen!$C$3,9,1)),MIN(J90,DATE(Einstellungen!$C$3,10,0)),Einstellungen!$F$13:$F$32)))</f>
        <v/>
      </c>
      <c r="U90" s="49">
        <f>IF(OR(A90="",D90=""),0,MAX(0,NETWORKDAYS(MAX(D90,DATE(Einstellungen!$C$3,10,1)),MIN(J90,DATE(Einstellungen!$C$3,11,0)),Einstellungen!$F$13:$F$32)))</f>
        <v/>
      </c>
      <c r="V90" s="49">
        <f>IF(OR(A90="",D90=""),0,MAX(0,NETWORKDAYS(MAX(D90,DATE(Einstellungen!$C$3,11,1)),MIN(J90,DATE(Einstellungen!$C$3,12,0)),Einstellungen!$F$13:$F$32)))</f>
        <v/>
      </c>
      <c r="W90" s="49">
        <f>IF(OR(A90="",D90=""),0,MAX(0,NETWORKDAYS(MAX(D90,DATE(Einstellungen!$C$3,12,1)),MIN(J90,DATE(Einstellungen!$C$3,13,0)),Einstellungen!$F$13:$F$32)))</f>
        <v/>
      </c>
      <c r="X90" s="50">
        <f>L90*K90</f>
        <v/>
      </c>
      <c r="Y90" s="50">
        <f>M90*K90</f>
        <v/>
      </c>
      <c r="Z90" s="50">
        <f>N90*K90</f>
        <v/>
      </c>
      <c r="AA90" s="50">
        <f>O90*K90</f>
        <v/>
      </c>
      <c r="AB90" s="50">
        <f>P90*K90</f>
        <v/>
      </c>
      <c r="AC90" s="50">
        <f>Q90*K90</f>
        <v/>
      </c>
      <c r="AD90" s="50">
        <f>R90*K90</f>
        <v/>
      </c>
      <c r="AE90" s="50">
        <f>S90*K90</f>
        <v/>
      </c>
      <c r="AF90" s="50">
        <f>T90*K90</f>
        <v/>
      </c>
      <c r="AG90" s="50">
        <f>U90*K90</f>
        <v/>
      </c>
      <c r="AH90" s="50">
        <f>V90*K90</f>
        <v/>
      </c>
      <c r="AI90" s="50">
        <f>W90*K90</f>
        <v/>
      </c>
    </row>
    <row r="91">
      <c r="A91" s="25" t="n">
        <v>1030</v>
      </c>
      <c r="B91" s="45">
        <f>IF(A91="","",IFERROR(INDEX(Mitarbeiter!$B$6:$B$205,MATCH($A91,Mitarbeiter!$A$6:$A$205,0)),"?"))</f>
        <v/>
      </c>
      <c r="C91" s="46" t="inlineStr">
        <is>
          <t>Objekt 1</t>
        </is>
      </c>
      <c r="D91" s="26" t="n">
        <v>46209</v>
      </c>
      <c r="E91" s="26" t="n">
        <v>46211</v>
      </c>
      <c r="F91" s="24">
        <f>IF(A91="","",SUM(L91:W91))</f>
        <v/>
      </c>
      <c r="G91" s="36">
        <f>IF(A91="","",SUM(X91:AI91))</f>
        <v/>
      </c>
      <c r="H91" s="8">
        <f>IF(A91="","",IF(ISNA(MATCH(A91,Mitarbeiter!$A$6:$A$205,0)),"Pers.-Nr. unbekannt",IF(D91="","Von fehlt",IF(AND(C91&lt;&gt;Einstellungen!$C$4,C91&lt;&gt;Einstellungen!$C$5),"Objekt fehlt",IF(J91&lt;D91,"Bis vor Von",IF(D91&lt;INDEX(Mitarbeiter!$C$6:$C$205,MATCH($A91,Mitarbeiter!$A$6:$A$205,0)),"vor Eintritt",IF(AND(INDEX(Mitarbeiter!$D$6:$D$205,MATCH($A91,Mitarbeiter!$A$6:$A$205,0))&lt;&gt;"",D91&gt;INDEX(Mitarbeiter!$D$6:$D$205,MATCH($A91,Mitarbeiter!$A$6:$A$205,0))),"nach Austritt",IF(E91="","offen","ok"))))))))</f>
        <v/>
      </c>
      <c r="J91" s="47">
        <f>IF(A91="","",IF(E91="",Einstellungen!$C$9,E91))</f>
        <v/>
      </c>
      <c r="K91" s="48">
        <f>IF(A91="",0,IFERROR(INDEX(Mitarbeiter!$F$6:$F$205,MATCH($A91,Mitarbeiter!$A$6:$A$205,0)),0))</f>
        <v/>
      </c>
      <c r="L91" s="49">
        <f>IF(OR(A91="",D91=""),0,MAX(0,NETWORKDAYS(MAX(D91,DATE(Einstellungen!$C$3,1,1)),MIN(J91,DATE(Einstellungen!$C$3,2,0)),Einstellungen!$F$13:$F$32)))</f>
        <v/>
      </c>
      <c r="M91" s="49">
        <f>IF(OR(A91="",D91=""),0,MAX(0,NETWORKDAYS(MAX(D91,DATE(Einstellungen!$C$3,2,1)),MIN(J91,DATE(Einstellungen!$C$3,3,0)),Einstellungen!$F$13:$F$32)))</f>
        <v/>
      </c>
      <c r="N91" s="49">
        <f>IF(OR(A91="",D91=""),0,MAX(0,NETWORKDAYS(MAX(D91,DATE(Einstellungen!$C$3,3,1)),MIN(J91,DATE(Einstellungen!$C$3,4,0)),Einstellungen!$F$13:$F$32)))</f>
        <v/>
      </c>
      <c r="O91" s="49">
        <f>IF(OR(A91="",D91=""),0,MAX(0,NETWORKDAYS(MAX(D91,DATE(Einstellungen!$C$3,4,1)),MIN(J91,DATE(Einstellungen!$C$3,5,0)),Einstellungen!$F$13:$F$32)))</f>
        <v/>
      </c>
      <c r="P91" s="49">
        <f>IF(OR(A91="",D91=""),0,MAX(0,NETWORKDAYS(MAX(D91,DATE(Einstellungen!$C$3,5,1)),MIN(J91,DATE(Einstellungen!$C$3,6,0)),Einstellungen!$F$13:$F$32)))</f>
        <v/>
      </c>
      <c r="Q91" s="49">
        <f>IF(OR(A91="",D91=""),0,MAX(0,NETWORKDAYS(MAX(D91,DATE(Einstellungen!$C$3,6,1)),MIN(J91,DATE(Einstellungen!$C$3,7,0)),Einstellungen!$F$13:$F$32)))</f>
        <v/>
      </c>
      <c r="R91" s="49">
        <f>IF(OR(A91="",D91=""),0,MAX(0,NETWORKDAYS(MAX(D91,DATE(Einstellungen!$C$3,7,1)),MIN(J91,DATE(Einstellungen!$C$3,8,0)),Einstellungen!$F$13:$F$32)))</f>
        <v/>
      </c>
      <c r="S91" s="49">
        <f>IF(OR(A91="",D91=""),0,MAX(0,NETWORKDAYS(MAX(D91,DATE(Einstellungen!$C$3,8,1)),MIN(J91,DATE(Einstellungen!$C$3,9,0)),Einstellungen!$F$13:$F$32)))</f>
        <v/>
      </c>
      <c r="T91" s="49">
        <f>IF(OR(A91="",D91=""),0,MAX(0,NETWORKDAYS(MAX(D91,DATE(Einstellungen!$C$3,9,1)),MIN(J91,DATE(Einstellungen!$C$3,10,0)),Einstellungen!$F$13:$F$32)))</f>
        <v/>
      </c>
      <c r="U91" s="49">
        <f>IF(OR(A91="",D91=""),0,MAX(0,NETWORKDAYS(MAX(D91,DATE(Einstellungen!$C$3,10,1)),MIN(J91,DATE(Einstellungen!$C$3,11,0)),Einstellungen!$F$13:$F$32)))</f>
        <v/>
      </c>
      <c r="V91" s="49">
        <f>IF(OR(A91="",D91=""),0,MAX(0,NETWORKDAYS(MAX(D91,DATE(Einstellungen!$C$3,11,1)),MIN(J91,DATE(Einstellungen!$C$3,12,0)),Einstellungen!$F$13:$F$32)))</f>
        <v/>
      </c>
      <c r="W91" s="49">
        <f>IF(OR(A91="",D91=""),0,MAX(0,NETWORKDAYS(MAX(D91,DATE(Einstellungen!$C$3,12,1)),MIN(J91,DATE(Einstellungen!$C$3,13,0)),Einstellungen!$F$13:$F$32)))</f>
        <v/>
      </c>
      <c r="X91" s="50">
        <f>L91*K91</f>
        <v/>
      </c>
      <c r="Y91" s="50">
        <f>M91*K91</f>
        <v/>
      </c>
      <c r="Z91" s="50">
        <f>N91*K91</f>
        <v/>
      </c>
      <c r="AA91" s="50">
        <f>O91*K91</f>
        <v/>
      </c>
      <c r="AB91" s="50">
        <f>P91*K91</f>
        <v/>
      </c>
      <c r="AC91" s="50">
        <f>Q91*K91</f>
        <v/>
      </c>
      <c r="AD91" s="50">
        <f>R91*K91</f>
        <v/>
      </c>
      <c r="AE91" s="50">
        <f>S91*K91</f>
        <v/>
      </c>
      <c r="AF91" s="50">
        <f>T91*K91</f>
        <v/>
      </c>
      <c r="AG91" s="50">
        <f>U91*K91</f>
        <v/>
      </c>
      <c r="AH91" s="50">
        <f>V91*K91</f>
        <v/>
      </c>
      <c r="AI91" s="50">
        <f>W91*K91</f>
        <v/>
      </c>
    </row>
    <row r="92">
      <c r="A92" s="25" t="n">
        <v>1025</v>
      </c>
      <c r="B92" s="45">
        <f>IF(A92="","",IFERROR(INDEX(Mitarbeiter!$B$6:$B$205,MATCH($A92,Mitarbeiter!$A$6:$A$205,0)),"?"))</f>
        <v/>
      </c>
      <c r="C92" s="46" t="inlineStr">
        <is>
          <t>Objekt 1</t>
        </is>
      </c>
      <c r="D92" s="26" t="n">
        <v>46209</v>
      </c>
      <c r="E92" s="26" t="n">
        <v>46211</v>
      </c>
      <c r="F92" s="24">
        <f>IF(A92="","",SUM(L92:W92))</f>
        <v/>
      </c>
      <c r="G92" s="36">
        <f>IF(A92="","",SUM(X92:AI92))</f>
        <v/>
      </c>
      <c r="H92" s="8">
        <f>IF(A92="","",IF(ISNA(MATCH(A92,Mitarbeiter!$A$6:$A$205,0)),"Pers.-Nr. unbekannt",IF(D92="","Von fehlt",IF(AND(C92&lt;&gt;Einstellungen!$C$4,C92&lt;&gt;Einstellungen!$C$5),"Objekt fehlt",IF(J92&lt;D92,"Bis vor Von",IF(D92&lt;INDEX(Mitarbeiter!$C$6:$C$205,MATCH($A92,Mitarbeiter!$A$6:$A$205,0)),"vor Eintritt",IF(AND(INDEX(Mitarbeiter!$D$6:$D$205,MATCH($A92,Mitarbeiter!$A$6:$A$205,0))&lt;&gt;"",D92&gt;INDEX(Mitarbeiter!$D$6:$D$205,MATCH($A92,Mitarbeiter!$A$6:$A$205,0))),"nach Austritt",IF(E92="","offen","ok"))))))))</f>
        <v/>
      </c>
      <c r="J92" s="47">
        <f>IF(A92="","",IF(E92="",Einstellungen!$C$9,E92))</f>
        <v/>
      </c>
      <c r="K92" s="48">
        <f>IF(A92="",0,IFERROR(INDEX(Mitarbeiter!$F$6:$F$205,MATCH($A92,Mitarbeiter!$A$6:$A$205,0)),0))</f>
        <v/>
      </c>
      <c r="L92" s="49">
        <f>IF(OR(A92="",D92=""),0,MAX(0,NETWORKDAYS(MAX(D92,DATE(Einstellungen!$C$3,1,1)),MIN(J92,DATE(Einstellungen!$C$3,2,0)),Einstellungen!$F$13:$F$32)))</f>
        <v/>
      </c>
      <c r="M92" s="49">
        <f>IF(OR(A92="",D92=""),0,MAX(0,NETWORKDAYS(MAX(D92,DATE(Einstellungen!$C$3,2,1)),MIN(J92,DATE(Einstellungen!$C$3,3,0)),Einstellungen!$F$13:$F$32)))</f>
        <v/>
      </c>
      <c r="N92" s="49">
        <f>IF(OR(A92="",D92=""),0,MAX(0,NETWORKDAYS(MAX(D92,DATE(Einstellungen!$C$3,3,1)),MIN(J92,DATE(Einstellungen!$C$3,4,0)),Einstellungen!$F$13:$F$32)))</f>
        <v/>
      </c>
      <c r="O92" s="49">
        <f>IF(OR(A92="",D92=""),0,MAX(0,NETWORKDAYS(MAX(D92,DATE(Einstellungen!$C$3,4,1)),MIN(J92,DATE(Einstellungen!$C$3,5,0)),Einstellungen!$F$13:$F$32)))</f>
        <v/>
      </c>
      <c r="P92" s="49">
        <f>IF(OR(A92="",D92=""),0,MAX(0,NETWORKDAYS(MAX(D92,DATE(Einstellungen!$C$3,5,1)),MIN(J92,DATE(Einstellungen!$C$3,6,0)),Einstellungen!$F$13:$F$32)))</f>
        <v/>
      </c>
      <c r="Q92" s="49">
        <f>IF(OR(A92="",D92=""),0,MAX(0,NETWORKDAYS(MAX(D92,DATE(Einstellungen!$C$3,6,1)),MIN(J92,DATE(Einstellungen!$C$3,7,0)),Einstellungen!$F$13:$F$32)))</f>
        <v/>
      </c>
      <c r="R92" s="49">
        <f>IF(OR(A92="",D92=""),0,MAX(0,NETWORKDAYS(MAX(D92,DATE(Einstellungen!$C$3,7,1)),MIN(J92,DATE(Einstellungen!$C$3,8,0)),Einstellungen!$F$13:$F$32)))</f>
        <v/>
      </c>
      <c r="S92" s="49">
        <f>IF(OR(A92="",D92=""),0,MAX(0,NETWORKDAYS(MAX(D92,DATE(Einstellungen!$C$3,8,1)),MIN(J92,DATE(Einstellungen!$C$3,9,0)),Einstellungen!$F$13:$F$32)))</f>
        <v/>
      </c>
      <c r="T92" s="49">
        <f>IF(OR(A92="",D92=""),0,MAX(0,NETWORKDAYS(MAX(D92,DATE(Einstellungen!$C$3,9,1)),MIN(J92,DATE(Einstellungen!$C$3,10,0)),Einstellungen!$F$13:$F$32)))</f>
        <v/>
      </c>
      <c r="U92" s="49">
        <f>IF(OR(A92="",D92=""),0,MAX(0,NETWORKDAYS(MAX(D92,DATE(Einstellungen!$C$3,10,1)),MIN(J92,DATE(Einstellungen!$C$3,11,0)),Einstellungen!$F$13:$F$32)))</f>
        <v/>
      </c>
      <c r="V92" s="49">
        <f>IF(OR(A92="",D92=""),0,MAX(0,NETWORKDAYS(MAX(D92,DATE(Einstellungen!$C$3,11,1)),MIN(J92,DATE(Einstellungen!$C$3,12,0)),Einstellungen!$F$13:$F$32)))</f>
        <v/>
      </c>
      <c r="W92" s="49">
        <f>IF(OR(A92="",D92=""),0,MAX(0,NETWORKDAYS(MAX(D92,DATE(Einstellungen!$C$3,12,1)),MIN(J92,DATE(Einstellungen!$C$3,13,0)),Einstellungen!$F$13:$F$32)))</f>
        <v/>
      </c>
      <c r="X92" s="50">
        <f>L92*K92</f>
        <v/>
      </c>
      <c r="Y92" s="50">
        <f>M92*K92</f>
        <v/>
      </c>
      <c r="Z92" s="50">
        <f>N92*K92</f>
        <v/>
      </c>
      <c r="AA92" s="50">
        <f>O92*K92</f>
        <v/>
      </c>
      <c r="AB92" s="50">
        <f>P92*K92</f>
        <v/>
      </c>
      <c r="AC92" s="50">
        <f>Q92*K92</f>
        <v/>
      </c>
      <c r="AD92" s="50">
        <f>R92*K92</f>
        <v/>
      </c>
      <c r="AE92" s="50">
        <f>S92*K92</f>
        <v/>
      </c>
      <c r="AF92" s="50">
        <f>T92*K92</f>
        <v/>
      </c>
      <c r="AG92" s="50">
        <f>U92*K92</f>
        <v/>
      </c>
      <c r="AH92" s="50">
        <f>V92*K92</f>
        <v/>
      </c>
      <c r="AI92" s="50">
        <f>W92*K92</f>
        <v/>
      </c>
    </row>
    <row r="93">
      <c r="A93" s="25" t="n">
        <v>1040</v>
      </c>
      <c r="B93" s="45">
        <f>IF(A93="","",IFERROR(INDEX(Mitarbeiter!$B$6:$B$205,MATCH($A93,Mitarbeiter!$A$6:$A$205,0)),"?"))</f>
        <v/>
      </c>
      <c r="C93" s="46" t="inlineStr">
        <is>
          <t>Objekt 2</t>
        </is>
      </c>
      <c r="D93" s="26" t="n">
        <v>46214</v>
      </c>
      <c r="E93" s="26" t="n">
        <v>46234</v>
      </c>
      <c r="F93" s="24">
        <f>IF(A93="","",SUM(L93:W93))</f>
        <v/>
      </c>
      <c r="G93" s="36">
        <f>IF(A93="","",SUM(X93:AI93))</f>
        <v/>
      </c>
      <c r="H93" s="8">
        <f>IF(A93="","",IF(ISNA(MATCH(A93,Mitarbeiter!$A$6:$A$205,0)),"Pers.-Nr. unbekannt",IF(D93="","Von fehlt",IF(AND(C93&lt;&gt;Einstellungen!$C$4,C93&lt;&gt;Einstellungen!$C$5),"Objekt fehlt",IF(J93&lt;D93,"Bis vor Von",IF(D93&lt;INDEX(Mitarbeiter!$C$6:$C$205,MATCH($A93,Mitarbeiter!$A$6:$A$205,0)),"vor Eintritt",IF(AND(INDEX(Mitarbeiter!$D$6:$D$205,MATCH($A93,Mitarbeiter!$A$6:$A$205,0))&lt;&gt;"",D93&gt;INDEX(Mitarbeiter!$D$6:$D$205,MATCH($A93,Mitarbeiter!$A$6:$A$205,0))),"nach Austritt",IF(E93="","offen","ok"))))))))</f>
        <v/>
      </c>
      <c r="J93" s="47">
        <f>IF(A93="","",IF(E93="",Einstellungen!$C$9,E93))</f>
        <v/>
      </c>
      <c r="K93" s="48">
        <f>IF(A93="",0,IFERROR(INDEX(Mitarbeiter!$F$6:$F$205,MATCH($A93,Mitarbeiter!$A$6:$A$205,0)),0))</f>
        <v/>
      </c>
      <c r="L93" s="49">
        <f>IF(OR(A93="",D93=""),0,MAX(0,NETWORKDAYS(MAX(D93,DATE(Einstellungen!$C$3,1,1)),MIN(J93,DATE(Einstellungen!$C$3,2,0)),Einstellungen!$F$13:$F$32)))</f>
        <v/>
      </c>
      <c r="M93" s="49">
        <f>IF(OR(A93="",D93=""),0,MAX(0,NETWORKDAYS(MAX(D93,DATE(Einstellungen!$C$3,2,1)),MIN(J93,DATE(Einstellungen!$C$3,3,0)),Einstellungen!$F$13:$F$32)))</f>
        <v/>
      </c>
      <c r="N93" s="49">
        <f>IF(OR(A93="",D93=""),0,MAX(0,NETWORKDAYS(MAX(D93,DATE(Einstellungen!$C$3,3,1)),MIN(J93,DATE(Einstellungen!$C$3,4,0)),Einstellungen!$F$13:$F$32)))</f>
        <v/>
      </c>
      <c r="O93" s="49">
        <f>IF(OR(A93="",D93=""),0,MAX(0,NETWORKDAYS(MAX(D93,DATE(Einstellungen!$C$3,4,1)),MIN(J93,DATE(Einstellungen!$C$3,5,0)),Einstellungen!$F$13:$F$32)))</f>
        <v/>
      </c>
      <c r="P93" s="49">
        <f>IF(OR(A93="",D93=""),0,MAX(0,NETWORKDAYS(MAX(D93,DATE(Einstellungen!$C$3,5,1)),MIN(J93,DATE(Einstellungen!$C$3,6,0)),Einstellungen!$F$13:$F$32)))</f>
        <v/>
      </c>
      <c r="Q93" s="49">
        <f>IF(OR(A93="",D93=""),0,MAX(0,NETWORKDAYS(MAX(D93,DATE(Einstellungen!$C$3,6,1)),MIN(J93,DATE(Einstellungen!$C$3,7,0)),Einstellungen!$F$13:$F$32)))</f>
        <v/>
      </c>
      <c r="R93" s="49">
        <f>IF(OR(A93="",D93=""),0,MAX(0,NETWORKDAYS(MAX(D93,DATE(Einstellungen!$C$3,7,1)),MIN(J93,DATE(Einstellungen!$C$3,8,0)),Einstellungen!$F$13:$F$32)))</f>
        <v/>
      </c>
      <c r="S93" s="49">
        <f>IF(OR(A93="",D93=""),0,MAX(0,NETWORKDAYS(MAX(D93,DATE(Einstellungen!$C$3,8,1)),MIN(J93,DATE(Einstellungen!$C$3,9,0)),Einstellungen!$F$13:$F$32)))</f>
        <v/>
      </c>
      <c r="T93" s="49">
        <f>IF(OR(A93="",D93=""),0,MAX(0,NETWORKDAYS(MAX(D93,DATE(Einstellungen!$C$3,9,1)),MIN(J93,DATE(Einstellungen!$C$3,10,0)),Einstellungen!$F$13:$F$32)))</f>
        <v/>
      </c>
      <c r="U93" s="49">
        <f>IF(OR(A93="",D93=""),0,MAX(0,NETWORKDAYS(MAX(D93,DATE(Einstellungen!$C$3,10,1)),MIN(J93,DATE(Einstellungen!$C$3,11,0)),Einstellungen!$F$13:$F$32)))</f>
        <v/>
      </c>
      <c r="V93" s="49">
        <f>IF(OR(A93="",D93=""),0,MAX(0,NETWORKDAYS(MAX(D93,DATE(Einstellungen!$C$3,11,1)),MIN(J93,DATE(Einstellungen!$C$3,12,0)),Einstellungen!$F$13:$F$32)))</f>
        <v/>
      </c>
      <c r="W93" s="49">
        <f>IF(OR(A93="",D93=""),0,MAX(0,NETWORKDAYS(MAX(D93,DATE(Einstellungen!$C$3,12,1)),MIN(J93,DATE(Einstellungen!$C$3,13,0)),Einstellungen!$F$13:$F$32)))</f>
        <v/>
      </c>
      <c r="X93" s="50">
        <f>L93*K93</f>
        <v/>
      </c>
      <c r="Y93" s="50">
        <f>M93*K93</f>
        <v/>
      </c>
      <c r="Z93" s="50">
        <f>N93*K93</f>
        <v/>
      </c>
      <c r="AA93" s="50">
        <f>O93*K93</f>
        <v/>
      </c>
      <c r="AB93" s="50">
        <f>P93*K93</f>
        <v/>
      </c>
      <c r="AC93" s="50">
        <f>Q93*K93</f>
        <v/>
      </c>
      <c r="AD93" s="50">
        <f>R93*K93</f>
        <v/>
      </c>
      <c r="AE93" s="50">
        <f>S93*K93</f>
        <v/>
      </c>
      <c r="AF93" s="50">
        <f>T93*K93</f>
        <v/>
      </c>
      <c r="AG93" s="50">
        <f>U93*K93</f>
        <v/>
      </c>
      <c r="AH93" s="50">
        <f>V93*K93</f>
        <v/>
      </c>
      <c r="AI93" s="50">
        <f>W93*K93</f>
        <v/>
      </c>
    </row>
    <row r="94">
      <c r="A94" s="25" t="n">
        <v>1048</v>
      </c>
      <c r="B94" s="45">
        <f>IF(A94="","",IFERROR(INDEX(Mitarbeiter!$B$6:$B$205,MATCH($A94,Mitarbeiter!$A$6:$A$205,0)),"?"))</f>
        <v/>
      </c>
      <c r="C94" s="46" t="inlineStr">
        <is>
          <t>Objekt 1</t>
        </is>
      </c>
      <c r="D94" s="26" t="n">
        <v>46215</v>
      </c>
      <c r="E94" s="26" t="n">
        <v>46217</v>
      </c>
      <c r="F94" s="24">
        <f>IF(A94="","",SUM(L94:W94))</f>
        <v/>
      </c>
      <c r="G94" s="36">
        <f>IF(A94="","",SUM(X94:AI94))</f>
        <v/>
      </c>
      <c r="H94" s="8">
        <f>IF(A94="","",IF(ISNA(MATCH(A94,Mitarbeiter!$A$6:$A$205,0)),"Pers.-Nr. unbekannt",IF(D94="","Von fehlt",IF(AND(C94&lt;&gt;Einstellungen!$C$4,C94&lt;&gt;Einstellungen!$C$5),"Objekt fehlt",IF(J94&lt;D94,"Bis vor Von",IF(D94&lt;INDEX(Mitarbeiter!$C$6:$C$205,MATCH($A94,Mitarbeiter!$A$6:$A$205,0)),"vor Eintritt",IF(AND(INDEX(Mitarbeiter!$D$6:$D$205,MATCH($A94,Mitarbeiter!$A$6:$A$205,0))&lt;&gt;"",D94&gt;INDEX(Mitarbeiter!$D$6:$D$205,MATCH($A94,Mitarbeiter!$A$6:$A$205,0))),"nach Austritt",IF(E94="","offen","ok"))))))))</f>
        <v/>
      </c>
      <c r="J94" s="47">
        <f>IF(A94="","",IF(E94="",Einstellungen!$C$9,E94))</f>
        <v/>
      </c>
      <c r="K94" s="48">
        <f>IF(A94="",0,IFERROR(INDEX(Mitarbeiter!$F$6:$F$205,MATCH($A94,Mitarbeiter!$A$6:$A$205,0)),0))</f>
        <v/>
      </c>
      <c r="L94" s="49">
        <f>IF(OR(A94="",D94=""),0,MAX(0,NETWORKDAYS(MAX(D94,DATE(Einstellungen!$C$3,1,1)),MIN(J94,DATE(Einstellungen!$C$3,2,0)),Einstellungen!$F$13:$F$32)))</f>
        <v/>
      </c>
      <c r="M94" s="49">
        <f>IF(OR(A94="",D94=""),0,MAX(0,NETWORKDAYS(MAX(D94,DATE(Einstellungen!$C$3,2,1)),MIN(J94,DATE(Einstellungen!$C$3,3,0)),Einstellungen!$F$13:$F$32)))</f>
        <v/>
      </c>
      <c r="N94" s="49">
        <f>IF(OR(A94="",D94=""),0,MAX(0,NETWORKDAYS(MAX(D94,DATE(Einstellungen!$C$3,3,1)),MIN(J94,DATE(Einstellungen!$C$3,4,0)),Einstellungen!$F$13:$F$32)))</f>
        <v/>
      </c>
      <c r="O94" s="49">
        <f>IF(OR(A94="",D94=""),0,MAX(0,NETWORKDAYS(MAX(D94,DATE(Einstellungen!$C$3,4,1)),MIN(J94,DATE(Einstellungen!$C$3,5,0)),Einstellungen!$F$13:$F$32)))</f>
        <v/>
      </c>
      <c r="P94" s="49">
        <f>IF(OR(A94="",D94=""),0,MAX(0,NETWORKDAYS(MAX(D94,DATE(Einstellungen!$C$3,5,1)),MIN(J94,DATE(Einstellungen!$C$3,6,0)),Einstellungen!$F$13:$F$32)))</f>
        <v/>
      </c>
      <c r="Q94" s="49">
        <f>IF(OR(A94="",D94=""),0,MAX(0,NETWORKDAYS(MAX(D94,DATE(Einstellungen!$C$3,6,1)),MIN(J94,DATE(Einstellungen!$C$3,7,0)),Einstellungen!$F$13:$F$32)))</f>
        <v/>
      </c>
      <c r="R94" s="49">
        <f>IF(OR(A94="",D94=""),0,MAX(0,NETWORKDAYS(MAX(D94,DATE(Einstellungen!$C$3,7,1)),MIN(J94,DATE(Einstellungen!$C$3,8,0)),Einstellungen!$F$13:$F$32)))</f>
        <v/>
      </c>
      <c r="S94" s="49">
        <f>IF(OR(A94="",D94=""),0,MAX(0,NETWORKDAYS(MAX(D94,DATE(Einstellungen!$C$3,8,1)),MIN(J94,DATE(Einstellungen!$C$3,9,0)),Einstellungen!$F$13:$F$32)))</f>
        <v/>
      </c>
      <c r="T94" s="49">
        <f>IF(OR(A94="",D94=""),0,MAX(0,NETWORKDAYS(MAX(D94,DATE(Einstellungen!$C$3,9,1)),MIN(J94,DATE(Einstellungen!$C$3,10,0)),Einstellungen!$F$13:$F$32)))</f>
        <v/>
      </c>
      <c r="U94" s="49">
        <f>IF(OR(A94="",D94=""),0,MAX(0,NETWORKDAYS(MAX(D94,DATE(Einstellungen!$C$3,10,1)),MIN(J94,DATE(Einstellungen!$C$3,11,0)),Einstellungen!$F$13:$F$32)))</f>
        <v/>
      </c>
      <c r="V94" s="49">
        <f>IF(OR(A94="",D94=""),0,MAX(0,NETWORKDAYS(MAX(D94,DATE(Einstellungen!$C$3,11,1)),MIN(J94,DATE(Einstellungen!$C$3,12,0)),Einstellungen!$F$13:$F$32)))</f>
        <v/>
      </c>
      <c r="W94" s="49">
        <f>IF(OR(A94="",D94=""),0,MAX(0,NETWORKDAYS(MAX(D94,DATE(Einstellungen!$C$3,12,1)),MIN(J94,DATE(Einstellungen!$C$3,13,0)),Einstellungen!$F$13:$F$32)))</f>
        <v/>
      </c>
      <c r="X94" s="50">
        <f>L94*K94</f>
        <v/>
      </c>
      <c r="Y94" s="50">
        <f>M94*K94</f>
        <v/>
      </c>
      <c r="Z94" s="50">
        <f>N94*K94</f>
        <v/>
      </c>
      <c r="AA94" s="50">
        <f>O94*K94</f>
        <v/>
      </c>
      <c r="AB94" s="50">
        <f>P94*K94</f>
        <v/>
      </c>
      <c r="AC94" s="50">
        <f>Q94*K94</f>
        <v/>
      </c>
      <c r="AD94" s="50">
        <f>R94*K94</f>
        <v/>
      </c>
      <c r="AE94" s="50">
        <f>S94*K94</f>
        <v/>
      </c>
      <c r="AF94" s="50">
        <f>T94*K94</f>
        <v/>
      </c>
      <c r="AG94" s="50">
        <f>U94*K94</f>
        <v/>
      </c>
      <c r="AH94" s="50">
        <f>V94*K94</f>
        <v/>
      </c>
      <c r="AI94" s="50">
        <f>W94*K94</f>
        <v/>
      </c>
    </row>
    <row r="95">
      <c r="A95" s="25" t="n">
        <v>1040</v>
      </c>
      <c r="B95" s="45">
        <f>IF(A95="","",IFERROR(INDEX(Mitarbeiter!$B$6:$B$205,MATCH($A95,Mitarbeiter!$A$6:$A$205,0)),"?"))</f>
        <v/>
      </c>
      <c r="C95" s="46" t="inlineStr">
        <is>
          <t>Objekt 2</t>
        </is>
      </c>
      <c r="D95" s="26" t="n">
        <v>46215</v>
      </c>
      <c r="E95" s="26" t="n">
        <v>46217</v>
      </c>
      <c r="F95" s="24">
        <f>IF(A95="","",SUM(L95:W95))</f>
        <v/>
      </c>
      <c r="G95" s="36">
        <f>IF(A95="","",SUM(X95:AI95))</f>
        <v/>
      </c>
      <c r="H95" s="8">
        <f>IF(A95="","",IF(ISNA(MATCH(A95,Mitarbeiter!$A$6:$A$205,0)),"Pers.-Nr. unbekannt",IF(D95="","Von fehlt",IF(AND(C95&lt;&gt;Einstellungen!$C$4,C95&lt;&gt;Einstellungen!$C$5),"Objekt fehlt",IF(J95&lt;D95,"Bis vor Von",IF(D95&lt;INDEX(Mitarbeiter!$C$6:$C$205,MATCH($A95,Mitarbeiter!$A$6:$A$205,0)),"vor Eintritt",IF(AND(INDEX(Mitarbeiter!$D$6:$D$205,MATCH($A95,Mitarbeiter!$A$6:$A$205,0))&lt;&gt;"",D95&gt;INDEX(Mitarbeiter!$D$6:$D$205,MATCH($A95,Mitarbeiter!$A$6:$A$205,0))),"nach Austritt",IF(E95="","offen","ok"))))))))</f>
        <v/>
      </c>
      <c r="J95" s="47">
        <f>IF(A95="","",IF(E95="",Einstellungen!$C$9,E95))</f>
        <v/>
      </c>
      <c r="K95" s="48">
        <f>IF(A95="",0,IFERROR(INDEX(Mitarbeiter!$F$6:$F$205,MATCH($A95,Mitarbeiter!$A$6:$A$205,0)),0))</f>
        <v/>
      </c>
      <c r="L95" s="49">
        <f>IF(OR(A95="",D95=""),0,MAX(0,NETWORKDAYS(MAX(D95,DATE(Einstellungen!$C$3,1,1)),MIN(J95,DATE(Einstellungen!$C$3,2,0)),Einstellungen!$F$13:$F$32)))</f>
        <v/>
      </c>
      <c r="M95" s="49">
        <f>IF(OR(A95="",D95=""),0,MAX(0,NETWORKDAYS(MAX(D95,DATE(Einstellungen!$C$3,2,1)),MIN(J95,DATE(Einstellungen!$C$3,3,0)),Einstellungen!$F$13:$F$32)))</f>
        <v/>
      </c>
      <c r="N95" s="49">
        <f>IF(OR(A95="",D95=""),0,MAX(0,NETWORKDAYS(MAX(D95,DATE(Einstellungen!$C$3,3,1)),MIN(J95,DATE(Einstellungen!$C$3,4,0)),Einstellungen!$F$13:$F$32)))</f>
        <v/>
      </c>
      <c r="O95" s="49">
        <f>IF(OR(A95="",D95=""),0,MAX(0,NETWORKDAYS(MAX(D95,DATE(Einstellungen!$C$3,4,1)),MIN(J95,DATE(Einstellungen!$C$3,5,0)),Einstellungen!$F$13:$F$32)))</f>
        <v/>
      </c>
      <c r="P95" s="49">
        <f>IF(OR(A95="",D95=""),0,MAX(0,NETWORKDAYS(MAX(D95,DATE(Einstellungen!$C$3,5,1)),MIN(J95,DATE(Einstellungen!$C$3,6,0)),Einstellungen!$F$13:$F$32)))</f>
        <v/>
      </c>
      <c r="Q95" s="49">
        <f>IF(OR(A95="",D95=""),0,MAX(0,NETWORKDAYS(MAX(D95,DATE(Einstellungen!$C$3,6,1)),MIN(J95,DATE(Einstellungen!$C$3,7,0)),Einstellungen!$F$13:$F$32)))</f>
        <v/>
      </c>
      <c r="R95" s="49">
        <f>IF(OR(A95="",D95=""),0,MAX(0,NETWORKDAYS(MAX(D95,DATE(Einstellungen!$C$3,7,1)),MIN(J95,DATE(Einstellungen!$C$3,8,0)),Einstellungen!$F$13:$F$32)))</f>
        <v/>
      </c>
      <c r="S95" s="49">
        <f>IF(OR(A95="",D95=""),0,MAX(0,NETWORKDAYS(MAX(D95,DATE(Einstellungen!$C$3,8,1)),MIN(J95,DATE(Einstellungen!$C$3,9,0)),Einstellungen!$F$13:$F$32)))</f>
        <v/>
      </c>
      <c r="T95" s="49">
        <f>IF(OR(A95="",D95=""),0,MAX(0,NETWORKDAYS(MAX(D95,DATE(Einstellungen!$C$3,9,1)),MIN(J95,DATE(Einstellungen!$C$3,10,0)),Einstellungen!$F$13:$F$32)))</f>
        <v/>
      </c>
      <c r="U95" s="49">
        <f>IF(OR(A95="",D95=""),0,MAX(0,NETWORKDAYS(MAX(D95,DATE(Einstellungen!$C$3,10,1)),MIN(J95,DATE(Einstellungen!$C$3,11,0)),Einstellungen!$F$13:$F$32)))</f>
        <v/>
      </c>
      <c r="V95" s="49">
        <f>IF(OR(A95="",D95=""),0,MAX(0,NETWORKDAYS(MAX(D95,DATE(Einstellungen!$C$3,11,1)),MIN(J95,DATE(Einstellungen!$C$3,12,0)),Einstellungen!$F$13:$F$32)))</f>
        <v/>
      </c>
      <c r="W95" s="49">
        <f>IF(OR(A95="",D95=""),0,MAX(0,NETWORKDAYS(MAX(D95,DATE(Einstellungen!$C$3,12,1)),MIN(J95,DATE(Einstellungen!$C$3,13,0)),Einstellungen!$F$13:$F$32)))</f>
        <v/>
      </c>
      <c r="X95" s="50">
        <f>L95*K95</f>
        <v/>
      </c>
      <c r="Y95" s="50">
        <f>M95*K95</f>
        <v/>
      </c>
      <c r="Z95" s="50">
        <f>N95*K95</f>
        <v/>
      </c>
      <c r="AA95" s="50">
        <f>O95*K95</f>
        <v/>
      </c>
      <c r="AB95" s="50">
        <f>P95*K95</f>
        <v/>
      </c>
      <c r="AC95" s="50">
        <f>Q95*K95</f>
        <v/>
      </c>
      <c r="AD95" s="50">
        <f>R95*K95</f>
        <v/>
      </c>
      <c r="AE95" s="50">
        <f>S95*K95</f>
        <v/>
      </c>
      <c r="AF95" s="50">
        <f>T95*K95</f>
        <v/>
      </c>
      <c r="AG95" s="50">
        <f>U95*K95</f>
        <v/>
      </c>
      <c r="AH95" s="50">
        <f>V95*K95</f>
        <v/>
      </c>
      <c r="AI95" s="50">
        <f>W95*K95</f>
        <v/>
      </c>
    </row>
    <row r="96">
      <c r="A96" s="25" t="n">
        <v>1045</v>
      </c>
      <c r="B96" s="45">
        <f>IF(A96="","",IFERROR(INDEX(Mitarbeiter!$B$6:$B$205,MATCH($A96,Mitarbeiter!$A$6:$A$205,0)),"?"))</f>
        <v/>
      </c>
      <c r="C96" s="46" t="inlineStr">
        <is>
          <t>Objekt 2</t>
        </is>
      </c>
      <c r="D96" s="26" t="n">
        <v>46218</v>
      </c>
      <c r="E96" s="26" t="n">
        <v>46218</v>
      </c>
      <c r="F96" s="24">
        <f>IF(A96="","",SUM(L96:W96))</f>
        <v/>
      </c>
      <c r="G96" s="36">
        <f>IF(A96="","",SUM(X96:AI96))</f>
        <v/>
      </c>
      <c r="H96" s="8">
        <f>IF(A96="","",IF(ISNA(MATCH(A96,Mitarbeiter!$A$6:$A$205,0)),"Pers.-Nr. unbekannt",IF(D96="","Von fehlt",IF(AND(C96&lt;&gt;Einstellungen!$C$4,C96&lt;&gt;Einstellungen!$C$5),"Objekt fehlt",IF(J96&lt;D96,"Bis vor Von",IF(D96&lt;INDEX(Mitarbeiter!$C$6:$C$205,MATCH($A96,Mitarbeiter!$A$6:$A$205,0)),"vor Eintritt",IF(AND(INDEX(Mitarbeiter!$D$6:$D$205,MATCH($A96,Mitarbeiter!$A$6:$A$205,0))&lt;&gt;"",D96&gt;INDEX(Mitarbeiter!$D$6:$D$205,MATCH($A96,Mitarbeiter!$A$6:$A$205,0))),"nach Austritt",IF(E96="","offen","ok"))))))))</f>
        <v/>
      </c>
      <c r="J96" s="47">
        <f>IF(A96="","",IF(E96="",Einstellungen!$C$9,E96))</f>
        <v/>
      </c>
      <c r="K96" s="48">
        <f>IF(A96="",0,IFERROR(INDEX(Mitarbeiter!$F$6:$F$205,MATCH($A96,Mitarbeiter!$A$6:$A$205,0)),0))</f>
        <v/>
      </c>
      <c r="L96" s="49">
        <f>IF(OR(A96="",D96=""),0,MAX(0,NETWORKDAYS(MAX(D96,DATE(Einstellungen!$C$3,1,1)),MIN(J96,DATE(Einstellungen!$C$3,2,0)),Einstellungen!$F$13:$F$32)))</f>
        <v/>
      </c>
      <c r="M96" s="49">
        <f>IF(OR(A96="",D96=""),0,MAX(0,NETWORKDAYS(MAX(D96,DATE(Einstellungen!$C$3,2,1)),MIN(J96,DATE(Einstellungen!$C$3,3,0)),Einstellungen!$F$13:$F$32)))</f>
        <v/>
      </c>
      <c r="N96" s="49">
        <f>IF(OR(A96="",D96=""),0,MAX(0,NETWORKDAYS(MAX(D96,DATE(Einstellungen!$C$3,3,1)),MIN(J96,DATE(Einstellungen!$C$3,4,0)),Einstellungen!$F$13:$F$32)))</f>
        <v/>
      </c>
      <c r="O96" s="49">
        <f>IF(OR(A96="",D96=""),0,MAX(0,NETWORKDAYS(MAX(D96,DATE(Einstellungen!$C$3,4,1)),MIN(J96,DATE(Einstellungen!$C$3,5,0)),Einstellungen!$F$13:$F$32)))</f>
        <v/>
      </c>
      <c r="P96" s="49">
        <f>IF(OR(A96="",D96=""),0,MAX(0,NETWORKDAYS(MAX(D96,DATE(Einstellungen!$C$3,5,1)),MIN(J96,DATE(Einstellungen!$C$3,6,0)),Einstellungen!$F$13:$F$32)))</f>
        <v/>
      </c>
      <c r="Q96" s="49">
        <f>IF(OR(A96="",D96=""),0,MAX(0,NETWORKDAYS(MAX(D96,DATE(Einstellungen!$C$3,6,1)),MIN(J96,DATE(Einstellungen!$C$3,7,0)),Einstellungen!$F$13:$F$32)))</f>
        <v/>
      </c>
      <c r="R96" s="49">
        <f>IF(OR(A96="",D96=""),0,MAX(0,NETWORKDAYS(MAX(D96,DATE(Einstellungen!$C$3,7,1)),MIN(J96,DATE(Einstellungen!$C$3,8,0)),Einstellungen!$F$13:$F$32)))</f>
        <v/>
      </c>
      <c r="S96" s="49">
        <f>IF(OR(A96="",D96=""),0,MAX(0,NETWORKDAYS(MAX(D96,DATE(Einstellungen!$C$3,8,1)),MIN(J96,DATE(Einstellungen!$C$3,9,0)),Einstellungen!$F$13:$F$32)))</f>
        <v/>
      </c>
      <c r="T96" s="49">
        <f>IF(OR(A96="",D96=""),0,MAX(0,NETWORKDAYS(MAX(D96,DATE(Einstellungen!$C$3,9,1)),MIN(J96,DATE(Einstellungen!$C$3,10,0)),Einstellungen!$F$13:$F$32)))</f>
        <v/>
      </c>
      <c r="U96" s="49">
        <f>IF(OR(A96="",D96=""),0,MAX(0,NETWORKDAYS(MAX(D96,DATE(Einstellungen!$C$3,10,1)),MIN(J96,DATE(Einstellungen!$C$3,11,0)),Einstellungen!$F$13:$F$32)))</f>
        <v/>
      </c>
      <c r="V96" s="49">
        <f>IF(OR(A96="",D96=""),0,MAX(0,NETWORKDAYS(MAX(D96,DATE(Einstellungen!$C$3,11,1)),MIN(J96,DATE(Einstellungen!$C$3,12,0)),Einstellungen!$F$13:$F$32)))</f>
        <v/>
      </c>
      <c r="W96" s="49">
        <f>IF(OR(A96="",D96=""),0,MAX(0,NETWORKDAYS(MAX(D96,DATE(Einstellungen!$C$3,12,1)),MIN(J96,DATE(Einstellungen!$C$3,13,0)),Einstellungen!$F$13:$F$32)))</f>
        <v/>
      </c>
      <c r="X96" s="50">
        <f>L96*K96</f>
        <v/>
      </c>
      <c r="Y96" s="50">
        <f>M96*K96</f>
        <v/>
      </c>
      <c r="Z96" s="50">
        <f>N96*K96</f>
        <v/>
      </c>
      <c r="AA96" s="50">
        <f>O96*K96</f>
        <v/>
      </c>
      <c r="AB96" s="50">
        <f>P96*K96</f>
        <v/>
      </c>
      <c r="AC96" s="50">
        <f>Q96*K96</f>
        <v/>
      </c>
      <c r="AD96" s="50">
        <f>R96*K96</f>
        <v/>
      </c>
      <c r="AE96" s="50">
        <f>S96*K96</f>
        <v/>
      </c>
      <c r="AF96" s="50">
        <f>T96*K96</f>
        <v/>
      </c>
      <c r="AG96" s="50">
        <f>U96*K96</f>
        <v/>
      </c>
      <c r="AH96" s="50">
        <f>V96*K96</f>
        <v/>
      </c>
      <c r="AI96" s="50">
        <f>W96*K96</f>
        <v/>
      </c>
    </row>
    <row r="97">
      <c r="A97" s="25" t="n">
        <v>1018</v>
      </c>
      <c r="B97" s="45">
        <f>IF(A97="","",IFERROR(INDEX(Mitarbeiter!$B$6:$B$205,MATCH($A97,Mitarbeiter!$A$6:$A$205,0)),"?"))</f>
        <v/>
      </c>
      <c r="C97" s="46" t="inlineStr">
        <is>
          <t>Objekt 1</t>
        </is>
      </c>
      <c r="D97" s="26" t="n">
        <v>46231</v>
      </c>
      <c r="E97" s="26" t="n">
        <v>46232</v>
      </c>
      <c r="F97" s="24">
        <f>IF(A97="","",SUM(L97:W97))</f>
        <v/>
      </c>
      <c r="G97" s="36">
        <f>IF(A97="","",SUM(X97:AI97))</f>
        <v/>
      </c>
      <c r="H97" s="8">
        <f>IF(A97="","",IF(ISNA(MATCH(A97,Mitarbeiter!$A$6:$A$205,0)),"Pers.-Nr. unbekannt",IF(D97="","Von fehlt",IF(AND(C97&lt;&gt;Einstellungen!$C$4,C97&lt;&gt;Einstellungen!$C$5),"Objekt fehlt",IF(J97&lt;D97,"Bis vor Von",IF(D97&lt;INDEX(Mitarbeiter!$C$6:$C$205,MATCH($A97,Mitarbeiter!$A$6:$A$205,0)),"vor Eintritt",IF(AND(INDEX(Mitarbeiter!$D$6:$D$205,MATCH($A97,Mitarbeiter!$A$6:$A$205,0))&lt;&gt;"",D97&gt;INDEX(Mitarbeiter!$D$6:$D$205,MATCH($A97,Mitarbeiter!$A$6:$A$205,0))),"nach Austritt",IF(E97="","offen","ok"))))))))</f>
        <v/>
      </c>
      <c r="J97" s="47">
        <f>IF(A97="","",IF(E97="",Einstellungen!$C$9,E97))</f>
        <v/>
      </c>
      <c r="K97" s="48">
        <f>IF(A97="",0,IFERROR(INDEX(Mitarbeiter!$F$6:$F$205,MATCH($A97,Mitarbeiter!$A$6:$A$205,0)),0))</f>
        <v/>
      </c>
      <c r="L97" s="49">
        <f>IF(OR(A97="",D97=""),0,MAX(0,NETWORKDAYS(MAX(D97,DATE(Einstellungen!$C$3,1,1)),MIN(J97,DATE(Einstellungen!$C$3,2,0)),Einstellungen!$F$13:$F$32)))</f>
        <v/>
      </c>
      <c r="M97" s="49">
        <f>IF(OR(A97="",D97=""),0,MAX(0,NETWORKDAYS(MAX(D97,DATE(Einstellungen!$C$3,2,1)),MIN(J97,DATE(Einstellungen!$C$3,3,0)),Einstellungen!$F$13:$F$32)))</f>
        <v/>
      </c>
      <c r="N97" s="49">
        <f>IF(OR(A97="",D97=""),0,MAX(0,NETWORKDAYS(MAX(D97,DATE(Einstellungen!$C$3,3,1)),MIN(J97,DATE(Einstellungen!$C$3,4,0)),Einstellungen!$F$13:$F$32)))</f>
        <v/>
      </c>
      <c r="O97" s="49">
        <f>IF(OR(A97="",D97=""),0,MAX(0,NETWORKDAYS(MAX(D97,DATE(Einstellungen!$C$3,4,1)),MIN(J97,DATE(Einstellungen!$C$3,5,0)),Einstellungen!$F$13:$F$32)))</f>
        <v/>
      </c>
      <c r="P97" s="49">
        <f>IF(OR(A97="",D97=""),0,MAX(0,NETWORKDAYS(MAX(D97,DATE(Einstellungen!$C$3,5,1)),MIN(J97,DATE(Einstellungen!$C$3,6,0)),Einstellungen!$F$13:$F$32)))</f>
        <v/>
      </c>
      <c r="Q97" s="49">
        <f>IF(OR(A97="",D97=""),0,MAX(0,NETWORKDAYS(MAX(D97,DATE(Einstellungen!$C$3,6,1)),MIN(J97,DATE(Einstellungen!$C$3,7,0)),Einstellungen!$F$13:$F$32)))</f>
        <v/>
      </c>
      <c r="R97" s="49">
        <f>IF(OR(A97="",D97=""),0,MAX(0,NETWORKDAYS(MAX(D97,DATE(Einstellungen!$C$3,7,1)),MIN(J97,DATE(Einstellungen!$C$3,8,0)),Einstellungen!$F$13:$F$32)))</f>
        <v/>
      </c>
      <c r="S97" s="49">
        <f>IF(OR(A97="",D97=""),0,MAX(0,NETWORKDAYS(MAX(D97,DATE(Einstellungen!$C$3,8,1)),MIN(J97,DATE(Einstellungen!$C$3,9,0)),Einstellungen!$F$13:$F$32)))</f>
        <v/>
      </c>
      <c r="T97" s="49">
        <f>IF(OR(A97="",D97=""),0,MAX(0,NETWORKDAYS(MAX(D97,DATE(Einstellungen!$C$3,9,1)),MIN(J97,DATE(Einstellungen!$C$3,10,0)),Einstellungen!$F$13:$F$32)))</f>
        <v/>
      </c>
      <c r="U97" s="49">
        <f>IF(OR(A97="",D97=""),0,MAX(0,NETWORKDAYS(MAX(D97,DATE(Einstellungen!$C$3,10,1)),MIN(J97,DATE(Einstellungen!$C$3,11,0)),Einstellungen!$F$13:$F$32)))</f>
        <v/>
      </c>
      <c r="V97" s="49">
        <f>IF(OR(A97="",D97=""),0,MAX(0,NETWORKDAYS(MAX(D97,DATE(Einstellungen!$C$3,11,1)),MIN(J97,DATE(Einstellungen!$C$3,12,0)),Einstellungen!$F$13:$F$32)))</f>
        <v/>
      </c>
      <c r="W97" s="49">
        <f>IF(OR(A97="",D97=""),0,MAX(0,NETWORKDAYS(MAX(D97,DATE(Einstellungen!$C$3,12,1)),MIN(J97,DATE(Einstellungen!$C$3,13,0)),Einstellungen!$F$13:$F$32)))</f>
        <v/>
      </c>
      <c r="X97" s="50">
        <f>L97*K97</f>
        <v/>
      </c>
      <c r="Y97" s="50">
        <f>M97*K97</f>
        <v/>
      </c>
      <c r="Z97" s="50">
        <f>N97*K97</f>
        <v/>
      </c>
      <c r="AA97" s="50">
        <f>O97*K97</f>
        <v/>
      </c>
      <c r="AB97" s="50">
        <f>P97*K97</f>
        <v/>
      </c>
      <c r="AC97" s="50">
        <f>Q97*K97</f>
        <v/>
      </c>
      <c r="AD97" s="50">
        <f>R97*K97</f>
        <v/>
      </c>
      <c r="AE97" s="50">
        <f>S97*K97</f>
        <v/>
      </c>
      <c r="AF97" s="50">
        <f>T97*K97</f>
        <v/>
      </c>
      <c r="AG97" s="50">
        <f>U97*K97</f>
        <v/>
      </c>
      <c r="AH97" s="50">
        <f>V97*K97</f>
        <v/>
      </c>
      <c r="AI97" s="50">
        <f>W97*K97</f>
        <v/>
      </c>
    </row>
    <row r="98">
      <c r="A98" s="25" t="n">
        <v>1045</v>
      </c>
      <c r="B98" s="45">
        <f>IF(A98="","",IFERROR(INDEX(Mitarbeiter!$B$6:$B$205,MATCH($A98,Mitarbeiter!$A$6:$A$205,0)),"?"))</f>
        <v/>
      </c>
      <c r="C98" s="46" t="inlineStr">
        <is>
          <t>Objekt 1</t>
        </is>
      </c>
      <c r="D98" s="26" t="n">
        <v>46236</v>
      </c>
      <c r="E98" s="26" t="n">
        <v>46237</v>
      </c>
      <c r="F98" s="24">
        <f>IF(A98="","",SUM(L98:W98))</f>
        <v/>
      </c>
      <c r="G98" s="36">
        <f>IF(A98="","",SUM(X98:AI98))</f>
        <v/>
      </c>
      <c r="H98" s="8">
        <f>IF(A98="","",IF(ISNA(MATCH(A98,Mitarbeiter!$A$6:$A$205,0)),"Pers.-Nr. unbekannt",IF(D98="","Von fehlt",IF(AND(C98&lt;&gt;Einstellungen!$C$4,C98&lt;&gt;Einstellungen!$C$5),"Objekt fehlt",IF(J98&lt;D98,"Bis vor Von",IF(D98&lt;INDEX(Mitarbeiter!$C$6:$C$205,MATCH($A98,Mitarbeiter!$A$6:$A$205,0)),"vor Eintritt",IF(AND(INDEX(Mitarbeiter!$D$6:$D$205,MATCH($A98,Mitarbeiter!$A$6:$A$205,0))&lt;&gt;"",D98&gt;INDEX(Mitarbeiter!$D$6:$D$205,MATCH($A98,Mitarbeiter!$A$6:$A$205,0))),"nach Austritt",IF(E98="","offen","ok"))))))))</f>
        <v/>
      </c>
      <c r="J98" s="47">
        <f>IF(A98="","",IF(E98="",Einstellungen!$C$9,E98))</f>
        <v/>
      </c>
      <c r="K98" s="48">
        <f>IF(A98="",0,IFERROR(INDEX(Mitarbeiter!$F$6:$F$205,MATCH($A98,Mitarbeiter!$A$6:$A$205,0)),0))</f>
        <v/>
      </c>
      <c r="L98" s="49">
        <f>IF(OR(A98="",D98=""),0,MAX(0,NETWORKDAYS(MAX(D98,DATE(Einstellungen!$C$3,1,1)),MIN(J98,DATE(Einstellungen!$C$3,2,0)),Einstellungen!$F$13:$F$32)))</f>
        <v/>
      </c>
      <c r="M98" s="49">
        <f>IF(OR(A98="",D98=""),0,MAX(0,NETWORKDAYS(MAX(D98,DATE(Einstellungen!$C$3,2,1)),MIN(J98,DATE(Einstellungen!$C$3,3,0)),Einstellungen!$F$13:$F$32)))</f>
        <v/>
      </c>
      <c r="N98" s="49">
        <f>IF(OR(A98="",D98=""),0,MAX(0,NETWORKDAYS(MAX(D98,DATE(Einstellungen!$C$3,3,1)),MIN(J98,DATE(Einstellungen!$C$3,4,0)),Einstellungen!$F$13:$F$32)))</f>
        <v/>
      </c>
      <c r="O98" s="49">
        <f>IF(OR(A98="",D98=""),0,MAX(0,NETWORKDAYS(MAX(D98,DATE(Einstellungen!$C$3,4,1)),MIN(J98,DATE(Einstellungen!$C$3,5,0)),Einstellungen!$F$13:$F$32)))</f>
        <v/>
      </c>
      <c r="P98" s="49">
        <f>IF(OR(A98="",D98=""),0,MAX(0,NETWORKDAYS(MAX(D98,DATE(Einstellungen!$C$3,5,1)),MIN(J98,DATE(Einstellungen!$C$3,6,0)),Einstellungen!$F$13:$F$32)))</f>
        <v/>
      </c>
      <c r="Q98" s="49">
        <f>IF(OR(A98="",D98=""),0,MAX(0,NETWORKDAYS(MAX(D98,DATE(Einstellungen!$C$3,6,1)),MIN(J98,DATE(Einstellungen!$C$3,7,0)),Einstellungen!$F$13:$F$32)))</f>
        <v/>
      </c>
      <c r="R98" s="49">
        <f>IF(OR(A98="",D98=""),0,MAX(0,NETWORKDAYS(MAX(D98,DATE(Einstellungen!$C$3,7,1)),MIN(J98,DATE(Einstellungen!$C$3,8,0)),Einstellungen!$F$13:$F$32)))</f>
        <v/>
      </c>
      <c r="S98" s="49">
        <f>IF(OR(A98="",D98=""),0,MAX(0,NETWORKDAYS(MAX(D98,DATE(Einstellungen!$C$3,8,1)),MIN(J98,DATE(Einstellungen!$C$3,9,0)),Einstellungen!$F$13:$F$32)))</f>
        <v/>
      </c>
      <c r="T98" s="49">
        <f>IF(OR(A98="",D98=""),0,MAX(0,NETWORKDAYS(MAX(D98,DATE(Einstellungen!$C$3,9,1)),MIN(J98,DATE(Einstellungen!$C$3,10,0)),Einstellungen!$F$13:$F$32)))</f>
        <v/>
      </c>
      <c r="U98" s="49">
        <f>IF(OR(A98="",D98=""),0,MAX(0,NETWORKDAYS(MAX(D98,DATE(Einstellungen!$C$3,10,1)),MIN(J98,DATE(Einstellungen!$C$3,11,0)),Einstellungen!$F$13:$F$32)))</f>
        <v/>
      </c>
      <c r="V98" s="49">
        <f>IF(OR(A98="",D98=""),0,MAX(0,NETWORKDAYS(MAX(D98,DATE(Einstellungen!$C$3,11,1)),MIN(J98,DATE(Einstellungen!$C$3,12,0)),Einstellungen!$F$13:$F$32)))</f>
        <v/>
      </c>
      <c r="W98" s="49">
        <f>IF(OR(A98="",D98=""),0,MAX(0,NETWORKDAYS(MAX(D98,DATE(Einstellungen!$C$3,12,1)),MIN(J98,DATE(Einstellungen!$C$3,13,0)),Einstellungen!$F$13:$F$32)))</f>
        <v/>
      </c>
      <c r="X98" s="50">
        <f>L98*K98</f>
        <v/>
      </c>
      <c r="Y98" s="50">
        <f>M98*K98</f>
        <v/>
      </c>
      <c r="Z98" s="50">
        <f>N98*K98</f>
        <v/>
      </c>
      <c r="AA98" s="50">
        <f>O98*K98</f>
        <v/>
      </c>
      <c r="AB98" s="50">
        <f>P98*K98</f>
        <v/>
      </c>
      <c r="AC98" s="50">
        <f>Q98*K98</f>
        <v/>
      </c>
      <c r="AD98" s="50">
        <f>R98*K98</f>
        <v/>
      </c>
      <c r="AE98" s="50">
        <f>S98*K98</f>
        <v/>
      </c>
      <c r="AF98" s="50">
        <f>T98*K98</f>
        <v/>
      </c>
      <c r="AG98" s="50">
        <f>U98*K98</f>
        <v/>
      </c>
      <c r="AH98" s="50">
        <f>V98*K98</f>
        <v/>
      </c>
      <c r="AI98" s="50">
        <f>W98*K98</f>
        <v/>
      </c>
    </row>
    <row r="99">
      <c r="A99" s="25" t="n">
        <v>1016</v>
      </c>
      <c r="B99" s="45">
        <f>IF(A99="","",IFERROR(INDEX(Mitarbeiter!$B$6:$B$205,MATCH($A99,Mitarbeiter!$A$6:$A$205,0)),"?"))</f>
        <v/>
      </c>
      <c r="C99" s="46" t="inlineStr">
        <is>
          <t>Objekt 2</t>
        </is>
      </c>
      <c r="D99" s="26" t="n">
        <v>46237</v>
      </c>
      <c r="E99" s="26" t="n">
        <v>46257</v>
      </c>
      <c r="F99" s="24">
        <f>IF(A99="","",SUM(L99:W99))</f>
        <v/>
      </c>
      <c r="G99" s="36">
        <f>IF(A99="","",SUM(X99:AI99))</f>
        <v/>
      </c>
      <c r="H99" s="8">
        <f>IF(A99="","",IF(ISNA(MATCH(A99,Mitarbeiter!$A$6:$A$205,0)),"Pers.-Nr. unbekannt",IF(D99="","Von fehlt",IF(AND(C99&lt;&gt;Einstellungen!$C$4,C99&lt;&gt;Einstellungen!$C$5),"Objekt fehlt",IF(J99&lt;D99,"Bis vor Von",IF(D99&lt;INDEX(Mitarbeiter!$C$6:$C$205,MATCH($A99,Mitarbeiter!$A$6:$A$205,0)),"vor Eintritt",IF(AND(INDEX(Mitarbeiter!$D$6:$D$205,MATCH($A99,Mitarbeiter!$A$6:$A$205,0))&lt;&gt;"",D99&gt;INDEX(Mitarbeiter!$D$6:$D$205,MATCH($A99,Mitarbeiter!$A$6:$A$205,0))),"nach Austritt",IF(E99="","offen","ok"))))))))</f>
        <v/>
      </c>
      <c r="J99" s="47">
        <f>IF(A99="","",IF(E99="",Einstellungen!$C$9,E99))</f>
        <v/>
      </c>
      <c r="K99" s="48">
        <f>IF(A99="",0,IFERROR(INDEX(Mitarbeiter!$F$6:$F$205,MATCH($A99,Mitarbeiter!$A$6:$A$205,0)),0))</f>
        <v/>
      </c>
      <c r="L99" s="49">
        <f>IF(OR(A99="",D99=""),0,MAX(0,NETWORKDAYS(MAX(D99,DATE(Einstellungen!$C$3,1,1)),MIN(J99,DATE(Einstellungen!$C$3,2,0)),Einstellungen!$F$13:$F$32)))</f>
        <v/>
      </c>
      <c r="M99" s="49">
        <f>IF(OR(A99="",D99=""),0,MAX(0,NETWORKDAYS(MAX(D99,DATE(Einstellungen!$C$3,2,1)),MIN(J99,DATE(Einstellungen!$C$3,3,0)),Einstellungen!$F$13:$F$32)))</f>
        <v/>
      </c>
      <c r="N99" s="49">
        <f>IF(OR(A99="",D99=""),0,MAX(0,NETWORKDAYS(MAX(D99,DATE(Einstellungen!$C$3,3,1)),MIN(J99,DATE(Einstellungen!$C$3,4,0)),Einstellungen!$F$13:$F$32)))</f>
        <v/>
      </c>
      <c r="O99" s="49">
        <f>IF(OR(A99="",D99=""),0,MAX(0,NETWORKDAYS(MAX(D99,DATE(Einstellungen!$C$3,4,1)),MIN(J99,DATE(Einstellungen!$C$3,5,0)),Einstellungen!$F$13:$F$32)))</f>
        <v/>
      </c>
      <c r="P99" s="49">
        <f>IF(OR(A99="",D99=""),0,MAX(0,NETWORKDAYS(MAX(D99,DATE(Einstellungen!$C$3,5,1)),MIN(J99,DATE(Einstellungen!$C$3,6,0)),Einstellungen!$F$13:$F$32)))</f>
        <v/>
      </c>
      <c r="Q99" s="49">
        <f>IF(OR(A99="",D99=""),0,MAX(0,NETWORKDAYS(MAX(D99,DATE(Einstellungen!$C$3,6,1)),MIN(J99,DATE(Einstellungen!$C$3,7,0)),Einstellungen!$F$13:$F$32)))</f>
        <v/>
      </c>
      <c r="R99" s="49">
        <f>IF(OR(A99="",D99=""),0,MAX(0,NETWORKDAYS(MAX(D99,DATE(Einstellungen!$C$3,7,1)),MIN(J99,DATE(Einstellungen!$C$3,8,0)),Einstellungen!$F$13:$F$32)))</f>
        <v/>
      </c>
      <c r="S99" s="49">
        <f>IF(OR(A99="",D99=""),0,MAX(0,NETWORKDAYS(MAX(D99,DATE(Einstellungen!$C$3,8,1)),MIN(J99,DATE(Einstellungen!$C$3,9,0)),Einstellungen!$F$13:$F$32)))</f>
        <v/>
      </c>
      <c r="T99" s="49">
        <f>IF(OR(A99="",D99=""),0,MAX(0,NETWORKDAYS(MAX(D99,DATE(Einstellungen!$C$3,9,1)),MIN(J99,DATE(Einstellungen!$C$3,10,0)),Einstellungen!$F$13:$F$32)))</f>
        <v/>
      </c>
      <c r="U99" s="49">
        <f>IF(OR(A99="",D99=""),0,MAX(0,NETWORKDAYS(MAX(D99,DATE(Einstellungen!$C$3,10,1)),MIN(J99,DATE(Einstellungen!$C$3,11,0)),Einstellungen!$F$13:$F$32)))</f>
        <v/>
      </c>
      <c r="V99" s="49">
        <f>IF(OR(A99="",D99=""),0,MAX(0,NETWORKDAYS(MAX(D99,DATE(Einstellungen!$C$3,11,1)),MIN(J99,DATE(Einstellungen!$C$3,12,0)),Einstellungen!$F$13:$F$32)))</f>
        <v/>
      </c>
      <c r="W99" s="49">
        <f>IF(OR(A99="",D99=""),0,MAX(0,NETWORKDAYS(MAX(D99,DATE(Einstellungen!$C$3,12,1)),MIN(J99,DATE(Einstellungen!$C$3,13,0)),Einstellungen!$F$13:$F$32)))</f>
        <v/>
      </c>
      <c r="X99" s="50">
        <f>L99*K99</f>
        <v/>
      </c>
      <c r="Y99" s="50">
        <f>M99*K99</f>
        <v/>
      </c>
      <c r="Z99" s="50">
        <f>N99*K99</f>
        <v/>
      </c>
      <c r="AA99" s="50">
        <f>O99*K99</f>
        <v/>
      </c>
      <c r="AB99" s="50">
        <f>P99*K99</f>
        <v/>
      </c>
      <c r="AC99" s="50">
        <f>Q99*K99</f>
        <v/>
      </c>
      <c r="AD99" s="50">
        <f>R99*K99</f>
        <v/>
      </c>
      <c r="AE99" s="50">
        <f>S99*K99</f>
        <v/>
      </c>
      <c r="AF99" s="50">
        <f>T99*K99</f>
        <v/>
      </c>
      <c r="AG99" s="50">
        <f>U99*K99</f>
        <v/>
      </c>
      <c r="AH99" s="50">
        <f>V99*K99</f>
        <v/>
      </c>
      <c r="AI99" s="50">
        <f>W99*K99</f>
        <v/>
      </c>
    </row>
    <row r="100">
      <c r="A100" s="25" t="n">
        <v>1037</v>
      </c>
      <c r="B100" s="45">
        <f>IF(A100="","",IFERROR(INDEX(Mitarbeiter!$B$6:$B$205,MATCH($A100,Mitarbeiter!$A$6:$A$205,0)),"?"))</f>
        <v/>
      </c>
      <c r="C100" s="46" t="inlineStr">
        <is>
          <t>Objekt 1</t>
        </is>
      </c>
      <c r="D100" s="26" t="n">
        <v>46241</v>
      </c>
      <c r="E100" s="26" t="n">
        <v>46243</v>
      </c>
      <c r="F100" s="24">
        <f>IF(A100="","",SUM(L100:W100))</f>
        <v/>
      </c>
      <c r="G100" s="36">
        <f>IF(A100="","",SUM(X100:AI100))</f>
        <v/>
      </c>
      <c r="H100" s="8">
        <f>IF(A100="","",IF(ISNA(MATCH(A100,Mitarbeiter!$A$6:$A$205,0)),"Pers.-Nr. unbekannt",IF(D100="","Von fehlt",IF(AND(C100&lt;&gt;Einstellungen!$C$4,C100&lt;&gt;Einstellungen!$C$5),"Objekt fehlt",IF(J100&lt;D100,"Bis vor Von",IF(D100&lt;INDEX(Mitarbeiter!$C$6:$C$205,MATCH($A100,Mitarbeiter!$A$6:$A$205,0)),"vor Eintritt",IF(AND(INDEX(Mitarbeiter!$D$6:$D$205,MATCH($A100,Mitarbeiter!$A$6:$A$205,0))&lt;&gt;"",D100&gt;INDEX(Mitarbeiter!$D$6:$D$205,MATCH($A100,Mitarbeiter!$A$6:$A$205,0))),"nach Austritt",IF(E100="","offen","ok"))))))))</f>
        <v/>
      </c>
      <c r="J100" s="47">
        <f>IF(A100="","",IF(E100="",Einstellungen!$C$9,E100))</f>
        <v/>
      </c>
      <c r="K100" s="48">
        <f>IF(A100="",0,IFERROR(INDEX(Mitarbeiter!$F$6:$F$205,MATCH($A100,Mitarbeiter!$A$6:$A$205,0)),0))</f>
        <v/>
      </c>
      <c r="L100" s="49">
        <f>IF(OR(A100="",D100=""),0,MAX(0,NETWORKDAYS(MAX(D100,DATE(Einstellungen!$C$3,1,1)),MIN(J100,DATE(Einstellungen!$C$3,2,0)),Einstellungen!$F$13:$F$32)))</f>
        <v/>
      </c>
      <c r="M100" s="49">
        <f>IF(OR(A100="",D100=""),0,MAX(0,NETWORKDAYS(MAX(D100,DATE(Einstellungen!$C$3,2,1)),MIN(J100,DATE(Einstellungen!$C$3,3,0)),Einstellungen!$F$13:$F$32)))</f>
        <v/>
      </c>
      <c r="N100" s="49">
        <f>IF(OR(A100="",D100=""),0,MAX(0,NETWORKDAYS(MAX(D100,DATE(Einstellungen!$C$3,3,1)),MIN(J100,DATE(Einstellungen!$C$3,4,0)),Einstellungen!$F$13:$F$32)))</f>
        <v/>
      </c>
      <c r="O100" s="49">
        <f>IF(OR(A100="",D100=""),0,MAX(0,NETWORKDAYS(MAX(D100,DATE(Einstellungen!$C$3,4,1)),MIN(J100,DATE(Einstellungen!$C$3,5,0)),Einstellungen!$F$13:$F$32)))</f>
        <v/>
      </c>
      <c r="P100" s="49">
        <f>IF(OR(A100="",D100=""),0,MAX(0,NETWORKDAYS(MAX(D100,DATE(Einstellungen!$C$3,5,1)),MIN(J100,DATE(Einstellungen!$C$3,6,0)),Einstellungen!$F$13:$F$32)))</f>
        <v/>
      </c>
      <c r="Q100" s="49">
        <f>IF(OR(A100="",D100=""),0,MAX(0,NETWORKDAYS(MAX(D100,DATE(Einstellungen!$C$3,6,1)),MIN(J100,DATE(Einstellungen!$C$3,7,0)),Einstellungen!$F$13:$F$32)))</f>
        <v/>
      </c>
      <c r="R100" s="49">
        <f>IF(OR(A100="",D100=""),0,MAX(0,NETWORKDAYS(MAX(D100,DATE(Einstellungen!$C$3,7,1)),MIN(J100,DATE(Einstellungen!$C$3,8,0)),Einstellungen!$F$13:$F$32)))</f>
        <v/>
      </c>
      <c r="S100" s="49">
        <f>IF(OR(A100="",D100=""),0,MAX(0,NETWORKDAYS(MAX(D100,DATE(Einstellungen!$C$3,8,1)),MIN(J100,DATE(Einstellungen!$C$3,9,0)),Einstellungen!$F$13:$F$32)))</f>
        <v/>
      </c>
      <c r="T100" s="49">
        <f>IF(OR(A100="",D100=""),0,MAX(0,NETWORKDAYS(MAX(D100,DATE(Einstellungen!$C$3,9,1)),MIN(J100,DATE(Einstellungen!$C$3,10,0)),Einstellungen!$F$13:$F$32)))</f>
        <v/>
      </c>
      <c r="U100" s="49">
        <f>IF(OR(A100="",D100=""),0,MAX(0,NETWORKDAYS(MAX(D100,DATE(Einstellungen!$C$3,10,1)),MIN(J100,DATE(Einstellungen!$C$3,11,0)),Einstellungen!$F$13:$F$32)))</f>
        <v/>
      </c>
      <c r="V100" s="49">
        <f>IF(OR(A100="",D100=""),0,MAX(0,NETWORKDAYS(MAX(D100,DATE(Einstellungen!$C$3,11,1)),MIN(J100,DATE(Einstellungen!$C$3,12,0)),Einstellungen!$F$13:$F$32)))</f>
        <v/>
      </c>
      <c r="W100" s="49">
        <f>IF(OR(A100="",D100=""),0,MAX(0,NETWORKDAYS(MAX(D100,DATE(Einstellungen!$C$3,12,1)),MIN(J100,DATE(Einstellungen!$C$3,13,0)),Einstellungen!$F$13:$F$32)))</f>
        <v/>
      </c>
      <c r="X100" s="50">
        <f>L100*K100</f>
        <v/>
      </c>
      <c r="Y100" s="50">
        <f>M100*K100</f>
        <v/>
      </c>
      <c r="Z100" s="50">
        <f>N100*K100</f>
        <v/>
      </c>
      <c r="AA100" s="50">
        <f>O100*K100</f>
        <v/>
      </c>
      <c r="AB100" s="50">
        <f>P100*K100</f>
        <v/>
      </c>
      <c r="AC100" s="50">
        <f>Q100*K100</f>
        <v/>
      </c>
      <c r="AD100" s="50">
        <f>R100*K100</f>
        <v/>
      </c>
      <c r="AE100" s="50">
        <f>S100*K100</f>
        <v/>
      </c>
      <c r="AF100" s="50">
        <f>T100*K100</f>
        <v/>
      </c>
      <c r="AG100" s="50">
        <f>U100*K100</f>
        <v/>
      </c>
      <c r="AH100" s="50">
        <f>V100*K100</f>
        <v/>
      </c>
      <c r="AI100" s="50">
        <f>W100*K100</f>
        <v/>
      </c>
    </row>
    <row r="101">
      <c r="A101" s="25" t="n">
        <v>1026</v>
      </c>
      <c r="B101" s="45">
        <f>IF(A101="","",IFERROR(INDEX(Mitarbeiter!$B$6:$B$205,MATCH($A101,Mitarbeiter!$A$6:$A$205,0)),"?"))</f>
        <v/>
      </c>
      <c r="C101" s="46" t="inlineStr">
        <is>
          <t>Objekt 2</t>
        </is>
      </c>
      <c r="D101" s="26" t="n">
        <v>46241</v>
      </c>
      <c r="E101" s="26" t="n">
        <v>46243</v>
      </c>
      <c r="F101" s="24">
        <f>IF(A101="","",SUM(L101:W101))</f>
        <v/>
      </c>
      <c r="G101" s="36">
        <f>IF(A101="","",SUM(X101:AI101))</f>
        <v/>
      </c>
      <c r="H101" s="8">
        <f>IF(A101="","",IF(ISNA(MATCH(A101,Mitarbeiter!$A$6:$A$205,0)),"Pers.-Nr. unbekannt",IF(D101="","Von fehlt",IF(AND(C101&lt;&gt;Einstellungen!$C$4,C101&lt;&gt;Einstellungen!$C$5),"Objekt fehlt",IF(J101&lt;D101,"Bis vor Von",IF(D101&lt;INDEX(Mitarbeiter!$C$6:$C$205,MATCH($A101,Mitarbeiter!$A$6:$A$205,0)),"vor Eintritt",IF(AND(INDEX(Mitarbeiter!$D$6:$D$205,MATCH($A101,Mitarbeiter!$A$6:$A$205,0))&lt;&gt;"",D101&gt;INDEX(Mitarbeiter!$D$6:$D$205,MATCH($A101,Mitarbeiter!$A$6:$A$205,0))),"nach Austritt",IF(E101="","offen","ok"))))))))</f>
        <v/>
      </c>
      <c r="J101" s="47">
        <f>IF(A101="","",IF(E101="",Einstellungen!$C$9,E101))</f>
        <v/>
      </c>
      <c r="K101" s="48">
        <f>IF(A101="",0,IFERROR(INDEX(Mitarbeiter!$F$6:$F$205,MATCH($A101,Mitarbeiter!$A$6:$A$205,0)),0))</f>
        <v/>
      </c>
      <c r="L101" s="49">
        <f>IF(OR(A101="",D101=""),0,MAX(0,NETWORKDAYS(MAX(D101,DATE(Einstellungen!$C$3,1,1)),MIN(J101,DATE(Einstellungen!$C$3,2,0)),Einstellungen!$F$13:$F$32)))</f>
        <v/>
      </c>
      <c r="M101" s="49">
        <f>IF(OR(A101="",D101=""),0,MAX(0,NETWORKDAYS(MAX(D101,DATE(Einstellungen!$C$3,2,1)),MIN(J101,DATE(Einstellungen!$C$3,3,0)),Einstellungen!$F$13:$F$32)))</f>
        <v/>
      </c>
      <c r="N101" s="49">
        <f>IF(OR(A101="",D101=""),0,MAX(0,NETWORKDAYS(MAX(D101,DATE(Einstellungen!$C$3,3,1)),MIN(J101,DATE(Einstellungen!$C$3,4,0)),Einstellungen!$F$13:$F$32)))</f>
        <v/>
      </c>
      <c r="O101" s="49">
        <f>IF(OR(A101="",D101=""),0,MAX(0,NETWORKDAYS(MAX(D101,DATE(Einstellungen!$C$3,4,1)),MIN(J101,DATE(Einstellungen!$C$3,5,0)),Einstellungen!$F$13:$F$32)))</f>
        <v/>
      </c>
      <c r="P101" s="49">
        <f>IF(OR(A101="",D101=""),0,MAX(0,NETWORKDAYS(MAX(D101,DATE(Einstellungen!$C$3,5,1)),MIN(J101,DATE(Einstellungen!$C$3,6,0)),Einstellungen!$F$13:$F$32)))</f>
        <v/>
      </c>
      <c r="Q101" s="49">
        <f>IF(OR(A101="",D101=""),0,MAX(0,NETWORKDAYS(MAX(D101,DATE(Einstellungen!$C$3,6,1)),MIN(J101,DATE(Einstellungen!$C$3,7,0)),Einstellungen!$F$13:$F$32)))</f>
        <v/>
      </c>
      <c r="R101" s="49">
        <f>IF(OR(A101="",D101=""),0,MAX(0,NETWORKDAYS(MAX(D101,DATE(Einstellungen!$C$3,7,1)),MIN(J101,DATE(Einstellungen!$C$3,8,0)),Einstellungen!$F$13:$F$32)))</f>
        <v/>
      </c>
      <c r="S101" s="49">
        <f>IF(OR(A101="",D101=""),0,MAX(0,NETWORKDAYS(MAX(D101,DATE(Einstellungen!$C$3,8,1)),MIN(J101,DATE(Einstellungen!$C$3,9,0)),Einstellungen!$F$13:$F$32)))</f>
        <v/>
      </c>
      <c r="T101" s="49">
        <f>IF(OR(A101="",D101=""),0,MAX(0,NETWORKDAYS(MAX(D101,DATE(Einstellungen!$C$3,9,1)),MIN(J101,DATE(Einstellungen!$C$3,10,0)),Einstellungen!$F$13:$F$32)))</f>
        <v/>
      </c>
      <c r="U101" s="49">
        <f>IF(OR(A101="",D101=""),0,MAX(0,NETWORKDAYS(MAX(D101,DATE(Einstellungen!$C$3,10,1)),MIN(J101,DATE(Einstellungen!$C$3,11,0)),Einstellungen!$F$13:$F$32)))</f>
        <v/>
      </c>
      <c r="V101" s="49">
        <f>IF(OR(A101="",D101=""),0,MAX(0,NETWORKDAYS(MAX(D101,DATE(Einstellungen!$C$3,11,1)),MIN(J101,DATE(Einstellungen!$C$3,12,0)),Einstellungen!$F$13:$F$32)))</f>
        <v/>
      </c>
      <c r="W101" s="49">
        <f>IF(OR(A101="",D101=""),0,MAX(0,NETWORKDAYS(MAX(D101,DATE(Einstellungen!$C$3,12,1)),MIN(J101,DATE(Einstellungen!$C$3,13,0)),Einstellungen!$F$13:$F$32)))</f>
        <v/>
      </c>
      <c r="X101" s="50">
        <f>L101*K101</f>
        <v/>
      </c>
      <c r="Y101" s="50">
        <f>M101*K101</f>
        <v/>
      </c>
      <c r="Z101" s="50">
        <f>N101*K101</f>
        <v/>
      </c>
      <c r="AA101" s="50">
        <f>O101*K101</f>
        <v/>
      </c>
      <c r="AB101" s="50">
        <f>P101*K101</f>
        <v/>
      </c>
      <c r="AC101" s="50">
        <f>Q101*K101</f>
        <v/>
      </c>
      <c r="AD101" s="50">
        <f>R101*K101</f>
        <v/>
      </c>
      <c r="AE101" s="50">
        <f>S101*K101</f>
        <v/>
      </c>
      <c r="AF101" s="50">
        <f>T101*K101</f>
        <v/>
      </c>
      <c r="AG101" s="50">
        <f>U101*K101</f>
        <v/>
      </c>
      <c r="AH101" s="50">
        <f>V101*K101</f>
        <v/>
      </c>
      <c r="AI101" s="50">
        <f>W101*K101</f>
        <v/>
      </c>
    </row>
    <row r="102">
      <c r="A102" s="25" t="n">
        <v>1021</v>
      </c>
      <c r="B102" s="45">
        <f>IF(A102="","",IFERROR(INDEX(Mitarbeiter!$B$6:$B$205,MATCH($A102,Mitarbeiter!$A$6:$A$205,0)),"?"))</f>
        <v/>
      </c>
      <c r="C102" s="46" t="inlineStr">
        <is>
          <t>Objekt 1</t>
        </is>
      </c>
      <c r="D102" s="26" t="n">
        <v>46242</v>
      </c>
      <c r="E102" s="26" t="n">
        <v>46262</v>
      </c>
      <c r="F102" s="24">
        <f>IF(A102="","",SUM(L102:W102))</f>
        <v/>
      </c>
      <c r="G102" s="36">
        <f>IF(A102="","",SUM(X102:AI102))</f>
        <v/>
      </c>
      <c r="H102" s="8">
        <f>IF(A102="","",IF(ISNA(MATCH(A102,Mitarbeiter!$A$6:$A$205,0)),"Pers.-Nr. unbekannt",IF(D102="","Von fehlt",IF(AND(C102&lt;&gt;Einstellungen!$C$4,C102&lt;&gt;Einstellungen!$C$5),"Objekt fehlt",IF(J102&lt;D102,"Bis vor Von",IF(D102&lt;INDEX(Mitarbeiter!$C$6:$C$205,MATCH($A102,Mitarbeiter!$A$6:$A$205,0)),"vor Eintritt",IF(AND(INDEX(Mitarbeiter!$D$6:$D$205,MATCH($A102,Mitarbeiter!$A$6:$A$205,0))&lt;&gt;"",D102&gt;INDEX(Mitarbeiter!$D$6:$D$205,MATCH($A102,Mitarbeiter!$A$6:$A$205,0))),"nach Austritt",IF(E102="","offen","ok"))))))))</f>
        <v/>
      </c>
      <c r="J102" s="47">
        <f>IF(A102="","",IF(E102="",Einstellungen!$C$9,E102))</f>
        <v/>
      </c>
      <c r="K102" s="48">
        <f>IF(A102="",0,IFERROR(INDEX(Mitarbeiter!$F$6:$F$205,MATCH($A102,Mitarbeiter!$A$6:$A$205,0)),0))</f>
        <v/>
      </c>
      <c r="L102" s="49">
        <f>IF(OR(A102="",D102=""),0,MAX(0,NETWORKDAYS(MAX(D102,DATE(Einstellungen!$C$3,1,1)),MIN(J102,DATE(Einstellungen!$C$3,2,0)),Einstellungen!$F$13:$F$32)))</f>
        <v/>
      </c>
      <c r="M102" s="49">
        <f>IF(OR(A102="",D102=""),0,MAX(0,NETWORKDAYS(MAX(D102,DATE(Einstellungen!$C$3,2,1)),MIN(J102,DATE(Einstellungen!$C$3,3,0)),Einstellungen!$F$13:$F$32)))</f>
        <v/>
      </c>
      <c r="N102" s="49">
        <f>IF(OR(A102="",D102=""),0,MAX(0,NETWORKDAYS(MAX(D102,DATE(Einstellungen!$C$3,3,1)),MIN(J102,DATE(Einstellungen!$C$3,4,0)),Einstellungen!$F$13:$F$32)))</f>
        <v/>
      </c>
      <c r="O102" s="49">
        <f>IF(OR(A102="",D102=""),0,MAX(0,NETWORKDAYS(MAX(D102,DATE(Einstellungen!$C$3,4,1)),MIN(J102,DATE(Einstellungen!$C$3,5,0)),Einstellungen!$F$13:$F$32)))</f>
        <v/>
      </c>
      <c r="P102" s="49">
        <f>IF(OR(A102="",D102=""),0,MAX(0,NETWORKDAYS(MAX(D102,DATE(Einstellungen!$C$3,5,1)),MIN(J102,DATE(Einstellungen!$C$3,6,0)),Einstellungen!$F$13:$F$32)))</f>
        <v/>
      </c>
      <c r="Q102" s="49">
        <f>IF(OR(A102="",D102=""),0,MAX(0,NETWORKDAYS(MAX(D102,DATE(Einstellungen!$C$3,6,1)),MIN(J102,DATE(Einstellungen!$C$3,7,0)),Einstellungen!$F$13:$F$32)))</f>
        <v/>
      </c>
      <c r="R102" s="49">
        <f>IF(OR(A102="",D102=""),0,MAX(0,NETWORKDAYS(MAX(D102,DATE(Einstellungen!$C$3,7,1)),MIN(J102,DATE(Einstellungen!$C$3,8,0)),Einstellungen!$F$13:$F$32)))</f>
        <v/>
      </c>
      <c r="S102" s="49">
        <f>IF(OR(A102="",D102=""),0,MAX(0,NETWORKDAYS(MAX(D102,DATE(Einstellungen!$C$3,8,1)),MIN(J102,DATE(Einstellungen!$C$3,9,0)),Einstellungen!$F$13:$F$32)))</f>
        <v/>
      </c>
      <c r="T102" s="49">
        <f>IF(OR(A102="",D102=""),0,MAX(0,NETWORKDAYS(MAX(D102,DATE(Einstellungen!$C$3,9,1)),MIN(J102,DATE(Einstellungen!$C$3,10,0)),Einstellungen!$F$13:$F$32)))</f>
        <v/>
      </c>
      <c r="U102" s="49">
        <f>IF(OR(A102="",D102=""),0,MAX(0,NETWORKDAYS(MAX(D102,DATE(Einstellungen!$C$3,10,1)),MIN(J102,DATE(Einstellungen!$C$3,11,0)),Einstellungen!$F$13:$F$32)))</f>
        <v/>
      </c>
      <c r="V102" s="49">
        <f>IF(OR(A102="",D102=""),0,MAX(0,NETWORKDAYS(MAX(D102,DATE(Einstellungen!$C$3,11,1)),MIN(J102,DATE(Einstellungen!$C$3,12,0)),Einstellungen!$F$13:$F$32)))</f>
        <v/>
      </c>
      <c r="W102" s="49">
        <f>IF(OR(A102="",D102=""),0,MAX(0,NETWORKDAYS(MAX(D102,DATE(Einstellungen!$C$3,12,1)),MIN(J102,DATE(Einstellungen!$C$3,13,0)),Einstellungen!$F$13:$F$32)))</f>
        <v/>
      </c>
      <c r="X102" s="50">
        <f>L102*K102</f>
        <v/>
      </c>
      <c r="Y102" s="50">
        <f>M102*K102</f>
        <v/>
      </c>
      <c r="Z102" s="50">
        <f>N102*K102</f>
        <v/>
      </c>
      <c r="AA102" s="50">
        <f>O102*K102</f>
        <v/>
      </c>
      <c r="AB102" s="50">
        <f>P102*K102</f>
        <v/>
      </c>
      <c r="AC102" s="50">
        <f>Q102*K102</f>
        <v/>
      </c>
      <c r="AD102" s="50">
        <f>R102*K102</f>
        <v/>
      </c>
      <c r="AE102" s="50">
        <f>S102*K102</f>
        <v/>
      </c>
      <c r="AF102" s="50">
        <f>T102*K102</f>
        <v/>
      </c>
      <c r="AG102" s="50">
        <f>U102*K102</f>
        <v/>
      </c>
      <c r="AH102" s="50">
        <f>V102*K102</f>
        <v/>
      </c>
      <c r="AI102" s="50">
        <f>W102*K102</f>
        <v/>
      </c>
    </row>
    <row r="103">
      <c r="A103" s="25" t="n">
        <v>1006</v>
      </c>
      <c r="B103" s="45">
        <f>IF(A103="","",IFERROR(INDEX(Mitarbeiter!$B$6:$B$205,MATCH($A103,Mitarbeiter!$A$6:$A$205,0)),"?"))</f>
        <v/>
      </c>
      <c r="C103" s="46" t="inlineStr">
        <is>
          <t>Objekt 2</t>
        </is>
      </c>
      <c r="D103" s="26" t="n">
        <v>46243</v>
      </c>
      <c r="E103" s="26" t="n">
        <v>46249</v>
      </c>
      <c r="F103" s="24">
        <f>IF(A103="","",SUM(L103:W103))</f>
        <v/>
      </c>
      <c r="G103" s="36">
        <f>IF(A103="","",SUM(X103:AI103))</f>
        <v/>
      </c>
      <c r="H103" s="8">
        <f>IF(A103="","",IF(ISNA(MATCH(A103,Mitarbeiter!$A$6:$A$205,0)),"Pers.-Nr. unbekannt",IF(D103="","Von fehlt",IF(AND(C103&lt;&gt;Einstellungen!$C$4,C103&lt;&gt;Einstellungen!$C$5),"Objekt fehlt",IF(J103&lt;D103,"Bis vor Von",IF(D103&lt;INDEX(Mitarbeiter!$C$6:$C$205,MATCH($A103,Mitarbeiter!$A$6:$A$205,0)),"vor Eintritt",IF(AND(INDEX(Mitarbeiter!$D$6:$D$205,MATCH($A103,Mitarbeiter!$A$6:$A$205,0))&lt;&gt;"",D103&gt;INDEX(Mitarbeiter!$D$6:$D$205,MATCH($A103,Mitarbeiter!$A$6:$A$205,0))),"nach Austritt",IF(E103="","offen","ok"))))))))</f>
        <v/>
      </c>
      <c r="J103" s="47">
        <f>IF(A103="","",IF(E103="",Einstellungen!$C$9,E103))</f>
        <v/>
      </c>
      <c r="K103" s="48">
        <f>IF(A103="",0,IFERROR(INDEX(Mitarbeiter!$F$6:$F$205,MATCH($A103,Mitarbeiter!$A$6:$A$205,0)),0))</f>
        <v/>
      </c>
      <c r="L103" s="49">
        <f>IF(OR(A103="",D103=""),0,MAX(0,NETWORKDAYS(MAX(D103,DATE(Einstellungen!$C$3,1,1)),MIN(J103,DATE(Einstellungen!$C$3,2,0)),Einstellungen!$F$13:$F$32)))</f>
        <v/>
      </c>
      <c r="M103" s="49">
        <f>IF(OR(A103="",D103=""),0,MAX(0,NETWORKDAYS(MAX(D103,DATE(Einstellungen!$C$3,2,1)),MIN(J103,DATE(Einstellungen!$C$3,3,0)),Einstellungen!$F$13:$F$32)))</f>
        <v/>
      </c>
      <c r="N103" s="49">
        <f>IF(OR(A103="",D103=""),0,MAX(0,NETWORKDAYS(MAX(D103,DATE(Einstellungen!$C$3,3,1)),MIN(J103,DATE(Einstellungen!$C$3,4,0)),Einstellungen!$F$13:$F$32)))</f>
        <v/>
      </c>
      <c r="O103" s="49">
        <f>IF(OR(A103="",D103=""),0,MAX(0,NETWORKDAYS(MAX(D103,DATE(Einstellungen!$C$3,4,1)),MIN(J103,DATE(Einstellungen!$C$3,5,0)),Einstellungen!$F$13:$F$32)))</f>
        <v/>
      </c>
      <c r="P103" s="49">
        <f>IF(OR(A103="",D103=""),0,MAX(0,NETWORKDAYS(MAX(D103,DATE(Einstellungen!$C$3,5,1)),MIN(J103,DATE(Einstellungen!$C$3,6,0)),Einstellungen!$F$13:$F$32)))</f>
        <v/>
      </c>
      <c r="Q103" s="49">
        <f>IF(OR(A103="",D103=""),0,MAX(0,NETWORKDAYS(MAX(D103,DATE(Einstellungen!$C$3,6,1)),MIN(J103,DATE(Einstellungen!$C$3,7,0)),Einstellungen!$F$13:$F$32)))</f>
        <v/>
      </c>
      <c r="R103" s="49">
        <f>IF(OR(A103="",D103=""),0,MAX(0,NETWORKDAYS(MAX(D103,DATE(Einstellungen!$C$3,7,1)),MIN(J103,DATE(Einstellungen!$C$3,8,0)),Einstellungen!$F$13:$F$32)))</f>
        <v/>
      </c>
      <c r="S103" s="49">
        <f>IF(OR(A103="",D103=""),0,MAX(0,NETWORKDAYS(MAX(D103,DATE(Einstellungen!$C$3,8,1)),MIN(J103,DATE(Einstellungen!$C$3,9,0)),Einstellungen!$F$13:$F$32)))</f>
        <v/>
      </c>
      <c r="T103" s="49">
        <f>IF(OR(A103="",D103=""),0,MAX(0,NETWORKDAYS(MAX(D103,DATE(Einstellungen!$C$3,9,1)),MIN(J103,DATE(Einstellungen!$C$3,10,0)),Einstellungen!$F$13:$F$32)))</f>
        <v/>
      </c>
      <c r="U103" s="49">
        <f>IF(OR(A103="",D103=""),0,MAX(0,NETWORKDAYS(MAX(D103,DATE(Einstellungen!$C$3,10,1)),MIN(J103,DATE(Einstellungen!$C$3,11,0)),Einstellungen!$F$13:$F$32)))</f>
        <v/>
      </c>
      <c r="V103" s="49">
        <f>IF(OR(A103="",D103=""),0,MAX(0,NETWORKDAYS(MAX(D103,DATE(Einstellungen!$C$3,11,1)),MIN(J103,DATE(Einstellungen!$C$3,12,0)),Einstellungen!$F$13:$F$32)))</f>
        <v/>
      </c>
      <c r="W103" s="49">
        <f>IF(OR(A103="",D103=""),0,MAX(0,NETWORKDAYS(MAX(D103,DATE(Einstellungen!$C$3,12,1)),MIN(J103,DATE(Einstellungen!$C$3,13,0)),Einstellungen!$F$13:$F$32)))</f>
        <v/>
      </c>
      <c r="X103" s="50">
        <f>L103*K103</f>
        <v/>
      </c>
      <c r="Y103" s="50">
        <f>M103*K103</f>
        <v/>
      </c>
      <c r="Z103" s="50">
        <f>N103*K103</f>
        <v/>
      </c>
      <c r="AA103" s="50">
        <f>O103*K103</f>
        <v/>
      </c>
      <c r="AB103" s="50">
        <f>P103*K103</f>
        <v/>
      </c>
      <c r="AC103" s="50">
        <f>Q103*K103</f>
        <v/>
      </c>
      <c r="AD103" s="50">
        <f>R103*K103</f>
        <v/>
      </c>
      <c r="AE103" s="50">
        <f>S103*K103</f>
        <v/>
      </c>
      <c r="AF103" s="50">
        <f>T103*K103</f>
        <v/>
      </c>
      <c r="AG103" s="50">
        <f>U103*K103</f>
        <v/>
      </c>
      <c r="AH103" s="50">
        <f>V103*K103</f>
        <v/>
      </c>
      <c r="AI103" s="50">
        <f>W103*K103</f>
        <v/>
      </c>
    </row>
    <row r="104">
      <c r="A104" s="25" t="n">
        <v>1018</v>
      </c>
      <c r="B104" s="45">
        <f>IF(A104="","",IFERROR(INDEX(Mitarbeiter!$B$6:$B$205,MATCH($A104,Mitarbeiter!$A$6:$A$205,0)),"?"))</f>
        <v/>
      </c>
      <c r="C104" s="46" t="inlineStr">
        <is>
          <t>Objekt 1</t>
        </is>
      </c>
      <c r="D104" s="26" t="n">
        <v>46243</v>
      </c>
      <c r="E104" s="26" t="n">
        <v>46247</v>
      </c>
      <c r="F104" s="24">
        <f>IF(A104="","",SUM(L104:W104))</f>
        <v/>
      </c>
      <c r="G104" s="36">
        <f>IF(A104="","",SUM(X104:AI104))</f>
        <v/>
      </c>
      <c r="H104" s="8">
        <f>IF(A104="","",IF(ISNA(MATCH(A104,Mitarbeiter!$A$6:$A$205,0)),"Pers.-Nr. unbekannt",IF(D104="","Von fehlt",IF(AND(C104&lt;&gt;Einstellungen!$C$4,C104&lt;&gt;Einstellungen!$C$5),"Objekt fehlt",IF(J104&lt;D104,"Bis vor Von",IF(D104&lt;INDEX(Mitarbeiter!$C$6:$C$205,MATCH($A104,Mitarbeiter!$A$6:$A$205,0)),"vor Eintritt",IF(AND(INDEX(Mitarbeiter!$D$6:$D$205,MATCH($A104,Mitarbeiter!$A$6:$A$205,0))&lt;&gt;"",D104&gt;INDEX(Mitarbeiter!$D$6:$D$205,MATCH($A104,Mitarbeiter!$A$6:$A$205,0))),"nach Austritt",IF(E104="","offen","ok"))))))))</f>
        <v/>
      </c>
      <c r="J104" s="47">
        <f>IF(A104="","",IF(E104="",Einstellungen!$C$9,E104))</f>
        <v/>
      </c>
      <c r="K104" s="48">
        <f>IF(A104="",0,IFERROR(INDEX(Mitarbeiter!$F$6:$F$205,MATCH($A104,Mitarbeiter!$A$6:$A$205,0)),0))</f>
        <v/>
      </c>
      <c r="L104" s="49">
        <f>IF(OR(A104="",D104=""),0,MAX(0,NETWORKDAYS(MAX(D104,DATE(Einstellungen!$C$3,1,1)),MIN(J104,DATE(Einstellungen!$C$3,2,0)),Einstellungen!$F$13:$F$32)))</f>
        <v/>
      </c>
      <c r="M104" s="49">
        <f>IF(OR(A104="",D104=""),0,MAX(0,NETWORKDAYS(MAX(D104,DATE(Einstellungen!$C$3,2,1)),MIN(J104,DATE(Einstellungen!$C$3,3,0)),Einstellungen!$F$13:$F$32)))</f>
        <v/>
      </c>
      <c r="N104" s="49">
        <f>IF(OR(A104="",D104=""),0,MAX(0,NETWORKDAYS(MAX(D104,DATE(Einstellungen!$C$3,3,1)),MIN(J104,DATE(Einstellungen!$C$3,4,0)),Einstellungen!$F$13:$F$32)))</f>
        <v/>
      </c>
      <c r="O104" s="49">
        <f>IF(OR(A104="",D104=""),0,MAX(0,NETWORKDAYS(MAX(D104,DATE(Einstellungen!$C$3,4,1)),MIN(J104,DATE(Einstellungen!$C$3,5,0)),Einstellungen!$F$13:$F$32)))</f>
        <v/>
      </c>
      <c r="P104" s="49">
        <f>IF(OR(A104="",D104=""),0,MAX(0,NETWORKDAYS(MAX(D104,DATE(Einstellungen!$C$3,5,1)),MIN(J104,DATE(Einstellungen!$C$3,6,0)),Einstellungen!$F$13:$F$32)))</f>
        <v/>
      </c>
      <c r="Q104" s="49">
        <f>IF(OR(A104="",D104=""),0,MAX(0,NETWORKDAYS(MAX(D104,DATE(Einstellungen!$C$3,6,1)),MIN(J104,DATE(Einstellungen!$C$3,7,0)),Einstellungen!$F$13:$F$32)))</f>
        <v/>
      </c>
      <c r="R104" s="49">
        <f>IF(OR(A104="",D104=""),0,MAX(0,NETWORKDAYS(MAX(D104,DATE(Einstellungen!$C$3,7,1)),MIN(J104,DATE(Einstellungen!$C$3,8,0)),Einstellungen!$F$13:$F$32)))</f>
        <v/>
      </c>
      <c r="S104" s="49">
        <f>IF(OR(A104="",D104=""),0,MAX(0,NETWORKDAYS(MAX(D104,DATE(Einstellungen!$C$3,8,1)),MIN(J104,DATE(Einstellungen!$C$3,9,0)),Einstellungen!$F$13:$F$32)))</f>
        <v/>
      </c>
      <c r="T104" s="49">
        <f>IF(OR(A104="",D104=""),0,MAX(0,NETWORKDAYS(MAX(D104,DATE(Einstellungen!$C$3,9,1)),MIN(J104,DATE(Einstellungen!$C$3,10,0)),Einstellungen!$F$13:$F$32)))</f>
        <v/>
      </c>
      <c r="U104" s="49">
        <f>IF(OR(A104="",D104=""),0,MAX(0,NETWORKDAYS(MAX(D104,DATE(Einstellungen!$C$3,10,1)),MIN(J104,DATE(Einstellungen!$C$3,11,0)),Einstellungen!$F$13:$F$32)))</f>
        <v/>
      </c>
      <c r="V104" s="49">
        <f>IF(OR(A104="",D104=""),0,MAX(0,NETWORKDAYS(MAX(D104,DATE(Einstellungen!$C$3,11,1)),MIN(J104,DATE(Einstellungen!$C$3,12,0)),Einstellungen!$F$13:$F$32)))</f>
        <v/>
      </c>
      <c r="W104" s="49">
        <f>IF(OR(A104="",D104=""),0,MAX(0,NETWORKDAYS(MAX(D104,DATE(Einstellungen!$C$3,12,1)),MIN(J104,DATE(Einstellungen!$C$3,13,0)),Einstellungen!$F$13:$F$32)))</f>
        <v/>
      </c>
      <c r="X104" s="50">
        <f>L104*K104</f>
        <v/>
      </c>
      <c r="Y104" s="50">
        <f>M104*K104</f>
        <v/>
      </c>
      <c r="Z104" s="50">
        <f>N104*K104</f>
        <v/>
      </c>
      <c r="AA104" s="50">
        <f>O104*K104</f>
        <v/>
      </c>
      <c r="AB104" s="50">
        <f>P104*K104</f>
        <v/>
      </c>
      <c r="AC104" s="50">
        <f>Q104*K104</f>
        <v/>
      </c>
      <c r="AD104" s="50">
        <f>R104*K104</f>
        <v/>
      </c>
      <c r="AE104" s="50">
        <f>S104*K104</f>
        <v/>
      </c>
      <c r="AF104" s="50">
        <f>T104*K104</f>
        <v/>
      </c>
      <c r="AG104" s="50">
        <f>U104*K104</f>
        <v/>
      </c>
      <c r="AH104" s="50">
        <f>V104*K104</f>
        <v/>
      </c>
      <c r="AI104" s="50">
        <f>W104*K104</f>
        <v/>
      </c>
    </row>
    <row r="105">
      <c r="A105" s="25" t="n">
        <v>1016</v>
      </c>
      <c r="B105" s="45">
        <f>IF(A105="","",IFERROR(INDEX(Mitarbeiter!$B$6:$B$205,MATCH($A105,Mitarbeiter!$A$6:$A$205,0)),"?"))</f>
        <v/>
      </c>
      <c r="C105" s="46" t="inlineStr">
        <is>
          <t>Objekt 1</t>
        </is>
      </c>
      <c r="D105" s="26" t="n">
        <v>46243</v>
      </c>
      <c r="E105" s="26" t="n">
        <v>46245</v>
      </c>
      <c r="F105" s="24">
        <f>IF(A105="","",SUM(L105:W105))</f>
        <v/>
      </c>
      <c r="G105" s="36">
        <f>IF(A105="","",SUM(X105:AI105))</f>
        <v/>
      </c>
      <c r="H105" s="8">
        <f>IF(A105="","",IF(ISNA(MATCH(A105,Mitarbeiter!$A$6:$A$205,0)),"Pers.-Nr. unbekannt",IF(D105="","Von fehlt",IF(AND(C105&lt;&gt;Einstellungen!$C$4,C105&lt;&gt;Einstellungen!$C$5),"Objekt fehlt",IF(J105&lt;D105,"Bis vor Von",IF(D105&lt;INDEX(Mitarbeiter!$C$6:$C$205,MATCH($A105,Mitarbeiter!$A$6:$A$205,0)),"vor Eintritt",IF(AND(INDEX(Mitarbeiter!$D$6:$D$205,MATCH($A105,Mitarbeiter!$A$6:$A$205,0))&lt;&gt;"",D105&gt;INDEX(Mitarbeiter!$D$6:$D$205,MATCH($A105,Mitarbeiter!$A$6:$A$205,0))),"nach Austritt",IF(E105="","offen","ok"))))))))</f>
        <v/>
      </c>
      <c r="J105" s="47">
        <f>IF(A105="","",IF(E105="",Einstellungen!$C$9,E105))</f>
        <v/>
      </c>
      <c r="K105" s="48">
        <f>IF(A105="",0,IFERROR(INDEX(Mitarbeiter!$F$6:$F$205,MATCH($A105,Mitarbeiter!$A$6:$A$205,0)),0))</f>
        <v/>
      </c>
      <c r="L105" s="49">
        <f>IF(OR(A105="",D105=""),0,MAX(0,NETWORKDAYS(MAX(D105,DATE(Einstellungen!$C$3,1,1)),MIN(J105,DATE(Einstellungen!$C$3,2,0)),Einstellungen!$F$13:$F$32)))</f>
        <v/>
      </c>
      <c r="M105" s="49">
        <f>IF(OR(A105="",D105=""),0,MAX(0,NETWORKDAYS(MAX(D105,DATE(Einstellungen!$C$3,2,1)),MIN(J105,DATE(Einstellungen!$C$3,3,0)),Einstellungen!$F$13:$F$32)))</f>
        <v/>
      </c>
      <c r="N105" s="49">
        <f>IF(OR(A105="",D105=""),0,MAX(0,NETWORKDAYS(MAX(D105,DATE(Einstellungen!$C$3,3,1)),MIN(J105,DATE(Einstellungen!$C$3,4,0)),Einstellungen!$F$13:$F$32)))</f>
        <v/>
      </c>
      <c r="O105" s="49">
        <f>IF(OR(A105="",D105=""),0,MAX(0,NETWORKDAYS(MAX(D105,DATE(Einstellungen!$C$3,4,1)),MIN(J105,DATE(Einstellungen!$C$3,5,0)),Einstellungen!$F$13:$F$32)))</f>
        <v/>
      </c>
      <c r="P105" s="49">
        <f>IF(OR(A105="",D105=""),0,MAX(0,NETWORKDAYS(MAX(D105,DATE(Einstellungen!$C$3,5,1)),MIN(J105,DATE(Einstellungen!$C$3,6,0)),Einstellungen!$F$13:$F$32)))</f>
        <v/>
      </c>
      <c r="Q105" s="49">
        <f>IF(OR(A105="",D105=""),0,MAX(0,NETWORKDAYS(MAX(D105,DATE(Einstellungen!$C$3,6,1)),MIN(J105,DATE(Einstellungen!$C$3,7,0)),Einstellungen!$F$13:$F$32)))</f>
        <v/>
      </c>
      <c r="R105" s="49">
        <f>IF(OR(A105="",D105=""),0,MAX(0,NETWORKDAYS(MAX(D105,DATE(Einstellungen!$C$3,7,1)),MIN(J105,DATE(Einstellungen!$C$3,8,0)),Einstellungen!$F$13:$F$32)))</f>
        <v/>
      </c>
      <c r="S105" s="49">
        <f>IF(OR(A105="",D105=""),0,MAX(0,NETWORKDAYS(MAX(D105,DATE(Einstellungen!$C$3,8,1)),MIN(J105,DATE(Einstellungen!$C$3,9,0)),Einstellungen!$F$13:$F$32)))</f>
        <v/>
      </c>
      <c r="T105" s="49">
        <f>IF(OR(A105="",D105=""),0,MAX(0,NETWORKDAYS(MAX(D105,DATE(Einstellungen!$C$3,9,1)),MIN(J105,DATE(Einstellungen!$C$3,10,0)),Einstellungen!$F$13:$F$32)))</f>
        <v/>
      </c>
      <c r="U105" s="49">
        <f>IF(OR(A105="",D105=""),0,MAX(0,NETWORKDAYS(MAX(D105,DATE(Einstellungen!$C$3,10,1)),MIN(J105,DATE(Einstellungen!$C$3,11,0)),Einstellungen!$F$13:$F$32)))</f>
        <v/>
      </c>
      <c r="V105" s="49">
        <f>IF(OR(A105="",D105=""),0,MAX(0,NETWORKDAYS(MAX(D105,DATE(Einstellungen!$C$3,11,1)),MIN(J105,DATE(Einstellungen!$C$3,12,0)),Einstellungen!$F$13:$F$32)))</f>
        <v/>
      </c>
      <c r="W105" s="49">
        <f>IF(OR(A105="",D105=""),0,MAX(0,NETWORKDAYS(MAX(D105,DATE(Einstellungen!$C$3,12,1)),MIN(J105,DATE(Einstellungen!$C$3,13,0)),Einstellungen!$F$13:$F$32)))</f>
        <v/>
      </c>
      <c r="X105" s="50">
        <f>L105*K105</f>
        <v/>
      </c>
      <c r="Y105" s="50">
        <f>M105*K105</f>
        <v/>
      </c>
      <c r="Z105" s="50">
        <f>N105*K105</f>
        <v/>
      </c>
      <c r="AA105" s="50">
        <f>O105*K105</f>
        <v/>
      </c>
      <c r="AB105" s="50">
        <f>P105*K105</f>
        <v/>
      </c>
      <c r="AC105" s="50">
        <f>Q105*K105</f>
        <v/>
      </c>
      <c r="AD105" s="50">
        <f>R105*K105</f>
        <v/>
      </c>
      <c r="AE105" s="50">
        <f>S105*K105</f>
        <v/>
      </c>
      <c r="AF105" s="50">
        <f>T105*K105</f>
        <v/>
      </c>
      <c r="AG105" s="50">
        <f>U105*K105</f>
        <v/>
      </c>
      <c r="AH105" s="50">
        <f>V105*K105</f>
        <v/>
      </c>
      <c r="AI105" s="50">
        <f>W105*K105</f>
        <v/>
      </c>
    </row>
    <row r="106">
      <c r="A106" s="25" t="n">
        <v>1019</v>
      </c>
      <c r="B106" s="45">
        <f>IF(A106="","",IFERROR(INDEX(Mitarbeiter!$B$6:$B$205,MATCH($A106,Mitarbeiter!$A$6:$A$205,0)),"?"))</f>
        <v/>
      </c>
      <c r="C106" s="46" t="inlineStr">
        <is>
          <t>Objekt 2</t>
        </is>
      </c>
      <c r="D106" s="26" t="n">
        <v>46244</v>
      </c>
      <c r="E106" s="26" t="n">
        <v>46246</v>
      </c>
      <c r="F106" s="24">
        <f>IF(A106="","",SUM(L106:W106))</f>
        <v/>
      </c>
      <c r="G106" s="36">
        <f>IF(A106="","",SUM(X106:AI106))</f>
        <v/>
      </c>
      <c r="H106" s="8">
        <f>IF(A106="","",IF(ISNA(MATCH(A106,Mitarbeiter!$A$6:$A$205,0)),"Pers.-Nr. unbekannt",IF(D106="","Von fehlt",IF(AND(C106&lt;&gt;Einstellungen!$C$4,C106&lt;&gt;Einstellungen!$C$5),"Objekt fehlt",IF(J106&lt;D106,"Bis vor Von",IF(D106&lt;INDEX(Mitarbeiter!$C$6:$C$205,MATCH($A106,Mitarbeiter!$A$6:$A$205,0)),"vor Eintritt",IF(AND(INDEX(Mitarbeiter!$D$6:$D$205,MATCH($A106,Mitarbeiter!$A$6:$A$205,0))&lt;&gt;"",D106&gt;INDEX(Mitarbeiter!$D$6:$D$205,MATCH($A106,Mitarbeiter!$A$6:$A$205,0))),"nach Austritt",IF(E106="","offen","ok"))))))))</f>
        <v/>
      </c>
      <c r="J106" s="47">
        <f>IF(A106="","",IF(E106="",Einstellungen!$C$9,E106))</f>
        <v/>
      </c>
      <c r="K106" s="48">
        <f>IF(A106="",0,IFERROR(INDEX(Mitarbeiter!$F$6:$F$205,MATCH($A106,Mitarbeiter!$A$6:$A$205,0)),0))</f>
        <v/>
      </c>
      <c r="L106" s="49">
        <f>IF(OR(A106="",D106=""),0,MAX(0,NETWORKDAYS(MAX(D106,DATE(Einstellungen!$C$3,1,1)),MIN(J106,DATE(Einstellungen!$C$3,2,0)),Einstellungen!$F$13:$F$32)))</f>
        <v/>
      </c>
      <c r="M106" s="49">
        <f>IF(OR(A106="",D106=""),0,MAX(0,NETWORKDAYS(MAX(D106,DATE(Einstellungen!$C$3,2,1)),MIN(J106,DATE(Einstellungen!$C$3,3,0)),Einstellungen!$F$13:$F$32)))</f>
        <v/>
      </c>
      <c r="N106" s="49">
        <f>IF(OR(A106="",D106=""),0,MAX(0,NETWORKDAYS(MAX(D106,DATE(Einstellungen!$C$3,3,1)),MIN(J106,DATE(Einstellungen!$C$3,4,0)),Einstellungen!$F$13:$F$32)))</f>
        <v/>
      </c>
      <c r="O106" s="49">
        <f>IF(OR(A106="",D106=""),0,MAX(0,NETWORKDAYS(MAX(D106,DATE(Einstellungen!$C$3,4,1)),MIN(J106,DATE(Einstellungen!$C$3,5,0)),Einstellungen!$F$13:$F$32)))</f>
        <v/>
      </c>
      <c r="P106" s="49">
        <f>IF(OR(A106="",D106=""),0,MAX(0,NETWORKDAYS(MAX(D106,DATE(Einstellungen!$C$3,5,1)),MIN(J106,DATE(Einstellungen!$C$3,6,0)),Einstellungen!$F$13:$F$32)))</f>
        <v/>
      </c>
      <c r="Q106" s="49">
        <f>IF(OR(A106="",D106=""),0,MAX(0,NETWORKDAYS(MAX(D106,DATE(Einstellungen!$C$3,6,1)),MIN(J106,DATE(Einstellungen!$C$3,7,0)),Einstellungen!$F$13:$F$32)))</f>
        <v/>
      </c>
      <c r="R106" s="49">
        <f>IF(OR(A106="",D106=""),0,MAX(0,NETWORKDAYS(MAX(D106,DATE(Einstellungen!$C$3,7,1)),MIN(J106,DATE(Einstellungen!$C$3,8,0)),Einstellungen!$F$13:$F$32)))</f>
        <v/>
      </c>
      <c r="S106" s="49">
        <f>IF(OR(A106="",D106=""),0,MAX(0,NETWORKDAYS(MAX(D106,DATE(Einstellungen!$C$3,8,1)),MIN(J106,DATE(Einstellungen!$C$3,9,0)),Einstellungen!$F$13:$F$32)))</f>
        <v/>
      </c>
      <c r="T106" s="49">
        <f>IF(OR(A106="",D106=""),0,MAX(0,NETWORKDAYS(MAX(D106,DATE(Einstellungen!$C$3,9,1)),MIN(J106,DATE(Einstellungen!$C$3,10,0)),Einstellungen!$F$13:$F$32)))</f>
        <v/>
      </c>
      <c r="U106" s="49">
        <f>IF(OR(A106="",D106=""),0,MAX(0,NETWORKDAYS(MAX(D106,DATE(Einstellungen!$C$3,10,1)),MIN(J106,DATE(Einstellungen!$C$3,11,0)),Einstellungen!$F$13:$F$32)))</f>
        <v/>
      </c>
      <c r="V106" s="49">
        <f>IF(OR(A106="",D106=""),0,MAX(0,NETWORKDAYS(MAX(D106,DATE(Einstellungen!$C$3,11,1)),MIN(J106,DATE(Einstellungen!$C$3,12,0)),Einstellungen!$F$13:$F$32)))</f>
        <v/>
      </c>
      <c r="W106" s="49">
        <f>IF(OR(A106="",D106=""),0,MAX(0,NETWORKDAYS(MAX(D106,DATE(Einstellungen!$C$3,12,1)),MIN(J106,DATE(Einstellungen!$C$3,13,0)),Einstellungen!$F$13:$F$32)))</f>
        <v/>
      </c>
      <c r="X106" s="50">
        <f>L106*K106</f>
        <v/>
      </c>
      <c r="Y106" s="50">
        <f>M106*K106</f>
        <v/>
      </c>
      <c r="Z106" s="50">
        <f>N106*K106</f>
        <v/>
      </c>
      <c r="AA106" s="50">
        <f>O106*K106</f>
        <v/>
      </c>
      <c r="AB106" s="50">
        <f>P106*K106</f>
        <v/>
      </c>
      <c r="AC106" s="50">
        <f>Q106*K106</f>
        <v/>
      </c>
      <c r="AD106" s="50">
        <f>R106*K106</f>
        <v/>
      </c>
      <c r="AE106" s="50">
        <f>S106*K106</f>
        <v/>
      </c>
      <c r="AF106" s="50">
        <f>T106*K106</f>
        <v/>
      </c>
      <c r="AG106" s="50">
        <f>U106*K106</f>
        <v/>
      </c>
      <c r="AH106" s="50">
        <f>V106*K106</f>
        <v/>
      </c>
      <c r="AI106" s="50">
        <f>W106*K106</f>
        <v/>
      </c>
    </row>
    <row r="107">
      <c r="A107" s="25" t="n">
        <v>1004</v>
      </c>
      <c r="B107" s="45">
        <f>IF(A107="","",IFERROR(INDEX(Mitarbeiter!$B$6:$B$205,MATCH($A107,Mitarbeiter!$A$6:$A$205,0)),"?"))</f>
        <v/>
      </c>
      <c r="C107" s="46" t="inlineStr">
        <is>
          <t>Objekt 2</t>
        </is>
      </c>
      <c r="D107" s="26" t="n">
        <v>46247</v>
      </c>
      <c r="E107" s="26" t="n">
        <v>46247</v>
      </c>
      <c r="F107" s="24">
        <f>IF(A107="","",SUM(L107:W107))</f>
        <v/>
      </c>
      <c r="G107" s="36">
        <f>IF(A107="","",SUM(X107:AI107))</f>
        <v/>
      </c>
      <c r="H107" s="8">
        <f>IF(A107="","",IF(ISNA(MATCH(A107,Mitarbeiter!$A$6:$A$205,0)),"Pers.-Nr. unbekannt",IF(D107="","Von fehlt",IF(AND(C107&lt;&gt;Einstellungen!$C$4,C107&lt;&gt;Einstellungen!$C$5),"Objekt fehlt",IF(J107&lt;D107,"Bis vor Von",IF(D107&lt;INDEX(Mitarbeiter!$C$6:$C$205,MATCH($A107,Mitarbeiter!$A$6:$A$205,0)),"vor Eintritt",IF(AND(INDEX(Mitarbeiter!$D$6:$D$205,MATCH($A107,Mitarbeiter!$A$6:$A$205,0))&lt;&gt;"",D107&gt;INDEX(Mitarbeiter!$D$6:$D$205,MATCH($A107,Mitarbeiter!$A$6:$A$205,0))),"nach Austritt",IF(E107="","offen","ok"))))))))</f>
        <v/>
      </c>
      <c r="J107" s="47">
        <f>IF(A107="","",IF(E107="",Einstellungen!$C$9,E107))</f>
        <v/>
      </c>
      <c r="K107" s="48">
        <f>IF(A107="",0,IFERROR(INDEX(Mitarbeiter!$F$6:$F$205,MATCH($A107,Mitarbeiter!$A$6:$A$205,0)),0))</f>
        <v/>
      </c>
      <c r="L107" s="49">
        <f>IF(OR(A107="",D107=""),0,MAX(0,NETWORKDAYS(MAX(D107,DATE(Einstellungen!$C$3,1,1)),MIN(J107,DATE(Einstellungen!$C$3,2,0)),Einstellungen!$F$13:$F$32)))</f>
        <v/>
      </c>
      <c r="M107" s="49">
        <f>IF(OR(A107="",D107=""),0,MAX(0,NETWORKDAYS(MAX(D107,DATE(Einstellungen!$C$3,2,1)),MIN(J107,DATE(Einstellungen!$C$3,3,0)),Einstellungen!$F$13:$F$32)))</f>
        <v/>
      </c>
      <c r="N107" s="49">
        <f>IF(OR(A107="",D107=""),0,MAX(0,NETWORKDAYS(MAX(D107,DATE(Einstellungen!$C$3,3,1)),MIN(J107,DATE(Einstellungen!$C$3,4,0)),Einstellungen!$F$13:$F$32)))</f>
        <v/>
      </c>
      <c r="O107" s="49">
        <f>IF(OR(A107="",D107=""),0,MAX(0,NETWORKDAYS(MAX(D107,DATE(Einstellungen!$C$3,4,1)),MIN(J107,DATE(Einstellungen!$C$3,5,0)),Einstellungen!$F$13:$F$32)))</f>
        <v/>
      </c>
      <c r="P107" s="49">
        <f>IF(OR(A107="",D107=""),0,MAX(0,NETWORKDAYS(MAX(D107,DATE(Einstellungen!$C$3,5,1)),MIN(J107,DATE(Einstellungen!$C$3,6,0)),Einstellungen!$F$13:$F$32)))</f>
        <v/>
      </c>
      <c r="Q107" s="49">
        <f>IF(OR(A107="",D107=""),0,MAX(0,NETWORKDAYS(MAX(D107,DATE(Einstellungen!$C$3,6,1)),MIN(J107,DATE(Einstellungen!$C$3,7,0)),Einstellungen!$F$13:$F$32)))</f>
        <v/>
      </c>
      <c r="R107" s="49">
        <f>IF(OR(A107="",D107=""),0,MAX(0,NETWORKDAYS(MAX(D107,DATE(Einstellungen!$C$3,7,1)),MIN(J107,DATE(Einstellungen!$C$3,8,0)),Einstellungen!$F$13:$F$32)))</f>
        <v/>
      </c>
      <c r="S107" s="49">
        <f>IF(OR(A107="",D107=""),0,MAX(0,NETWORKDAYS(MAX(D107,DATE(Einstellungen!$C$3,8,1)),MIN(J107,DATE(Einstellungen!$C$3,9,0)),Einstellungen!$F$13:$F$32)))</f>
        <v/>
      </c>
      <c r="T107" s="49">
        <f>IF(OR(A107="",D107=""),0,MAX(0,NETWORKDAYS(MAX(D107,DATE(Einstellungen!$C$3,9,1)),MIN(J107,DATE(Einstellungen!$C$3,10,0)),Einstellungen!$F$13:$F$32)))</f>
        <v/>
      </c>
      <c r="U107" s="49">
        <f>IF(OR(A107="",D107=""),0,MAX(0,NETWORKDAYS(MAX(D107,DATE(Einstellungen!$C$3,10,1)),MIN(J107,DATE(Einstellungen!$C$3,11,0)),Einstellungen!$F$13:$F$32)))</f>
        <v/>
      </c>
      <c r="V107" s="49">
        <f>IF(OR(A107="",D107=""),0,MAX(0,NETWORKDAYS(MAX(D107,DATE(Einstellungen!$C$3,11,1)),MIN(J107,DATE(Einstellungen!$C$3,12,0)),Einstellungen!$F$13:$F$32)))</f>
        <v/>
      </c>
      <c r="W107" s="49">
        <f>IF(OR(A107="",D107=""),0,MAX(0,NETWORKDAYS(MAX(D107,DATE(Einstellungen!$C$3,12,1)),MIN(J107,DATE(Einstellungen!$C$3,13,0)),Einstellungen!$F$13:$F$32)))</f>
        <v/>
      </c>
      <c r="X107" s="50">
        <f>L107*K107</f>
        <v/>
      </c>
      <c r="Y107" s="50">
        <f>M107*K107</f>
        <v/>
      </c>
      <c r="Z107" s="50">
        <f>N107*K107</f>
        <v/>
      </c>
      <c r="AA107" s="50">
        <f>O107*K107</f>
        <v/>
      </c>
      <c r="AB107" s="50">
        <f>P107*K107</f>
        <v/>
      </c>
      <c r="AC107" s="50">
        <f>Q107*K107</f>
        <v/>
      </c>
      <c r="AD107" s="50">
        <f>R107*K107</f>
        <v/>
      </c>
      <c r="AE107" s="50">
        <f>S107*K107</f>
        <v/>
      </c>
      <c r="AF107" s="50">
        <f>T107*K107</f>
        <v/>
      </c>
      <c r="AG107" s="50">
        <f>U107*K107</f>
        <v/>
      </c>
      <c r="AH107" s="50">
        <f>V107*K107</f>
        <v/>
      </c>
      <c r="AI107" s="50">
        <f>W107*K107</f>
        <v/>
      </c>
    </row>
    <row r="108">
      <c r="A108" s="25" t="n">
        <v>1025</v>
      </c>
      <c r="B108" s="45">
        <f>IF(A108="","",IFERROR(INDEX(Mitarbeiter!$B$6:$B$205,MATCH($A108,Mitarbeiter!$A$6:$A$205,0)),"?"))</f>
        <v/>
      </c>
      <c r="C108" s="46" t="inlineStr">
        <is>
          <t>Objekt 2</t>
        </is>
      </c>
      <c r="D108" s="26" t="n">
        <v>46250</v>
      </c>
      <c r="E108" s="26" t="n">
        <v>46256</v>
      </c>
      <c r="F108" s="24">
        <f>IF(A108="","",SUM(L108:W108))</f>
        <v/>
      </c>
      <c r="G108" s="36">
        <f>IF(A108="","",SUM(X108:AI108))</f>
        <v/>
      </c>
      <c r="H108" s="8">
        <f>IF(A108="","",IF(ISNA(MATCH(A108,Mitarbeiter!$A$6:$A$205,0)),"Pers.-Nr. unbekannt",IF(D108="","Von fehlt",IF(AND(C108&lt;&gt;Einstellungen!$C$4,C108&lt;&gt;Einstellungen!$C$5),"Objekt fehlt",IF(J108&lt;D108,"Bis vor Von",IF(D108&lt;INDEX(Mitarbeiter!$C$6:$C$205,MATCH($A108,Mitarbeiter!$A$6:$A$205,0)),"vor Eintritt",IF(AND(INDEX(Mitarbeiter!$D$6:$D$205,MATCH($A108,Mitarbeiter!$A$6:$A$205,0))&lt;&gt;"",D108&gt;INDEX(Mitarbeiter!$D$6:$D$205,MATCH($A108,Mitarbeiter!$A$6:$A$205,0))),"nach Austritt",IF(E108="","offen","ok"))))))))</f>
        <v/>
      </c>
      <c r="J108" s="47">
        <f>IF(A108="","",IF(E108="",Einstellungen!$C$9,E108))</f>
        <v/>
      </c>
      <c r="K108" s="48">
        <f>IF(A108="",0,IFERROR(INDEX(Mitarbeiter!$F$6:$F$205,MATCH($A108,Mitarbeiter!$A$6:$A$205,0)),0))</f>
        <v/>
      </c>
      <c r="L108" s="49">
        <f>IF(OR(A108="",D108=""),0,MAX(0,NETWORKDAYS(MAX(D108,DATE(Einstellungen!$C$3,1,1)),MIN(J108,DATE(Einstellungen!$C$3,2,0)),Einstellungen!$F$13:$F$32)))</f>
        <v/>
      </c>
      <c r="M108" s="49">
        <f>IF(OR(A108="",D108=""),0,MAX(0,NETWORKDAYS(MAX(D108,DATE(Einstellungen!$C$3,2,1)),MIN(J108,DATE(Einstellungen!$C$3,3,0)),Einstellungen!$F$13:$F$32)))</f>
        <v/>
      </c>
      <c r="N108" s="49">
        <f>IF(OR(A108="",D108=""),0,MAX(0,NETWORKDAYS(MAX(D108,DATE(Einstellungen!$C$3,3,1)),MIN(J108,DATE(Einstellungen!$C$3,4,0)),Einstellungen!$F$13:$F$32)))</f>
        <v/>
      </c>
      <c r="O108" s="49">
        <f>IF(OR(A108="",D108=""),0,MAX(0,NETWORKDAYS(MAX(D108,DATE(Einstellungen!$C$3,4,1)),MIN(J108,DATE(Einstellungen!$C$3,5,0)),Einstellungen!$F$13:$F$32)))</f>
        <v/>
      </c>
      <c r="P108" s="49">
        <f>IF(OR(A108="",D108=""),0,MAX(0,NETWORKDAYS(MAX(D108,DATE(Einstellungen!$C$3,5,1)),MIN(J108,DATE(Einstellungen!$C$3,6,0)),Einstellungen!$F$13:$F$32)))</f>
        <v/>
      </c>
      <c r="Q108" s="49">
        <f>IF(OR(A108="",D108=""),0,MAX(0,NETWORKDAYS(MAX(D108,DATE(Einstellungen!$C$3,6,1)),MIN(J108,DATE(Einstellungen!$C$3,7,0)),Einstellungen!$F$13:$F$32)))</f>
        <v/>
      </c>
      <c r="R108" s="49">
        <f>IF(OR(A108="",D108=""),0,MAX(0,NETWORKDAYS(MAX(D108,DATE(Einstellungen!$C$3,7,1)),MIN(J108,DATE(Einstellungen!$C$3,8,0)),Einstellungen!$F$13:$F$32)))</f>
        <v/>
      </c>
      <c r="S108" s="49">
        <f>IF(OR(A108="",D108=""),0,MAX(0,NETWORKDAYS(MAX(D108,DATE(Einstellungen!$C$3,8,1)),MIN(J108,DATE(Einstellungen!$C$3,9,0)),Einstellungen!$F$13:$F$32)))</f>
        <v/>
      </c>
      <c r="T108" s="49">
        <f>IF(OR(A108="",D108=""),0,MAX(0,NETWORKDAYS(MAX(D108,DATE(Einstellungen!$C$3,9,1)),MIN(J108,DATE(Einstellungen!$C$3,10,0)),Einstellungen!$F$13:$F$32)))</f>
        <v/>
      </c>
      <c r="U108" s="49">
        <f>IF(OR(A108="",D108=""),0,MAX(0,NETWORKDAYS(MAX(D108,DATE(Einstellungen!$C$3,10,1)),MIN(J108,DATE(Einstellungen!$C$3,11,0)),Einstellungen!$F$13:$F$32)))</f>
        <v/>
      </c>
      <c r="V108" s="49">
        <f>IF(OR(A108="",D108=""),0,MAX(0,NETWORKDAYS(MAX(D108,DATE(Einstellungen!$C$3,11,1)),MIN(J108,DATE(Einstellungen!$C$3,12,0)),Einstellungen!$F$13:$F$32)))</f>
        <v/>
      </c>
      <c r="W108" s="49">
        <f>IF(OR(A108="",D108=""),0,MAX(0,NETWORKDAYS(MAX(D108,DATE(Einstellungen!$C$3,12,1)),MIN(J108,DATE(Einstellungen!$C$3,13,0)),Einstellungen!$F$13:$F$32)))</f>
        <v/>
      </c>
      <c r="X108" s="50">
        <f>L108*K108</f>
        <v/>
      </c>
      <c r="Y108" s="50">
        <f>M108*K108</f>
        <v/>
      </c>
      <c r="Z108" s="50">
        <f>N108*K108</f>
        <v/>
      </c>
      <c r="AA108" s="50">
        <f>O108*K108</f>
        <v/>
      </c>
      <c r="AB108" s="50">
        <f>P108*K108</f>
        <v/>
      </c>
      <c r="AC108" s="50">
        <f>Q108*K108</f>
        <v/>
      </c>
      <c r="AD108" s="50">
        <f>R108*K108</f>
        <v/>
      </c>
      <c r="AE108" s="50">
        <f>S108*K108</f>
        <v/>
      </c>
      <c r="AF108" s="50">
        <f>T108*K108</f>
        <v/>
      </c>
      <c r="AG108" s="50">
        <f>U108*K108</f>
        <v/>
      </c>
      <c r="AH108" s="50">
        <f>V108*K108</f>
        <v/>
      </c>
      <c r="AI108" s="50">
        <f>W108*K108</f>
        <v/>
      </c>
    </row>
    <row r="109">
      <c r="A109" s="25" t="n">
        <v>1020</v>
      </c>
      <c r="B109" s="45">
        <f>IF(A109="","",IFERROR(INDEX(Mitarbeiter!$B$6:$B$205,MATCH($A109,Mitarbeiter!$A$6:$A$205,0)),"?"))</f>
        <v/>
      </c>
      <c r="C109" s="46" t="inlineStr">
        <is>
          <t>Objekt 1</t>
        </is>
      </c>
      <c r="D109" s="26" t="n">
        <v>46261</v>
      </c>
      <c r="E109" s="26" t="n">
        <v>46263</v>
      </c>
      <c r="F109" s="24">
        <f>IF(A109="","",SUM(L109:W109))</f>
        <v/>
      </c>
      <c r="G109" s="36">
        <f>IF(A109="","",SUM(X109:AI109))</f>
        <v/>
      </c>
      <c r="H109" s="8">
        <f>IF(A109="","",IF(ISNA(MATCH(A109,Mitarbeiter!$A$6:$A$205,0)),"Pers.-Nr. unbekannt",IF(D109="","Von fehlt",IF(AND(C109&lt;&gt;Einstellungen!$C$4,C109&lt;&gt;Einstellungen!$C$5),"Objekt fehlt",IF(J109&lt;D109,"Bis vor Von",IF(D109&lt;INDEX(Mitarbeiter!$C$6:$C$205,MATCH($A109,Mitarbeiter!$A$6:$A$205,0)),"vor Eintritt",IF(AND(INDEX(Mitarbeiter!$D$6:$D$205,MATCH($A109,Mitarbeiter!$A$6:$A$205,0))&lt;&gt;"",D109&gt;INDEX(Mitarbeiter!$D$6:$D$205,MATCH($A109,Mitarbeiter!$A$6:$A$205,0))),"nach Austritt",IF(E109="","offen","ok"))))))))</f>
        <v/>
      </c>
      <c r="J109" s="47">
        <f>IF(A109="","",IF(E109="",Einstellungen!$C$9,E109))</f>
        <v/>
      </c>
      <c r="K109" s="48">
        <f>IF(A109="",0,IFERROR(INDEX(Mitarbeiter!$F$6:$F$205,MATCH($A109,Mitarbeiter!$A$6:$A$205,0)),0))</f>
        <v/>
      </c>
      <c r="L109" s="49">
        <f>IF(OR(A109="",D109=""),0,MAX(0,NETWORKDAYS(MAX(D109,DATE(Einstellungen!$C$3,1,1)),MIN(J109,DATE(Einstellungen!$C$3,2,0)),Einstellungen!$F$13:$F$32)))</f>
        <v/>
      </c>
      <c r="M109" s="49">
        <f>IF(OR(A109="",D109=""),0,MAX(0,NETWORKDAYS(MAX(D109,DATE(Einstellungen!$C$3,2,1)),MIN(J109,DATE(Einstellungen!$C$3,3,0)),Einstellungen!$F$13:$F$32)))</f>
        <v/>
      </c>
      <c r="N109" s="49">
        <f>IF(OR(A109="",D109=""),0,MAX(0,NETWORKDAYS(MAX(D109,DATE(Einstellungen!$C$3,3,1)),MIN(J109,DATE(Einstellungen!$C$3,4,0)),Einstellungen!$F$13:$F$32)))</f>
        <v/>
      </c>
      <c r="O109" s="49">
        <f>IF(OR(A109="",D109=""),0,MAX(0,NETWORKDAYS(MAX(D109,DATE(Einstellungen!$C$3,4,1)),MIN(J109,DATE(Einstellungen!$C$3,5,0)),Einstellungen!$F$13:$F$32)))</f>
        <v/>
      </c>
      <c r="P109" s="49">
        <f>IF(OR(A109="",D109=""),0,MAX(0,NETWORKDAYS(MAX(D109,DATE(Einstellungen!$C$3,5,1)),MIN(J109,DATE(Einstellungen!$C$3,6,0)),Einstellungen!$F$13:$F$32)))</f>
        <v/>
      </c>
      <c r="Q109" s="49">
        <f>IF(OR(A109="",D109=""),0,MAX(0,NETWORKDAYS(MAX(D109,DATE(Einstellungen!$C$3,6,1)),MIN(J109,DATE(Einstellungen!$C$3,7,0)),Einstellungen!$F$13:$F$32)))</f>
        <v/>
      </c>
      <c r="R109" s="49">
        <f>IF(OR(A109="",D109=""),0,MAX(0,NETWORKDAYS(MAX(D109,DATE(Einstellungen!$C$3,7,1)),MIN(J109,DATE(Einstellungen!$C$3,8,0)),Einstellungen!$F$13:$F$32)))</f>
        <v/>
      </c>
      <c r="S109" s="49">
        <f>IF(OR(A109="",D109=""),0,MAX(0,NETWORKDAYS(MAX(D109,DATE(Einstellungen!$C$3,8,1)),MIN(J109,DATE(Einstellungen!$C$3,9,0)),Einstellungen!$F$13:$F$32)))</f>
        <v/>
      </c>
      <c r="T109" s="49">
        <f>IF(OR(A109="",D109=""),0,MAX(0,NETWORKDAYS(MAX(D109,DATE(Einstellungen!$C$3,9,1)),MIN(J109,DATE(Einstellungen!$C$3,10,0)),Einstellungen!$F$13:$F$32)))</f>
        <v/>
      </c>
      <c r="U109" s="49">
        <f>IF(OR(A109="",D109=""),0,MAX(0,NETWORKDAYS(MAX(D109,DATE(Einstellungen!$C$3,10,1)),MIN(J109,DATE(Einstellungen!$C$3,11,0)),Einstellungen!$F$13:$F$32)))</f>
        <v/>
      </c>
      <c r="V109" s="49">
        <f>IF(OR(A109="",D109=""),0,MAX(0,NETWORKDAYS(MAX(D109,DATE(Einstellungen!$C$3,11,1)),MIN(J109,DATE(Einstellungen!$C$3,12,0)),Einstellungen!$F$13:$F$32)))</f>
        <v/>
      </c>
      <c r="W109" s="49">
        <f>IF(OR(A109="",D109=""),0,MAX(0,NETWORKDAYS(MAX(D109,DATE(Einstellungen!$C$3,12,1)),MIN(J109,DATE(Einstellungen!$C$3,13,0)),Einstellungen!$F$13:$F$32)))</f>
        <v/>
      </c>
      <c r="X109" s="50">
        <f>L109*K109</f>
        <v/>
      </c>
      <c r="Y109" s="50">
        <f>M109*K109</f>
        <v/>
      </c>
      <c r="Z109" s="50">
        <f>N109*K109</f>
        <v/>
      </c>
      <c r="AA109" s="50">
        <f>O109*K109</f>
        <v/>
      </c>
      <c r="AB109" s="50">
        <f>P109*K109</f>
        <v/>
      </c>
      <c r="AC109" s="50">
        <f>Q109*K109</f>
        <v/>
      </c>
      <c r="AD109" s="50">
        <f>R109*K109</f>
        <v/>
      </c>
      <c r="AE109" s="50">
        <f>S109*K109</f>
        <v/>
      </c>
      <c r="AF109" s="50">
        <f>T109*K109</f>
        <v/>
      </c>
      <c r="AG109" s="50">
        <f>U109*K109</f>
        <v/>
      </c>
      <c r="AH109" s="50">
        <f>V109*K109</f>
        <v/>
      </c>
      <c r="AI109" s="50">
        <f>W109*K109</f>
        <v/>
      </c>
    </row>
    <row r="110">
      <c r="A110" s="25" t="n">
        <v>1015</v>
      </c>
      <c r="B110" s="45">
        <f>IF(A110="","",IFERROR(INDEX(Mitarbeiter!$B$6:$B$205,MATCH($A110,Mitarbeiter!$A$6:$A$205,0)),"?"))</f>
        <v/>
      </c>
      <c r="C110" s="46" t="inlineStr">
        <is>
          <t>Objekt 2</t>
        </is>
      </c>
      <c r="D110" s="26" t="n">
        <v>46261</v>
      </c>
      <c r="E110" s="26" t="n">
        <v>46262</v>
      </c>
      <c r="F110" s="24">
        <f>IF(A110="","",SUM(L110:W110))</f>
        <v/>
      </c>
      <c r="G110" s="36">
        <f>IF(A110="","",SUM(X110:AI110))</f>
        <v/>
      </c>
      <c r="H110" s="8">
        <f>IF(A110="","",IF(ISNA(MATCH(A110,Mitarbeiter!$A$6:$A$205,0)),"Pers.-Nr. unbekannt",IF(D110="","Von fehlt",IF(AND(C110&lt;&gt;Einstellungen!$C$4,C110&lt;&gt;Einstellungen!$C$5),"Objekt fehlt",IF(J110&lt;D110,"Bis vor Von",IF(D110&lt;INDEX(Mitarbeiter!$C$6:$C$205,MATCH($A110,Mitarbeiter!$A$6:$A$205,0)),"vor Eintritt",IF(AND(INDEX(Mitarbeiter!$D$6:$D$205,MATCH($A110,Mitarbeiter!$A$6:$A$205,0))&lt;&gt;"",D110&gt;INDEX(Mitarbeiter!$D$6:$D$205,MATCH($A110,Mitarbeiter!$A$6:$A$205,0))),"nach Austritt",IF(E110="","offen","ok"))))))))</f>
        <v/>
      </c>
      <c r="J110" s="47">
        <f>IF(A110="","",IF(E110="",Einstellungen!$C$9,E110))</f>
        <v/>
      </c>
      <c r="K110" s="48">
        <f>IF(A110="",0,IFERROR(INDEX(Mitarbeiter!$F$6:$F$205,MATCH($A110,Mitarbeiter!$A$6:$A$205,0)),0))</f>
        <v/>
      </c>
      <c r="L110" s="49">
        <f>IF(OR(A110="",D110=""),0,MAX(0,NETWORKDAYS(MAX(D110,DATE(Einstellungen!$C$3,1,1)),MIN(J110,DATE(Einstellungen!$C$3,2,0)),Einstellungen!$F$13:$F$32)))</f>
        <v/>
      </c>
      <c r="M110" s="49">
        <f>IF(OR(A110="",D110=""),0,MAX(0,NETWORKDAYS(MAX(D110,DATE(Einstellungen!$C$3,2,1)),MIN(J110,DATE(Einstellungen!$C$3,3,0)),Einstellungen!$F$13:$F$32)))</f>
        <v/>
      </c>
      <c r="N110" s="49">
        <f>IF(OR(A110="",D110=""),0,MAX(0,NETWORKDAYS(MAX(D110,DATE(Einstellungen!$C$3,3,1)),MIN(J110,DATE(Einstellungen!$C$3,4,0)),Einstellungen!$F$13:$F$32)))</f>
        <v/>
      </c>
      <c r="O110" s="49">
        <f>IF(OR(A110="",D110=""),0,MAX(0,NETWORKDAYS(MAX(D110,DATE(Einstellungen!$C$3,4,1)),MIN(J110,DATE(Einstellungen!$C$3,5,0)),Einstellungen!$F$13:$F$32)))</f>
        <v/>
      </c>
      <c r="P110" s="49">
        <f>IF(OR(A110="",D110=""),0,MAX(0,NETWORKDAYS(MAX(D110,DATE(Einstellungen!$C$3,5,1)),MIN(J110,DATE(Einstellungen!$C$3,6,0)),Einstellungen!$F$13:$F$32)))</f>
        <v/>
      </c>
      <c r="Q110" s="49">
        <f>IF(OR(A110="",D110=""),0,MAX(0,NETWORKDAYS(MAX(D110,DATE(Einstellungen!$C$3,6,1)),MIN(J110,DATE(Einstellungen!$C$3,7,0)),Einstellungen!$F$13:$F$32)))</f>
        <v/>
      </c>
      <c r="R110" s="49">
        <f>IF(OR(A110="",D110=""),0,MAX(0,NETWORKDAYS(MAX(D110,DATE(Einstellungen!$C$3,7,1)),MIN(J110,DATE(Einstellungen!$C$3,8,0)),Einstellungen!$F$13:$F$32)))</f>
        <v/>
      </c>
      <c r="S110" s="49">
        <f>IF(OR(A110="",D110=""),0,MAX(0,NETWORKDAYS(MAX(D110,DATE(Einstellungen!$C$3,8,1)),MIN(J110,DATE(Einstellungen!$C$3,9,0)),Einstellungen!$F$13:$F$32)))</f>
        <v/>
      </c>
      <c r="T110" s="49">
        <f>IF(OR(A110="",D110=""),0,MAX(0,NETWORKDAYS(MAX(D110,DATE(Einstellungen!$C$3,9,1)),MIN(J110,DATE(Einstellungen!$C$3,10,0)),Einstellungen!$F$13:$F$32)))</f>
        <v/>
      </c>
      <c r="U110" s="49">
        <f>IF(OR(A110="",D110=""),0,MAX(0,NETWORKDAYS(MAX(D110,DATE(Einstellungen!$C$3,10,1)),MIN(J110,DATE(Einstellungen!$C$3,11,0)),Einstellungen!$F$13:$F$32)))</f>
        <v/>
      </c>
      <c r="V110" s="49">
        <f>IF(OR(A110="",D110=""),0,MAX(0,NETWORKDAYS(MAX(D110,DATE(Einstellungen!$C$3,11,1)),MIN(J110,DATE(Einstellungen!$C$3,12,0)),Einstellungen!$F$13:$F$32)))</f>
        <v/>
      </c>
      <c r="W110" s="49">
        <f>IF(OR(A110="",D110=""),0,MAX(0,NETWORKDAYS(MAX(D110,DATE(Einstellungen!$C$3,12,1)),MIN(J110,DATE(Einstellungen!$C$3,13,0)),Einstellungen!$F$13:$F$32)))</f>
        <v/>
      </c>
      <c r="X110" s="50">
        <f>L110*K110</f>
        <v/>
      </c>
      <c r="Y110" s="50">
        <f>M110*K110</f>
        <v/>
      </c>
      <c r="Z110" s="50">
        <f>N110*K110</f>
        <v/>
      </c>
      <c r="AA110" s="50">
        <f>O110*K110</f>
        <v/>
      </c>
      <c r="AB110" s="50">
        <f>P110*K110</f>
        <v/>
      </c>
      <c r="AC110" s="50">
        <f>Q110*K110</f>
        <v/>
      </c>
      <c r="AD110" s="50">
        <f>R110*K110</f>
        <v/>
      </c>
      <c r="AE110" s="50">
        <f>S110*K110</f>
        <v/>
      </c>
      <c r="AF110" s="50">
        <f>T110*K110</f>
        <v/>
      </c>
      <c r="AG110" s="50">
        <f>U110*K110</f>
        <v/>
      </c>
      <c r="AH110" s="50">
        <f>V110*K110</f>
        <v/>
      </c>
      <c r="AI110" s="50">
        <f>W110*K110</f>
        <v/>
      </c>
    </row>
    <row r="111">
      <c r="A111" s="25" t="n">
        <v>1039</v>
      </c>
      <c r="B111" s="45">
        <f>IF(A111="","",IFERROR(INDEX(Mitarbeiter!$B$6:$B$205,MATCH($A111,Mitarbeiter!$A$6:$A$205,0)),"?"))</f>
        <v/>
      </c>
      <c r="C111" s="46" t="inlineStr">
        <is>
          <t>Objekt 2</t>
        </is>
      </c>
      <c r="D111" s="26" t="n">
        <v>46262</v>
      </c>
      <c r="E111" s="26" t="n">
        <v>46275</v>
      </c>
      <c r="F111" s="24">
        <f>IF(A111="","",SUM(L111:W111))</f>
        <v/>
      </c>
      <c r="G111" s="36">
        <f>IF(A111="","",SUM(X111:AI111))</f>
        <v/>
      </c>
      <c r="H111" s="8">
        <f>IF(A111="","",IF(ISNA(MATCH(A111,Mitarbeiter!$A$6:$A$205,0)),"Pers.-Nr. unbekannt",IF(D111="","Von fehlt",IF(AND(C111&lt;&gt;Einstellungen!$C$4,C111&lt;&gt;Einstellungen!$C$5),"Objekt fehlt",IF(J111&lt;D111,"Bis vor Von",IF(D111&lt;INDEX(Mitarbeiter!$C$6:$C$205,MATCH($A111,Mitarbeiter!$A$6:$A$205,0)),"vor Eintritt",IF(AND(INDEX(Mitarbeiter!$D$6:$D$205,MATCH($A111,Mitarbeiter!$A$6:$A$205,0))&lt;&gt;"",D111&gt;INDEX(Mitarbeiter!$D$6:$D$205,MATCH($A111,Mitarbeiter!$A$6:$A$205,0))),"nach Austritt",IF(E111="","offen","ok"))))))))</f>
        <v/>
      </c>
      <c r="J111" s="47">
        <f>IF(A111="","",IF(E111="",Einstellungen!$C$9,E111))</f>
        <v/>
      </c>
      <c r="K111" s="48">
        <f>IF(A111="",0,IFERROR(INDEX(Mitarbeiter!$F$6:$F$205,MATCH($A111,Mitarbeiter!$A$6:$A$205,0)),0))</f>
        <v/>
      </c>
      <c r="L111" s="49">
        <f>IF(OR(A111="",D111=""),0,MAX(0,NETWORKDAYS(MAX(D111,DATE(Einstellungen!$C$3,1,1)),MIN(J111,DATE(Einstellungen!$C$3,2,0)),Einstellungen!$F$13:$F$32)))</f>
        <v/>
      </c>
      <c r="M111" s="49">
        <f>IF(OR(A111="",D111=""),0,MAX(0,NETWORKDAYS(MAX(D111,DATE(Einstellungen!$C$3,2,1)),MIN(J111,DATE(Einstellungen!$C$3,3,0)),Einstellungen!$F$13:$F$32)))</f>
        <v/>
      </c>
      <c r="N111" s="49">
        <f>IF(OR(A111="",D111=""),0,MAX(0,NETWORKDAYS(MAX(D111,DATE(Einstellungen!$C$3,3,1)),MIN(J111,DATE(Einstellungen!$C$3,4,0)),Einstellungen!$F$13:$F$32)))</f>
        <v/>
      </c>
      <c r="O111" s="49">
        <f>IF(OR(A111="",D111=""),0,MAX(0,NETWORKDAYS(MAX(D111,DATE(Einstellungen!$C$3,4,1)),MIN(J111,DATE(Einstellungen!$C$3,5,0)),Einstellungen!$F$13:$F$32)))</f>
        <v/>
      </c>
      <c r="P111" s="49">
        <f>IF(OR(A111="",D111=""),0,MAX(0,NETWORKDAYS(MAX(D111,DATE(Einstellungen!$C$3,5,1)),MIN(J111,DATE(Einstellungen!$C$3,6,0)),Einstellungen!$F$13:$F$32)))</f>
        <v/>
      </c>
      <c r="Q111" s="49">
        <f>IF(OR(A111="",D111=""),0,MAX(0,NETWORKDAYS(MAX(D111,DATE(Einstellungen!$C$3,6,1)),MIN(J111,DATE(Einstellungen!$C$3,7,0)),Einstellungen!$F$13:$F$32)))</f>
        <v/>
      </c>
      <c r="R111" s="49">
        <f>IF(OR(A111="",D111=""),0,MAX(0,NETWORKDAYS(MAX(D111,DATE(Einstellungen!$C$3,7,1)),MIN(J111,DATE(Einstellungen!$C$3,8,0)),Einstellungen!$F$13:$F$32)))</f>
        <v/>
      </c>
      <c r="S111" s="49">
        <f>IF(OR(A111="",D111=""),0,MAX(0,NETWORKDAYS(MAX(D111,DATE(Einstellungen!$C$3,8,1)),MIN(J111,DATE(Einstellungen!$C$3,9,0)),Einstellungen!$F$13:$F$32)))</f>
        <v/>
      </c>
      <c r="T111" s="49">
        <f>IF(OR(A111="",D111=""),0,MAX(0,NETWORKDAYS(MAX(D111,DATE(Einstellungen!$C$3,9,1)),MIN(J111,DATE(Einstellungen!$C$3,10,0)),Einstellungen!$F$13:$F$32)))</f>
        <v/>
      </c>
      <c r="U111" s="49">
        <f>IF(OR(A111="",D111=""),0,MAX(0,NETWORKDAYS(MAX(D111,DATE(Einstellungen!$C$3,10,1)),MIN(J111,DATE(Einstellungen!$C$3,11,0)),Einstellungen!$F$13:$F$32)))</f>
        <v/>
      </c>
      <c r="V111" s="49">
        <f>IF(OR(A111="",D111=""),0,MAX(0,NETWORKDAYS(MAX(D111,DATE(Einstellungen!$C$3,11,1)),MIN(J111,DATE(Einstellungen!$C$3,12,0)),Einstellungen!$F$13:$F$32)))</f>
        <v/>
      </c>
      <c r="W111" s="49">
        <f>IF(OR(A111="",D111=""),0,MAX(0,NETWORKDAYS(MAX(D111,DATE(Einstellungen!$C$3,12,1)),MIN(J111,DATE(Einstellungen!$C$3,13,0)),Einstellungen!$F$13:$F$32)))</f>
        <v/>
      </c>
      <c r="X111" s="50">
        <f>L111*K111</f>
        <v/>
      </c>
      <c r="Y111" s="50">
        <f>M111*K111</f>
        <v/>
      </c>
      <c r="Z111" s="50">
        <f>N111*K111</f>
        <v/>
      </c>
      <c r="AA111" s="50">
        <f>O111*K111</f>
        <v/>
      </c>
      <c r="AB111" s="50">
        <f>P111*K111</f>
        <v/>
      </c>
      <c r="AC111" s="50">
        <f>Q111*K111</f>
        <v/>
      </c>
      <c r="AD111" s="50">
        <f>R111*K111</f>
        <v/>
      </c>
      <c r="AE111" s="50">
        <f>S111*K111</f>
        <v/>
      </c>
      <c r="AF111" s="50">
        <f>T111*K111</f>
        <v/>
      </c>
      <c r="AG111" s="50">
        <f>U111*K111</f>
        <v/>
      </c>
      <c r="AH111" s="50">
        <f>V111*K111</f>
        <v/>
      </c>
      <c r="AI111" s="50">
        <f>W111*K111</f>
        <v/>
      </c>
    </row>
    <row r="112">
      <c r="A112" s="25" t="n">
        <v>1049</v>
      </c>
      <c r="B112" s="45">
        <f>IF(A112="","",IFERROR(INDEX(Mitarbeiter!$B$6:$B$205,MATCH($A112,Mitarbeiter!$A$6:$A$205,0)),"?"))</f>
        <v/>
      </c>
      <c r="C112" s="46" t="inlineStr">
        <is>
          <t>Objekt 1</t>
        </is>
      </c>
      <c r="D112" s="26" t="n">
        <v>46266</v>
      </c>
      <c r="E112" s="26" t="n">
        <v>46270</v>
      </c>
      <c r="F112" s="24">
        <f>IF(A112="","",SUM(L112:W112))</f>
        <v/>
      </c>
      <c r="G112" s="36">
        <f>IF(A112="","",SUM(X112:AI112))</f>
        <v/>
      </c>
      <c r="H112" s="8">
        <f>IF(A112="","",IF(ISNA(MATCH(A112,Mitarbeiter!$A$6:$A$205,0)),"Pers.-Nr. unbekannt",IF(D112="","Von fehlt",IF(AND(C112&lt;&gt;Einstellungen!$C$4,C112&lt;&gt;Einstellungen!$C$5),"Objekt fehlt",IF(J112&lt;D112,"Bis vor Von",IF(D112&lt;INDEX(Mitarbeiter!$C$6:$C$205,MATCH($A112,Mitarbeiter!$A$6:$A$205,0)),"vor Eintritt",IF(AND(INDEX(Mitarbeiter!$D$6:$D$205,MATCH($A112,Mitarbeiter!$A$6:$A$205,0))&lt;&gt;"",D112&gt;INDEX(Mitarbeiter!$D$6:$D$205,MATCH($A112,Mitarbeiter!$A$6:$A$205,0))),"nach Austritt",IF(E112="","offen","ok"))))))))</f>
        <v/>
      </c>
      <c r="J112" s="47">
        <f>IF(A112="","",IF(E112="",Einstellungen!$C$9,E112))</f>
        <v/>
      </c>
      <c r="K112" s="48">
        <f>IF(A112="",0,IFERROR(INDEX(Mitarbeiter!$F$6:$F$205,MATCH($A112,Mitarbeiter!$A$6:$A$205,0)),0))</f>
        <v/>
      </c>
      <c r="L112" s="49">
        <f>IF(OR(A112="",D112=""),0,MAX(0,NETWORKDAYS(MAX(D112,DATE(Einstellungen!$C$3,1,1)),MIN(J112,DATE(Einstellungen!$C$3,2,0)),Einstellungen!$F$13:$F$32)))</f>
        <v/>
      </c>
      <c r="M112" s="49">
        <f>IF(OR(A112="",D112=""),0,MAX(0,NETWORKDAYS(MAX(D112,DATE(Einstellungen!$C$3,2,1)),MIN(J112,DATE(Einstellungen!$C$3,3,0)),Einstellungen!$F$13:$F$32)))</f>
        <v/>
      </c>
      <c r="N112" s="49">
        <f>IF(OR(A112="",D112=""),0,MAX(0,NETWORKDAYS(MAX(D112,DATE(Einstellungen!$C$3,3,1)),MIN(J112,DATE(Einstellungen!$C$3,4,0)),Einstellungen!$F$13:$F$32)))</f>
        <v/>
      </c>
      <c r="O112" s="49">
        <f>IF(OR(A112="",D112=""),0,MAX(0,NETWORKDAYS(MAX(D112,DATE(Einstellungen!$C$3,4,1)),MIN(J112,DATE(Einstellungen!$C$3,5,0)),Einstellungen!$F$13:$F$32)))</f>
        <v/>
      </c>
      <c r="P112" s="49">
        <f>IF(OR(A112="",D112=""),0,MAX(0,NETWORKDAYS(MAX(D112,DATE(Einstellungen!$C$3,5,1)),MIN(J112,DATE(Einstellungen!$C$3,6,0)),Einstellungen!$F$13:$F$32)))</f>
        <v/>
      </c>
      <c r="Q112" s="49">
        <f>IF(OR(A112="",D112=""),0,MAX(0,NETWORKDAYS(MAX(D112,DATE(Einstellungen!$C$3,6,1)),MIN(J112,DATE(Einstellungen!$C$3,7,0)),Einstellungen!$F$13:$F$32)))</f>
        <v/>
      </c>
      <c r="R112" s="49">
        <f>IF(OR(A112="",D112=""),0,MAX(0,NETWORKDAYS(MAX(D112,DATE(Einstellungen!$C$3,7,1)),MIN(J112,DATE(Einstellungen!$C$3,8,0)),Einstellungen!$F$13:$F$32)))</f>
        <v/>
      </c>
      <c r="S112" s="49">
        <f>IF(OR(A112="",D112=""),0,MAX(0,NETWORKDAYS(MAX(D112,DATE(Einstellungen!$C$3,8,1)),MIN(J112,DATE(Einstellungen!$C$3,9,0)),Einstellungen!$F$13:$F$32)))</f>
        <v/>
      </c>
      <c r="T112" s="49">
        <f>IF(OR(A112="",D112=""),0,MAX(0,NETWORKDAYS(MAX(D112,DATE(Einstellungen!$C$3,9,1)),MIN(J112,DATE(Einstellungen!$C$3,10,0)),Einstellungen!$F$13:$F$32)))</f>
        <v/>
      </c>
      <c r="U112" s="49">
        <f>IF(OR(A112="",D112=""),0,MAX(0,NETWORKDAYS(MAX(D112,DATE(Einstellungen!$C$3,10,1)),MIN(J112,DATE(Einstellungen!$C$3,11,0)),Einstellungen!$F$13:$F$32)))</f>
        <v/>
      </c>
      <c r="V112" s="49">
        <f>IF(OR(A112="",D112=""),0,MAX(0,NETWORKDAYS(MAX(D112,DATE(Einstellungen!$C$3,11,1)),MIN(J112,DATE(Einstellungen!$C$3,12,0)),Einstellungen!$F$13:$F$32)))</f>
        <v/>
      </c>
      <c r="W112" s="49">
        <f>IF(OR(A112="",D112=""),0,MAX(0,NETWORKDAYS(MAX(D112,DATE(Einstellungen!$C$3,12,1)),MIN(J112,DATE(Einstellungen!$C$3,13,0)),Einstellungen!$F$13:$F$32)))</f>
        <v/>
      </c>
      <c r="X112" s="50">
        <f>L112*K112</f>
        <v/>
      </c>
      <c r="Y112" s="50">
        <f>M112*K112</f>
        <v/>
      </c>
      <c r="Z112" s="50">
        <f>N112*K112</f>
        <v/>
      </c>
      <c r="AA112" s="50">
        <f>O112*K112</f>
        <v/>
      </c>
      <c r="AB112" s="50">
        <f>P112*K112</f>
        <v/>
      </c>
      <c r="AC112" s="50">
        <f>Q112*K112</f>
        <v/>
      </c>
      <c r="AD112" s="50">
        <f>R112*K112</f>
        <v/>
      </c>
      <c r="AE112" s="50">
        <f>S112*K112</f>
        <v/>
      </c>
      <c r="AF112" s="50">
        <f>T112*K112</f>
        <v/>
      </c>
      <c r="AG112" s="50">
        <f>U112*K112</f>
        <v/>
      </c>
      <c r="AH112" s="50">
        <f>V112*K112</f>
        <v/>
      </c>
      <c r="AI112" s="50">
        <f>W112*K112</f>
        <v/>
      </c>
    </row>
    <row r="113">
      <c r="A113" s="25" t="n">
        <v>1009</v>
      </c>
      <c r="B113" s="45">
        <f>IF(A113="","",IFERROR(INDEX(Mitarbeiter!$B$6:$B$205,MATCH($A113,Mitarbeiter!$A$6:$A$205,0)),"?"))</f>
        <v/>
      </c>
      <c r="C113" s="46" t="inlineStr">
        <is>
          <t>Objekt 2</t>
        </is>
      </c>
      <c r="D113" s="26" t="n">
        <v>46268</v>
      </c>
      <c r="E113" s="26" t="n">
        <v>46288</v>
      </c>
      <c r="F113" s="24">
        <f>IF(A113="","",SUM(L113:W113))</f>
        <v/>
      </c>
      <c r="G113" s="36">
        <f>IF(A113="","",SUM(X113:AI113))</f>
        <v/>
      </c>
      <c r="H113" s="8">
        <f>IF(A113="","",IF(ISNA(MATCH(A113,Mitarbeiter!$A$6:$A$205,0)),"Pers.-Nr. unbekannt",IF(D113="","Von fehlt",IF(AND(C113&lt;&gt;Einstellungen!$C$4,C113&lt;&gt;Einstellungen!$C$5),"Objekt fehlt",IF(J113&lt;D113,"Bis vor Von",IF(D113&lt;INDEX(Mitarbeiter!$C$6:$C$205,MATCH($A113,Mitarbeiter!$A$6:$A$205,0)),"vor Eintritt",IF(AND(INDEX(Mitarbeiter!$D$6:$D$205,MATCH($A113,Mitarbeiter!$A$6:$A$205,0))&lt;&gt;"",D113&gt;INDEX(Mitarbeiter!$D$6:$D$205,MATCH($A113,Mitarbeiter!$A$6:$A$205,0))),"nach Austritt",IF(E113="","offen","ok"))))))))</f>
        <v/>
      </c>
      <c r="J113" s="47">
        <f>IF(A113="","",IF(E113="",Einstellungen!$C$9,E113))</f>
        <v/>
      </c>
      <c r="K113" s="48">
        <f>IF(A113="",0,IFERROR(INDEX(Mitarbeiter!$F$6:$F$205,MATCH($A113,Mitarbeiter!$A$6:$A$205,0)),0))</f>
        <v/>
      </c>
      <c r="L113" s="49">
        <f>IF(OR(A113="",D113=""),0,MAX(0,NETWORKDAYS(MAX(D113,DATE(Einstellungen!$C$3,1,1)),MIN(J113,DATE(Einstellungen!$C$3,2,0)),Einstellungen!$F$13:$F$32)))</f>
        <v/>
      </c>
      <c r="M113" s="49">
        <f>IF(OR(A113="",D113=""),0,MAX(0,NETWORKDAYS(MAX(D113,DATE(Einstellungen!$C$3,2,1)),MIN(J113,DATE(Einstellungen!$C$3,3,0)),Einstellungen!$F$13:$F$32)))</f>
        <v/>
      </c>
      <c r="N113" s="49">
        <f>IF(OR(A113="",D113=""),0,MAX(0,NETWORKDAYS(MAX(D113,DATE(Einstellungen!$C$3,3,1)),MIN(J113,DATE(Einstellungen!$C$3,4,0)),Einstellungen!$F$13:$F$32)))</f>
        <v/>
      </c>
      <c r="O113" s="49">
        <f>IF(OR(A113="",D113=""),0,MAX(0,NETWORKDAYS(MAX(D113,DATE(Einstellungen!$C$3,4,1)),MIN(J113,DATE(Einstellungen!$C$3,5,0)),Einstellungen!$F$13:$F$32)))</f>
        <v/>
      </c>
      <c r="P113" s="49">
        <f>IF(OR(A113="",D113=""),0,MAX(0,NETWORKDAYS(MAX(D113,DATE(Einstellungen!$C$3,5,1)),MIN(J113,DATE(Einstellungen!$C$3,6,0)),Einstellungen!$F$13:$F$32)))</f>
        <v/>
      </c>
      <c r="Q113" s="49">
        <f>IF(OR(A113="",D113=""),0,MAX(0,NETWORKDAYS(MAX(D113,DATE(Einstellungen!$C$3,6,1)),MIN(J113,DATE(Einstellungen!$C$3,7,0)),Einstellungen!$F$13:$F$32)))</f>
        <v/>
      </c>
      <c r="R113" s="49">
        <f>IF(OR(A113="",D113=""),0,MAX(0,NETWORKDAYS(MAX(D113,DATE(Einstellungen!$C$3,7,1)),MIN(J113,DATE(Einstellungen!$C$3,8,0)),Einstellungen!$F$13:$F$32)))</f>
        <v/>
      </c>
      <c r="S113" s="49">
        <f>IF(OR(A113="",D113=""),0,MAX(0,NETWORKDAYS(MAX(D113,DATE(Einstellungen!$C$3,8,1)),MIN(J113,DATE(Einstellungen!$C$3,9,0)),Einstellungen!$F$13:$F$32)))</f>
        <v/>
      </c>
      <c r="T113" s="49">
        <f>IF(OR(A113="",D113=""),0,MAX(0,NETWORKDAYS(MAX(D113,DATE(Einstellungen!$C$3,9,1)),MIN(J113,DATE(Einstellungen!$C$3,10,0)),Einstellungen!$F$13:$F$32)))</f>
        <v/>
      </c>
      <c r="U113" s="49">
        <f>IF(OR(A113="",D113=""),0,MAX(0,NETWORKDAYS(MAX(D113,DATE(Einstellungen!$C$3,10,1)),MIN(J113,DATE(Einstellungen!$C$3,11,0)),Einstellungen!$F$13:$F$32)))</f>
        <v/>
      </c>
      <c r="V113" s="49">
        <f>IF(OR(A113="",D113=""),0,MAX(0,NETWORKDAYS(MAX(D113,DATE(Einstellungen!$C$3,11,1)),MIN(J113,DATE(Einstellungen!$C$3,12,0)),Einstellungen!$F$13:$F$32)))</f>
        <v/>
      </c>
      <c r="W113" s="49">
        <f>IF(OR(A113="",D113=""),0,MAX(0,NETWORKDAYS(MAX(D113,DATE(Einstellungen!$C$3,12,1)),MIN(J113,DATE(Einstellungen!$C$3,13,0)),Einstellungen!$F$13:$F$32)))</f>
        <v/>
      </c>
      <c r="X113" s="50">
        <f>L113*K113</f>
        <v/>
      </c>
      <c r="Y113" s="50">
        <f>M113*K113</f>
        <v/>
      </c>
      <c r="Z113" s="50">
        <f>N113*K113</f>
        <v/>
      </c>
      <c r="AA113" s="50">
        <f>O113*K113</f>
        <v/>
      </c>
      <c r="AB113" s="50">
        <f>P113*K113</f>
        <v/>
      </c>
      <c r="AC113" s="50">
        <f>Q113*K113</f>
        <v/>
      </c>
      <c r="AD113" s="50">
        <f>R113*K113</f>
        <v/>
      </c>
      <c r="AE113" s="50">
        <f>S113*K113</f>
        <v/>
      </c>
      <c r="AF113" s="50">
        <f>T113*K113</f>
        <v/>
      </c>
      <c r="AG113" s="50">
        <f>U113*K113</f>
        <v/>
      </c>
      <c r="AH113" s="50">
        <f>V113*K113</f>
        <v/>
      </c>
      <c r="AI113" s="50">
        <f>W113*K113</f>
        <v/>
      </c>
    </row>
    <row r="114">
      <c r="A114" s="25" t="n">
        <v>1025</v>
      </c>
      <c r="B114" s="45">
        <f>IF(A114="","",IFERROR(INDEX(Mitarbeiter!$B$6:$B$205,MATCH($A114,Mitarbeiter!$A$6:$A$205,0)),"?"))</f>
        <v/>
      </c>
      <c r="C114" s="46" t="inlineStr">
        <is>
          <t>Objekt 2</t>
        </is>
      </c>
      <c r="D114" s="26" t="n">
        <v>46270</v>
      </c>
      <c r="E114" s="26" t="n">
        <v>46276</v>
      </c>
      <c r="F114" s="24">
        <f>IF(A114="","",SUM(L114:W114))</f>
        <v/>
      </c>
      <c r="G114" s="36">
        <f>IF(A114="","",SUM(X114:AI114))</f>
        <v/>
      </c>
      <c r="H114" s="8">
        <f>IF(A114="","",IF(ISNA(MATCH(A114,Mitarbeiter!$A$6:$A$205,0)),"Pers.-Nr. unbekannt",IF(D114="","Von fehlt",IF(AND(C114&lt;&gt;Einstellungen!$C$4,C114&lt;&gt;Einstellungen!$C$5),"Objekt fehlt",IF(J114&lt;D114,"Bis vor Von",IF(D114&lt;INDEX(Mitarbeiter!$C$6:$C$205,MATCH($A114,Mitarbeiter!$A$6:$A$205,0)),"vor Eintritt",IF(AND(INDEX(Mitarbeiter!$D$6:$D$205,MATCH($A114,Mitarbeiter!$A$6:$A$205,0))&lt;&gt;"",D114&gt;INDEX(Mitarbeiter!$D$6:$D$205,MATCH($A114,Mitarbeiter!$A$6:$A$205,0))),"nach Austritt",IF(E114="","offen","ok"))))))))</f>
        <v/>
      </c>
      <c r="J114" s="47">
        <f>IF(A114="","",IF(E114="",Einstellungen!$C$9,E114))</f>
        <v/>
      </c>
      <c r="K114" s="48">
        <f>IF(A114="",0,IFERROR(INDEX(Mitarbeiter!$F$6:$F$205,MATCH($A114,Mitarbeiter!$A$6:$A$205,0)),0))</f>
        <v/>
      </c>
      <c r="L114" s="49">
        <f>IF(OR(A114="",D114=""),0,MAX(0,NETWORKDAYS(MAX(D114,DATE(Einstellungen!$C$3,1,1)),MIN(J114,DATE(Einstellungen!$C$3,2,0)),Einstellungen!$F$13:$F$32)))</f>
        <v/>
      </c>
      <c r="M114" s="49">
        <f>IF(OR(A114="",D114=""),0,MAX(0,NETWORKDAYS(MAX(D114,DATE(Einstellungen!$C$3,2,1)),MIN(J114,DATE(Einstellungen!$C$3,3,0)),Einstellungen!$F$13:$F$32)))</f>
        <v/>
      </c>
      <c r="N114" s="49">
        <f>IF(OR(A114="",D114=""),0,MAX(0,NETWORKDAYS(MAX(D114,DATE(Einstellungen!$C$3,3,1)),MIN(J114,DATE(Einstellungen!$C$3,4,0)),Einstellungen!$F$13:$F$32)))</f>
        <v/>
      </c>
      <c r="O114" s="49">
        <f>IF(OR(A114="",D114=""),0,MAX(0,NETWORKDAYS(MAX(D114,DATE(Einstellungen!$C$3,4,1)),MIN(J114,DATE(Einstellungen!$C$3,5,0)),Einstellungen!$F$13:$F$32)))</f>
        <v/>
      </c>
      <c r="P114" s="49">
        <f>IF(OR(A114="",D114=""),0,MAX(0,NETWORKDAYS(MAX(D114,DATE(Einstellungen!$C$3,5,1)),MIN(J114,DATE(Einstellungen!$C$3,6,0)),Einstellungen!$F$13:$F$32)))</f>
        <v/>
      </c>
      <c r="Q114" s="49">
        <f>IF(OR(A114="",D114=""),0,MAX(0,NETWORKDAYS(MAX(D114,DATE(Einstellungen!$C$3,6,1)),MIN(J114,DATE(Einstellungen!$C$3,7,0)),Einstellungen!$F$13:$F$32)))</f>
        <v/>
      </c>
      <c r="R114" s="49">
        <f>IF(OR(A114="",D114=""),0,MAX(0,NETWORKDAYS(MAX(D114,DATE(Einstellungen!$C$3,7,1)),MIN(J114,DATE(Einstellungen!$C$3,8,0)),Einstellungen!$F$13:$F$32)))</f>
        <v/>
      </c>
      <c r="S114" s="49">
        <f>IF(OR(A114="",D114=""),0,MAX(0,NETWORKDAYS(MAX(D114,DATE(Einstellungen!$C$3,8,1)),MIN(J114,DATE(Einstellungen!$C$3,9,0)),Einstellungen!$F$13:$F$32)))</f>
        <v/>
      </c>
      <c r="T114" s="49">
        <f>IF(OR(A114="",D114=""),0,MAX(0,NETWORKDAYS(MAX(D114,DATE(Einstellungen!$C$3,9,1)),MIN(J114,DATE(Einstellungen!$C$3,10,0)),Einstellungen!$F$13:$F$32)))</f>
        <v/>
      </c>
      <c r="U114" s="49">
        <f>IF(OR(A114="",D114=""),0,MAX(0,NETWORKDAYS(MAX(D114,DATE(Einstellungen!$C$3,10,1)),MIN(J114,DATE(Einstellungen!$C$3,11,0)),Einstellungen!$F$13:$F$32)))</f>
        <v/>
      </c>
      <c r="V114" s="49">
        <f>IF(OR(A114="",D114=""),0,MAX(0,NETWORKDAYS(MAX(D114,DATE(Einstellungen!$C$3,11,1)),MIN(J114,DATE(Einstellungen!$C$3,12,0)),Einstellungen!$F$13:$F$32)))</f>
        <v/>
      </c>
      <c r="W114" s="49">
        <f>IF(OR(A114="",D114=""),0,MAX(0,NETWORKDAYS(MAX(D114,DATE(Einstellungen!$C$3,12,1)),MIN(J114,DATE(Einstellungen!$C$3,13,0)),Einstellungen!$F$13:$F$32)))</f>
        <v/>
      </c>
      <c r="X114" s="50">
        <f>L114*K114</f>
        <v/>
      </c>
      <c r="Y114" s="50">
        <f>M114*K114</f>
        <v/>
      </c>
      <c r="Z114" s="50">
        <f>N114*K114</f>
        <v/>
      </c>
      <c r="AA114" s="50">
        <f>O114*K114</f>
        <v/>
      </c>
      <c r="AB114" s="50">
        <f>P114*K114</f>
        <v/>
      </c>
      <c r="AC114" s="50">
        <f>Q114*K114</f>
        <v/>
      </c>
      <c r="AD114" s="50">
        <f>R114*K114</f>
        <v/>
      </c>
      <c r="AE114" s="50">
        <f>S114*K114</f>
        <v/>
      </c>
      <c r="AF114" s="50">
        <f>T114*K114</f>
        <v/>
      </c>
      <c r="AG114" s="50">
        <f>U114*K114</f>
        <v/>
      </c>
      <c r="AH114" s="50">
        <f>V114*K114</f>
        <v/>
      </c>
      <c r="AI114" s="50">
        <f>W114*K114</f>
        <v/>
      </c>
    </row>
    <row r="115">
      <c r="A115" s="25" t="n">
        <v>1007</v>
      </c>
      <c r="B115" s="45">
        <f>IF(A115="","",IFERROR(INDEX(Mitarbeiter!$B$6:$B$205,MATCH($A115,Mitarbeiter!$A$6:$A$205,0)),"?"))</f>
        <v/>
      </c>
      <c r="C115" s="46" t="inlineStr">
        <is>
          <t>Objekt 2</t>
        </is>
      </c>
      <c r="D115" s="26" t="n">
        <v>46272</v>
      </c>
      <c r="E115" s="26" t="n">
        <v>46272</v>
      </c>
      <c r="F115" s="24">
        <f>IF(A115="","",SUM(L115:W115))</f>
        <v/>
      </c>
      <c r="G115" s="36">
        <f>IF(A115="","",SUM(X115:AI115))</f>
        <v/>
      </c>
      <c r="H115" s="8">
        <f>IF(A115="","",IF(ISNA(MATCH(A115,Mitarbeiter!$A$6:$A$205,0)),"Pers.-Nr. unbekannt",IF(D115="","Von fehlt",IF(AND(C115&lt;&gt;Einstellungen!$C$4,C115&lt;&gt;Einstellungen!$C$5),"Objekt fehlt",IF(J115&lt;D115,"Bis vor Von",IF(D115&lt;INDEX(Mitarbeiter!$C$6:$C$205,MATCH($A115,Mitarbeiter!$A$6:$A$205,0)),"vor Eintritt",IF(AND(INDEX(Mitarbeiter!$D$6:$D$205,MATCH($A115,Mitarbeiter!$A$6:$A$205,0))&lt;&gt;"",D115&gt;INDEX(Mitarbeiter!$D$6:$D$205,MATCH($A115,Mitarbeiter!$A$6:$A$205,0))),"nach Austritt",IF(E115="","offen","ok"))))))))</f>
        <v/>
      </c>
      <c r="J115" s="47">
        <f>IF(A115="","",IF(E115="",Einstellungen!$C$9,E115))</f>
        <v/>
      </c>
      <c r="K115" s="48">
        <f>IF(A115="",0,IFERROR(INDEX(Mitarbeiter!$F$6:$F$205,MATCH($A115,Mitarbeiter!$A$6:$A$205,0)),0))</f>
        <v/>
      </c>
      <c r="L115" s="49">
        <f>IF(OR(A115="",D115=""),0,MAX(0,NETWORKDAYS(MAX(D115,DATE(Einstellungen!$C$3,1,1)),MIN(J115,DATE(Einstellungen!$C$3,2,0)),Einstellungen!$F$13:$F$32)))</f>
        <v/>
      </c>
      <c r="M115" s="49">
        <f>IF(OR(A115="",D115=""),0,MAX(0,NETWORKDAYS(MAX(D115,DATE(Einstellungen!$C$3,2,1)),MIN(J115,DATE(Einstellungen!$C$3,3,0)),Einstellungen!$F$13:$F$32)))</f>
        <v/>
      </c>
      <c r="N115" s="49">
        <f>IF(OR(A115="",D115=""),0,MAX(0,NETWORKDAYS(MAX(D115,DATE(Einstellungen!$C$3,3,1)),MIN(J115,DATE(Einstellungen!$C$3,4,0)),Einstellungen!$F$13:$F$32)))</f>
        <v/>
      </c>
      <c r="O115" s="49">
        <f>IF(OR(A115="",D115=""),0,MAX(0,NETWORKDAYS(MAX(D115,DATE(Einstellungen!$C$3,4,1)),MIN(J115,DATE(Einstellungen!$C$3,5,0)),Einstellungen!$F$13:$F$32)))</f>
        <v/>
      </c>
      <c r="P115" s="49">
        <f>IF(OR(A115="",D115=""),0,MAX(0,NETWORKDAYS(MAX(D115,DATE(Einstellungen!$C$3,5,1)),MIN(J115,DATE(Einstellungen!$C$3,6,0)),Einstellungen!$F$13:$F$32)))</f>
        <v/>
      </c>
      <c r="Q115" s="49">
        <f>IF(OR(A115="",D115=""),0,MAX(0,NETWORKDAYS(MAX(D115,DATE(Einstellungen!$C$3,6,1)),MIN(J115,DATE(Einstellungen!$C$3,7,0)),Einstellungen!$F$13:$F$32)))</f>
        <v/>
      </c>
      <c r="R115" s="49">
        <f>IF(OR(A115="",D115=""),0,MAX(0,NETWORKDAYS(MAX(D115,DATE(Einstellungen!$C$3,7,1)),MIN(J115,DATE(Einstellungen!$C$3,8,0)),Einstellungen!$F$13:$F$32)))</f>
        <v/>
      </c>
      <c r="S115" s="49">
        <f>IF(OR(A115="",D115=""),0,MAX(0,NETWORKDAYS(MAX(D115,DATE(Einstellungen!$C$3,8,1)),MIN(J115,DATE(Einstellungen!$C$3,9,0)),Einstellungen!$F$13:$F$32)))</f>
        <v/>
      </c>
      <c r="T115" s="49">
        <f>IF(OR(A115="",D115=""),0,MAX(0,NETWORKDAYS(MAX(D115,DATE(Einstellungen!$C$3,9,1)),MIN(J115,DATE(Einstellungen!$C$3,10,0)),Einstellungen!$F$13:$F$32)))</f>
        <v/>
      </c>
      <c r="U115" s="49">
        <f>IF(OR(A115="",D115=""),0,MAX(0,NETWORKDAYS(MAX(D115,DATE(Einstellungen!$C$3,10,1)),MIN(J115,DATE(Einstellungen!$C$3,11,0)),Einstellungen!$F$13:$F$32)))</f>
        <v/>
      </c>
      <c r="V115" s="49">
        <f>IF(OR(A115="",D115=""),0,MAX(0,NETWORKDAYS(MAX(D115,DATE(Einstellungen!$C$3,11,1)),MIN(J115,DATE(Einstellungen!$C$3,12,0)),Einstellungen!$F$13:$F$32)))</f>
        <v/>
      </c>
      <c r="W115" s="49">
        <f>IF(OR(A115="",D115=""),0,MAX(0,NETWORKDAYS(MAX(D115,DATE(Einstellungen!$C$3,12,1)),MIN(J115,DATE(Einstellungen!$C$3,13,0)),Einstellungen!$F$13:$F$32)))</f>
        <v/>
      </c>
      <c r="X115" s="50">
        <f>L115*K115</f>
        <v/>
      </c>
      <c r="Y115" s="50">
        <f>M115*K115</f>
        <v/>
      </c>
      <c r="Z115" s="50">
        <f>N115*K115</f>
        <v/>
      </c>
      <c r="AA115" s="50">
        <f>O115*K115</f>
        <v/>
      </c>
      <c r="AB115" s="50">
        <f>P115*K115</f>
        <v/>
      </c>
      <c r="AC115" s="50">
        <f>Q115*K115</f>
        <v/>
      </c>
      <c r="AD115" s="50">
        <f>R115*K115</f>
        <v/>
      </c>
      <c r="AE115" s="50">
        <f>S115*K115</f>
        <v/>
      </c>
      <c r="AF115" s="50">
        <f>T115*K115</f>
        <v/>
      </c>
      <c r="AG115" s="50">
        <f>U115*K115</f>
        <v/>
      </c>
      <c r="AH115" s="50">
        <f>V115*K115</f>
        <v/>
      </c>
      <c r="AI115" s="50">
        <f>W115*K115</f>
        <v/>
      </c>
    </row>
    <row r="116">
      <c r="A116" s="25" t="n">
        <v>1035</v>
      </c>
      <c r="B116" s="45">
        <f>IF(A116="","",IFERROR(INDEX(Mitarbeiter!$B$6:$B$205,MATCH($A116,Mitarbeiter!$A$6:$A$205,0)),"?"))</f>
        <v/>
      </c>
      <c r="C116" s="46" t="inlineStr">
        <is>
          <t>Objekt 1</t>
        </is>
      </c>
      <c r="D116" s="26" t="n">
        <v>46274</v>
      </c>
      <c r="E116" s="26" t="n">
        <v>46276</v>
      </c>
      <c r="F116" s="24">
        <f>IF(A116="","",SUM(L116:W116))</f>
        <v/>
      </c>
      <c r="G116" s="36">
        <f>IF(A116="","",SUM(X116:AI116))</f>
        <v/>
      </c>
      <c r="H116" s="8">
        <f>IF(A116="","",IF(ISNA(MATCH(A116,Mitarbeiter!$A$6:$A$205,0)),"Pers.-Nr. unbekannt",IF(D116="","Von fehlt",IF(AND(C116&lt;&gt;Einstellungen!$C$4,C116&lt;&gt;Einstellungen!$C$5),"Objekt fehlt",IF(J116&lt;D116,"Bis vor Von",IF(D116&lt;INDEX(Mitarbeiter!$C$6:$C$205,MATCH($A116,Mitarbeiter!$A$6:$A$205,0)),"vor Eintritt",IF(AND(INDEX(Mitarbeiter!$D$6:$D$205,MATCH($A116,Mitarbeiter!$A$6:$A$205,0))&lt;&gt;"",D116&gt;INDEX(Mitarbeiter!$D$6:$D$205,MATCH($A116,Mitarbeiter!$A$6:$A$205,0))),"nach Austritt",IF(E116="","offen","ok"))))))))</f>
        <v/>
      </c>
      <c r="J116" s="47">
        <f>IF(A116="","",IF(E116="",Einstellungen!$C$9,E116))</f>
        <v/>
      </c>
      <c r="K116" s="48">
        <f>IF(A116="",0,IFERROR(INDEX(Mitarbeiter!$F$6:$F$205,MATCH($A116,Mitarbeiter!$A$6:$A$205,0)),0))</f>
        <v/>
      </c>
      <c r="L116" s="49">
        <f>IF(OR(A116="",D116=""),0,MAX(0,NETWORKDAYS(MAX(D116,DATE(Einstellungen!$C$3,1,1)),MIN(J116,DATE(Einstellungen!$C$3,2,0)),Einstellungen!$F$13:$F$32)))</f>
        <v/>
      </c>
      <c r="M116" s="49">
        <f>IF(OR(A116="",D116=""),0,MAX(0,NETWORKDAYS(MAX(D116,DATE(Einstellungen!$C$3,2,1)),MIN(J116,DATE(Einstellungen!$C$3,3,0)),Einstellungen!$F$13:$F$32)))</f>
        <v/>
      </c>
      <c r="N116" s="49">
        <f>IF(OR(A116="",D116=""),0,MAX(0,NETWORKDAYS(MAX(D116,DATE(Einstellungen!$C$3,3,1)),MIN(J116,DATE(Einstellungen!$C$3,4,0)),Einstellungen!$F$13:$F$32)))</f>
        <v/>
      </c>
      <c r="O116" s="49">
        <f>IF(OR(A116="",D116=""),0,MAX(0,NETWORKDAYS(MAX(D116,DATE(Einstellungen!$C$3,4,1)),MIN(J116,DATE(Einstellungen!$C$3,5,0)),Einstellungen!$F$13:$F$32)))</f>
        <v/>
      </c>
      <c r="P116" s="49">
        <f>IF(OR(A116="",D116=""),0,MAX(0,NETWORKDAYS(MAX(D116,DATE(Einstellungen!$C$3,5,1)),MIN(J116,DATE(Einstellungen!$C$3,6,0)),Einstellungen!$F$13:$F$32)))</f>
        <v/>
      </c>
      <c r="Q116" s="49">
        <f>IF(OR(A116="",D116=""),0,MAX(0,NETWORKDAYS(MAX(D116,DATE(Einstellungen!$C$3,6,1)),MIN(J116,DATE(Einstellungen!$C$3,7,0)),Einstellungen!$F$13:$F$32)))</f>
        <v/>
      </c>
      <c r="R116" s="49">
        <f>IF(OR(A116="",D116=""),0,MAX(0,NETWORKDAYS(MAX(D116,DATE(Einstellungen!$C$3,7,1)),MIN(J116,DATE(Einstellungen!$C$3,8,0)),Einstellungen!$F$13:$F$32)))</f>
        <v/>
      </c>
      <c r="S116" s="49">
        <f>IF(OR(A116="",D116=""),0,MAX(0,NETWORKDAYS(MAX(D116,DATE(Einstellungen!$C$3,8,1)),MIN(J116,DATE(Einstellungen!$C$3,9,0)),Einstellungen!$F$13:$F$32)))</f>
        <v/>
      </c>
      <c r="T116" s="49">
        <f>IF(OR(A116="",D116=""),0,MAX(0,NETWORKDAYS(MAX(D116,DATE(Einstellungen!$C$3,9,1)),MIN(J116,DATE(Einstellungen!$C$3,10,0)),Einstellungen!$F$13:$F$32)))</f>
        <v/>
      </c>
      <c r="U116" s="49">
        <f>IF(OR(A116="",D116=""),0,MAX(0,NETWORKDAYS(MAX(D116,DATE(Einstellungen!$C$3,10,1)),MIN(J116,DATE(Einstellungen!$C$3,11,0)),Einstellungen!$F$13:$F$32)))</f>
        <v/>
      </c>
      <c r="V116" s="49">
        <f>IF(OR(A116="",D116=""),0,MAX(0,NETWORKDAYS(MAX(D116,DATE(Einstellungen!$C$3,11,1)),MIN(J116,DATE(Einstellungen!$C$3,12,0)),Einstellungen!$F$13:$F$32)))</f>
        <v/>
      </c>
      <c r="W116" s="49">
        <f>IF(OR(A116="",D116=""),0,MAX(0,NETWORKDAYS(MAX(D116,DATE(Einstellungen!$C$3,12,1)),MIN(J116,DATE(Einstellungen!$C$3,13,0)),Einstellungen!$F$13:$F$32)))</f>
        <v/>
      </c>
      <c r="X116" s="50">
        <f>L116*K116</f>
        <v/>
      </c>
      <c r="Y116" s="50">
        <f>M116*K116</f>
        <v/>
      </c>
      <c r="Z116" s="50">
        <f>N116*K116</f>
        <v/>
      </c>
      <c r="AA116" s="50">
        <f>O116*K116</f>
        <v/>
      </c>
      <c r="AB116" s="50">
        <f>P116*K116</f>
        <v/>
      </c>
      <c r="AC116" s="50">
        <f>Q116*K116</f>
        <v/>
      </c>
      <c r="AD116" s="50">
        <f>R116*K116</f>
        <v/>
      </c>
      <c r="AE116" s="50">
        <f>S116*K116</f>
        <v/>
      </c>
      <c r="AF116" s="50">
        <f>T116*K116</f>
        <v/>
      </c>
      <c r="AG116" s="50">
        <f>U116*K116</f>
        <v/>
      </c>
      <c r="AH116" s="50">
        <f>V116*K116</f>
        <v/>
      </c>
      <c r="AI116" s="50">
        <f>W116*K116</f>
        <v/>
      </c>
    </row>
    <row r="117">
      <c r="A117" s="25" t="n">
        <v>1042</v>
      </c>
      <c r="B117" s="45">
        <f>IF(A117="","",IFERROR(INDEX(Mitarbeiter!$B$6:$B$205,MATCH($A117,Mitarbeiter!$A$6:$A$205,0)),"?"))</f>
        <v/>
      </c>
      <c r="C117" s="46" t="inlineStr">
        <is>
          <t>Objekt 2</t>
        </is>
      </c>
      <c r="D117" s="26" t="n">
        <v>46277</v>
      </c>
      <c r="E117" s="26" t="n">
        <v>46297</v>
      </c>
      <c r="F117" s="24">
        <f>IF(A117="","",SUM(L117:W117))</f>
        <v/>
      </c>
      <c r="G117" s="36">
        <f>IF(A117="","",SUM(X117:AI117))</f>
        <v/>
      </c>
      <c r="H117" s="8">
        <f>IF(A117="","",IF(ISNA(MATCH(A117,Mitarbeiter!$A$6:$A$205,0)),"Pers.-Nr. unbekannt",IF(D117="","Von fehlt",IF(AND(C117&lt;&gt;Einstellungen!$C$4,C117&lt;&gt;Einstellungen!$C$5),"Objekt fehlt",IF(J117&lt;D117,"Bis vor Von",IF(D117&lt;INDEX(Mitarbeiter!$C$6:$C$205,MATCH($A117,Mitarbeiter!$A$6:$A$205,0)),"vor Eintritt",IF(AND(INDEX(Mitarbeiter!$D$6:$D$205,MATCH($A117,Mitarbeiter!$A$6:$A$205,0))&lt;&gt;"",D117&gt;INDEX(Mitarbeiter!$D$6:$D$205,MATCH($A117,Mitarbeiter!$A$6:$A$205,0))),"nach Austritt",IF(E117="","offen","ok"))))))))</f>
        <v/>
      </c>
      <c r="J117" s="47">
        <f>IF(A117="","",IF(E117="",Einstellungen!$C$9,E117))</f>
        <v/>
      </c>
      <c r="K117" s="48">
        <f>IF(A117="",0,IFERROR(INDEX(Mitarbeiter!$F$6:$F$205,MATCH($A117,Mitarbeiter!$A$6:$A$205,0)),0))</f>
        <v/>
      </c>
      <c r="L117" s="49">
        <f>IF(OR(A117="",D117=""),0,MAX(0,NETWORKDAYS(MAX(D117,DATE(Einstellungen!$C$3,1,1)),MIN(J117,DATE(Einstellungen!$C$3,2,0)),Einstellungen!$F$13:$F$32)))</f>
        <v/>
      </c>
      <c r="M117" s="49">
        <f>IF(OR(A117="",D117=""),0,MAX(0,NETWORKDAYS(MAX(D117,DATE(Einstellungen!$C$3,2,1)),MIN(J117,DATE(Einstellungen!$C$3,3,0)),Einstellungen!$F$13:$F$32)))</f>
        <v/>
      </c>
      <c r="N117" s="49">
        <f>IF(OR(A117="",D117=""),0,MAX(0,NETWORKDAYS(MAX(D117,DATE(Einstellungen!$C$3,3,1)),MIN(J117,DATE(Einstellungen!$C$3,4,0)),Einstellungen!$F$13:$F$32)))</f>
        <v/>
      </c>
      <c r="O117" s="49">
        <f>IF(OR(A117="",D117=""),0,MAX(0,NETWORKDAYS(MAX(D117,DATE(Einstellungen!$C$3,4,1)),MIN(J117,DATE(Einstellungen!$C$3,5,0)),Einstellungen!$F$13:$F$32)))</f>
        <v/>
      </c>
      <c r="P117" s="49">
        <f>IF(OR(A117="",D117=""),0,MAX(0,NETWORKDAYS(MAX(D117,DATE(Einstellungen!$C$3,5,1)),MIN(J117,DATE(Einstellungen!$C$3,6,0)),Einstellungen!$F$13:$F$32)))</f>
        <v/>
      </c>
      <c r="Q117" s="49">
        <f>IF(OR(A117="",D117=""),0,MAX(0,NETWORKDAYS(MAX(D117,DATE(Einstellungen!$C$3,6,1)),MIN(J117,DATE(Einstellungen!$C$3,7,0)),Einstellungen!$F$13:$F$32)))</f>
        <v/>
      </c>
      <c r="R117" s="49">
        <f>IF(OR(A117="",D117=""),0,MAX(0,NETWORKDAYS(MAX(D117,DATE(Einstellungen!$C$3,7,1)),MIN(J117,DATE(Einstellungen!$C$3,8,0)),Einstellungen!$F$13:$F$32)))</f>
        <v/>
      </c>
      <c r="S117" s="49">
        <f>IF(OR(A117="",D117=""),0,MAX(0,NETWORKDAYS(MAX(D117,DATE(Einstellungen!$C$3,8,1)),MIN(J117,DATE(Einstellungen!$C$3,9,0)),Einstellungen!$F$13:$F$32)))</f>
        <v/>
      </c>
      <c r="T117" s="49">
        <f>IF(OR(A117="",D117=""),0,MAX(0,NETWORKDAYS(MAX(D117,DATE(Einstellungen!$C$3,9,1)),MIN(J117,DATE(Einstellungen!$C$3,10,0)),Einstellungen!$F$13:$F$32)))</f>
        <v/>
      </c>
      <c r="U117" s="49">
        <f>IF(OR(A117="",D117=""),0,MAX(0,NETWORKDAYS(MAX(D117,DATE(Einstellungen!$C$3,10,1)),MIN(J117,DATE(Einstellungen!$C$3,11,0)),Einstellungen!$F$13:$F$32)))</f>
        <v/>
      </c>
      <c r="V117" s="49">
        <f>IF(OR(A117="",D117=""),0,MAX(0,NETWORKDAYS(MAX(D117,DATE(Einstellungen!$C$3,11,1)),MIN(J117,DATE(Einstellungen!$C$3,12,0)),Einstellungen!$F$13:$F$32)))</f>
        <v/>
      </c>
      <c r="W117" s="49">
        <f>IF(OR(A117="",D117=""),0,MAX(0,NETWORKDAYS(MAX(D117,DATE(Einstellungen!$C$3,12,1)),MIN(J117,DATE(Einstellungen!$C$3,13,0)),Einstellungen!$F$13:$F$32)))</f>
        <v/>
      </c>
      <c r="X117" s="50">
        <f>L117*K117</f>
        <v/>
      </c>
      <c r="Y117" s="50">
        <f>M117*K117</f>
        <v/>
      </c>
      <c r="Z117" s="50">
        <f>N117*K117</f>
        <v/>
      </c>
      <c r="AA117" s="50">
        <f>O117*K117</f>
        <v/>
      </c>
      <c r="AB117" s="50">
        <f>P117*K117</f>
        <v/>
      </c>
      <c r="AC117" s="50">
        <f>Q117*K117</f>
        <v/>
      </c>
      <c r="AD117" s="50">
        <f>R117*K117</f>
        <v/>
      </c>
      <c r="AE117" s="50">
        <f>S117*K117</f>
        <v/>
      </c>
      <c r="AF117" s="50">
        <f>T117*K117</f>
        <v/>
      </c>
      <c r="AG117" s="50">
        <f>U117*K117</f>
        <v/>
      </c>
      <c r="AH117" s="50">
        <f>V117*K117</f>
        <v/>
      </c>
      <c r="AI117" s="50">
        <f>W117*K117</f>
        <v/>
      </c>
    </row>
    <row r="118">
      <c r="A118" s="25" t="n">
        <v>1036</v>
      </c>
      <c r="B118" s="45">
        <f>IF(A118="","",IFERROR(INDEX(Mitarbeiter!$B$6:$B$205,MATCH($A118,Mitarbeiter!$A$6:$A$205,0)),"?"))</f>
        <v/>
      </c>
      <c r="C118" s="46" t="inlineStr">
        <is>
          <t>Objekt 2</t>
        </is>
      </c>
      <c r="D118" s="26" t="n">
        <v>46277</v>
      </c>
      <c r="E118" s="26" t="n">
        <v>46279</v>
      </c>
      <c r="F118" s="24">
        <f>IF(A118="","",SUM(L118:W118))</f>
        <v/>
      </c>
      <c r="G118" s="36">
        <f>IF(A118="","",SUM(X118:AI118))</f>
        <v/>
      </c>
      <c r="H118" s="8">
        <f>IF(A118="","",IF(ISNA(MATCH(A118,Mitarbeiter!$A$6:$A$205,0)),"Pers.-Nr. unbekannt",IF(D118="","Von fehlt",IF(AND(C118&lt;&gt;Einstellungen!$C$4,C118&lt;&gt;Einstellungen!$C$5),"Objekt fehlt",IF(J118&lt;D118,"Bis vor Von",IF(D118&lt;INDEX(Mitarbeiter!$C$6:$C$205,MATCH($A118,Mitarbeiter!$A$6:$A$205,0)),"vor Eintritt",IF(AND(INDEX(Mitarbeiter!$D$6:$D$205,MATCH($A118,Mitarbeiter!$A$6:$A$205,0))&lt;&gt;"",D118&gt;INDEX(Mitarbeiter!$D$6:$D$205,MATCH($A118,Mitarbeiter!$A$6:$A$205,0))),"nach Austritt",IF(E118="","offen","ok"))))))))</f>
        <v/>
      </c>
      <c r="J118" s="47">
        <f>IF(A118="","",IF(E118="",Einstellungen!$C$9,E118))</f>
        <v/>
      </c>
      <c r="K118" s="48">
        <f>IF(A118="",0,IFERROR(INDEX(Mitarbeiter!$F$6:$F$205,MATCH($A118,Mitarbeiter!$A$6:$A$205,0)),0))</f>
        <v/>
      </c>
      <c r="L118" s="49">
        <f>IF(OR(A118="",D118=""),0,MAX(0,NETWORKDAYS(MAX(D118,DATE(Einstellungen!$C$3,1,1)),MIN(J118,DATE(Einstellungen!$C$3,2,0)),Einstellungen!$F$13:$F$32)))</f>
        <v/>
      </c>
      <c r="M118" s="49">
        <f>IF(OR(A118="",D118=""),0,MAX(0,NETWORKDAYS(MAX(D118,DATE(Einstellungen!$C$3,2,1)),MIN(J118,DATE(Einstellungen!$C$3,3,0)),Einstellungen!$F$13:$F$32)))</f>
        <v/>
      </c>
      <c r="N118" s="49">
        <f>IF(OR(A118="",D118=""),0,MAX(0,NETWORKDAYS(MAX(D118,DATE(Einstellungen!$C$3,3,1)),MIN(J118,DATE(Einstellungen!$C$3,4,0)),Einstellungen!$F$13:$F$32)))</f>
        <v/>
      </c>
      <c r="O118" s="49">
        <f>IF(OR(A118="",D118=""),0,MAX(0,NETWORKDAYS(MAX(D118,DATE(Einstellungen!$C$3,4,1)),MIN(J118,DATE(Einstellungen!$C$3,5,0)),Einstellungen!$F$13:$F$32)))</f>
        <v/>
      </c>
      <c r="P118" s="49">
        <f>IF(OR(A118="",D118=""),0,MAX(0,NETWORKDAYS(MAX(D118,DATE(Einstellungen!$C$3,5,1)),MIN(J118,DATE(Einstellungen!$C$3,6,0)),Einstellungen!$F$13:$F$32)))</f>
        <v/>
      </c>
      <c r="Q118" s="49">
        <f>IF(OR(A118="",D118=""),0,MAX(0,NETWORKDAYS(MAX(D118,DATE(Einstellungen!$C$3,6,1)),MIN(J118,DATE(Einstellungen!$C$3,7,0)),Einstellungen!$F$13:$F$32)))</f>
        <v/>
      </c>
      <c r="R118" s="49">
        <f>IF(OR(A118="",D118=""),0,MAX(0,NETWORKDAYS(MAX(D118,DATE(Einstellungen!$C$3,7,1)),MIN(J118,DATE(Einstellungen!$C$3,8,0)),Einstellungen!$F$13:$F$32)))</f>
        <v/>
      </c>
      <c r="S118" s="49">
        <f>IF(OR(A118="",D118=""),0,MAX(0,NETWORKDAYS(MAX(D118,DATE(Einstellungen!$C$3,8,1)),MIN(J118,DATE(Einstellungen!$C$3,9,0)),Einstellungen!$F$13:$F$32)))</f>
        <v/>
      </c>
      <c r="T118" s="49">
        <f>IF(OR(A118="",D118=""),0,MAX(0,NETWORKDAYS(MAX(D118,DATE(Einstellungen!$C$3,9,1)),MIN(J118,DATE(Einstellungen!$C$3,10,0)),Einstellungen!$F$13:$F$32)))</f>
        <v/>
      </c>
      <c r="U118" s="49">
        <f>IF(OR(A118="",D118=""),0,MAX(0,NETWORKDAYS(MAX(D118,DATE(Einstellungen!$C$3,10,1)),MIN(J118,DATE(Einstellungen!$C$3,11,0)),Einstellungen!$F$13:$F$32)))</f>
        <v/>
      </c>
      <c r="V118" s="49">
        <f>IF(OR(A118="",D118=""),0,MAX(0,NETWORKDAYS(MAX(D118,DATE(Einstellungen!$C$3,11,1)),MIN(J118,DATE(Einstellungen!$C$3,12,0)),Einstellungen!$F$13:$F$32)))</f>
        <v/>
      </c>
      <c r="W118" s="49">
        <f>IF(OR(A118="",D118=""),0,MAX(0,NETWORKDAYS(MAX(D118,DATE(Einstellungen!$C$3,12,1)),MIN(J118,DATE(Einstellungen!$C$3,13,0)),Einstellungen!$F$13:$F$32)))</f>
        <v/>
      </c>
      <c r="X118" s="50">
        <f>L118*K118</f>
        <v/>
      </c>
      <c r="Y118" s="50">
        <f>M118*K118</f>
        <v/>
      </c>
      <c r="Z118" s="50">
        <f>N118*K118</f>
        <v/>
      </c>
      <c r="AA118" s="50">
        <f>O118*K118</f>
        <v/>
      </c>
      <c r="AB118" s="50">
        <f>P118*K118</f>
        <v/>
      </c>
      <c r="AC118" s="50">
        <f>Q118*K118</f>
        <v/>
      </c>
      <c r="AD118" s="50">
        <f>R118*K118</f>
        <v/>
      </c>
      <c r="AE118" s="50">
        <f>S118*K118</f>
        <v/>
      </c>
      <c r="AF118" s="50">
        <f>T118*K118</f>
        <v/>
      </c>
      <c r="AG118" s="50">
        <f>U118*K118</f>
        <v/>
      </c>
      <c r="AH118" s="50">
        <f>V118*K118</f>
        <v/>
      </c>
      <c r="AI118" s="50">
        <f>W118*K118</f>
        <v/>
      </c>
    </row>
    <row r="119">
      <c r="A119" s="25" t="n">
        <v>1003</v>
      </c>
      <c r="B119" s="45">
        <f>IF(A119="","",IFERROR(INDEX(Mitarbeiter!$B$6:$B$205,MATCH($A119,Mitarbeiter!$A$6:$A$205,0)),"?"))</f>
        <v/>
      </c>
      <c r="C119" s="46" t="inlineStr">
        <is>
          <t>Objekt 2</t>
        </is>
      </c>
      <c r="D119" s="26" t="n">
        <v>46285</v>
      </c>
      <c r="E119" s="26" t="n">
        <v>46289</v>
      </c>
      <c r="F119" s="24">
        <f>IF(A119="","",SUM(L119:W119))</f>
        <v/>
      </c>
      <c r="G119" s="36">
        <f>IF(A119="","",SUM(X119:AI119))</f>
        <v/>
      </c>
      <c r="H119" s="8">
        <f>IF(A119="","",IF(ISNA(MATCH(A119,Mitarbeiter!$A$6:$A$205,0)),"Pers.-Nr. unbekannt",IF(D119="","Von fehlt",IF(AND(C119&lt;&gt;Einstellungen!$C$4,C119&lt;&gt;Einstellungen!$C$5),"Objekt fehlt",IF(J119&lt;D119,"Bis vor Von",IF(D119&lt;INDEX(Mitarbeiter!$C$6:$C$205,MATCH($A119,Mitarbeiter!$A$6:$A$205,0)),"vor Eintritt",IF(AND(INDEX(Mitarbeiter!$D$6:$D$205,MATCH($A119,Mitarbeiter!$A$6:$A$205,0))&lt;&gt;"",D119&gt;INDEX(Mitarbeiter!$D$6:$D$205,MATCH($A119,Mitarbeiter!$A$6:$A$205,0))),"nach Austritt",IF(E119="","offen","ok"))))))))</f>
        <v/>
      </c>
      <c r="J119" s="47">
        <f>IF(A119="","",IF(E119="",Einstellungen!$C$9,E119))</f>
        <v/>
      </c>
      <c r="K119" s="48">
        <f>IF(A119="",0,IFERROR(INDEX(Mitarbeiter!$F$6:$F$205,MATCH($A119,Mitarbeiter!$A$6:$A$205,0)),0))</f>
        <v/>
      </c>
      <c r="L119" s="49">
        <f>IF(OR(A119="",D119=""),0,MAX(0,NETWORKDAYS(MAX(D119,DATE(Einstellungen!$C$3,1,1)),MIN(J119,DATE(Einstellungen!$C$3,2,0)),Einstellungen!$F$13:$F$32)))</f>
        <v/>
      </c>
      <c r="M119" s="49">
        <f>IF(OR(A119="",D119=""),0,MAX(0,NETWORKDAYS(MAX(D119,DATE(Einstellungen!$C$3,2,1)),MIN(J119,DATE(Einstellungen!$C$3,3,0)),Einstellungen!$F$13:$F$32)))</f>
        <v/>
      </c>
      <c r="N119" s="49">
        <f>IF(OR(A119="",D119=""),0,MAX(0,NETWORKDAYS(MAX(D119,DATE(Einstellungen!$C$3,3,1)),MIN(J119,DATE(Einstellungen!$C$3,4,0)),Einstellungen!$F$13:$F$32)))</f>
        <v/>
      </c>
      <c r="O119" s="49">
        <f>IF(OR(A119="",D119=""),0,MAX(0,NETWORKDAYS(MAX(D119,DATE(Einstellungen!$C$3,4,1)),MIN(J119,DATE(Einstellungen!$C$3,5,0)),Einstellungen!$F$13:$F$32)))</f>
        <v/>
      </c>
      <c r="P119" s="49">
        <f>IF(OR(A119="",D119=""),0,MAX(0,NETWORKDAYS(MAX(D119,DATE(Einstellungen!$C$3,5,1)),MIN(J119,DATE(Einstellungen!$C$3,6,0)),Einstellungen!$F$13:$F$32)))</f>
        <v/>
      </c>
      <c r="Q119" s="49">
        <f>IF(OR(A119="",D119=""),0,MAX(0,NETWORKDAYS(MAX(D119,DATE(Einstellungen!$C$3,6,1)),MIN(J119,DATE(Einstellungen!$C$3,7,0)),Einstellungen!$F$13:$F$32)))</f>
        <v/>
      </c>
      <c r="R119" s="49">
        <f>IF(OR(A119="",D119=""),0,MAX(0,NETWORKDAYS(MAX(D119,DATE(Einstellungen!$C$3,7,1)),MIN(J119,DATE(Einstellungen!$C$3,8,0)),Einstellungen!$F$13:$F$32)))</f>
        <v/>
      </c>
      <c r="S119" s="49">
        <f>IF(OR(A119="",D119=""),0,MAX(0,NETWORKDAYS(MAX(D119,DATE(Einstellungen!$C$3,8,1)),MIN(J119,DATE(Einstellungen!$C$3,9,0)),Einstellungen!$F$13:$F$32)))</f>
        <v/>
      </c>
      <c r="T119" s="49">
        <f>IF(OR(A119="",D119=""),0,MAX(0,NETWORKDAYS(MAX(D119,DATE(Einstellungen!$C$3,9,1)),MIN(J119,DATE(Einstellungen!$C$3,10,0)),Einstellungen!$F$13:$F$32)))</f>
        <v/>
      </c>
      <c r="U119" s="49">
        <f>IF(OR(A119="",D119=""),0,MAX(0,NETWORKDAYS(MAX(D119,DATE(Einstellungen!$C$3,10,1)),MIN(J119,DATE(Einstellungen!$C$3,11,0)),Einstellungen!$F$13:$F$32)))</f>
        <v/>
      </c>
      <c r="V119" s="49">
        <f>IF(OR(A119="",D119=""),0,MAX(0,NETWORKDAYS(MAX(D119,DATE(Einstellungen!$C$3,11,1)),MIN(J119,DATE(Einstellungen!$C$3,12,0)),Einstellungen!$F$13:$F$32)))</f>
        <v/>
      </c>
      <c r="W119" s="49">
        <f>IF(OR(A119="",D119=""),0,MAX(0,NETWORKDAYS(MAX(D119,DATE(Einstellungen!$C$3,12,1)),MIN(J119,DATE(Einstellungen!$C$3,13,0)),Einstellungen!$F$13:$F$32)))</f>
        <v/>
      </c>
      <c r="X119" s="50">
        <f>L119*K119</f>
        <v/>
      </c>
      <c r="Y119" s="50">
        <f>M119*K119</f>
        <v/>
      </c>
      <c r="Z119" s="50">
        <f>N119*K119</f>
        <v/>
      </c>
      <c r="AA119" s="50">
        <f>O119*K119</f>
        <v/>
      </c>
      <c r="AB119" s="50">
        <f>P119*K119</f>
        <v/>
      </c>
      <c r="AC119" s="50">
        <f>Q119*K119</f>
        <v/>
      </c>
      <c r="AD119" s="50">
        <f>R119*K119</f>
        <v/>
      </c>
      <c r="AE119" s="50">
        <f>S119*K119</f>
        <v/>
      </c>
      <c r="AF119" s="50">
        <f>T119*K119</f>
        <v/>
      </c>
      <c r="AG119" s="50">
        <f>U119*K119</f>
        <v/>
      </c>
      <c r="AH119" s="50">
        <f>V119*K119</f>
        <v/>
      </c>
      <c r="AI119" s="50">
        <f>W119*K119</f>
        <v/>
      </c>
    </row>
    <row r="120">
      <c r="A120" s="25" t="n">
        <v>1019</v>
      </c>
      <c r="B120" s="45">
        <f>IF(A120="","",IFERROR(INDEX(Mitarbeiter!$B$6:$B$205,MATCH($A120,Mitarbeiter!$A$6:$A$205,0)),"?"))</f>
        <v/>
      </c>
      <c r="C120" s="46" t="inlineStr">
        <is>
          <t>Objekt 2</t>
        </is>
      </c>
      <c r="D120" s="26" t="n">
        <v>46286</v>
      </c>
      <c r="E120" s="26" t="n">
        <v>46292</v>
      </c>
      <c r="F120" s="24">
        <f>IF(A120="","",SUM(L120:W120))</f>
        <v/>
      </c>
      <c r="G120" s="36">
        <f>IF(A120="","",SUM(X120:AI120))</f>
        <v/>
      </c>
      <c r="H120" s="8">
        <f>IF(A120="","",IF(ISNA(MATCH(A120,Mitarbeiter!$A$6:$A$205,0)),"Pers.-Nr. unbekannt",IF(D120="","Von fehlt",IF(AND(C120&lt;&gt;Einstellungen!$C$4,C120&lt;&gt;Einstellungen!$C$5),"Objekt fehlt",IF(J120&lt;D120,"Bis vor Von",IF(D120&lt;INDEX(Mitarbeiter!$C$6:$C$205,MATCH($A120,Mitarbeiter!$A$6:$A$205,0)),"vor Eintritt",IF(AND(INDEX(Mitarbeiter!$D$6:$D$205,MATCH($A120,Mitarbeiter!$A$6:$A$205,0))&lt;&gt;"",D120&gt;INDEX(Mitarbeiter!$D$6:$D$205,MATCH($A120,Mitarbeiter!$A$6:$A$205,0))),"nach Austritt",IF(E120="","offen","ok"))))))))</f>
        <v/>
      </c>
      <c r="J120" s="47">
        <f>IF(A120="","",IF(E120="",Einstellungen!$C$9,E120))</f>
        <v/>
      </c>
      <c r="K120" s="48">
        <f>IF(A120="",0,IFERROR(INDEX(Mitarbeiter!$F$6:$F$205,MATCH($A120,Mitarbeiter!$A$6:$A$205,0)),0))</f>
        <v/>
      </c>
      <c r="L120" s="49">
        <f>IF(OR(A120="",D120=""),0,MAX(0,NETWORKDAYS(MAX(D120,DATE(Einstellungen!$C$3,1,1)),MIN(J120,DATE(Einstellungen!$C$3,2,0)),Einstellungen!$F$13:$F$32)))</f>
        <v/>
      </c>
      <c r="M120" s="49">
        <f>IF(OR(A120="",D120=""),0,MAX(0,NETWORKDAYS(MAX(D120,DATE(Einstellungen!$C$3,2,1)),MIN(J120,DATE(Einstellungen!$C$3,3,0)),Einstellungen!$F$13:$F$32)))</f>
        <v/>
      </c>
      <c r="N120" s="49">
        <f>IF(OR(A120="",D120=""),0,MAX(0,NETWORKDAYS(MAX(D120,DATE(Einstellungen!$C$3,3,1)),MIN(J120,DATE(Einstellungen!$C$3,4,0)),Einstellungen!$F$13:$F$32)))</f>
        <v/>
      </c>
      <c r="O120" s="49">
        <f>IF(OR(A120="",D120=""),0,MAX(0,NETWORKDAYS(MAX(D120,DATE(Einstellungen!$C$3,4,1)),MIN(J120,DATE(Einstellungen!$C$3,5,0)),Einstellungen!$F$13:$F$32)))</f>
        <v/>
      </c>
      <c r="P120" s="49">
        <f>IF(OR(A120="",D120=""),0,MAX(0,NETWORKDAYS(MAX(D120,DATE(Einstellungen!$C$3,5,1)),MIN(J120,DATE(Einstellungen!$C$3,6,0)),Einstellungen!$F$13:$F$32)))</f>
        <v/>
      </c>
      <c r="Q120" s="49">
        <f>IF(OR(A120="",D120=""),0,MAX(0,NETWORKDAYS(MAX(D120,DATE(Einstellungen!$C$3,6,1)),MIN(J120,DATE(Einstellungen!$C$3,7,0)),Einstellungen!$F$13:$F$32)))</f>
        <v/>
      </c>
      <c r="R120" s="49">
        <f>IF(OR(A120="",D120=""),0,MAX(0,NETWORKDAYS(MAX(D120,DATE(Einstellungen!$C$3,7,1)),MIN(J120,DATE(Einstellungen!$C$3,8,0)),Einstellungen!$F$13:$F$32)))</f>
        <v/>
      </c>
      <c r="S120" s="49">
        <f>IF(OR(A120="",D120=""),0,MAX(0,NETWORKDAYS(MAX(D120,DATE(Einstellungen!$C$3,8,1)),MIN(J120,DATE(Einstellungen!$C$3,9,0)),Einstellungen!$F$13:$F$32)))</f>
        <v/>
      </c>
      <c r="T120" s="49">
        <f>IF(OR(A120="",D120=""),0,MAX(0,NETWORKDAYS(MAX(D120,DATE(Einstellungen!$C$3,9,1)),MIN(J120,DATE(Einstellungen!$C$3,10,0)),Einstellungen!$F$13:$F$32)))</f>
        <v/>
      </c>
      <c r="U120" s="49">
        <f>IF(OR(A120="",D120=""),0,MAX(0,NETWORKDAYS(MAX(D120,DATE(Einstellungen!$C$3,10,1)),MIN(J120,DATE(Einstellungen!$C$3,11,0)),Einstellungen!$F$13:$F$32)))</f>
        <v/>
      </c>
      <c r="V120" s="49">
        <f>IF(OR(A120="",D120=""),0,MAX(0,NETWORKDAYS(MAX(D120,DATE(Einstellungen!$C$3,11,1)),MIN(J120,DATE(Einstellungen!$C$3,12,0)),Einstellungen!$F$13:$F$32)))</f>
        <v/>
      </c>
      <c r="W120" s="49">
        <f>IF(OR(A120="",D120=""),0,MAX(0,NETWORKDAYS(MAX(D120,DATE(Einstellungen!$C$3,12,1)),MIN(J120,DATE(Einstellungen!$C$3,13,0)),Einstellungen!$F$13:$F$32)))</f>
        <v/>
      </c>
      <c r="X120" s="50">
        <f>L120*K120</f>
        <v/>
      </c>
      <c r="Y120" s="50">
        <f>M120*K120</f>
        <v/>
      </c>
      <c r="Z120" s="50">
        <f>N120*K120</f>
        <v/>
      </c>
      <c r="AA120" s="50">
        <f>O120*K120</f>
        <v/>
      </c>
      <c r="AB120" s="50">
        <f>P120*K120</f>
        <v/>
      </c>
      <c r="AC120" s="50">
        <f>Q120*K120</f>
        <v/>
      </c>
      <c r="AD120" s="50">
        <f>R120*K120</f>
        <v/>
      </c>
      <c r="AE120" s="50">
        <f>S120*K120</f>
        <v/>
      </c>
      <c r="AF120" s="50">
        <f>T120*K120</f>
        <v/>
      </c>
      <c r="AG120" s="50">
        <f>U120*K120</f>
        <v/>
      </c>
      <c r="AH120" s="50">
        <f>V120*K120</f>
        <v/>
      </c>
      <c r="AI120" s="50">
        <f>W120*K120</f>
        <v/>
      </c>
    </row>
    <row r="121">
      <c r="A121" s="25" t="n">
        <v>1025</v>
      </c>
      <c r="B121" s="45">
        <f>IF(A121="","",IFERROR(INDEX(Mitarbeiter!$B$6:$B$205,MATCH($A121,Mitarbeiter!$A$6:$A$205,0)),"?"))</f>
        <v/>
      </c>
      <c r="C121" s="46" t="inlineStr">
        <is>
          <t>Objekt 1</t>
        </is>
      </c>
      <c r="D121" s="26" t="n">
        <v>46286</v>
      </c>
      <c r="E121" s="26" t="n">
        <v>46288</v>
      </c>
      <c r="F121" s="24">
        <f>IF(A121="","",SUM(L121:W121))</f>
        <v/>
      </c>
      <c r="G121" s="36">
        <f>IF(A121="","",SUM(X121:AI121))</f>
        <v/>
      </c>
      <c r="H121" s="8">
        <f>IF(A121="","",IF(ISNA(MATCH(A121,Mitarbeiter!$A$6:$A$205,0)),"Pers.-Nr. unbekannt",IF(D121="","Von fehlt",IF(AND(C121&lt;&gt;Einstellungen!$C$4,C121&lt;&gt;Einstellungen!$C$5),"Objekt fehlt",IF(J121&lt;D121,"Bis vor Von",IF(D121&lt;INDEX(Mitarbeiter!$C$6:$C$205,MATCH($A121,Mitarbeiter!$A$6:$A$205,0)),"vor Eintritt",IF(AND(INDEX(Mitarbeiter!$D$6:$D$205,MATCH($A121,Mitarbeiter!$A$6:$A$205,0))&lt;&gt;"",D121&gt;INDEX(Mitarbeiter!$D$6:$D$205,MATCH($A121,Mitarbeiter!$A$6:$A$205,0))),"nach Austritt",IF(E121="","offen","ok"))))))))</f>
        <v/>
      </c>
      <c r="J121" s="47">
        <f>IF(A121="","",IF(E121="",Einstellungen!$C$9,E121))</f>
        <v/>
      </c>
      <c r="K121" s="48">
        <f>IF(A121="",0,IFERROR(INDEX(Mitarbeiter!$F$6:$F$205,MATCH($A121,Mitarbeiter!$A$6:$A$205,0)),0))</f>
        <v/>
      </c>
      <c r="L121" s="49">
        <f>IF(OR(A121="",D121=""),0,MAX(0,NETWORKDAYS(MAX(D121,DATE(Einstellungen!$C$3,1,1)),MIN(J121,DATE(Einstellungen!$C$3,2,0)),Einstellungen!$F$13:$F$32)))</f>
        <v/>
      </c>
      <c r="M121" s="49">
        <f>IF(OR(A121="",D121=""),0,MAX(0,NETWORKDAYS(MAX(D121,DATE(Einstellungen!$C$3,2,1)),MIN(J121,DATE(Einstellungen!$C$3,3,0)),Einstellungen!$F$13:$F$32)))</f>
        <v/>
      </c>
      <c r="N121" s="49">
        <f>IF(OR(A121="",D121=""),0,MAX(0,NETWORKDAYS(MAX(D121,DATE(Einstellungen!$C$3,3,1)),MIN(J121,DATE(Einstellungen!$C$3,4,0)),Einstellungen!$F$13:$F$32)))</f>
        <v/>
      </c>
      <c r="O121" s="49">
        <f>IF(OR(A121="",D121=""),0,MAX(0,NETWORKDAYS(MAX(D121,DATE(Einstellungen!$C$3,4,1)),MIN(J121,DATE(Einstellungen!$C$3,5,0)),Einstellungen!$F$13:$F$32)))</f>
        <v/>
      </c>
      <c r="P121" s="49">
        <f>IF(OR(A121="",D121=""),0,MAX(0,NETWORKDAYS(MAX(D121,DATE(Einstellungen!$C$3,5,1)),MIN(J121,DATE(Einstellungen!$C$3,6,0)),Einstellungen!$F$13:$F$32)))</f>
        <v/>
      </c>
      <c r="Q121" s="49">
        <f>IF(OR(A121="",D121=""),0,MAX(0,NETWORKDAYS(MAX(D121,DATE(Einstellungen!$C$3,6,1)),MIN(J121,DATE(Einstellungen!$C$3,7,0)),Einstellungen!$F$13:$F$32)))</f>
        <v/>
      </c>
      <c r="R121" s="49">
        <f>IF(OR(A121="",D121=""),0,MAX(0,NETWORKDAYS(MAX(D121,DATE(Einstellungen!$C$3,7,1)),MIN(J121,DATE(Einstellungen!$C$3,8,0)),Einstellungen!$F$13:$F$32)))</f>
        <v/>
      </c>
      <c r="S121" s="49">
        <f>IF(OR(A121="",D121=""),0,MAX(0,NETWORKDAYS(MAX(D121,DATE(Einstellungen!$C$3,8,1)),MIN(J121,DATE(Einstellungen!$C$3,9,0)),Einstellungen!$F$13:$F$32)))</f>
        <v/>
      </c>
      <c r="T121" s="49">
        <f>IF(OR(A121="",D121=""),0,MAX(0,NETWORKDAYS(MAX(D121,DATE(Einstellungen!$C$3,9,1)),MIN(J121,DATE(Einstellungen!$C$3,10,0)),Einstellungen!$F$13:$F$32)))</f>
        <v/>
      </c>
      <c r="U121" s="49">
        <f>IF(OR(A121="",D121=""),0,MAX(0,NETWORKDAYS(MAX(D121,DATE(Einstellungen!$C$3,10,1)),MIN(J121,DATE(Einstellungen!$C$3,11,0)),Einstellungen!$F$13:$F$32)))</f>
        <v/>
      </c>
      <c r="V121" s="49">
        <f>IF(OR(A121="",D121=""),0,MAX(0,NETWORKDAYS(MAX(D121,DATE(Einstellungen!$C$3,11,1)),MIN(J121,DATE(Einstellungen!$C$3,12,0)),Einstellungen!$F$13:$F$32)))</f>
        <v/>
      </c>
      <c r="W121" s="49">
        <f>IF(OR(A121="",D121=""),0,MAX(0,NETWORKDAYS(MAX(D121,DATE(Einstellungen!$C$3,12,1)),MIN(J121,DATE(Einstellungen!$C$3,13,0)),Einstellungen!$F$13:$F$32)))</f>
        <v/>
      </c>
      <c r="X121" s="50">
        <f>L121*K121</f>
        <v/>
      </c>
      <c r="Y121" s="50">
        <f>M121*K121</f>
        <v/>
      </c>
      <c r="Z121" s="50">
        <f>N121*K121</f>
        <v/>
      </c>
      <c r="AA121" s="50">
        <f>O121*K121</f>
        <v/>
      </c>
      <c r="AB121" s="50">
        <f>P121*K121</f>
        <v/>
      </c>
      <c r="AC121" s="50">
        <f>Q121*K121</f>
        <v/>
      </c>
      <c r="AD121" s="50">
        <f>R121*K121</f>
        <v/>
      </c>
      <c r="AE121" s="50">
        <f>S121*K121</f>
        <v/>
      </c>
      <c r="AF121" s="50">
        <f>T121*K121</f>
        <v/>
      </c>
      <c r="AG121" s="50">
        <f>U121*K121</f>
        <v/>
      </c>
      <c r="AH121" s="50">
        <f>V121*K121</f>
        <v/>
      </c>
      <c r="AI121" s="50">
        <f>W121*K121</f>
        <v/>
      </c>
    </row>
    <row r="122">
      <c r="A122" s="25" t="n">
        <v>1005</v>
      </c>
      <c r="B122" s="45">
        <f>IF(A122="","",IFERROR(INDEX(Mitarbeiter!$B$6:$B$205,MATCH($A122,Mitarbeiter!$A$6:$A$205,0)),"?"))</f>
        <v/>
      </c>
      <c r="C122" s="46" t="inlineStr">
        <is>
          <t>Objekt 2</t>
        </is>
      </c>
      <c r="D122" s="26" t="n">
        <v>46289</v>
      </c>
      <c r="E122" s="26" t="n">
        <v>46302</v>
      </c>
      <c r="F122" s="24">
        <f>IF(A122="","",SUM(L122:W122))</f>
        <v/>
      </c>
      <c r="G122" s="36">
        <f>IF(A122="","",SUM(X122:AI122))</f>
        <v/>
      </c>
      <c r="H122" s="8">
        <f>IF(A122="","",IF(ISNA(MATCH(A122,Mitarbeiter!$A$6:$A$205,0)),"Pers.-Nr. unbekannt",IF(D122="","Von fehlt",IF(AND(C122&lt;&gt;Einstellungen!$C$4,C122&lt;&gt;Einstellungen!$C$5),"Objekt fehlt",IF(J122&lt;D122,"Bis vor Von",IF(D122&lt;INDEX(Mitarbeiter!$C$6:$C$205,MATCH($A122,Mitarbeiter!$A$6:$A$205,0)),"vor Eintritt",IF(AND(INDEX(Mitarbeiter!$D$6:$D$205,MATCH($A122,Mitarbeiter!$A$6:$A$205,0))&lt;&gt;"",D122&gt;INDEX(Mitarbeiter!$D$6:$D$205,MATCH($A122,Mitarbeiter!$A$6:$A$205,0))),"nach Austritt",IF(E122="","offen","ok"))))))))</f>
        <v/>
      </c>
      <c r="J122" s="47">
        <f>IF(A122="","",IF(E122="",Einstellungen!$C$9,E122))</f>
        <v/>
      </c>
      <c r="K122" s="48">
        <f>IF(A122="",0,IFERROR(INDEX(Mitarbeiter!$F$6:$F$205,MATCH($A122,Mitarbeiter!$A$6:$A$205,0)),0))</f>
        <v/>
      </c>
      <c r="L122" s="49">
        <f>IF(OR(A122="",D122=""),0,MAX(0,NETWORKDAYS(MAX(D122,DATE(Einstellungen!$C$3,1,1)),MIN(J122,DATE(Einstellungen!$C$3,2,0)),Einstellungen!$F$13:$F$32)))</f>
        <v/>
      </c>
      <c r="M122" s="49">
        <f>IF(OR(A122="",D122=""),0,MAX(0,NETWORKDAYS(MAX(D122,DATE(Einstellungen!$C$3,2,1)),MIN(J122,DATE(Einstellungen!$C$3,3,0)),Einstellungen!$F$13:$F$32)))</f>
        <v/>
      </c>
      <c r="N122" s="49">
        <f>IF(OR(A122="",D122=""),0,MAX(0,NETWORKDAYS(MAX(D122,DATE(Einstellungen!$C$3,3,1)),MIN(J122,DATE(Einstellungen!$C$3,4,0)),Einstellungen!$F$13:$F$32)))</f>
        <v/>
      </c>
      <c r="O122" s="49">
        <f>IF(OR(A122="",D122=""),0,MAX(0,NETWORKDAYS(MAX(D122,DATE(Einstellungen!$C$3,4,1)),MIN(J122,DATE(Einstellungen!$C$3,5,0)),Einstellungen!$F$13:$F$32)))</f>
        <v/>
      </c>
      <c r="P122" s="49">
        <f>IF(OR(A122="",D122=""),0,MAX(0,NETWORKDAYS(MAX(D122,DATE(Einstellungen!$C$3,5,1)),MIN(J122,DATE(Einstellungen!$C$3,6,0)),Einstellungen!$F$13:$F$32)))</f>
        <v/>
      </c>
      <c r="Q122" s="49">
        <f>IF(OR(A122="",D122=""),0,MAX(0,NETWORKDAYS(MAX(D122,DATE(Einstellungen!$C$3,6,1)),MIN(J122,DATE(Einstellungen!$C$3,7,0)),Einstellungen!$F$13:$F$32)))</f>
        <v/>
      </c>
      <c r="R122" s="49">
        <f>IF(OR(A122="",D122=""),0,MAX(0,NETWORKDAYS(MAX(D122,DATE(Einstellungen!$C$3,7,1)),MIN(J122,DATE(Einstellungen!$C$3,8,0)),Einstellungen!$F$13:$F$32)))</f>
        <v/>
      </c>
      <c r="S122" s="49">
        <f>IF(OR(A122="",D122=""),0,MAX(0,NETWORKDAYS(MAX(D122,DATE(Einstellungen!$C$3,8,1)),MIN(J122,DATE(Einstellungen!$C$3,9,0)),Einstellungen!$F$13:$F$32)))</f>
        <v/>
      </c>
      <c r="T122" s="49">
        <f>IF(OR(A122="",D122=""),0,MAX(0,NETWORKDAYS(MAX(D122,DATE(Einstellungen!$C$3,9,1)),MIN(J122,DATE(Einstellungen!$C$3,10,0)),Einstellungen!$F$13:$F$32)))</f>
        <v/>
      </c>
      <c r="U122" s="49">
        <f>IF(OR(A122="",D122=""),0,MAX(0,NETWORKDAYS(MAX(D122,DATE(Einstellungen!$C$3,10,1)),MIN(J122,DATE(Einstellungen!$C$3,11,0)),Einstellungen!$F$13:$F$32)))</f>
        <v/>
      </c>
      <c r="V122" s="49">
        <f>IF(OR(A122="",D122=""),0,MAX(0,NETWORKDAYS(MAX(D122,DATE(Einstellungen!$C$3,11,1)),MIN(J122,DATE(Einstellungen!$C$3,12,0)),Einstellungen!$F$13:$F$32)))</f>
        <v/>
      </c>
      <c r="W122" s="49">
        <f>IF(OR(A122="",D122=""),0,MAX(0,NETWORKDAYS(MAX(D122,DATE(Einstellungen!$C$3,12,1)),MIN(J122,DATE(Einstellungen!$C$3,13,0)),Einstellungen!$F$13:$F$32)))</f>
        <v/>
      </c>
      <c r="X122" s="50">
        <f>L122*K122</f>
        <v/>
      </c>
      <c r="Y122" s="50">
        <f>M122*K122</f>
        <v/>
      </c>
      <c r="Z122" s="50">
        <f>N122*K122</f>
        <v/>
      </c>
      <c r="AA122" s="50">
        <f>O122*K122</f>
        <v/>
      </c>
      <c r="AB122" s="50">
        <f>P122*K122</f>
        <v/>
      </c>
      <c r="AC122" s="50">
        <f>Q122*K122</f>
        <v/>
      </c>
      <c r="AD122" s="50">
        <f>R122*K122</f>
        <v/>
      </c>
      <c r="AE122" s="50">
        <f>S122*K122</f>
        <v/>
      </c>
      <c r="AF122" s="50">
        <f>T122*K122</f>
        <v/>
      </c>
      <c r="AG122" s="50">
        <f>U122*K122</f>
        <v/>
      </c>
      <c r="AH122" s="50">
        <f>V122*K122</f>
        <v/>
      </c>
      <c r="AI122" s="50">
        <f>W122*K122</f>
        <v/>
      </c>
    </row>
    <row r="123">
      <c r="A123" s="25" t="n">
        <v>1003</v>
      </c>
      <c r="B123" s="45">
        <f>IF(A123="","",IFERROR(INDEX(Mitarbeiter!$B$6:$B$205,MATCH($A123,Mitarbeiter!$A$6:$A$205,0)),"?"))</f>
        <v/>
      </c>
      <c r="C123" s="46" t="inlineStr">
        <is>
          <t>Objekt 1</t>
        </is>
      </c>
      <c r="D123" s="26" t="n">
        <v>46292</v>
      </c>
      <c r="E123" s="26" t="n">
        <v>46298</v>
      </c>
      <c r="F123" s="24">
        <f>IF(A123="","",SUM(L123:W123))</f>
        <v/>
      </c>
      <c r="G123" s="36">
        <f>IF(A123="","",SUM(X123:AI123))</f>
        <v/>
      </c>
      <c r="H123" s="8">
        <f>IF(A123="","",IF(ISNA(MATCH(A123,Mitarbeiter!$A$6:$A$205,0)),"Pers.-Nr. unbekannt",IF(D123="","Von fehlt",IF(AND(C123&lt;&gt;Einstellungen!$C$4,C123&lt;&gt;Einstellungen!$C$5),"Objekt fehlt",IF(J123&lt;D123,"Bis vor Von",IF(D123&lt;INDEX(Mitarbeiter!$C$6:$C$205,MATCH($A123,Mitarbeiter!$A$6:$A$205,0)),"vor Eintritt",IF(AND(INDEX(Mitarbeiter!$D$6:$D$205,MATCH($A123,Mitarbeiter!$A$6:$A$205,0))&lt;&gt;"",D123&gt;INDEX(Mitarbeiter!$D$6:$D$205,MATCH($A123,Mitarbeiter!$A$6:$A$205,0))),"nach Austritt",IF(E123="","offen","ok"))))))))</f>
        <v/>
      </c>
      <c r="J123" s="47">
        <f>IF(A123="","",IF(E123="",Einstellungen!$C$9,E123))</f>
        <v/>
      </c>
      <c r="K123" s="48">
        <f>IF(A123="",0,IFERROR(INDEX(Mitarbeiter!$F$6:$F$205,MATCH($A123,Mitarbeiter!$A$6:$A$205,0)),0))</f>
        <v/>
      </c>
      <c r="L123" s="49">
        <f>IF(OR(A123="",D123=""),0,MAX(0,NETWORKDAYS(MAX(D123,DATE(Einstellungen!$C$3,1,1)),MIN(J123,DATE(Einstellungen!$C$3,2,0)),Einstellungen!$F$13:$F$32)))</f>
        <v/>
      </c>
      <c r="M123" s="49">
        <f>IF(OR(A123="",D123=""),0,MAX(0,NETWORKDAYS(MAX(D123,DATE(Einstellungen!$C$3,2,1)),MIN(J123,DATE(Einstellungen!$C$3,3,0)),Einstellungen!$F$13:$F$32)))</f>
        <v/>
      </c>
      <c r="N123" s="49">
        <f>IF(OR(A123="",D123=""),0,MAX(0,NETWORKDAYS(MAX(D123,DATE(Einstellungen!$C$3,3,1)),MIN(J123,DATE(Einstellungen!$C$3,4,0)),Einstellungen!$F$13:$F$32)))</f>
        <v/>
      </c>
      <c r="O123" s="49">
        <f>IF(OR(A123="",D123=""),0,MAX(0,NETWORKDAYS(MAX(D123,DATE(Einstellungen!$C$3,4,1)),MIN(J123,DATE(Einstellungen!$C$3,5,0)),Einstellungen!$F$13:$F$32)))</f>
        <v/>
      </c>
      <c r="P123" s="49">
        <f>IF(OR(A123="",D123=""),0,MAX(0,NETWORKDAYS(MAX(D123,DATE(Einstellungen!$C$3,5,1)),MIN(J123,DATE(Einstellungen!$C$3,6,0)),Einstellungen!$F$13:$F$32)))</f>
        <v/>
      </c>
      <c r="Q123" s="49">
        <f>IF(OR(A123="",D123=""),0,MAX(0,NETWORKDAYS(MAX(D123,DATE(Einstellungen!$C$3,6,1)),MIN(J123,DATE(Einstellungen!$C$3,7,0)),Einstellungen!$F$13:$F$32)))</f>
        <v/>
      </c>
      <c r="R123" s="49">
        <f>IF(OR(A123="",D123=""),0,MAX(0,NETWORKDAYS(MAX(D123,DATE(Einstellungen!$C$3,7,1)),MIN(J123,DATE(Einstellungen!$C$3,8,0)),Einstellungen!$F$13:$F$32)))</f>
        <v/>
      </c>
      <c r="S123" s="49">
        <f>IF(OR(A123="",D123=""),0,MAX(0,NETWORKDAYS(MAX(D123,DATE(Einstellungen!$C$3,8,1)),MIN(J123,DATE(Einstellungen!$C$3,9,0)),Einstellungen!$F$13:$F$32)))</f>
        <v/>
      </c>
      <c r="T123" s="49">
        <f>IF(OR(A123="",D123=""),0,MAX(0,NETWORKDAYS(MAX(D123,DATE(Einstellungen!$C$3,9,1)),MIN(J123,DATE(Einstellungen!$C$3,10,0)),Einstellungen!$F$13:$F$32)))</f>
        <v/>
      </c>
      <c r="U123" s="49">
        <f>IF(OR(A123="",D123=""),0,MAX(0,NETWORKDAYS(MAX(D123,DATE(Einstellungen!$C$3,10,1)),MIN(J123,DATE(Einstellungen!$C$3,11,0)),Einstellungen!$F$13:$F$32)))</f>
        <v/>
      </c>
      <c r="V123" s="49">
        <f>IF(OR(A123="",D123=""),0,MAX(0,NETWORKDAYS(MAX(D123,DATE(Einstellungen!$C$3,11,1)),MIN(J123,DATE(Einstellungen!$C$3,12,0)),Einstellungen!$F$13:$F$32)))</f>
        <v/>
      </c>
      <c r="W123" s="49">
        <f>IF(OR(A123="",D123=""),0,MAX(0,NETWORKDAYS(MAX(D123,DATE(Einstellungen!$C$3,12,1)),MIN(J123,DATE(Einstellungen!$C$3,13,0)),Einstellungen!$F$13:$F$32)))</f>
        <v/>
      </c>
      <c r="X123" s="50">
        <f>L123*K123</f>
        <v/>
      </c>
      <c r="Y123" s="50">
        <f>M123*K123</f>
        <v/>
      </c>
      <c r="Z123" s="50">
        <f>N123*K123</f>
        <v/>
      </c>
      <c r="AA123" s="50">
        <f>O123*K123</f>
        <v/>
      </c>
      <c r="AB123" s="50">
        <f>P123*K123</f>
        <v/>
      </c>
      <c r="AC123" s="50">
        <f>Q123*K123</f>
        <v/>
      </c>
      <c r="AD123" s="50">
        <f>R123*K123</f>
        <v/>
      </c>
      <c r="AE123" s="50">
        <f>S123*K123</f>
        <v/>
      </c>
      <c r="AF123" s="50">
        <f>T123*K123</f>
        <v/>
      </c>
      <c r="AG123" s="50">
        <f>U123*K123</f>
        <v/>
      </c>
      <c r="AH123" s="50">
        <f>V123*K123</f>
        <v/>
      </c>
      <c r="AI123" s="50">
        <f>W123*K123</f>
        <v/>
      </c>
    </row>
    <row r="124">
      <c r="A124" s="25" t="n"/>
      <c r="B124" s="45">
        <f>IF(A124="","",IFERROR(INDEX(Mitarbeiter!$B$6:$B$205,MATCH($A124,Mitarbeiter!$A$6:$A$205,0)),"?"))</f>
        <v/>
      </c>
      <c r="C124" s="46" t="n"/>
      <c r="D124" s="26" t="n"/>
      <c r="E124" s="26" t="n"/>
      <c r="F124" s="24">
        <f>IF(A124="","",SUM(L124:W124))</f>
        <v/>
      </c>
      <c r="G124" s="36">
        <f>IF(A124="","",SUM(X124:AI124))</f>
        <v/>
      </c>
      <c r="H124" s="8">
        <f>IF(A124="","",IF(ISNA(MATCH(A124,Mitarbeiter!$A$6:$A$205,0)),"Pers.-Nr. unbekannt",IF(D124="","Von fehlt",IF(AND(C124&lt;&gt;Einstellungen!$C$4,C124&lt;&gt;Einstellungen!$C$5),"Objekt fehlt",IF(J124&lt;D124,"Bis vor Von",IF(D124&lt;INDEX(Mitarbeiter!$C$6:$C$205,MATCH($A124,Mitarbeiter!$A$6:$A$205,0)),"vor Eintritt",IF(AND(INDEX(Mitarbeiter!$D$6:$D$205,MATCH($A124,Mitarbeiter!$A$6:$A$205,0))&lt;&gt;"",D124&gt;INDEX(Mitarbeiter!$D$6:$D$205,MATCH($A124,Mitarbeiter!$A$6:$A$205,0))),"nach Austritt",IF(E124="","offen","ok"))))))))</f>
        <v/>
      </c>
      <c r="J124" s="47">
        <f>IF(A124="","",IF(E124="",Einstellungen!$C$9,E124))</f>
        <v/>
      </c>
      <c r="K124" s="48">
        <f>IF(A124="",0,IFERROR(INDEX(Mitarbeiter!$F$6:$F$205,MATCH($A124,Mitarbeiter!$A$6:$A$205,0)),0))</f>
        <v/>
      </c>
      <c r="L124" s="49">
        <f>IF(OR(A124="",D124=""),0,MAX(0,NETWORKDAYS(MAX(D124,DATE(Einstellungen!$C$3,1,1)),MIN(J124,DATE(Einstellungen!$C$3,2,0)),Einstellungen!$F$13:$F$32)))</f>
        <v/>
      </c>
      <c r="M124" s="49">
        <f>IF(OR(A124="",D124=""),0,MAX(0,NETWORKDAYS(MAX(D124,DATE(Einstellungen!$C$3,2,1)),MIN(J124,DATE(Einstellungen!$C$3,3,0)),Einstellungen!$F$13:$F$32)))</f>
        <v/>
      </c>
      <c r="N124" s="49">
        <f>IF(OR(A124="",D124=""),0,MAX(0,NETWORKDAYS(MAX(D124,DATE(Einstellungen!$C$3,3,1)),MIN(J124,DATE(Einstellungen!$C$3,4,0)),Einstellungen!$F$13:$F$32)))</f>
        <v/>
      </c>
      <c r="O124" s="49">
        <f>IF(OR(A124="",D124=""),0,MAX(0,NETWORKDAYS(MAX(D124,DATE(Einstellungen!$C$3,4,1)),MIN(J124,DATE(Einstellungen!$C$3,5,0)),Einstellungen!$F$13:$F$32)))</f>
        <v/>
      </c>
      <c r="P124" s="49">
        <f>IF(OR(A124="",D124=""),0,MAX(0,NETWORKDAYS(MAX(D124,DATE(Einstellungen!$C$3,5,1)),MIN(J124,DATE(Einstellungen!$C$3,6,0)),Einstellungen!$F$13:$F$32)))</f>
        <v/>
      </c>
      <c r="Q124" s="49">
        <f>IF(OR(A124="",D124=""),0,MAX(0,NETWORKDAYS(MAX(D124,DATE(Einstellungen!$C$3,6,1)),MIN(J124,DATE(Einstellungen!$C$3,7,0)),Einstellungen!$F$13:$F$32)))</f>
        <v/>
      </c>
      <c r="R124" s="49">
        <f>IF(OR(A124="",D124=""),0,MAX(0,NETWORKDAYS(MAX(D124,DATE(Einstellungen!$C$3,7,1)),MIN(J124,DATE(Einstellungen!$C$3,8,0)),Einstellungen!$F$13:$F$32)))</f>
        <v/>
      </c>
      <c r="S124" s="49">
        <f>IF(OR(A124="",D124=""),0,MAX(0,NETWORKDAYS(MAX(D124,DATE(Einstellungen!$C$3,8,1)),MIN(J124,DATE(Einstellungen!$C$3,9,0)),Einstellungen!$F$13:$F$32)))</f>
        <v/>
      </c>
      <c r="T124" s="49">
        <f>IF(OR(A124="",D124=""),0,MAX(0,NETWORKDAYS(MAX(D124,DATE(Einstellungen!$C$3,9,1)),MIN(J124,DATE(Einstellungen!$C$3,10,0)),Einstellungen!$F$13:$F$32)))</f>
        <v/>
      </c>
      <c r="U124" s="49">
        <f>IF(OR(A124="",D124=""),0,MAX(0,NETWORKDAYS(MAX(D124,DATE(Einstellungen!$C$3,10,1)),MIN(J124,DATE(Einstellungen!$C$3,11,0)),Einstellungen!$F$13:$F$32)))</f>
        <v/>
      </c>
      <c r="V124" s="49">
        <f>IF(OR(A124="",D124=""),0,MAX(0,NETWORKDAYS(MAX(D124,DATE(Einstellungen!$C$3,11,1)),MIN(J124,DATE(Einstellungen!$C$3,12,0)),Einstellungen!$F$13:$F$32)))</f>
        <v/>
      </c>
      <c r="W124" s="49">
        <f>IF(OR(A124="",D124=""),0,MAX(0,NETWORKDAYS(MAX(D124,DATE(Einstellungen!$C$3,12,1)),MIN(J124,DATE(Einstellungen!$C$3,13,0)),Einstellungen!$F$13:$F$32)))</f>
        <v/>
      </c>
      <c r="X124" s="50">
        <f>L124*K124</f>
        <v/>
      </c>
      <c r="Y124" s="50">
        <f>M124*K124</f>
        <v/>
      </c>
      <c r="Z124" s="50">
        <f>N124*K124</f>
        <v/>
      </c>
      <c r="AA124" s="50">
        <f>O124*K124</f>
        <v/>
      </c>
      <c r="AB124" s="50">
        <f>P124*K124</f>
        <v/>
      </c>
      <c r="AC124" s="50">
        <f>Q124*K124</f>
        <v/>
      </c>
      <c r="AD124" s="50">
        <f>R124*K124</f>
        <v/>
      </c>
      <c r="AE124" s="50">
        <f>S124*K124</f>
        <v/>
      </c>
      <c r="AF124" s="50">
        <f>T124*K124</f>
        <v/>
      </c>
      <c r="AG124" s="50">
        <f>U124*K124</f>
        <v/>
      </c>
      <c r="AH124" s="50">
        <f>V124*K124</f>
        <v/>
      </c>
      <c r="AI124" s="50">
        <f>W124*K124</f>
        <v/>
      </c>
    </row>
    <row r="125">
      <c r="A125" s="25" t="n"/>
      <c r="B125" s="45">
        <f>IF(A125="","",IFERROR(INDEX(Mitarbeiter!$B$6:$B$205,MATCH($A125,Mitarbeiter!$A$6:$A$205,0)),"?"))</f>
        <v/>
      </c>
      <c r="C125" s="46" t="n"/>
      <c r="D125" s="26" t="n"/>
      <c r="E125" s="26" t="n"/>
      <c r="F125" s="24">
        <f>IF(A125="","",SUM(L125:W125))</f>
        <v/>
      </c>
      <c r="G125" s="36">
        <f>IF(A125="","",SUM(X125:AI125))</f>
        <v/>
      </c>
      <c r="H125" s="8">
        <f>IF(A125="","",IF(ISNA(MATCH(A125,Mitarbeiter!$A$6:$A$205,0)),"Pers.-Nr. unbekannt",IF(D125="","Von fehlt",IF(AND(C125&lt;&gt;Einstellungen!$C$4,C125&lt;&gt;Einstellungen!$C$5),"Objekt fehlt",IF(J125&lt;D125,"Bis vor Von",IF(D125&lt;INDEX(Mitarbeiter!$C$6:$C$205,MATCH($A125,Mitarbeiter!$A$6:$A$205,0)),"vor Eintritt",IF(AND(INDEX(Mitarbeiter!$D$6:$D$205,MATCH($A125,Mitarbeiter!$A$6:$A$205,0))&lt;&gt;"",D125&gt;INDEX(Mitarbeiter!$D$6:$D$205,MATCH($A125,Mitarbeiter!$A$6:$A$205,0))),"nach Austritt",IF(E125="","offen","ok"))))))))</f>
        <v/>
      </c>
      <c r="J125" s="47">
        <f>IF(A125="","",IF(E125="",Einstellungen!$C$9,E125))</f>
        <v/>
      </c>
      <c r="K125" s="48">
        <f>IF(A125="",0,IFERROR(INDEX(Mitarbeiter!$F$6:$F$205,MATCH($A125,Mitarbeiter!$A$6:$A$205,0)),0))</f>
        <v/>
      </c>
      <c r="L125" s="49">
        <f>IF(OR(A125="",D125=""),0,MAX(0,NETWORKDAYS(MAX(D125,DATE(Einstellungen!$C$3,1,1)),MIN(J125,DATE(Einstellungen!$C$3,2,0)),Einstellungen!$F$13:$F$32)))</f>
        <v/>
      </c>
      <c r="M125" s="49">
        <f>IF(OR(A125="",D125=""),0,MAX(0,NETWORKDAYS(MAX(D125,DATE(Einstellungen!$C$3,2,1)),MIN(J125,DATE(Einstellungen!$C$3,3,0)),Einstellungen!$F$13:$F$32)))</f>
        <v/>
      </c>
      <c r="N125" s="49">
        <f>IF(OR(A125="",D125=""),0,MAX(0,NETWORKDAYS(MAX(D125,DATE(Einstellungen!$C$3,3,1)),MIN(J125,DATE(Einstellungen!$C$3,4,0)),Einstellungen!$F$13:$F$32)))</f>
        <v/>
      </c>
      <c r="O125" s="49">
        <f>IF(OR(A125="",D125=""),0,MAX(0,NETWORKDAYS(MAX(D125,DATE(Einstellungen!$C$3,4,1)),MIN(J125,DATE(Einstellungen!$C$3,5,0)),Einstellungen!$F$13:$F$32)))</f>
        <v/>
      </c>
      <c r="P125" s="49">
        <f>IF(OR(A125="",D125=""),0,MAX(0,NETWORKDAYS(MAX(D125,DATE(Einstellungen!$C$3,5,1)),MIN(J125,DATE(Einstellungen!$C$3,6,0)),Einstellungen!$F$13:$F$32)))</f>
        <v/>
      </c>
      <c r="Q125" s="49">
        <f>IF(OR(A125="",D125=""),0,MAX(0,NETWORKDAYS(MAX(D125,DATE(Einstellungen!$C$3,6,1)),MIN(J125,DATE(Einstellungen!$C$3,7,0)),Einstellungen!$F$13:$F$32)))</f>
        <v/>
      </c>
      <c r="R125" s="49">
        <f>IF(OR(A125="",D125=""),0,MAX(0,NETWORKDAYS(MAX(D125,DATE(Einstellungen!$C$3,7,1)),MIN(J125,DATE(Einstellungen!$C$3,8,0)),Einstellungen!$F$13:$F$32)))</f>
        <v/>
      </c>
      <c r="S125" s="49">
        <f>IF(OR(A125="",D125=""),0,MAX(0,NETWORKDAYS(MAX(D125,DATE(Einstellungen!$C$3,8,1)),MIN(J125,DATE(Einstellungen!$C$3,9,0)),Einstellungen!$F$13:$F$32)))</f>
        <v/>
      </c>
      <c r="T125" s="49">
        <f>IF(OR(A125="",D125=""),0,MAX(0,NETWORKDAYS(MAX(D125,DATE(Einstellungen!$C$3,9,1)),MIN(J125,DATE(Einstellungen!$C$3,10,0)),Einstellungen!$F$13:$F$32)))</f>
        <v/>
      </c>
      <c r="U125" s="49">
        <f>IF(OR(A125="",D125=""),0,MAX(0,NETWORKDAYS(MAX(D125,DATE(Einstellungen!$C$3,10,1)),MIN(J125,DATE(Einstellungen!$C$3,11,0)),Einstellungen!$F$13:$F$32)))</f>
        <v/>
      </c>
      <c r="V125" s="49">
        <f>IF(OR(A125="",D125=""),0,MAX(0,NETWORKDAYS(MAX(D125,DATE(Einstellungen!$C$3,11,1)),MIN(J125,DATE(Einstellungen!$C$3,12,0)),Einstellungen!$F$13:$F$32)))</f>
        <v/>
      </c>
      <c r="W125" s="49">
        <f>IF(OR(A125="",D125=""),0,MAX(0,NETWORKDAYS(MAX(D125,DATE(Einstellungen!$C$3,12,1)),MIN(J125,DATE(Einstellungen!$C$3,13,0)),Einstellungen!$F$13:$F$32)))</f>
        <v/>
      </c>
      <c r="X125" s="50">
        <f>L125*K125</f>
        <v/>
      </c>
      <c r="Y125" s="50">
        <f>M125*K125</f>
        <v/>
      </c>
      <c r="Z125" s="50">
        <f>N125*K125</f>
        <v/>
      </c>
      <c r="AA125" s="50">
        <f>O125*K125</f>
        <v/>
      </c>
      <c r="AB125" s="50">
        <f>P125*K125</f>
        <v/>
      </c>
      <c r="AC125" s="50">
        <f>Q125*K125</f>
        <v/>
      </c>
      <c r="AD125" s="50">
        <f>R125*K125</f>
        <v/>
      </c>
      <c r="AE125" s="50">
        <f>S125*K125</f>
        <v/>
      </c>
      <c r="AF125" s="50">
        <f>T125*K125</f>
        <v/>
      </c>
      <c r="AG125" s="50">
        <f>U125*K125</f>
        <v/>
      </c>
      <c r="AH125" s="50">
        <f>V125*K125</f>
        <v/>
      </c>
      <c r="AI125" s="50">
        <f>W125*K125</f>
        <v/>
      </c>
    </row>
    <row r="126">
      <c r="A126" s="25" t="n"/>
      <c r="B126" s="45">
        <f>IF(A126="","",IFERROR(INDEX(Mitarbeiter!$B$6:$B$205,MATCH($A126,Mitarbeiter!$A$6:$A$205,0)),"?"))</f>
        <v/>
      </c>
      <c r="C126" s="46" t="n"/>
      <c r="D126" s="26" t="n"/>
      <c r="E126" s="26" t="n"/>
      <c r="F126" s="24">
        <f>IF(A126="","",SUM(L126:W126))</f>
        <v/>
      </c>
      <c r="G126" s="36">
        <f>IF(A126="","",SUM(X126:AI126))</f>
        <v/>
      </c>
      <c r="H126" s="8">
        <f>IF(A126="","",IF(ISNA(MATCH(A126,Mitarbeiter!$A$6:$A$205,0)),"Pers.-Nr. unbekannt",IF(D126="","Von fehlt",IF(AND(C126&lt;&gt;Einstellungen!$C$4,C126&lt;&gt;Einstellungen!$C$5),"Objekt fehlt",IF(J126&lt;D126,"Bis vor Von",IF(D126&lt;INDEX(Mitarbeiter!$C$6:$C$205,MATCH($A126,Mitarbeiter!$A$6:$A$205,0)),"vor Eintritt",IF(AND(INDEX(Mitarbeiter!$D$6:$D$205,MATCH($A126,Mitarbeiter!$A$6:$A$205,0))&lt;&gt;"",D126&gt;INDEX(Mitarbeiter!$D$6:$D$205,MATCH($A126,Mitarbeiter!$A$6:$A$205,0))),"nach Austritt",IF(E126="","offen","ok"))))))))</f>
        <v/>
      </c>
      <c r="J126" s="47">
        <f>IF(A126="","",IF(E126="",Einstellungen!$C$9,E126))</f>
        <v/>
      </c>
      <c r="K126" s="48">
        <f>IF(A126="",0,IFERROR(INDEX(Mitarbeiter!$F$6:$F$205,MATCH($A126,Mitarbeiter!$A$6:$A$205,0)),0))</f>
        <v/>
      </c>
      <c r="L126" s="49">
        <f>IF(OR(A126="",D126=""),0,MAX(0,NETWORKDAYS(MAX(D126,DATE(Einstellungen!$C$3,1,1)),MIN(J126,DATE(Einstellungen!$C$3,2,0)),Einstellungen!$F$13:$F$32)))</f>
        <v/>
      </c>
      <c r="M126" s="49">
        <f>IF(OR(A126="",D126=""),0,MAX(0,NETWORKDAYS(MAX(D126,DATE(Einstellungen!$C$3,2,1)),MIN(J126,DATE(Einstellungen!$C$3,3,0)),Einstellungen!$F$13:$F$32)))</f>
        <v/>
      </c>
      <c r="N126" s="49">
        <f>IF(OR(A126="",D126=""),0,MAX(0,NETWORKDAYS(MAX(D126,DATE(Einstellungen!$C$3,3,1)),MIN(J126,DATE(Einstellungen!$C$3,4,0)),Einstellungen!$F$13:$F$32)))</f>
        <v/>
      </c>
      <c r="O126" s="49">
        <f>IF(OR(A126="",D126=""),0,MAX(0,NETWORKDAYS(MAX(D126,DATE(Einstellungen!$C$3,4,1)),MIN(J126,DATE(Einstellungen!$C$3,5,0)),Einstellungen!$F$13:$F$32)))</f>
        <v/>
      </c>
      <c r="P126" s="49">
        <f>IF(OR(A126="",D126=""),0,MAX(0,NETWORKDAYS(MAX(D126,DATE(Einstellungen!$C$3,5,1)),MIN(J126,DATE(Einstellungen!$C$3,6,0)),Einstellungen!$F$13:$F$32)))</f>
        <v/>
      </c>
      <c r="Q126" s="49">
        <f>IF(OR(A126="",D126=""),0,MAX(0,NETWORKDAYS(MAX(D126,DATE(Einstellungen!$C$3,6,1)),MIN(J126,DATE(Einstellungen!$C$3,7,0)),Einstellungen!$F$13:$F$32)))</f>
        <v/>
      </c>
      <c r="R126" s="49">
        <f>IF(OR(A126="",D126=""),0,MAX(0,NETWORKDAYS(MAX(D126,DATE(Einstellungen!$C$3,7,1)),MIN(J126,DATE(Einstellungen!$C$3,8,0)),Einstellungen!$F$13:$F$32)))</f>
        <v/>
      </c>
      <c r="S126" s="49">
        <f>IF(OR(A126="",D126=""),0,MAX(0,NETWORKDAYS(MAX(D126,DATE(Einstellungen!$C$3,8,1)),MIN(J126,DATE(Einstellungen!$C$3,9,0)),Einstellungen!$F$13:$F$32)))</f>
        <v/>
      </c>
      <c r="T126" s="49">
        <f>IF(OR(A126="",D126=""),0,MAX(0,NETWORKDAYS(MAX(D126,DATE(Einstellungen!$C$3,9,1)),MIN(J126,DATE(Einstellungen!$C$3,10,0)),Einstellungen!$F$13:$F$32)))</f>
        <v/>
      </c>
      <c r="U126" s="49">
        <f>IF(OR(A126="",D126=""),0,MAX(0,NETWORKDAYS(MAX(D126,DATE(Einstellungen!$C$3,10,1)),MIN(J126,DATE(Einstellungen!$C$3,11,0)),Einstellungen!$F$13:$F$32)))</f>
        <v/>
      </c>
      <c r="V126" s="49">
        <f>IF(OR(A126="",D126=""),0,MAX(0,NETWORKDAYS(MAX(D126,DATE(Einstellungen!$C$3,11,1)),MIN(J126,DATE(Einstellungen!$C$3,12,0)),Einstellungen!$F$13:$F$32)))</f>
        <v/>
      </c>
      <c r="W126" s="49">
        <f>IF(OR(A126="",D126=""),0,MAX(0,NETWORKDAYS(MAX(D126,DATE(Einstellungen!$C$3,12,1)),MIN(J126,DATE(Einstellungen!$C$3,13,0)),Einstellungen!$F$13:$F$32)))</f>
        <v/>
      </c>
      <c r="X126" s="50">
        <f>L126*K126</f>
        <v/>
      </c>
      <c r="Y126" s="50">
        <f>M126*K126</f>
        <v/>
      </c>
      <c r="Z126" s="50">
        <f>N126*K126</f>
        <v/>
      </c>
      <c r="AA126" s="50">
        <f>O126*K126</f>
        <v/>
      </c>
      <c r="AB126" s="50">
        <f>P126*K126</f>
        <v/>
      </c>
      <c r="AC126" s="50">
        <f>Q126*K126</f>
        <v/>
      </c>
      <c r="AD126" s="50">
        <f>R126*K126</f>
        <v/>
      </c>
      <c r="AE126" s="50">
        <f>S126*K126</f>
        <v/>
      </c>
      <c r="AF126" s="50">
        <f>T126*K126</f>
        <v/>
      </c>
      <c r="AG126" s="50">
        <f>U126*K126</f>
        <v/>
      </c>
      <c r="AH126" s="50">
        <f>V126*K126</f>
        <v/>
      </c>
      <c r="AI126" s="50">
        <f>W126*K126</f>
        <v/>
      </c>
    </row>
    <row r="127">
      <c r="A127" s="25" t="n"/>
      <c r="B127" s="45">
        <f>IF(A127="","",IFERROR(INDEX(Mitarbeiter!$B$6:$B$205,MATCH($A127,Mitarbeiter!$A$6:$A$205,0)),"?"))</f>
        <v/>
      </c>
      <c r="C127" s="46" t="n"/>
      <c r="D127" s="26" t="n"/>
      <c r="E127" s="26" t="n"/>
      <c r="F127" s="24">
        <f>IF(A127="","",SUM(L127:W127))</f>
        <v/>
      </c>
      <c r="G127" s="36">
        <f>IF(A127="","",SUM(X127:AI127))</f>
        <v/>
      </c>
      <c r="H127" s="8">
        <f>IF(A127="","",IF(ISNA(MATCH(A127,Mitarbeiter!$A$6:$A$205,0)),"Pers.-Nr. unbekannt",IF(D127="","Von fehlt",IF(AND(C127&lt;&gt;Einstellungen!$C$4,C127&lt;&gt;Einstellungen!$C$5),"Objekt fehlt",IF(J127&lt;D127,"Bis vor Von",IF(D127&lt;INDEX(Mitarbeiter!$C$6:$C$205,MATCH($A127,Mitarbeiter!$A$6:$A$205,0)),"vor Eintritt",IF(AND(INDEX(Mitarbeiter!$D$6:$D$205,MATCH($A127,Mitarbeiter!$A$6:$A$205,0))&lt;&gt;"",D127&gt;INDEX(Mitarbeiter!$D$6:$D$205,MATCH($A127,Mitarbeiter!$A$6:$A$205,0))),"nach Austritt",IF(E127="","offen","ok"))))))))</f>
        <v/>
      </c>
      <c r="J127" s="47">
        <f>IF(A127="","",IF(E127="",Einstellungen!$C$9,E127))</f>
        <v/>
      </c>
      <c r="K127" s="48">
        <f>IF(A127="",0,IFERROR(INDEX(Mitarbeiter!$F$6:$F$205,MATCH($A127,Mitarbeiter!$A$6:$A$205,0)),0))</f>
        <v/>
      </c>
      <c r="L127" s="49">
        <f>IF(OR(A127="",D127=""),0,MAX(0,NETWORKDAYS(MAX(D127,DATE(Einstellungen!$C$3,1,1)),MIN(J127,DATE(Einstellungen!$C$3,2,0)),Einstellungen!$F$13:$F$32)))</f>
        <v/>
      </c>
      <c r="M127" s="49">
        <f>IF(OR(A127="",D127=""),0,MAX(0,NETWORKDAYS(MAX(D127,DATE(Einstellungen!$C$3,2,1)),MIN(J127,DATE(Einstellungen!$C$3,3,0)),Einstellungen!$F$13:$F$32)))</f>
        <v/>
      </c>
      <c r="N127" s="49">
        <f>IF(OR(A127="",D127=""),0,MAX(0,NETWORKDAYS(MAX(D127,DATE(Einstellungen!$C$3,3,1)),MIN(J127,DATE(Einstellungen!$C$3,4,0)),Einstellungen!$F$13:$F$32)))</f>
        <v/>
      </c>
      <c r="O127" s="49">
        <f>IF(OR(A127="",D127=""),0,MAX(0,NETWORKDAYS(MAX(D127,DATE(Einstellungen!$C$3,4,1)),MIN(J127,DATE(Einstellungen!$C$3,5,0)),Einstellungen!$F$13:$F$32)))</f>
        <v/>
      </c>
      <c r="P127" s="49">
        <f>IF(OR(A127="",D127=""),0,MAX(0,NETWORKDAYS(MAX(D127,DATE(Einstellungen!$C$3,5,1)),MIN(J127,DATE(Einstellungen!$C$3,6,0)),Einstellungen!$F$13:$F$32)))</f>
        <v/>
      </c>
      <c r="Q127" s="49">
        <f>IF(OR(A127="",D127=""),0,MAX(0,NETWORKDAYS(MAX(D127,DATE(Einstellungen!$C$3,6,1)),MIN(J127,DATE(Einstellungen!$C$3,7,0)),Einstellungen!$F$13:$F$32)))</f>
        <v/>
      </c>
      <c r="R127" s="49">
        <f>IF(OR(A127="",D127=""),0,MAX(0,NETWORKDAYS(MAX(D127,DATE(Einstellungen!$C$3,7,1)),MIN(J127,DATE(Einstellungen!$C$3,8,0)),Einstellungen!$F$13:$F$32)))</f>
        <v/>
      </c>
      <c r="S127" s="49">
        <f>IF(OR(A127="",D127=""),0,MAX(0,NETWORKDAYS(MAX(D127,DATE(Einstellungen!$C$3,8,1)),MIN(J127,DATE(Einstellungen!$C$3,9,0)),Einstellungen!$F$13:$F$32)))</f>
        <v/>
      </c>
      <c r="T127" s="49">
        <f>IF(OR(A127="",D127=""),0,MAX(0,NETWORKDAYS(MAX(D127,DATE(Einstellungen!$C$3,9,1)),MIN(J127,DATE(Einstellungen!$C$3,10,0)),Einstellungen!$F$13:$F$32)))</f>
        <v/>
      </c>
      <c r="U127" s="49">
        <f>IF(OR(A127="",D127=""),0,MAX(0,NETWORKDAYS(MAX(D127,DATE(Einstellungen!$C$3,10,1)),MIN(J127,DATE(Einstellungen!$C$3,11,0)),Einstellungen!$F$13:$F$32)))</f>
        <v/>
      </c>
      <c r="V127" s="49">
        <f>IF(OR(A127="",D127=""),0,MAX(0,NETWORKDAYS(MAX(D127,DATE(Einstellungen!$C$3,11,1)),MIN(J127,DATE(Einstellungen!$C$3,12,0)),Einstellungen!$F$13:$F$32)))</f>
        <v/>
      </c>
      <c r="W127" s="49">
        <f>IF(OR(A127="",D127=""),0,MAX(0,NETWORKDAYS(MAX(D127,DATE(Einstellungen!$C$3,12,1)),MIN(J127,DATE(Einstellungen!$C$3,13,0)),Einstellungen!$F$13:$F$32)))</f>
        <v/>
      </c>
      <c r="X127" s="50">
        <f>L127*K127</f>
        <v/>
      </c>
      <c r="Y127" s="50">
        <f>M127*K127</f>
        <v/>
      </c>
      <c r="Z127" s="50">
        <f>N127*K127</f>
        <v/>
      </c>
      <c r="AA127" s="50">
        <f>O127*K127</f>
        <v/>
      </c>
      <c r="AB127" s="50">
        <f>P127*K127</f>
        <v/>
      </c>
      <c r="AC127" s="50">
        <f>Q127*K127</f>
        <v/>
      </c>
      <c r="AD127" s="50">
        <f>R127*K127</f>
        <v/>
      </c>
      <c r="AE127" s="50">
        <f>S127*K127</f>
        <v/>
      </c>
      <c r="AF127" s="50">
        <f>T127*K127</f>
        <v/>
      </c>
      <c r="AG127" s="50">
        <f>U127*K127</f>
        <v/>
      </c>
      <c r="AH127" s="50">
        <f>V127*K127</f>
        <v/>
      </c>
      <c r="AI127" s="50">
        <f>W127*K127</f>
        <v/>
      </c>
    </row>
    <row r="128">
      <c r="A128" s="25" t="n"/>
      <c r="B128" s="45">
        <f>IF(A128="","",IFERROR(INDEX(Mitarbeiter!$B$6:$B$205,MATCH($A128,Mitarbeiter!$A$6:$A$205,0)),"?"))</f>
        <v/>
      </c>
      <c r="C128" s="46" t="n"/>
      <c r="D128" s="26" t="n"/>
      <c r="E128" s="26" t="n"/>
      <c r="F128" s="24">
        <f>IF(A128="","",SUM(L128:W128))</f>
        <v/>
      </c>
      <c r="G128" s="36">
        <f>IF(A128="","",SUM(X128:AI128))</f>
        <v/>
      </c>
      <c r="H128" s="8">
        <f>IF(A128="","",IF(ISNA(MATCH(A128,Mitarbeiter!$A$6:$A$205,0)),"Pers.-Nr. unbekannt",IF(D128="","Von fehlt",IF(AND(C128&lt;&gt;Einstellungen!$C$4,C128&lt;&gt;Einstellungen!$C$5),"Objekt fehlt",IF(J128&lt;D128,"Bis vor Von",IF(D128&lt;INDEX(Mitarbeiter!$C$6:$C$205,MATCH($A128,Mitarbeiter!$A$6:$A$205,0)),"vor Eintritt",IF(AND(INDEX(Mitarbeiter!$D$6:$D$205,MATCH($A128,Mitarbeiter!$A$6:$A$205,0))&lt;&gt;"",D128&gt;INDEX(Mitarbeiter!$D$6:$D$205,MATCH($A128,Mitarbeiter!$A$6:$A$205,0))),"nach Austritt",IF(E128="","offen","ok"))))))))</f>
        <v/>
      </c>
      <c r="J128" s="47">
        <f>IF(A128="","",IF(E128="",Einstellungen!$C$9,E128))</f>
        <v/>
      </c>
      <c r="K128" s="48">
        <f>IF(A128="",0,IFERROR(INDEX(Mitarbeiter!$F$6:$F$205,MATCH($A128,Mitarbeiter!$A$6:$A$205,0)),0))</f>
        <v/>
      </c>
      <c r="L128" s="49">
        <f>IF(OR(A128="",D128=""),0,MAX(0,NETWORKDAYS(MAX(D128,DATE(Einstellungen!$C$3,1,1)),MIN(J128,DATE(Einstellungen!$C$3,2,0)),Einstellungen!$F$13:$F$32)))</f>
        <v/>
      </c>
      <c r="M128" s="49">
        <f>IF(OR(A128="",D128=""),0,MAX(0,NETWORKDAYS(MAX(D128,DATE(Einstellungen!$C$3,2,1)),MIN(J128,DATE(Einstellungen!$C$3,3,0)),Einstellungen!$F$13:$F$32)))</f>
        <v/>
      </c>
      <c r="N128" s="49">
        <f>IF(OR(A128="",D128=""),0,MAX(0,NETWORKDAYS(MAX(D128,DATE(Einstellungen!$C$3,3,1)),MIN(J128,DATE(Einstellungen!$C$3,4,0)),Einstellungen!$F$13:$F$32)))</f>
        <v/>
      </c>
      <c r="O128" s="49">
        <f>IF(OR(A128="",D128=""),0,MAX(0,NETWORKDAYS(MAX(D128,DATE(Einstellungen!$C$3,4,1)),MIN(J128,DATE(Einstellungen!$C$3,5,0)),Einstellungen!$F$13:$F$32)))</f>
        <v/>
      </c>
      <c r="P128" s="49">
        <f>IF(OR(A128="",D128=""),0,MAX(0,NETWORKDAYS(MAX(D128,DATE(Einstellungen!$C$3,5,1)),MIN(J128,DATE(Einstellungen!$C$3,6,0)),Einstellungen!$F$13:$F$32)))</f>
        <v/>
      </c>
      <c r="Q128" s="49">
        <f>IF(OR(A128="",D128=""),0,MAX(0,NETWORKDAYS(MAX(D128,DATE(Einstellungen!$C$3,6,1)),MIN(J128,DATE(Einstellungen!$C$3,7,0)),Einstellungen!$F$13:$F$32)))</f>
        <v/>
      </c>
      <c r="R128" s="49">
        <f>IF(OR(A128="",D128=""),0,MAX(0,NETWORKDAYS(MAX(D128,DATE(Einstellungen!$C$3,7,1)),MIN(J128,DATE(Einstellungen!$C$3,8,0)),Einstellungen!$F$13:$F$32)))</f>
        <v/>
      </c>
      <c r="S128" s="49">
        <f>IF(OR(A128="",D128=""),0,MAX(0,NETWORKDAYS(MAX(D128,DATE(Einstellungen!$C$3,8,1)),MIN(J128,DATE(Einstellungen!$C$3,9,0)),Einstellungen!$F$13:$F$32)))</f>
        <v/>
      </c>
      <c r="T128" s="49">
        <f>IF(OR(A128="",D128=""),0,MAX(0,NETWORKDAYS(MAX(D128,DATE(Einstellungen!$C$3,9,1)),MIN(J128,DATE(Einstellungen!$C$3,10,0)),Einstellungen!$F$13:$F$32)))</f>
        <v/>
      </c>
      <c r="U128" s="49">
        <f>IF(OR(A128="",D128=""),0,MAX(0,NETWORKDAYS(MAX(D128,DATE(Einstellungen!$C$3,10,1)),MIN(J128,DATE(Einstellungen!$C$3,11,0)),Einstellungen!$F$13:$F$32)))</f>
        <v/>
      </c>
      <c r="V128" s="49">
        <f>IF(OR(A128="",D128=""),0,MAX(0,NETWORKDAYS(MAX(D128,DATE(Einstellungen!$C$3,11,1)),MIN(J128,DATE(Einstellungen!$C$3,12,0)),Einstellungen!$F$13:$F$32)))</f>
        <v/>
      </c>
      <c r="W128" s="49">
        <f>IF(OR(A128="",D128=""),0,MAX(0,NETWORKDAYS(MAX(D128,DATE(Einstellungen!$C$3,12,1)),MIN(J128,DATE(Einstellungen!$C$3,13,0)),Einstellungen!$F$13:$F$32)))</f>
        <v/>
      </c>
      <c r="X128" s="50">
        <f>L128*K128</f>
        <v/>
      </c>
      <c r="Y128" s="50">
        <f>M128*K128</f>
        <v/>
      </c>
      <c r="Z128" s="50">
        <f>N128*K128</f>
        <v/>
      </c>
      <c r="AA128" s="50">
        <f>O128*K128</f>
        <v/>
      </c>
      <c r="AB128" s="50">
        <f>P128*K128</f>
        <v/>
      </c>
      <c r="AC128" s="50">
        <f>Q128*K128</f>
        <v/>
      </c>
      <c r="AD128" s="50">
        <f>R128*K128</f>
        <v/>
      </c>
      <c r="AE128" s="50">
        <f>S128*K128</f>
        <v/>
      </c>
      <c r="AF128" s="50">
        <f>T128*K128</f>
        <v/>
      </c>
      <c r="AG128" s="50">
        <f>U128*K128</f>
        <v/>
      </c>
      <c r="AH128" s="50">
        <f>V128*K128</f>
        <v/>
      </c>
      <c r="AI128" s="50">
        <f>W128*K128</f>
        <v/>
      </c>
    </row>
    <row r="129">
      <c r="A129" s="25" t="n"/>
      <c r="B129" s="45">
        <f>IF(A129="","",IFERROR(INDEX(Mitarbeiter!$B$6:$B$205,MATCH($A129,Mitarbeiter!$A$6:$A$205,0)),"?"))</f>
        <v/>
      </c>
      <c r="C129" s="46" t="n"/>
      <c r="D129" s="26" t="n"/>
      <c r="E129" s="26" t="n"/>
      <c r="F129" s="24">
        <f>IF(A129="","",SUM(L129:W129))</f>
        <v/>
      </c>
      <c r="G129" s="36">
        <f>IF(A129="","",SUM(X129:AI129))</f>
        <v/>
      </c>
      <c r="H129" s="8">
        <f>IF(A129="","",IF(ISNA(MATCH(A129,Mitarbeiter!$A$6:$A$205,0)),"Pers.-Nr. unbekannt",IF(D129="","Von fehlt",IF(AND(C129&lt;&gt;Einstellungen!$C$4,C129&lt;&gt;Einstellungen!$C$5),"Objekt fehlt",IF(J129&lt;D129,"Bis vor Von",IF(D129&lt;INDEX(Mitarbeiter!$C$6:$C$205,MATCH($A129,Mitarbeiter!$A$6:$A$205,0)),"vor Eintritt",IF(AND(INDEX(Mitarbeiter!$D$6:$D$205,MATCH($A129,Mitarbeiter!$A$6:$A$205,0))&lt;&gt;"",D129&gt;INDEX(Mitarbeiter!$D$6:$D$205,MATCH($A129,Mitarbeiter!$A$6:$A$205,0))),"nach Austritt",IF(E129="","offen","ok"))))))))</f>
        <v/>
      </c>
      <c r="J129" s="47">
        <f>IF(A129="","",IF(E129="",Einstellungen!$C$9,E129))</f>
        <v/>
      </c>
      <c r="K129" s="48">
        <f>IF(A129="",0,IFERROR(INDEX(Mitarbeiter!$F$6:$F$205,MATCH($A129,Mitarbeiter!$A$6:$A$205,0)),0))</f>
        <v/>
      </c>
      <c r="L129" s="49">
        <f>IF(OR(A129="",D129=""),0,MAX(0,NETWORKDAYS(MAX(D129,DATE(Einstellungen!$C$3,1,1)),MIN(J129,DATE(Einstellungen!$C$3,2,0)),Einstellungen!$F$13:$F$32)))</f>
        <v/>
      </c>
      <c r="M129" s="49">
        <f>IF(OR(A129="",D129=""),0,MAX(0,NETWORKDAYS(MAX(D129,DATE(Einstellungen!$C$3,2,1)),MIN(J129,DATE(Einstellungen!$C$3,3,0)),Einstellungen!$F$13:$F$32)))</f>
        <v/>
      </c>
      <c r="N129" s="49">
        <f>IF(OR(A129="",D129=""),0,MAX(0,NETWORKDAYS(MAX(D129,DATE(Einstellungen!$C$3,3,1)),MIN(J129,DATE(Einstellungen!$C$3,4,0)),Einstellungen!$F$13:$F$32)))</f>
        <v/>
      </c>
      <c r="O129" s="49">
        <f>IF(OR(A129="",D129=""),0,MAX(0,NETWORKDAYS(MAX(D129,DATE(Einstellungen!$C$3,4,1)),MIN(J129,DATE(Einstellungen!$C$3,5,0)),Einstellungen!$F$13:$F$32)))</f>
        <v/>
      </c>
      <c r="P129" s="49">
        <f>IF(OR(A129="",D129=""),0,MAX(0,NETWORKDAYS(MAX(D129,DATE(Einstellungen!$C$3,5,1)),MIN(J129,DATE(Einstellungen!$C$3,6,0)),Einstellungen!$F$13:$F$32)))</f>
        <v/>
      </c>
      <c r="Q129" s="49">
        <f>IF(OR(A129="",D129=""),0,MAX(0,NETWORKDAYS(MAX(D129,DATE(Einstellungen!$C$3,6,1)),MIN(J129,DATE(Einstellungen!$C$3,7,0)),Einstellungen!$F$13:$F$32)))</f>
        <v/>
      </c>
      <c r="R129" s="49">
        <f>IF(OR(A129="",D129=""),0,MAX(0,NETWORKDAYS(MAX(D129,DATE(Einstellungen!$C$3,7,1)),MIN(J129,DATE(Einstellungen!$C$3,8,0)),Einstellungen!$F$13:$F$32)))</f>
        <v/>
      </c>
      <c r="S129" s="49">
        <f>IF(OR(A129="",D129=""),0,MAX(0,NETWORKDAYS(MAX(D129,DATE(Einstellungen!$C$3,8,1)),MIN(J129,DATE(Einstellungen!$C$3,9,0)),Einstellungen!$F$13:$F$32)))</f>
        <v/>
      </c>
      <c r="T129" s="49">
        <f>IF(OR(A129="",D129=""),0,MAX(0,NETWORKDAYS(MAX(D129,DATE(Einstellungen!$C$3,9,1)),MIN(J129,DATE(Einstellungen!$C$3,10,0)),Einstellungen!$F$13:$F$32)))</f>
        <v/>
      </c>
      <c r="U129" s="49">
        <f>IF(OR(A129="",D129=""),0,MAX(0,NETWORKDAYS(MAX(D129,DATE(Einstellungen!$C$3,10,1)),MIN(J129,DATE(Einstellungen!$C$3,11,0)),Einstellungen!$F$13:$F$32)))</f>
        <v/>
      </c>
      <c r="V129" s="49">
        <f>IF(OR(A129="",D129=""),0,MAX(0,NETWORKDAYS(MAX(D129,DATE(Einstellungen!$C$3,11,1)),MIN(J129,DATE(Einstellungen!$C$3,12,0)),Einstellungen!$F$13:$F$32)))</f>
        <v/>
      </c>
      <c r="W129" s="49">
        <f>IF(OR(A129="",D129=""),0,MAX(0,NETWORKDAYS(MAX(D129,DATE(Einstellungen!$C$3,12,1)),MIN(J129,DATE(Einstellungen!$C$3,13,0)),Einstellungen!$F$13:$F$32)))</f>
        <v/>
      </c>
      <c r="X129" s="50">
        <f>L129*K129</f>
        <v/>
      </c>
      <c r="Y129" s="50">
        <f>M129*K129</f>
        <v/>
      </c>
      <c r="Z129" s="50">
        <f>N129*K129</f>
        <v/>
      </c>
      <c r="AA129" s="50">
        <f>O129*K129</f>
        <v/>
      </c>
      <c r="AB129" s="50">
        <f>P129*K129</f>
        <v/>
      </c>
      <c r="AC129" s="50">
        <f>Q129*K129</f>
        <v/>
      </c>
      <c r="AD129" s="50">
        <f>R129*K129</f>
        <v/>
      </c>
      <c r="AE129" s="50">
        <f>S129*K129</f>
        <v/>
      </c>
      <c r="AF129" s="50">
        <f>T129*K129</f>
        <v/>
      </c>
      <c r="AG129" s="50">
        <f>U129*K129</f>
        <v/>
      </c>
      <c r="AH129" s="50">
        <f>V129*K129</f>
        <v/>
      </c>
      <c r="AI129" s="50">
        <f>W129*K129</f>
        <v/>
      </c>
    </row>
    <row r="130">
      <c r="A130" s="25" t="n"/>
      <c r="B130" s="45">
        <f>IF(A130="","",IFERROR(INDEX(Mitarbeiter!$B$6:$B$205,MATCH($A130,Mitarbeiter!$A$6:$A$205,0)),"?"))</f>
        <v/>
      </c>
      <c r="C130" s="46" t="n"/>
      <c r="D130" s="26" t="n"/>
      <c r="E130" s="26" t="n"/>
      <c r="F130" s="24">
        <f>IF(A130="","",SUM(L130:W130))</f>
        <v/>
      </c>
      <c r="G130" s="36">
        <f>IF(A130="","",SUM(X130:AI130))</f>
        <v/>
      </c>
      <c r="H130" s="8">
        <f>IF(A130="","",IF(ISNA(MATCH(A130,Mitarbeiter!$A$6:$A$205,0)),"Pers.-Nr. unbekannt",IF(D130="","Von fehlt",IF(AND(C130&lt;&gt;Einstellungen!$C$4,C130&lt;&gt;Einstellungen!$C$5),"Objekt fehlt",IF(J130&lt;D130,"Bis vor Von",IF(D130&lt;INDEX(Mitarbeiter!$C$6:$C$205,MATCH($A130,Mitarbeiter!$A$6:$A$205,0)),"vor Eintritt",IF(AND(INDEX(Mitarbeiter!$D$6:$D$205,MATCH($A130,Mitarbeiter!$A$6:$A$205,0))&lt;&gt;"",D130&gt;INDEX(Mitarbeiter!$D$6:$D$205,MATCH($A130,Mitarbeiter!$A$6:$A$205,0))),"nach Austritt",IF(E130="","offen","ok"))))))))</f>
        <v/>
      </c>
      <c r="J130" s="47">
        <f>IF(A130="","",IF(E130="",Einstellungen!$C$9,E130))</f>
        <v/>
      </c>
      <c r="K130" s="48">
        <f>IF(A130="",0,IFERROR(INDEX(Mitarbeiter!$F$6:$F$205,MATCH($A130,Mitarbeiter!$A$6:$A$205,0)),0))</f>
        <v/>
      </c>
      <c r="L130" s="49">
        <f>IF(OR(A130="",D130=""),0,MAX(0,NETWORKDAYS(MAX(D130,DATE(Einstellungen!$C$3,1,1)),MIN(J130,DATE(Einstellungen!$C$3,2,0)),Einstellungen!$F$13:$F$32)))</f>
        <v/>
      </c>
      <c r="M130" s="49">
        <f>IF(OR(A130="",D130=""),0,MAX(0,NETWORKDAYS(MAX(D130,DATE(Einstellungen!$C$3,2,1)),MIN(J130,DATE(Einstellungen!$C$3,3,0)),Einstellungen!$F$13:$F$32)))</f>
        <v/>
      </c>
      <c r="N130" s="49">
        <f>IF(OR(A130="",D130=""),0,MAX(0,NETWORKDAYS(MAX(D130,DATE(Einstellungen!$C$3,3,1)),MIN(J130,DATE(Einstellungen!$C$3,4,0)),Einstellungen!$F$13:$F$32)))</f>
        <v/>
      </c>
      <c r="O130" s="49">
        <f>IF(OR(A130="",D130=""),0,MAX(0,NETWORKDAYS(MAX(D130,DATE(Einstellungen!$C$3,4,1)),MIN(J130,DATE(Einstellungen!$C$3,5,0)),Einstellungen!$F$13:$F$32)))</f>
        <v/>
      </c>
      <c r="P130" s="49">
        <f>IF(OR(A130="",D130=""),0,MAX(0,NETWORKDAYS(MAX(D130,DATE(Einstellungen!$C$3,5,1)),MIN(J130,DATE(Einstellungen!$C$3,6,0)),Einstellungen!$F$13:$F$32)))</f>
        <v/>
      </c>
      <c r="Q130" s="49">
        <f>IF(OR(A130="",D130=""),0,MAX(0,NETWORKDAYS(MAX(D130,DATE(Einstellungen!$C$3,6,1)),MIN(J130,DATE(Einstellungen!$C$3,7,0)),Einstellungen!$F$13:$F$32)))</f>
        <v/>
      </c>
      <c r="R130" s="49">
        <f>IF(OR(A130="",D130=""),0,MAX(0,NETWORKDAYS(MAX(D130,DATE(Einstellungen!$C$3,7,1)),MIN(J130,DATE(Einstellungen!$C$3,8,0)),Einstellungen!$F$13:$F$32)))</f>
        <v/>
      </c>
      <c r="S130" s="49">
        <f>IF(OR(A130="",D130=""),0,MAX(0,NETWORKDAYS(MAX(D130,DATE(Einstellungen!$C$3,8,1)),MIN(J130,DATE(Einstellungen!$C$3,9,0)),Einstellungen!$F$13:$F$32)))</f>
        <v/>
      </c>
      <c r="T130" s="49">
        <f>IF(OR(A130="",D130=""),0,MAX(0,NETWORKDAYS(MAX(D130,DATE(Einstellungen!$C$3,9,1)),MIN(J130,DATE(Einstellungen!$C$3,10,0)),Einstellungen!$F$13:$F$32)))</f>
        <v/>
      </c>
      <c r="U130" s="49">
        <f>IF(OR(A130="",D130=""),0,MAX(0,NETWORKDAYS(MAX(D130,DATE(Einstellungen!$C$3,10,1)),MIN(J130,DATE(Einstellungen!$C$3,11,0)),Einstellungen!$F$13:$F$32)))</f>
        <v/>
      </c>
      <c r="V130" s="49">
        <f>IF(OR(A130="",D130=""),0,MAX(0,NETWORKDAYS(MAX(D130,DATE(Einstellungen!$C$3,11,1)),MIN(J130,DATE(Einstellungen!$C$3,12,0)),Einstellungen!$F$13:$F$32)))</f>
        <v/>
      </c>
      <c r="W130" s="49">
        <f>IF(OR(A130="",D130=""),0,MAX(0,NETWORKDAYS(MAX(D130,DATE(Einstellungen!$C$3,12,1)),MIN(J130,DATE(Einstellungen!$C$3,13,0)),Einstellungen!$F$13:$F$32)))</f>
        <v/>
      </c>
      <c r="X130" s="50">
        <f>L130*K130</f>
        <v/>
      </c>
      <c r="Y130" s="50">
        <f>M130*K130</f>
        <v/>
      </c>
      <c r="Z130" s="50">
        <f>N130*K130</f>
        <v/>
      </c>
      <c r="AA130" s="50">
        <f>O130*K130</f>
        <v/>
      </c>
      <c r="AB130" s="50">
        <f>P130*K130</f>
        <v/>
      </c>
      <c r="AC130" s="50">
        <f>Q130*K130</f>
        <v/>
      </c>
      <c r="AD130" s="50">
        <f>R130*K130</f>
        <v/>
      </c>
      <c r="AE130" s="50">
        <f>S130*K130</f>
        <v/>
      </c>
      <c r="AF130" s="50">
        <f>T130*K130</f>
        <v/>
      </c>
      <c r="AG130" s="50">
        <f>U130*K130</f>
        <v/>
      </c>
      <c r="AH130" s="50">
        <f>V130*K130</f>
        <v/>
      </c>
      <c r="AI130" s="50">
        <f>W130*K130</f>
        <v/>
      </c>
    </row>
    <row r="131">
      <c r="A131" s="25" t="n"/>
      <c r="B131" s="45">
        <f>IF(A131="","",IFERROR(INDEX(Mitarbeiter!$B$6:$B$205,MATCH($A131,Mitarbeiter!$A$6:$A$205,0)),"?"))</f>
        <v/>
      </c>
      <c r="C131" s="46" t="n"/>
      <c r="D131" s="26" t="n"/>
      <c r="E131" s="26" t="n"/>
      <c r="F131" s="24">
        <f>IF(A131="","",SUM(L131:W131))</f>
        <v/>
      </c>
      <c r="G131" s="36">
        <f>IF(A131="","",SUM(X131:AI131))</f>
        <v/>
      </c>
      <c r="H131" s="8">
        <f>IF(A131="","",IF(ISNA(MATCH(A131,Mitarbeiter!$A$6:$A$205,0)),"Pers.-Nr. unbekannt",IF(D131="","Von fehlt",IF(AND(C131&lt;&gt;Einstellungen!$C$4,C131&lt;&gt;Einstellungen!$C$5),"Objekt fehlt",IF(J131&lt;D131,"Bis vor Von",IF(D131&lt;INDEX(Mitarbeiter!$C$6:$C$205,MATCH($A131,Mitarbeiter!$A$6:$A$205,0)),"vor Eintritt",IF(AND(INDEX(Mitarbeiter!$D$6:$D$205,MATCH($A131,Mitarbeiter!$A$6:$A$205,0))&lt;&gt;"",D131&gt;INDEX(Mitarbeiter!$D$6:$D$205,MATCH($A131,Mitarbeiter!$A$6:$A$205,0))),"nach Austritt",IF(E131="","offen","ok"))))))))</f>
        <v/>
      </c>
      <c r="J131" s="47">
        <f>IF(A131="","",IF(E131="",Einstellungen!$C$9,E131))</f>
        <v/>
      </c>
      <c r="K131" s="48">
        <f>IF(A131="",0,IFERROR(INDEX(Mitarbeiter!$F$6:$F$205,MATCH($A131,Mitarbeiter!$A$6:$A$205,0)),0))</f>
        <v/>
      </c>
      <c r="L131" s="49">
        <f>IF(OR(A131="",D131=""),0,MAX(0,NETWORKDAYS(MAX(D131,DATE(Einstellungen!$C$3,1,1)),MIN(J131,DATE(Einstellungen!$C$3,2,0)),Einstellungen!$F$13:$F$32)))</f>
        <v/>
      </c>
      <c r="M131" s="49">
        <f>IF(OR(A131="",D131=""),0,MAX(0,NETWORKDAYS(MAX(D131,DATE(Einstellungen!$C$3,2,1)),MIN(J131,DATE(Einstellungen!$C$3,3,0)),Einstellungen!$F$13:$F$32)))</f>
        <v/>
      </c>
      <c r="N131" s="49">
        <f>IF(OR(A131="",D131=""),0,MAX(0,NETWORKDAYS(MAX(D131,DATE(Einstellungen!$C$3,3,1)),MIN(J131,DATE(Einstellungen!$C$3,4,0)),Einstellungen!$F$13:$F$32)))</f>
        <v/>
      </c>
      <c r="O131" s="49">
        <f>IF(OR(A131="",D131=""),0,MAX(0,NETWORKDAYS(MAX(D131,DATE(Einstellungen!$C$3,4,1)),MIN(J131,DATE(Einstellungen!$C$3,5,0)),Einstellungen!$F$13:$F$32)))</f>
        <v/>
      </c>
      <c r="P131" s="49">
        <f>IF(OR(A131="",D131=""),0,MAX(0,NETWORKDAYS(MAX(D131,DATE(Einstellungen!$C$3,5,1)),MIN(J131,DATE(Einstellungen!$C$3,6,0)),Einstellungen!$F$13:$F$32)))</f>
        <v/>
      </c>
      <c r="Q131" s="49">
        <f>IF(OR(A131="",D131=""),0,MAX(0,NETWORKDAYS(MAX(D131,DATE(Einstellungen!$C$3,6,1)),MIN(J131,DATE(Einstellungen!$C$3,7,0)),Einstellungen!$F$13:$F$32)))</f>
        <v/>
      </c>
      <c r="R131" s="49">
        <f>IF(OR(A131="",D131=""),0,MAX(0,NETWORKDAYS(MAX(D131,DATE(Einstellungen!$C$3,7,1)),MIN(J131,DATE(Einstellungen!$C$3,8,0)),Einstellungen!$F$13:$F$32)))</f>
        <v/>
      </c>
      <c r="S131" s="49">
        <f>IF(OR(A131="",D131=""),0,MAX(0,NETWORKDAYS(MAX(D131,DATE(Einstellungen!$C$3,8,1)),MIN(J131,DATE(Einstellungen!$C$3,9,0)),Einstellungen!$F$13:$F$32)))</f>
        <v/>
      </c>
      <c r="T131" s="49">
        <f>IF(OR(A131="",D131=""),0,MAX(0,NETWORKDAYS(MAX(D131,DATE(Einstellungen!$C$3,9,1)),MIN(J131,DATE(Einstellungen!$C$3,10,0)),Einstellungen!$F$13:$F$32)))</f>
        <v/>
      </c>
      <c r="U131" s="49">
        <f>IF(OR(A131="",D131=""),0,MAX(0,NETWORKDAYS(MAX(D131,DATE(Einstellungen!$C$3,10,1)),MIN(J131,DATE(Einstellungen!$C$3,11,0)),Einstellungen!$F$13:$F$32)))</f>
        <v/>
      </c>
      <c r="V131" s="49">
        <f>IF(OR(A131="",D131=""),0,MAX(0,NETWORKDAYS(MAX(D131,DATE(Einstellungen!$C$3,11,1)),MIN(J131,DATE(Einstellungen!$C$3,12,0)),Einstellungen!$F$13:$F$32)))</f>
        <v/>
      </c>
      <c r="W131" s="49">
        <f>IF(OR(A131="",D131=""),0,MAX(0,NETWORKDAYS(MAX(D131,DATE(Einstellungen!$C$3,12,1)),MIN(J131,DATE(Einstellungen!$C$3,13,0)),Einstellungen!$F$13:$F$32)))</f>
        <v/>
      </c>
      <c r="X131" s="50">
        <f>L131*K131</f>
        <v/>
      </c>
      <c r="Y131" s="50">
        <f>M131*K131</f>
        <v/>
      </c>
      <c r="Z131" s="50">
        <f>N131*K131</f>
        <v/>
      </c>
      <c r="AA131" s="50">
        <f>O131*K131</f>
        <v/>
      </c>
      <c r="AB131" s="50">
        <f>P131*K131</f>
        <v/>
      </c>
      <c r="AC131" s="50">
        <f>Q131*K131</f>
        <v/>
      </c>
      <c r="AD131" s="50">
        <f>R131*K131</f>
        <v/>
      </c>
      <c r="AE131" s="50">
        <f>S131*K131</f>
        <v/>
      </c>
      <c r="AF131" s="50">
        <f>T131*K131</f>
        <v/>
      </c>
      <c r="AG131" s="50">
        <f>U131*K131</f>
        <v/>
      </c>
      <c r="AH131" s="50">
        <f>V131*K131</f>
        <v/>
      </c>
      <c r="AI131" s="50">
        <f>W131*K131</f>
        <v/>
      </c>
    </row>
    <row r="132">
      <c r="A132" s="25" t="n"/>
      <c r="B132" s="45">
        <f>IF(A132="","",IFERROR(INDEX(Mitarbeiter!$B$6:$B$205,MATCH($A132,Mitarbeiter!$A$6:$A$205,0)),"?"))</f>
        <v/>
      </c>
      <c r="C132" s="46" t="n"/>
      <c r="D132" s="26" t="n"/>
      <c r="E132" s="26" t="n"/>
      <c r="F132" s="24">
        <f>IF(A132="","",SUM(L132:W132))</f>
        <v/>
      </c>
      <c r="G132" s="36">
        <f>IF(A132="","",SUM(X132:AI132))</f>
        <v/>
      </c>
      <c r="H132" s="8">
        <f>IF(A132="","",IF(ISNA(MATCH(A132,Mitarbeiter!$A$6:$A$205,0)),"Pers.-Nr. unbekannt",IF(D132="","Von fehlt",IF(AND(C132&lt;&gt;Einstellungen!$C$4,C132&lt;&gt;Einstellungen!$C$5),"Objekt fehlt",IF(J132&lt;D132,"Bis vor Von",IF(D132&lt;INDEX(Mitarbeiter!$C$6:$C$205,MATCH($A132,Mitarbeiter!$A$6:$A$205,0)),"vor Eintritt",IF(AND(INDEX(Mitarbeiter!$D$6:$D$205,MATCH($A132,Mitarbeiter!$A$6:$A$205,0))&lt;&gt;"",D132&gt;INDEX(Mitarbeiter!$D$6:$D$205,MATCH($A132,Mitarbeiter!$A$6:$A$205,0))),"nach Austritt",IF(E132="","offen","ok"))))))))</f>
        <v/>
      </c>
      <c r="J132" s="47">
        <f>IF(A132="","",IF(E132="",Einstellungen!$C$9,E132))</f>
        <v/>
      </c>
      <c r="K132" s="48">
        <f>IF(A132="",0,IFERROR(INDEX(Mitarbeiter!$F$6:$F$205,MATCH($A132,Mitarbeiter!$A$6:$A$205,0)),0))</f>
        <v/>
      </c>
      <c r="L132" s="49">
        <f>IF(OR(A132="",D132=""),0,MAX(0,NETWORKDAYS(MAX(D132,DATE(Einstellungen!$C$3,1,1)),MIN(J132,DATE(Einstellungen!$C$3,2,0)),Einstellungen!$F$13:$F$32)))</f>
        <v/>
      </c>
      <c r="M132" s="49">
        <f>IF(OR(A132="",D132=""),0,MAX(0,NETWORKDAYS(MAX(D132,DATE(Einstellungen!$C$3,2,1)),MIN(J132,DATE(Einstellungen!$C$3,3,0)),Einstellungen!$F$13:$F$32)))</f>
        <v/>
      </c>
      <c r="N132" s="49">
        <f>IF(OR(A132="",D132=""),0,MAX(0,NETWORKDAYS(MAX(D132,DATE(Einstellungen!$C$3,3,1)),MIN(J132,DATE(Einstellungen!$C$3,4,0)),Einstellungen!$F$13:$F$32)))</f>
        <v/>
      </c>
      <c r="O132" s="49">
        <f>IF(OR(A132="",D132=""),0,MAX(0,NETWORKDAYS(MAX(D132,DATE(Einstellungen!$C$3,4,1)),MIN(J132,DATE(Einstellungen!$C$3,5,0)),Einstellungen!$F$13:$F$32)))</f>
        <v/>
      </c>
      <c r="P132" s="49">
        <f>IF(OR(A132="",D132=""),0,MAX(0,NETWORKDAYS(MAX(D132,DATE(Einstellungen!$C$3,5,1)),MIN(J132,DATE(Einstellungen!$C$3,6,0)),Einstellungen!$F$13:$F$32)))</f>
        <v/>
      </c>
      <c r="Q132" s="49">
        <f>IF(OR(A132="",D132=""),0,MAX(0,NETWORKDAYS(MAX(D132,DATE(Einstellungen!$C$3,6,1)),MIN(J132,DATE(Einstellungen!$C$3,7,0)),Einstellungen!$F$13:$F$32)))</f>
        <v/>
      </c>
      <c r="R132" s="49">
        <f>IF(OR(A132="",D132=""),0,MAX(0,NETWORKDAYS(MAX(D132,DATE(Einstellungen!$C$3,7,1)),MIN(J132,DATE(Einstellungen!$C$3,8,0)),Einstellungen!$F$13:$F$32)))</f>
        <v/>
      </c>
      <c r="S132" s="49">
        <f>IF(OR(A132="",D132=""),0,MAX(0,NETWORKDAYS(MAX(D132,DATE(Einstellungen!$C$3,8,1)),MIN(J132,DATE(Einstellungen!$C$3,9,0)),Einstellungen!$F$13:$F$32)))</f>
        <v/>
      </c>
      <c r="T132" s="49">
        <f>IF(OR(A132="",D132=""),0,MAX(0,NETWORKDAYS(MAX(D132,DATE(Einstellungen!$C$3,9,1)),MIN(J132,DATE(Einstellungen!$C$3,10,0)),Einstellungen!$F$13:$F$32)))</f>
        <v/>
      </c>
      <c r="U132" s="49">
        <f>IF(OR(A132="",D132=""),0,MAX(0,NETWORKDAYS(MAX(D132,DATE(Einstellungen!$C$3,10,1)),MIN(J132,DATE(Einstellungen!$C$3,11,0)),Einstellungen!$F$13:$F$32)))</f>
        <v/>
      </c>
      <c r="V132" s="49">
        <f>IF(OR(A132="",D132=""),0,MAX(0,NETWORKDAYS(MAX(D132,DATE(Einstellungen!$C$3,11,1)),MIN(J132,DATE(Einstellungen!$C$3,12,0)),Einstellungen!$F$13:$F$32)))</f>
        <v/>
      </c>
      <c r="W132" s="49">
        <f>IF(OR(A132="",D132=""),0,MAX(0,NETWORKDAYS(MAX(D132,DATE(Einstellungen!$C$3,12,1)),MIN(J132,DATE(Einstellungen!$C$3,13,0)),Einstellungen!$F$13:$F$32)))</f>
        <v/>
      </c>
      <c r="X132" s="50">
        <f>L132*K132</f>
        <v/>
      </c>
      <c r="Y132" s="50">
        <f>M132*K132</f>
        <v/>
      </c>
      <c r="Z132" s="50">
        <f>N132*K132</f>
        <v/>
      </c>
      <c r="AA132" s="50">
        <f>O132*K132</f>
        <v/>
      </c>
      <c r="AB132" s="50">
        <f>P132*K132</f>
        <v/>
      </c>
      <c r="AC132" s="50">
        <f>Q132*K132</f>
        <v/>
      </c>
      <c r="AD132" s="50">
        <f>R132*K132</f>
        <v/>
      </c>
      <c r="AE132" s="50">
        <f>S132*K132</f>
        <v/>
      </c>
      <c r="AF132" s="50">
        <f>T132*K132</f>
        <v/>
      </c>
      <c r="AG132" s="50">
        <f>U132*K132</f>
        <v/>
      </c>
      <c r="AH132" s="50">
        <f>V132*K132</f>
        <v/>
      </c>
      <c r="AI132" s="50">
        <f>W132*K132</f>
        <v/>
      </c>
    </row>
    <row r="133">
      <c r="A133" s="25" t="n"/>
      <c r="B133" s="45">
        <f>IF(A133="","",IFERROR(INDEX(Mitarbeiter!$B$6:$B$205,MATCH($A133,Mitarbeiter!$A$6:$A$205,0)),"?"))</f>
        <v/>
      </c>
      <c r="C133" s="46" t="n"/>
      <c r="D133" s="26" t="n"/>
      <c r="E133" s="26" t="n"/>
      <c r="F133" s="24">
        <f>IF(A133="","",SUM(L133:W133))</f>
        <v/>
      </c>
      <c r="G133" s="36">
        <f>IF(A133="","",SUM(X133:AI133))</f>
        <v/>
      </c>
      <c r="H133" s="8">
        <f>IF(A133="","",IF(ISNA(MATCH(A133,Mitarbeiter!$A$6:$A$205,0)),"Pers.-Nr. unbekannt",IF(D133="","Von fehlt",IF(AND(C133&lt;&gt;Einstellungen!$C$4,C133&lt;&gt;Einstellungen!$C$5),"Objekt fehlt",IF(J133&lt;D133,"Bis vor Von",IF(D133&lt;INDEX(Mitarbeiter!$C$6:$C$205,MATCH($A133,Mitarbeiter!$A$6:$A$205,0)),"vor Eintritt",IF(AND(INDEX(Mitarbeiter!$D$6:$D$205,MATCH($A133,Mitarbeiter!$A$6:$A$205,0))&lt;&gt;"",D133&gt;INDEX(Mitarbeiter!$D$6:$D$205,MATCH($A133,Mitarbeiter!$A$6:$A$205,0))),"nach Austritt",IF(E133="","offen","ok"))))))))</f>
        <v/>
      </c>
      <c r="J133" s="47">
        <f>IF(A133="","",IF(E133="",Einstellungen!$C$9,E133))</f>
        <v/>
      </c>
      <c r="K133" s="48">
        <f>IF(A133="",0,IFERROR(INDEX(Mitarbeiter!$F$6:$F$205,MATCH($A133,Mitarbeiter!$A$6:$A$205,0)),0))</f>
        <v/>
      </c>
      <c r="L133" s="49">
        <f>IF(OR(A133="",D133=""),0,MAX(0,NETWORKDAYS(MAX(D133,DATE(Einstellungen!$C$3,1,1)),MIN(J133,DATE(Einstellungen!$C$3,2,0)),Einstellungen!$F$13:$F$32)))</f>
        <v/>
      </c>
      <c r="M133" s="49">
        <f>IF(OR(A133="",D133=""),0,MAX(0,NETWORKDAYS(MAX(D133,DATE(Einstellungen!$C$3,2,1)),MIN(J133,DATE(Einstellungen!$C$3,3,0)),Einstellungen!$F$13:$F$32)))</f>
        <v/>
      </c>
      <c r="N133" s="49">
        <f>IF(OR(A133="",D133=""),0,MAX(0,NETWORKDAYS(MAX(D133,DATE(Einstellungen!$C$3,3,1)),MIN(J133,DATE(Einstellungen!$C$3,4,0)),Einstellungen!$F$13:$F$32)))</f>
        <v/>
      </c>
      <c r="O133" s="49">
        <f>IF(OR(A133="",D133=""),0,MAX(0,NETWORKDAYS(MAX(D133,DATE(Einstellungen!$C$3,4,1)),MIN(J133,DATE(Einstellungen!$C$3,5,0)),Einstellungen!$F$13:$F$32)))</f>
        <v/>
      </c>
      <c r="P133" s="49">
        <f>IF(OR(A133="",D133=""),0,MAX(0,NETWORKDAYS(MAX(D133,DATE(Einstellungen!$C$3,5,1)),MIN(J133,DATE(Einstellungen!$C$3,6,0)),Einstellungen!$F$13:$F$32)))</f>
        <v/>
      </c>
      <c r="Q133" s="49">
        <f>IF(OR(A133="",D133=""),0,MAX(0,NETWORKDAYS(MAX(D133,DATE(Einstellungen!$C$3,6,1)),MIN(J133,DATE(Einstellungen!$C$3,7,0)),Einstellungen!$F$13:$F$32)))</f>
        <v/>
      </c>
      <c r="R133" s="49">
        <f>IF(OR(A133="",D133=""),0,MAX(0,NETWORKDAYS(MAX(D133,DATE(Einstellungen!$C$3,7,1)),MIN(J133,DATE(Einstellungen!$C$3,8,0)),Einstellungen!$F$13:$F$32)))</f>
        <v/>
      </c>
      <c r="S133" s="49">
        <f>IF(OR(A133="",D133=""),0,MAX(0,NETWORKDAYS(MAX(D133,DATE(Einstellungen!$C$3,8,1)),MIN(J133,DATE(Einstellungen!$C$3,9,0)),Einstellungen!$F$13:$F$32)))</f>
        <v/>
      </c>
      <c r="T133" s="49">
        <f>IF(OR(A133="",D133=""),0,MAX(0,NETWORKDAYS(MAX(D133,DATE(Einstellungen!$C$3,9,1)),MIN(J133,DATE(Einstellungen!$C$3,10,0)),Einstellungen!$F$13:$F$32)))</f>
        <v/>
      </c>
      <c r="U133" s="49">
        <f>IF(OR(A133="",D133=""),0,MAX(0,NETWORKDAYS(MAX(D133,DATE(Einstellungen!$C$3,10,1)),MIN(J133,DATE(Einstellungen!$C$3,11,0)),Einstellungen!$F$13:$F$32)))</f>
        <v/>
      </c>
      <c r="V133" s="49">
        <f>IF(OR(A133="",D133=""),0,MAX(0,NETWORKDAYS(MAX(D133,DATE(Einstellungen!$C$3,11,1)),MIN(J133,DATE(Einstellungen!$C$3,12,0)),Einstellungen!$F$13:$F$32)))</f>
        <v/>
      </c>
      <c r="W133" s="49">
        <f>IF(OR(A133="",D133=""),0,MAX(0,NETWORKDAYS(MAX(D133,DATE(Einstellungen!$C$3,12,1)),MIN(J133,DATE(Einstellungen!$C$3,13,0)),Einstellungen!$F$13:$F$32)))</f>
        <v/>
      </c>
      <c r="X133" s="50">
        <f>L133*K133</f>
        <v/>
      </c>
      <c r="Y133" s="50">
        <f>M133*K133</f>
        <v/>
      </c>
      <c r="Z133" s="50">
        <f>N133*K133</f>
        <v/>
      </c>
      <c r="AA133" s="50">
        <f>O133*K133</f>
        <v/>
      </c>
      <c r="AB133" s="50">
        <f>P133*K133</f>
        <v/>
      </c>
      <c r="AC133" s="50">
        <f>Q133*K133</f>
        <v/>
      </c>
      <c r="AD133" s="50">
        <f>R133*K133</f>
        <v/>
      </c>
      <c r="AE133" s="50">
        <f>S133*K133</f>
        <v/>
      </c>
      <c r="AF133" s="50">
        <f>T133*K133</f>
        <v/>
      </c>
      <c r="AG133" s="50">
        <f>U133*K133</f>
        <v/>
      </c>
      <c r="AH133" s="50">
        <f>V133*K133</f>
        <v/>
      </c>
      <c r="AI133" s="50">
        <f>W133*K133</f>
        <v/>
      </c>
    </row>
    <row r="134">
      <c r="A134" s="25" t="n"/>
      <c r="B134" s="45">
        <f>IF(A134="","",IFERROR(INDEX(Mitarbeiter!$B$6:$B$205,MATCH($A134,Mitarbeiter!$A$6:$A$205,0)),"?"))</f>
        <v/>
      </c>
      <c r="C134" s="46" t="n"/>
      <c r="D134" s="26" t="n"/>
      <c r="E134" s="26" t="n"/>
      <c r="F134" s="24">
        <f>IF(A134="","",SUM(L134:W134))</f>
        <v/>
      </c>
      <c r="G134" s="36">
        <f>IF(A134="","",SUM(X134:AI134))</f>
        <v/>
      </c>
      <c r="H134" s="8">
        <f>IF(A134="","",IF(ISNA(MATCH(A134,Mitarbeiter!$A$6:$A$205,0)),"Pers.-Nr. unbekannt",IF(D134="","Von fehlt",IF(AND(C134&lt;&gt;Einstellungen!$C$4,C134&lt;&gt;Einstellungen!$C$5),"Objekt fehlt",IF(J134&lt;D134,"Bis vor Von",IF(D134&lt;INDEX(Mitarbeiter!$C$6:$C$205,MATCH($A134,Mitarbeiter!$A$6:$A$205,0)),"vor Eintritt",IF(AND(INDEX(Mitarbeiter!$D$6:$D$205,MATCH($A134,Mitarbeiter!$A$6:$A$205,0))&lt;&gt;"",D134&gt;INDEX(Mitarbeiter!$D$6:$D$205,MATCH($A134,Mitarbeiter!$A$6:$A$205,0))),"nach Austritt",IF(E134="","offen","ok"))))))))</f>
        <v/>
      </c>
      <c r="J134" s="47">
        <f>IF(A134="","",IF(E134="",Einstellungen!$C$9,E134))</f>
        <v/>
      </c>
      <c r="K134" s="48">
        <f>IF(A134="",0,IFERROR(INDEX(Mitarbeiter!$F$6:$F$205,MATCH($A134,Mitarbeiter!$A$6:$A$205,0)),0))</f>
        <v/>
      </c>
      <c r="L134" s="49">
        <f>IF(OR(A134="",D134=""),0,MAX(0,NETWORKDAYS(MAX(D134,DATE(Einstellungen!$C$3,1,1)),MIN(J134,DATE(Einstellungen!$C$3,2,0)),Einstellungen!$F$13:$F$32)))</f>
        <v/>
      </c>
      <c r="M134" s="49">
        <f>IF(OR(A134="",D134=""),0,MAX(0,NETWORKDAYS(MAX(D134,DATE(Einstellungen!$C$3,2,1)),MIN(J134,DATE(Einstellungen!$C$3,3,0)),Einstellungen!$F$13:$F$32)))</f>
        <v/>
      </c>
      <c r="N134" s="49">
        <f>IF(OR(A134="",D134=""),0,MAX(0,NETWORKDAYS(MAX(D134,DATE(Einstellungen!$C$3,3,1)),MIN(J134,DATE(Einstellungen!$C$3,4,0)),Einstellungen!$F$13:$F$32)))</f>
        <v/>
      </c>
      <c r="O134" s="49">
        <f>IF(OR(A134="",D134=""),0,MAX(0,NETWORKDAYS(MAX(D134,DATE(Einstellungen!$C$3,4,1)),MIN(J134,DATE(Einstellungen!$C$3,5,0)),Einstellungen!$F$13:$F$32)))</f>
        <v/>
      </c>
      <c r="P134" s="49">
        <f>IF(OR(A134="",D134=""),0,MAX(0,NETWORKDAYS(MAX(D134,DATE(Einstellungen!$C$3,5,1)),MIN(J134,DATE(Einstellungen!$C$3,6,0)),Einstellungen!$F$13:$F$32)))</f>
        <v/>
      </c>
      <c r="Q134" s="49">
        <f>IF(OR(A134="",D134=""),0,MAX(0,NETWORKDAYS(MAX(D134,DATE(Einstellungen!$C$3,6,1)),MIN(J134,DATE(Einstellungen!$C$3,7,0)),Einstellungen!$F$13:$F$32)))</f>
        <v/>
      </c>
      <c r="R134" s="49">
        <f>IF(OR(A134="",D134=""),0,MAX(0,NETWORKDAYS(MAX(D134,DATE(Einstellungen!$C$3,7,1)),MIN(J134,DATE(Einstellungen!$C$3,8,0)),Einstellungen!$F$13:$F$32)))</f>
        <v/>
      </c>
      <c r="S134" s="49">
        <f>IF(OR(A134="",D134=""),0,MAX(0,NETWORKDAYS(MAX(D134,DATE(Einstellungen!$C$3,8,1)),MIN(J134,DATE(Einstellungen!$C$3,9,0)),Einstellungen!$F$13:$F$32)))</f>
        <v/>
      </c>
      <c r="T134" s="49">
        <f>IF(OR(A134="",D134=""),0,MAX(0,NETWORKDAYS(MAX(D134,DATE(Einstellungen!$C$3,9,1)),MIN(J134,DATE(Einstellungen!$C$3,10,0)),Einstellungen!$F$13:$F$32)))</f>
        <v/>
      </c>
      <c r="U134" s="49">
        <f>IF(OR(A134="",D134=""),0,MAX(0,NETWORKDAYS(MAX(D134,DATE(Einstellungen!$C$3,10,1)),MIN(J134,DATE(Einstellungen!$C$3,11,0)),Einstellungen!$F$13:$F$32)))</f>
        <v/>
      </c>
      <c r="V134" s="49">
        <f>IF(OR(A134="",D134=""),0,MAX(0,NETWORKDAYS(MAX(D134,DATE(Einstellungen!$C$3,11,1)),MIN(J134,DATE(Einstellungen!$C$3,12,0)),Einstellungen!$F$13:$F$32)))</f>
        <v/>
      </c>
      <c r="W134" s="49">
        <f>IF(OR(A134="",D134=""),0,MAX(0,NETWORKDAYS(MAX(D134,DATE(Einstellungen!$C$3,12,1)),MIN(J134,DATE(Einstellungen!$C$3,13,0)),Einstellungen!$F$13:$F$32)))</f>
        <v/>
      </c>
      <c r="X134" s="50">
        <f>L134*K134</f>
        <v/>
      </c>
      <c r="Y134" s="50">
        <f>M134*K134</f>
        <v/>
      </c>
      <c r="Z134" s="50">
        <f>N134*K134</f>
        <v/>
      </c>
      <c r="AA134" s="50">
        <f>O134*K134</f>
        <v/>
      </c>
      <c r="AB134" s="50">
        <f>P134*K134</f>
        <v/>
      </c>
      <c r="AC134" s="50">
        <f>Q134*K134</f>
        <v/>
      </c>
      <c r="AD134" s="50">
        <f>R134*K134</f>
        <v/>
      </c>
      <c r="AE134" s="50">
        <f>S134*K134</f>
        <v/>
      </c>
      <c r="AF134" s="50">
        <f>T134*K134</f>
        <v/>
      </c>
      <c r="AG134" s="50">
        <f>U134*K134</f>
        <v/>
      </c>
      <c r="AH134" s="50">
        <f>V134*K134</f>
        <v/>
      </c>
      <c r="AI134" s="50">
        <f>W134*K134</f>
        <v/>
      </c>
    </row>
    <row r="135">
      <c r="A135" s="25" t="n"/>
      <c r="B135" s="45">
        <f>IF(A135="","",IFERROR(INDEX(Mitarbeiter!$B$6:$B$205,MATCH($A135,Mitarbeiter!$A$6:$A$205,0)),"?"))</f>
        <v/>
      </c>
      <c r="C135" s="46" t="n"/>
      <c r="D135" s="26" t="n"/>
      <c r="E135" s="26" t="n"/>
      <c r="F135" s="24">
        <f>IF(A135="","",SUM(L135:W135))</f>
        <v/>
      </c>
      <c r="G135" s="36">
        <f>IF(A135="","",SUM(X135:AI135))</f>
        <v/>
      </c>
      <c r="H135" s="8">
        <f>IF(A135="","",IF(ISNA(MATCH(A135,Mitarbeiter!$A$6:$A$205,0)),"Pers.-Nr. unbekannt",IF(D135="","Von fehlt",IF(AND(C135&lt;&gt;Einstellungen!$C$4,C135&lt;&gt;Einstellungen!$C$5),"Objekt fehlt",IF(J135&lt;D135,"Bis vor Von",IF(D135&lt;INDEX(Mitarbeiter!$C$6:$C$205,MATCH($A135,Mitarbeiter!$A$6:$A$205,0)),"vor Eintritt",IF(AND(INDEX(Mitarbeiter!$D$6:$D$205,MATCH($A135,Mitarbeiter!$A$6:$A$205,0))&lt;&gt;"",D135&gt;INDEX(Mitarbeiter!$D$6:$D$205,MATCH($A135,Mitarbeiter!$A$6:$A$205,0))),"nach Austritt",IF(E135="","offen","ok"))))))))</f>
        <v/>
      </c>
      <c r="J135" s="47">
        <f>IF(A135="","",IF(E135="",Einstellungen!$C$9,E135))</f>
        <v/>
      </c>
      <c r="K135" s="48">
        <f>IF(A135="",0,IFERROR(INDEX(Mitarbeiter!$F$6:$F$205,MATCH($A135,Mitarbeiter!$A$6:$A$205,0)),0))</f>
        <v/>
      </c>
      <c r="L135" s="49">
        <f>IF(OR(A135="",D135=""),0,MAX(0,NETWORKDAYS(MAX(D135,DATE(Einstellungen!$C$3,1,1)),MIN(J135,DATE(Einstellungen!$C$3,2,0)),Einstellungen!$F$13:$F$32)))</f>
        <v/>
      </c>
      <c r="M135" s="49">
        <f>IF(OR(A135="",D135=""),0,MAX(0,NETWORKDAYS(MAX(D135,DATE(Einstellungen!$C$3,2,1)),MIN(J135,DATE(Einstellungen!$C$3,3,0)),Einstellungen!$F$13:$F$32)))</f>
        <v/>
      </c>
      <c r="N135" s="49">
        <f>IF(OR(A135="",D135=""),0,MAX(0,NETWORKDAYS(MAX(D135,DATE(Einstellungen!$C$3,3,1)),MIN(J135,DATE(Einstellungen!$C$3,4,0)),Einstellungen!$F$13:$F$32)))</f>
        <v/>
      </c>
      <c r="O135" s="49">
        <f>IF(OR(A135="",D135=""),0,MAX(0,NETWORKDAYS(MAX(D135,DATE(Einstellungen!$C$3,4,1)),MIN(J135,DATE(Einstellungen!$C$3,5,0)),Einstellungen!$F$13:$F$32)))</f>
        <v/>
      </c>
      <c r="P135" s="49">
        <f>IF(OR(A135="",D135=""),0,MAX(0,NETWORKDAYS(MAX(D135,DATE(Einstellungen!$C$3,5,1)),MIN(J135,DATE(Einstellungen!$C$3,6,0)),Einstellungen!$F$13:$F$32)))</f>
        <v/>
      </c>
      <c r="Q135" s="49">
        <f>IF(OR(A135="",D135=""),0,MAX(0,NETWORKDAYS(MAX(D135,DATE(Einstellungen!$C$3,6,1)),MIN(J135,DATE(Einstellungen!$C$3,7,0)),Einstellungen!$F$13:$F$32)))</f>
        <v/>
      </c>
      <c r="R135" s="49">
        <f>IF(OR(A135="",D135=""),0,MAX(0,NETWORKDAYS(MAX(D135,DATE(Einstellungen!$C$3,7,1)),MIN(J135,DATE(Einstellungen!$C$3,8,0)),Einstellungen!$F$13:$F$32)))</f>
        <v/>
      </c>
      <c r="S135" s="49">
        <f>IF(OR(A135="",D135=""),0,MAX(0,NETWORKDAYS(MAX(D135,DATE(Einstellungen!$C$3,8,1)),MIN(J135,DATE(Einstellungen!$C$3,9,0)),Einstellungen!$F$13:$F$32)))</f>
        <v/>
      </c>
      <c r="T135" s="49">
        <f>IF(OR(A135="",D135=""),0,MAX(0,NETWORKDAYS(MAX(D135,DATE(Einstellungen!$C$3,9,1)),MIN(J135,DATE(Einstellungen!$C$3,10,0)),Einstellungen!$F$13:$F$32)))</f>
        <v/>
      </c>
      <c r="U135" s="49">
        <f>IF(OR(A135="",D135=""),0,MAX(0,NETWORKDAYS(MAX(D135,DATE(Einstellungen!$C$3,10,1)),MIN(J135,DATE(Einstellungen!$C$3,11,0)),Einstellungen!$F$13:$F$32)))</f>
        <v/>
      </c>
      <c r="V135" s="49">
        <f>IF(OR(A135="",D135=""),0,MAX(0,NETWORKDAYS(MAX(D135,DATE(Einstellungen!$C$3,11,1)),MIN(J135,DATE(Einstellungen!$C$3,12,0)),Einstellungen!$F$13:$F$32)))</f>
        <v/>
      </c>
      <c r="W135" s="49">
        <f>IF(OR(A135="",D135=""),0,MAX(0,NETWORKDAYS(MAX(D135,DATE(Einstellungen!$C$3,12,1)),MIN(J135,DATE(Einstellungen!$C$3,13,0)),Einstellungen!$F$13:$F$32)))</f>
        <v/>
      </c>
      <c r="X135" s="50">
        <f>L135*K135</f>
        <v/>
      </c>
      <c r="Y135" s="50">
        <f>M135*K135</f>
        <v/>
      </c>
      <c r="Z135" s="50">
        <f>N135*K135</f>
        <v/>
      </c>
      <c r="AA135" s="50">
        <f>O135*K135</f>
        <v/>
      </c>
      <c r="AB135" s="50">
        <f>P135*K135</f>
        <v/>
      </c>
      <c r="AC135" s="50">
        <f>Q135*K135</f>
        <v/>
      </c>
      <c r="AD135" s="50">
        <f>R135*K135</f>
        <v/>
      </c>
      <c r="AE135" s="50">
        <f>S135*K135</f>
        <v/>
      </c>
      <c r="AF135" s="50">
        <f>T135*K135</f>
        <v/>
      </c>
      <c r="AG135" s="50">
        <f>U135*K135</f>
        <v/>
      </c>
      <c r="AH135" s="50">
        <f>V135*K135</f>
        <v/>
      </c>
      <c r="AI135" s="50">
        <f>W135*K135</f>
        <v/>
      </c>
    </row>
    <row r="136">
      <c r="A136" s="25" t="n"/>
      <c r="B136" s="45">
        <f>IF(A136="","",IFERROR(INDEX(Mitarbeiter!$B$6:$B$205,MATCH($A136,Mitarbeiter!$A$6:$A$205,0)),"?"))</f>
        <v/>
      </c>
      <c r="C136" s="46" t="n"/>
      <c r="D136" s="26" t="n"/>
      <c r="E136" s="26" t="n"/>
      <c r="F136" s="24">
        <f>IF(A136="","",SUM(L136:W136))</f>
        <v/>
      </c>
      <c r="G136" s="36">
        <f>IF(A136="","",SUM(X136:AI136))</f>
        <v/>
      </c>
      <c r="H136" s="8">
        <f>IF(A136="","",IF(ISNA(MATCH(A136,Mitarbeiter!$A$6:$A$205,0)),"Pers.-Nr. unbekannt",IF(D136="","Von fehlt",IF(AND(C136&lt;&gt;Einstellungen!$C$4,C136&lt;&gt;Einstellungen!$C$5),"Objekt fehlt",IF(J136&lt;D136,"Bis vor Von",IF(D136&lt;INDEX(Mitarbeiter!$C$6:$C$205,MATCH($A136,Mitarbeiter!$A$6:$A$205,0)),"vor Eintritt",IF(AND(INDEX(Mitarbeiter!$D$6:$D$205,MATCH($A136,Mitarbeiter!$A$6:$A$205,0))&lt;&gt;"",D136&gt;INDEX(Mitarbeiter!$D$6:$D$205,MATCH($A136,Mitarbeiter!$A$6:$A$205,0))),"nach Austritt",IF(E136="","offen","ok"))))))))</f>
        <v/>
      </c>
      <c r="J136" s="47">
        <f>IF(A136="","",IF(E136="",Einstellungen!$C$9,E136))</f>
        <v/>
      </c>
      <c r="K136" s="48">
        <f>IF(A136="",0,IFERROR(INDEX(Mitarbeiter!$F$6:$F$205,MATCH($A136,Mitarbeiter!$A$6:$A$205,0)),0))</f>
        <v/>
      </c>
      <c r="L136" s="49">
        <f>IF(OR(A136="",D136=""),0,MAX(0,NETWORKDAYS(MAX(D136,DATE(Einstellungen!$C$3,1,1)),MIN(J136,DATE(Einstellungen!$C$3,2,0)),Einstellungen!$F$13:$F$32)))</f>
        <v/>
      </c>
      <c r="M136" s="49">
        <f>IF(OR(A136="",D136=""),0,MAX(0,NETWORKDAYS(MAX(D136,DATE(Einstellungen!$C$3,2,1)),MIN(J136,DATE(Einstellungen!$C$3,3,0)),Einstellungen!$F$13:$F$32)))</f>
        <v/>
      </c>
      <c r="N136" s="49">
        <f>IF(OR(A136="",D136=""),0,MAX(0,NETWORKDAYS(MAX(D136,DATE(Einstellungen!$C$3,3,1)),MIN(J136,DATE(Einstellungen!$C$3,4,0)),Einstellungen!$F$13:$F$32)))</f>
        <v/>
      </c>
      <c r="O136" s="49">
        <f>IF(OR(A136="",D136=""),0,MAX(0,NETWORKDAYS(MAX(D136,DATE(Einstellungen!$C$3,4,1)),MIN(J136,DATE(Einstellungen!$C$3,5,0)),Einstellungen!$F$13:$F$32)))</f>
        <v/>
      </c>
      <c r="P136" s="49">
        <f>IF(OR(A136="",D136=""),0,MAX(0,NETWORKDAYS(MAX(D136,DATE(Einstellungen!$C$3,5,1)),MIN(J136,DATE(Einstellungen!$C$3,6,0)),Einstellungen!$F$13:$F$32)))</f>
        <v/>
      </c>
      <c r="Q136" s="49">
        <f>IF(OR(A136="",D136=""),0,MAX(0,NETWORKDAYS(MAX(D136,DATE(Einstellungen!$C$3,6,1)),MIN(J136,DATE(Einstellungen!$C$3,7,0)),Einstellungen!$F$13:$F$32)))</f>
        <v/>
      </c>
      <c r="R136" s="49">
        <f>IF(OR(A136="",D136=""),0,MAX(0,NETWORKDAYS(MAX(D136,DATE(Einstellungen!$C$3,7,1)),MIN(J136,DATE(Einstellungen!$C$3,8,0)),Einstellungen!$F$13:$F$32)))</f>
        <v/>
      </c>
      <c r="S136" s="49">
        <f>IF(OR(A136="",D136=""),0,MAX(0,NETWORKDAYS(MAX(D136,DATE(Einstellungen!$C$3,8,1)),MIN(J136,DATE(Einstellungen!$C$3,9,0)),Einstellungen!$F$13:$F$32)))</f>
        <v/>
      </c>
      <c r="T136" s="49">
        <f>IF(OR(A136="",D136=""),0,MAX(0,NETWORKDAYS(MAX(D136,DATE(Einstellungen!$C$3,9,1)),MIN(J136,DATE(Einstellungen!$C$3,10,0)),Einstellungen!$F$13:$F$32)))</f>
        <v/>
      </c>
      <c r="U136" s="49">
        <f>IF(OR(A136="",D136=""),0,MAX(0,NETWORKDAYS(MAX(D136,DATE(Einstellungen!$C$3,10,1)),MIN(J136,DATE(Einstellungen!$C$3,11,0)),Einstellungen!$F$13:$F$32)))</f>
        <v/>
      </c>
      <c r="V136" s="49">
        <f>IF(OR(A136="",D136=""),0,MAX(0,NETWORKDAYS(MAX(D136,DATE(Einstellungen!$C$3,11,1)),MIN(J136,DATE(Einstellungen!$C$3,12,0)),Einstellungen!$F$13:$F$32)))</f>
        <v/>
      </c>
      <c r="W136" s="49">
        <f>IF(OR(A136="",D136=""),0,MAX(0,NETWORKDAYS(MAX(D136,DATE(Einstellungen!$C$3,12,1)),MIN(J136,DATE(Einstellungen!$C$3,13,0)),Einstellungen!$F$13:$F$32)))</f>
        <v/>
      </c>
      <c r="X136" s="50">
        <f>L136*K136</f>
        <v/>
      </c>
      <c r="Y136" s="50">
        <f>M136*K136</f>
        <v/>
      </c>
      <c r="Z136" s="50">
        <f>N136*K136</f>
        <v/>
      </c>
      <c r="AA136" s="50">
        <f>O136*K136</f>
        <v/>
      </c>
      <c r="AB136" s="50">
        <f>P136*K136</f>
        <v/>
      </c>
      <c r="AC136" s="50">
        <f>Q136*K136</f>
        <v/>
      </c>
      <c r="AD136" s="50">
        <f>R136*K136</f>
        <v/>
      </c>
      <c r="AE136" s="50">
        <f>S136*K136</f>
        <v/>
      </c>
      <c r="AF136" s="50">
        <f>T136*K136</f>
        <v/>
      </c>
      <c r="AG136" s="50">
        <f>U136*K136</f>
        <v/>
      </c>
      <c r="AH136" s="50">
        <f>V136*K136</f>
        <v/>
      </c>
      <c r="AI136" s="50">
        <f>W136*K136</f>
        <v/>
      </c>
    </row>
    <row r="137">
      <c r="A137" s="25" t="n"/>
      <c r="B137" s="45">
        <f>IF(A137="","",IFERROR(INDEX(Mitarbeiter!$B$6:$B$205,MATCH($A137,Mitarbeiter!$A$6:$A$205,0)),"?"))</f>
        <v/>
      </c>
      <c r="C137" s="46" t="n"/>
      <c r="D137" s="26" t="n"/>
      <c r="E137" s="26" t="n"/>
      <c r="F137" s="24">
        <f>IF(A137="","",SUM(L137:W137))</f>
        <v/>
      </c>
      <c r="G137" s="36">
        <f>IF(A137="","",SUM(X137:AI137))</f>
        <v/>
      </c>
      <c r="H137" s="8">
        <f>IF(A137="","",IF(ISNA(MATCH(A137,Mitarbeiter!$A$6:$A$205,0)),"Pers.-Nr. unbekannt",IF(D137="","Von fehlt",IF(AND(C137&lt;&gt;Einstellungen!$C$4,C137&lt;&gt;Einstellungen!$C$5),"Objekt fehlt",IF(J137&lt;D137,"Bis vor Von",IF(D137&lt;INDEX(Mitarbeiter!$C$6:$C$205,MATCH($A137,Mitarbeiter!$A$6:$A$205,0)),"vor Eintritt",IF(AND(INDEX(Mitarbeiter!$D$6:$D$205,MATCH($A137,Mitarbeiter!$A$6:$A$205,0))&lt;&gt;"",D137&gt;INDEX(Mitarbeiter!$D$6:$D$205,MATCH($A137,Mitarbeiter!$A$6:$A$205,0))),"nach Austritt",IF(E137="","offen","ok"))))))))</f>
        <v/>
      </c>
      <c r="J137" s="47">
        <f>IF(A137="","",IF(E137="",Einstellungen!$C$9,E137))</f>
        <v/>
      </c>
      <c r="K137" s="48">
        <f>IF(A137="",0,IFERROR(INDEX(Mitarbeiter!$F$6:$F$205,MATCH($A137,Mitarbeiter!$A$6:$A$205,0)),0))</f>
        <v/>
      </c>
      <c r="L137" s="49">
        <f>IF(OR(A137="",D137=""),0,MAX(0,NETWORKDAYS(MAX(D137,DATE(Einstellungen!$C$3,1,1)),MIN(J137,DATE(Einstellungen!$C$3,2,0)),Einstellungen!$F$13:$F$32)))</f>
        <v/>
      </c>
      <c r="M137" s="49">
        <f>IF(OR(A137="",D137=""),0,MAX(0,NETWORKDAYS(MAX(D137,DATE(Einstellungen!$C$3,2,1)),MIN(J137,DATE(Einstellungen!$C$3,3,0)),Einstellungen!$F$13:$F$32)))</f>
        <v/>
      </c>
      <c r="N137" s="49">
        <f>IF(OR(A137="",D137=""),0,MAX(0,NETWORKDAYS(MAX(D137,DATE(Einstellungen!$C$3,3,1)),MIN(J137,DATE(Einstellungen!$C$3,4,0)),Einstellungen!$F$13:$F$32)))</f>
        <v/>
      </c>
      <c r="O137" s="49">
        <f>IF(OR(A137="",D137=""),0,MAX(0,NETWORKDAYS(MAX(D137,DATE(Einstellungen!$C$3,4,1)),MIN(J137,DATE(Einstellungen!$C$3,5,0)),Einstellungen!$F$13:$F$32)))</f>
        <v/>
      </c>
      <c r="P137" s="49">
        <f>IF(OR(A137="",D137=""),0,MAX(0,NETWORKDAYS(MAX(D137,DATE(Einstellungen!$C$3,5,1)),MIN(J137,DATE(Einstellungen!$C$3,6,0)),Einstellungen!$F$13:$F$32)))</f>
        <v/>
      </c>
      <c r="Q137" s="49">
        <f>IF(OR(A137="",D137=""),0,MAX(0,NETWORKDAYS(MAX(D137,DATE(Einstellungen!$C$3,6,1)),MIN(J137,DATE(Einstellungen!$C$3,7,0)),Einstellungen!$F$13:$F$32)))</f>
        <v/>
      </c>
      <c r="R137" s="49">
        <f>IF(OR(A137="",D137=""),0,MAX(0,NETWORKDAYS(MAX(D137,DATE(Einstellungen!$C$3,7,1)),MIN(J137,DATE(Einstellungen!$C$3,8,0)),Einstellungen!$F$13:$F$32)))</f>
        <v/>
      </c>
      <c r="S137" s="49">
        <f>IF(OR(A137="",D137=""),0,MAX(0,NETWORKDAYS(MAX(D137,DATE(Einstellungen!$C$3,8,1)),MIN(J137,DATE(Einstellungen!$C$3,9,0)),Einstellungen!$F$13:$F$32)))</f>
        <v/>
      </c>
      <c r="T137" s="49">
        <f>IF(OR(A137="",D137=""),0,MAX(0,NETWORKDAYS(MAX(D137,DATE(Einstellungen!$C$3,9,1)),MIN(J137,DATE(Einstellungen!$C$3,10,0)),Einstellungen!$F$13:$F$32)))</f>
        <v/>
      </c>
      <c r="U137" s="49">
        <f>IF(OR(A137="",D137=""),0,MAX(0,NETWORKDAYS(MAX(D137,DATE(Einstellungen!$C$3,10,1)),MIN(J137,DATE(Einstellungen!$C$3,11,0)),Einstellungen!$F$13:$F$32)))</f>
        <v/>
      </c>
      <c r="V137" s="49">
        <f>IF(OR(A137="",D137=""),0,MAX(0,NETWORKDAYS(MAX(D137,DATE(Einstellungen!$C$3,11,1)),MIN(J137,DATE(Einstellungen!$C$3,12,0)),Einstellungen!$F$13:$F$32)))</f>
        <v/>
      </c>
      <c r="W137" s="49">
        <f>IF(OR(A137="",D137=""),0,MAX(0,NETWORKDAYS(MAX(D137,DATE(Einstellungen!$C$3,12,1)),MIN(J137,DATE(Einstellungen!$C$3,13,0)),Einstellungen!$F$13:$F$32)))</f>
        <v/>
      </c>
      <c r="X137" s="50">
        <f>L137*K137</f>
        <v/>
      </c>
      <c r="Y137" s="50">
        <f>M137*K137</f>
        <v/>
      </c>
      <c r="Z137" s="50">
        <f>N137*K137</f>
        <v/>
      </c>
      <c r="AA137" s="50">
        <f>O137*K137</f>
        <v/>
      </c>
      <c r="AB137" s="50">
        <f>P137*K137</f>
        <v/>
      </c>
      <c r="AC137" s="50">
        <f>Q137*K137</f>
        <v/>
      </c>
      <c r="AD137" s="50">
        <f>R137*K137</f>
        <v/>
      </c>
      <c r="AE137" s="50">
        <f>S137*K137</f>
        <v/>
      </c>
      <c r="AF137" s="50">
        <f>T137*K137</f>
        <v/>
      </c>
      <c r="AG137" s="50">
        <f>U137*K137</f>
        <v/>
      </c>
      <c r="AH137" s="50">
        <f>V137*K137</f>
        <v/>
      </c>
      <c r="AI137" s="50">
        <f>W137*K137</f>
        <v/>
      </c>
    </row>
    <row r="138">
      <c r="A138" s="25" t="n"/>
      <c r="B138" s="45">
        <f>IF(A138="","",IFERROR(INDEX(Mitarbeiter!$B$6:$B$205,MATCH($A138,Mitarbeiter!$A$6:$A$205,0)),"?"))</f>
        <v/>
      </c>
      <c r="C138" s="46" t="n"/>
      <c r="D138" s="26" t="n"/>
      <c r="E138" s="26" t="n"/>
      <c r="F138" s="24">
        <f>IF(A138="","",SUM(L138:W138))</f>
        <v/>
      </c>
      <c r="G138" s="36">
        <f>IF(A138="","",SUM(X138:AI138))</f>
        <v/>
      </c>
      <c r="H138" s="8">
        <f>IF(A138="","",IF(ISNA(MATCH(A138,Mitarbeiter!$A$6:$A$205,0)),"Pers.-Nr. unbekannt",IF(D138="","Von fehlt",IF(AND(C138&lt;&gt;Einstellungen!$C$4,C138&lt;&gt;Einstellungen!$C$5),"Objekt fehlt",IF(J138&lt;D138,"Bis vor Von",IF(D138&lt;INDEX(Mitarbeiter!$C$6:$C$205,MATCH($A138,Mitarbeiter!$A$6:$A$205,0)),"vor Eintritt",IF(AND(INDEX(Mitarbeiter!$D$6:$D$205,MATCH($A138,Mitarbeiter!$A$6:$A$205,0))&lt;&gt;"",D138&gt;INDEX(Mitarbeiter!$D$6:$D$205,MATCH($A138,Mitarbeiter!$A$6:$A$205,0))),"nach Austritt",IF(E138="","offen","ok"))))))))</f>
        <v/>
      </c>
      <c r="J138" s="47">
        <f>IF(A138="","",IF(E138="",Einstellungen!$C$9,E138))</f>
        <v/>
      </c>
      <c r="K138" s="48">
        <f>IF(A138="",0,IFERROR(INDEX(Mitarbeiter!$F$6:$F$205,MATCH($A138,Mitarbeiter!$A$6:$A$205,0)),0))</f>
        <v/>
      </c>
      <c r="L138" s="49">
        <f>IF(OR(A138="",D138=""),0,MAX(0,NETWORKDAYS(MAX(D138,DATE(Einstellungen!$C$3,1,1)),MIN(J138,DATE(Einstellungen!$C$3,2,0)),Einstellungen!$F$13:$F$32)))</f>
        <v/>
      </c>
      <c r="M138" s="49">
        <f>IF(OR(A138="",D138=""),0,MAX(0,NETWORKDAYS(MAX(D138,DATE(Einstellungen!$C$3,2,1)),MIN(J138,DATE(Einstellungen!$C$3,3,0)),Einstellungen!$F$13:$F$32)))</f>
        <v/>
      </c>
      <c r="N138" s="49">
        <f>IF(OR(A138="",D138=""),0,MAX(0,NETWORKDAYS(MAX(D138,DATE(Einstellungen!$C$3,3,1)),MIN(J138,DATE(Einstellungen!$C$3,4,0)),Einstellungen!$F$13:$F$32)))</f>
        <v/>
      </c>
      <c r="O138" s="49">
        <f>IF(OR(A138="",D138=""),0,MAX(0,NETWORKDAYS(MAX(D138,DATE(Einstellungen!$C$3,4,1)),MIN(J138,DATE(Einstellungen!$C$3,5,0)),Einstellungen!$F$13:$F$32)))</f>
        <v/>
      </c>
      <c r="P138" s="49">
        <f>IF(OR(A138="",D138=""),0,MAX(0,NETWORKDAYS(MAX(D138,DATE(Einstellungen!$C$3,5,1)),MIN(J138,DATE(Einstellungen!$C$3,6,0)),Einstellungen!$F$13:$F$32)))</f>
        <v/>
      </c>
      <c r="Q138" s="49">
        <f>IF(OR(A138="",D138=""),0,MAX(0,NETWORKDAYS(MAX(D138,DATE(Einstellungen!$C$3,6,1)),MIN(J138,DATE(Einstellungen!$C$3,7,0)),Einstellungen!$F$13:$F$32)))</f>
        <v/>
      </c>
      <c r="R138" s="49">
        <f>IF(OR(A138="",D138=""),0,MAX(0,NETWORKDAYS(MAX(D138,DATE(Einstellungen!$C$3,7,1)),MIN(J138,DATE(Einstellungen!$C$3,8,0)),Einstellungen!$F$13:$F$32)))</f>
        <v/>
      </c>
      <c r="S138" s="49">
        <f>IF(OR(A138="",D138=""),0,MAX(0,NETWORKDAYS(MAX(D138,DATE(Einstellungen!$C$3,8,1)),MIN(J138,DATE(Einstellungen!$C$3,9,0)),Einstellungen!$F$13:$F$32)))</f>
        <v/>
      </c>
      <c r="T138" s="49">
        <f>IF(OR(A138="",D138=""),0,MAX(0,NETWORKDAYS(MAX(D138,DATE(Einstellungen!$C$3,9,1)),MIN(J138,DATE(Einstellungen!$C$3,10,0)),Einstellungen!$F$13:$F$32)))</f>
        <v/>
      </c>
      <c r="U138" s="49">
        <f>IF(OR(A138="",D138=""),0,MAX(0,NETWORKDAYS(MAX(D138,DATE(Einstellungen!$C$3,10,1)),MIN(J138,DATE(Einstellungen!$C$3,11,0)),Einstellungen!$F$13:$F$32)))</f>
        <v/>
      </c>
      <c r="V138" s="49">
        <f>IF(OR(A138="",D138=""),0,MAX(0,NETWORKDAYS(MAX(D138,DATE(Einstellungen!$C$3,11,1)),MIN(J138,DATE(Einstellungen!$C$3,12,0)),Einstellungen!$F$13:$F$32)))</f>
        <v/>
      </c>
      <c r="W138" s="49">
        <f>IF(OR(A138="",D138=""),0,MAX(0,NETWORKDAYS(MAX(D138,DATE(Einstellungen!$C$3,12,1)),MIN(J138,DATE(Einstellungen!$C$3,13,0)),Einstellungen!$F$13:$F$32)))</f>
        <v/>
      </c>
      <c r="X138" s="50">
        <f>L138*K138</f>
        <v/>
      </c>
      <c r="Y138" s="50">
        <f>M138*K138</f>
        <v/>
      </c>
      <c r="Z138" s="50">
        <f>N138*K138</f>
        <v/>
      </c>
      <c r="AA138" s="50">
        <f>O138*K138</f>
        <v/>
      </c>
      <c r="AB138" s="50">
        <f>P138*K138</f>
        <v/>
      </c>
      <c r="AC138" s="50">
        <f>Q138*K138</f>
        <v/>
      </c>
      <c r="AD138" s="50">
        <f>R138*K138</f>
        <v/>
      </c>
      <c r="AE138" s="50">
        <f>S138*K138</f>
        <v/>
      </c>
      <c r="AF138" s="50">
        <f>T138*K138</f>
        <v/>
      </c>
      <c r="AG138" s="50">
        <f>U138*K138</f>
        <v/>
      </c>
      <c r="AH138" s="50">
        <f>V138*K138</f>
        <v/>
      </c>
      <c r="AI138" s="50">
        <f>W138*K138</f>
        <v/>
      </c>
    </row>
    <row r="139">
      <c r="A139" s="25" t="n"/>
      <c r="B139" s="45">
        <f>IF(A139="","",IFERROR(INDEX(Mitarbeiter!$B$6:$B$205,MATCH($A139,Mitarbeiter!$A$6:$A$205,0)),"?"))</f>
        <v/>
      </c>
      <c r="C139" s="46" t="n"/>
      <c r="D139" s="26" t="n"/>
      <c r="E139" s="26" t="n"/>
      <c r="F139" s="24">
        <f>IF(A139="","",SUM(L139:W139))</f>
        <v/>
      </c>
      <c r="G139" s="36">
        <f>IF(A139="","",SUM(X139:AI139))</f>
        <v/>
      </c>
      <c r="H139" s="8">
        <f>IF(A139="","",IF(ISNA(MATCH(A139,Mitarbeiter!$A$6:$A$205,0)),"Pers.-Nr. unbekannt",IF(D139="","Von fehlt",IF(AND(C139&lt;&gt;Einstellungen!$C$4,C139&lt;&gt;Einstellungen!$C$5),"Objekt fehlt",IF(J139&lt;D139,"Bis vor Von",IF(D139&lt;INDEX(Mitarbeiter!$C$6:$C$205,MATCH($A139,Mitarbeiter!$A$6:$A$205,0)),"vor Eintritt",IF(AND(INDEX(Mitarbeiter!$D$6:$D$205,MATCH($A139,Mitarbeiter!$A$6:$A$205,0))&lt;&gt;"",D139&gt;INDEX(Mitarbeiter!$D$6:$D$205,MATCH($A139,Mitarbeiter!$A$6:$A$205,0))),"nach Austritt",IF(E139="","offen","ok"))))))))</f>
        <v/>
      </c>
      <c r="J139" s="47">
        <f>IF(A139="","",IF(E139="",Einstellungen!$C$9,E139))</f>
        <v/>
      </c>
      <c r="K139" s="48">
        <f>IF(A139="",0,IFERROR(INDEX(Mitarbeiter!$F$6:$F$205,MATCH($A139,Mitarbeiter!$A$6:$A$205,0)),0))</f>
        <v/>
      </c>
      <c r="L139" s="49">
        <f>IF(OR(A139="",D139=""),0,MAX(0,NETWORKDAYS(MAX(D139,DATE(Einstellungen!$C$3,1,1)),MIN(J139,DATE(Einstellungen!$C$3,2,0)),Einstellungen!$F$13:$F$32)))</f>
        <v/>
      </c>
      <c r="M139" s="49">
        <f>IF(OR(A139="",D139=""),0,MAX(0,NETWORKDAYS(MAX(D139,DATE(Einstellungen!$C$3,2,1)),MIN(J139,DATE(Einstellungen!$C$3,3,0)),Einstellungen!$F$13:$F$32)))</f>
        <v/>
      </c>
      <c r="N139" s="49">
        <f>IF(OR(A139="",D139=""),0,MAX(0,NETWORKDAYS(MAX(D139,DATE(Einstellungen!$C$3,3,1)),MIN(J139,DATE(Einstellungen!$C$3,4,0)),Einstellungen!$F$13:$F$32)))</f>
        <v/>
      </c>
      <c r="O139" s="49">
        <f>IF(OR(A139="",D139=""),0,MAX(0,NETWORKDAYS(MAX(D139,DATE(Einstellungen!$C$3,4,1)),MIN(J139,DATE(Einstellungen!$C$3,5,0)),Einstellungen!$F$13:$F$32)))</f>
        <v/>
      </c>
      <c r="P139" s="49">
        <f>IF(OR(A139="",D139=""),0,MAX(0,NETWORKDAYS(MAX(D139,DATE(Einstellungen!$C$3,5,1)),MIN(J139,DATE(Einstellungen!$C$3,6,0)),Einstellungen!$F$13:$F$32)))</f>
        <v/>
      </c>
      <c r="Q139" s="49">
        <f>IF(OR(A139="",D139=""),0,MAX(0,NETWORKDAYS(MAX(D139,DATE(Einstellungen!$C$3,6,1)),MIN(J139,DATE(Einstellungen!$C$3,7,0)),Einstellungen!$F$13:$F$32)))</f>
        <v/>
      </c>
      <c r="R139" s="49">
        <f>IF(OR(A139="",D139=""),0,MAX(0,NETWORKDAYS(MAX(D139,DATE(Einstellungen!$C$3,7,1)),MIN(J139,DATE(Einstellungen!$C$3,8,0)),Einstellungen!$F$13:$F$32)))</f>
        <v/>
      </c>
      <c r="S139" s="49">
        <f>IF(OR(A139="",D139=""),0,MAX(0,NETWORKDAYS(MAX(D139,DATE(Einstellungen!$C$3,8,1)),MIN(J139,DATE(Einstellungen!$C$3,9,0)),Einstellungen!$F$13:$F$32)))</f>
        <v/>
      </c>
      <c r="T139" s="49">
        <f>IF(OR(A139="",D139=""),0,MAX(0,NETWORKDAYS(MAX(D139,DATE(Einstellungen!$C$3,9,1)),MIN(J139,DATE(Einstellungen!$C$3,10,0)),Einstellungen!$F$13:$F$32)))</f>
        <v/>
      </c>
      <c r="U139" s="49">
        <f>IF(OR(A139="",D139=""),0,MAX(0,NETWORKDAYS(MAX(D139,DATE(Einstellungen!$C$3,10,1)),MIN(J139,DATE(Einstellungen!$C$3,11,0)),Einstellungen!$F$13:$F$32)))</f>
        <v/>
      </c>
      <c r="V139" s="49">
        <f>IF(OR(A139="",D139=""),0,MAX(0,NETWORKDAYS(MAX(D139,DATE(Einstellungen!$C$3,11,1)),MIN(J139,DATE(Einstellungen!$C$3,12,0)),Einstellungen!$F$13:$F$32)))</f>
        <v/>
      </c>
      <c r="W139" s="49">
        <f>IF(OR(A139="",D139=""),0,MAX(0,NETWORKDAYS(MAX(D139,DATE(Einstellungen!$C$3,12,1)),MIN(J139,DATE(Einstellungen!$C$3,13,0)),Einstellungen!$F$13:$F$32)))</f>
        <v/>
      </c>
      <c r="X139" s="50">
        <f>L139*K139</f>
        <v/>
      </c>
      <c r="Y139" s="50">
        <f>M139*K139</f>
        <v/>
      </c>
      <c r="Z139" s="50">
        <f>N139*K139</f>
        <v/>
      </c>
      <c r="AA139" s="50">
        <f>O139*K139</f>
        <v/>
      </c>
      <c r="AB139" s="50">
        <f>P139*K139</f>
        <v/>
      </c>
      <c r="AC139" s="50">
        <f>Q139*K139</f>
        <v/>
      </c>
      <c r="AD139" s="50">
        <f>R139*K139</f>
        <v/>
      </c>
      <c r="AE139" s="50">
        <f>S139*K139</f>
        <v/>
      </c>
      <c r="AF139" s="50">
        <f>T139*K139</f>
        <v/>
      </c>
      <c r="AG139" s="50">
        <f>U139*K139</f>
        <v/>
      </c>
      <c r="AH139" s="50">
        <f>V139*K139</f>
        <v/>
      </c>
      <c r="AI139" s="50">
        <f>W139*K139</f>
        <v/>
      </c>
    </row>
    <row r="140">
      <c r="A140" s="25" t="n"/>
      <c r="B140" s="45">
        <f>IF(A140="","",IFERROR(INDEX(Mitarbeiter!$B$6:$B$205,MATCH($A140,Mitarbeiter!$A$6:$A$205,0)),"?"))</f>
        <v/>
      </c>
      <c r="C140" s="46" t="n"/>
      <c r="D140" s="26" t="n"/>
      <c r="E140" s="26" t="n"/>
      <c r="F140" s="24">
        <f>IF(A140="","",SUM(L140:W140))</f>
        <v/>
      </c>
      <c r="G140" s="36">
        <f>IF(A140="","",SUM(X140:AI140))</f>
        <v/>
      </c>
      <c r="H140" s="8">
        <f>IF(A140="","",IF(ISNA(MATCH(A140,Mitarbeiter!$A$6:$A$205,0)),"Pers.-Nr. unbekannt",IF(D140="","Von fehlt",IF(AND(C140&lt;&gt;Einstellungen!$C$4,C140&lt;&gt;Einstellungen!$C$5),"Objekt fehlt",IF(J140&lt;D140,"Bis vor Von",IF(D140&lt;INDEX(Mitarbeiter!$C$6:$C$205,MATCH($A140,Mitarbeiter!$A$6:$A$205,0)),"vor Eintritt",IF(AND(INDEX(Mitarbeiter!$D$6:$D$205,MATCH($A140,Mitarbeiter!$A$6:$A$205,0))&lt;&gt;"",D140&gt;INDEX(Mitarbeiter!$D$6:$D$205,MATCH($A140,Mitarbeiter!$A$6:$A$205,0))),"nach Austritt",IF(E140="","offen","ok"))))))))</f>
        <v/>
      </c>
      <c r="J140" s="47">
        <f>IF(A140="","",IF(E140="",Einstellungen!$C$9,E140))</f>
        <v/>
      </c>
      <c r="K140" s="48">
        <f>IF(A140="",0,IFERROR(INDEX(Mitarbeiter!$F$6:$F$205,MATCH($A140,Mitarbeiter!$A$6:$A$205,0)),0))</f>
        <v/>
      </c>
      <c r="L140" s="49">
        <f>IF(OR(A140="",D140=""),0,MAX(0,NETWORKDAYS(MAX(D140,DATE(Einstellungen!$C$3,1,1)),MIN(J140,DATE(Einstellungen!$C$3,2,0)),Einstellungen!$F$13:$F$32)))</f>
        <v/>
      </c>
      <c r="M140" s="49">
        <f>IF(OR(A140="",D140=""),0,MAX(0,NETWORKDAYS(MAX(D140,DATE(Einstellungen!$C$3,2,1)),MIN(J140,DATE(Einstellungen!$C$3,3,0)),Einstellungen!$F$13:$F$32)))</f>
        <v/>
      </c>
      <c r="N140" s="49">
        <f>IF(OR(A140="",D140=""),0,MAX(0,NETWORKDAYS(MAX(D140,DATE(Einstellungen!$C$3,3,1)),MIN(J140,DATE(Einstellungen!$C$3,4,0)),Einstellungen!$F$13:$F$32)))</f>
        <v/>
      </c>
      <c r="O140" s="49">
        <f>IF(OR(A140="",D140=""),0,MAX(0,NETWORKDAYS(MAX(D140,DATE(Einstellungen!$C$3,4,1)),MIN(J140,DATE(Einstellungen!$C$3,5,0)),Einstellungen!$F$13:$F$32)))</f>
        <v/>
      </c>
      <c r="P140" s="49">
        <f>IF(OR(A140="",D140=""),0,MAX(0,NETWORKDAYS(MAX(D140,DATE(Einstellungen!$C$3,5,1)),MIN(J140,DATE(Einstellungen!$C$3,6,0)),Einstellungen!$F$13:$F$32)))</f>
        <v/>
      </c>
      <c r="Q140" s="49">
        <f>IF(OR(A140="",D140=""),0,MAX(0,NETWORKDAYS(MAX(D140,DATE(Einstellungen!$C$3,6,1)),MIN(J140,DATE(Einstellungen!$C$3,7,0)),Einstellungen!$F$13:$F$32)))</f>
        <v/>
      </c>
      <c r="R140" s="49">
        <f>IF(OR(A140="",D140=""),0,MAX(0,NETWORKDAYS(MAX(D140,DATE(Einstellungen!$C$3,7,1)),MIN(J140,DATE(Einstellungen!$C$3,8,0)),Einstellungen!$F$13:$F$32)))</f>
        <v/>
      </c>
      <c r="S140" s="49">
        <f>IF(OR(A140="",D140=""),0,MAX(0,NETWORKDAYS(MAX(D140,DATE(Einstellungen!$C$3,8,1)),MIN(J140,DATE(Einstellungen!$C$3,9,0)),Einstellungen!$F$13:$F$32)))</f>
        <v/>
      </c>
      <c r="T140" s="49">
        <f>IF(OR(A140="",D140=""),0,MAX(0,NETWORKDAYS(MAX(D140,DATE(Einstellungen!$C$3,9,1)),MIN(J140,DATE(Einstellungen!$C$3,10,0)),Einstellungen!$F$13:$F$32)))</f>
        <v/>
      </c>
      <c r="U140" s="49">
        <f>IF(OR(A140="",D140=""),0,MAX(0,NETWORKDAYS(MAX(D140,DATE(Einstellungen!$C$3,10,1)),MIN(J140,DATE(Einstellungen!$C$3,11,0)),Einstellungen!$F$13:$F$32)))</f>
        <v/>
      </c>
      <c r="V140" s="49">
        <f>IF(OR(A140="",D140=""),0,MAX(0,NETWORKDAYS(MAX(D140,DATE(Einstellungen!$C$3,11,1)),MIN(J140,DATE(Einstellungen!$C$3,12,0)),Einstellungen!$F$13:$F$32)))</f>
        <v/>
      </c>
      <c r="W140" s="49">
        <f>IF(OR(A140="",D140=""),0,MAX(0,NETWORKDAYS(MAX(D140,DATE(Einstellungen!$C$3,12,1)),MIN(J140,DATE(Einstellungen!$C$3,13,0)),Einstellungen!$F$13:$F$32)))</f>
        <v/>
      </c>
      <c r="X140" s="50">
        <f>L140*K140</f>
        <v/>
      </c>
      <c r="Y140" s="50">
        <f>M140*K140</f>
        <v/>
      </c>
      <c r="Z140" s="50">
        <f>N140*K140</f>
        <v/>
      </c>
      <c r="AA140" s="50">
        <f>O140*K140</f>
        <v/>
      </c>
      <c r="AB140" s="50">
        <f>P140*K140</f>
        <v/>
      </c>
      <c r="AC140" s="50">
        <f>Q140*K140</f>
        <v/>
      </c>
      <c r="AD140" s="50">
        <f>R140*K140</f>
        <v/>
      </c>
      <c r="AE140" s="50">
        <f>S140*K140</f>
        <v/>
      </c>
      <c r="AF140" s="50">
        <f>T140*K140</f>
        <v/>
      </c>
      <c r="AG140" s="50">
        <f>U140*K140</f>
        <v/>
      </c>
      <c r="AH140" s="50">
        <f>V140*K140</f>
        <v/>
      </c>
      <c r="AI140" s="50">
        <f>W140*K140</f>
        <v/>
      </c>
    </row>
    <row r="141">
      <c r="A141" s="25" t="n"/>
      <c r="B141" s="45">
        <f>IF(A141="","",IFERROR(INDEX(Mitarbeiter!$B$6:$B$205,MATCH($A141,Mitarbeiter!$A$6:$A$205,0)),"?"))</f>
        <v/>
      </c>
      <c r="C141" s="46" t="n"/>
      <c r="D141" s="26" t="n"/>
      <c r="E141" s="26" t="n"/>
      <c r="F141" s="24">
        <f>IF(A141="","",SUM(L141:W141))</f>
        <v/>
      </c>
      <c r="G141" s="36">
        <f>IF(A141="","",SUM(X141:AI141))</f>
        <v/>
      </c>
      <c r="H141" s="8">
        <f>IF(A141="","",IF(ISNA(MATCH(A141,Mitarbeiter!$A$6:$A$205,0)),"Pers.-Nr. unbekannt",IF(D141="","Von fehlt",IF(AND(C141&lt;&gt;Einstellungen!$C$4,C141&lt;&gt;Einstellungen!$C$5),"Objekt fehlt",IF(J141&lt;D141,"Bis vor Von",IF(D141&lt;INDEX(Mitarbeiter!$C$6:$C$205,MATCH($A141,Mitarbeiter!$A$6:$A$205,0)),"vor Eintritt",IF(AND(INDEX(Mitarbeiter!$D$6:$D$205,MATCH($A141,Mitarbeiter!$A$6:$A$205,0))&lt;&gt;"",D141&gt;INDEX(Mitarbeiter!$D$6:$D$205,MATCH($A141,Mitarbeiter!$A$6:$A$205,0))),"nach Austritt",IF(E141="","offen","ok"))))))))</f>
        <v/>
      </c>
      <c r="J141" s="47">
        <f>IF(A141="","",IF(E141="",Einstellungen!$C$9,E141))</f>
        <v/>
      </c>
      <c r="K141" s="48">
        <f>IF(A141="",0,IFERROR(INDEX(Mitarbeiter!$F$6:$F$205,MATCH($A141,Mitarbeiter!$A$6:$A$205,0)),0))</f>
        <v/>
      </c>
      <c r="L141" s="49">
        <f>IF(OR(A141="",D141=""),0,MAX(0,NETWORKDAYS(MAX(D141,DATE(Einstellungen!$C$3,1,1)),MIN(J141,DATE(Einstellungen!$C$3,2,0)),Einstellungen!$F$13:$F$32)))</f>
        <v/>
      </c>
      <c r="M141" s="49">
        <f>IF(OR(A141="",D141=""),0,MAX(0,NETWORKDAYS(MAX(D141,DATE(Einstellungen!$C$3,2,1)),MIN(J141,DATE(Einstellungen!$C$3,3,0)),Einstellungen!$F$13:$F$32)))</f>
        <v/>
      </c>
      <c r="N141" s="49">
        <f>IF(OR(A141="",D141=""),0,MAX(0,NETWORKDAYS(MAX(D141,DATE(Einstellungen!$C$3,3,1)),MIN(J141,DATE(Einstellungen!$C$3,4,0)),Einstellungen!$F$13:$F$32)))</f>
        <v/>
      </c>
      <c r="O141" s="49">
        <f>IF(OR(A141="",D141=""),0,MAX(0,NETWORKDAYS(MAX(D141,DATE(Einstellungen!$C$3,4,1)),MIN(J141,DATE(Einstellungen!$C$3,5,0)),Einstellungen!$F$13:$F$32)))</f>
        <v/>
      </c>
      <c r="P141" s="49">
        <f>IF(OR(A141="",D141=""),0,MAX(0,NETWORKDAYS(MAX(D141,DATE(Einstellungen!$C$3,5,1)),MIN(J141,DATE(Einstellungen!$C$3,6,0)),Einstellungen!$F$13:$F$32)))</f>
        <v/>
      </c>
      <c r="Q141" s="49">
        <f>IF(OR(A141="",D141=""),0,MAX(0,NETWORKDAYS(MAX(D141,DATE(Einstellungen!$C$3,6,1)),MIN(J141,DATE(Einstellungen!$C$3,7,0)),Einstellungen!$F$13:$F$32)))</f>
        <v/>
      </c>
      <c r="R141" s="49">
        <f>IF(OR(A141="",D141=""),0,MAX(0,NETWORKDAYS(MAX(D141,DATE(Einstellungen!$C$3,7,1)),MIN(J141,DATE(Einstellungen!$C$3,8,0)),Einstellungen!$F$13:$F$32)))</f>
        <v/>
      </c>
      <c r="S141" s="49">
        <f>IF(OR(A141="",D141=""),0,MAX(0,NETWORKDAYS(MAX(D141,DATE(Einstellungen!$C$3,8,1)),MIN(J141,DATE(Einstellungen!$C$3,9,0)),Einstellungen!$F$13:$F$32)))</f>
        <v/>
      </c>
      <c r="T141" s="49">
        <f>IF(OR(A141="",D141=""),0,MAX(0,NETWORKDAYS(MAX(D141,DATE(Einstellungen!$C$3,9,1)),MIN(J141,DATE(Einstellungen!$C$3,10,0)),Einstellungen!$F$13:$F$32)))</f>
        <v/>
      </c>
      <c r="U141" s="49">
        <f>IF(OR(A141="",D141=""),0,MAX(0,NETWORKDAYS(MAX(D141,DATE(Einstellungen!$C$3,10,1)),MIN(J141,DATE(Einstellungen!$C$3,11,0)),Einstellungen!$F$13:$F$32)))</f>
        <v/>
      </c>
      <c r="V141" s="49">
        <f>IF(OR(A141="",D141=""),0,MAX(0,NETWORKDAYS(MAX(D141,DATE(Einstellungen!$C$3,11,1)),MIN(J141,DATE(Einstellungen!$C$3,12,0)),Einstellungen!$F$13:$F$32)))</f>
        <v/>
      </c>
      <c r="W141" s="49">
        <f>IF(OR(A141="",D141=""),0,MAX(0,NETWORKDAYS(MAX(D141,DATE(Einstellungen!$C$3,12,1)),MIN(J141,DATE(Einstellungen!$C$3,13,0)),Einstellungen!$F$13:$F$32)))</f>
        <v/>
      </c>
      <c r="X141" s="50">
        <f>L141*K141</f>
        <v/>
      </c>
      <c r="Y141" s="50">
        <f>M141*K141</f>
        <v/>
      </c>
      <c r="Z141" s="50">
        <f>N141*K141</f>
        <v/>
      </c>
      <c r="AA141" s="50">
        <f>O141*K141</f>
        <v/>
      </c>
      <c r="AB141" s="50">
        <f>P141*K141</f>
        <v/>
      </c>
      <c r="AC141" s="50">
        <f>Q141*K141</f>
        <v/>
      </c>
      <c r="AD141" s="50">
        <f>R141*K141</f>
        <v/>
      </c>
      <c r="AE141" s="50">
        <f>S141*K141</f>
        <v/>
      </c>
      <c r="AF141" s="50">
        <f>T141*K141</f>
        <v/>
      </c>
      <c r="AG141" s="50">
        <f>U141*K141</f>
        <v/>
      </c>
      <c r="AH141" s="50">
        <f>V141*K141</f>
        <v/>
      </c>
      <c r="AI141" s="50">
        <f>W141*K141</f>
        <v/>
      </c>
    </row>
    <row r="142">
      <c r="A142" s="25" t="n"/>
      <c r="B142" s="45">
        <f>IF(A142="","",IFERROR(INDEX(Mitarbeiter!$B$6:$B$205,MATCH($A142,Mitarbeiter!$A$6:$A$205,0)),"?"))</f>
        <v/>
      </c>
      <c r="C142" s="46" t="n"/>
      <c r="D142" s="26" t="n"/>
      <c r="E142" s="26" t="n"/>
      <c r="F142" s="24">
        <f>IF(A142="","",SUM(L142:W142))</f>
        <v/>
      </c>
      <c r="G142" s="36">
        <f>IF(A142="","",SUM(X142:AI142))</f>
        <v/>
      </c>
      <c r="H142" s="8">
        <f>IF(A142="","",IF(ISNA(MATCH(A142,Mitarbeiter!$A$6:$A$205,0)),"Pers.-Nr. unbekannt",IF(D142="","Von fehlt",IF(AND(C142&lt;&gt;Einstellungen!$C$4,C142&lt;&gt;Einstellungen!$C$5),"Objekt fehlt",IF(J142&lt;D142,"Bis vor Von",IF(D142&lt;INDEX(Mitarbeiter!$C$6:$C$205,MATCH($A142,Mitarbeiter!$A$6:$A$205,0)),"vor Eintritt",IF(AND(INDEX(Mitarbeiter!$D$6:$D$205,MATCH($A142,Mitarbeiter!$A$6:$A$205,0))&lt;&gt;"",D142&gt;INDEX(Mitarbeiter!$D$6:$D$205,MATCH($A142,Mitarbeiter!$A$6:$A$205,0))),"nach Austritt",IF(E142="","offen","ok"))))))))</f>
        <v/>
      </c>
      <c r="J142" s="47">
        <f>IF(A142="","",IF(E142="",Einstellungen!$C$9,E142))</f>
        <v/>
      </c>
      <c r="K142" s="48">
        <f>IF(A142="",0,IFERROR(INDEX(Mitarbeiter!$F$6:$F$205,MATCH($A142,Mitarbeiter!$A$6:$A$205,0)),0))</f>
        <v/>
      </c>
      <c r="L142" s="49">
        <f>IF(OR(A142="",D142=""),0,MAX(0,NETWORKDAYS(MAX(D142,DATE(Einstellungen!$C$3,1,1)),MIN(J142,DATE(Einstellungen!$C$3,2,0)),Einstellungen!$F$13:$F$32)))</f>
        <v/>
      </c>
      <c r="M142" s="49">
        <f>IF(OR(A142="",D142=""),0,MAX(0,NETWORKDAYS(MAX(D142,DATE(Einstellungen!$C$3,2,1)),MIN(J142,DATE(Einstellungen!$C$3,3,0)),Einstellungen!$F$13:$F$32)))</f>
        <v/>
      </c>
      <c r="N142" s="49">
        <f>IF(OR(A142="",D142=""),0,MAX(0,NETWORKDAYS(MAX(D142,DATE(Einstellungen!$C$3,3,1)),MIN(J142,DATE(Einstellungen!$C$3,4,0)),Einstellungen!$F$13:$F$32)))</f>
        <v/>
      </c>
      <c r="O142" s="49">
        <f>IF(OR(A142="",D142=""),0,MAX(0,NETWORKDAYS(MAX(D142,DATE(Einstellungen!$C$3,4,1)),MIN(J142,DATE(Einstellungen!$C$3,5,0)),Einstellungen!$F$13:$F$32)))</f>
        <v/>
      </c>
      <c r="P142" s="49">
        <f>IF(OR(A142="",D142=""),0,MAX(0,NETWORKDAYS(MAX(D142,DATE(Einstellungen!$C$3,5,1)),MIN(J142,DATE(Einstellungen!$C$3,6,0)),Einstellungen!$F$13:$F$32)))</f>
        <v/>
      </c>
      <c r="Q142" s="49">
        <f>IF(OR(A142="",D142=""),0,MAX(0,NETWORKDAYS(MAX(D142,DATE(Einstellungen!$C$3,6,1)),MIN(J142,DATE(Einstellungen!$C$3,7,0)),Einstellungen!$F$13:$F$32)))</f>
        <v/>
      </c>
      <c r="R142" s="49">
        <f>IF(OR(A142="",D142=""),0,MAX(0,NETWORKDAYS(MAX(D142,DATE(Einstellungen!$C$3,7,1)),MIN(J142,DATE(Einstellungen!$C$3,8,0)),Einstellungen!$F$13:$F$32)))</f>
        <v/>
      </c>
      <c r="S142" s="49">
        <f>IF(OR(A142="",D142=""),0,MAX(0,NETWORKDAYS(MAX(D142,DATE(Einstellungen!$C$3,8,1)),MIN(J142,DATE(Einstellungen!$C$3,9,0)),Einstellungen!$F$13:$F$32)))</f>
        <v/>
      </c>
      <c r="T142" s="49">
        <f>IF(OR(A142="",D142=""),0,MAX(0,NETWORKDAYS(MAX(D142,DATE(Einstellungen!$C$3,9,1)),MIN(J142,DATE(Einstellungen!$C$3,10,0)),Einstellungen!$F$13:$F$32)))</f>
        <v/>
      </c>
      <c r="U142" s="49">
        <f>IF(OR(A142="",D142=""),0,MAX(0,NETWORKDAYS(MAX(D142,DATE(Einstellungen!$C$3,10,1)),MIN(J142,DATE(Einstellungen!$C$3,11,0)),Einstellungen!$F$13:$F$32)))</f>
        <v/>
      </c>
      <c r="V142" s="49">
        <f>IF(OR(A142="",D142=""),0,MAX(0,NETWORKDAYS(MAX(D142,DATE(Einstellungen!$C$3,11,1)),MIN(J142,DATE(Einstellungen!$C$3,12,0)),Einstellungen!$F$13:$F$32)))</f>
        <v/>
      </c>
      <c r="W142" s="49">
        <f>IF(OR(A142="",D142=""),0,MAX(0,NETWORKDAYS(MAX(D142,DATE(Einstellungen!$C$3,12,1)),MIN(J142,DATE(Einstellungen!$C$3,13,0)),Einstellungen!$F$13:$F$32)))</f>
        <v/>
      </c>
      <c r="X142" s="50">
        <f>L142*K142</f>
        <v/>
      </c>
      <c r="Y142" s="50">
        <f>M142*K142</f>
        <v/>
      </c>
      <c r="Z142" s="50">
        <f>N142*K142</f>
        <v/>
      </c>
      <c r="AA142" s="50">
        <f>O142*K142</f>
        <v/>
      </c>
      <c r="AB142" s="50">
        <f>P142*K142</f>
        <v/>
      </c>
      <c r="AC142" s="50">
        <f>Q142*K142</f>
        <v/>
      </c>
      <c r="AD142" s="50">
        <f>R142*K142</f>
        <v/>
      </c>
      <c r="AE142" s="50">
        <f>S142*K142</f>
        <v/>
      </c>
      <c r="AF142" s="50">
        <f>T142*K142</f>
        <v/>
      </c>
      <c r="AG142" s="50">
        <f>U142*K142</f>
        <v/>
      </c>
      <c r="AH142" s="50">
        <f>V142*K142</f>
        <v/>
      </c>
      <c r="AI142" s="50">
        <f>W142*K142</f>
        <v/>
      </c>
    </row>
    <row r="143">
      <c r="A143" s="25" t="n"/>
      <c r="B143" s="45">
        <f>IF(A143="","",IFERROR(INDEX(Mitarbeiter!$B$6:$B$205,MATCH($A143,Mitarbeiter!$A$6:$A$205,0)),"?"))</f>
        <v/>
      </c>
      <c r="C143" s="46" t="n"/>
      <c r="D143" s="26" t="n"/>
      <c r="E143" s="26" t="n"/>
      <c r="F143" s="24">
        <f>IF(A143="","",SUM(L143:W143))</f>
        <v/>
      </c>
      <c r="G143" s="36">
        <f>IF(A143="","",SUM(X143:AI143))</f>
        <v/>
      </c>
      <c r="H143" s="8">
        <f>IF(A143="","",IF(ISNA(MATCH(A143,Mitarbeiter!$A$6:$A$205,0)),"Pers.-Nr. unbekannt",IF(D143="","Von fehlt",IF(AND(C143&lt;&gt;Einstellungen!$C$4,C143&lt;&gt;Einstellungen!$C$5),"Objekt fehlt",IF(J143&lt;D143,"Bis vor Von",IF(D143&lt;INDEX(Mitarbeiter!$C$6:$C$205,MATCH($A143,Mitarbeiter!$A$6:$A$205,0)),"vor Eintritt",IF(AND(INDEX(Mitarbeiter!$D$6:$D$205,MATCH($A143,Mitarbeiter!$A$6:$A$205,0))&lt;&gt;"",D143&gt;INDEX(Mitarbeiter!$D$6:$D$205,MATCH($A143,Mitarbeiter!$A$6:$A$205,0))),"nach Austritt",IF(E143="","offen","ok"))))))))</f>
        <v/>
      </c>
      <c r="J143" s="47">
        <f>IF(A143="","",IF(E143="",Einstellungen!$C$9,E143))</f>
        <v/>
      </c>
      <c r="K143" s="48">
        <f>IF(A143="",0,IFERROR(INDEX(Mitarbeiter!$F$6:$F$205,MATCH($A143,Mitarbeiter!$A$6:$A$205,0)),0))</f>
        <v/>
      </c>
      <c r="L143" s="49">
        <f>IF(OR(A143="",D143=""),0,MAX(0,NETWORKDAYS(MAX(D143,DATE(Einstellungen!$C$3,1,1)),MIN(J143,DATE(Einstellungen!$C$3,2,0)),Einstellungen!$F$13:$F$32)))</f>
        <v/>
      </c>
      <c r="M143" s="49">
        <f>IF(OR(A143="",D143=""),0,MAX(0,NETWORKDAYS(MAX(D143,DATE(Einstellungen!$C$3,2,1)),MIN(J143,DATE(Einstellungen!$C$3,3,0)),Einstellungen!$F$13:$F$32)))</f>
        <v/>
      </c>
      <c r="N143" s="49">
        <f>IF(OR(A143="",D143=""),0,MAX(0,NETWORKDAYS(MAX(D143,DATE(Einstellungen!$C$3,3,1)),MIN(J143,DATE(Einstellungen!$C$3,4,0)),Einstellungen!$F$13:$F$32)))</f>
        <v/>
      </c>
      <c r="O143" s="49">
        <f>IF(OR(A143="",D143=""),0,MAX(0,NETWORKDAYS(MAX(D143,DATE(Einstellungen!$C$3,4,1)),MIN(J143,DATE(Einstellungen!$C$3,5,0)),Einstellungen!$F$13:$F$32)))</f>
        <v/>
      </c>
      <c r="P143" s="49">
        <f>IF(OR(A143="",D143=""),0,MAX(0,NETWORKDAYS(MAX(D143,DATE(Einstellungen!$C$3,5,1)),MIN(J143,DATE(Einstellungen!$C$3,6,0)),Einstellungen!$F$13:$F$32)))</f>
        <v/>
      </c>
      <c r="Q143" s="49">
        <f>IF(OR(A143="",D143=""),0,MAX(0,NETWORKDAYS(MAX(D143,DATE(Einstellungen!$C$3,6,1)),MIN(J143,DATE(Einstellungen!$C$3,7,0)),Einstellungen!$F$13:$F$32)))</f>
        <v/>
      </c>
      <c r="R143" s="49">
        <f>IF(OR(A143="",D143=""),0,MAX(0,NETWORKDAYS(MAX(D143,DATE(Einstellungen!$C$3,7,1)),MIN(J143,DATE(Einstellungen!$C$3,8,0)),Einstellungen!$F$13:$F$32)))</f>
        <v/>
      </c>
      <c r="S143" s="49">
        <f>IF(OR(A143="",D143=""),0,MAX(0,NETWORKDAYS(MAX(D143,DATE(Einstellungen!$C$3,8,1)),MIN(J143,DATE(Einstellungen!$C$3,9,0)),Einstellungen!$F$13:$F$32)))</f>
        <v/>
      </c>
      <c r="T143" s="49">
        <f>IF(OR(A143="",D143=""),0,MAX(0,NETWORKDAYS(MAX(D143,DATE(Einstellungen!$C$3,9,1)),MIN(J143,DATE(Einstellungen!$C$3,10,0)),Einstellungen!$F$13:$F$32)))</f>
        <v/>
      </c>
      <c r="U143" s="49">
        <f>IF(OR(A143="",D143=""),0,MAX(0,NETWORKDAYS(MAX(D143,DATE(Einstellungen!$C$3,10,1)),MIN(J143,DATE(Einstellungen!$C$3,11,0)),Einstellungen!$F$13:$F$32)))</f>
        <v/>
      </c>
      <c r="V143" s="49">
        <f>IF(OR(A143="",D143=""),0,MAX(0,NETWORKDAYS(MAX(D143,DATE(Einstellungen!$C$3,11,1)),MIN(J143,DATE(Einstellungen!$C$3,12,0)),Einstellungen!$F$13:$F$32)))</f>
        <v/>
      </c>
      <c r="W143" s="49">
        <f>IF(OR(A143="",D143=""),0,MAX(0,NETWORKDAYS(MAX(D143,DATE(Einstellungen!$C$3,12,1)),MIN(J143,DATE(Einstellungen!$C$3,13,0)),Einstellungen!$F$13:$F$32)))</f>
        <v/>
      </c>
      <c r="X143" s="50">
        <f>L143*K143</f>
        <v/>
      </c>
      <c r="Y143" s="50">
        <f>M143*K143</f>
        <v/>
      </c>
      <c r="Z143" s="50">
        <f>N143*K143</f>
        <v/>
      </c>
      <c r="AA143" s="50">
        <f>O143*K143</f>
        <v/>
      </c>
      <c r="AB143" s="50">
        <f>P143*K143</f>
        <v/>
      </c>
      <c r="AC143" s="50">
        <f>Q143*K143</f>
        <v/>
      </c>
      <c r="AD143" s="50">
        <f>R143*K143</f>
        <v/>
      </c>
      <c r="AE143" s="50">
        <f>S143*K143</f>
        <v/>
      </c>
      <c r="AF143" s="50">
        <f>T143*K143</f>
        <v/>
      </c>
      <c r="AG143" s="50">
        <f>U143*K143</f>
        <v/>
      </c>
      <c r="AH143" s="50">
        <f>V143*K143</f>
        <v/>
      </c>
      <c r="AI143" s="50">
        <f>W143*K143</f>
        <v/>
      </c>
    </row>
    <row r="144">
      <c r="A144" s="25" t="n"/>
      <c r="B144" s="45">
        <f>IF(A144="","",IFERROR(INDEX(Mitarbeiter!$B$6:$B$205,MATCH($A144,Mitarbeiter!$A$6:$A$205,0)),"?"))</f>
        <v/>
      </c>
      <c r="C144" s="46" t="n"/>
      <c r="D144" s="26" t="n"/>
      <c r="E144" s="26" t="n"/>
      <c r="F144" s="24">
        <f>IF(A144="","",SUM(L144:W144))</f>
        <v/>
      </c>
      <c r="G144" s="36">
        <f>IF(A144="","",SUM(X144:AI144))</f>
        <v/>
      </c>
      <c r="H144" s="8">
        <f>IF(A144="","",IF(ISNA(MATCH(A144,Mitarbeiter!$A$6:$A$205,0)),"Pers.-Nr. unbekannt",IF(D144="","Von fehlt",IF(AND(C144&lt;&gt;Einstellungen!$C$4,C144&lt;&gt;Einstellungen!$C$5),"Objekt fehlt",IF(J144&lt;D144,"Bis vor Von",IF(D144&lt;INDEX(Mitarbeiter!$C$6:$C$205,MATCH($A144,Mitarbeiter!$A$6:$A$205,0)),"vor Eintritt",IF(AND(INDEX(Mitarbeiter!$D$6:$D$205,MATCH($A144,Mitarbeiter!$A$6:$A$205,0))&lt;&gt;"",D144&gt;INDEX(Mitarbeiter!$D$6:$D$205,MATCH($A144,Mitarbeiter!$A$6:$A$205,0))),"nach Austritt",IF(E144="","offen","ok"))))))))</f>
        <v/>
      </c>
      <c r="J144" s="47">
        <f>IF(A144="","",IF(E144="",Einstellungen!$C$9,E144))</f>
        <v/>
      </c>
      <c r="K144" s="48">
        <f>IF(A144="",0,IFERROR(INDEX(Mitarbeiter!$F$6:$F$205,MATCH($A144,Mitarbeiter!$A$6:$A$205,0)),0))</f>
        <v/>
      </c>
      <c r="L144" s="49">
        <f>IF(OR(A144="",D144=""),0,MAX(0,NETWORKDAYS(MAX(D144,DATE(Einstellungen!$C$3,1,1)),MIN(J144,DATE(Einstellungen!$C$3,2,0)),Einstellungen!$F$13:$F$32)))</f>
        <v/>
      </c>
      <c r="M144" s="49">
        <f>IF(OR(A144="",D144=""),0,MAX(0,NETWORKDAYS(MAX(D144,DATE(Einstellungen!$C$3,2,1)),MIN(J144,DATE(Einstellungen!$C$3,3,0)),Einstellungen!$F$13:$F$32)))</f>
        <v/>
      </c>
      <c r="N144" s="49">
        <f>IF(OR(A144="",D144=""),0,MAX(0,NETWORKDAYS(MAX(D144,DATE(Einstellungen!$C$3,3,1)),MIN(J144,DATE(Einstellungen!$C$3,4,0)),Einstellungen!$F$13:$F$32)))</f>
        <v/>
      </c>
      <c r="O144" s="49">
        <f>IF(OR(A144="",D144=""),0,MAX(0,NETWORKDAYS(MAX(D144,DATE(Einstellungen!$C$3,4,1)),MIN(J144,DATE(Einstellungen!$C$3,5,0)),Einstellungen!$F$13:$F$32)))</f>
        <v/>
      </c>
      <c r="P144" s="49">
        <f>IF(OR(A144="",D144=""),0,MAX(0,NETWORKDAYS(MAX(D144,DATE(Einstellungen!$C$3,5,1)),MIN(J144,DATE(Einstellungen!$C$3,6,0)),Einstellungen!$F$13:$F$32)))</f>
        <v/>
      </c>
      <c r="Q144" s="49">
        <f>IF(OR(A144="",D144=""),0,MAX(0,NETWORKDAYS(MAX(D144,DATE(Einstellungen!$C$3,6,1)),MIN(J144,DATE(Einstellungen!$C$3,7,0)),Einstellungen!$F$13:$F$32)))</f>
        <v/>
      </c>
      <c r="R144" s="49">
        <f>IF(OR(A144="",D144=""),0,MAX(0,NETWORKDAYS(MAX(D144,DATE(Einstellungen!$C$3,7,1)),MIN(J144,DATE(Einstellungen!$C$3,8,0)),Einstellungen!$F$13:$F$32)))</f>
        <v/>
      </c>
      <c r="S144" s="49">
        <f>IF(OR(A144="",D144=""),0,MAX(0,NETWORKDAYS(MAX(D144,DATE(Einstellungen!$C$3,8,1)),MIN(J144,DATE(Einstellungen!$C$3,9,0)),Einstellungen!$F$13:$F$32)))</f>
        <v/>
      </c>
      <c r="T144" s="49">
        <f>IF(OR(A144="",D144=""),0,MAX(0,NETWORKDAYS(MAX(D144,DATE(Einstellungen!$C$3,9,1)),MIN(J144,DATE(Einstellungen!$C$3,10,0)),Einstellungen!$F$13:$F$32)))</f>
        <v/>
      </c>
      <c r="U144" s="49">
        <f>IF(OR(A144="",D144=""),0,MAX(0,NETWORKDAYS(MAX(D144,DATE(Einstellungen!$C$3,10,1)),MIN(J144,DATE(Einstellungen!$C$3,11,0)),Einstellungen!$F$13:$F$32)))</f>
        <v/>
      </c>
      <c r="V144" s="49">
        <f>IF(OR(A144="",D144=""),0,MAX(0,NETWORKDAYS(MAX(D144,DATE(Einstellungen!$C$3,11,1)),MIN(J144,DATE(Einstellungen!$C$3,12,0)),Einstellungen!$F$13:$F$32)))</f>
        <v/>
      </c>
      <c r="W144" s="49">
        <f>IF(OR(A144="",D144=""),0,MAX(0,NETWORKDAYS(MAX(D144,DATE(Einstellungen!$C$3,12,1)),MIN(J144,DATE(Einstellungen!$C$3,13,0)),Einstellungen!$F$13:$F$32)))</f>
        <v/>
      </c>
      <c r="X144" s="50">
        <f>L144*K144</f>
        <v/>
      </c>
      <c r="Y144" s="50">
        <f>M144*K144</f>
        <v/>
      </c>
      <c r="Z144" s="50">
        <f>N144*K144</f>
        <v/>
      </c>
      <c r="AA144" s="50">
        <f>O144*K144</f>
        <v/>
      </c>
      <c r="AB144" s="50">
        <f>P144*K144</f>
        <v/>
      </c>
      <c r="AC144" s="50">
        <f>Q144*K144</f>
        <v/>
      </c>
      <c r="AD144" s="50">
        <f>R144*K144</f>
        <v/>
      </c>
      <c r="AE144" s="50">
        <f>S144*K144</f>
        <v/>
      </c>
      <c r="AF144" s="50">
        <f>T144*K144</f>
        <v/>
      </c>
      <c r="AG144" s="50">
        <f>U144*K144</f>
        <v/>
      </c>
      <c r="AH144" s="50">
        <f>V144*K144</f>
        <v/>
      </c>
      <c r="AI144" s="50">
        <f>W144*K144</f>
        <v/>
      </c>
    </row>
    <row r="145">
      <c r="A145" s="25" t="n"/>
      <c r="B145" s="45">
        <f>IF(A145="","",IFERROR(INDEX(Mitarbeiter!$B$6:$B$205,MATCH($A145,Mitarbeiter!$A$6:$A$205,0)),"?"))</f>
        <v/>
      </c>
      <c r="C145" s="46" t="n"/>
      <c r="D145" s="26" t="n"/>
      <c r="E145" s="26" t="n"/>
      <c r="F145" s="24">
        <f>IF(A145="","",SUM(L145:W145))</f>
        <v/>
      </c>
      <c r="G145" s="36">
        <f>IF(A145="","",SUM(X145:AI145))</f>
        <v/>
      </c>
      <c r="H145" s="8">
        <f>IF(A145="","",IF(ISNA(MATCH(A145,Mitarbeiter!$A$6:$A$205,0)),"Pers.-Nr. unbekannt",IF(D145="","Von fehlt",IF(AND(C145&lt;&gt;Einstellungen!$C$4,C145&lt;&gt;Einstellungen!$C$5),"Objekt fehlt",IF(J145&lt;D145,"Bis vor Von",IF(D145&lt;INDEX(Mitarbeiter!$C$6:$C$205,MATCH($A145,Mitarbeiter!$A$6:$A$205,0)),"vor Eintritt",IF(AND(INDEX(Mitarbeiter!$D$6:$D$205,MATCH($A145,Mitarbeiter!$A$6:$A$205,0))&lt;&gt;"",D145&gt;INDEX(Mitarbeiter!$D$6:$D$205,MATCH($A145,Mitarbeiter!$A$6:$A$205,0))),"nach Austritt",IF(E145="","offen","ok"))))))))</f>
        <v/>
      </c>
      <c r="J145" s="47">
        <f>IF(A145="","",IF(E145="",Einstellungen!$C$9,E145))</f>
        <v/>
      </c>
      <c r="K145" s="48">
        <f>IF(A145="",0,IFERROR(INDEX(Mitarbeiter!$F$6:$F$205,MATCH($A145,Mitarbeiter!$A$6:$A$205,0)),0))</f>
        <v/>
      </c>
      <c r="L145" s="49">
        <f>IF(OR(A145="",D145=""),0,MAX(0,NETWORKDAYS(MAX(D145,DATE(Einstellungen!$C$3,1,1)),MIN(J145,DATE(Einstellungen!$C$3,2,0)),Einstellungen!$F$13:$F$32)))</f>
        <v/>
      </c>
      <c r="M145" s="49">
        <f>IF(OR(A145="",D145=""),0,MAX(0,NETWORKDAYS(MAX(D145,DATE(Einstellungen!$C$3,2,1)),MIN(J145,DATE(Einstellungen!$C$3,3,0)),Einstellungen!$F$13:$F$32)))</f>
        <v/>
      </c>
      <c r="N145" s="49">
        <f>IF(OR(A145="",D145=""),0,MAX(0,NETWORKDAYS(MAX(D145,DATE(Einstellungen!$C$3,3,1)),MIN(J145,DATE(Einstellungen!$C$3,4,0)),Einstellungen!$F$13:$F$32)))</f>
        <v/>
      </c>
      <c r="O145" s="49">
        <f>IF(OR(A145="",D145=""),0,MAX(0,NETWORKDAYS(MAX(D145,DATE(Einstellungen!$C$3,4,1)),MIN(J145,DATE(Einstellungen!$C$3,5,0)),Einstellungen!$F$13:$F$32)))</f>
        <v/>
      </c>
      <c r="P145" s="49">
        <f>IF(OR(A145="",D145=""),0,MAX(0,NETWORKDAYS(MAX(D145,DATE(Einstellungen!$C$3,5,1)),MIN(J145,DATE(Einstellungen!$C$3,6,0)),Einstellungen!$F$13:$F$32)))</f>
        <v/>
      </c>
      <c r="Q145" s="49">
        <f>IF(OR(A145="",D145=""),0,MAX(0,NETWORKDAYS(MAX(D145,DATE(Einstellungen!$C$3,6,1)),MIN(J145,DATE(Einstellungen!$C$3,7,0)),Einstellungen!$F$13:$F$32)))</f>
        <v/>
      </c>
      <c r="R145" s="49">
        <f>IF(OR(A145="",D145=""),0,MAX(0,NETWORKDAYS(MAX(D145,DATE(Einstellungen!$C$3,7,1)),MIN(J145,DATE(Einstellungen!$C$3,8,0)),Einstellungen!$F$13:$F$32)))</f>
        <v/>
      </c>
      <c r="S145" s="49">
        <f>IF(OR(A145="",D145=""),0,MAX(0,NETWORKDAYS(MAX(D145,DATE(Einstellungen!$C$3,8,1)),MIN(J145,DATE(Einstellungen!$C$3,9,0)),Einstellungen!$F$13:$F$32)))</f>
        <v/>
      </c>
      <c r="T145" s="49">
        <f>IF(OR(A145="",D145=""),0,MAX(0,NETWORKDAYS(MAX(D145,DATE(Einstellungen!$C$3,9,1)),MIN(J145,DATE(Einstellungen!$C$3,10,0)),Einstellungen!$F$13:$F$32)))</f>
        <v/>
      </c>
      <c r="U145" s="49">
        <f>IF(OR(A145="",D145=""),0,MAX(0,NETWORKDAYS(MAX(D145,DATE(Einstellungen!$C$3,10,1)),MIN(J145,DATE(Einstellungen!$C$3,11,0)),Einstellungen!$F$13:$F$32)))</f>
        <v/>
      </c>
      <c r="V145" s="49">
        <f>IF(OR(A145="",D145=""),0,MAX(0,NETWORKDAYS(MAX(D145,DATE(Einstellungen!$C$3,11,1)),MIN(J145,DATE(Einstellungen!$C$3,12,0)),Einstellungen!$F$13:$F$32)))</f>
        <v/>
      </c>
      <c r="W145" s="49">
        <f>IF(OR(A145="",D145=""),0,MAX(0,NETWORKDAYS(MAX(D145,DATE(Einstellungen!$C$3,12,1)),MIN(J145,DATE(Einstellungen!$C$3,13,0)),Einstellungen!$F$13:$F$32)))</f>
        <v/>
      </c>
      <c r="X145" s="50">
        <f>L145*K145</f>
        <v/>
      </c>
      <c r="Y145" s="50">
        <f>M145*K145</f>
        <v/>
      </c>
      <c r="Z145" s="50">
        <f>N145*K145</f>
        <v/>
      </c>
      <c r="AA145" s="50">
        <f>O145*K145</f>
        <v/>
      </c>
      <c r="AB145" s="50">
        <f>P145*K145</f>
        <v/>
      </c>
      <c r="AC145" s="50">
        <f>Q145*K145</f>
        <v/>
      </c>
      <c r="AD145" s="50">
        <f>R145*K145</f>
        <v/>
      </c>
      <c r="AE145" s="50">
        <f>S145*K145</f>
        <v/>
      </c>
      <c r="AF145" s="50">
        <f>T145*K145</f>
        <v/>
      </c>
      <c r="AG145" s="50">
        <f>U145*K145</f>
        <v/>
      </c>
      <c r="AH145" s="50">
        <f>V145*K145</f>
        <v/>
      </c>
      <c r="AI145" s="50">
        <f>W145*K145</f>
        <v/>
      </c>
    </row>
    <row r="146">
      <c r="A146" s="25" t="n"/>
      <c r="B146" s="45">
        <f>IF(A146="","",IFERROR(INDEX(Mitarbeiter!$B$6:$B$205,MATCH($A146,Mitarbeiter!$A$6:$A$205,0)),"?"))</f>
        <v/>
      </c>
      <c r="C146" s="46" t="n"/>
      <c r="D146" s="26" t="n"/>
      <c r="E146" s="26" t="n"/>
      <c r="F146" s="24">
        <f>IF(A146="","",SUM(L146:W146))</f>
        <v/>
      </c>
      <c r="G146" s="36">
        <f>IF(A146="","",SUM(X146:AI146))</f>
        <v/>
      </c>
      <c r="H146" s="8">
        <f>IF(A146="","",IF(ISNA(MATCH(A146,Mitarbeiter!$A$6:$A$205,0)),"Pers.-Nr. unbekannt",IF(D146="","Von fehlt",IF(AND(C146&lt;&gt;Einstellungen!$C$4,C146&lt;&gt;Einstellungen!$C$5),"Objekt fehlt",IF(J146&lt;D146,"Bis vor Von",IF(D146&lt;INDEX(Mitarbeiter!$C$6:$C$205,MATCH($A146,Mitarbeiter!$A$6:$A$205,0)),"vor Eintritt",IF(AND(INDEX(Mitarbeiter!$D$6:$D$205,MATCH($A146,Mitarbeiter!$A$6:$A$205,0))&lt;&gt;"",D146&gt;INDEX(Mitarbeiter!$D$6:$D$205,MATCH($A146,Mitarbeiter!$A$6:$A$205,0))),"nach Austritt",IF(E146="","offen","ok"))))))))</f>
        <v/>
      </c>
      <c r="J146" s="47">
        <f>IF(A146="","",IF(E146="",Einstellungen!$C$9,E146))</f>
        <v/>
      </c>
      <c r="K146" s="48">
        <f>IF(A146="",0,IFERROR(INDEX(Mitarbeiter!$F$6:$F$205,MATCH($A146,Mitarbeiter!$A$6:$A$205,0)),0))</f>
        <v/>
      </c>
      <c r="L146" s="49">
        <f>IF(OR(A146="",D146=""),0,MAX(0,NETWORKDAYS(MAX(D146,DATE(Einstellungen!$C$3,1,1)),MIN(J146,DATE(Einstellungen!$C$3,2,0)),Einstellungen!$F$13:$F$32)))</f>
        <v/>
      </c>
      <c r="M146" s="49">
        <f>IF(OR(A146="",D146=""),0,MAX(0,NETWORKDAYS(MAX(D146,DATE(Einstellungen!$C$3,2,1)),MIN(J146,DATE(Einstellungen!$C$3,3,0)),Einstellungen!$F$13:$F$32)))</f>
        <v/>
      </c>
      <c r="N146" s="49">
        <f>IF(OR(A146="",D146=""),0,MAX(0,NETWORKDAYS(MAX(D146,DATE(Einstellungen!$C$3,3,1)),MIN(J146,DATE(Einstellungen!$C$3,4,0)),Einstellungen!$F$13:$F$32)))</f>
        <v/>
      </c>
      <c r="O146" s="49">
        <f>IF(OR(A146="",D146=""),0,MAX(0,NETWORKDAYS(MAX(D146,DATE(Einstellungen!$C$3,4,1)),MIN(J146,DATE(Einstellungen!$C$3,5,0)),Einstellungen!$F$13:$F$32)))</f>
        <v/>
      </c>
      <c r="P146" s="49">
        <f>IF(OR(A146="",D146=""),0,MAX(0,NETWORKDAYS(MAX(D146,DATE(Einstellungen!$C$3,5,1)),MIN(J146,DATE(Einstellungen!$C$3,6,0)),Einstellungen!$F$13:$F$32)))</f>
        <v/>
      </c>
      <c r="Q146" s="49">
        <f>IF(OR(A146="",D146=""),0,MAX(0,NETWORKDAYS(MAX(D146,DATE(Einstellungen!$C$3,6,1)),MIN(J146,DATE(Einstellungen!$C$3,7,0)),Einstellungen!$F$13:$F$32)))</f>
        <v/>
      </c>
      <c r="R146" s="49">
        <f>IF(OR(A146="",D146=""),0,MAX(0,NETWORKDAYS(MAX(D146,DATE(Einstellungen!$C$3,7,1)),MIN(J146,DATE(Einstellungen!$C$3,8,0)),Einstellungen!$F$13:$F$32)))</f>
        <v/>
      </c>
      <c r="S146" s="49">
        <f>IF(OR(A146="",D146=""),0,MAX(0,NETWORKDAYS(MAX(D146,DATE(Einstellungen!$C$3,8,1)),MIN(J146,DATE(Einstellungen!$C$3,9,0)),Einstellungen!$F$13:$F$32)))</f>
        <v/>
      </c>
      <c r="T146" s="49">
        <f>IF(OR(A146="",D146=""),0,MAX(0,NETWORKDAYS(MAX(D146,DATE(Einstellungen!$C$3,9,1)),MIN(J146,DATE(Einstellungen!$C$3,10,0)),Einstellungen!$F$13:$F$32)))</f>
        <v/>
      </c>
      <c r="U146" s="49">
        <f>IF(OR(A146="",D146=""),0,MAX(0,NETWORKDAYS(MAX(D146,DATE(Einstellungen!$C$3,10,1)),MIN(J146,DATE(Einstellungen!$C$3,11,0)),Einstellungen!$F$13:$F$32)))</f>
        <v/>
      </c>
      <c r="V146" s="49">
        <f>IF(OR(A146="",D146=""),0,MAX(0,NETWORKDAYS(MAX(D146,DATE(Einstellungen!$C$3,11,1)),MIN(J146,DATE(Einstellungen!$C$3,12,0)),Einstellungen!$F$13:$F$32)))</f>
        <v/>
      </c>
      <c r="W146" s="49">
        <f>IF(OR(A146="",D146=""),0,MAX(0,NETWORKDAYS(MAX(D146,DATE(Einstellungen!$C$3,12,1)),MIN(J146,DATE(Einstellungen!$C$3,13,0)),Einstellungen!$F$13:$F$32)))</f>
        <v/>
      </c>
      <c r="X146" s="50">
        <f>L146*K146</f>
        <v/>
      </c>
      <c r="Y146" s="50">
        <f>M146*K146</f>
        <v/>
      </c>
      <c r="Z146" s="50">
        <f>N146*K146</f>
        <v/>
      </c>
      <c r="AA146" s="50">
        <f>O146*K146</f>
        <v/>
      </c>
      <c r="AB146" s="50">
        <f>P146*K146</f>
        <v/>
      </c>
      <c r="AC146" s="50">
        <f>Q146*K146</f>
        <v/>
      </c>
      <c r="AD146" s="50">
        <f>R146*K146</f>
        <v/>
      </c>
      <c r="AE146" s="50">
        <f>S146*K146</f>
        <v/>
      </c>
      <c r="AF146" s="50">
        <f>T146*K146</f>
        <v/>
      </c>
      <c r="AG146" s="50">
        <f>U146*K146</f>
        <v/>
      </c>
      <c r="AH146" s="50">
        <f>V146*K146</f>
        <v/>
      </c>
      <c r="AI146" s="50">
        <f>W146*K146</f>
        <v/>
      </c>
    </row>
    <row r="147">
      <c r="A147" s="25" t="n"/>
      <c r="B147" s="45">
        <f>IF(A147="","",IFERROR(INDEX(Mitarbeiter!$B$6:$B$205,MATCH($A147,Mitarbeiter!$A$6:$A$205,0)),"?"))</f>
        <v/>
      </c>
      <c r="C147" s="46" t="n"/>
      <c r="D147" s="26" t="n"/>
      <c r="E147" s="26" t="n"/>
      <c r="F147" s="24">
        <f>IF(A147="","",SUM(L147:W147))</f>
        <v/>
      </c>
      <c r="G147" s="36">
        <f>IF(A147="","",SUM(X147:AI147))</f>
        <v/>
      </c>
      <c r="H147" s="8">
        <f>IF(A147="","",IF(ISNA(MATCH(A147,Mitarbeiter!$A$6:$A$205,0)),"Pers.-Nr. unbekannt",IF(D147="","Von fehlt",IF(AND(C147&lt;&gt;Einstellungen!$C$4,C147&lt;&gt;Einstellungen!$C$5),"Objekt fehlt",IF(J147&lt;D147,"Bis vor Von",IF(D147&lt;INDEX(Mitarbeiter!$C$6:$C$205,MATCH($A147,Mitarbeiter!$A$6:$A$205,0)),"vor Eintritt",IF(AND(INDEX(Mitarbeiter!$D$6:$D$205,MATCH($A147,Mitarbeiter!$A$6:$A$205,0))&lt;&gt;"",D147&gt;INDEX(Mitarbeiter!$D$6:$D$205,MATCH($A147,Mitarbeiter!$A$6:$A$205,0))),"nach Austritt",IF(E147="","offen","ok"))))))))</f>
        <v/>
      </c>
      <c r="J147" s="47">
        <f>IF(A147="","",IF(E147="",Einstellungen!$C$9,E147))</f>
        <v/>
      </c>
      <c r="K147" s="48">
        <f>IF(A147="",0,IFERROR(INDEX(Mitarbeiter!$F$6:$F$205,MATCH($A147,Mitarbeiter!$A$6:$A$205,0)),0))</f>
        <v/>
      </c>
      <c r="L147" s="49">
        <f>IF(OR(A147="",D147=""),0,MAX(0,NETWORKDAYS(MAX(D147,DATE(Einstellungen!$C$3,1,1)),MIN(J147,DATE(Einstellungen!$C$3,2,0)),Einstellungen!$F$13:$F$32)))</f>
        <v/>
      </c>
      <c r="M147" s="49">
        <f>IF(OR(A147="",D147=""),0,MAX(0,NETWORKDAYS(MAX(D147,DATE(Einstellungen!$C$3,2,1)),MIN(J147,DATE(Einstellungen!$C$3,3,0)),Einstellungen!$F$13:$F$32)))</f>
        <v/>
      </c>
      <c r="N147" s="49">
        <f>IF(OR(A147="",D147=""),0,MAX(0,NETWORKDAYS(MAX(D147,DATE(Einstellungen!$C$3,3,1)),MIN(J147,DATE(Einstellungen!$C$3,4,0)),Einstellungen!$F$13:$F$32)))</f>
        <v/>
      </c>
      <c r="O147" s="49">
        <f>IF(OR(A147="",D147=""),0,MAX(0,NETWORKDAYS(MAX(D147,DATE(Einstellungen!$C$3,4,1)),MIN(J147,DATE(Einstellungen!$C$3,5,0)),Einstellungen!$F$13:$F$32)))</f>
        <v/>
      </c>
      <c r="P147" s="49">
        <f>IF(OR(A147="",D147=""),0,MAX(0,NETWORKDAYS(MAX(D147,DATE(Einstellungen!$C$3,5,1)),MIN(J147,DATE(Einstellungen!$C$3,6,0)),Einstellungen!$F$13:$F$32)))</f>
        <v/>
      </c>
      <c r="Q147" s="49">
        <f>IF(OR(A147="",D147=""),0,MAX(0,NETWORKDAYS(MAX(D147,DATE(Einstellungen!$C$3,6,1)),MIN(J147,DATE(Einstellungen!$C$3,7,0)),Einstellungen!$F$13:$F$32)))</f>
        <v/>
      </c>
      <c r="R147" s="49">
        <f>IF(OR(A147="",D147=""),0,MAX(0,NETWORKDAYS(MAX(D147,DATE(Einstellungen!$C$3,7,1)),MIN(J147,DATE(Einstellungen!$C$3,8,0)),Einstellungen!$F$13:$F$32)))</f>
        <v/>
      </c>
      <c r="S147" s="49">
        <f>IF(OR(A147="",D147=""),0,MAX(0,NETWORKDAYS(MAX(D147,DATE(Einstellungen!$C$3,8,1)),MIN(J147,DATE(Einstellungen!$C$3,9,0)),Einstellungen!$F$13:$F$32)))</f>
        <v/>
      </c>
      <c r="T147" s="49">
        <f>IF(OR(A147="",D147=""),0,MAX(0,NETWORKDAYS(MAX(D147,DATE(Einstellungen!$C$3,9,1)),MIN(J147,DATE(Einstellungen!$C$3,10,0)),Einstellungen!$F$13:$F$32)))</f>
        <v/>
      </c>
      <c r="U147" s="49">
        <f>IF(OR(A147="",D147=""),0,MAX(0,NETWORKDAYS(MAX(D147,DATE(Einstellungen!$C$3,10,1)),MIN(J147,DATE(Einstellungen!$C$3,11,0)),Einstellungen!$F$13:$F$32)))</f>
        <v/>
      </c>
      <c r="V147" s="49">
        <f>IF(OR(A147="",D147=""),0,MAX(0,NETWORKDAYS(MAX(D147,DATE(Einstellungen!$C$3,11,1)),MIN(J147,DATE(Einstellungen!$C$3,12,0)),Einstellungen!$F$13:$F$32)))</f>
        <v/>
      </c>
      <c r="W147" s="49">
        <f>IF(OR(A147="",D147=""),0,MAX(0,NETWORKDAYS(MAX(D147,DATE(Einstellungen!$C$3,12,1)),MIN(J147,DATE(Einstellungen!$C$3,13,0)),Einstellungen!$F$13:$F$32)))</f>
        <v/>
      </c>
      <c r="X147" s="50">
        <f>L147*K147</f>
        <v/>
      </c>
      <c r="Y147" s="50">
        <f>M147*K147</f>
        <v/>
      </c>
      <c r="Z147" s="50">
        <f>N147*K147</f>
        <v/>
      </c>
      <c r="AA147" s="50">
        <f>O147*K147</f>
        <v/>
      </c>
      <c r="AB147" s="50">
        <f>P147*K147</f>
        <v/>
      </c>
      <c r="AC147" s="50">
        <f>Q147*K147</f>
        <v/>
      </c>
      <c r="AD147" s="50">
        <f>R147*K147</f>
        <v/>
      </c>
      <c r="AE147" s="50">
        <f>S147*K147</f>
        <v/>
      </c>
      <c r="AF147" s="50">
        <f>T147*K147</f>
        <v/>
      </c>
      <c r="AG147" s="50">
        <f>U147*K147</f>
        <v/>
      </c>
      <c r="AH147" s="50">
        <f>V147*K147</f>
        <v/>
      </c>
      <c r="AI147" s="50">
        <f>W147*K147</f>
        <v/>
      </c>
    </row>
    <row r="148">
      <c r="A148" s="25" t="n"/>
      <c r="B148" s="45">
        <f>IF(A148="","",IFERROR(INDEX(Mitarbeiter!$B$6:$B$205,MATCH($A148,Mitarbeiter!$A$6:$A$205,0)),"?"))</f>
        <v/>
      </c>
      <c r="C148" s="46" t="n"/>
      <c r="D148" s="26" t="n"/>
      <c r="E148" s="26" t="n"/>
      <c r="F148" s="24">
        <f>IF(A148="","",SUM(L148:W148))</f>
        <v/>
      </c>
      <c r="G148" s="36">
        <f>IF(A148="","",SUM(X148:AI148))</f>
        <v/>
      </c>
      <c r="H148" s="8">
        <f>IF(A148="","",IF(ISNA(MATCH(A148,Mitarbeiter!$A$6:$A$205,0)),"Pers.-Nr. unbekannt",IF(D148="","Von fehlt",IF(AND(C148&lt;&gt;Einstellungen!$C$4,C148&lt;&gt;Einstellungen!$C$5),"Objekt fehlt",IF(J148&lt;D148,"Bis vor Von",IF(D148&lt;INDEX(Mitarbeiter!$C$6:$C$205,MATCH($A148,Mitarbeiter!$A$6:$A$205,0)),"vor Eintritt",IF(AND(INDEX(Mitarbeiter!$D$6:$D$205,MATCH($A148,Mitarbeiter!$A$6:$A$205,0))&lt;&gt;"",D148&gt;INDEX(Mitarbeiter!$D$6:$D$205,MATCH($A148,Mitarbeiter!$A$6:$A$205,0))),"nach Austritt",IF(E148="","offen","ok"))))))))</f>
        <v/>
      </c>
      <c r="J148" s="47">
        <f>IF(A148="","",IF(E148="",Einstellungen!$C$9,E148))</f>
        <v/>
      </c>
      <c r="K148" s="48">
        <f>IF(A148="",0,IFERROR(INDEX(Mitarbeiter!$F$6:$F$205,MATCH($A148,Mitarbeiter!$A$6:$A$205,0)),0))</f>
        <v/>
      </c>
      <c r="L148" s="49">
        <f>IF(OR(A148="",D148=""),0,MAX(0,NETWORKDAYS(MAX(D148,DATE(Einstellungen!$C$3,1,1)),MIN(J148,DATE(Einstellungen!$C$3,2,0)),Einstellungen!$F$13:$F$32)))</f>
        <v/>
      </c>
      <c r="M148" s="49">
        <f>IF(OR(A148="",D148=""),0,MAX(0,NETWORKDAYS(MAX(D148,DATE(Einstellungen!$C$3,2,1)),MIN(J148,DATE(Einstellungen!$C$3,3,0)),Einstellungen!$F$13:$F$32)))</f>
        <v/>
      </c>
      <c r="N148" s="49">
        <f>IF(OR(A148="",D148=""),0,MAX(0,NETWORKDAYS(MAX(D148,DATE(Einstellungen!$C$3,3,1)),MIN(J148,DATE(Einstellungen!$C$3,4,0)),Einstellungen!$F$13:$F$32)))</f>
        <v/>
      </c>
      <c r="O148" s="49">
        <f>IF(OR(A148="",D148=""),0,MAX(0,NETWORKDAYS(MAX(D148,DATE(Einstellungen!$C$3,4,1)),MIN(J148,DATE(Einstellungen!$C$3,5,0)),Einstellungen!$F$13:$F$32)))</f>
        <v/>
      </c>
      <c r="P148" s="49">
        <f>IF(OR(A148="",D148=""),0,MAX(0,NETWORKDAYS(MAX(D148,DATE(Einstellungen!$C$3,5,1)),MIN(J148,DATE(Einstellungen!$C$3,6,0)),Einstellungen!$F$13:$F$32)))</f>
        <v/>
      </c>
      <c r="Q148" s="49">
        <f>IF(OR(A148="",D148=""),0,MAX(0,NETWORKDAYS(MAX(D148,DATE(Einstellungen!$C$3,6,1)),MIN(J148,DATE(Einstellungen!$C$3,7,0)),Einstellungen!$F$13:$F$32)))</f>
        <v/>
      </c>
      <c r="R148" s="49">
        <f>IF(OR(A148="",D148=""),0,MAX(0,NETWORKDAYS(MAX(D148,DATE(Einstellungen!$C$3,7,1)),MIN(J148,DATE(Einstellungen!$C$3,8,0)),Einstellungen!$F$13:$F$32)))</f>
        <v/>
      </c>
      <c r="S148" s="49">
        <f>IF(OR(A148="",D148=""),0,MAX(0,NETWORKDAYS(MAX(D148,DATE(Einstellungen!$C$3,8,1)),MIN(J148,DATE(Einstellungen!$C$3,9,0)),Einstellungen!$F$13:$F$32)))</f>
        <v/>
      </c>
      <c r="T148" s="49">
        <f>IF(OR(A148="",D148=""),0,MAX(0,NETWORKDAYS(MAX(D148,DATE(Einstellungen!$C$3,9,1)),MIN(J148,DATE(Einstellungen!$C$3,10,0)),Einstellungen!$F$13:$F$32)))</f>
        <v/>
      </c>
      <c r="U148" s="49">
        <f>IF(OR(A148="",D148=""),0,MAX(0,NETWORKDAYS(MAX(D148,DATE(Einstellungen!$C$3,10,1)),MIN(J148,DATE(Einstellungen!$C$3,11,0)),Einstellungen!$F$13:$F$32)))</f>
        <v/>
      </c>
      <c r="V148" s="49">
        <f>IF(OR(A148="",D148=""),0,MAX(0,NETWORKDAYS(MAX(D148,DATE(Einstellungen!$C$3,11,1)),MIN(J148,DATE(Einstellungen!$C$3,12,0)),Einstellungen!$F$13:$F$32)))</f>
        <v/>
      </c>
      <c r="W148" s="49">
        <f>IF(OR(A148="",D148=""),0,MAX(0,NETWORKDAYS(MAX(D148,DATE(Einstellungen!$C$3,12,1)),MIN(J148,DATE(Einstellungen!$C$3,13,0)),Einstellungen!$F$13:$F$32)))</f>
        <v/>
      </c>
      <c r="X148" s="50">
        <f>L148*K148</f>
        <v/>
      </c>
      <c r="Y148" s="50">
        <f>M148*K148</f>
        <v/>
      </c>
      <c r="Z148" s="50">
        <f>N148*K148</f>
        <v/>
      </c>
      <c r="AA148" s="50">
        <f>O148*K148</f>
        <v/>
      </c>
      <c r="AB148" s="50">
        <f>P148*K148</f>
        <v/>
      </c>
      <c r="AC148" s="50">
        <f>Q148*K148</f>
        <v/>
      </c>
      <c r="AD148" s="50">
        <f>R148*K148</f>
        <v/>
      </c>
      <c r="AE148" s="50">
        <f>S148*K148</f>
        <v/>
      </c>
      <c r="AF148" s="50">
        <f>T148*K148</f>
        <v/>
      </c>
      <c r="AG148" s="50">
        <f>U148*K148</f>
        <v/>
      </c>
      <c r="AH148" s="50">
        <f>V148*K148</f>
        <v/>
      </c>
      <c r="AI148" s="50">
        <f>W148*K148</f>
        <v/>
      </c>
    </row>
    <row r="149">
      <c r="A149" s="25" t="n"/>
      <c r="B149" s="45">
        <f>IF(A149="","",IFERROR(INDEX(Mitarbeiter!$B$6:$B$205,MATCH($A149,Mitarbeiter!$A$6:$A$205,0)),"?"))</f>
        <v/>
      </c>
      <c r="C149" s="46" t="n"/>
      <c r="D149" s="26" t="n"/>
      <c r="E149" s="26" t="n"/>
      <c r="F149" s="24">
        <f>IF(A149="","",SUM(L149:W149))</f>
        <v/>
      </c>
      <c r="G149" s="36">
        <f>IF(A149="","",SUM(X149:AI149))</f>
        <v/>
      </c>
      <c r="H149" s="8">
        <f>IF(A149="","",IF(ISNA(MATCH(A149,Mitarbeiter!$A$6:$A$205,0)),"Pers.-Nr. unbekannt",IF(D149="","Von fehlt",IF(AND(C149&lt;&gt;Einstellungen!$C$4,C149&lt;&gt;Einstellungen!$C$5),"Objekt fehlt",IF(J149&lt;D149,"Bis vor Von",IF(D149&lt;INDEX(Mitarbeiter!$C$6:$C$205,MATCH($A149,Mitarbeiter!$A$6:$A$205,0)),"vor Eintritt",IF(AND(INDEX(Mitarbeiter!$D$6:$D$205,MATCH($A149,Mitarbeiter!$A$6:$A$205,0))&lt;&gt;"",D149&gt;INDEX(Mitarbeiter!$D$6:$D$205,MATCH($A149,Mitarbeiter!$A$6:$A$205,0))),"nach Austritt",IF(E149="","offen","ok"))))))))</f>
        <v/>
      </c>
      <c r="J149" s="47">
        <f>IF(A149="","",IF(E149="",Einstellungen!$C$9,E149))</f>
        <v/>
      </c>
      <c r="K149" s="48">
        <f>IF(A149="",0,IFERROR(INDEX(Mitarbeiter!$F$6:$F$205,MATCH($A149,Mitarbeiter!$A$6:$A$205,0)),0))</f>
        <v/>
      </c>
      <c r="L149" s="49">
        <f>IF(OR(A149="",D149=""),0,MAX(0,NETWORKDAYS(MAX(D149,DATE(Einstellungen!$C$3,1,1)),MIN(J149,DATE(Einstellungen!$C$3,2,0)),Einstellungen!$F$13:$F$32)))</f>
        <v/>
      </c>
      <c r="M149" s="49">
        <f>IF(OR(A149="",D149=""),0,MAX(0,NETWORKDAYS(MAX(D149,DATE(Einstellungen!$C$3,2,1)),MIN(J149,DATE(Einstellungen!$C$3,3,0)),Einstellungen!$F$13:$F$32)))</f>
        <v/>
      </c>
      <c r="N149" s="49">
        <f>IF(OR(A149="",D149=""),0,MAX(0,NETWORKDAYS(MAX(D149,DATE(Einstellungen!$C$3,3,1)),MIN(J149,DATE(Einstellungen!$C$3,4,0)),Einstellungen!$F$13:$F$32)))</f>
        <v/>
      </c>
      <c r="O149" s="49">
        <f>IF(OR(A149="",D149=""),0,MAX(0,NETWORKDAYS(MAX(D149,DATE(Einstellungen!$C$3,4,1)),MIN(J149,DATE(Einstellungen!$C$3,5,0)),Einstellungen!$F$13:$F$32)))</f>
        <v/>
      </c>
      <c r="P149" s="49">
        <f>IF(OR(A149="",D149=""),0,MAX(0,NETWORKDAYS(MAX(D149,DATE(Einstellungen!$C$3,5,1)),MIN(J149,DATE(Einstellungen!$C$3,6,0)),Einstellungen!$F$13:$F$32)))</f>
        <v/>
      </c>
      <c r="Q149" s="49">
        <f>IF(OR(A149="",D149=""),0,MAX(0,NETWORKDAYS(MAX(D149,DATE(Einstellungen!$C$3,6,1)),MIN(J149,DATE(Einstellungen!$C$3,7,0)),Einstellungen!$F$13:$F$32)))</f>
        <v/>
      </c>
      <c r="R149" s="49">
        <f>IF(OR(A149="",D149=""),0,MAX(0,NETWORKDAYS(MAX(D149,DATE(Einstellungen!$C$3,7,1)),MIN(J149,DATE(Einstellungen!$C$3,8,0)),Einstellungen!$F$13:$F$32)))</f>
        <v/>
      </c>
      <c r="S149" s="49">
        <f>IF(OR(A149="",D149=""),0,MAX(0,NETWORKDAYS(MAX(D149,DATE(Einstellungen!$C$3,8,1)),MIN(J149,DATE(Einstellungen!$C$3,9,0)),Einstellungen!$F$13:$F$32)))</f>
        <v/>
      </c>
      <c r="T149" s="49">
        <f>IF(OR(A149="",D149=""),0,MAX(0,NETWORKDAYS(MAX(D149,DATE(Einstellungen!$C$3,9,1)),MIN(J149,DATE(Einstellungen!$C$3,10,0)),Einstellungen!$F$13:$F$32)))</f>
        <v/>
      </c>
      <c r="U149" s="49">
        <f>IF(OR(A149="",D149=""),0,MAX(0,NETWORKDAYS(MAX(D149,DATE(Einstellungen!$C$3,10,1)),MIN(J149,DATE(Einstellungen!$C$3,11,0)),Einstellungen!$F$13:$F$32)))</f>
        <v/>
      </c>
      <c r="V149" s="49">
        <f>IF(OR(A149="",D149=""),0,MAX(0,NETWORKDAYS(MAX(D149,DATE(Einstellungen!$C$3,11,1)),MIN(J149,DATE(Einstellungen!$C$3,12,0)),Einstellungen!$F$13:$F$32)))</f>
        <v/>
      </c>
      <c r="W149" s="49">
        <f>IF(OR(A149="",D149=""),0,MAX(0,NETWORKDAYS(MAX(D149,DATE(Einstellungen!$C$3,12,1)),MIN(J149,DATE(Einstellungen!$C$3,13,0)),Einstellungen!$F$13:$F$32)))</f>
        <v/>
      </c>
      <c r="X149" s="50">
        <f>L149*K149</f>
        <v/>
      </c>
      <c r="Y149" s="50">
        <f>M149*K149</f>
        <v/>
      </c>
      <c r="Z149" s="50">
        <f>N149*K149</f>
        <v/>
      </c>
      <c r="AA149" s="50">
        <f>O149*K149</f>
        <v/>
      </c>
      <c r="AB149" s="50">
        <f>P149*K149</f>
        <v/>
      </c>
      <c r="AC149" s="50">
        <f>Q149*K149</f>
        <v/>
      </c>
      <c r="AD149" s="50">
        <f>R149*K149</f>
        <v/>
      </c>
      <c r="AE149" s="50">
        <f>S149*K149</f>
        <v/>
      </c>
      <c r="AF149" s="50">
        <f>T149*K149</f>
        <v/>
      </c>
      <c r="AG149" s="50">
        <f>U149*K149</f>
        <v/>
      </c>
      <c r="AH149" s="50">
        <f>V149*K149</f>
        <v/>
      </c>
      <c r="AI149" s="50">
        <f>W149*K149</f>
        <v/>
      </c>
    </row>
    <row r="150">
      <c r="A150" s="25" t="n"/>
      <c r="B150" s="45">
        <f>IF(A150="","",IFERROR(INDEX(Mitarbeiter!$B$6:$B$205,MATCH($A150,Mitarbeiter!$A$6:$A$205,0)),"?"))</f>
        <v/>
      </c>
      <c r="C150" s="46" t="n"/>
      <c r="D150" s="26" t="n"/>
      <c r="E150" s="26" t="n"/>
      <c r="F150" s="24">
        <f>IF(A150="","",SUM(L150:W150))</f>
        <v/>
      </c>
      <c r="G150" s="36">
        <f>IF(A150="","",SUM(X150:AI150))</f>
        <v/>
      </c>
      <c r="H150" s="8">
        <f>IF(A150="","",IF(ISNA(MATCH(A150,Mitarbeiter!$A$6:$A$205,0)),"Pers.-Nr. unbekannt",IF(D150="","Von fehlt",IF(AND(C150&lt;&gt;Einstellungen!$C$4,C150&lt;&gt;Einstellungen!$C$5),"Objekt fehlt",IF(J150&lt;D150,"Bis vor Von",IF(D150&lt;INDEX(Mitarbeiter!$C$6:$C$205,MATCH($A150,Mitarbeiter!$A$6:$A$205,0)),"vor Eintritt",IF(AND(INDEX(Mitarbeiter!$D$6:$D$205,MATCH($A150,Mitarbeiter!$A$6:$A$205,0))&lt;&gt;"",D150&gt;INDEX(Mitarbeiter!$D$6:$D$205,MATCH($A150,Mitarbeiter!$A$6:$A$205,0))),"nach Austritt",IF(E150="","offen","ok"))))))))</f>
        <v/>
      </c>
      <c r="J150" s="47">
        <f>IF(A150="","",IF(E150="",Einstellungen!$C$9,E150))</f>
        <v/>
      </c>
      <c r="K150" s="48">
        <f>IF(A150="",0,IFERROR(INDEX(Mitarbeiter!$F$6:$F$205,MATCH($A150,Mitarbeiter!$A$6:$A$205,0)),0))</f>
        <v/>
      </c>
      <c r="L150" s="49">
        <f>IF(OR(A150="",D150=""),0,MAX(0,NETWORKDAYS(MAX(D150,DATE(Einstellungen!$C$3,1,1)),MIN(J150,DATE(Einstellungen!$C$3,2,0)),Einstellungen!$F$13:$F$32)))</f>
        <v/>
      </c>
      <c r="M150" s="49">
        <f>IF(OR(A150="",D150=""),0,MAX(0,NETWORKDAYS(MAX(D150,DATE(Einstellungen!$C$3,2,1)),MIN(J150,DATE(Einstellungen!$C$3,3,0)),Einstellungen!$F$13:$F$32)))</f>
        <v/>
      </c>
      <c r="N150" s="49">
        <f>IF(OR(A150="",D150=""),0,MAX(0,NETWORKDAYS(MAX(D150,DATE(Einstellungen!$C$3,3,1)),MIN(J150,DATE(Einstellungen!$C$3,4,0)),Einstellungen!$F$13:$F$32)))</f>
        <v/>
      </c>
      <c r="O150" s="49">
        <f>IF(OR(A150="",D150=""),0,MAX(0,NETWORKDAYS(MAX(D150,DATE(Einstellungen!$C$3,4,1)),MIN(J150,DATE(Einstellungen!$C$3,5,0)),Einstellungen!$F$13:$F$32)))</f>
        <v/>
      </c>
      <c r="P150" s="49">
        <f>IF(OR(A150="",D150=""),0,MAX(0,NETWORKDAYS(MAX(D150,DATE(Einstellungen!$C$3,5,1)),MIN(J150,DATE(Einstellungen!$C$3,6,0)),Einstellungen!$F$13:$F$32)))</f>
        <v/>
      </c>
      <c r="Q150" s="49">
        <f>IF(OR(A150="",D150=""),0,MAX(0,NETWORKDAYS(MAX(D150,DATE(Einstellungen!$C$3,6,1)),MIN(J150,DATE(Einstellungen!$C$3,7,0)),Einstellungen!$F$13:$F$32)))</f>
        <v/>
      </c>
      <c r="R150" s="49">
        <f>IF(OR(A150="",D150=""),0,MAX(0,NETWORKDAYS(MAX(D150,DATE(Einstellungen!$C$3,7,1)),MIN(J150,DATE(Einstellungen!$C$3,8,0)),Einstellungen!$F$13:$F$32)))</f>
        <v/>
      </c>
      <c r="S150" s="49">
        <f>IF(OR(A150="",D150=""),0,MAX(0,NETWORKDAYS(MAX(D150,DATE(Einstellungen!$C$3,8,1)),MIN(J150,DATE(Einstellungen!$C$3,9,0)),Einstellungen!$F$13:$F$32)))</f>
        <v/>
      </c>
      <c r="T150" s="49">
        <f>IF(OR(A150="",D150=""),0,MAX(0,NETWORKDAYS(MAX(D150,DATE(Einstellungen!$C$3,9,1)),MIN(J150,DATE(Einstellungen!$C$3,10,0)),Einstellungen!$F$13:$F$32)))</f>
        <v/>
      </c>
      <c r="U150" s="49">
        <f>IF(OR(A150="",D150=""),0,MAX(0,NETWORKDAYS(MAX(D150,DATE(Einstellungen!$C$3,10,1)),MIN(J150,DATE(Einstellungen!$C$3,11,0)),Einstellungen!$F$13:$F$32)))</f>
        <v/>
      </c>
      <c r="V150" s="49">
        <f>IF(OR(A150="",D150=""),0,MAX(0,NETWORKDAYS(MAX(D150,DATE(Einstellungen!$C$3,11,1)),MIN(J150,DATE(Einstellungen!$C$3,12,0)),Einstellungen!$F$13:$F$32)))</f>
        <v/>
      </c>
      <c r="W150" s="49">
        <f>IF(OR(A150="",D150=""),0,MAX(0,NETWORKDAYS(MAX(D150,DATE(Einstellungen!$C$3,12,1)),MIN(J150,DATE(Einstellungen!$C$3,13,0)),Einstellungen!$F$13:$F$32)))</f>
        <v/>
      </c>
      <c r="X150" s="50">
        <f>L150*K150</f>
        <v/>
      </c>
      <c r="Y150" s="50">
        <f>M150*K150</f>
        <v/>
      </c>
      <c r="Z150" s="50">
        <f>N150*K150</f>
        <v/>
      </c>
      <c r="AA150" s="50">
        <f>O150*K150</f>
        <v/>
      </c>
      <c r="AB150" s="50">
        <f>P150*K150</f>
        <v/>
      </c>
      <c r="AC150" s="50">
        <f>Q150*K150</f>
        <v/>
      </c>
      <c r="AD150" s="50">
        <f>R150*K150</f>
        <v/>
      </c>
      <c r="AE150" s="50">
        <f>S150*K150</f>
        <v/>
      </c>
      <c r="AF150" s="50">
        <f>T150*K150</f>
        <v/>
      </c>
      <c r="AG150" s="50">
        <f>U150*K150</f>
        <v/>
      </c>
      <c r="AH150" s="50">
        <f>V150*K150</f>
        <v/>
      </c>
      <c r="AI150" s="50">
        <f>W150*K150</f>
        <v/>
      </c>
    </row>
    <row r="151">
      <c r="A151" s="25" t="n"/>
      <c r="B151" s="45">
        <f>IF(A151="","",IFERROR(INDEX(Mitarbeiter!$B$6:$B$205,MATCH($A151,Mitarbeiter!$A$6:$A$205,0)),"?"))</f>
        <v/>
      </c>
      <c r="C151" s="46" t="n"/>
      <c r="D151" s="26" t="n"/>
      <c r="E151" s="26" t="n"/>
      <c r="F151" s="24">
        <f>IF(A151="","",SUM(L151:W151))</f>
        <v/>
      </c>
      <c r="G151" s="36">
        <f>IF(A151="","",SUM(X151:AI151))</f>
        <v/>
      </c>
      <c r="H151" s="8">
        <f>IF(A151="","",IF(ISNA(MATCH(A151,Mitarbeiter!$A$6:$A$205,0)),"Pers.-Nr. unbekannt",IF(D151="","Von fehlt",IF(AND(C151&lt;&gt;Einstellungen!$C$4,C151&lt;&gt;Einstellungen!$C$5),"Objekt fehlt",IF(J151&lt;D151,"Bis vor Von",IF(D151&lt;INDEX(Mitarbeiter!$C$6:$C$205,MATCH($A151,Mitarbeiter!$A$6:$A$205,0)),"vor Eintritt",IF(AND(INDEX(Mitarbeiter!$D$6:$D$205,MATCH($A151,Mitarbeiter!$A$6:$A$205,0))&lt;&gt;"",D151&gt;INDEX(Mitarbeiter!$D$6:$D$205,MATCH($A151,Mitarbeiter!$A$6:$A$205,0))),"nach Austritt",IF(E151="","offen","ok"))))))))</f>
        <v/>
      </c>
      <c r="J151" s="47">
        <f>IF(A151="","",IF(E151="",Einstellungen!$C$9,E151))</f>
        <v/>
      </c>
      <c r="K151" s="48">
        <f>IF(A151="",0,IFERROR(INDEX(Mitarbeiter!$F$6:$F$205,MATCH($A151,Mitarbeiter!$A$6:$A$205,0)),0))</f>
        <v/>
      </c>
      <c r="L151" s="49">
        <f>IF(OR(A151="",D151=""),0,MAX(0,NETWORKDAYS(MAX(D151,DATE(Einstellungen!$C$3,1,1)),MIN(J151,DATE(Einstellungen!$C$3,2,0)),Einstellungen!$F$13:$F$32)))</f>
        <v/>
      </c>
      <c r="M151" s="49">
        <f>IF(OR(A151="",D151=""),0,MAX(0,NETWORKDAYS(MAX(D151,DATE(Einstellungen!$C$3,2,1)),MIN(J151,DATE(Einstellungen!$C$3,3,0)),Einstellungen!$F$13:$F$32)))</f>
        <v/>
      </c>
      <c r="N151" s="49">
        <f>IF(OR(A151="",D151=""),0,MAX(0,NETWORKDAYS(MAX(D151,DATE(Einstellungen!$C$3,3,1)),MIN(J151,DATE(Einstellungen!$C$3,4,0)),Einstellungen!$F$13:$F$32)))</f>
        <v/>
      </c>
      <c r="O151" s="49">
        <f>IF(OR(A151="",D151=""),0,MAX(0,NETWORKDAYS(MAX(D151,DATE(Einstellungen!$C$3,4,1)),MIN(J151,DATE(Einstellungen!$C$3,5,0)),Einstellungen!$F$13:$F$32)))</f>
        <v/>
      </c>
      <c r="P151" s="49">
        <f>IF(OR(A151="",D151=""),0,MAX(0,NETWORKDAYS(MAX(D151,DATE(Einstellungen!$C$3,5,1)),MIN(J151,DATE(Einstellungen!$C$3,6,0)),Einstellungen!$F$13:$F$32)))</f>
        <v/>
      </c>
      <c r="Q151" s="49">
        <f>IF(OR(A151="",D151=""),0,MAX(0,NETWORKDAYS(MAX(D151,DATE(Einstellungen!$C$3,6,1)),MIN(J151,DATE(Einstellungen!$C$3,7,0)),Einstellungen!$F$13:$F$32)))</f>
        <v/>
      </c>
      <c r="R151" s="49">
        <f>IF(OR(A151="",D151=""),0,MAX(0,NETWORKDAYS(MAX(D151,DATE(Einstellungen!$C$3,7,1)),MIN(J151,DATE(Einstellungen!$C$3,8,0)),Einstellungen!$F$13:$F$32)))</f>
        <v/>
      </c>
      <c r="S151" s="49">
        <f>IF(OR(A151="",D151=""),0,MAX(0,NETWORKDAYS(MAX(D151,DATE(Einstellungen!$C$3,8,1)),MIN(J151,DATE(Einstellungen!$C$3,9,0)),Einstellungen!$F$13:$F$32)))</f>
        <v/>
      </c>
      <c r="T151" s="49">
        <f>IF(OR(A151="",D151=""),0,MAX(0,NETWORKDAYS(MAX(D151,DATE(Einstellungen!$C$3,9,1)),MIN(J151,DATE(Einstellungen!$C$3,10,0)),Einstellungen!$F$13:$F$32)))</f>
        <v/>
      </c>
      <c r="U151" s="49">
        <f>IF(OR(A151="",D151=""),0,MAX(0,NETWORKDAYS(MAX(D151,DATE(Einstellungen!$C$3,10,1)),MIN(J151,DATE(Einstellungen!$C$3,11,0)),Einstellungen!$F$13:$F$32)))</f>
        <v/>
      </c>
      <c r="V151" s="49">
        <f>IF(OR(A151="",D151=""),0,MAX(0,NETWORKDAYS(MAX(D151,DATE(Einstellungen!$C$3,11,1)),MIN(J151,DATE(Einstellungen!$C$3,12,0)),Einstellungen!$F$13:$F$32)))</f>
        <v/>
      </c>
      <c r="W151" s="49">
        <f>IF(OR(A151="",D151=""),0,MAX(0,NETWORKDAYS(MAX(D151,DATE(Einstellungen!$C$3,12,1)),MIN(J151,DATE(Einstellungen!$C$3,13,0)),Einstellungen!$F$13:$F$32)))</f>
        <v/>
      </c>
      <c r="X151" s="50">
        <f>L151*K151</f>
        <v/>
      </c>
      <c r="Y151" s="50">
        <f>M151*K151</f>
        <v/>
      </c>
      <c r="Z151" s="50">
        <f>N151*K151</f>
        <v/>
      </c>
      <c r="AA151" s="50">
        <f>O151*K151</f>
        <v/>
      </c>
      <c r="AB151" s="50">
        <f>P151*K151</f>
        <v/>
      </c>
      <c r="AC151" s="50">
        <f>Q151*K151</f>
        <v/>
      </c>
      <c r="AD151" s="50">
        <f>R151*K151</f>
        <v/>
      </c>
      <c r="AE151" s="50">
        <f>S151*K151</f>
        <v/>
      </c>
      <c r="AF151" s="50">
        <f>T151*K151</f>
        <v/>
      </c>
      <c r="AG151" s="50">
        <f>U151*K151</f>
        <v/>
      </c>
      <c r="AH151" s="50">
        <f>V151*K151</f>
        <v/>
      </c>
      <c r="AI151" s="50">
        <f>W151*K151</f>
        <v/>
      </c>
    </row>
    <row r="152">
      <c r="A152" s="25" t="n"/>
      <c r="B152" s="45">
        <f>IF(A152="","",IFERROR(INDEX(Mitarbeiter!$B$6:$B$205,MATCH($A152,Mitarbeiter!$A$6:$A$205,0)),"?"))</f>
        <v/>
      </c>
      <c r="C152" s="46" t="n"/>
      <c r="D152" s="26" t="n"/>
      <c r="E152" s="26" t="n"/>
      <c r="F152" s="24">
        <f>IF(A152="","",SUM(L152:W152))</f>
        <v/>
      </c>
      <c r="G152" s="36">
        <f>IF(A152="","",SUM(X152:AI152))</f>
        <v/>
      </c>
      <c r="H152" s="8">
        <f>IF(A152="","",IF(ISNA(MATCH(A152,Mitarbeiter!$A$6:$A$205,0)),"Pers.-Nr. unbekannt",IF(D152="","Von fehlt",IF(AND(C152&lt;&gt;Einstellungen!$C$4,C152&lt;&gt;Einstellungen!$C$5),"Objekt fehlt",IF(J152&lt;D152,"Bis vor Von",IF(D152&lt;INDEX(Mitarbeiter!$C$6:$C$205,MATCH($A152,Mitarbeiter!$A$6:$A$205,0)),"vor Eintritt",IF(AND(INDEX(Mitarbeiter!$D$6:$D$205,MATCH($A152,Mitarbeiter!$A$6:$A$205,0))&lt;&gt;"",D152&gt;INDEX(Mitarbeiter!$D$6:$D$205,MATCH($A152,Mitarbeiter!$A$6:$A$205,0))),"nach Austritt",IF(E152="","offen","ok"))))))))</f>
        <v/>
      </c>
      <c r="J152" s="47">
        <f>IF(A152="","",IF(E152="",Einstellungen!$C$9,E152))</f>
        <v/>
      </c>
      <c r="K152" s="48">
        <f>IF(A152="",0,IFERROR(INDEX(Mitarbeiter!$F$6:$F$205,MATCH($A152,Mitarbeiter!$A$6:$A$205,0)),0))</f>
        <v/>
      </c>
      <c r="L152" s="49">
        <f>IF(OR(A152="",D152=""),0,MAX(0,NETWORKDAYS(MAX(D152,DATE(Einstellungen!$C$3,1,1)),MIN(J152,DATE(Einstellungen!$C$3,2,0)),Einstellungen!$F$13:$F$32)))</f>
        <v/>
      </c>
      <c r="M152" s="49">
        <f>IF(OR(A152="",D152=""),0,MAX(0,NETWORKDAYS(MAX(D152,DATE(Einstellungen!$C$3,2,1)),MIN(J152,DATE(Einstellungen!$C$3,3,0)),Einstellungen!$F$13:$F$32)))</f>
        <v/>
      </c>
      <c r="N152" s="49">
        <f>IF(OR(A152="",D152=""),0,MAX(0,NETWORKDAYS(MAX(D152,DATE(Einstellungen!$C$3,3,1)),MIN(J152,DATE(Einstellungen!$C$3,4,0)),Einstellungen!$F$13:$F$32)))</f>
        <v/>
      </c>
      <c r="O152" s="49">
        <f>IF(OR(A152="",D152=""),0,MAX(0,NETWORKDAYS(MAX(D152,DATE(Einstellungen!$C$3,4,1)),MIN(J152,DATE(Einstellungen!$C$3,5,0)),Einstellungen!$F$13:$F$32)))</f>
        <v/>
      </c>
      <c r="P152" s="49">
        <f>IF(OR(A152="",D152=""),0,MAX(0,NETWORKDAYS(MAX(D152,DATE(Einstellungen!$C$3,5,1)),MIN(J152,DATE(Einstellungen!$C$3,6,0)),Einstellungen!$F$13:$F$32)))</f>
        <v/>
      </c>
      <c r="Q152" s="49">
        <f>IF(OR(A152="",D152=""),0,MAX(0,NETWORKDAYS(MAX(D152,DATE(Einstellungen!$C$3,6,1)),MIN(J152,DATE(Einstellungen!$C$3,7,0)),Einstellungen!$F$13:$F$32)))</f>
        <v/>
      </c>
      <c r="R152" s="49">
        <f>IF(OR(A152="",D152=""),0,MAX(0,NETWORKDAYS(MAX(D152,DATE(Einstellungen!$C$3,7,1)),MIN(J152,DATE(Einstellungen!$C$3,8,0)),Einstellungen!$F$13:$F$32)))</f>
        <v/>
      </c>
      <c r="S152" s="49">
        <f>IF(OR(A152="",D152=""),0,MAX(0,NETWORKDAYS(MAX(D152,DATE(Einstellungen!$C$3,8,1)),MIN(J152,DATE(Einstellungen!$C$3,9,0)),Einstellungen!$F$13:$F$32)))</f>
        <v/>
      </c>
      <c r="T152" s="49">
        <f>IF(OR(A152="",D152=""),0,MAX(0,NETWORKDAYS(MAX(D152,DATE(Einstellungen!$C$3,9,1)),MIN(J152,DATE(Einstellungen!$C$3,10,0)),Einstellungen!$F$13:$F$32)))</f>
        <v/>
      </c>
      <c r="U152" s="49">
        <f>IF(OR(A152="",D152=""),0,MAX(0,NETWORKDAYS(MAX(D152,DATE(Einstellungen!$C$3,10,1)),MIN(J152,DATE(Einstellungen!$C$3,11,0)),Einstellungen!$F$13:$F$32)))</f>
        <v/>
      </c>
      <c r="V152" s="49">
        <f>IF(OR(A152="",D152=""),0,MAX(0,NETWORKDAYS(MAX(D152,DATE(Einstellungen!$C$3,11,1)),MIN(J152,DATE(Einstellungen!$C$3,12,0)),Einstellungen!$F$13:$F$32)))</f>
        <v/>
      </c>
      <c r="W152" s="49">
        <f>IF(OR(A152="",D152=""),0,MAX(0,NETWORKDAYS(MAX(D152,DATE(Einstellungen!$C$3,12,1)),MIN(J152,DATE(Einstellungen!$C$3,13,0)),Einstellungen!$F$13:$F$32)))</f>
        <v/>
      </c>
      <c r="X152" s="50">
        <f>L152*K152</f>
        <v/>
      </c>
      <c r="Y152" s="50">
        <f>M152*K152</f>
        <v/>
      </c>
      <c r="Z152" s="50">
        <f>N152*K152</f>
        <v/>
      </c>
      <c r="AA152" s="50">
        <f>O152*K152</f>
        <v/>
      </c>
      <c r="AB152" s="50">
        <f>P152*K152</f>
        <v/>
      </c>
      <c r="AC152" s="50">
        <f>Q152*K152</f>
        <v/>
      </c>
      <c r="AD152" s="50">
        <f>R152*K152</f>
        <v/>
      </c>
      <c r="AE152" s="50">
        <f>S152*K152</f>
        <v/>
      </c>
      <c r="AF152" s="50">
        <f>T152*K152</f>
        <v/>
      </c>
      <c r="AG152" s="50">
        <f>U152*K152</f>
        <v/>
      </c>
      <c r="AH152" s="50">
        <f>V152*K152</f>
        <v/>
      </c>
      <c r="AI152" s="50">
        <f>W152*K152</f>
        <v/>
      </c>
    </row>
    <row r="153">
      <c r="A153" s="25" t="n"/>
      <c r="B153" s="45">
        <f>IF(A153="","",IFERROR(INDEX(Mitarbeiter!$B$6:$B$205,MATCH($A153,Mitarbeiter!$A$6:$A$205,0)),"?"))</f>
        <v/>
      </c>
      <c r="C153" s="46" t="n"/>
      <c r="D153" s="26" t="n"/>
      <c r="E153" s="26" t="n"/>
      <c r="F153" s="24">
        <f>IF(A153="","",SUM(L153:W153))</f>
        <v/>
      </c>
      <c r="G153" s="36">
        <f>IF(A153="","",SUM(X153:AI153))</f>
        <v/>
      </c>
      <c r="H153" s="8">
        <f>IF(A153="","",IF(ISNA(MATCH(A153,Mitarbeiter!$A$6:$A$205,0)),"Pers.-Nr. unbekannt",IF(D153="","Von fehlt",IF(AND(C153&lt;&gt;Einstellungen!$C$4,C153&lt;&gt;Einstellungen!$C$5),"Objekt fehlt",IF(J153&lt;D153,"Bis vor Von",IF(D153&lt;INDEX(Mitarbeiter!$C$6:$C$205,MATCH($A153,Mitarbeiter!$A$6:$A$205,0)),"vor Eintritt",IF(AND(INDEX(Mitarbeiter!$D$6:$D$205,MATCH($A153,Mitarbeiter!$A$6:$A$205,0))&lt;&gt;"",D153&gt;INDEX(Mitarbeiter!$D$6:$D$205,MATCH($A153,Mitarbeiter!$A$6:$A$205,0))),"nach Austritt",IF(E153="","offen","ok"))))))))</f>
        <v/>
      </c>
      <c r="J153" s="47">
        <f>IF(A153="","",IF(E153="",Einstellungen!$C$9,E153))</f>
        <v/>
      </c>
      <c r="K153" s="48">
        <f>IF(A153="",0,IFERROR(INDEX(Mitarbeiter!$F$6:$F$205,MATCH($A153,Mitarbeiter!$A$6:$A$205,0)),0))</f>
        <v/>
      </c>
      <c r="L153" s="49">
        <f>IF(OR(A153="",D153=""),0,MAX(0,NETWORKDAYS(MAX(D153,DATE(Einstellungen!$C$3,1,1)),MIN(J153,DATE(Einstellungen!$C$3,2,0)),Einstellungen!$F$13:$F$32)))</f>
        <v/>
      </c>
      <c r="M153" s="49">
        <f>IF(OR(A153="",D153=""),0,MAX(0,NETWORKDAYS(MAX(D153,DATE(Einstellungen!$C$3,2,1)),MIN(J153,DATE(Einstellungen!$C$3,3,0)),Einstellungen!$F$13:$F$32)))</f>
        <v/>
      </c>
      <c r="N153" s="49">
        <f>IF(OR(A153="",D153=""),0,MAX(0,NETWORKDAYS(MAX(D153,DATE(Einstellungen!$C$3,3,1)),MIN(J153,DATE(Einstellungen!$C$3,4,0)),Einstellungen!$F$13:$F$32)))</f>
        <v/>
      </c>
      <c r="O153" s="49">
        <f>IF(OR(A153="",D153=""),0,MAX(0,NETWORKDAYS(MAX(D153,DATE(Einstellungen!$C$3,4,1)),MIN(J153,DATE(Einstellungen!$C$3,5,0)),Einstellungen!$F$13:$F$32)))</f>
        <v/>
      </c>
      <c r="P153" s="49">
        <f>IF(OR(A153="",D153=""),0,MAX(0,NETWORKDAYS(MAX(D153,DATE(Einstellungen!$C$3,5,1)),MIN(J153,DATE(Einstellungen!$C$3,6,0)),Einstellungen!$F$13:$F$32)))</f>
        <v/>
      </c>
      <c r="Q153" s="49">
        <f>IF(OR(A153="",D153=""),0,MAX(0,NETWORKDAYS(MAX(D153,DATE(Einstellungen!$C$3,6,1)),MIN(J153,DATE(Einstellungen!$C$3,7,0)),Einstellungen!$F$13:$F$32)))</f>
        <v/>
      </c>
      <c r="R153" s="49">
        <f>IF(OR(A153="",D153=""),0,MAX(0,NETWORKDAYS(MAX(D153,DATE(Einstellungen!$C$3,7,1)),MIN(J153,DATE(Einstellungen!$C$3,8,0)),Einstellungen!$F$13:$F$32)))</f>
        <v/>
      </c>
      <c r="S153" s="49">
        <f>IF(OR(A153="",D153=""),0,MAX(0,NETWORKDAYS(MAX(D153,DATE(Einstellungen!$C$3,8,1)),MIN(J153,DATE(Einstellungen!$C$3,9,0)),Einstellungen!$F$13:$F$32)))</f>
        <v/>
      </c>
      <c r="T153" s="49">
        <f>IF(OR(A153="",D153=""),0,MAX(0,NETWORKDAYS(MAX(D153,DATE(Einstellungen!$C$3,9,1)),MIN(J153,DATE(Einstellungen!$C$3,10,0)),Einstellungen!$F$13:$F$32)))</f>
        <v/>
      </c>
      <c r="U153" s="49">
        <f>IF(OR(A153="",D153=""),0,MAX(0,NETWORKDAYS(MAX(D153,DATE(Einstellungen!$C$3,10,1)),MIN(J153,DATE(Einstellungen!$C$3,11,0)),Einstellungen!$F$13:$F$32)))</f>
        <v/>
      </c>
      <c r="V153" s="49">
        <f>IF(OR(A153="",D153=""),0,MAX(0,NETWORKDAYS(MAX(D153,DATE(Einstellungen!$C$3,11,1)),MIN(J153,DATE(Einstellungen!$C$3,12,0)),Einstellungen!$F$13:$F$32)))</f>
        <v/>
      </c>
      <c r="W153" s="49">
        <f>IF(OR(A153="",D153=""),0,MAX(0,NETWORKDAYS(MAX(D153,DATE(Einstellungen!$C$3,12,1)),MIN(J153,DATE(Einstellungen!$C$3,13,0)),Einstellungen!$F$13:$F$32)))</f>
        <v/>
      </c>
      <c r="X153" s="50">
        <f>L153*K153</f>
        <v/>
      </c>
      <c r="Y153" s="50">
        <f>M153*K153</f>
        <v/>
      </c>
      <c r="Z153" s="50">
        <f>N153*K153</f>
        <v/>
      </c>
      <c r="AA153" s="50">
        <f>O153*K153</f>
        <v/>
      </c>
      <c r="AB153" s="50">
        <f>P153*K153</f>
        <v/>
      </c>
      <c r="AC153" s="50">
        <f>Q153*K153</f>
        <v/>
      </c>
      <c r="AD153" s="50">
        <f>R153*K153</f>
        <v/>
      </c>
      <c r="AE153" s="50">
        <f>S153*K153</f>
        <v/>
      </c>
      <c r="AF153" s="50">
        <f>T153*K153</f>
        <v/>
      </c>
      <c r="AG153" s="50">
        <f>U153*K153</f>
        <v/>
      </c>
      <c r="AH153" s="50">
        <f>V153*K153</f>
        <v/>
      </c>
      <c r="AI153" s="50">
        <f>W153*K153</f>
        <v/>
      </c>
    </row>
    <row r="154">
      <c r="A154" s="25" t="n"/>
      <c r="B154" s="45">
        <f>IF(A154="","",IFERROR(INDEX(Mitarbeiter!$B$6:$B$205,MATCH($A154,Mitarbeiter!$A$6:$A$205,0)),"?"))</f>
        <v/>
      </c>
      <c r="C154" s="46" t="n"/>
      <c r="D154" s="26" t="n"/>
      <c r="E154" s="26" t="n"/>
      <c r="F154" s="24">
        <f>IF(A154="","",SUM(L154:W154))</f>
        <v/>
      </c>
      <c r="G154" s="36">
        <f>IF(A154="","",SUM(X154:AI154))</f>
        <v/>
      </c>
      <c r="H154" s="8">
        <f>IF(A154="","",IF(ISNA(MATCH(A154,Mitarbeiter!$A$6:$A$205,0)),"Pers.-Nr. unbekannt",IF(D154="","Von fehlt",IF(AND(C154&lt;&gt;Einstellungen!$C$4,C154&lt;&gt;Einstellungen!$C$5),"Objekt fehlt",IF(J154&lt;D154,"Bis vor Von",IF(D154&lt;INDEX(Mitarbeiter!$C$6:$C$205,MATCH($A154,Mitarbeiter!$A$6:$A$205,0)),"vor Eintritt",IF(AND(INDEX(Mitarbeiter!$D$6:$D$205,MATCH($A154,Mitarbeiter!$A$6:$A$205,0))&lt;&gt;"",D154&gt;INDEX(Mitarbeiter!$D$6:$D$205,MATCH($A154,Mitarbeiter!$A$6:$A$205,0))),"nach Austritt",IF(E154="","offen","ok"))))))))</f>
        <v/>
      </c>
      <c r="J154" s="47">
        <f>IF(A154="","",IF(E154="",Einstellungen!$C$9,E154))</f>
        <v/>
      </c>
      <c r="K154" s="48">
        <f>IF(A154="",0,IFERROR(INDEX(Mitarbeiter!$F$6:$F$205,MATCH($A154,Mitarbeiter!$A$6:$A$205,0)),0))</f>
        <v/>
      </c>
      <c r="L154" s="49">
        <f>IF(OR(A154="",D154=""),0,MAX(0,NETWORKDAYS(MAX(D154,DATE(Einstellungen!$C$3,1,1)),MIN(J154,DATE(Einstellungen!$C$3,2,0)),Einstellungen!$F$13:$F$32)))</f>
        <v/>
      </c>
      <c r="M154" s="49">
        <f>IF(OR(A154="",D154=""),0,MAX(0,NETWORKDAYS(MAX(D154,DATE(Einstellungen!$C$3,2,1)),MIN(J154,DATE(Einstellungen!$C$3,3,0)),Einstellungen!$F$13:$F$32)))</f>
        <v/>
      </c>
      <c r="N154" s="49">
        <f>IF(OR(A154="",D154=""),0,MAX(0,NETWORKDAYS(MAX(D154,DATE(Einstellungen!$C$3,3,1)),MIN(J154,DATE(Einstellungen!$C$3,4,0)),Einstellungen!$F$13:$F$32)))</f>
        <v/>
      </c>
      <c r="O154" s="49">
        <f>IF(OR(A154="",D154=""),0,MAX(0,NETWORKDAYS(MAX(D154,DATE(Einstellungen!$C$3,4,1)),MIN(J154,DATE(Einstellungen!$C$3,5,0)),Einstellungen!$F$13:$F$32)))</f>
        <v/>
      </c>
      <c r="P154" s="49">
        <f>IF(OR(A154="",D154=""),0,MAX(0,NETWORKDAYS(MAX(D154,DATE(Einstellungen!$C$3,5,1)),MIN(J154,DATE(Einstellungen!$C$3,6,0)),Einstellungen!$F$13:$F$32)))</f>
        <v/>
      </c>
      <c r="Q154" s="49">
        <f>IF(OR(A154="",D154=""),0,MAX(0,NETWORKDAYS(MAX(D154,DATE(Einstellungen!$C$3,6,1)),MIN(J154,DATE(Einstellungen!$C$3,7,0)),Einstellungen!$F$13:$F$32)))</f>
        <v/>
      </c>
      <c r="R154" s="49">
        <f>IF(OR(A154="",D154=""),0,MAX(0,NETWORKDAYS(MAX(D154,DATE(Einstellungen!$C$3,7,1)),MIN(J154,DATE(Einstellungen!$C$3,8,0)),Einstellungen!$F$13:$F$32)))</f>
        <v/>
      </c>
      <c r="S154" s="49">
        <f>IF(OR(A154="",D154=""),0,MAX(0,NETWORKDAYS(MAX(D154,DATE(Einstellungen!$C$3,8,1)),MIN(J154,DATE(Einstellungen!$C$3,9,0)),Einstellungen!$F$13:$F$32)))</f>
        <v/>
      </c>
      <c r="T154" s="49">
        <f>IF(OR(A154="",D154=""),0,MAX(0,NETWORKDAYS(MAX(D154,DATE(Einstellungen!$C$3,9,1)),MIN(J154,DATE(Einstellungen!$C$3,10,0)),Einstellungen!$F$13:$F$32)))</f>
        <v/>
      </c>
      <c r="U154" s="49">
        <f>IF(OR(A154="",D154=""),0,MAX(0,NETWORKDAYS(MAX(D154,DATE(Einstellungen!$C$3,10,1)),MIN(J154,DATE(Einstellungen!$C$3,11,0)),Einstellungen!$F$13:$F$32)))</f>
        <v/>
      </c>
      <c r="V154" s="49">
        <f>IF(OR(A154="",D154=""),0,MAX(0,NETWORKDAYS(MAX(D154,DATE(Einstellungen!$C$3,11,1)),MIN(J154,DATE(Einstellungen!$C$3,12,0)),Einstellungen!$F$13:$F$32)))</f>
        <v/>
      </c>
      <c r="W154" s="49">
        <f>IF(OR(A154="",D154=""),0,MAX(0,NETWORKDAYS(MAX(D154,DATE(Einstellungen!$C$3,12,1)),MIN(J154,DATE(Einstellungen!$C$3,13,0)),Einstellungen!$F$13:$F$32)))</f>
        <v/>
      </c>
      <c r="X154" s="50">
        <f>L154*K154</f>
        <v/>
      </c>
      <c r="Y154" s="50">
        <f>M154*K154</f>
        <v/>
      </c>
      <c r="Z154" s="50">
        <f>N154*K154</f>
        <v/>
      </c>
      <c r="AA154" s="50">
        <f>O154*K154</f>
        <v/>
      </c>
      <c r="AB154" s="50">
        <f>P154*K154</f>
        <v/>
      </c>
      <c r="AC154" s="50">
        <f>Q154*K154</f>
        <v/>
      </c>
      <c r="AD154" s="50">
        <f>R154*K154</f>
        <v/>
      </c>
      <c r="AE154" s="50">
        <f>S154*K154</f>
        <v/>
      </c>
      <c r="AF154" s="50">
        <f>T154*K154</f>
        <v/>
      </c>
      <c r="AG154" s="50">
        <f>U154*K154</f>
        <v/>
      </c>
      <c r="AH154" s="50">
        <f>V154*K154</f>
        <v/>
      </c>
      <c r="AI154" s="50">
        <f>W154*K154</f>
        <v/>
      </c>
    </row>
    <row r="155">
      <c r="A155" s="25" t="n"/>
      <c r="B155" s="45">
        <f>IF(A155="","",IFERROR(INDEX(Mitarbeiter!$B$6:$B$205,MATCH($A155,Mitarbeiter!$A$6:$A$205,0)),"?"))</f>
        <v/>
      </c>
      <c r="C155" s="46" t="n"/>
      <c r="D155" s="26" t="n"/>
      <c r="E155" s="26" t="n"/>
      <c r="F155" s="24">
        <f>IF(A155="","",SUM(L155:W155))</f>
        <v/>
      </c>
      <c r="G155" s="36">
        <f>IF(A155="","",SUM(X155:AI155))</f>
        <v/>
      </c>
      <c r="H155" s="8">
        <f>IF(A155="","",IF(ISNA(MATCH(A155,Mitarbeiter!$A$6:$A$205,0)),"Pers.-Nr. unbekannt",IF(D155="","Von fehlt",IF(AND(C155&lt;&gt;Einstellungen!$C$4,C155&lt;&gt;Einstellungen!$C$5),"Objekt fehlt",IF(J155&lt;D155,"Bis vor Von",IF(D155&lt;INDEX(Mitarbeiter!$C$6:$C$205,MATCH($A155,Mitarbeiter!$A$6:$A$205,0)),"vor Eintritt",IF(AND(INDEX(Mitarbeiter!$D$6:$D$205,MATCH($A155,Mitarbeiter!$A$6:$A$205,0))&lt;&gt;"",D155&gt;INDEX(Mitarbeiter!$D$6:$D$205,MATCH($A155,Mitarbeiter!$A$6:$A$205,0))),"nach Austritt",IF(E155="","offen","ok"))))))))</f>
        <v/>
      </c>
      <c r="J155" s="47">
        <f>IF(A155="","",IF(E155="",Einstellungen!$C$9,E155))</f>
        <v/>
      </c>
      <c r="K155" s="48">
        <f>IF(A155="",0,IFERROR(INDEX(Mitarbeiter!$F$6:$F$205,MATCH($A155,Mitarbeiter!$A$6:$A$205,0)),0))</f>
        <v/>
      </c>
      <c r="L155" s="49">
        <f>IF(OR(A155="",D155=""),0,MAX(0,NETWORKDAYS(MAX(D155,DATE(Einstellungen!$C$3,1,1)),MIN(J155,DATE(Einstellungen!$C$3,2,0)),Einstellungen!$F$13:$F$32)))</f>
        <v/>
      </c>
      <c r="M155" s="49">
        <f>IF(OR(A155="",D155=""),0,MAX(0,NETWORKDAYS(MAX(D155,DATE(Einstellungen!$C$3,2,1)),MIN(J155,DATE(Einstellungen!$C$3,3,0)),Einstellungen!$F$13:$F$32)))</f>
        <v/>
      </c>
      <c r="N155" s="49">
        <f>IF(OR(A155="",D155=""),0,MAX(0,NETWORKDAYS(MAX(D155,DATE(Einstellungen!$C$3,3,1)),MIN(J155,DATE(Einstellungen!$C$3,4,0)),Einstellungen!$F$13:$F$32)))</f>
        <v/>
      </c>
      <c r="O155" s="49">
        <f>IF(OR(A155="",D155=""),0,MAX(0,NETWORKDAYS(MAX(D155,DATE(Einstellungen!$C$3,4,1)),MIN(J155,DATE(Einstellungen!$C$3,5,0)),Einstellungen!$F$13:$F$32)))</f>
        <v/>
      </c>
      <c r="P155" s="49">
        <f>IF(OR(A155="",D155=""),0,MAX(0,NETWORKDAYS(MAX(D155,DATE(Einstellungen!$C$3,5,1)),MIN(J155,DATE(Einstellungen!$C$3,6,0)),Einstellungen!$F$13:$F$32)))</f>
        <v/>
      </c>
      <c r="Q155" s="49">
        <f>IF(OR(A155="",D155=""),0,MAX(0,NETWORKDAYS(MAX(D155,DATE(Einstellungen!$C$3,6,1)),MIN(J155,DATE(Einstellungen!$C$3,7,0)),Einstellungen!$F$13:$F$32)))</f>
        <v/>
      </c>
      <c r="R155" s="49">
        <f>IF(OR(A155="",D155=""),0,MAX(0,NETWORKDAYS(MAX(D155,DATE(Einstellungen!$C$3,7,1)),MIN(J155,DATE(Einstellungen!$C$3,8,0)),Einstellungen!$F$13:$F$32)))</f>
        <v/>
      </c>
      <c r="S155" s="49">
        <f>IF(OR(A155="",D155=""),0,MAX(0,NETWORKDAYS(MAX(D155,DATE(Einstellungen!$C$3,8,1)),MIN(J155,DATE(Einstellungen!$C$3,9,0)),Einstellungen!$F$13:$F$32)))</f>
        <v/>
      </c>
      <c r="T155" s="49">
        <f>IF(OR(A155="",D155=""),0,MAX(0,NETWORKDAYS(MAX(D155,DATE(Einstellungen!$C$3,9,1)),MIN(J155,DATE(Einstellungen!$C$3,10,0)),Einstellungen!$F$13:$F$32)))</f>
        <v/>
      </c>
      <c r="U155" s="49">
        <f>IF(OR(A155="",D155=""),0,MAX(0,NETWORKDAYS(MAX(D155,DATE(Einstellungen!$C$3,10,1)),MIN(J155,DATE(Einstellungen!$C$3,11,0)),Einstellungen!$F$13:$F$32)))</f>
        <v/>
      </c>
      <c r="V155" s="49">
        <f>IF(OR(A155="",D155=""),0,MAX(0,NETWORKDAYS(MAX(D155,DATE(Einstellungen!$C$3,11,1)),MIN(J155,DATE(Einstellungen!$C$3,12,0)),Einstellungen!$F$13:$F$32)))</f>
        <v/>
      </c>
      <c r="W155" s="49">
        <f>IF(OR(A155="",D155=""),0,MAX(0,NETWORKDAYS(MAX(D155,DATE(Einstellungen!$C$3,12,1)),MIN(J155,DATE(Einstellungen!$C$3,13,0)),Einstellungen!$F$13:$F$32)))</f>
        <v/>
      </c>
      <c r="X155" s="50">
        <f>L155*K155</f>
        <v/>
      </c>
      <c r="Y155" s="50">
        <f>M155*K155</f>
        <v/>
      </c>
      <c r="Z155" s="50">
        <f>N155*K155</f>
        <v/>
      </c>
      <c r="AA155" s="50">
        <f>O155*K155</f>
        <v/>
      </c>
      <c r="AB155" s="50">
        <f>P155*K155</f>
        <v/>
      </c>
      <c r="AC155" s="50">
        <f>Q155*K155</f>
        <v/>
      </c>
      <c r="AD155" s="50">
        <f>R155*K155</f>
        <v/>
      </c>
      <c r="AE155" s="50">
        <f>S155*K155</f>
        <v/>
      </c>
      <c r="AF155" s="50">
        <f>T155*K155</f>
        <v/>
      </c>
      <c r="AG155" s="50">
        <f>U155*K155</f>
        <v/>
      </c>
      <c r="AH155" s="50">
        <f>V155*K155</f>
        <v/>
      </c>
      <c r="AI155" s="50">
        <f>W155*K155</f>
        <v/>
      </c>
    </row>
    <row r="156">
      <c r="A156" s="25" t="n"/>
      <c r="B156" s="45">
        <f>IF(A156="","",IFERROR(INDEX(Mitarbeiter!$B$6:$B$205,MATCH($A156,Mitarbeiter!$A$6:$A$205,0)),"?"))</f>
        <v/>
      </c>
      <c r="C156" s="46" t="n"/>
      <c r="D156" s="26" t="n"/>
      <c r="E156" s="26" t="n"/>
      <c r="F156" s="24">
        <f>IF(A156="","",SUM(L156:W156))</f>
        <v/>
      </c>
      <c r="G156" s="36">
        <f>IF(A156="","",SUM(X156:AI156))</f>
        <v/>
      </c>
      <c r="H156" s="8">
        <f>IF(A156="","",IF(ISNA(MATCH(A156,Mitarbeiter!$A$6:$A$205,0)),"Pers.-Nr. unbekannt",IF(D156="","Von fehlt",IF(AND(C156&lt;&gt;Einstellungen!$C$4,C156&lt;&gt;Einstellungen!$C$5),"Objekt fehlt",IF(J156&lt;D156,"Bis vor Von",IF(D156&lt;INDEX(Mitarbeiter!$C$6:$C$205,MATCH($A156,Mitarbeiter!$A$6:$A$205,0)),"vor Eintritt",IF(AND(INDEX(Mitarbeiter!$D$6:$D$205,MATCH($A156,Mitarbeiter!$A$6:$A$205,0))&lt;&gt;"",D156&gt;INDEX(Mitarbeiter!$D$6:$D$205,MATCH($A156,Mitarbeiter!$A$6:$A$205,0))),"nach Austritt",IF(E156="","offen","ok"))))))))</f>
        <v/>
      </c>
      <c r="J156" s="47">
        <f>IF(A156="","",IF(E156="",Einstellungen!$C$9,E156))</f>
        <v/>
      </c>
      <c r="K156" s="48">
        <f>IF(A156="",0,IFERROR(INDEX(Mitarbeiter!$F$6:$F$205,MATCH($A156,Mitarbeiter!$A$6:$A$205,0)),0))</f>
        <v/>
      </c>
      <c r="L156" s="49">
        <f>IF(OR(A156="",D156=""),0,MAX(0,NETWORKDAYS(MAX(D156,DATE(Einstellungen!$C$3,1,1)),MIN(J156,DATE(Einstellungen!$C$3,2,0)),Einstellungen!$F$13:$F$32)))</f>
        <v/>
      </c>
      <c r="M156" s="49">
        <f>IF(OR(A156="",D156=""),0,MAX(0,NETWORKDAYS(MAX(D156,DATE(Einstellungen!$C$3,2,1)),MIN(J156,DATE(Einstellungen!$C$3,3,0)),Einstellungen!$F$13:$F$32)))</f>
        <v/>
      </c>
      <c r="N156" s="49">
        <f>IF(OR(A156="",D156=""),0,MAX(0,NETWORKDAYS(MAX(D156,DATE(Einstellungen!$C$3,3,1)),MIN(J156,DATE(Einstellungen!$C$3,4,0)),Einstellungen!$F$13:$F$32)))</f>
        <v/>
      </c>
      <c r="O156" s="49">
        <f>IF(OR(A156="",D156=""),0,MAX(0,NETWORKDAYS(MAX(D156,DATE(Einstellungen!$C$3,4,1)),MIN(J156,DATE(Einstellungen!$C$3,5,0)),Einstellungen!$F$13:$F$32)))</f>
        <v/>
      </c>
      <c r="P156" s="49">
        <f>IF(OR(A156="",D156=""),0,MAX(0,NETWORKDAYS(MAX(D156,DATE(Einstellungen!$C$3,5,1)),MIN(J156,DATE(Einstellungen!$C$3,6,0)),Einstellungen!$F$13:$F$32)))</f>
        <v/>
      </c>
      <c r="Q156" s="49">
        <f>IF(OR(A156="",D156=""),0,MAX(0,NETWORKDAYS(MAX(D156,DATE(Einstellungen!$C$3,6,1)),MIN(J156,DATE(Einstellungen!$C$3,7,0)),Einstellungen!$F$13:$F$32)))</f>
        <v/>
      </c>
      <c r="R156" s="49">
        <f>IF(OR(A156="",D156=""),0,MAX(0,NETWORKDAYS(MAX(D156,DATE(Einstellungen!$C$3,7,1)),MIN(J156,DATE(Einstellungen!$C$3,8,0)),Einstellungen!$F$13:$F$32)))</f>
        <v/>
      </c>
      <c r="S156" s="49">
        <f>IF(OR(A156="",D156=""),0,MAX(0,NETWORKDAYS(MAX(D156,DATE(Einstellungen!$C$3,8,1)),MIN(J156,DATE(Einstellungen!$C$3,9,0)),Einstellungen!$F$13:$F$32)))</f>
        <v/>
      </c>
      <c r="T156" s="49">
        <f>IF(OR(A156="",D156=""),0,MAX(0,NETWORKDAYS(MAX(D156,DATE(Einstellungen!$C$3,9,1)),MIN(J156,DATE(Einstellungen!$C$3,10,0)),Einstellungen!$F$13:$F$32)))</f>
        <v/>
      </c>
      <c r="U156" s="49">
        <f>IF(OR(A156="",D156=""),0,MAX(0,NETWORKDAYS(MAX(D156,DATE(Einstellungen!$C$3,10,1)),MIN(J156,DATE(Einstellungen!$C$3,11,0)),Einstellungen!$F$13:$F$32)))</f>
        <v/>
      </c>
      <c r="V156" s="49">
        <f>IF(OR(A156="",D156=""),0,MAX(0,NETWORKDAYS(MAX(D156,DATE(Einstellungen!$C$3,11,1)),MIN(J156,DATE(Einstellungen!$C$3,12,0)),Einstellungen!$F$13:$F$32)))</f>
        <v/>
      </c>
      <c r="W156" s="49">
        <f>IF(OR(A156="",D156=""),0,MAX(0,NETWORKDAYS(MAX(D156,DATE(Einstellungen!$C$3,12,1)),MIN(J156,DATE(Einstellungen!$C$3,13,0)),Einstellungen!$F$13:$F$32)))</f>
        <v/>
      </c>
      <c r="X156" s="50">
        <f>L156*K156</f>
        <v/>
      </c>
      <c r="Y156" s="50">
        <f>M156*K156</f>
        <v/>
      </c>
      <c r="Z156" s="50">
        <f>N156*K156</f>
        <v/>
      </c>
      <c r="AA156" s="50">
        <f>O156*K156</f>
        <v/>
      </c>
      <c r="AB156" s="50">
        <f>P156*K156</f>
        <v/>
      </c>
      <c r="AC156" s="50">
        <f>Q156*K156</f>
        <v/>
      </c>
      <c r="AD156" s="50">
        <f>R156*K156</f>
        <v/>
      </c>
      <c r="AE156" s="50">
        <f>S156*K156</f>
        <v/>
      </c>
      <c r="AF156" s="50">
        <f>T156*K156</f>
        <v/>
      </c>
      <c r="AG156" s="50">
        <f>U156*K156</f>
        <v/>
      </c>
      <c r="AH156" s="50">
        <f>V156*K156</f>
        <v/>
      </c>
      <c r="AI156" s="50">
        <f>W156*K156</f>
        <v/>
      </c>
    </row>
    <row r="157">
      <c r="A157" s="25" t="n"/>
      <c r="B157" s="45">
        <f>IF(A157="","",IFERROR(INDEX(Mitarbeiter!$B$6:$B$205,MATCH($A157,Mitarbeiter!$A$6:$A$205,0)),"?"))</f>
        <v/>
      </c>
      <c r="C157" s="46" t="n"/>
      <c r="D157" s="26" t="n"/>
      <c r="E157" s="26" t="n"/>
      <c r="F157" s="24">
        <f>IF(A157="","",SUM(L157:W157))</f>
        <v/>
      </c>
      <c r="G157" s="36">
        <f>IF(A157="","",SUM(X157:AI157))</f>
        <v/>
      </c>
      <c r="H157" s="8">
        <f>IF(A157="","",IF(ISNA(MATCH(A157,Mitarbeiter!$A$6:$A$205,0)),"Pers.-Nr. unbekannt",IF(D157="","Von fehlt",IF(AND(C157&lt;&gt;Einstellungen!$C$4,C157&lt;&gt;Einstellungen!$C$5),"Objekt fehlt",IF(J157&lt;D157,"Bis vor Von",IF(D157&lt;INDEX(Mitarbeiter!$C$6:$C$205,MATCH($A157,Mitarbeiter!$A$6:$A$205,0)),"vor Eintritt",IF(AND(INDEX(Mitarbeiter!$D$6:$D$205,MATCH($A157,Mitarbeiter!$A$6:$A$205,0))&lt;&gt;"",D157&gt;INDEX(Mitarbeiter!$D$6:$D$205,MATCH($A157,Mitarbeiter!$A$6:$A$205,0))),"nach Austritt",IF(E157="","offen","ok"))))))))</f>
        <v/>
      </c>
      <c r="J157" s="47">
        <f>IF(A157="","",IF(E157="",Einstellungen!$C$9,E157))</f>
        <v/>
      </c>
      <c r="K157" s="48">
        <f>IF(A157="",0,IFERROR(INDEX(Mitarbeiter!$F$6:$F$205,MATCH($A157,Mitarbeiter!$A$6:$A$205,0)),0))</f>
        <v/>
      </c>
      <c r="L157" s="49">
        <f>IF(OR(A157="",D157=""),0,MAX(0,NETWORKDAYS(MAX(D157,DATE(Einstellungen!$C$3,1,1)),MIN(J157,DATE(Einstellungen!$C$3,2,0)),Einstellungen!$F$13:$F$32)))</f>
        <v/>
      </c>
      <c r="M157" s="49">
        <f>IF(OR(A157="",D157=""),0,MAX(0,NETWORKDAYS(MAX(D157,DATE(Einstellungen!$C$3,2,1)),MIN(J157,DATE(Einstellungen!$C$3,3,0)),Einstellungen!$F$13:$F$32)))</f>
        <v/>
      </c>
      <c r="N157" s="49">
        <f>IF(OR(A157="",D157=""),0,MAX(0,NETWORKDAYS(MAX(D157,DATE(Einstellungen!$C$3,3,1)),MIN(J157,DATE(Einstellungen!$C$3,4,0)),Einstellungen!$F$13:$F$32)))</f>
        <v/>
      </c>
      <c r="O157" s="49">
        <f>IF(OR(A157="",D157=""),0,MAX(0,NETWORKDAYS(MAX(D157,DATE(Einstellungen!$C$3,4,1)),MIN(J157,DATE(Einstellungen!$C$3,5,0)),Einstellungen!$F$13:$F$32)))</f>
        <v/>
      </c>
      <c r="P157" s="49">
        <f>IF(OR(A157="",D157=""),0,MAX(0,NETWORKDAYS(MAX(D157,DATE(Einstellungen!$C$3,5,1)),MIN(J157,DATE(Einstellungen!$C$3,6,0)),Einstellungen!$F$13:$F$32)))</f>
        <v/>
      </c>
      <c r="Q157" s="49">
        <f>IF(OR(A157="",D157=""),0,MAX(0,NETWORKDAYS(MAX(D157,DATE(Einstellungen!$C$3,6,1)),MIN(J157,DATE(Einstellungen!$C$3,7,0)),Einstellungen!$F$13:$F$32)))</f>
        <v/>
      </c>
      <c r="R157" s="49">
        <f>IF(OR(A157="",D157=""),0,MAX(0,NETWORKDAYS(MAX(D157,DATE(Einstellungen!$C$3,7,1)),MIN(J157,DATE(Einstellungen!$C$3,8,0)),Einstellungen!$F$13:$F$32)))</f>
        <v/>
      </c>
      <c r="S157" s="49">
        <f>IF(OR(A157="",D157=""),0,MAX(0,NETWORKDAYS(MAX(D157,DATE(Einstellungen!$C$3,8,1)),MIN(J157,DATE(Einstellungen!$C$3,9,0)),Einstellungen!$F$13:$F$32)))</f>
        <v/>
      </c>
      <c r="T157" s="49">
        <f>IF(OR(A157="",D157=""),0,MAX(0,NETWORKDAYS(MAX(D157,DATE(Einstellungen!$C$3,9,1)),MIN(J157,DATE(Einstellungen!$C$3,10,0)),Einstellungen!$F$13:$F$32)))</f>
        <v/>
      </c>
      <c r="U157" s="49">
        <f>IF(OR(A157="",D157=""),0,MAX(0,NETWORKDAYS(MAX(D157,DATE(Einstellungen!$C$3,10,1)),MIN(J157,DATE(Einstellungen!$C$3,11,0)),Einstellungen!$F$13:$F$32)))</f>
        <v/>
      </c>
      <c r="V157" s="49">
        <f>IF(OR(A157="",D157=""),0,MAX(0,NETWORKDAYS(MAX(D157,DATE(Einstellungen!$C$3,11,1)),MIN(J157,DATE(Einstellungen!$C$3,12,0)),Einstellungen!$F$13:$F$32)))</f>
        <v/>
      </c>
      <c r="W157" s="49">
        <f>IF(OR(A157="",D157=""),0,MAX(0,NETWORKDAYS(MAX(D157,DATE(Einstellungen!$C$3,12,1)),MIN(J157,DATE(Einstellungen!$C$3,13,0)),Einstellungen!$F$13:$F$32)))</f>
        <v/>
      </c>
      <c r="X157" s="50">
        <f>L157*K157</f>
        <v/>
      </c>
      <c r="Y157" s="50">
        <f>M157*K157</f>
        <v/>
      </c>
      <c r="Z157" s="50">
        <f>N157*K157</f>
        <v/>
      </c>
      <c r="AA157" s="50">
        <f>O157*K157</f>
        <v/>
      </c>
      <c r="AB157" s="50">
        <f>P157*K157</f>
        <v/>
      </c>
      <c r="AC157" s="50">
        <f>Q157*K157</f>
        <v/>
      </c>
      <c r="AD157" s="50">
        <f>R157*K157</f>
        <v/>
      </c>
      <c r="AE157" s="50">
        <f>S157*K157</f>
        <v/>
      </c>
      <c r="AF157" s="50">
        <f>T157*K157</f>
        <v/>
      </c>
      <c r="AG157" s="50">
        <f>U157*K157</f>
        <v/>
      </c>
      <c r="AH157" s="50">
        <f>V157*K157</f>
        <v/>
      </c>
      <c r="AI157" s="50">
        <f>W157*K157</f>
        <v/>
      </c>
    </row>
    <row r="158">
      <c r="A158" s="25" t="n"/>
      <c r="B158" s="45">
        <f>IF(A158="","",IFERROR(INDEX(Mitarbeiter!$B$6:$B$205,MATCH($A158,Mitarbeiter!$A$6:$A$205,0)),"?"))</f>
        <v/>
      </c>
      <c r="C158" s="46" t="n"/>
      <c r="D158" s="26" t="n"/>
      <c r="E158" s="26" t="n"/>
      <c r="F158" s="24">
        <f>IF(A158="","",SUM(L158:W158))</f>
        <v/>
      </c>
      <c r="G158" s="36">
        <f>IF(A158="","",SUM(X158:AI158))</f>
        <v/>
      </c>
      <c r="H158" s="8">
        <f>IF(A158="","",IF(ISNA(MATCH(A158,Mitarbeiter!$A$6:$A$205,0)),"Pers.-Nr. unbekannt",IF(D158="","Von fehlt",IF(AND(C158&lt;&gt;Einstellungen!$C$4,C158&lt;&gt;Einstellungen!$C$5),"Objekt fehlt",IF(J158&lt;D158,"Bis vor Von",IF(D158&lt;INDEX(Mitarbeiter!$C$6:$C$205,MATCH($A158,Mitarbeiter!$A$6:$A$205,0)),"vor Eintritt",IF(AND(INDEX(Mitarbeiter!$D$6:$D$205,MATCH($A158,Mitarbeiter!$A$6:$A$205,0))&lt;&gt;"",D158&gt;INDEX(Mitarbeiter!$D$6:$D$205,MATCH($A158,Mitarbeiter!$A$6:$A$205,0))),"nach Austritt",IF(E158="","offen","ok"))))))))</f>
        <v/>
      </c>
      <c r="J158" s="47">
        <f>IF(A158="","",IF(E158="",Einstellungen!$C$9,E158))</f>
        <v/>
      </c>
      <c r="K158" s="48">
        <f>IF(A158="",0,IFERROR(INDEX(Mitarbeiter!$F$6:$F$205,MATCH($A158,Mitarbeiter!$A$6:$A$205,0)),0))</f>
        <v/>
      </c>
      <c r="L158" s="49">
        <f>IF(OR(A158="",D158=""),0,MAX(0,NETWORKDAYS(MAX(D158,DATE(Einstellungen!$C$3,1,1)),MIN(J158,DATE(Einstellungen!$C$3,2,0)),Einstellungen!$F$13:$F$32)))</f>
        <v/>
      </c>
      <c r="M158" s="49">
        <f>IF(OR(A158="",D158=""),0,MAX(0,NETWORKDAYS(MAX(D158,DATE(Einstellungen!$C$3,2,1)),MIN(J158,DATE(Einstellungen!$C$3,3,0)),Einstellungen!$F$13:$F$32)))</f>
        <v/>
      </c>
      <c r="N158" s="49">
        <f>IF(OR(A158="",D158=""),0,MAX(0,NETWORKDAYS(MAX(D158,DATE(Einstellungen!$C$3,3,1)),MIN(J158,DATE(Einstellungen!$C$3,4,0)),Einstellungen!$F$13:$F$32)))</f>
        <v/>
      </c>
      <c r="O158" s="49">
        <f>IF(OR(A158="",D158=""),0,MAX(0,NETWORKDAYS(MAX(D158,DATE(Einstellungen!$C$3,4,1)),MIN(J158,DATE(Einstellungen!$C$3,5,0)),Einstellungen!$F$13:$F$32)))</f>
        <v/>
      </c>
      <c r="P158" s="49">
        <f>IF(OR(A158="",D158=""),0,MAX(0,NETWORKDAYS(MAX(D158,DATE(Einstellungen!$C$3,5,1)),MIN(J158,DATE(Einstellungen!$C$3,6,0)),Einstellungen!$F$13:$F$32)))</f>
        <v/>
      </c>
      <c r="Q158" s="49">
        <f>IF(OR(A158="",D158=""),0,MAX(0,NETWORKDAYS(MAX(D158,DATE(Einstellungen!$C$3,6,1)),MIN(J158,DATE(Einstellungen!$C$3,7,0)),Einstellungen!$F$13:$F$32)))</f>
        <v/>
      </c>
      <c r="R158" s="49">
        <f>IF(OR(A158="",D158=""),0,MAX(0,NETWORKDAYS(MAX(D158,DATE(Einstellungen!$C$3,7,1)),MIN(J158,DATE(Einstellungen!$C$3,8,0)),Einstellungen!$F$13:$F$32)))</f>
        <v/>
      </c>
      <c r="S158" s="49">
        <f>IF(OR(A158="",D158=""),0,MAX(0,NETWORKDAYS(MAX(D158,DATE(Einstellungen!$C$3,8,1)),MIN(J158,DATE(Einstellungen!$C$3,9,0)),Einstellungen!$F$13:$F$32)))</f>
        <v/>
      </c>
      <c r="T158" s="49">
        <f>IF(OR(A158="",D158=""),0,MAX(0,NETWORKDAYS(MAX(D158,DATE(Einstellungen!$C$3,9,1)),MIN(J158,DATE(Einstellungen!$C$3,10,0)),Einstellungen!$F$13:$F$32)))</f>
        <v/>
      </c>
      <c r="U158" s="49">
        <f>IF(OR(A158="",D158=""),0,MAX(0,NETWORKDAYS(MAX(D158,DATE(Einstellungen!$C$3,10,1)),MIN(J158,DATE(Einstellungen!$C$3,11,0)),Einstellungen!$F$13:$F$32)))</f>
        <v/>
      </c>
      <c r="V158" s="49">
        <f>IF(OR(A158="",D158=""),0,MAX(0,NETWORKDAYS(MAX(D158,DATE(Einstellungen!$C$3,11,1)),MIN(J158,DATE(Einstellungen!$C$3,12,0)),Einstellungen!$F$13:$F$32)))</f>
        <v/>
      </c>
      <c r="W158" s="49">
        <f>IF(OR(A158="",D158=""),0,MAX(0,NETWORKDAYS(MAX(D158,DATE(Einstellungen!$C$3,12,1)),MIN(J158,DATE(Einstellungen!$C$3,13,0)),Einstellungen!$F$13:$F$32)))</f>
        <v/>
      </c>
      <c r="X158" s="50">
        <f>L158*K158</f>
        <v/>
      </c>
      <c r="Y158" s="50">
        <f>M158*K158</f>
        <v/>
      </c>
      <c r="Z158" s="50">
        <f>N158*K158</f>
        <v/>
      </c>
      <c r="AA158" s="50">
        <f>O158*K158</f>
        <v/>
      </c>
      <c r="AB158" s="50">
        <f>P158*K158</f>
        <v/>
      </c>
      <c r="AC158" s="50">
        <f>Q158*K158</f>
        <v/>
      </c>
      <c r="AD158" s="50">
        <f>R158*K158</f>
        <v/>
      </c>
      <c r="AE158" s="50">
        <f>S158*K158</f>
        <v/>
      </c>
      <c r="AF158" s="50">
        <f>T158*K158</f>
        <v/>
      </c>
      <c r="AG158" s="50">
        <f>U158*K158</f>
        <v/>
      </c>
      <c r="AH158" s="50">
        <f>V158*K158</f>
        <v/>
      </c>
      <c r="AI158" s="50">
        <f>W158*K158</f>
        <v/>
      </c>
    </row>
    <row r="159">
      <c r="A159" s="25" t="n"/>
      <c r="B159" s="45">
        <f>IF(A159="","",IFERROR(INDEX(Mitarbeiter!$B$6:$B$205,MATCH($A159,Mitarbeiter!$A$6:$A$205,0)),"?"))</f>
        <v/>
      </c>
      <c r="C159" s="46" t="n"/>
      <c r="D159" s="26" t="n"/>
      <c r="E159" s="26" t="n"/>
      <c r="F159" s="24">
        <f>IF(A159="","",SUM(L159:W159))</f>
        <v/>
      </c>
      <c r="G159" s="36">
        <f>IF(A159="","",SUM(X159:AI159))</f>
        <v/>
      </c>
      <c r="H159" s="8">
        <f>IF(A159="","",IF(ISNA(MATCH(A159,Mitarbeiter!$A$6:$A$205,0)),"Pers.-Nr. unbekannt",IF(D159="","Von fehlt",IF(AND(C159&lt;&gt;Einstellungen!$C$4,C159&lt;&gt;Einstellungen!$C$5),"Objekt fehlt",IF(J159&lt;D159,"Bis vor Von",IF(D159&lt;INDEX(Mitarbeiter!$C$6:$C$205,MATCH($A159,Mitarbeiter!$A$6:$A$205,0)),"vor Eintritt",IF(AND(INDEX(Mitarbeiter!$D$6:$D$205,MATCH($A159,Mitarbeiter!$A$6:$A$205,0))&lt;&gt;"",D159&gt;INDEX(Mitarbeiter!$D$6:$D$205,MATCH($A159,Mitarbeiter!$A$6:$A$205,0))),"nach Austritt",IF(E159="","offen","ok"))))))))</f>
        <v/>
      </c>
      <c r="J159" s="47">
        <f>IF(A159="","",IF(E159="",Einstellungen!$C$9,E159))</f>
        <v/>
      </c>
      <c r="K159" s="48">
        <f>IF(A159="",0,IFERROR(INDEX(Mitarbeiter!$F$6:$F$205,MATCH($A159,Mitarbeiter!$A$6:$A$205,0)),0))</f>
        <v/>
      </c>
      <c r="L159" s="49">
        <f>IF(OR(A159="",D159=""),0,MAX(0,NETWORKDAYS(MAX(D159,DATE(Einstellungen!$C$3,1,1)),MIN(J159,DATE(Einstellungen!$C$3,2,0)),Einstellungen!$F$13:$F$32)))</f>
        <v/>
      </c>
      <c r="M159" s="49">
        <f>IF(OR(A159="",D159=""),0,MAX(0,NETWORKDAYS(MAX(D159,DATE(Einstellungen!$C$3,2,1)),MIN(J159,DATE(Einstellungen!$C$3,3,0)),Einstellungen!$F$13:$F$32)))</f>
        <v/>
      </c>
      <c r="N159" s="49">
        <f>IF(OR(A159="",D159=""),0,MAX(0,NETWORKDAYS(MAX(D159,DATE(Einstellungen!$C$3,3,1)),MIN(J159,DATE(Einstellungen!$C$3,4,0)),Einstellungen!$F$13:$F$32)))</f>
        <v/>
      </c>
      <c r="O159" s="49">
        <f>IF(OR(A159="",D159=""),0,MAX(0,NETWORKDAYS(MAX(D159,DATE(Einstellungen!$C$3,4,1)),MIN(J159,DATE(Einstellungen!$C$3,5,0)),Einstellungen!$F$13:$F$32)))</f>
        <v/>
      </c>
      <c r="P159" s="49">
        <f>IF(OR(A159="",D159=""),0,MAX(0,NETWORKDAYS(MAX(D159,DATE(Einstellungen!$C$3,5,1)),MIN(J159,DATE(Einstellungen!$C$3,6,0)),Einstellungen!$F$13:$F$32)))</f>
        <v/>
      </c>
      <c r="Q159" s="49">
        <f>IF(OR(A159="",D159=""),0,MAX(0,NETWORKDAYS(MAX(D159,DATE(Einstellungen!$C$3,6,1)),MIN(J159,DATE(Einstellungen!$C$3,7,0)),Einstellungen!$F$13:$F$32)))</f>
        <v/>
      </c>
      <c r="R159" s="49">
        <f>IF(OR(A159="",D159=""),0,MAX(0,NETWORKDAYS(MAX(D159,DATE(Einstellungen!$C$3,7,1)),MIN(J159,DATE(Einstellungen!$C$3,8,0)),Einstellungen!$F$13:$F$32)))</f>
        <v/>
      </c>
      <c r="S159" s="49">
        <f>IF(OR(A159="",D159=""),0,MAX(0,NETWORKDAYS(MAX(D159,DATE(Einstellungen!$C$3,8,1)),MIN(J159,DATE(Einstellungen!$C$3,9,0)),Einstellungen!$F$13:$F$32)))</f>
        <v/>
      </c>
      <c r="T159" s="49">
        <f>IF(OR(A159="",D159=""),0,MAX(0,NETWORKDAYS(MAX(D159,DATE(Einstellungen!$C$3,9,1)),MIN(J159,DATE(Einstellungen!$C$3,10,0)),Einstellungen!$F$13:$F$32)))</f>
        <v/>
      </c>
      <c r="U159" s="49">
        <f>IF(OR(A159="",D159=""),0,MAX(0,NETWORKDAYS(MAX(D159,DATE(Einstellungen!$C$3,10,1)),MIN(J159,DATE(Einstellungen!$C$3,11,0)),Einstellungen!$F$13:$F$32)))</f>
        <v/>
      </c>
      <c r="V159" s="49">
        <f>IF(OR(A159="",D159=""),0,MAX(0,NETWORKDAYS(MAX(D159,DATE(Einstellungen!$C$3,11,1)),MIN(J159,DATE(Einstellungen!$C$3,12,0)),Einstellungen!$F$13:$F$32)))</f>
        <v/>
      </c>
      <c r="W159" s="49">
        <f>IF(OR(A159="",D159=""),0,MAX(0,NETWORKDAYS(MAX(D159,DATE(Einstellungen!$C$3,12,1)),MIN(J159,DATE(Einstellungen!$C$3,13,0)),Einstellungen!$F$13:$F$32)))</f>
        <v/>
      </c>
      <c r="X159" s="50">
        <f>L159*K159</f>
        <v/>
      </c>
      <c r="Y159" s="50">
        <f>M159*K159</f>
        <v/>
      </c>
      <c r="Z159" s="50">
        <f>N159*K159</f>
        <v/>
      </c>
      <c r="AA159" s="50">
        <f>O159*K159</f>
        <v/>
      </c>
      <c r="AB159" s="50">
        <f>P159*K159</f>
        <v/>
      </c>
      <c r="AC159" s="50">
        <f>Q159*K159</f>
        <v/>
      </c>
      <c r="AD159" s="50">
        <f>R159*K159</f>
        <v/>
      </c>
      <c r="AE159" s="50">
        <f>S159*K159</f>
        <v/>
      </c>
      <c r="AF159" s="50">
        <f>T159*K159</f>
        <v/>
      </c>
      <c r="AG159" s="50">
        <f>U159*K159</f>
        <v/>
      </c>
      <c r="AH159" s="50">
        <f>V159*K159</f>
        <v/>
      </c>
      <c r="AI159" s="50">
        <f>W159*K159</f>
        <v/>
      </c>
    </row>
    <row r="160">
      <c r="A160" s="25" t="n"/>
      <c r="B160" s="45">
        <f>IF(A160="","",IFERROR(INDEX(Mitarbeiter!$B$6:$B$205,MATCH($A160,Mitarbeiter!$A$6:$A$205,0)),"?"))</f>
        <v/>
      </c>
      <c r="C160" s="46" t="n"/>
      <c r="D160" s="26" t="n"/>
      <c r="E160" s="26" t="n"/>
      <c r="F160" s="24">
        <f>IF(A160="","",SUM(L160:W160))</f>
        <v/>
      </c>
      <c r="G160" s="36">
        <f>IF(A160="","",SUM(X160:AI160))</f>
        <v/>
      </c>
      <c r="H160" s="8">
        <f>IF(A160="","",IF(ISNA(MATCH(A160,Mitarbeiter!$A$6:$A$205,0)),"Pers.-Nr. unbekannt",IF(D160="","Von fehlt",IF(AND(C160&lt;&gt;Einstellungen!$C$4,C160&lt;&gt;Einstellungen!$C$5),"Objekt fehlt",IF(J160&lt;D160,"Bis vor Von",IF(D160&lt;INDEX(Mitarbeiter!$C$6:$C$205,MATCH($A160,Mitarbeiter!$A$6:$A$205,0)),"vor Eintritt",IF(AND(INDEX(Mitarbeiter!$D$6:$D$205,MATCH($A160,Mitarbeiter!$A$6:$A$205,0))&lt;&gt;"",D160&gt;INDEX(Mitarbeiter!$D$6:$D$205,MATCH($A160,Mitarbeiter!$A$6:$A$205,0))),"nach Austritt",IF(E160="","offen","ok"))))))))</f>
        <v/>
      </c>
      <c r="J160" s="47">
        <f>IF(A160="","",IF(E160="",Einstellungen!$C$9,E160))</f>
        <v/>
      </c>
      <c r="K160" s="48">
        <f>IF(A160="",0,IFERROR(INDEX(Mitarbeiter!$F$6:$F$205,MATCH($A160,Mitarbeiter!$A$6:$A$205,0)),0))</f>
        <v/>
      </c>
      <c r="L160" s="49">
        <f>IF(OR(A160="",D160=""),0,MAX(0,NETWORKDAYS(MAX(D160,DATE(Einstellungen!$C$3,1,1)),MIN(J160,DATE(Einstellungen!$C$3,2,0)),Einstellungen!$F$13:$F$32)))</f>
        <v/>
      </c>
      <c r="M160" s="49">
        <f>IF(OR(A160="",D160=""),0,MAX(0,NETWORKDAYS(MAX(D160,DATE(Einstellungen!$C$3,2,1)),MIN(J160,DATE(Einstellungen!$C$3,3,0)),Einstellungen!$F$13:$F$32)))</f>
        <v/>
      </c>
      <c r="N160" s="49">
        <f>IF(OR(A160="",D160=""),0,MAX(0,NETWORKDAYS(MAX(D160,DATE(Einstellungen!$C$3,3,1)),MIN(J160,DATE(Einstellungen!$C$3,4,0)),Einstellungen!$F$13:$F$32)))</f>
        <v/>
      </c>
      <c r="O160" s="49">
        <f>IF(OR(A160="",D160=""),0,MAX(0,NETWORKDAYS(MAX(D160,DATE(Einstellungen!$C$3,4,1)),MIN(J160,DATE(Einstellungen!$C$3,5,0)),Einstellungen!$F$13:$F$32)))</f>
        <v/>
      </c>
      <c r="P160" s="49">
        <f>IF(OR(A160="",D160=""),0,MAX(0,NETWORKDAYS(MAX(D160,DATE(Einstellungen!$C$3,5,1)),MIN(J160,DATE(Einstellungen!$C$3,6,0)),Einstellungen!$F$13:$F$32)))</f>
        <v/>
      </c>
      <c r="Q160" s="49">
        <f>IF(OR(A160="",D160=""),0,MAX(0,NETWORKDAYS(MAX(D160,DATE(Einstellungen!$C$3,6,1)),MIN(J160,DATE(Einstellungen!$C$3,7,0)),Einstellungen!$F$13:$F$32)))</f>
        <v/>
      </c>
      <c r="R160" s="49">
        <f>IF(OR(A160="",D160=""),0,MAX(0,NETWORKDAYS(MAX(D160,DATE(Einstellungen!$C$3,7,1)),MIN(J160,DATE(Einstellungen!$C$3,8,0)),Einstellungen!$F$13:$F$32)))</f>
        <v/>
      </c>
      <c r="S160" s="49">
        <f>IF(OR(A160="",D160=""),0,MAX(0,NETWORKDAYS(MAX(D160,DATE(Einstellungen!$C$3,8,1)),MIN(J160,DATE(Einstellungen!$C$3,9,0)),Einstellungen!$F$13:$F$32)))</f>
        <v/>
      </c>
      <c r="T160" s="49">
        <f>IF(OR(A160="",D160=""),0,MAX(0,NETWORKDAYS(MAX(D160,DATE(Einstellungen!$C$3,9,1)),MIN(J160,DATE(Einstellungen!$C$3,10,0)),Einstellungen!$F$13:$F$32)))</f>
        <v/>
      </c>
      <c r="U160" s="49">
        <f>IF(OR(A160="",D160=""),0,MAX(0,NETWORKDAYS(MAX(D160,DATE(Einstellungen!$C$3,10,1)),MIN(J160,DATE(Einstellungen!$C$3,11,0)),Einstellungen!$F$13:$F$32)))</f>
        <v/>
      </c>
      <c r="V160" s="49">
        <f>IF(OR(A160="",D160=""),0,MAX(0,NETWORKDAYS(MAX(D160,DATE(Einstellungen!$C$3,11,1)),MIN(J160,DATE(Einstellungen!$C$3,12,0)),Einstellungen!$F$13:$F$32)))</f>
        <v/>
      </c>
      <c r="W160" s="49">
        <f>IF(OR(A160="",D160=""),0,MAX(0,NETWORKDAYS(MAX(D160,DATE(Einstellungen!$C$3,12,1)),MIN(J160,DATE(Einstellungen!$C$3,13,0)),Einstellungen!$F$13:$F$32)))</f>
        <v/>
      </c>
      <c r="X160" s="50">
        <f>L160*K160</f>
        <v/>
      </c>
      <c r="Y160" s="50">
        <f>M160*K160</f>
        <v/>
      </c>
      <c r="Z160" s="50">
        <f>N160*K160</f>
        <v/>
      </c>
      <c r="AA160" s="50">
        <f>O160*K160</f>
        <v/>
      </c>
      <c r="AB160" s="50">
        <f>P160*K160</f>
        <v/>
      </c>
      <c r="AC160" s="50">
        <f>Q160*K160</f>
        <v/>
      </c>
      <c r="AD160" s="50">
        <f>R160*K160</f>
        <v/>
      </c>
      <c r="AE160" s="50">
        <f>S160*K160</f>
        <v/>
      </c>
      <c r="AF160" s="50">
        <f>T160*K160</f>
        <v/>
      </c>
      <c r="AG160" s="50">
        <f>U160*K160</f>
        <v/>
      </c>
      <c r="AH160" s="50">
        <f>V160*K160</f>
        <v/>
      </c>
      <c r="AI160" s="50">
        <f>W160*K160</f>
        <v/>
      </c>
    </row>
    <row r="161">
      <c r="A161" s="25" t="n"/>
      <c r="B161" s="45">
        <f>IF(A161="","",IFERROR(INDEX(Mitarbeiter!$B$6:$B$205,MATCH($A161,Mitarbeiter!$A$6:$A$205,0)),"?"))</f>
        <v/>
      </c>
      <c r="C161" s="46" t="n"/>
      <c r="D161" s="26" t="n"/>
      <c r="E161" s="26" t="n"/>
      <c r="F161" s="24">
        <f>IF(A161="","",SUM(L161:W161))</f>
        <v/>
      </c>
      <c r="G161" s="36">
        <f>IF(A161="","",SUM(X161:AI161))</f>
        <v/>
      </c>
      <c r="H161" s="8">
        <f>IF(A161="","",IF(ISNA(MATCH(A161,Mitarbeiter!$A$6:$A$205,0)),"Pers.-Nr. unbekannt",IF(D161="","Von fehlt",IF(AND(C161&lt;&gt;Einstellungen!$C$4,C161&lt;&gt;Einstellungen!$C$5),"Objekt fehlt",IF(J161&lt;D161,"Bis vor Von",IF(D161&lt;INDEX(Mitarbeiter!$C$6:$C$205,MATCH($A161,Mitarbeiter!$A$6:$A$205,0)),"vor Eintritt",IF(AND(INDEX(Mitarbeiter!$D$6:$D$205,MATCH($A161,Mitarbeiter!$A$6:$A$205,0))&lt;&gt;"",D161&gt;INDEX(Mitarbeiter!$D$6:$D$205,MATCH($A161,Mitarbeiter!$A$6:$A$205,0))),"nach Austritt",IF(E161="","offen","ok"))))))))</f>
        <v/>
      </c>
      <c r="J161" s="47">
        <f>IF(A161="","",IF(E161="",Einstellungen!$C$9,E161))</f>
        <v/>
      </c>
      <c r="K161" s="48">
        <f>IF(A161="",0,IFERROR(INDEX(Mitarbeiter!$F$6:$F$205,MATCH($A161,Mitarbeiter!$A$6:$A$205,0)),0))</f>
        <v/>
      </c>
      <c r="L161" s="49">
        <f>IF(OR(A161="",D161=""),0,MAX(0,NETWORKDAYS(MAX(D161,DATE(Einstellungen!$C$3,1,1)),MIN(J161,DATE(Einstellungen!$C$3,2,0)),Einstellungen!$F$13:$F$32)))</f>
        <v/>
      </c>
      <c r="M161" s="49">
        <f>IF(OR(A161="",D161=""),0,MAX(0,NETWORKDAYS(MAX(D161,DATE(Einstellungen!$C$3,2,1)),MIN(J161,DATE(Einstellungen!$C$3,3,0)),Einstellungen!$F$13:$F$32)))</f>
        <v/>
      </c>
      <c r="N161" s="49">
        <f>IF(OR(A161="",D161=""),0,MAX(0,NETWORKDAYS(MAX(D161,DATE(Einstellungen!$C$3,3,1)),MIN(J161,DATE(Einstellungen!$C$3,4,0)),Einstellungen!$F$13:$F$32)))</f>
        <v/>
      </c>
      <c r="O161" s="49">
        <f>IF(OR(A161="",D161=""),0,MAX(0,NETWORKDAYS(MAX(D161,DATE(Einstellungen!$C$3,4,1)),MIN(J161,DATE(Einstellungen!$C$3,5,0)),Einstellungen!$F$13:$F$32)))</f>
        <v/>
      </c>
      <c r="P161" s="49">
        <f>IF(OR(A161="",D161=""),0,MAX(0,NETWORKDAYS(MAX(D161,DATE(Einstellungen!$C$3,5,1)),MIN(J161,DATE(Einstellungen!$C$3,6,0)),Einstellungen!$F$13:$F$32)))</f>
        <v/>
      </c>
      <c r="Q161" s="49">
        <f>IF(OR(A161="",D161=""),0,MAX(0,NETWORKDAYS(MAX(D161,DATE(Einstellungen!$C$3,6,1)),MIN(J161,DATE(Einstellungen!$C$3,7,0)),Einstellungen!$F$13:$F$32)))</f>
        <v/>
      </c>
      <c r="R161" s="49">
        <f>IF(OR(A161="",D161=""),0,MAX(0,NETWORKDAYS(MAX(D161,DATE(Einstellungen!$C$3,7,1)),MIN(J161,DATE(Einstellungen!$C$3,8,0)),Einstellungen!$F$13:$F$32)))</f>
        <v/>
      </c>
      <c r="S161" s="49">
        <f>IF(OR(A161="",D161=""),0,MAX(0,NETWORKDAYS(MAX(D161,DATE(Einstellungen!$C$3,8,1)),MIN(J161,DATE(Einstellungen!$C$3,9,0)),Einstellungen!$F$13:$F$32)))</f>
        <v/>
      </c>
      <c r="T161" s="49">
        <f>IF(OR(A161="",D161=""),0,MAX(0,NETWORKDAYS(MAX(D161,DATE(Einstellungen!$C$3,9,1)),MIN(J161,DATE(Einstellungen!$C$3,10,0)),Einstellungen!$F$13:$F$32)))</f>
        <v/>
      </c>
      <c r="U161" s="49">
        <f>IF(OR(A161="",D161=""),0,MAX(0,NETWORKDAYS(MAX(D161,DATE(Einstellungen!$C$3,10,1)),MIN(J161,DATE(Einstellungen!$C$3,11,0)),Einstellungen!$F$13:$F$32)))</f>
        <v/>
      </c>
      <c r="V161" s="49">
        <f>IF(OR(A161="",D161=""),0,MAX(0,NETWORKDAYS(MAX(D161,DATE(Einstellungen!$C$3,11,1)),MIN(J161,DATE(Einstellungen!$C$3,12,0)),Einstellungen!$F$13:$F$32)))</f>
        <v/>
      </c>
      <c r="W161" s="49">
        <f>IF(OR(A161="",D161=""),0,MAX(0,NETWORKDAYS(MAX(D161,DATE(Einstellungen!$C$3,12,1)),MIN(J161,DATE(Einstellungen!$C$3,13,0)),Einstellungen!$F$13:$F$32)))</f>
        <v/>
      </c>
      <c r="X161" s="50">
        <f>L161*K161</f>
        <v/>
      </c>
      <c r="Y161" s="50">
        <f>M161*K161</f>
        <v/>
      </c>
      <c r="Z161" s="50">
        <f>N161*K161</f>
        <v/>
      </c>
      <c r="AA161" s="50">
        <f>O161*K161</f>
        <v/>
      </c>
      <c r="AB161" s="50">
        <f>P161*K161</f>
        <v/>
      </c>
      <c r="AC161" s="50">
        <f>Q161*K161</f>
        <v/>
      </c>
      <c r="AD161" s="50">
        <f>R161*K161</f>
        <v/>
      </c>
      <c r="AE161" s="50">
        <f>S161*K161</f>
        <v/>
      </c>
      <c r="AF161" s="50">
        <f>T161*K161</f>
        <v/>
      </c>
      <c r="AG161" s="50">
        <f>U161*K161</f>
        <v/>
      </c>
      <c r="AH161" s="50">
        <f>V161*K161</f>
        <v/>
      </c>
      <c r="AI161" s="50">
        <f>W161*K161</f>
        <v/>
      </c>
    </row>
    <row r="162">
      <c r="A162" s="25" t="n"/>
      <c r="B162" s="45">
        <f>IF(A162="","",IFERROR(INDEX(Mitarbeiter!$B$6:$B$205,MATCH($A162,Mitarbeiter!$A$6:$A$205,0)),"?"))</f>
        <v/>
      </c>
      <c r="C162" s="46" t="n"/>
      <c r="D162" s="26" t="n"/>
      <c r="E162" s="26" t="n"/>
      <c r="F162" s="24">
        <f>IF(A162="","",SUM(L162:W162))</f>
        <v/>
      </c>
      <c r="G162" s="36">
        <f>IF(A162="","",SUM(X162:AI162))</f>
        <v/>
      </c>
      <c r="H162" s="8">
        <f>IF(A162="","",IF(ISNA(MATCH(A162,Mitarbeiter!$A$6:$A$205,0)),"Pers.-Nr. unbekannt",IF(D162="","Von fehlt",IF(AND(C162&lt;&gt;Einstellungen!$C$4,C162&lt;&gt;Einstellungen!$C$5),"Objekt fehlt",IF(J162&lt;D162,"Bis vor Von",IF(D162&lt;INDEX(Mitarbeiter!$C$6:$C$205,MATCH($A162,Mitarbeiter!$A$6:$A$205,0)),"vor Eintritt",IF(AND(INDEX(Mitarbeiter!$D$6:$D$205,MATCH($A162,Mitarbeiter!$A$6:$A$205,0))&lt;&gt;"",D162&gt;INDEX(Mitarbeiter!$D$6:$D$205,MATCH($A162,Mitarbeiter!$A$6:$A$205,0))),"nach Austritt",IF(E162="","offen","ok"))))))))</f>
        <v/>
      </c>
      <c r="J162" s="47">
        <f>IF(A162="","",IF(E162="",Einstellungen!$C$9,E162))</f>
        <v/>
      </c>
      <c r="K162" s="48">
        <f>IF(A162="",0,IFERROR(INDEX(Mitarbeiter!$F$6:$F$205,MATCH($A162,Mitarbeiter!$A$6:$A$205,0)),0))</f>
        <v/>
      </c>
      <c r="L162" s="49">
        <f>IF(OR(A162="",D162=""),0,MAX(0,NETWORKDAYS(MAX(D162,DATE(Einstellungen!$C$3,1,1)),MIN(J162,DATE(Einstellungen!$C$3,2,0)),Einstellungen!$F$13:$F$32)))</f>
        <v/>
      </c>
      <c r="M162" s="49">
        <f>IF(OR(A162="",D162=""),0,MAX(0,NETWORKDAYS(MAX(D162,DATE(Einstellungen!$C$3,2,1)),MIN(J162,DATE(Einstellungen!$C$3,3,0)),Einstellungen!$F$13:$F$32)))</f>
        <v/>
      </c>
      <c r="N162" s="49">
        <f>IF(OR(A162="",D162=""),0,MAX(0,NETWORKDAYS(MAX(D162,DATE(Einstellungen!$C$3,3,1)),MIN(J162,DATE(Einstellungen!$C$3,4,0)),Einstellungen!$F$13:$F$32)))</f>
        <v/>
      </c>
      <c r="O162" s="49">
        <f>IF(OR(A162="",D162=""),0,MAX(0,NETWORKDAYS(MAX(D162,DATE(Einstellungen!$C$3,4,1)),MIN(J162,DATE(Einstellungen!$C$3,5,0)),Einstellungen!$F$13:$F$32)))</f>
        <v/>
      </c>
      <c r="P162" s="49">
        <f>IF(OR(A162="",D162=""),0,MAX(0,NETWORKDAYS(MAX(D162,DATE(Einstellungen!$C$3,5,1)),MIN(J162,DATE(Einstellungen!$C$3,6,0)),Einstellungen!$F$13:$F$32)))</f>
        <v/>
      </c>
      <c r="Q162" s="49">
        <f>IF(OR(A162="",D162=""),0,MAX(0,NETWORKDAYS(MAX(D162,DATE(Einstellungen!$C$3,6,1)),MIN(J162,DATE(Einstellungen!$C$3,7,0)),Einstellungen!$F$13:$F$32)))</f>
        <v/>
      </c>
      <c r="R162" s="49">
        <f>IF(OR(A162="",D162=""),0,MAX(0,NETWORKDAYS(MAX(D162,DATE(Einstellungen!$C$3,7,1)),MIN(J162,DATE(Einstellungen!$C$3,8,0)),Einstellungen!$F$13:$F$32)))</f>
        <v/>
      </c>
      <c r="S162" s="49">
        <f>IF(OR(A162="",D162=""),0,MAX(0,NETWORKDAYS(MAX(D162,DATE(Einstellungen!$C$3,8,1)),MIN(J162,DATE(Einstellungen!$C$3,9,0)),Einstellungen!$F$13:$F$32)))</f>
        <v/>
      </c>
      <c r="T162" s="49">
        <f>IF(OR(A162="",D162=""),0,MAX(0,NETWORKDAYS(MAX(D162,DATE(Einstellungen!$C$3,9,1)),MIN(J162,DATE(Einstellungen!$C$3,10,0)),Einstellungen!$F$13:$F$32)))</f>
        <v/>
      </c>
      <c r="U162" s="49">
        <f>IF(OR(A162="",D162=""),0,MAX(0,NETWORKDAYS(MAX(D162,DATE(Einstellungen!$C$3,10,1)),MIN(J162,DATE(Einstellungen!$C$3,11,0)),Einstellungen!$F$13:$F$32)))</f>
        <v/>
      </c>
      <c r="V162" s="49">
        <f>IF(OR(A162="",D162=""),0,MAX(0,NETWORKDAYS(MAX(D162,DATE(Einstellungen!$C$3,11,1)),MIN(J162,DATE(Einstellungen!$C$3,12,0)),Einstellungen!$F$13:$F$32)))</f>
        <v/>
      </c>
      <c r="W162" s="49">
        <f>IF(OR(A162="",D162=""),0,MAX(0,NETWORKDAYS(MAX(D162,DATE(Einstellungen!$C$3,12,1)),MIN(J162,DATE(Einstellungen!$C$3,13,0)),Einstellungen!$F$13:$F$32)))</f>
        <v/>
      </c>
      <c r="X162" s="50">
        <f>L162*K162</f>
        <v/>
      </c>
      <c r="Y162" s="50">
        <f>M162*K162</f>
        <v/>
      </c>
      <c r="Z162" s="50">
        <f>N162*K162</f>
        <v/>
      </c>
      <c r="AA162" s="50">
        <f>O162*K162</f>
        <v/>
      </c>
      <c r="AB162" s="50">
        <f>P162*K162</f>
        <v/>
      </c>
      <c r="AC162" s="50">
        <f>Q162*K162</f>
        <v/>
      </c>
      <c r="AD162" s="50">
        <f>R162*K162</f>
        <v/>
      </c>
      <c r="AE162" s="50">
        <f>S162*K162</f>
        <v/>
      </c>
      <c r="AF162" s="50">
        <f>T162*K162</f>
        <v/>
      </c>
      <c r="AG162" s="50">
        <f>U162*K162</f>
        <v/>
      </c>
      <c r="AH162" s="50">
        <f>V162*K162</f>
        <v/>
      </c>
      <c r="AI162" s="50">
        <f>W162*K162</f>
        <v/>
      </c>
    </row>
    <row r="163">
      <c r="A163" s="25" t="n"/>
      <c r="B163" s="45">
        <f>IF(A163="","",IFERROR(INDEX(Mitarbeiter!$B$6:$B$205,MATCH($A163,Mitarbeiter!$A$6:$A$205,0)),"?"))</f>
        <v/>
      </c>
      <c r="C163" s="46" t="n"/>
      <c r="D163" s="26" t="n"/>
      <c r="E163" s="26" t="n"/>
      <c r="F163" s="24">
        <f>IF(A163="","",SUM(L163:W163))</f>
        <v/>
      </c>
      <c r="G163" s="36">
        <f>IF(A163="","",SUM(X163:AI163))</f>
        <v/>
      </c>
      <c r="H163" s="8">
        <f>IF(A163="","",IF(ISNA(MATCH(A163,Mitarbeiter!$A$6:$A$205,0)),"Pers.-Nr. unbekannt",IF(D163="","Von fehlt",IF(AND(C163&lt;&gt;Einstellungen!$C$4,C163&lt;&gt;Einstellungen!$C$5),"Objekt fehlt",IF(J163&lt;D163,"Bis vor Von",IF(D163&lt;INDEX(Mitarbeiter!$C$6:$C$205,MATCH($A163,Mitarbeiter!$A$6:$A$205,0)),"vor Eintritt",IF(AND(INDEX(Mitarbeiter!$D$6:$D$205,MATCH($A163,Mitarbeiter!$A$6:$A$205,0))&lt;&gt;"",D163&gt;INDEX(Mitarbeiter!$D$6:$D$205,MATCH($A163,Mitarbeiter!$A$6:$A$205,0))),"nach Austritt",IF(E163="","offen","ok"))))))))</f>
        <v/>
      </c>
      <c r="J163" s="47">
        <f>IF(A163="","",IF(E163="",Einstellungen!$C$9,E163))</f>
        <v/>
      </c>
      <c r="K163" s="48">
        <f>IF(A163="",0,IFERROR(INDEX(Mitarbeiter!$F$6:$F$205,MATCH($A163,Mitarbeiter!$A$6:$A$205,0)),0))</f>
        <v/>
      </c>
      <c r="L163" s="49">
        <f>IF(OR(A163="",D163=""),0,MAX(0,NETWORKDAYS(MAX(D163,DATE(Einstellungen!$C$3,1,1)),MIN(J163,DATE(Einstellungen!$C$3,2,0)),Einstellungen!$F$13:$F$32)))</f>
        <v/>
      </c>
      <c r="M163" s="49">
        <f>IF(OR(A163="",D163=""),0,MAX(0,NETWORKDAYS(MAX(D163,DATE(Einstellungen!$C$3,2,1)),MIN(J163,DATE(Einstellungen!$C$3,3,0)),Einstellungen!$F$13:$F$32)))</f>
        <v/>
      </c>
      <c r="N163" s="49">
        <f>IF(OR(A163="",D163=""),0,MAX(0,NETWORKDAYS(MAX(D163,DATE(Einstellungen!$C$3,3,1)),MIN(J163,DATE(Einstellungen!$C$3,4,0)),Einstellungen!$F$13:$F$32)))</f>
        <v/>
      </c>
      <c r="O163" s="49">
        <f>IF(OR(A163="",D163=""),0,MAX(0,NETWORKDAYS(MAX(D163,DATE(Einstellungen!$C$3,4,1)),MIN(J163,DATE(Einstellungen!$C$3,5,0)),Einstellungen!$F$13:$F$32)))</f>
        <v/>
      </c>
      <c r="P163" s="49">
        <f>IF(OR(A163="",D163=""),0,MAX(0,NETWORKDAYS(MAX(D163,DATE(Einstellungen!$C$3,5,1)),MIN(J163,DATE(Einstellungen!$C$3,6,0)),Einstellungen!$F$13:$F$32)))</f>
        <v/>
      </c>
      <c r="Q163" s="49">
        <f>IF(OR(A163="",D163=""),0,MAX(0,NETWORKDAYS(MAX(D163,DATE(Einstellungen!$C$3,6,1)),MIN(J163,DATE(Einstellungen!$C$3,7,0)),Einstellungen!$F$13:$F$32)))</f>
        <v/>
      </c>
      <c r="R163" s="49">
        <f>IF(OR(A163="",D163=""),0,MAX(0,NETWORKDAYS(MAX(D163,DATE(Einstellungen!$C$3,7,1)),MIN(J163,DATE(Einstellungen!$C$3,8,0)),Einstellungen!$F$13:$F$32)))</f>
        <v/>
      </c>
      <c r="S163" s="49">
        <f>IF(OR(A163="",D163=""),0,MAX(0,NETWORKDAYS(MAX(D163,DATE(Einstellungen!$C$3,8,1)),MIN(J163,DATE(Einstellungen!$C$3,9,0)),Einstellungen!$F$13:$F$32)))</f>
        <v/>
      </c>
      <c r="T163" s="49">
        <f>IF(OR(A163="",D163=""),0,MAX(0,NETWORKDAYS(MAX(D163,DATE(Einstellungen!$C$3,9,1)),MIN(J163,DATE(Einstellungen!$C$3,10,0)),Einstellungen!$F$13:$F$32)))</f>
        <v/>
      </c>
      <c r="U163" s="49">
        <f>IF(OR(A163="",D163=""),0,MAX(0,NETWORKDAYS(MAX(D163,DATE(Einstellungen!$C$3,10,1)),MIN(J163,DATE(Einstellungen!$C$3,11,0)),Einstellungen!$F$13:$F$32)))</f>
        <v/>
      </c>
      <c r="V163" s="49">
        <f>IF(OR(A163="",D163=""),0,MAX(0,NETWORKDAYS(MAX(D163,DATE(Einstellungen!$C$3,11,1)),MIN(J163,DATE(Einstellungen!$C$3,12,0)),Einstellungen!$F$13:$F$32)))</f>
        <v/>
      </c>
      <c r="W163" s="49">
        <f>IF(OR(A163="",D163=""),0,MAX(0,NETWORKDAYS(MAX(D163,DATE(Einstellungen!$C$3,12,1)),MIN(J163,DATE(Einstellungen!$C$3,13,0)),Einstellungen!$F$13:$F$32)))</f>
        <v/>
      </c>
      <c r="X163" s="50">
        <f>L163*K163</f>
        <v/>
      </c>
      <c r="Y163" s="50">
        <f>M163*K163</f>
        <v/>
      </c>
      <c r="Z163" s="50">
        <f>N163*K163</f>
        <v/>
      </c>
      <c r="AA163" s="50">
        <f>O163*K163</f>
        <v/>
      </c>
      <c r="AB163" s="50">
        <f>P163*K163</f>
        <v/>
      </c>
      <c r="AC163" s="50">
        <f>Q163*K163</f>
        <v/>
      </c>
      <c r="AD163" s="50">
        <f>R163*K163</f>
        <v/>
      </c>
      <c r="AE163" s="50">
        <f>S163*K163</f>
        <v/>
      </c>
      <c r="AF163" s="50">
        <f>T163*K163</f>
        <v/>
      </c>
      <c r="AG163" s="50">
        <f>U163*K163</f>
        <v/>
      </c>
      <c r="AH163" s="50">
        <f>V163*K163</f>
        <v/>
      </c>
      <c r="AI163" s="50">
        <f>W163*K163</f>
        <v/>
      </c>
    </row>
    <row r="164">
      <c r="A164" s="25" t="n"/>
      <c r="B164" s="45">
        <f>IF(A164="","",IFERROR(INDEX(Mitarbeiter!$B$6:$B$205,MATCH($A164,Mitarbeiter!$A$6:$A$205,0)),"?"))</f>
        <v/>
      </c>
      <c r="C164" s="46" t="n"/>
      <c r="D164" s="26" t="n"/>
      <c r="E164" s="26" t="n"/>
      <c r="F164" s="24">
        <f>IF(A164="","",SUM(L164:W164))</f>
        <v/>
      </c>
      <c r="G164" s="36">
        <f>IF(A164="","",SUM(X164:AI164))</f>
        <v/>
      </c>
      <c r="H164" s="8">
        <f>IF(A164="","",IF(ISNA(MATCH(A164,Mitarbeiter!$A$6:$A$205,0)),"Pers.-Nr. unbekannt",IF(D164="","Von fehlt",IF(AND(C164&lt;&gt;Einstellungen!$C$4,C164&lt;&gt;Einstellungen!$C$5),"Objekt fehlt",IF(J164&lt;D164,"Bis vor Von",IF(D164&lt;INDEX(Mitarbeiter!$C$6:$C$205,MATCH($A164,Mitarbeiter!$A$6:$A$205,0)),"vor Eintritt",IF(AND(INDEX(Mitarbeiter!$D$6:$D$205,MATCH($A164,Mitarbeiter!$A$6:$A$205,0))&lt;&gt;"",D164&gt;INDEX(Mitarbeiter!$D$6:$D$205,MATCH($A164,Mitarbeiter!$A$6:$A$205,0))),"nach Austritt",IF(E164="","offen","ok"))))))))</f>
        <v/>
      </c>
      <c r="J164" s="47">
        <f>IF(A164="","",IF(E164="",Einstellungen!$C$9,E164))</f>
        <v/>
      </c>
      <c r="K164" s="48">
        <f>IF(A164="",0,IFERROR(INDEX(Mitarbeiter!$F$6:$F$205,MATCH($A164,Mitarbeiter!$A$6:$A$205,0)),0))</f>
        <v/>
      </c>
      <c r="L164" s="49">
        <f>IF(OR(A164="",D164=""),0,MAX(0,NETWORKDAYS(MAX(D164,DATE(Einstellungen!$C$3,1,1)),MIN(J164,DATE(Einstellungen!$C$3,2,0)),Einstellungen!$F$13:$F$32)))</f>
        <v/>
      </c>
      <c r="M164" s="49">
        <f>IF(OR(A164="",D164=""),0,MAX(0,NETWORKDAYS(MAX(D164,DATE(Einstellungen!$C$3,2,1)),MIN(J164,DATE(Einstellungen!$C$3,3,0)),Einstellungen!$F$13:$F$32)))</f>
        <v/>
      </c>
      <c r="N164" s="49">
        <f>IF(OR(A164="",D164=""),0,MAX(0,NETWORKDAYS(MAX(D164,DATE(Einstellungen!$C$3,3,1)),MIN(J164,DATE(Einstellungen!$C$3,4,0)),Einstellungen!$F$13:$F$32)))</f>
        <v/>
      </c>
      <c r="O164" s="49">
        <f>IF(OR(A164="",D164=""),0,MAX(0,NETWORKDAYS(MAX(D164,DATE(Einstellungen!$C$3,4,1)),MIN(J164,DATE(Einstellungen!$C$3,5,0)),Einstellungen!$F$13:$F$32)))</f>
        <v/>
      </c>
      <c r="P164" s="49">
        <f>IF(OR(A164="",D164=""),0,MAX(0,NETWORKDAYS(MAX(D164,DATE(Einstellungen!$C$3,5,1)),MIN(J164,DATE(Einstellungen!$C$3,6,0)),Einstellungen!$F$13:$F$32)))</f>
        <v/>
      </c>
      <c r="Q164" s="49">
        <f>IF(OR(A164="",D164=""),0,MAX(0,NETWORKDAYS(MAX(D164,DATE(Einstellungen!$C$3,6,1)),MIN(J164,DATE(Einstellungen!$C$3,7,0)),Einstellungen!$F$13:$F$32)))</f>
        <v/>
      </c>
      <c r="R164" s="49">
        <f>IF(OR(A164="",D164=""),0,MAX(0,NETWORKDAYS(MAX(D164,DATE(Einstellungen!$C$3,7,1)),MIN(J164,DATE(Einstellungen!$C$3,8,0)),Einstellungen!$F$13:$F$32)))</f>
        <v/>
      </c>
      <c r="S164" s="49">
        <f>IF(OR(A164="",D164=""),0,MAX(0,NETWORKDAYS(MAX(D164,DATE(Einstellungen!$C$3,8,1)),MIN(J164,DATE(Einstellungen!$C$3,9,0)),Einstellungen!$F$13:$F$32)))</f>
        <v/>
      </c>
      <c r="T164" s="49">
        <f>IF(OR(A164="",D164=""),0,MAX(0,NETWORKDAYS(MAX(D164,DATE(Einstellungen!$C$3,9,1)),MIN(J164,DATE(Einstellungen!$C$3,10,0)),Einstellungen!$F$13:$F$32)))</f>
        <v/>
      </c>
      <c r="U164" s="49">
        <f>IF(OR(A164="",D164=""),0,MAX(0,NETWORKDAYS(MAX(D164,DATE(Einstellungen!$C$3,10,1)),MIN(J164,DATE(Einstellungen!$C$3,11,0)),Einstellungen!$F$13:$F$32)))</f>
        <v/>
      </c>
      <c r="V164" s="49">
        <f>IF(OR(A164="",D164=""),0,MAX(0,NETWORKDAYS(MAX(D164,DATE(Einstellungen!$C$3,11,1)),MIN(J164,DATE(Einstellungen!$C$3,12,0)),Einstellungen!$F$13:$F$32)))</f>
        <v/>
      </c>
      <c r="W164" s="49">
        <f>IF(OR(A164="",D164=""),0,MAX(0,NETWORKDAYS(MAX(D164,DATE(Einstellungen!$C$3,12,1)),MIN(J164,DATE(Einstellungen!$C$3,13,0)),Einstellungen!$F$13:$F$32)))</f>
        <v/>
      </c>
      <c r="X164" s="50">
        <f>L164*K164</f>
        <v/>
      </c>
      <c r="Y164" s="50">
        <f>M164*K164</f>
        <v/>
      </c>
      <c r="Z164" s="50">
        <f>N164*K164</f>
        <v/>
      </c>
      <c r="AA164" s="50">
        <f>O164*K164</f>
        <v/>
      </c>
      <c r="AB164" s="50">
        <f>P164*K164</f>
        <v/>
      </c>
      <c r="AC164" s="50">
        <f>Q164*K164</f>
        <v/>
      </c>
      <c r="AD164" s="50">
        <f>R164*K164</f>
        <v/>
      </c>
      <c r="AE164" s="50">
        <f>S164*K164</f>
        <v/>
      </c>
      <c r="AF164" s="50">
        <f>T164*K164</f>
        <v/>
      </c>
      <c r="AG164" s="50">
        <f>U164*K164</f>
        <v/>
      </c>
      <c r="AH164" s="50">
        <f>V164*K164</f>
        <v/>
      </c>
      <c r="AI164" s="50">
        <f>W164*K164</f>
        <v/>
      </c>
    </row>
    <row r="165">
      <c r="A165" s="25" t="n"/>
      <c r="B165" s="45">
        <f>IF(A165="","",IFERROR(INDEX(Mitarbeiter!$B$6:$B$205,MATCH($A165,Mitarbeiter!$A$6:$A$205,0)),"?"))</f>
        <v/>
      </c>
      <c r="C165" s="46" t="n"/>
      <c r="D165" s="26" t="n"/>
      <c r="E165" s="26" t="n"/>
      <c r="F165" s="24">
        <f>IF(A165="","",SUM(L165:W165))</f>
        <v/>
      </c>
      <c r="G165" s="36">
        <f>IF(A165="","",SUM(X165:AI165))</f>
        <v/>
      </c>
      <c r="H165" s="8">
        <f>IF(A165="","",IF(ISNA(MATCH(A165,Mitarbeiter!$A$6:$A$205,0)),"Pers.-Nr. unbekannt",IF(D165="","Von fehlt",IF(AND(C165&lt;&gt;Einstellungen!$C$4,C165&lt;&gt;Einstellungen!$C$5),"Objekt fehlt",IF(J165&lt;D165,"Bis vor Von",IF(D165&lt;INDEX(Mitarbeiter!$C$6:$C$205,MATCH($A165,Mitarbeiter!$A$6:$A$205,0)),"vor Eintritt",IF(AND(INDEX(Mitarbeiter!$D$6:$D$205,MATCH($A165,Mitarbeiter!$A$6:$A$205,0))&lt;&gt;"",D165&gt;INDEX(Mitarbeiter!$D$6:$D$205,MATCH($A165,Mitarbeiter!$A$6:$A$205,0))),"nach Austritt",IF(E165="","offen","ok"))))))))</f>
        <v/>
      </c>
      <c r="J165" s="47">
        <f>IF(A165="","",IF(E165="",Einstellungen!$C$9,E165))</f>
        <v/>
      </c>
      <c r="K165" s="48">
        <f>IF(A165="",0,IFERROR(INDEX(Mitarbeiter!$F$6:$F$205,MATCH($A165,Mitarbeiter!$A$6:$A$205,0)),0))</f>
        <v/>
      </c>
      <c r="L165" s="49">
        <f>IF(OR(A165="",D165=""),0,MAX(0,NETWORKDAYS(MAX(D165,DATE(Einstellungen!$C$3,1,1)),MIN(J165,DATE(Einstellungen!$C$3,2,0)),Einstellungen!$F$13:$F$32)))</f>
        <v/>
      </c>
      <c r="M165" s="49">
        <f>IF(OR(A165="",D165=""),0,MAX(0,NETWORKDAYS(MAX(D165,DATE(Einstellungen!$C$3,2,1)),MIN(J165,DATE(Einstellungen!$C$3,3,0)),Einstellungen!$F$13:$F$32)))</f>
        <v/>
      </c>
      <c r="N165" s="49">
        <f>IF(OR(A165="",D165=""),0,MAX(0,NETWORKDAYS(MAX(D165,DATE(Einstellungen!$C$3,3,1)),MIN(J165,DATE(Einstellungen!$C$3,4,0)),Einstellungen!$F$13:$F$32)))</f>
        <v/>
      </c>
      <c r="O165" s="49">
        <f>IF(OR(A165="",D165=""),0,MAX(0,NETWORKDAYS(MAX(D165,DATE(Einstellungen!$C$3,4,1)),MIN(J165,DATE(Einstellungen!$C$3,5,0)),Einstellungen!$F$13:$F$32)))</f>
        <v/>
      </c>
      <c r="P165" s="49">
        <f>IF(OR(A165="",D165=""),0,MAX(0,NETWORKDAYS(MAX(D165,DATE(Einstellungen!$C$3,5,1)),MIN(J165,DATE(Einstellungen!$C$3,6,0)),Einstellungen!$F$13:$F$32)))</f>
        <v/>
      </c>
      <c r="Q165" s="49">
        <f>IF(OR(A165="",D165=""),0,MAX(0,NETWORKDAYS(MAX(D165,DATE(Einstellungen!$C$3,6,1)),MIN(J165,DATE(Einstellungen!$C$3,7,0)),Einstellungen!$F$13:$F$32)))</f>
        <v/>
      </c>
      <c r="R165" s="49">
        <f>IF(OR(A165="",D165=""),0,MAX(0,NETWORKDAYS(MAX(D165,DATE(Einstellungen!$C$3,7,1)),MIN(J165,DATE(Einstellungen!$C$3,8,0)),Einstellungen!$F$13:$F$32)))</f>
        <v/>
      </c>
      <c r="S165" s="49">
        <f>IF(OR(A165="",D165=""),0,MAX(0,NETWORKDAYS(MAX(D165,DATE(Einstellungen!$C$3,8,1)),MIN(J165,DATE(Einstellungen!$C$3,9,0)),Einstellungen!$F$13:$F$32)))</f>
        <v/>
      </c>
      <c r="T165" s="49">
        <f>IF(OR(A165="",D165=""),0,MAX(0,NETWORKDAYS(MAX(D165,DATE(Einstellungen!$C$3,9,1)),MIN(J165,DATE(Einstellungen!$C$3,10,0)),Einstellungen!$F$13:$F$32)))</f>
        <v/>
      </c>
      <c r="U165" s="49">
        <f>IF(OR(A165="",D165=""),0,MAX(0,NETWORKDAYS(MAX(D165,DATE(Einstellungen!$C$3,10,1)),MIN(J165,DATE(Einstellungen!$C$3,11,0)),Einstellungen!$F$13:$F$32)))</f>
        <v/>
      </c>
      <c r="V165" s="49">
        <f>IF(OR(A165="",D165=""),0,MAX(0,NETWORKDAYS(MAX(D165,DATE(Einstellungen!$C$3,11,1)),MIN(J165,DATE(Einstellungen!$C$3,12,0)),Einstellungen!$F$13:$F$32)))</f>
        <v/>
      </c>
      <c r="W165" s="49">
        <f>IF(OR(A165="",D165=""),0,MAX(0,NETWORKDAYS(MAX(D165,DATE(Einstellungen!$C$3,12,1)),MIN(J165,DATE(Einstellungen!$C$3,13,0)),Einstellungen!$F$13:$F$32)))</f>
        <v/>
      </c>
      <c r="X165" s="50">
        <f>L165*K165</f>
        <v/>
      </c>
      <c r="Y165" s="50">
        <f>M165*K165</f>
        <v/>
      </c>
      <c r="Z165" s="50">
        <f>N165*K165</f>
        <v/>
      </c>
      <c r="AA165" s="50">
        <f>O165*K165</f>
        <v/>
      </c>
      <c r="AB165" s="50">
        <f>P165*K165</f>
        <v/>
      </c>
      <c r="AC165" s="50">
        <f>Q165*K165</f>
        <v/>
      </c>
      <c r="AD165" s="50">
        <f>R165*K165</f>
        <v/>
      </c>
      <c r="AE165" s="50">
        <f>S165*K165</f>
        <v/>
      </c>
      <c r="AF165" s="50">
        <f>T165*K165</f>
        <v/>
      </c>
      <c r="AG165" s="50">
        <f>U165*K165</f>
        <v/>
      </c>
      <c r="AH165" s="50">
        <f>V165*K165</f>
        <v/>
      </c>
      <c r="AI165" s="50">
        <f>W165*K165</f>
        <v/>
      </c>
    </row>
    <row r="166">
      <c r="A166" s="25" t="n"/>
      <c r="B166" s="45">
        <f>IF(A166="","",IFERROR(INDEX(Mitarbeiter!$B$6:$B$205,MATCH($A166,Mitarbeiter!$A$6:$A$205,0)),"?"))</f>
        <v/>
      </c>
      <c r="C166" s="46" t="n"/>
      <c r="D166" s="26" t="n"/>
      <c r="E166" s="26" t="n"/>
      <c r="F166" s="24">
        <f>IF(A166="","",SUM(L166:W166))</f>
        <v/>
      </c>
      <c r="G166" s="36">
        <f>IF(A166="","",SUM(X166:AI166))</f>
        <v/>
      </c>
      <c r="H166" s="8">
        <f>IF(A166="","",IF(ISNA(MATCH(A166,Mitarbeiter!$A$6:$A$205,0)),"Pers.-Nr. unbekannt",IF(D166="","Von fehlt",IF(AND(C166&lt;&gt;Einstellungen!$C$4,C166&lt;&gt;Einstellungen!$C$5),"Objekt fehlt",IF(J166&lt;D166,"Bis vor Von",IF(D166&lt;INDEX(Mitarbeiter!$C$6:$C$205,MATCH($A166,Mitarbeiter!$A$6:$A$205,0)),"vor Eintritt",IF(AND(INDEX(Mitarbeiter!$D$6:$D$205,MATCH($A166,Mitarbeiter!$A$6:$A$205,0))&lt;&gt;"",D166&gt;INDEX(Mitarbeiter!$D$6:$D$205,MATCH($A166,Mitarbeiter!$A$6:$A$205,0))),"nach Austritt",IF(E166="","offen","ok"))))))))</f>
        <v/>
      </c>
      <c r="J166" s="47">
        <f>IF(A166="","",IF(E166="",Einstellungen!$C$9,E166))</f>
        <v/>
      </c>
      <c r="K166" s="48">
        <f>IF(A166="",0,IFERROR(INDEX(Mitarbeiter!$F$6:$F$205,MATCH($A166,Mitarbeiter!$A$6:$A$205,0)),0))</f>
        <v/>
      </c>
      <c r="L166" s="49">
        <f>IF(OR(A166="",D166=""),0,MAX(0,NETWORKDAYS(MAX(D166,DATE(Einstellungen!$C$3,1,1)),MIN(J166,DATE(Einstellungen!$C$3,2,0)),Einstellungen!$F$13:$F$32)))</f>
        <v/>
      </c>
      <c r="M166" s="49">
        <f>IF(OR(A166="",D166=""),0,MAX(0,NETWORKDAYS(MAX(D166,DATE(Einstellungen!$C$3,2,1)),MIN(J166,DATE(Einstellungen!$C$3,3,0)),Einstellungen!$F$13:$F$32)))</f>
        <v/>
      </c>
      <c r="N166" s="49">
        <f>IF(OR(A166="",D166=""),0,MAX(0,NETWORKDAYS(MAX(D166,DATE(Einstellungen!$C$3,3,1)),MIN(J166,DATE(Einstellungen!$C$3,4,0)),Einstellungen!$F$13:$F$32)))</f>
        <v/>
      </c>
      <c r="O166" s="49">
        <f>IF(OR(A166="",D166=""),0,MAX(0,NETWORKDAYS(MAX(D166,DATE(Einstellungen!$C$3,4,1)),MIN(J166,DATE(Einstellungen!$C$3,5,0)),Einstellungen!$F$13:$F$32)))</f>
        <v/>
      </c>
      <c r="P166" s="49">
        <f>IF(OR(A166="",D166=""),0,MAX(0,NETWORKDAYS(MAX(D166,DATE(Einstellungen!$C$3,5,1)),MIN(J166,DATE(Einstellungen!$C$3,6,0)),Einstellungen!$F$13:$F$32)))</f>
        <v/>
      </c>
      <c r="Q166" s="49">
        <f>IF(OR(A166="",D166=""),0,MAX(0,NETWORKDAYS(MAX(D166,DATE(Einstellungen!$C$3,6,1)),MIN(J166,DATE(Einstellungen!$C$3,7,0)),Einstellungen!$F$13:$F$32)))</f>
        <v/>
      </c>
      <c r="R166" s="49">
        <f>IF(OR(A166="",D166=""),0,MAX(0,NETWORKDAYS(MAX(D166,DATE(Einstellungen!$C$3,7,1)),MIN(J166,DATE(Einstellungen!$C$3,8,0)),Einstellungen!$F$13:$F$32)))</f>
        <v/>
      </c>
      <c r="S166" s="49">
        <f>IF(OR(A166="",D166=""),0,MAX(0,NETWORKDAYS(MAX(D166,DATE(Einstellungen!$C$3,8,1)),MIN(J166,DATE(Einstellungen!$C$3,9,0)),Einstellungen!$F$13:$F$32)))</f>
        <v/>
      </c>
      <c r="T166" s="49">
        <f>IF(OR(A166="",D166=""),0,MAX(0,NETWORKDAYS(MAX(D166,DATE(Einstellungen!$C$3,9,1)),MIN(J166,DATE(Einstellungen!$C$3,10,0)),Einstellungen!$F$13:$F$32)))</f>
        <v/>
      </c>
      <c r="U166" s="49">
        <f>IF(OR(A166="",D166=""),0,MAX(0,NETWORKDAYS(MAX(D166,DATE(Einstellungen!$C$3,10,1)),MIN(J166,DATE(Einstellungen!$C$3,11,0)),Einstellungen!$F$13:$F$32)))</f>
        <v/>
      </c>
      <c r="V166" s="49">
        <f>IF(OR(A166="",D166=""),0,MAX(0,NETWORKDAYS(MAX(D166,DATE(Einstellungen!$C$3,11,1)),MIN(J166,DATE(Einstellungen!$C$3,12,0)),Einstellungen!$F$13:$F$32)))</f>
        <v/>
      </c>
      <c r="W166" s="49">
        <f>IF(OR(A166="",D166=""),0,MAX(0,NETWORKDAYS(MAX(D166,DATE(Einstellungen!$C$3,12,1)),MIN(J166,DATE(Einstellungen!$C$3,13,0)),Einstellungen!$F$13:$F$32)))</f>
        <v/>
      </c>
      <c r="X166" s="50">
        <f>L166*K166</f>
        <v/>
      </c>
      <c r="Y166" s="50">
        <f>M166*K166</f>
        <v/>
      </c>
      <c r="Z166" s="50">
        <f>N166*K166</f>
        <v/>
      </c>
      <c r="AA166" s="50">
        <f>O166*K166</f>
        <v/>
      </c>
      <c r="AB166" s="50">
        <f>P166*K166</f>
        <v/>
      </c>
      <c r="AC166" s="50">
        <f>Q166*K166</f>
        <v/>
      </c>
      <c r="AD166" s="50">
        <f>R166*K166</f>
        <v/>
      </c>
      <c r="AE166" s="50">
        <f>S166*K166</f>
        <v/>
      </c>
      <c r="AF166" s="50">
        <f>T166*K166</f>
        <v/>
      </c>
      <c r="AG166" s="50">
        <f>U166*K166</f>
        <v/>
      </c>
      <c r="AH166" s="50">
        <f>V166*K166</f>
        <v/>
      </c>
      <c r="AI166" s="50">
        <f>W166*K166</f>
        <v/>
      </c>
    </row>
    <row r="167">
      <c r="A167" s="25" t="n"/>
      <c r="B167" s="45">
        <f>IF(A167="","",IFERROR(INDEX(Mitarbeiter!$B$6:$B$205,MATCH($A167,Mitarbeiter!$A$6:$A$205,0)),"?"))</f>
        <v/>
      </c>
      <c r="C167" s="46" t="n"/>
      <c r="D167" s="26" t="n"/>
      <c r="E167" s="26" t="n"/>
      <c r="F167" s="24">
        <f>IF(A167="","",SUM(L167:W167))</f>
        <v/>
      </c>
      <c r="G167" s="36">
        <f>IF(A167="","",SUM(X167:AI167))</f>
        <v/>
      </c>
      <c r="H167" s="8">
        <f>IF(A167="","",IF(ISNA(MATCH(A167,Mitarbeiter!$A$6:$A$205,0)),"Pers.-Nr. unbekannt",IF(D167="","Von fehlt",IF(AND(C167&lt;&gt;Einstellungen!$C$4,C167&lt;&gt;Einstellungen!$C$5),"Objekt fehlt",IF(J167&lt;D167,"Bis vor Von",IF(D167&lt;INDEX(Mitarbeiter!$C$6:$C$205,MATCH($A167,Mitarbeiter!$A$6:$A$205,0)),"vor Eintritt",IF(AND(INDEX(Mitarbeiter!$D$6:$D$205,MATCH($A167,Mitarbeiter!$A$6:$A$205,0))&lt;&gt;"",D167&gt;INDEX(Mitarbeiter!$D$6:$D$205,MATCH($A167,Mitarbeiter!$A$6:$A$205,0))),"nach Austritt",IF(E167="","offen","ok"))))))))</f>
        <v/>
      </c>
      <c r="J167" s="47">
        <f>IF(A167="","",IF(E167="",Einstellungen!$C$9,E167))</f>
        <v/>
      </c>
      <c r="K167" s="48">
        <f>IF(A167="",0,IFERROR(INDEX(Mitarbeiter!$F$6:$F$205,MATCH($A167,Mitarbeiter!$A$6:$A$205,0)),0))</f>
        <v/>
      </c>
      <c r="L167" s="49">
        <f>IF(OR(A167="",D167=""),0,MAX(0,NETWORKDAYS(MAX(D167,DATE(Einstellungen!$C$3,1,1)),MIN(J167,DATE(Einstellungen!$C$3,2,0)),Einstellungen!$F$13:$F$32)))</f>
        <v/>
      </c>
      <c r="M167" s="49">
        <f>IF(OR(A167="",D167=""),0,MAX(0,NETWORKDAYS(MAX(D167,DATE(Einstellungen!$C$3,2,1)),MIN(J167,DATE(Einstellungen!$C$3,3,0)),Einstellungen!$F$13:$F$32)))</f>
        <v/>
      </c>
      <c r="N167" s="49">
        <f>IF(OR(A167="",D167=""),0,MAX(0,NETWORKDAYS(MAX(D167,DATE(Einstellungen!$C$3,3,1)),MIN(J167,DATE(Einstellungen!$C$3,4,0)),Einstellungen!$F$13:$F$32)))</f>
        <v/>
      </c>
      <c r="O167" s="49">
        <f>IF(OR(A167="",D167=""),0,MAX(0,NETWORKDAYS(MAX(D167,DATE(Einstellungen!$C$3,4,1)),MIN(J167,DATE(Einstellungen!$C$3,5,0)),Einstellungen!$F$13:$F$32)))</f>
        <v/>
      </c>
      <c r="P167" s="49">
        <f>IF(OR(A167="",D167=""),0,MAX(0,NETWORKDAYS(MAX(D167,DATE(Einstellungen!$C$3,5,1)),MIN(J167,DATE(Einstellungen!$C$3,6,0)),Einstellungen!$F$13:$F$32)))</f>
        <v/>
      </c>
      <c r="Q167" s="49">
        <f>IF(OR(A167="",D167=""),0,MAX(0,NETWORKDAYS(MAX(D167,DATE(Einstellungen!$C$3,6,1)),MIN(J167,DATE(Einstellungen!$C$3,7,0)),Einstellungen!$F$13:$F$32)))</f>
        <v/>
      </c>
      <c r="R167" s="49">
        <f>IF(OR(A167="",D167=""),0,MAX(0,NETWORKDAYS(MAX(D167,DATE(Einstellungen!$C$3,7,1)),MIN(J167,DATE(Einstellungen!$C$3,8,0)),Einstellungen!$F$13:$F$32)))</f>
        <v/>
      </c>
      <c r="S167" s="49">
        <f>IF(OR(A167="",D167=""),0,MAX(0,NETWORKDAYS(MAX(D167,DATE(Einstellungen!$C$3,8,1)),MIN(J167,DATE(Einstellungen!$C$3,9,0)),Einstellungen!$F$13:$F$32)))</f>
        <v/>
      </c>
      <c r="T167" s="49">
        <f>IF(OR(A167="",D167=""),0,MAX(0,NETWORKDAYS(MAX(D167,DATE(Einstellungen!$C$3,9,1)),MIN(J167,DATE(Einstellungen!$C$3,10,0)),Einstellungen!$F$13:$F$32)))</f>
        <v/>
      </c>
      <c r="U167" s="49">
        <f>IF(OR(A167="",D167=""),0,MAX(0,NETWORKDAYS(MAX(D167,DATE(Einstellungen!$C$3,10,1)),MIN(J167,DATE(Einstellungen!$C$3,11,0)),Einstellungen!$F$13:$F$32)))</f>
        <v/>
      </c>
      <c r="V167" s="49">
        <f>IF(OR(A167="",D167=""),0,MAX(0,NETWORKDAYS(MAX(D167,DATE(Einstellungen!$C$3,11,1)),MIN(J167,DATE(Einstellungen!$C$3,12,0)),Einstellungen!$F$13:$F$32)))</f>
        <v/>
      </c>
      <c r="W167" s="49">
        <f>IF(OR(A167="",D167=""),0,MAX(0,NETWORKDAYS(MAX(D167,DATE(Einstellungen!$C$3,12,1)),MIN(J167,DATE(Einstellungen!$C$3,13,0)),Einstellungen!$F$13:$F$32)))</f>
        <v/>
      </c>
      <c r="X167" s="50">
        <f>L167*K167</f>
        <v/>
      </c>
      <c r="Y167" s="50">
        <f>M167*K167</f>
        <v/>
      </c>
      <c r="Z167" s="50">
        <f>N167*K167</f>
        <v/>
      </c>
      <c r="AA167" s="50">
        <f>O167*K167</f>
        <v/>
      </c>
      <c r="AB167" s="50">
        <f>P167*K167</f>
        <v/>
      </c>
      <c r="AC167" s="50">
        <f>Q167*K167</f>
        <v/>
      </c>
      <c r="AD167" s="50">
        <f>R167*K167</f>
        <v/>
      </c>
      <c r="AE167" s="50">
        <f>S167*K167</f>
        <v/>
      </c>
      <c r="AF167" s="50">
        <f>T167*K167</f>
        <v/>
      </c>
      <c r="AG167" s="50">
        <f>U167*K167</f>
        <v/>
      </c>
      <c r="AH167" s="50">
        <f>V167*K167</f>
        <v/>
      </c>
      <c r="AI167" s="50">
        <f>W167*K167</f>
        <v/>
      </c>
    </row>
    <row r="168">
      <c r="A168" s="25" t="n"/>
      <c r="B168" s="45">
        <f>IF(A168="","",IFERROR(INDEX(Mitarbeiter!$B$6:$B$205,MATCH($A168,Mitarbeiter!$A$6:$A$205,0)),"?"))</f>
        <v/>
      </c>
      <c r="C168" s="46" t="n"/>
      <c r="D168" s="26" t="n"/>
      <c r="E168" s="26" t="n"/>
      <c r="F168" s="24">
        <f>IF(A168="","",SUM(L168:W168))</f>
        <v/>
      </c>
      <c r="G168" s="36">
        <f>IF(A168="","",SUM(X168:AI168))</f>
        <v/>
      </c>
      <c r="H168" s="8">
        <f>IF(A168="","",IF(ISNA(MATCH(A168,Mitarbeiter!$A$6:$A$205,0)),"Pers.-Nr. unbekannt",IF(D168="","Von fehlt",IF(AND(C168&lt;&gt;Einstellungen!$C$4,C168&lt;&gt;Einstellungen!$C$5),"Objekt fehlt",IF(J168&lt;D168,"Bis vor Von",IF(D168&lt;INDEX(Mitarbeiter!$C$6:$C$205,MATCH($A168,Mitarbeiter!$A$6:$A$205,0)),"vor Eintritt",IF(AND(INDEX(Mitarbeiter!$D$6:$D$205,MATCH($A168,Mitarbeiter!$A$6:$A$205,0))&lt;&gt;"",D168&gt;INDEX(Mitarbeiter!$D$6:$D$205,MATCH($A168,Mitarbeiter!$A$6:$A$205,0))),"nach Austritt",IF(E168="","offen","ok"))))))))</f>
        <v/>
      </c>
      <c r="J168" s="47">
        <f>IF(A168="","",IF(E168="",Einstellungen!$C$9,E168))</f>
        <v/>
      </c>
      <c r="K168" s="48">
        <f>IF(A168="",0,IFERROR(INDEX(Mitarbeiter!$F$6:$F$205,MATCH($A168,Mitarbeiter!$A$6:$A$205,0)),0))</f>
        <v/>
      </c>
      <c r="L168" s="49">
        <f>IF(OR(A168="",D168=""),0,MAX(0,NETWORKDAYS(MAX(D168,DATE(Einstellungen!$C$3,1,1)),MIN(J168,DATE(Einstellungen!$C$3,2,0)),Einstellungen!$F$13:$F$32)))</f>
        <v/>
      </c>
      <c r="M168" s="49">
        <f>IF(OR(A168="",D168=""),0,MAX(0,NETWORKDAYS(MAX(D168,DATE(Einstellungen!$C$3,2,1)),MIN(J168,DATE(Einstellungen!$C$3,3,0)),Einstellungen!$F$13:$F$32)))</f>
        <v/>
      </c>
      <c r="N168" s="49">
        <f>IF(OR(A168="",D168=""),0,MAX(0,NETWORKDAYS(MAX(D168,DATE(Einstellungen!$C$3,3,1)),MIN(J168,DATE(Einstellungen!$C$3,4,0)),Einstellungen!$F$13:$F$32)))</f>
        <v/>
      </c>
      <c r="O168" s="49">
        <f>IF(OR(A168="",D168=""),0,MAX(0,NETWORKDAYS(MAX(D168,DATE(Einstellungen!$C$3,4,1)),MIN(J168,DATE(Einstellungen!$C$3,5,0)),Einstellungen!$F$13:$F$32)))</f>
        <v/>
      </c>
      <c r="P168" s="49">
        <f>IF(OR(A168="",D168=""),0,MAX(0,NETWORKDAYS(MAX(D168,DATE(Einstellungen!$C$3,5,1)),MIN(J168,DATE(Einstellungen!$C$3,6,0)),Einstellungen!$F$13:$F$32)))</f>
        <v/>
      </c>
      <c r="Q168" s="49">
        <f>IF(OR(A168="",D168=""),0,MAX(0,NETWORKDAYS(MAX(D168,DATE(Einstellungen!$C$3,6,1)),MIN(J168,DATE(Einstellungen!$C$3,7,0)),Einstellungen!$F$13:$F$32)))</f>
        <v/>
      </c>
      <c r="R168" s="49">
        <f>IF(OR(A168="",D168=""),0,MAX(0,NETWORKDAYS(MAX(D168,DATE(Einstellungen!$C$3,7,1)),MIN(J168,DATE(Einstellungen!$C$3,8,0)),Einstellungen!$F$13:$F$32)))</f>
        <v/>
      </c>
      <c r="S168" s="49">
        <f>IF(OR(A168="",D168=""),0,MAX(0,NETWORKDAYS(MAX(D168,DATE(Einstellungen!$C$3,8,1)),MIN(J168,DATE(Einstellungen!$C$3,9,0)),Einstellungen!$F$13:$F$32)))</f>
        <v/>
      </c>
      <c r="T168" s="49">
        <f>IF(OR(A168="",D168=""),0,MAX(0,NETWORKDAYS(MAX(D168,DATE(Einstellungen!$C$3,9,1)),MIN(J168,DATE(Einstellungen!$C$3,10,0)),Einstellungen!$F$13:$F$32)))</f>
        <v/>
      </c>
      <c r="U168" s="49">
        <f>IF(OR(A168="",D168=""),0,MAX(0,NETWORKDAYS(MAX(D168,DATE(Einstellungen!$C$3,10,1)),MIN(J168,DATE(Einstellungen!$C$3,11,0)),Einstellungen!$F$13:$F$32)))</f>
        <v/>
      </c>
      <c r="V168" s="49">
        <f>IF(OR(A168="",D168=""),0,MAX(0,NETWORKDAYS(MAX(D168,DATE(Einstellungen!$C$3,11,1)),MIN(J168,DATE(Einstellungen!$C$3,12,0)),Einstellungen!$F$13:$F$32)))</f>
        <v/>
      </c>
      <c r="W168" s="49">
        <f>IF(OR(A168="",D168=""),0,MAX(0,NETWORKDAYS(MAX(D168,DATE(Einstellungen!$C$3,12,1)),MIN(J168,DATE(Einstellungen!$C$3,13,0)),Einstellungen!$F$13:$F$32)))</f>
        <v/>
      </c>
      <c r="X168" s="50">
        <f>L168*K168</f>
        <v/>
      </c>
      <c r="Y168" s="50">
        <f>M168*K168</f>
        <v/>
      </c>
      <c r="Z168" s="50">
        <f>N168*K168</f>
        <v/>
      </c>
      <c r="AA168" s="50">
        <f>O168*K168</f>
        <v/>
      </c>
      <c r="AB168" s="50">
        <f>P168*K168</f>
        <v/>
      </c>
      <c r="AC168" s="50">
        <f>Q168*K168</f>
        <v/>
      </c>
      <c r="AD168" s="50">
        <f>R168*K168</f>
        <v/>
      </c>
      <c r="AE168" s="50">
        <f>S168*K168</f>
        <v/>
      </c>
      <c r="AF168" s="50">
        <f>T168*K168</f>
        <v/>
      </c>
      <c r="AG168" s="50">
        <f>U168*K168</f>
        <v/>
      </c>
      <c r="AH168" s="50">
        <f>V168*K168</f>
        <v/>
      </c>
      <c r="AI168" s="50">
        <f>W168*K168</f>
        <v/>
      </c>
    </row>
    <row r="169">
      <c r="A169" s="25" t="n"/>
      <c r="B169" s="45">
        <f>IF(A169="","",IFERROR(INDEX(Mitarbeiter!$B$6:$B$205,MATCH($A169,Mitarbeiter!$A$6:$A$205,0)),"?"))</f>
        <v/>
      </c>
      <c r="C169" s="46" t="n"/>
      <c r="D169" s="26" t="n"/>
      <c r="E169" s="26" t="n"/>
      <c r="F169" s="24">
        <f>IF(A169="","",SUM(L169:W169))</f>
        <v/>
      </c>
      <c r="G169" s="36">
        <f>IF(A169="","",SUM(X169:AI169))</f>
        <v/>
      </c>
      <c r="H169" s="8">
        <f>IF(A169="","",IF(ISNA(MATCH(A169,Mitarbeiter!$A$6:$A$205,0)),"Pers.-Nr. unbekannt",IF(D169="","Von fehlt",IF(AND(C169&lt;&gt;Einstellungen!$C$4,C169&lt;&gt;Einstellungen!$C$5),"Objekt fehlt",IF(J169&lt;D169,"Bis vor Von",IF(D169&lt;INDEX(Mitarbeiter!$C$6:$C$205,MATCH($A169,Mitarbeiter!$A$6:$A$205,0)),"vor Eintritt",IF(AND(INDEX(Mitarbeiter!$D$6:$D$205,MATCH($A169,Mitarbeiter!$A$6:$A$205,0))&lt;&gt;"",D169&gt;INDEX(Mitarbeiter!$D$6:$D$205,MATCH($A169,Mitarbeiter!$A$6:$A$205,0))),"nach Austritt",IF(E169="","offen","ok"))))))))</f>
        <v/>
      </c>
      <c r="J169" s="47">
        <f>IF(A169="","",IF(E169="",Einstellungen!$C$9,E169))</f>
        <v/>
      </c>
      <c r="K169" s="48">
        <f>IF(A169="",0,IFERROR(INDEX(Mitarbeiter!$F$6:$F$205,MATCH($A169,Mitarbeiter!$A$6:$A$205,0)),0))</f>
        <v/>
      </c>
      <c r="L169" s="49">
        <f>IF(OR(A169="",D169=""),0,MAX(0,NETWORKDAYS(MAX(D169,DATE(Einstellungen!$C$3,1,1)),MIN(J169,DATE(Einstellungen!$C$3,2,0)),Einstellungen!$F$13:$F$32)))</f>
        <v/>
      </c>
      <c r="M169" s="49">
        <f>IF(OR(A169="",D169=""),0,MAX(0,NETWORKDAYS(MAX(D169,DATE(Einstellungen!$C$3,2,1)),MIN(J169,DATE(Einstellungen!$C$3,3,0)),Einstellungen!$F$13:$F$32)))</f>
        <v/>
      </c>
      <c r="N169" s="49">
        <f>IF(OR(A169="",D169=""),0,MAX(0,NETWORKDAYS(MAX(D169,DATE(Einstellungen!$C$3,3,1)),MIN(J169,DATE(Einstellungen!$C$3,4,0)),Einstellungen!$F$13:$F$32)))</f>
        <v/>
      </c>
      <c r="O169" s="49">
        <f>IF(OR(A169="",D169=""),0,MAX(0,NETWORKDAYS(MAX(D169,DATE(Einstellungen!$C$3,4,1)),MIN(J169,DATE(Einstellungen!$C$3,5,0)),Einstellungen!$F$13:$F$32)))</f>
        <v/>
      </c>
      <c r="P169" s="49">
        <f>IF(OR(A169="",D169=""),0,MAX(0,NETWORKDAYS(MAX(D169,DATE(Einstellungen!$C$3,5,1)),MIN(J169,DATE(Einstellungen!$C$3,6,0)),Einstellungen!$F$13:$F$32)))</f>
        <v/>
      </c>
      <c r="Q169" s="49">
        <f>IF(OR(A169="",D169=""),0,MAX(0,NETWORKDAYS(MAX(D169,DATE(Einstellungen!$C$3,6,1)),MIN(J169,DATE(Einstellungen!$C$3,7,0)),Einstellungen!$F$13:$F$32)))</f>
        <v/>
      </c>
      <c r="R169" s="49">
        <f>IF(OR(A169="",D169=""),0,MAX(0,NETWORKDAYS(MAX(D169,DATE(Einstellungen!$C$3,7,1)),MIN(J169,DATE(Einstellungen!$C$3,8,0)),Einstellungen!$F$13:$F$32)))</f>
        <v/>
      </c>
      <c r="S169" s="49">
        <f>IF(OR(A169="",D169=""),0,MAX(0,NETWORKDAYS(MAX(D169,DATE(Einstellungen!$C$3,8,1)),MIN(J169,DATE(Einstellungen!$C$3,9,0)),Einstellungen!$F$13:$F$32)))</f>
        <v/>
      </c>
      <c r="T169" s="49">
        <f>IF(OR(A169="",D169=""),0,MAX(0,NETWORKDAYS(MAX(D169,DATE(Einstellungen!$C$3,9,1)),MIN(J169,DATE(Einstellungen!$C$3,10,0)),Einstellungen!$F$13:$F$32)))</f>
        <v/>
      </c>
      <c r="U169" s="49">
        <f>IF(OR(A169="",D169=""),0,MAX(0,NETWORKDAYS(MAX(D169,DATE(Einstellungen!$C$3,10,1)),MIN(J169,DATE(Einstellungen!$C$3,11,0)),Einstellungen!$F$13:$F$32)))</f>
        <v/>
      </c>
      <c r="V169" s="49">
        <f>IF(OR(A169="",D169=""),0,MAX(0,NETWORKDAYS(MAX(D169,DATE(Einstellungen!$C$3,11,1)),MIN(J169,DATE(Einstellungen!$C$3,12,0)),Einstellungen!$F$13:$F$32)))</f>
        <v/>
      </c>
      <c r="W169" s="49">
        <f>IF(OR(A169="",D169=""),0,MAX(0,NETWORKDAYS(MAX(D169,DATE(Einstellungen!$C$3,12,1)),MIN(J169,DATE(Einstellungen!$C$3,13,0)),Einstellungen!$F$13:$F$32)))</f>
        <v/>
      </c>
      <c r="X169" s="50">
        <f>L169*K169</f>
        <v/>
      </c>
      <c r="Y169" s="50">
        <f>M169*K169</f>
        <v/>
      </c>
      <c r="Z169" s="50">
        <f>N169*K169</f>
        <v/>
      </c>
      <c r="AA169" s="50">
        <f>O169*K169</f>
        <v/>
      </c>
      <c r="AB169" s="50">
        <f>P169*K169</f>
        <v/>
      </c>
      <c r="AC169" s="50">
        <f>Q169*K169</f>
        <v/>
      </c>
      <c r="AD169" s="50">
        <f>R169*K169</f>
        <v/>
      </c>
      <c r="AE169" s="50">
        <f>S169*K169</f>
        <v/>
      </c>
      <c r="AF169" s="50">
        <f>T169*K169</f>
        <v/>
      </c>
      <c r="AG169" s="50">
        <f>U169*K169</f>
        <v/>
      </c>
      <c r="AH169" s="50">
        <f>V169*K169</f>
        <v/>
      </c>
      <c r="AI169" s="50">
        <f>W169*K169</f>
        <v/>
      </c>
    </row>
    <row r="170">
      <c r="A170" s="25" t="n"/>
      <c r="B170" s="45">
        <f>IF(A170="","",IFERROR(INDEX(Mitarbeiter!$B$6:$B$205,MATCH($A170,Mitarbeiter!$A$6:$A$205,0)),"?"))</f>
        <v/>
      </c>
      <c r="C170" s="46" t="n"/>
      <c r="D170" s="26" t="n"/>
      <c r="E170" s="26" t="n"/>
      <c r="F170" s="24">
        <f>IF(A170="","",SUM(L170:W170))</f>
        <v/>
      </c>
      <c r="G170" s="36">
        <f>IF(A170="","",SUM(X170:AI170))</f>
        <v/>
      </c>
      <c r="H170" s="8">
        <f>IF(A170="","",IF(ISNA(MATCH(A170,Mitarbeiter!$A$6:$A$205,0)),"Pers.-Nr. unbekannt",IF(D170="","Von fehlt",IF(AND(C170&lt;&gt;Einstellungen!$C$4,C170&lt;&gt;Einstellungen!$C$5),"Objekt fehlt",IF(J170&lt;D170,"Bis vor Von",IF(D170&lt;INDEX(Mitarbeiter!$C$6:$C$205,MATCH($A170,Mitarbeiter!$A$6:$A$205,0)),"vor Eintritt",IF(AND(INDEX(Mitarbeiter!$D$6:$D$205,MATCH($A170,Mitarbeiter!$A$6:$A$205,0))&lt;&gt;"",D170&gt;INDEX(Mitarbeiter!$D$6:$D$205,MATCH($A170,Mitarbeiter!$A$6:$A$205,0))),"nach Austritt",IF(E170="","offen","ok"))))))))</f>
        <v/>
      </c>
      <c r="J170" s="47">
        <f>IF(A170="","",IF(E170="",Einstellungen!$C$9,E170))</f>
        <v/>
      </c>
      <c r="K170" s="48">
        <f>IF(A170="",0,IFERROR(INDEX(Mitarbeiter!$F$6:$F$205,MATCH($A170,Mitarbeiter!$A$6:$A$205,0)),0))</f>
        <v/>
      </c>
      <c r="L170" s="49">
        <f>IF(OR(A170="",D170=""),0,MAX(0,NETWORKDAYS(MAX(D170,DATE(Einstellungen!$C$3,1,1)),MIN(J170,DATE(Einstellungen!$C$3,2,0)),Einstellungen!$F$13:$F$32)))</f>
        <v/>
      </c>
      <c r="M170" s="49">
        <f>IF(OR(A170="",D170=""),0,MAX(0,NETWORKDAYS(MAX(D170,DATE(Einstellungen!$C$3,2,1)),MIN(J170,DATE(Einstellungen!$C$3,3,0)),Einstellungen!$F$13:$F$32)))</f>
        <v/>
      </c>
      <c r="N170" s="49">
        <f>IF(OR(A170="",D170=""),0,MAX(0,NETWORKDAYS(MAX(D170,DATE(Einstellungen!$C$3,3,1)),MIN(J170,DATE(Einstellungen!$C$3,4,0)),Einstellungen!$F$13:$F$32)))</f>
        <v/>
      </c>
      <c r="O170" s="49">
        <f>IF(OR(A170="",D170=""),0,MAX(0,NETWORKDAYS(MAX(D170,DATE(Einstellungen!$C$3,4,1)),MIN(J170,DATE(Einstellungen!$C$3,5,0)),Einstellungen!$F$13:$F$32)))</f>
        <v/>
      </c>
      <c r="P170" s="49">
        <f>IF(OR(A170="",D170=""),0,MAX(0,NETWORKDAYS(MAX(D170,DATE(Einstellungen!$C$3,5,1)),MIN(J170,DATE(Einstellungen!$C$3,6,0)),Einstellungen!$F$13:$F$32)))</f>
        <v/>
      </c>
      <c r="Q170" s="49">
        <f>IF(OR(A170="",D170=""),0,MAX(0,NETWORKDAYS(MAX(D170,DATE(Einstellungen!$C$3,6,1)),MIN(J170,DATE(Einstellungen!$C$3,7,0)),Einstellungen!$F$13:$F$32)))</f>
        <v/>
      </c>
      <c r="R170" s="49">
        <f>IF(OR(A170="",D170=""),0,MAX(0,NETWORKDAYS(MAX(D170,DATE(Einstellungen!$C$3,7,1)),MIN(J170,DATE(Einstellungen!$C$3,8,0)),Einstellungen!$F$13:$F$32)))</f>
        <v/>
      </c>
      <c r="S170" s="49">
        <f>IF(OR(A170="",D170=""),0,MAX(0,NETWORKDAYS(MAX(D170,DATE(Einstellungen!$C$3,8,1)),MIN(J170,DATE(Einstellungen!$C$3,9,0)),Einstellungen!$F$13:$F$32)))</f>
        <v/>
      </c>
      <c r="T170" s="49">
        <f>IF(OR(A170="",D170=""),0,MAX(0,NETWORKDAYS(MAX(D170,DATE(Einstellungen!$C$3,9,1)),MIN(J170,DATE(Einstellungen!$C$3,10,0)),Einstellungen!$F$13:$F$32)))</f>
        <v/>
      </c>
      <c r="U170" s="49">
        <f>IF(OR(A170="",D170=""),0,MAX(0,NETWORKDAYS(MAX(D170,DATE(Einstellungen!$C$3,10,1)),MIN(J170,DATE(Einstellungen!$C$3,11,0)),Einstellungen!$F$13:$F$32)))</f>
        <v/>
      </c>
      <c r="V170" s="49">
        <f>IF(OR(A170="",D170=""),0,MAX(0,NETWORKDAYS(MAX(D170,DATE(Einstellungen!$C$3,11,1)),MIN(J170,DATE(Einstellungen!$C$3,12,0)),Einstellungen!$F$13:$F$32)))</f>
        <v/>
      </c>
      <c r="W170" s="49">
        <f>IF(OR(A170="",D170=""),0,MAX(0,NETWORKDAYS(MAX(D170,DATE(Einstellungen!$C$3,12,1)),MIN(J170,DATE(Einstellungen!$C$3,13,0)),Einstellungen!$F$13:$F$32)))</f>
        <v/>
      </c>
      <c r="X170" s="50">
        <f>L170*K170</f>
        <v/>
      </c>
      <c r="Y170" s="50">
        <f>M170*K170</f>
        <v/>
      </c>
      <c r="Z170" s="50">
        <f>N170*K170</f>
        <v/>
      </c>
      <c r="AA170" s="50">
        <f>O170*K170</f>
        <v/>
      </c>
      <c r="AB170" s="50">
        <f>P170*K170</f>
        <v/>
      </c>
      <c r="AC170" s="50">
        <f>Q170*K170</f>
        <v/>
      </c>
      <c r="AD170" s="50">
        <f>R170*K170</f>
        <v/>
      </c>
      <c r="AE170" s="50">
        <f>S170*K170</f>
        <v/>
      </c>
      <c r="AF170" s="50">
        <f>T170*K170</f>
        <v/>
      </c>
      <c r="AG170" s="50">
        <f>U170*K170</f>
        <v/>
      </c>
      <c r="AH170" s="50">
        <f>V170*K170</f>
        <v/>
      </c>
      <c r="AI170" s="50">
        <f>W170*K170</f>
        <v/>
      </c>
    </row>
    <row r="171">
      <c r="A171" s="25" t="n"/>
      <c r="B171" s="45">
        <f>IF(A171="","",IFERROR(INDEX(Mitarbeiter!$B$6:$B$205,MATCH($A171,Mitarbeiter!$A$6:$A$205,0)),"?"))</f>
        <v/>
      </c>
      <c r="C171" s="46" t="n"/>
      <c r="D171" s="26" t="n"/>
      <c r="E171" s="26" t="n"/>
      <c r="F171" s="24">
        <f>IF(A171="","",SUM(L171:W171))</f>
        <v/>
      </c>
      <c r="G171" s="36">
        <f>IF(A171="","",SUM(X171:AI171))</f>
        <v/>
      </c>
      <c r="H171" s="8">
        <f>IF(A171="","",IF(ISNA(MATCH(A171,Mitarbeiter!$A$6:$A$205,0)),"Pers.-Nr. unbekannt",IF(D171="","Von fehlt",IF(AND(C171&lt;&gt;Einstellungen!$C$4,C171&lt;&gt;Einstellungen!$C$5),"Objekt fehlt",IF(J171&lt;D171,"Bis vor Von",IF(D171&lt;INDEX(Mitarbeiter!$C$6:$C$205,MATCH($A171,Mitarbeiter!$A$6:$A$205,0)),"vor Eintritt",IF(AND(INDEX(Mitarbeiter!$D$6:$D$205,MATCH($A171,Mitarbeiter!$A$6:$A$205,0))&lt;&gt;"",D171&gt;INDEX(Mitarbeiter!$D$6:$D$205,MATCH($A171,Mitarbeiter!$A$6:$A$205,0))),"nach Austritt",IF(E171="","offen","ok"))))))))</f>
        <v/>
      </c>
      <c r="J171" s="47">
        <f>IF(A171="","",IF(E171="",Einstellungen!$C$9,E171))</f>
        <v/>
      </c>
      <c r="K171" s="48">
        <f>IF(A171="",0,IFERROR(INDEX(Mitarbeiter!$F$6:$F$205,MATCH($A171,Mitarbeiter!$A$6:$A$205,0)),0))</f>
        <v/>
      </c>
      <c r="L171" s="49">
        <f>IF(OR(A171="",D171=""),0,MAX(0,NETWORKDAYS(MAX(D171,DATE(Einstellungen!$C$3,1,1)),MIN(J171,DATE(Einstellungen!$C$3,2,0)),Einstellungen!$F$13:$F$32)))</f>
        <v/>
      </c>
      <c r="M171" s="49">
        <f>IF(OR(A171="",D171=""),0,MAX(0,NETWORKDAYS(MAX(D171,DATE(Einstellungen!$C$3,2,1)),MIN(J171,DATE(Einstellungen!$C$3,3,0)),Einstellungen!$F$13:$F$32)))</f>
        <v/>
      </c>
      <c r="N171" s="49">
        <f>IF(OR(A171="",D171=""),0,MAX(0,NETWORKDAYS(MAX(D171,DATE(Einstellungen!$C$3,3,1)),MIN(J171,DATE(Einstellungen!$C$3,4,0)),Einstellungen!$F$13:$F$32)))</f>
        <v/>
      </c>
      <c r="O171" s="49">
        <f>IF(OR(A171="",D171=""),0,MAX(0,NETWORKDAYS(MAX(D171,DATE(Einstellungen!$C$3,4,1)),MIN(J171,DATE(Einstellungen!$C$3,5,0)),Einstellungen!$F$13:$F$32)))</f>
        <v/>
      </c>
      <c r="P171" s="49">
        <f>IF(OR(A171="",D171=""),0,MAX(0,NETWORKDAYS(MAX(D171,DATE(Einstellungen!$C$3,5,1)),MIN(J171,DATE(Einstellungen!$C$3,6,0)),Einstellungen!$F$13:$F$32)))</f>
        <v/>
      </c>
      <c r="Q171" s="49">
        <f>IF(OR(A171="",D171=""),0,MAX(0,NETWORKDAYS(MAX(D171,DATE(Einstellungen!$C$3,6,1)),MIN(J171,DATE(Einstellungen!$C$3,7,0)),Einstellungen!$F$13:$F$32)))</f>
        <v/>
      </c>
      <c r="R171" s="49">
        <f>IF(OR(A171="",D171=""),0,MAX(0,NETWORKDAYS(MAX(D171,DATE(Einstellungen!$C$3,7,1)),MIN(J171,DATE(Einstellungen!$C$3,8,0)),Einstellungen!$F$13:$F$32)))</f>
        <v/>
      </c>
      <c r="S171" s="49">
        <f>IF(OR(A171="",D171=""),0,MAX(0,NETWORKDAYS(MAX(D171,DATE(Einstellungen!$C$3,8,1)),MIN(J171,DATE(Einstellungen!$C$3,9,0)),Einstellungen!$F$13:$F$32)))</f>
        <v/>
      </c>
      <c r="T171" s="49">
        <f>IF(OR(A171="",D171=""),0,MAX(0,NETWORKDAYS(MAX(D171,DATE(Einstellungen!$C$3,9,1)),MIN(J171,DATE(Einstellungen!$C$3,10,0)),Einstellungen!$F$13:$F$32)))</f>
        <v/>
      </c>
      <c r="U171" s="49">
        <f>IF(OR(A171="",D171=""),0,MAX(0,NETWORKDAYS(MAX(D171,DATE(Einstellungen!$C$3,10,1)),MIN(J171,DATE(Einstellungen!$C$3,11,0)),Einstellungen!$F$13:$F$32)))</f>
        <v/>
      </c>
      <c r="V171" s="49">
        <f>IF(OR(A171="",D171=""),0,MAX(0,NETWORKDAYS(MAX(D171,DATE(Einstellungen!$C$3,11,1)),MIN(J171,DATE(Einstellungen!$C$3,12,0)),Einstellungen!$F$13:$F$32)))</f>
        <v/>
      </c>
      <c r="W171" s="49">
        <f>IF(OR(A171="",D171=""),0,MAX(0,NETWORKDAYS(MAX(D171,DATE(Einstellungen!$C$3,12,1)),MIN(J171,DATE(Einstellungen!$C$3,13,0)),Einstellungen!$F$13:$F$32)))</f>
        <v/>
      </c>
      <c r="X171" s="50">
        <f>L171*K171</f>
        <v/>
      </c>
      <c r="Y171" s="50">
        <f>M171*K171</f>
        <v/>
      </c>
      <c r="Z171" s="50">
        <f>N171*K171</f>
        <v/>
      </c>
      <c r="AA171" s="50">
        <f>O171*K171</f>
        <v/>
      </c>
      <c r="AB171" s="50">
        <f>P171*K171</f>
        <v/>
      </c>
      <c r="AC171" s="50">
        <f>Q171*K171</f>
        <v/>
      </c>
      <c r="AD171" s="50">
        <f>R171*K171</f>
        <v/>
      </c>
      <c r="AE171" s="50">
        <f>S171*K171</f>
        <v/>
      </c>
      <c r="AF171" s="50">
        <f>T171*K171</f>
        <v/>
      </c>
      <c r="AG171" s="50">
        <f>U171*K171</f>
        <v/>
      </c>
      <c r="AH171" s="50">
        <f>V171*K171</f>
        <v/>
      </c>
      <c r="AI171" s="50">
        <f>W171*K171</f>
        <v/>
      </c>
    </row>
    <row r="172">
      <c r="A172" s="25" t="n"/>
      <c r="B172" s="45">
        <f>IF(A172="","",IFERROR(INDEX(Mitarbeiter!$B$6:$B$205,MATCH($A172,Mitarbeiter!$A$6:$A$205,0)),"?"))</f>
        <v/>
      </c>
      <c r="C172" s="46" t="n"/>
      <c r="D172" s="26" t="n"/>
      <c r="E172" s="26" t="n"/>
      <c r="F172" s="24">
        <f>IF(A172="","",SUM(L172:W172))</f>
        <v/>
      </c>
      <c r="G172" s="36">
        <f>IF(A172="","",SUM(X172:AI172))</f>
        <v/>
      </c>
      <c r="H172" s="8">
        <f>IF(A172="","",IF(ISNA(MATCH(A172,Mitarbeiter!$A$6:$A$205,0)),"Pers.-Nr. unbekannt",IF(D172="","Von fehlt",IF(AND(C172&lt;&gt;Einstellungen!$C$4,C172&lt;&gt;Einstellungen!$C$5),"Objekt fehlt",IF(J172&lt;D172,"Bis vor Von",IF(D172&lt;INDEX(Mitarbeiter!$C$6:$C$205,MATCH($A172,Mitarbeiter!$A$6:$A$205,0)),"vor Eintritt",IF(AND(INDEX(Mitarbeiter!$D$6:$D$205,MATCH($A172,Mitarbeiter!$A$6:$A$205,0))&lt;&gt;"",D172&gt;INDEX(Mitarbeiter!$D$6:$D$205,MATCH($A172,Mitarbeiter!$A$6:$A$205,0))),"nach Austritt",IF(E172="","offen","ok"))))))))</f>
        <v/>
      </c>
      <c r="J172" s="47">
        <f>IF(A172="","",IF(E172="",Einstellungen!$C$9,E172))</f>
        <v/>
      </c>
      <c r="K172" s="48">
        <f>IF(A172="",0,IFERROR(INDEX(Mitarbeiter!$F$6:$F$205,MATCH($A172,Mitarbeiter!$A$6:$A$205,0)),0))</f>
        <v/>
      </c>
      <c r="L172" s="49">
        <f>IF(OR(A172="",D172=""),0,MAX(0,NETWORKDAYS(MAX(D172,DATE(Einstellungen!$C$3,1,1)),MIN(J172,DATE(Einstellungen!$C$3,2,0)),Einstellungen!$F$13:$F$32)))</f>
        <v/>
      </c>
      <c r="M172" s="49">
        <f>IF(OR(A172="",D172=""),0,MAX(0,NETWORKDAYS(MAX(D172,DATE(Einstellungen!$C$3,2,1)),MIN(J172,DATE(Einstellungen!$C$3,3,0)),Einstellungen!$F$13:$F$32)))</f>
        <v/>
      </c>
      <c r="N172" s="49">
        <f>IF(OR(A172="",D172=""),0,MAX(0,NETWORKDAYS(MAX(D172,DATE(Einstellungen!$C$3,3,1)),MIN(J172,DATE(Einstellungen!$C$3,4,0)),Einstellungen!$F$13:$F$32)))</f>
        <v/>
      </c>
      <c r="O172" s="49">
        <f>IF(OR(A172="",D172=""),0,MAX(0,NETWORKDAYS(MAX(D172,DATE(Einstellungen!$C$3,4,1)),MIN(J172,DATE(Einstellungen!$C$3,5,0)),Einstellungen!$F$13:$F$32)))</f>
        <v/>
      </c>
      <c r="P172" s="49">
        <f>IF(OR(A172="",D172=""),0,MAX(0,NETWORKDAYS(MAX(D172,DATE(Einstellungen!$C$3,5,1)),MIN(J172,DATE(Einstellungen!$C$3,6,0)),Einstellungen!$F$13:$F$32)))</f>
        <v/>
      </c>
      <c r="Q172" s="49">
        <f>IF(OR(A172="",D172=""),0,MAX(0,NETWORKDAYS(MAX(D172,DATE(Einstellungen!$C$3,6,1)),MIN(J172,DATE(Einstellungen!$C$3,7,0)),Einstellungen!$F$13:$F$32)))</f>
        <v/>
      </c>
      <c r="R172" s="49">
        <f>IF(OR(A172="",D172=""),0,MAX(0,NETWORKDAYS(MAX(D172,DATE(Einstellungen!$C$3,7,1)),MIN(J172,DATE(Einstellungen!$C$3,8,0)),Einstellungen!$F$13:$F$32)))</f>
        <v/>
      </c>
      <c r="S172" s="49">
        <f>IF(OR(A172="",D172=""),0,MAX(0,NETWORKDAYS(MAX(D172,DATE(Einstellungen!$C$3,8,1)),MIN(J172,DATE(Einstellungen!$C$3,9,0)),Einstellungen!$F$13:$F$32)))</f>
        <v/>
      </c>
      <c r="T172" s="49">
        <f>IF(OR(A172="",D172=""),0,MAX(0,NETWORKDAYS(MAX(D172,DATE(Einstellungen!$C$3,9,1)),MIN(J172,DATE(Einstellungen!$C$3,10,0)),Einstellungen!$F$13:$F$32)))</f>
        <v/>
      </c>
      <c r="U172" s="49">
        <f>IF(OR(A172="",D172=""),0,MAX(0,NETWORKDAYS(MAX(D172,DATE(Einstellungen!$C$3,10,1)),MIN(J172,DATE(Einstellungen!$C$3,11,0)),Einstellungen!$F$13:$F$32)))</f>
        <v/>
      </c>
      <c r="V172" s="49">
        <f>IF(OR(A172="",D172=""),0,MAX(0,NETWORKDAYS(MAX(D172,DATE(Einstellungen!$C$3,11,1)),MIN(J172,DATE(Einstellungen!$C$3,12,0)),Einstellungen!$F$13:$F$32)))</f>
        <v/>
      </c>
      <c r="W172" s="49">
        <f>IF(OR(A172="",D172=""),0,MAX(0,NETWORKDAYS(MAX(D172,DATE(Einstellungen!$C$3,12,1)),MIN(J172,DATE(Einstellungen!$C$3,13,0)),Einstellungen!$F$13:$F$32)))</f>
        <v/>
      </c>
      <c r="X172" s="50">
        <f>L172*K172</f>
        <v/>
      </c>
      <c r="Y172" s="50">
        <f>M172*K172</f>
        <v/>
      </c>
      <c r="Z172" s="50">
        <f>N172*K172</f>
        <v/>
      </c>
      <c r="AA172" s="50">
        <f>O172*K172</f>
        <v/>
      </c>
      <c r="AB172" s="50">
        <f>P172*K172</f>
        <v/>
      </c>
      <c r="AC172" s="50">
        <f>Q172*K172</f>
        <v/>
      </c>
      <c r="AD172" s="50">
        <f>R172*K172</f>
        <v/>
      </c>
      <c r="AE172" s="50">
        <f>S172*K172</f>
        <v/>
      </c>
      <c r="AF172" s="50">
        <f>T172*K172</f>
        <v/>
      </c>
      <c r="AG172" s="50">
        <f>U172*K172</f>
        <v/>
      </c>
      <c r="AH172" s="50">
        <f>V172*K172</f>
        <v/>
      </c>
      <c r="AI172" s="50">
        <f>W172*K172</f>
        <v/>
      </c>
    </row>
    <row r="173">
      <c r="A173" s="25" t="n"/>
      <c r="B173" s="45">
        <f>IF(A173="","",IFERROR(INDEX(Mitarbeiter!$B$6:$B$205,MATCH($A173,Mitarbeiter!$A$6:$A$205,0)),"?"))</f>
        <v/>
      </c>
      <c r="C173" s="46" t="n"/>
      <c r="D173" s="26" t="n"/>
      <c r="E173" s="26" t="n"/>
      <c r="F173" s="24">
        <f>IF(A173="","",SUM(L173:W173))</f>
        <v/>
      </c>
      <c r="G173" s="36">
        <f>IF(A173="","",SUM(X173:AI173))</f>
        <v/>
      </c>
      <c r="H173" s="8">
        <f>IF(A173="","",IF(ISNA(MATCH(A173,Mitarbeiter!$A$6:$A$205,0)),"Pers.-Nr. unbekannt",IF(D173="","Von fehlt",IF(AND(C173&lt;&gt;Einstellungen!$C$4,C173&lt;&gt;Einstellungen!$C$5),"Objekt fehlt",IF(J173&lt;D173,"Bis vor Von",IF(D173&lt;INDEX(Mitarbeiter!$C$6:$C$205,MATCH($A173,Mitarbeiter!$A$6:$A$205,0)),"vor Eintritt",IF(AND(INDEX(Mitarbeiter!$D$6:$D$205,MATCH($A173,Mitarbeiter!$A$6:$A$205,0))&lt;&gt;"",D173&gt;INDEX(Mitarbeiter!$D$6:$D$205,MATCH($A173,Mitarbeiter!$A$6:$A$205,0))),"nach Austritt",IF(E173="","offen","ok"))))))))</f>
        <v/>
      </c>
      <c r="J173" s="47">
        <f>IF(A173="","",IF(E173="",Einstellungen!$C$9,E173))</f>
        <v/>
      </c>
      <c r="K173" s="48">
        <f>IF(A173="",0,IFERROR(INDEX(Mitarbeiter!$F$6:$F$205,MATCH($A173,Mitarbeiter!$A$6:$A$205,0)),0))</f>
        <v/>
      </c>
      <c r="L173" s="49">
        <f>IF(OR(A173="",D173=""),0,MAX(0,NETWORKDAYS(MAX(D173,DATE(Einstellungen!$C$3,1,1)),MIN(J173,DATE(Einstellungen!$C$3,2,0)),Einstellungen!$F$13:$F$32)))</f>
        <v/>
      </c>
      <c r="M173" s="49">
        <f>IF(OR(A173="",D173=""),0,MAX(0,NETWORKDAYS(MAX(D173,DATE(Einstellungen!$C$3,2,1)),MIN(J173,DATE(Einstellungen!$C$3,3,0)),Einstellungen!$F$13:$F$32)))</f>
        <v/>
      </c>
      <c r="N173" s="49">
        <f>IF(OR(A173="",D173=""),0,MAX(0,NETWORKDAYS(MAX(D173,DATE(Einstellungen!$C$3,3,1)),MIN(J173,DATE(Einstellungen!$C$3,4,0)),Einstellungen!$F$13:$F$32)))</f>
        <v/>
      </c>
      <c r="O173" s="49">
        <f>IF(OR(A173="",D173=""),0,MAX(0,NETWORKDAYS(MAX(D173,DATE(Einstellungen!$C$3,4,1)),MIN(J173,DATE(Einstellungen!$C$3,5,0)),Einstellungen!$F$13:$F$32)))</f>
        <v/>
      </c>
      <c r="P173" s="49">
        <f>IF(OR(A173="",D173=""),0,MAX(0,NETWORKDAYS(MAX(D173,DATE(Einstellungen!$C$3,5,1)),MIN(J173,DATE(Einstellungen!$C$3,6,0)),Einstellungen!$F$13:$F$32)))</f>
        <v/>
      </c>
      <c r="Q173" s="49">
        <f>IF(OR(A173="",D173=""),0,MAX(0,NETWORKDAYS(MAX(D173,DATE(Einstellungen!$C$3,6,1)),MIN(J173,DATE(Einstellungen!$C$3,7,0)),Einstellungen!$F$13:$F$32)))</f>
        <v/>
      </c>
      <c r="R173" s="49">
        <f>IF(OR(A173="",D173=""),0,MAX(0,NETWORKDAYS(MAX(D173,DATE(Einstellungen!$C$3,7,1)),MIN(J173,DATE(Einstellungen!$C$3,8,0)),Einstellungen!$F$13:$F$32)))</f>
        <v/>
      </c>
      <c r="S173" s="49">
        <f>IF(OR(A173="",D173=""),0,MAX(0,NETWORKDAYS(MAX(D173,DATE(Einstellungen!$C$3,8,1)),MIN(J173,DATE(Einstellungen!$C$3,9,0)),Einstellungen!$F$13:$F$32)))</f>
        <v/>
      </c>
      <c r="T173" s="49">
        <f>IF(OR(A173="",D173=""),0,MAX(0,NETWORKDAYS(MAX(D173,DATE(Einstellungen!$C$3,9,1)),MIN(J173,DATE(Einstellungen!$C$3,10,0)),Einstellungen!$F$13:$F$32)))</f>
        <v/>
      </c>
      <c r="U173" s="49">
        <f>IF(OR(A173="",D173=""),0,MAX(0,NETWORKDAYS(MAX(D173,DATE(Einstellungen!$C$3,10,1)),MIN(J173,DATE(Einstellungen!$C$3,11,0)),Einstellungen!$F$13:$F$32)))</f>
        <v/>
      </c>
      <c r="V173" s="49">
        <f>IF(OR(A173="",D173=""),0,MAX(0,NETWORKDAYS(MAX(D173,DATE(Einstellungen!$C$3,11,1)),MIN(J173,DATE(Einstellungen!$C$3,12,0)),Einstellungen!$F$13:$F$32)))</f>
        <v/>
      </c>
      <c r="W173" s="49">
        <f>IF(OR(A173="",D173=""),0,MAX(0,NETWORKDAYS(MAX(D173,DATE(Einstellungen!$C$3,12,1)),MIN(J173,DATE(Einstellungen!$C$3,13,0)),Einstellungen!$F$13:$F$32)))</f>
        <v/>
      </c>
      <c r="X173" s="50">
        <f>L173*K173</f>
        <v/>
      </c>
      <c r="Y173" s="50">
        <f>M173*K173</f>
        <v/>
      </c>
      <c r="Z173" s="50">
        <f>N173*K173</f>
        <v/>
      </c>
      <c r="AA173" s="50">
        <f>O173*K173</f>
        <v/>
      </c>
      <c r="AB173" s="50">
        <f>P173*K173</f>
        <v/>
      </c>
      <c r="AC173" s="50">
        <f>Q173*K173</f>
        <v/>
      </c>
      <c r="AD173" s="50">
        <f>R173*K173</f>
        <v/>
      </c>
      <c r="AE173" s="50">
        <f>S173*K173</f>
        <v/>
      </c>
      <c r="AF173" s="50">
        <f>T173*K173</f>
        <v/>
      </c>
      <c r="AG173" s="50">
        <f>U173*K173</f>
        <v/>
      </c>
      <c r="AH173" s="50">
        <f>V173*K173</f>
        <v/>
      </c>
      <c r="AI173" s="50">
        <f>W173*K173</f>
        <v/>
      </c>
    </row>
    <row r="174">
      <c r="A174" s="25" t="n"/>
      <c r="B174" s="45">
        <f>IF(A174="","",IFERROR(INDEX(Mitarbeiter!$B$6:$B$205,MATCH($A174,Mitarbeiter!$A$6:$A$205,0)),"?"))</f>
        <v/>
      </c>
      <c r="C174" s="46" t="n"/>
      <c r="D174" s="26" t="n"/>
      <c r="E174" s="26" t="n"/>
      <c r="F174" s="24">
        <f>IF(A174="","",SUM(L174:W174))</f>
        <v/>
      </c>
      <c r="G174" s="36">
        <f>IF(A174="","",SUM(X174:AI174))</f>
        <v/>
      </c>
      <c r="H174" s="8">
        <f>IF(A174="","",IF(ISNA(MATCH(A174,Mitarbeiter!$A$6:$A$205,0)),"Pers.-Nr. unbekannt",IF(D174="","Von fehlt",IF(AND(C174&lt;&gt;Einstellungen!$C$4,C174&lt;&gt;Einstellungen!$C$5),"Objekt fehlt",IF(J174&lt;D174,"Bis vor Von",IF(D174&lt;INDEX(Mitarbeiter!$C$6:$C$205,MATCH($A174,Mitarbeiter!$A$6:$A$205,0)),"vor Eintritt",IF(AND(INDEX(Mitarbeiter!$D$6:$D$205,MATCH($A174,Mitarbeiter!$A$6:$A$205,0))&lt;&gt;"",D174&gt;INDEX(Mitarbeiter!$D$6:$D$205,MATCH($A174,Mitarbeiter!$A$6:$A$205,0))),"nach Austritt",IF(E174="","offen","ok"))))))))</f>
        <v/>
      </c>
      <c r="J174" s="47">
        <f>IF(A174="","",IF(E174="",Einstellungen!$C$9,E174))</f>
        <v/>
      </c>
      <c r="K174" s="48">
        <f>IF(A174="",0,IFERROR(INDEX(Mitarbeiter!$F$6:$F$205,MATCH($A174,Mitarbeiter!$A$6:$A$205,0)),0))</f>
        <v/>
      </c>
      <c r="L174" s="49">
        <f>IF(OR(A174="",D174=""),0,MAX(0,NETWORKDAYS(MAX(D174,DATE(Einstellungen!$C$3,1,1)),MIN(J174,DATE(Einstellungen!$C$3,2,0)),Einstellungen!$F$13:$F$32)))</f>
        <v/>
      </c>
      <c r="M174" s="49">
        <f>IF(OR(A174="",D174=""),0,MAX(0,NETWORKDAYS(MAX(D174,DATE(Einstellungen!$C$3,2,1)),MIN(J174,DATE(Einstellungen!$C$3,3,0)),Einstellungen!$F$13:$F$32)))</f>
        <v/>
      </c>
      <c r="N174" s="49">
        <f>IF(OR(A174="",D174=""),0,MAX(0,NETWORKDAYS(MAX(D174,DATE(Einstellungen!$C$3,3,1)),MIN(J174,DATE(Einstellungen!$C$3,4,0)),Einstellungen!$F$13:$F$32)))</f>
        <v/>
      </c>
      <c r="O174" s="49">
        <f>IF(OR(A174="",D174=""),0,MAX(0,NETWORKDAYS(MAX(D174,DATE(Einstellungen!$C$3,4,1)),MIN(J174,DATE(Einstellungen!$C$3,5,0)),Einstellungen!$F$13:$F$32)))</f>
        <v/>
      </c>
      <c r="P174" s="49">
        <f>IF(OR(A174="",D174=""),0,MAX(0,NETWORKDAYS(MAX(D174,DATE(Einstellungen!$C$3,5,1)),MIN(J174,DATE(Einstellungen!$C$3,6,0)),Einstellungen!$F$13:$F$32)))</f>
        <v/>
      </c>
      <c r="Q174" s="49">
        <f>IF(OR(A174="",D174=""),0,MAX(0,NETWORKDAYS(MAX(D174,DATE(Einstellungen!$C$3,6,1)),MIN(J174,DATE(Einstellungen!$C$3,7,0)),Einstellungen!$F$13:$F$32)))</f>
        <v/>
      </c>
      <c r="R174" s="49">
        <f>IF(OR(A174="",D174=""),0,MAX(0,NETWORKDAYS(MAX(D174,DATE(Einstellungen!$C$3,7,1)),MIN(J174,DATE(Einstellungen!$C$3,8,0)),Einstellungen!$F$13:$F$32)))</f>
        <v/>
      </c>
      <c r="S174" s="49">
        <f>IF(OR(A174="",D174=""),0,MAX(0,NETWORKDAYS(MAX(D174,DATE(Einstellungen!$C$3,8,1)),MIN(J174,DATE(Einstellungen!$C$3,9,0)),Einstellungen!$F$13:$F$32)))</f>
        <v/>
      </c>
      <c r="T174" s="49">
        <f>IF(OR(A174="",D174=""),0,MAX(0,NETWORKDAYS(MAX(D174,DATE(Einstellungen!$C$3,9,1)),MIN(J174,DATE(Einstellungen!$C$3,10,0)),Einstellungen!$F$13:$F$32)))</f>
        <v/>
      </c>
      <c r="U174" s="49">
        <f>IF(OR(A174="",D174=""),0,MAX(0,NETWORKDAYS(MAX(D174,DATE(Einstellungen!$C$3,10,1)),MIN(J174,DATE(Einstellungen!$C$3,11,0)),Einstellungen!$F$13:$F$32)))</f>
        <v/>
      </c>
      <c r="V174" s="49">
        <f>IF(OR(A174="",D174=""),0,MAX(0,NETWORKDAYS(MAX(D174,DATE(Einstellungen!$C$3,11,1)),MIN(J174,DATE(Einstellungen!$C$3,12,0)),Einstellungen!$F$13:$F$32)))</f>
        <v/>
      </c>
      <c r="W174" s="49">
        <f>IF(OR(A174="",D174=""),0,MAX(0,NETWORKDAYS(MAX(D174,DATE(Einstellungen!$C$3,12,1)),MIN(J174,DATE(Einstellungen!$C$3,13,0)),Einstellungen!$F$13:$F$32)))</f>
        <v/>
      </c>
      <c r="X174" s="50">
        <f>L174*K174</f>
        <v/>
      </c>
      <c r="Y174" s="50">
        <f>M174*K174</f>
        <v/>
      </c>
      <c r="Z174" s="50">
        <f>N174*K174</f>
        <v/>
      </c>
      <c r="AA174" s="50">
        <f>O174*K174</f>
        <v/>
      </c>
      <c r="AB174" s="50">
        <f>P174*K174</f>
        <v/>
      </c>
      <c r="AC174" s="50">
        <f>Q174*K174</f>
        <v/>
      </c>
      <c r="AD174" s="50">
        <f>R174*K174</f>
        <v/>
      </c>
      <c r="AE174" s="50">
        <f>S174*K174</f>
        <v/>
      </c>
      <c r="AF174" s="50">
        <f>T174*K174</f>
        <v/>
      </c>
      <c r="AG174" s="50">
        <f>U174*K174</f>
        <v/>
      </c>
      <c r="AH174" s="50">
        <f>V174*K174</f>
        <v/>
      </c>
      <c r="AI174" s="50">
        <f>W174*K174</f>
        <v/>
      </c>
    </row>
    <row r="175">
      <c r="A175" s="25" t="n"/>
      <c r="B175" s="45">
        <f>IF(A175="","",IFERROR(INDEX(Mitarbeiter!$B$6:$B$205,MATCH($A175,Mitarbeiter!$A$6:$A$205,0)),"?"))</f>
        <v/>
      </c>
      <c r="C175" s="46" t="n"/>
      <c r="D175" s="26" t="n"/>
      <c r="E175" s="26" t="n"/>
      <c r="F175" s="24">
        <f>IF(A175="","",SUM(L175:W175))</f>
        <v/>
      </c>
      <c r="G175" s="36">
        <f>IF(A175="","",SUM(X175:AI175))</f>
        <v/>
      </c>
      <c r="H175" s="8">
        <f>IF(A175="","",IF(ISNA(MATCH(A175,Mitarbeiter!$A$6:$A$205,0)),"Pers.-Nr. unbekannt",IF(D175="","Von fehlt",IF(AND(C175&lt;&gt;Einstellungen!$C$4,C175&lt;&gt;Einstellungen!$C$5),"Objekt fehlt",IF(J175&lt;D175,"Bis vor Von",IF(D175&lt;INDEX(Mitarbeiter!$C$6:$C$205,MATCH($A175,Mitarbeiter!$A$6:$A$205,0)),"vor Eintritt",IF(AND(INDEX(Mitarbeiter!$D$6:$D$205,MATCH($A175,Mitarbeiter!$A$6:$A$205,0))&lt;&gt;"",D175&gt;INDEX(Mitarbeiter!$D$6:$D$205,MATCH($A175,Mitarbeiter!$A$6:$A$205,0))),"nach Austritt",IF(E175="","offen","ok"))))))))</f>
        <v/>
      </c>
      <c r="J175" s="47">
        <f>IF(A175="","",IF(E175="",Einstellungen!$C$9,E175))</f>
        <v/>
      </c>
      <c r="K175" s="48">
        <f>IF(A175="",0,IFERROR(INDEX(Mitarbeiter!$F$6:$F$205,MATCH($A175,Mitarbeiter!$A$6:$A$205,0)),0))</f>
        <v/>
      </c>
      <c r="L175" s="49">
        <f>IF(OR(A175="",D175=""),0,MAX(0,NETWORKDAYS(MAX(D175,DATE(Einstellungen!$C$3,1,1)),MIN(J175,DATE(Einstellungen!$C$3,2,0)),Einstellungen!$F$13:$F$32)))</f>
        <v/>
      </c>
      <c r="M175" s="49">
        <f>IF(OR(A175="",D175=""),0,MAX(0,NETWORKDAYS(MAX(D175,DATE(Einstellungen!$C$3,2,1)),MIN(J175,DATE(Einstellungen!$C$3,3,0)),Einstellungen!$F$13:$F$32)))</f>
        <v/>
      </c>
      <c r="N175" s="49">
        <f>IF(OR(A175="",D175=""),0,MAX(0,NETWORKDAYS(MAX(D175,DATE(Einstellungen!$C$3,3,1)),MIN(J175,DATE(Einstellungen!$C$3,4,0)),Einstellungen!$F$13:$F$32)))</f>
        <v/>
      </c>
      <c r="O175" s="49">
        <f>IF(OR(A175="",D175=""),0,MAX(0,NETWORKDAYS(MAX(D175,DATE(Einstellungen!$C$3,4,1)),MIN(J175,DATE(Einstellungen!$C$3,5,0)),Einstellungen!$F$13:$F$32)))</f>
        <v/>
      </c>
      <c r="P175" s="49">
        <f>IF(OR(A175="",D175=""),0,MAX(0,NETWORKDAYS(MAX(D175,DATE(Einstellungen!$C$3,5,1)),MIN(J175,DATE(Einstellungen!$C$3,6,0)),Einstellungen!$F$13:$F$32)))</f>
        <v/>
      </c>
      <c r="Q175" s="49">
        <f>IF(OR(A175="",D175=""),0,MAX(0,NETWORKDAYS(MAX(D175,DATE(Einstellungen!$C$3,6,1)),MIN(J175,DATE(Einstellungen!$C$3,7,0)),Einstellungen!$F$13:$F$32)))</f>
        <v/>
      </c>
      <c r="R175" s="49">
        <f>IF(OR(A175="",D175=""),0,MAX(0,NETWORKDAYS(MAX(D175,DATE(Einstellungen!$C$3,7,1)),MIN(J175,DATE(Einstellungen!$C$3,8,0)),Einstellungen!$F$13:$F$32)))</f>
        <v/>
      </c>
      <c r="S175" s="49">
        <f>IF(OR(A175="",D175=""),0,MAX(0,NETWORKDAYS(MAX(D175,DATE(Einstellungen!$C$3,8,1)),MIN(J175,DATE(Einstellungen!$C$3,9,0)),Einstellungen!$F$13:$F$32)))</f>
        <v/>
      </c>
      <c r="T175" s="49">
        <f>IF(OR(A175="",D175=""),0,MAX(0,NETWORKDAYS(MAX(D175,DATE(Einstellungen!$C$3,9,1)),MIN(J175,DATE(Einstellungen!$C$3,10,0)),Einstellungen!$F$13:$F$32)))</f>
        <v/>
      </c>
      <c r="U175" s="49">
        <f>IF(OR(A175="",D175=""),0,MAX(0,NETWORKDAYS(MAX(D175,DATE(Einstellungen!$C$3,10,1)),MIN(J175,DATE(Einstellungen!$C$3,11,0)),Einstellungen!$F$13:$F$32)))</f>
        <v/>
      </c>
      <c r="V175" s="49">
        <f>IF(OR(A175="",D175=""),0,MAX(0,NETWORKDAYS(MAX(D175,DATE(Einstellungen!$C$3,11,1)),MIN(J175,DATE(Einstellungen!$C$3,12,0)),Einstellungen!$F$13:$F$32)))</f>
        <v/>
      </c>
      <c r="W175" s="49">
        <f>IF(OR(A175="",D175=""),0,MAX(0,NETWORKDAYS(MAX(D175,DATE(Einstellungen!$C$3,12,1)),MIN(J175,DATE(Einstellungen!$C$3,13,0)),Einstellungen!$F$13:$F$32)))</f>
        <v/>
      </c>
      <c r="X175" s="50">
        <f>L175*K175</f>
        <v/>
      </c>
      <c r="Y175" s="50">
        <f>M175*K175</f>
        <v/>
      </c>
      <c r="Z175" s="50">
        <f>N175*K175</f>
        <v/>
      </c>
      <c r="AA175" s="50">
        <f>O175*K175</f>
        <v/>
      </c>
      <c r="AB175" s="50">
        <f>P175*K175</f>
        <v/>
      </c>
      <c r="AC175" s="50">
        <f>Q175*K175</f>
        <v/>
      </c>
      <c r="AD175" s="50">
        <f>R175*K175</f>
        <v/>
      </c>
      <c r="AE175" s="50">
        <f>S175*K175</f>
        <v/>
      </c>
      <c r="AF175" s="50">
        <f>T175*K175</f>
        <v/>
      </c>
      <c r="AG175" s="50">
        <f>U175*K175</f>
        <v/>
      </c>
      <c r="AH175" s="50">
        <f>V175*K175</f>
        <v/>
      </c>
      <c r="AI175" s="50">
        <f>W175*K175</f>
        <v/>
      </c>
    </row>
    <row r="176">
      <c r="A176" s="25" t="n"/>
      <c r="B176" s="45">
        <f>IF(A176="","",IFERROR(INDEX(Mitarbeiter!$B$6:$B$205,MATCH($A176,Mitarbeiter!$A$6:$A$205,0)),"?"))</f>
        <v/>
      </c>
      <c r="C176" s="46" t="n"/>
      <c r="D176" s="26" t="n"/>
      <c r="E176" s="26" t="n"/>
      <c r="F176" s="24">
        <f>IF(A176="","",SUM(L176:W176))</f>
        <v/>
      </c>
      <c r="G176" s="36">
        <f>IF(A176="","",SUM(X176:AI176))</f>
        <v/>
      </c>
      <c r="H176" s="8">
        <f>IF(A176="","",IF(ISNA(MATCH(A176,Mitarbeiter!$A$6:$A$205,0)),"Pers.-Nr. unbekannt",IF(D176="","Von fehlt",IF(AND(C176&lt;&gt;Einstellungen!$C$4,C176&lt;&gt;Einstellungen!$C$5),"Objekt fehlt",IF(J176&lt;D176,"Bis vor Von",IF(D176&lt;INDEX(Mitarbeiter!$C$6:$C$205,MATCH($A176,Mitarbeiter!$A$6:$A$205,0)),"vor Eintritt",IF(AND(INDEX(Mitarbeiter!$D$6:$D$205,MATCH($A176,Mitarbeiter!$A$6:$A$205,0))&lt;&gt;"",D176&gt;INDEX(Mitarbeiter!$D$6:$D$205,MATCH($A176,Mitarbeiter!$A$6:$A$205,0))),"nach Austritt",IF(E176="","offen","ok"))))))))</f>
        <v/>
      </c>
      <c r="J176" s="47">
        <f>IF(A176="","",IF(E176="",Einstellungen!$C$9,E176))</f>
        <v/>
      </c>
      <c r="K176" s="48">
        <f>IF(A176="",0,IFERROR(INDEX(Mitarbeiter!$F$6:$F$205,MATCH($A176,Mitarbeiter!$A$6:$A$205,0)),0))</f>
        <v/>
      </c>
      <c r="L176" s="49">
        <f>IF(OR(A176="",D176=""),0,MAX(0,NETWORKDAYS(MAX(D176,DATE(Einstellungen!$C$3,1,1)),MIN(J176,DATE(Einstellungen!$C$3,2,0)),Einstellungen!$F$13:$F$32)))</f>
        <v/>
      </c>
      <c r="M176" s="49">
        <f>IF(OR(A176="",D176=""),0,MAX(0,NETWORKDAYS(MAX(D176,DATE(Einstellungen!$C$3,2,1)),MIN(J176,DATE(Einstellungen!$C$3,3,0)),Einstellungen!$F$13:$F$32)))</f>
        <v/>
      </c>
      <c r="N176" s="49">
        <f>IF(OR(A176="",D176=""),0,MAX(0,NETWORKDAYS(MAX(D176,DATE(Einstellungen!$C$3,3,1)),MIN(J176,DATE(Einstellungen!$C$3,4,0)),Einstellungen!$F$13:$F$32)))</f>
        <v/>
      </c>
      <c r="O176" s="49">
        <f>IF(OR(A176="",D176=""),0,MAX(0,NETWORKDAYS(MAX(D176,DATE(Einstellungen!$C$3,4,1)),MIN(J176,DATE(Einstellungen!$C$3,5,0)),Einstellungen!$F$13:$F$32)))</f>
        <v/>
      </c>
      <c r="P176" s="49">
        <f>IF(OR(A176="",D176=""),0,MAX(0,NETWORKDAYS(MAX(D176,DATE(Einstellungen!$C$3,5,1)),MIN(J176,DATE(Einstellungen!$C$3,6,0)),Einstellungen!$F$13:$F$32)))</f>
        <v/>
      </c>
      <c r="Q176" s="49">
        <f>IF(OR(A176="",D176=""),0,MAX(0,NETWORKDAYS(MAX(D176,DATE(Einstellungen!$C$3,6,1)),MIN(J176,DATE(Einstellungen!$C$3,7,0)),Einstellungen!$F$13:$F$32)))</f>
        <v/>
      </c>
      <c r="R176" s="49">
        <f>IF(OR(A176="",D176=""),0,MAX(0,NETWORKDAYS(MAX(D176,DATE(Einstellungen!$C$3,7,1)),MIN(J176,DATE(Einstellungen!$C$3,8,0)),Einstellungen!$F$13:$F$32)))</f>
        <v/>
      </c>
      <c r="S176" s="49">
        <f>IF(OR(A176="",D176=""),0,MAX(0,NETWORKDAYS(MAX(D176,DATE(Einstellungen!$C$3,8,1)),MIN(J176,DATE(Einstellungen!$C$3,9,0)),Einstellungen!$F$13:$F$32)))</f>
        <v/>
      </c>
      <c r="T176" s="49">
        <f>IF(OR(A176="",D176=""),0,MAX(0,NETWORKDAYS(MAX(D176,DATE(Einstellungen!$C$3,9,1)),MIN(J176,DATE(Einstellungen!$C$3,10,0)),Einstellungen!$F$13:$F$32)))</f>
        <v/>
      </c>
      <c r="U176" s="49">
        <f>IF(OR(A176="",D176=""),0,MAX(0,NETWORKDAYS(MAX(D176,DATE(Einstellungen!$C$3,10,1)),MIN(J176,DATE(Einstellungen!$C$3,11,0)),Einstellungen!$F$13:$F$32)))</f>
        <v/>
      </c>
      <c r="V176" s="49">
        <f>IF(OR(A176="",D176=""),0,MAX(0,NETWORKDAYS(MAX(D176,DATE(Einstellungen!$C$3,11,1)),MIN(J176,DATE(Einstellungen!$C$3,12,0)),Einstellungen!$F$13:$F$32)))</f>
        <v/>
      </c>
      <c r="W176" s="49">
        <f>IF(OR(A176="",D176=""),0,MAX(0,NETWORKDAYS(MAX(D176,DATE(Einstellungen!$C$3,12,1)),MIN(J176,DATE(Einstellungen!$C$3,13,0)),Einstellungen!$F$13:$F$32)))</f>
        <v/>
      </c>
      <c r="X176" s="50">
        <f>L176*K176</f>
        <v/>
      </c>
      <c r="Y176" s="50">
        <f>M176*K176</f>
        <v/>
      </c>
      <c r="Z176" s="50">
        <f>N176*K176</f>
        <v/>
      </c>
      <c r="AA176" s="50">
        <f>O176*K176</f>
        <v/>
      </c>
      <c r="AB176" s="50">
        <f>P176*K176</f>
        <v/>
      </c>
      <c r="AC176" s="50">
        <f>Q176*K176</f>
        <v/>
      </c>
      <c r="AD176" s="50">
        <f>R176*K176</f>
        <v/>
      </c>
      <c r="AE176" s="50">
        <f>S176*K176</f>
        <v/>
      </c>
      <c r="AF176" s="50">
        <f>T176*K176</f>
        <v/>
      </c>
      <c r="AG176" s="50">
        <f>U176*K176</f>
        <v/>
      </c>
      <c r="AH176" s="50">
        <f>V176*K176</f>
        <v/>
      </c>
      <c r="AI176" s="50">
        <f>W176*K176</f>
        <v/>
      </c>
    </row>
    <row r="177">
      <c r="A177" s="25" t="n"/>
      <c r="B177" s="45">
        <f>IF(A177="","",IFERROR(INDEX(Mitarbeiter!$B$6:$B$205,MATCH($A177,Mitarbeiter!$A$6:$A$205,0)),"?"))</f>
        <v/>
      </c>
      <c r="C177" s="46" t="n"/>
      <c r="D177" s="26" t="n"/>
      <c r="E177" s="26" t="n"/>
      <c r="F177" s="24">
        <f>IF(A177="","",SUM(L177:W177))</f>
        <v/>
      </c>
      <c r="G177" s="36">
        <f>IF(A177="","",SUM(X177:AI177))</f>
        <v/>
      </c>
      <c r="H177" s="8">
        <f>IF(A177="","",IF(ISNA(MATCH(A177,Mitarbeiter!$A$6:$A$205,0)),"Pers.-Nr. unbekannt",IF(D177="","Von fehlt",IF(AND(C177&lt;&gt;Einstellungen!$C$4,C177&lt;&gt;Einstellungen!$C$5),"Objekt fehlt",IF(J177&lt;D177,"Bis vor Von",IF(D177&lt;INDEX(Mitarbeiter!$C$6:$C$205,MATCH($A177,Mitarbeiter!$A$6:$A$205,0)),"vor Eintritt",IF(AND(INDEX(Mitarbeiter!$D$6:$D$205,MATCH($A177,Mitarbeiter!$A$6:$A$205,0))&lt;&gt;"",D177&gt;INDEX(Mitarbeiter!$D$6:$D$205,MATCH($A177,Mitarbeiter!$A$6:$A$205,0))),"nach Austritt",IF(E177="","offen","ok"))))))))</f>
        <v/>
      </c>
      <c r="J177" s="47">
        <f>IF(A177="","",IF(E177="",Einstellungen!$C$9,E177))</f>
        <v/>
      </c>
      <c r="K177" s="48">
        <f>IF(A177="",0,IFERROR(INDEX(Mitarbeiter!$F$6:$F$205,MATCH($A177,Mitarbeiter!$A$6:$A$205,0)),0))</f>
        <v/>
      </c>
      <c r="L177" s="49">
        <f>IF(OR(A177="",D177=""),0,MAX(0,NETWORKDAYS(MAX(D177,DATE(Einstellungen!$C$3,1,1)),MIN(J177,DATE(Einstellungen!$C$3,2,0)),Einstellungen!$F$13:$F$32)))</f>
        <v/>
      </c>
      <c r="M177" s="49">
        <f>IF(OR(A177="",D177=""),0,MAX(0,NETWORKDAYS(MAX(D177,DATE(Einstellungen!$C$3,2,1)),MIN(J177,DATE(Einstellungen!$C$3,3,0)),Einstellungen!$F$13:$F$32)))</f>
        <v/>
      </c>
      <c r="N177" s="49">
        <f>IF(OR(A177="",D177=""),0,MAX(0,NETWORKDAYS(MAX(D177,DATE(Einstellungen!$C$3,3,1)),MIN(J177,DATE(Einstellungen!$C$3,4,0)),Einstellungen!$F$13:$F$32)))</f>
        <v/>
      </c>
      <c r="O177" s="49">
        <f>IF(OR(A177="",D177=""),0,MAX(0,NETWORKDAYS(MAX(D177,DATE(Einstellungen!$C$3,4,1)),MIN(J177,DATE(Einstellungen!$C$3,5,0)),Einstellungen!$F$13:$F$32)))</f>
        <v/>
      </c>
      <c r="P177" s="49">
        <f>IF(OR(A177="",D177=""),0,MAX(0,NETWORKDAYS(MAX(D177,DATE(Einstellungen!$C$3,5,1)),MIN(J177,DATE(Einstellungen!$C$3,6,0)),Einstellungen!$F$13:$F$32)))</f>
        <v/>
      </c>
      <c r="Q177" s="49">
        <f>IF(OR(A177="",D177=""),0,MAX(0,NETWORKDAYS(MAX(D177,DATE(Einstellungen!$C$3,6,1)),MIN(J177,DATE(Einstellungen!$C$3,7,0)),Einstellungen!$F$13:$F$32)))</f>
        <v/>
      </c>
      <c r="R177" s="49">
        <f>IF(OR(A177="",D177=""),0,MAX(0,NETWORKDAYS(MAX(D177,DATE(Einstellungen!$C$3,7,1)),MIN(J177,DATE(Einstellungen!$C$3,8,0)),Einstellungen!$F$13:$F$32)))</f>
        <v/>
      </c>
      <c r="S177" s="49">
        <f>IF(OR(A177="",D177=""),0,MAX(0,NETWORKDAYS(MAX(D177,DATE(Einstellungen!$C$3,8,1)),MIN(J177,DATE(Einstellungen!$C$3,9,0)),Einstellungen!$F$13:$F$32)))</f>
        <v/>
      </c>
      <c r="T177" s="49">
        <f>IF(OR(A177="",D177=""),0,MAX(0,NETWORKDAYS(MAX(D177,DATE(Einstellungen!$C$3,9,1)),MIN(J177,DATE(Einstellungen!$C$3,10,0)),Einstellungen!$F$13:$F$32)))</f>
        <v/>
      </c>
      <c r="U177" s="49">
        <f>IF(OR(A177="",D177=""),0,MAX(0,NETWORKDAYS(MAX(D177,DATE(Einstellungen!$C$3,10,1)),MIN(J177,DATE(Einstellungen!$C$3,11,0)),Einstellungen!$F$13:$F$32)))</f>
        <v/>
      </c>
      <c r="V177" s="49">
        <f>IF(OR(A177="",D177=""),0,MAX(0,NETWORKDAYS(MAX(D177,DATE(Einstellungen!$C$3,11,1)),MIN(J177,DATE(Einstellungen!$C$3,12,0)),Einstellungen!$F$13:$F$32)))</f>
        <v/>
      </c>
      <c r="W177" s="49">
        <f>IF(OR(A177="",D177=""),0,MAX(0,NETWORKDAYS(MAX(D177,DATE(Einstellungen!$C$3,12,1)),MIN(J177,DATE(Einstellungen!$C$3,13,0)),Einstellungen!$F$13:$F$32)))</f>
        <v/>
      </c>
      <c r="X177" s="50">
        <f>L177*K177</f>
        <v/>
      </c>
      <c r="Y177" s="50">
        <f>M177*K177</f>
        <v/>
      </c>
      <c r="Z177" s="50">
        <f>N177*K177</f>
        <v/>
      </c>
      <c r="AA177" s="50">
        <f>O177*K177</f>
        <v/>
      </c>
      <c r="AB177" s="50">
        <f>P177*K177</f>
        <v/>
      </c>
      <c r="AC177" s="50">
        <f>Q177*K177</f>
        <v/>
      </c>
      <c r="AD177" s="50">
        <f>R177*K177</f>
        <v/>
      </c>
      <c r="AE177" s="50">
        <f>S177*K177</f>
        <v/>
      </c>
      <c r="AF177" s="50">
        <f>T177*K177</f>
        <v/>
      </c>
      <c r="AG177" s="50">
        <f>U177*K177</f>
        <v/>
      </c>
      <c r="AH177" s="50">
        <f>V177*K177</f>
        <v/>
      </c>
      <c r="AI177" s="50">
        <f>W177*K177</f>
        <v/>
      </c>
    </row>
    <row r="178">
      <c r="A178" s="25" t="n"/>
      <c r="B178" s="45">
        <f>IF(A178="","",IFERROR(INDEX(Mitarbeiter!$B$6:$B$205,MATCH($A178,Mitarbeiter!$A$6:$A$205,0)),"?"))</f>
        <v/>
      </c>
      <c r="C178" s="46" t="n"/>
      <c r="D178" s="26" t="n"/>
      <c r="E178" s="26" t="n"/>
      <c r="F178" s="24">
        <f>IF(A178="","",SUM(L178:W178))</f>
        <v/>
      </c>
      <c r="G178" s="36">
        <f>IF(A178="","",SUM(X178:AI178))</f>
        <v/>
      </c>
      <c r="H178" s="8">
        <f>IF(A178="","",IF(ISNA(MATCH(A178,Mitarbeiter!$A$6:$A$205,0)),"Pers.-Nr. unbekannt",IF(D178="","Von fehlt",IF(AND(C178&lt;&gt;Einstellungen!$C$4,C178&lt;&gt;Einstellungen!$C$5),"Objekt fehlt",IF(J178&lt;D178,"Bis vor Von",IF(D178&lt;INDEX(Mitarbeiter!$C$6:$C$205,MATCH($A178,Mitarbeiter!$A$6:$A$205,0)),"vor Eintritt",IF(AND(INDEX(Mitarbeiter!$D$6:$D$205,MATCH($A178,Mitarbeiter!$A$6:$A$205,0))&lt;&gt;"",D178&gt;INDEX(Mitarbeiter!$D$6:$D$205,MATCH($A178,Mitarbeiter!$A$6:$A$205,0))),"nach Austritt",IF(E178="","offen","ok"))))))))</f>
        <v/>
      </c>
      <c r="J178" s="47">
        <f>IF(A178="","",IF(E178="",Einstellungen!$C$9,E178))</f>
        <v/>
      </c>
      <c r="K178" s="48">
        <f>IF(A178="",0,IFERROR(INDEX(Mitarbeiter!$F$6:$F$205,MATCH($A178,Mitarbeiter!$A$6:$A$205,0)),0))</f>
        <v/>
      </c>
      <c r="L178" s="49">
        <f>IF(OR(A178="",D178=""),0,MAX(0,NETWORKDAYS(MAX(D178,DATE(Einstellungen!$C$3,1,1)),MIN(J178,DATE(Einstellungen!$C$3,2,0)),Einstellungen!$F$13:$F$32)))</f>
        <v/>
      </c>
      <c r="M178" s="49">
        <f>IF(OR(A178="",D178=""),0,MAX(0,NETWORKDAYS(MAX(D178,DATE(Einstellungen!$C$3,2,1)),MIN(J178,DATE(Einstellungen!$C$3,3,0)),Einstellungen!$F$13:$F$32)))</f>
        <v/>
      </c>
      <c r="N178" s="49">
        <f>IF(OR(A178="",D178=""),0,MAX(0,NETWORKDAYS(MAX(D178,DATE(Einstellungen!$C$3,3,1)),MIN(J178,DATE(Einstellungen!$C$3,4,0)),Einstellungen!$F$13:$F$32)))</f>
        <v/>
      </c>
      <c r="O178" s="49">
        <f>IF(OR(A178="",D178=""),0,MAX(0,NETWORKDAYS(MAX(D178,DATE(Einstellungen!$C$3,4,1)),MIN(J178,DATE(Einstellungen!$C$3,5,0)),Einstellungen!$F$13:$F$32)))</f>
        <v/>
      </c>
      <c r="P178" s="49">
        <f>IF(OR(A178="",D178=""),0,MAX(0,NETWORKDAYS(MAX(D178,DATE(Einstellungen!$C$3,5,1)),MIN(J178,DATE(Einstellungen!$C$3,6,0)),Einstellungen!$F$13:$F$32)))</f>
        <v/>
      </c>
      <c r="Q178" s="49">
        <f>IF(OR(A178="",D178=""),0,MAX(0,NETWORKDAYS(MAX(D178,DATE(Einstellungen!$C$3,6,1)),MIN(J178,DATE(Einstellungen!$C$3,7,0)),Einstellungen!$F$13:$F$32)))</f>
        <v/>
      </c>
      <c r="R178" s="49">
        <f>IF(OR(A178="",D178=""),0,MAX(0,NETWORKDAYS(MAX(D178,DATE(Einstellungen!$C$3,7,1)),MIN(J178,DATE(Einstellungen!$C$3,8,0)),Einstellungen!$F$13:$F$32)))</f>
        <v/>
      </c>
      <c r="S178" s="49">
        <f>IF(OR(A178="",D178=""),0,MAX(0,NETWORKDAYS(MAX(D178,DATE(Einstellungen!$C$3,8,1)),MIN(J178,DATE(Einstellungen!$C$3,9,0)),Einstellungen!$F$13:$F$32)))</f>
        <v/>
      </c>
      <c r="T178" s="49">
        <f>IF(OR(A178="",D178=""),0,MAX(0,NETWORKDAYS(MAX(D178,DATE(Einstellungen!$C$3,9,1)),MIN(J178,DATE(Einstellungen!$C$3,10,0)),Einstellungen!$F$13:$F$32)))</f>
        <v/>
      </c>
      <c r="U178" s="49">
        <f>IF(OR(A178="",D178=""),0,MAX(0,NETWORKDAYS(MAX(D178,DATE(Einstellungen!$C$3,10,1)),MIN(J178,DATE(Einstellungen!$C$3,11,0)),Einstellungen!$F$13:$F$32)))</f>
        <v/>
      </c>
      <c r="V178" s="49">
        <f>IF(OR(A178="",D178=""),0,MAX(0,NETWORKDAYS(MAX(D178,DATE(Einstellungen!$C$3,11,1)),MIN(J178,DATE(Einstellungen!$C$3,12,0)),Einstellungen!$F$13:$F$32)))</f>
        <v/>
      </c>
      <c r="W178" s="49">
        <f>IF(OR(A178="",D178=""),0,MAX(0,NETWORKDAYS(MAX(D178,DATE(Einstellungen!$C$3,12,1)),MIN(J178,DATE(Einstellungen!$C$3,13,0)),Einstellungen!$F$13:$F$32)))</f>
        <v/>
      </c>
      <c r="X178" s="50">
        <f>L178*K178</f>
        <v/>
      </c>
      <c r="Y178" s="50">
        <f>M178*K178</f>
        <v/>
      </c>
      <c r="Z178" s="50">
        <f>N178*K178</f>
        <v/>
      </c>
      <c r="AA178" s="50">
        <f>O178*K178</f>
        <v/>
      </c>
      <c r="AB178" s="50">
        <f>P178*K178</f>
        <v/>
      </c>
      <c r="AC178" s="50">
        <f>Q178*K178</f>
        <v/>
      </c>
      <c r="AD178" s="50">
        <f>R178*K178</f>
        <v/>
      </c>
      <c r="AE178" s="50">
        <f>S178*K178</f>
        <v/>
      </c>
      <c r="AF178" s="50">
        <f>T178*K178</f>
        <v/>
      </c>
      <c r="AG178" s="50">
        <f>U178*K178</f>
        <v/>
      </c>
      <c r="AH178" s="50">
        <f>V178*K178</f>
        <v/>
      </c>
      <c r="AI178" s="50">
        <f>W178*K178</f>
        <v/>
      </c>
    </row>
    <row r="179">
      <c r="A179" s="25" t="n"/>
      <c r="B179" s="45">
        <f>IF(A179="","",IFERROR(INDEX(Mitarbeiter!$B$6:$B$205,MATCH($A179,Mitarbeiter!$A$6:$A$205,0)),"?"))</f>
        <v/>
      </c>
      <c r="C179" s="46" t="n"/>
      <c r="D179" s="26" t="n"/>
      <c r="E179" s="26" t="n"/>
      <c r="F179" s="24">
        <f>IF(A179="","",SUM(L179:W179))</f>
        <v/>
      </c>
      <c r="G179" s="36">
        <f>IF(A179="","",SUM(X179:AI179))</f>
        <v/>
      </c>
      <c r="H179" s="8">
        <f>IF(A179="","",IF(ISNA(MATCH(A179,Mitarbeiter!$A$6:$A$205,0)),"Pers.-Nr. unbekannt",IF(D179="","Von fehlt",IF(AND(C179&lt;&gt;Einstellungen!$C$4,C179&lt;&gt;Einstellungen!$C$5),"Objekt fehlt",IF(J179&lt;D179,"Bis vor Von",IF(D179&lt;INDEX(Mitarbeiter!$C$6:$C$205,MATCH($A179,Mitarbeiter!$A$6:$A$205,0)),"vor Eintritt",IF(AND(INDEX(Mitarbeiter!$D$6:$D$205,MATCH($A179,Mitarbeiter!$A$6:$A$205,0))&lt;&gt;"",D179&gt;INDEX(Mitarbeiter!$D$6:$D$205,MATCH($A179,Mitarbeiter!$A$6:$A$205,0))),"nach Austritt",IF(E179="","offen","ok"))))))))</f>
        <v/>
      </c>
      <c r="J179" s="47">
        <f>IF(A179="","",IF(E179="",Einstellungen!$C$9,E179))</f>
        <v/>
      </c>
      <c r="K179" s="48">
        <f>IF(A179="",0,IFERROR(INDEX(Mitarbeiter!$F$6:$F$205,MATCH($A179,Mitarbeiter!$A$6:$A$205,0)),0))</f>
        <v/>
      </c>
      <c r="L179" s="49">
        <f>IF(OR(A179="",D179=""),0,MAX(0,NETWORKDAYS(MAX(D179,DATE(Einstellungen!$C$3,1,1)),MIN(J179,DATE(Einstellungen!$C$3,2,0)),Einstellungen!$F$13:$F$32)))</f>
        <v/>
      </c>
      <c r="M179" s="49">
        <f>IF(OR(A179="",D179=""),0,MAX(0,NETWORKDAYS(MAX(D179,DATE(Einstellungen!$C$3,2,1)),MIN(J179,DATE(Einstellungen!$C$3,3,0)),Einstellungen!$F$13:$F$32)))</f>
        <v/>
      </c>
      <c r="N179" s="49">
        <f>IF(OR(A179="",D179=""),0,MAX(0,NETWORKDAYS(MAX(D179,DATE(Einstellungen!$C$3,3,1)),MIN(J179,DATE(Einstellungen!$C$3,4,0)),Einstellungen!$F$13:$F$32)))</f>
        <v/>
      </c>
      <c r="O179" s="49">
        <f>IF(OR(A179="",D179=""),0,MAX(0,NETWORKDAYS(MAX(D179,DATE(Einstellungen!$C$3,4,1)),MIN(J179,DATE(Einstellungen!$C$3,5,0)),Einstellungen!$F$13:$F$32)))</f>
        <v/>
      </c>
      <c r="P179" s="49">
        <f>IF(OR(A179="",D179=""),0,MAX(0,NETWORKDAYS(MAX(D179,DATE(Einstellungen!$C$3,5,1)),MIN(J179,DATE(Einstellungen!$C$3,6,0)),Einstellungen!$F$13:$F$32)))</f>
        <v/>
      </c>
      <c r="Q179" s="49">
        <f>IF(OR(A179="",D179=""),0,MAX(0,NETWORKDAYS(MAX(D179,DATE(Einstellungen!$C$3,6,1)),MIN(J179,DATE(Einstellungen!$C$3,7,0)),Einstellungen!$F$13:$F$32)))</f>
        <v/>
      </c>
      <c r="R179" s="49">
        <f>IF(OR(A179="",D179=""),0,MAX(0,NETWORKDAYS(MAX(D179,DATE(Einstellungen!$C$3,7,1)),MIN(J179,DATE(Einstellungen!$C$3,8,0)),Einstellungen!$F$13:$F$32)))</f>
        <v/>
      </c>
      <c r="S179" s="49">
        <f>IF(OR(A179="",D179=""),0,MAX(0,NETWORKDAYS(MAX(D179,DATE(Einstellungen!$C$3,8,1)),MIN(J179,DATE(Einstellungen!$C$3,9,0)),Einstellungen!$F$13:$F$32)))</f>
        <v/>
      </c>
      <c r="T179" s="49">
        <f>IF(OR(A179="",D179=""),0,MAX(0,NETWORKDAYS(MAX(D179,DATE(Einstellungen!$C$3,9,1)),MIN(J179,DATE(Einstellungen!$C$3,10,0)),Einstellungen!$F$13:$F$32)))</f>
        <v/>
      </c>
      <c r="U179" s="49">
        <f>IF(OR(A179="",D179=""),0,MAX(0,NETWORKDAYS(MAX(D179,DATE(Einstellungen!$C$3,10,1)),MIN(J179,DATE(Einstellungen!$C$3,11,0)),Einstellungen!$F$13:$F$32)))</f>
        <v/>
      </c>
      <c r="V179" s="49">
        <f>IF(OR(A179="",D179=""),0,MAX(0,NETWORKDAYS(MAX(D179,DATE(Einstellungen!$C$3,11,1)),MIN(J179,DATE(Einstellungen!$C$3,12,0)),Einstellungen!$F$13:$F$32)))</f>
        <v/>
      </c>
      <c r="W179" s="49">
        <f>IF(OR(A179="",D179=""),0,MAX(0,NETWORKDAYS(MAX(D179,DATE(Einstellungen!$C$3,12,1)),MIN(J179,DATE(Einstellungen!$C$3,13,0)),Einstellungen!$F$13:$F$32)))</f>
        <v/>
      </c>
      <c r="X179" s="50">
        <f>L179*K179</f>
        <v/>
      </c>
      <c r="Y179" s="50">
        <f>M179*K179</f>
        <v/>
      </c>
      <c r="Z179" s="50">
        <f>N179*K179</f>
        <v/>
      </c>
      <c r="AA179" s="50">
        <f>O179*K179</f>
        <v/>
      </c>
      <c r="AB179" s="50">
        <f>P179*K179</f>
        <v/>
      </c>
      <c r="AC179" s="50">
        <f>Q179*K179</f>
        <v/>
      </c>
      <c r="AD179" s="50">
        <f>R179*K179</f>
        <v/>
      </c>
      <c r="AE179" s="50">
        <f>S179*K179</f>
        <v/>
      </c>
      <c r="AF179" s="50">
        <f>T179*K179</f>
        <v/>
      </c>
      <c r="AG179" s="50">
        <f>U179*K179</f>
        <v/>
      </c>
      <c r="AH179" s="50">
        <f>V179*K179</f>
        <v/>
      </c>
      <c r="AI179" s="50">
        <f>W179*K179</f>
        <v/>
      </c>
    </row>
    <row r="180">
      <c r="A180" s="25" t="n"/>
      <c r="B180" s="45">
        <f>IF(A180="","",IFERROR(INDEX(Mitarbeiter!$B$6:$B$205,MATCH($A180,Mitarbeiter!$A$6:$A$205,0)),"?"))</f>
        <v/>
      </c>
      <c r="C180" s="46" t="n"/>
      <c r="D180" s="26" t="n"/>
      <c r="E180" s="26" t="n"/>
      <c r="F180" s="24">
        <f>IF(A180="","",SUM(L180:W180))</f>
        <v/>
      </c>
      <c r="G180" s="36">
        <f>IF(A180="","",SUM(X180:AI180))</f>
        <v/>
      </c>
      <c r="H180" s="8">
        <f>IF(A180="","",IF(ISNA(MATCH(A180,Mitarbeiter!$A$6:$A$205,0)),"Pers.-Nr. unbekannt",IF(D180="","Von fehlt",IF(AND(C180&lt;&gt;Einstellungen!$C$4,C180&lt;&gt;Einstellungen!$C$5),"Objekt fehlt",IF(J180&lt;D180,"Bis vor Von",IF(D180&lt;INDEX(Mitarbeiter!$C$6:$C$205,MATCH($A180,Mitarbeiter!$A$6:$A$205,0)),"vor Eintritt",IF(AND(INDEX(Mitarbeiter!$D$6:$D$205,MATCH($A180,Mitarbeiter!$A$6:$A$205,0))&lt;&gt;"",D180&gt;INDEX(Mitarbeiter!$D$6:$D$205,MATCH($A180,Mitarbeiter!$A$6:$A$205,0))),"nach Austritt",IF(E180="","offen","ok"))))))))</f>
        <v/>
      </c>
      <c r="J180" s="47">
        <f>IF(A180="","",IF(E180="",Einstellungen!$C$9,E180))</f>
        <v/>
      </c>
      <c r="K180" s="48">
        <f>IF(A180="",0,IFERROR(INDEX(Mitarbeiter!$F$6:$F$205,MATCH($A180,Mitarbeiter!$A$6:$A$205,0)),0))</f>
        <v/>
      </c>
      <c r="L180" s="49">
        <f>IF(OR(A180="",D180=""),0,MAX(0,NETWORKDAYS(MAX(D180,DATE(Einstellungen!$C$3,1,1)),MIN(J180,DATE(Einstellungen!$C$3,2,0)),Einstellungen!$F$13:$F$32)))</f>
        <v/>
      </c>
      <c r="M180" s="49">
        <f>IF(OR(A180="",D180=""),0,MAX(0,NETWORKDAYS(MAX(D180,DATE(Einstellungen!$C$3,2,1)),MIN(J180,DATE(Einstellungen!$C$3,3,0)),Einstellungen!$F$13:$F$32)))</f>
        <v/>
      </c>
      <c r="N180" s="49">
        <f>IF(OR(A180="",D180=""),0,MAX(0,NETWORKDAYS(MAX(D180,DATE(Einstellungen!$C$3,3,1)),MIN(J180,DATE(Einstellungen!$C$3,4,0)),Einstellungen!$F$13:$F$32)))</f>
        <v/>
      </c>
      <c r="O180" s="49">
        <f>IF(OR(A180="",D180=""),0,MAX(0,NETWORKDAYS(MAX(D180,DATE(Einstellungen!$C$3,4,1)),MIN(J180,DATE(Einstellungen!$C$3,5,0)),Einstellungen!$F$13:$F$32)))</f>
        <v/>
      </c>
      <c r="P180" s="49">
        <f>IF(OR(A180="",D180=""),0,MAX(0,NETWORKDAYS(MAX(D180,DATE(Einstellungen!$C$3,5,1)),MIN(J180,DATE(Einstellungen!$C$3,6,0)),Einstellungen!$F$13:$F$32)))</f>
        <v/>
      </c>
      <c r="Q180" s="49">
        <f>IF(OR(A180="",D180=""),0,MAX(0,NETWORKDAYS(MAX(D180,DATE(Einstellungen!$C$3,6,1)),MIN(J180,DATE(Einstellungen!$C$3,7,0)),Einstellungen!$F$13:$F$32)))</f>
        <v/>
      </c>
      <c r="R180" s="49">
        <f>IF(OR(A180="",D180=""),0,MAX(0,NETWORKDAYS(MAX(D180,DATE(Einstellungen!$C$3,7,1)),MIN(J180,DATE(Einstellungen!$C$3,8,0)),Einstellungen!$F$13:$F$32)))</f>
        <v/>
      </c>
      <c r="S180" s="49">
        <f>IF(OR(A180="",D180=""),0,MAX(0,NETWORKDAYS(MAX(D180,DATE(Einstellungen!$C$3,8,1)),MIN(J180,DATE(Einstellungen!$C$3,9,0)),Einstellungen!$F$13:$F$32)))</f>
        <v/>
      </c>
      <c r="T180" s="49">
        <f>IF(OR(A180="",D180=""),0,MAX(0,NETWORKDAYS(MAX(D180,DATE(Einstellungen!$C$3,9,1)),MIN(J180,DATE(Einstellungen!$C$3,10,0)),Einstellungen!$F$13:$F$32)))</f>
        <v/>
      </c>
      <c r="U180" s="49">
        <f>IF(OR(A180="",D180=""),0,MAX(0,NETWORKDAYS(MAX(D180,DATE(Einstellungen!$C$3,10,1)),MIN(J180,DATE(Einstellungen!$C$3,11,0)),Einstellungen!$F$13:$F$32)))</f>
        <v/>
      </c>
      <c r="V180" s="49">
        <f>IF(OR(A180="",D180=""),0,MAX(0,NETWORKDAYS(MAX(D180,DATE(Einstellungen!$C$3,11,1)),MIN(J180,DATE(Einstellungen!$C$3,12,0)),Einstellungen!$F$13:$F$32)))</f>
        <v/>
      </c>
      <c r="W180" s="49">
        <f>IF(OR(A180="",D180=""),0,MAX(0,NETWORKDAYS(MAX(D180,DATE(Einstellungen!$C$3,12,1)),MIN(J180,DATE(Einstellungen!$C$3,13,0)),Einstellungen!$F$13:$F$32)))</f>
        <v/>
      </c>
      <c r="X180" s="50">
        <f>L180*K180</f>
        <v/>
      </c>
      <c r="Y180" s="50">
        <f>M180*K180</f>
        <v/>
      </c>
      <c r="Z180" s="50">
        <f>N180*K180</f>
        <v/>
      </c>
      <c r="AA180" s="50">
        <f>O180*K180</f>
        <v/>
      </c>
      <c r="AB180" s="50">
        <f>P180*K180</f>
        <v/>
      </c>
      <c r="AC180" s="50">
        <f>Q180*K180</f>
        <v/>
      </c>
      <c r="AD180" s="50">
        <f>R180*K180</f>
        <v/>
      </c>
      <c r="AE180" s="50">
        <f>S180*K180</f>
        <v/>
      </c>
      <c r="AF180" s="50">
        <f>T180*K180</f>
        <v/>
      </c>
      <c r="AG180" s="50">
        <f>U180*K180</f>
        <v/>
      </c>
      <c r="AH180" s="50">
        <f>V180*K180</f>
        <v/>
      </c>
      <c r="AI180" s="50">
        <f>W180*K180</f>
        <v/>
      </c>
    </row>
    <row r="181">
      <c r="A181" s="25" t="n"/>
      <c r="B181" s="45">
        <f>IF(A181="","",IFERROR(INDEX(Mitarbeiter!$B$6:$B$205,MATCH($A181,Mitarbeiter!$A$6:$A$205,0)),"?"))</f>
        <v/>
      </c>
      <c r="C181" s="46" t="n"/>
      <c r="D181" s="26" t="n"/>
      <c r="E181" s="26" t="n"/>
      <c r="F181" s="24">
        <f>IF(A181="","",SUM(L181:W181))</f>
        <v/>
      </c>
      <c r="G181" s="36">
        <f>IF(A181="","",SUM(X181:AI181))</f>
        <v/>
      </c>
      <c r="H181" s="8">
        <f>IF(A181="","",IF(ISNA(MATCH(A181,Mitarbeiter!$A$6:$A$205,0)),"Pers.-Nr. unbekannt",IF(D181="","Von fehlt",IF(AND(C181&lt;&gt;Einstellungen!$C$4,C181&lt;&gt;Einstellungen!$C$5),"Objekt fehlt",IF(J181&lt;D181,"Bis vor Von",IF(D181&lt;INDEX(Mitarbeiter!$C$6:$C$205,MATCH($A181,Mitarbeiter!$A$6:$A$205,0)),"vor Eintritt",IF(AND(INDEX(Mitarbeiter!$D$6:$D$205,MATCH($A181,Mitarbeiter!$A$6:$A$205,0))&lt;&gt;"",D181&gt;INDEX(Mitarbeiter!$D$6:$D$205,MATCH($A181,Mitarbeiter!$A$6:$A$205,0))),"nach Austritt",IF(E181="","offen","ok"))))))))</f>
        <v/>
      </c>
      <c r="J181" s="47">
        <f>IF(A181="","",IF(E181="",Einstellungen!$C$9,E181))</f>
        <v/>
      </c>
      <c r="K181" s="48">
        <f>IF(A181="",0,IFERROR(INDEX(Mitarbeiter!$F$6:$F$205,MATCH($A181,Mitarbeiter!$A$6:$A$205,0)),0))</f>
        <v/>
      </c>
      <c r="L181" s="49">
        <f>IF(OR(A181="",D181=""),0,MAX(0,NETWORKDAYS(MAX(D181,DATE(Einstellungen!$C$3,1,1)),MIN(J181,DATE(Einstellungen!$C$3,2,0)),Einstellungen!$F$13:$F$32)))</f>
        <v/>
      </c>
      <c r="M181" s="49">
        <f>IF(OR(A181="",D181=""),0,MAX(0,NETWORKDAYS(MAX(D181,DATE(Einstellungen!$C$3,2,1)),MIN(J181,DATE(Einstellungen!$C$3,3,0)),Einstellungen!$F$13:$F$32)))</f>
        <v/>
      </c>
      <c r="N181" s="49">
        <f>IF(OR(A181="",D181=""),0,MAX(0,NETWORKDAYS(MAX(D181,DATE(Einstellungen!$C$3,3,1)),MIN(J181,DATE(Einstellungen!$C$3,4,0)),Einstellungen!$F$13:$F$32)))</f>
        <v/>
      </c>
      <c r="O181" s="49">
        <f>IF(OR(A181="",D181=""),0,MAX(0,NETWORKDAYS(MAX(D181,DATE(Einstellungen!$C$3,4,1)),MIN(J181,DATE(Einstellungen!$C$3,5,0)),Einstellungen!$F$13:$F$32)))</f>
        <v/>
      </c>
      <c r="P181" s="49">
        <f>IF(OR(A181="",D181=""),0,MAX(0,NETWORKDAYS(MAX(D181,DATE(Einstellungen!$C$3,5,1)),MIN(J181,DATE(Einstellungen!$C$3,6,0)),Einstellungen!$F$13:$F$32)))</f>
        <v/>
      </c>
      <c r="Q181" s="49">
        <f>IF(OR(A181="",D181=""),0,MAX(0,NETWORKDAYS(MAX(D181,DATE(Einstellungen!$C$3,6,1)),MIN(J181,DATE(Einstellungen!$C$3,7,0)),Einstellungen!$F$13:$F$32)))</f>
        <v/>
      </c>
      <c r="R181" s="49">
        <f>IF(OR(A181="",D181=""),0,MAX(0,NETWORKDAYS(MAX(D181,DATE(Einstellungen!$C$3,7,1)),MIN(J181,DATE(Einstellungen!$C$3,8,0)),Einstellungen!$F$13:$F$32)))</f>
        <v/>
      </c>
      <c r="S181" s="49">
        <f>IF(OR(A181="",D181=""),0,MAX(0,NETWORKDAYS(MAX(D181,DATE(Einstellungen!$C$3,8,1)),MIN(J181,DATE(Einstellungen!$C$3,9,0)),Einstellungen!$F$13:$F$32)))</f>
        <v/>
      </c>
      <c r="T181" s="49">
        <f>IF(OR(A181="",D181=""),0,MAX(0,NETWORKDAYS(MAX(D181,DATE(Einstellungen!$C$3,9,1)),MIN(J181,DATE(Einstellungen!$C$3,10,0)),Einstellungen!$F$13:$F$32)))</f>
        <v/>
      </c>
      <c r="U181" s="49">
        <f>IF(OR(A181="",D181=""),0,MAX(0,NETWORKDAYS(MAX(D181,DATE(Einstellungen!$C$3,10,1)),MIN(J181,DATE(Einstellungen!$C$3,11,0)),Einstellungen!$F$13:$F$32)))</f>
        <v/>
      </c>
      <c r="V181" s="49">
        <f>IF(OR(A181="",D181=""),0,MAX(0,NETWORKDAYS(MAX(D181,DATE(Einstellungen!$C$3,11,1)),MIN(J181,DATE(Einstellungen!$C$3,12,0)),Einstellungen!$F$13:$F$32)))</f>
        <v/>
      </c>
      <c r="W181" s="49">
        <f>IF(OR(A181="",D181=""),0,MAX(0,NETWORKDAYS(MAX(D181,DATE(Einstellungen!$C$3,12,1)),MIN(J181,DATE(Einstellungen!$C$3,13,0)),Einstellungen!$F$13:$F$32)))</f>
        <v/>
      </c>
      <c r="X181" s="50">
        <f>L181*K181</f>
        <v/>
      </c>
      <c r="Y181" s="50">
        <f>M181*K181</f>
        <v/>
      </c>
      <c r="Z181" s="50">
        <f>N181*K181</f>
        <v/>
      </c>
      <c r="AA181" s="50">
        <f>O181*K181</f>
        <v/>
      </c>
      <c r="AB181" s="50">
        <f>P181*K181</f>
        <v/>
      </c>
      <c r="AC181" s="50">
        <f>Q181*K181</f>
        <v/>
      </c>
      <c r="AD181" s="50">
        <f>R181*K181</f>
        <v/>
      </c>
      <c r="AE181" s="50">
        <f>S181*K181</f>
        <v/>
      </c>
      <c r="AF181" s="50">
        <f>T181*K181</f>
        <v/>
      </c>
      <c r="AG181" s="50">
        <f>U181*K181</f>
        <v/>
      </c>
      <c r="AH181" s="50">
        <f>V181*K181</f>
        <v/>
      </c>
      <c r="AI181" s="50">
        <f>W181*K181</f>
        <v/>
      </c>
    </row>
    <row r="182">
      <c r="A182" s="25" t="n"/>
      <c r="B182" s="45">
        <f>IF(A182="","",IFERROR(INDEX(Mitarbeiter!$B$6:$B$205,MATCH($A182,Mitarbeiter!$A$6:$A$205,0)),"?"))</f>
        <v/>
      </c>
      <c r="C182" s="46" t="n"/>
      <c r="D182" s="26" t="n"/>
      <c r="E182" s="26" t="n"/>
      <c r="F182" s="24">
        <f>IF(A182="","",SUM(L182:W182))</f>
        <v/>
      </c>
      <c r="G182" s="36">
        <f>IF(A182="","",SUM(X182:AI182))</f>
        <v/>
      </c>
      <c r="H182" s="8">
        <f>IF(A182="","",IF(ISNA(MATCH(A182,Mitarbeiter!$A$6:$A$205,0)),"Pers.-Nr. unbekannt",IF(D182="","Von fehlt",IF(AND(C182&lt;&gt;Einstellungen!$C$4,C182&lt;&gt;Einstellungen!$C$5),"Objekt fehlt",IF(J182&lt;D182,"Bis vor Von",IF(D182&lt;INDEX(Mitarbeiter!$C$6:$C$205,MATCH($A182,Mitarbeiter!$A$6:$A$205,0)),"vor Eintritt",IF(AND(INDEX(Mitarbeiter!$D$6:$D$205,MATCH($A182,Mitarbeiter!$A$6:$A$205,0))&lt;&gt;"",D182&gt;INDEX(Mitarbeiter!$D$6:$D$205,MATCH($A182,Mitarbeiter!$A$6:$A$205,0))),"nach Austritt",IF(E182="","offen","ok"))))))))</f>
        <v/>
      </c>
      <c r="J182" s="47">
        <f>IF(A182="","",IF(E182="",Einstellungen!$C$9,E182))</f>
        <v/>
      </c>
      <c r="K182" s="48">
        <f>IF(A182="",0,IFERROR(INDEX(Mitarbeiter!$F$6:$F$205,MATCH($A182,Mitarbeiter!$A$6:$A$205,0)),0))</f>
        <v/>
      </c>
      <c r="L182" s="49">
        <f>IF(OR(A182="",D182=""),0,MAX(0,NETWORKDAYS(MAX(D182,DATE(Einstellungen!$C$3,1,1)),MIN(J182,DATE(Einstellungen!$C$3,2,0)),Einstellungen!$F$13:$F$32)))</f>
        <v/>
      </c>
      <c r="M182" s="49">
        <f>IF(OR(A182="",D182=""),0,MAX(0,NETWORKDAYS(MAX(D182,DATE(Einstellungen!$C$3,2,1)),MIN(J182,DATE(Einstellungen!$C$3,3,0)),Einstellungen!$F$13:$F$32)))</f>
        <v/>
      </c>
      <c r="N182" s="49">
        <f>IF(OR(A182="",D182=""),0,MAX(0,NETWORKDAYS(MAX(D182,DATE(Einstellungen!$C$3,3,1)),MIN(J182,DATE(Einstellungen!$C$3,4,0)),Einstellungen!$F$13:$F$32)))</f>
        <v/>
      </c>
      <c r="O182" s="49">
        <f>IF(OR(A182="",D182=""),0,MAX(0,NETWORKDAYS(MAX(D182,DATE(Einstellungen!$C$3,4,1)),MIN(J182,DATE(Einstellungen!$C$3,5,0)),Einstellungen!$F$13:$F$32)))</f>
        <v/>
      </c>
      <c r="P182" s="49">
        <f>IF(OR(A182="",D182=""),0,MAX(0,NETWORKDAYS(MAX(D182,DATE(Einstellungen!$C$3,5,1)),MIN(J182,DATE(Einstellungen!$C$3,6,0)),Einstellungen!$F$13:$F$32)))</f>
        <v/>
      </c>
      <c r="Q182" s="49">
        <f>IF(OR(A182="",D182=""),0,MAX(0,NETWORKDAYS(MAX(D182,DATE(Einstellungen!$C$3,6,1)),MIN(J182,DATE(Einstellungen!$C$3,7,0)),Einstellungen!$F$13:$F$32)))</f>
        <v/>
      </c>
      <c r="R182" s="49">
        <f>IF(OR(A182="",D182=""),0,MAX(0,NETWORKDAYS(MAX(D182,DATE(Einstellungen!$C$3,7,1)),MIN(J182,DATE(Einstellungen!$C$3,8,0)),Einstellungen!$F$13:$F$32)))</f>
        <v/>
      </c>
      <c r="S182" s="49">
        <f>IF(OR(A182="",D182=""),0,MAX(0,NETWORKDAYS(MAX(D182,DATE(Einstellungen!$C$3,8,1)),MIN(J182,DATE(Einstellungen!$C$3,9,0)),Einstellungen!$F$13:$F$32)))</f>
        <v/>
      </c>
      <c r="T182" s="49">
        <f>IF(OR(A182="",D182=""),0,MAX(0,NETWORKDAYS(MAX(D182,DATE(Einstellungen!$C$3,9,1)),MIN(J182,DATE(Einstellungen!$C$3,10,0)),Einstellungen!$F$13:$F$32)))</f>
        <v/>
      </c>
      <c r="U182" s="49">
        <f>IF(OR(A182="",D182=""),0,MAX(0,NETWORKDAYS(MAX(D182,DATE(Einstellungen!$C$3,10,1)),MIN(J182,DATE(Einstellungen!$C$3,11,0)),Einstellungen!$F$13:$F$32)))</f>
        <v/>
      </c>
      <c r="V182" s="49">
        <f>IF(OR(A182="",D182=""),0,MAX(0,NETWORKDAYS(MAX(D182,DATE(Einstellungen!$C$3,11,1)),MIN(J182,DATE(Einstellungen!$C$3,12,0)),Einstellungen!$F$13:$F$32)))</f>
        <v/>
      </c>
      <c r="W182" s="49">
        <f>IF(OR(A182="",D182=""),0,MAX(0,NETWORKDAYS(MAX(D182,DATE(Einstellungen!$C$3,12,1)),MIN(J182,DATE(Einstellungen!$C$3,13,0)),Einstellungen!$F$13:$F$32)))</f>
        <v/>
      </c>
      <c r="X182" s="50">
        <f>L182*K182</f>
        <v/>
      </c>
      <c r="Y182" s="50">
        <f>M182*K182</f>
        <v/>
      </c>
      <c r="Z182" s="50">
        <f>N182*K182</f>
        <v/>
      </c>
      <c r="AA182" s="50">
        <f>O182*K182</f>
        <v/>
      </c>
      <c r="AB182" s="50">
        <f>P182*K182</f>
        <v/>
      </c>
      <c r="AC182" s="50">
        <f>Q182*K182</f>
        <v/>
      </c>
      <c r="AD182" s="50">
        <f>R182*K182</f>
        <v/>
      </c>
      <c r="AE182" s="50">
        <f>S182*K182</f>
        <v/>
      </c>
      <c r="AF182" s="50">
        <f>T182*K182</f>
        <v/>
      </c>
      <c r="AG182" s="50">
        <f>U182*K182</f>
        <v/>
      </c>
      <c r="AH182" s="50">
        <f>V182*K182</f>
        <v/>
      </c>
      <c r="AI182" s="50">
        <f>W182*K182</f>
        <v/>
      </c>
    </row>
    <row r="183">
      <c r="A183" s="25" t="n"/>
      <c r="B183" s="45">
        <f>IF(A183="","",IFERROR(INDEX(Mitarbeiter!$B$6:$B$205,MATCH($A183,Mitarbeiter!$A$6:$A$205,0)),"?"))</f>
        <v/>
      </c>
      <c r="C183" s="46" t="n"/>
      <c r="D183" s="26" t="n"/>
      <c r="E183" s="26" t="n"/>
      <c r="F183" s="24">
        <f>IF(A183="","",SUM(L183:W183))</f>
        <v/>
      </c>
      <c r="G183" s="36">
        <f>IF(A183="","",SUM(X183:AI183))</f>
        <v/>
      </c>
      <c r="H183" s="8">
        <f>IF(A183="","",IF(ISNA(MATCH(A183,Mitarbeiter!$A$6:$A$205,0)),"Pers.-Nr. unbekannt",IF(D183="","Von fehlt",IF(AND(C183&lt;&gt;Einstellungen!$C$4,C183&lt;&gt;Einstellungen!$C$5),"Objekt fehlt",IF(J183&lt;D183,"Bis vor Von",IF(D183&lt;INDEX(Mitarbeiter!$C$6:$C$205,MATCH($A183,Mitarbeiter!$A$6:$A$205,0)),"vor Eintritt",IF(AND(INDEX(Mitarbeiter!$D$6:$D$205,MATCH($A183,Mitarbeiter!$A$6:$A$205,0))&lt;&gt;"",D183&gt;INDEX(Mitarbeiter!$D$6:$D$205,MATCH($A183,Mitarbeiter!$A$6:$A$205,0))),"nach Austritt",IF(E183="","offen","ok"))))))))</f>
        <v/>
      </c>
      <c r="J183" s="47">
        <f>IF(A183="","",IF(E183="",Einstellungen!$C$9,E183))</f>
        <v/>
      </c>
      <c r="K183" s="48">
        <f>IF(A183="",0,IFERROR(INDEX(Mitarbeiter!$F$6:$F$205,MATCH($A183,Mitarbeiter!$A$6:$A$205,0)),0))</f>
        <v/>
      </c>
      <c r="L183" s="49">
        <f>IF(OR(A183="",D183=""),0,MAX(0,NETWORKDAYS(MAX(D183,DATE(Einstellungen!$C$3,1,1)),MIN(J183,DATE(Einstellungen!$C$3,2,0)),Einstellungen!$F$13:$F$32)))</f>
        <v/>
      </c>
      <c r="M183" s="49">
        <f>IF(OR(A183="",D183=""),0,MAX(0,NETWORKDAYS(MAX(D183,DATE(Einstellungen!$C$3,2,1)),MIN(J183,DATE(Einstellungen!$C$3,3,0)),Einstellungen!$F$13:$F$32)))</f>
        <v/>
      </c>
      <c r="N183" s="49">
        <f>IF(OR(A183="",D183=""),0,MAX(0,NETWORKDAYS(MAX(D183,DATE(Einstellungen!$C$3,3,1)),MIN(J183,DATE(Einstellungen!$C$3,4,0)),Einstellungen!$F$13:$F$32)))</f>
        <v/>
      </c>
      <c r="O183" s="49">
        <f>IF(OR(A183="",D183=""),0,MAX(0,NETWORKDAYS(MAX(D183,DATE(Einstellungen!$C$3,4,1)),MIN(J183,DATE(Einstellungen!$C$3,5,0)),Einstellungen!$F$13:$F$32)))</f>
        <v/>
      </c>
      <c r="P183" s="49">
        <f>IF(OR(A183="",D183=""),0,MAX(0,NETWORKDAYS(MAX(D183,DATE(Einstellungen!$C$3,5,1)),MIN(J183,DATE(Einstellungen!$C$3,6,0)),Einstellungen!$F$13:$F$32)))</f>
        <v/>
      </c>
      <c r="Q183" s="49">
        <f>IF(OR(A183="",D183=""),0,MAX(0,NETWORKDAYS(MAX(D183,DATE(Einstellungen!$C$3,6,1)),MIN(J183,DATE(Einstellungen!$C$3,7,0)),Einstellungen!$F$13:$F$32)))</f>
        <v/>
      </c>
      <c r="R183" s="49">
        <f>IF(OR(A183="",D183=""),0,MAX(0,NETWORKDAYS(MAX(D183,DATE(Einstellungen!$C$3,7,1)),MIN(J183,DATE(Einstellungen!$C$3,8,0)),Einstellungen!$F$13:$F$32)))</f>
        <v/>
      </c>
      <c r="S183" s="49">
        <f>IF(OR(A183="",D183=""),0,MAX(0,NETWORKDAYS(MAX(D183,DATE(Einstellungen!$C$3,8,1)),MIN(J183,DATE(Einstellungen!$C$3,9,0)),Einstellungen!$F$13:$F$32)))</f>
        <v/>
      </c>
      <c r="T183" s="49">
        <f>IF(OR(A183="",D183=""),0,MAX(0,NETWORKDAYS(MAX(D183,DATE(Einstellungen!$C$3,9,1)),MIN(J183,DATE(Einstellungen!$C$3,10,0)),Einstellungen!$F$13:$F$32)))</f>
        <v/>
      </c>
      <c r="U183" s="49">
        <f>IF(OR(A183="",D183=""),0,MAX(0,NETWORKDAYS(MAX(D183,DATE(Einstellungen!$C$3,10,1)),MIN(J183,DATE(Einstellungen!$C$3,11,0)),Einstellungen!$F$13:$F$32)))</f>
        <v/>
      </c>
      <c r="V183" s="49">
        <f>IF(OR(A183="",D183=""),0,MAX(0,NETWORKDAYS(MAX(D183,DATE(Einstellungen!$C$3,11,1)),MIN(J183,DATE(Einstellungen!$C$3,12,0)),Einstellungen!$F$13:$F$32)))</f>
        <v/>
      </c>
      <c r="W183" s="49">
        <f>IF(OR(A183="",D183=""),0,MAX(0,NETWORKDAYS(MAX(D183,DATE(Einstellungen!$C$3,12,1)),MIN(J183,DATE(Einstellungen!$C$3,13,0)),Einstellungen!$F$13:$F$32)))</f>
        <v/>
      </c>
      <c r="X183" s="50">
        <f>L183*K183</f>
        <v/>
      </c>
      <c r="Y183" s="50">
        <f>M183*K183</f>
        <v/>
      </c>
      <c r="Z183" s="50">
        <f>N183*K183</f>
        <v/>
      </c>
      <c r="AA183" s="50">
        <f>O183*K183</f>
        <v/>
      </c>
      <c r="AB183" s="50">
        <f>P183*K183</f>
        <v/>
      </c>
      <c r="AC183" s="50">
        <f>Q183*K183</f>
        <v/>
      </c>
      <c r="AD183" s="50">
        <f>R183*K183</f>
        <v/>
      </c>
      <c r="AE183" s="50">
        <f>S183*K183</f>
        <v/>
      </c>
      <c r="AF183" s="50">
        <f>T183*K183</f>
        <v/>
      </c>
      <c r="AG183" s="50">
        <f>U183*K183</f>
        <v/>
      </c>
      <c r="AH183" s="50">
        <f>V183*K183</f>
        <v/>
      </c>
      <c r="AI183" s="50">
        <f>W183*K183</f>
        <v/>
      </c>
    </row>
    <row r="184">
      <c r="A184" s="25" t="n"/>
      <c r="B184" s="45">
        <f>IF(A184="","",IFERROR(INDEX(Mitarbeiter!$B$6:$B$205,MATCH($A184,Mitarbeiter!$A$6:$A$205,0)),"?"))</f>
        <v/>
      </c>
      <c r="C184" s="46" t="n"/>
      <c r="D184" s="26" t="n"/>
      <c r="E184" s="26" t="n"/>
      <c r="F184" s="24">
        <f>IF(A184="","",SUM(L184:W184))</f>
        <v/>
      </c>
      <c r="G184" s="36">
        <f>IF(A184="","",SUM(X184:AI184))</f>
        <v/>
      </c>
      <c r="H184" s="8">
        <f>IF(A184="","",IF(ISNA(MATCH(A184,Mitarbeiter!$A$6:$A$205,0)),"Pers.-Nr. unbekannt",IF(D184="","Von fehlt",IF(AND(C184&lt;&gt;Einstellungen!$C$4,C184&lt;&gt;Einstellungen!$C$5),"Objekt fehlt",IF(J184&lt;D184,"Bis vor Von",IF(D184&lt;INDEX(Mitarbeiter!$C$6:$C$205,MATCH($A184,Mitarbeiter!$A$6:$A$205,0)),"vor Eintritt",IF(AND(INDEX(Mitarbeiter!$D$6:$D$205,MATCH($A184,Mitarbeiter!$A$6:$A$205,0))&lt;&gt;"",D184&gt;INDEX(Mitarbeiter!$D$6:$D$205,MATCH($A184,Mitarbeiter!$A$6:$A$205,0))),"nach Austritt",IF(E184="","offen","ok"))))))))</f>
        <v/>
      </c>
      <c r="J184" s="47">
        <f>IF(A184="","",IF(E184="",Einstellungen!$C$9,E184))</f>
        <v/>
      </c>
      <c r="K184" s="48">
        <f>IF(A184="",0,IFERROR(INDEX(Mitarbeiter!$F$6:$F$205,MATCH($A184,Mitarbeiter!$A$6:$A$205,0)),0))</f>
        <v/>
      </c>
      <c r="L184" s="49">
        <f>IF(OR(A184="",D184=""),0,MAX(0,NETWORKDAYS(MAX(D184,DATE(Einstellungen!$C$3,1,1)),MIN(J184,DATE(Einstellungen!$C$3,2,0)),Einstellungen!$F$13:$F$32)))</f>
        <v/>
      </c>
      <c r="M184" s="49">
        <f>IF(OR(A184="",D184=""),0,MAX(0,NETWORKDAYS(MAX(D184,DATE(Einstellungen!$C$3,2,1)),MIN(J184,DATE(Einstellungen!$C$3,3,0)),Einstellungen!$F$13:$F$32)))</f>
        <v/>
      </c>
      <c r="N184" s="49">
        <f>IF(OR(A184="",D184=""),0,MAX(0,NETWORKDAYS(MAX(D184,DATE(Einstellungen!$C$3,3,1)),MIN(J184,DATE(Einstellungen!$C$3,4,0)),Einstellungen!$F$13:$F$32)))</f>
        <v/>
      </c>
      <c r="O184" s="49">
        <f>IF(OR(A184="",D184=""),0,MAX(0,NETWORKDAYS(MAX(D184,DATE(Einstellungen!$C$3,4,1)),MIN(J184,DATE(Einstellungen!$C$3,5,0)),Einstellungen!$F$13:$F$32)))</f>
        <v/>
      </c>
      <c r="P184" s="49">
        <f>IF(OR(A184="",D184=""),0,MAX(0,NETWORKDAYS(MAX(D184,DATE(Einstellungen!$C$3,5,1)),MIN(J184,DATE(Einstellungen!$C$3,6,0)),Einstellungen!$F$13:$F$32)))</f>
        <v/>
      </c>
      <c r="Q184" s="49">
        <f>IF(OR(A184="",D184=""),0,MAX(0,NETWORKDAYS(MAX(D184,DATE(Einstellungen!$C$3,6,1)),MIN(J184,DATE(Einstellungen!$C$3,7,0)),Einstellungen!$F$13:$F$32)))</f>
        <v/>
      </c>
      <c r="R184" s="49">
        <f>IF(OR(A184="",D184=""),0,MAX(0,NETWORKDAYS(MAX(D184,DATE(Einstellungen!$C$3,7,1)),MIN(J184,DATE(Einstellungen!$C$3,8,0)),Einstellungen!$F$13:$F$32)))</f>
        <v/>
      </c>
      <c r="S184" s="49">
        <f>IF(OR(A184="",D184=""),0,MAX(0,NETWORKDAYS(MAX(D184,DATE(Einstellungen!$C$3,8,1)),MIN(J184,DATE(Einstellungen!$C$3,9,0)),Einstellungen!$F$13:$F$32)))</f>
        <v/>
      </c>
      <c r="T184" s="49">
        <f>IF(OR(A184="",D184=""),0,MAX(0,NETWORKDAYS(MAX(D184,DATE(Einstellungen!$C$3,9,1)),MIN(J184,DATE(Einstellungen!$C$3,10,0)),Einstellungen!$F$13:$F$32)))</f>
        <v/>
      </c>
      <c r="U184" s="49">
        <f>IF(OR(A184="",D184=""),0,MAX(0,NETWORKDAYS(MAX(D184,DATE(Einstellungen!$C$3,10,1)),MIN(J184,DATE(Einstellungen!$C$3,11,0)),Einstellungen!$F$13:$F$32)))</f>
        <v/>
      </c>
      <c r="V184" s="49">
        <f>IF(OR(A184="",D184=""),0,MAX(0,NETWORKDAYS(MAX(D184,DATE(Einstellungen!$C$3,11,1)),MIN(J184,DATE(Einstellungen!$C$3,12,0)),Einstellungen!$F$13:$F$32)))</f>
        <v/>
      </c>
      <c r="W184" s="49">
        <f>IF(OR(A184="",D184=""),0,MAX(0,NETWORKDAYS(MAX(D184,DATE(Einstellungen!$C$3,12,1)),MIN(J184,DATE(Einstellungen!$C$3,13,0)),Einstellungen!$F$13:$F$32)))</f>
        <v/>
      </c>
      <c r="X184" s="50">
        <f>L184*K184</f>
        <v/>
      </c>
      <c r="Y184" s="50">
        <f>M184*K184</f>
        <v/>
      </c>
      <c r="Z184" s="50">
        <f>N184*K184</f>
        <v/>
      </c>
      <c r="AA184" s="50">
        <f>O184*K184</f>
        <v/>
      </c>
      <c r="AB184" s="50">
        <f>P184*K184</f>
        <v/>
      </c>
      <c r="AC184" s="50">
        <f>Q184*K184</f>
        <v/>
      </c>
      <c r="AD184" s="50">
        <f>R184*K184</f>
        <v/>
      </c>
      <c r="AE184" s="50">
        <f>S184*K184</f>
        <v/>
      </c>
      <c r="AF184" s="50">
        <f>T184*K184</f>
        <v/>
      </c>
      <c r="AG184" s="50">
        <f>U184*K184</f>
        <v/>
      </c>
      <c r="AH184" s="50">
        <f>V184*K184</f>
        <v/>
      </c>
      <c r="AI184" s="50">
        <f>W184*K184</f>
        <v/>
      </c>
    </row>
    <row r="185">
      <c r="A185" s="25" t="n"/>
      <c r="B185" s="45">
        <f>IF(A185="","",IFERROR(INDEX(Mitarbeiter!$B$6:$B$205,MATCH($A185,Mitarbeiter!$A$6:$A$205,0)),"?"))</f>
        <v/>
      </c>
      <c r="C185" s="46" t="n"/>
      <c r="D185" s="26" t="n"/>
      <c r="E185" s="26" t="n"/>
      <c r="F185" s="24">
        <f>IF(A185="","",SUM(L185:W185))</f>
        <v/>
      </c>
      <c r="G185" s="36">
        <f>IF(A185="","",SUM(X185:AI185))</f>
        <v/>
      </c>
      <c r="H185" s="8">
        <f>IF(A185="","",IF(ISNA(MATCH(A185,Mitarbeiter!$A$6:$A$205,0)),"Pers.-Nr. unbekannt",IF(D185="","Von fehlt",IF(AND(C185&lt;&gt;Einstellungen!$C$4,C185&lt;&gt;Einstellungen!$C$5),"Objekt fehlt",IF(J185&lt;D185,"Bis vor Von",IF(D185&lt;INDEX(Mitarbeiter!$C$6:$C$205,MATCH($A185,Mitarbeiter!$A$6:$A$205,0)),"vor Eintritt",IF(AND(INDEX(Mitarbeiter!$D$6:$D$205,MATCH($A185,Mitarbeiter!$A$6:$A$205,0))&lt;&gt;"",D185&gt;INDEX(Mitarbeiter!$D$6:$D$205,MATCH($A185,Mitarbeiter!$A$6:$A$205,0))),"nach Austritt",IF(E185="","offen","ok"))))))))</f>
        <v/>
      </c>
      <c r="J185" s="47">
        <f>IF(A185="","",IF(E185="",Einstellungen!$C$9,E185))</f>
        <v/>
      </c>
      <c r="K185" s="48">
        <f>IF(A185="",0,IFERROR(INDEX(Mitarbeiter!$F$6:$F$205,MATCH($A185,Mitarbeiter!$A$6:$A$205,0)),0))</f>
        <v/>
      </c>
      <c r="L185" s="49">
        <f>IF(OR(A185="",D185=""),0,MAX(0,NETWORKDAYS(MAX(D185,DATE(Einstellungen!$C$3,1,1)),MIN(J185,DATE(Einstellungen!$C$3,2,0)),Einstellungen!$F$13:$F$32)))</f>
        <v/>
      </c>
      <c r="M185" s="49">
        <f>IF(OR(A185="",D185=""),0,MAX(0,NETWORKDAYS(MAX(D185,DATE(Einstellungen!$C$3,2,1)),MIN(J185,DATE(Einstellungen!$C$3,3,0)),Einstellungen!$F$13:$F$32)))</f>
        <v/>
      </c>
      <c r="N185" s="49">
        <f>IF(OR(A185="",D185=""),0,MAX(0,NETWORKDAYS(MAX(D185,DATE(Einstellungen!$C$3,3,1)),MIN(J185,DATE(Einstellungen!$C$3,4,0)),Einstellungen!$F$13:$F$32)))</f>
        <v/>
      </c>
      <c r="O185" s="49">
        <f>IF(OR(A185="",D185=""),0,MAX(0,NETWORKDAYS(MAX(D185,DATE(Einstellungen!$C$3,4,1)),MIN(J185,DATE(Einstellungen!$C$3,5,0)),Einstellungen!$F$13:$F$32)))</f>
        <v/>
      </c>
      <c r="P185" s="49">
        <f>IF(OR(A185="",D185=""),0,MAX(0,NETWORKDAYS(MAX(D185,DATE(Einstellungen!$C$3,5,1)),MIN(J185,DATE(Einstellungen!$C$3,6,0)),Einstellungen!$F$13:$F$32)))</f>
        <v/>
      </c>
      <c r="Q185" s="49">
        <f>IF(OR(A185="",D185=""),0,MAX(0,NETWORKDAYS(MAX(D185,DATE(Einstellungen!$C$3,6,1)),MIN(J185,DATE(Einstellungen!$C$3,7,0)),Einstellungen!$F$13:$F$32)))</f>
        <v/>
      </c>
      <c r="R185" s="49">
        <f>IF(OR(A185="",D185=""),0,MAX(0,NETWORKDAYS(MAX(D185,DATE(Einstellungen!$C$3,7,1)),MIN(J185,DATE(Einstellungen!$C$3,8,0)),Einstellungen!$F$13:$F$32)))</f>
        <v/>
      </c>
      <c r="S185" s="49">
        <f>IF(OR(A185="",D185=""),0,MAX(0,NETWORKDAYS(MAX(D185,DATE(Einstellungen!$C$3,8,1)),MIN(J185,DATE(Einstellungen!$C$3,9,0)),Einstellungen!$F$13:$F$32)))</f>
        <v/>
      </c>
      <c r="T185" s="49">
        <f>IF(OR(A185="",D185=""),0,MAX(0,NETWORKDAYS(MAX(D185,DATE(Einstellungen!$C$3,9,1)),MIN(J185,DATE(Einstellungen!$C$3,10,0)),Einstellungen!$F$13:$F$32)))</f>
        <v/>
      </c>
      <c r="U185" s="49">
        <f>IF(OR(A185="",D185=""),0,MAX(0,NETWORKDAYS(MAX(D185,DATE(Einstellungen!$C$3,10,1)),MIN(J185,DATE(Einstellungen!$C$3,11,0)),Einstellungen!$F$13:$F$32)))</f>
        <v/>
      </c>
      <c r="V185" s="49">
        <f>IF(OR(A185="",D185=""),0,MAX(0,NETWORKDAYS(MAX(D185,DATE(Einstellungen!$C$3,11,1)),MIN(J185,DATE(Einstellungen!$C$3,12,0)),Einstellungen!$F$13:$F$32)))</f>
        <v/>
      </c>
      <c r="W185" s="49">
        <f>IF(OR(A185="",D185=""),0,MAX(0,NETWORKDAYS(MAX(D185,DATE(Einstellungen!$C$3,12,1)),MIN(J185,DATE(Einstellungen!$C$3,13,0)),Einstellungen!$F$13:$F$32)))</f>
        <v/>
      </c>
      <c r="X185" s="50">
        <f>L185*K185</f>
        <v/>
      </c>
      <c r="Y185" s="50">
        <f>M185*K185</f>
        <v/>
      </c>
      <c r="Z185" s="50">
        <f>N185*K185</f>
        <v/>
      </c>
      <c r="AA185" s="50">
        <f>O185*K185</f>
        <v/>
      </c>
      <c r="AB185" s="50">
        <f>P185*K185</f>
        <v/>
      </c>
      <c r="AC185" s="50">
        <f>Q185*K185</f>
        <v/>
      </c>
      <c r="AD185" s="50">
        <f>R185*K185</f>
        <v/>
      </c>
      <c r="AE185" s="50">
        <f>S185*K185</f>
        <v/>
      </c>
      <c r="AF185" s="50">
        <f>T185*K185</f>
        <v/>
      </c>
      <c r="AG185" s="50">
        <f>U185*K185</f>
        <v/>
      </c>
      <c r="AH185" s="50">
        <f>V185*K185</f>
        <v/>
      </c>
      <c r="AI185" s="50">
        <f>W185*K185</f>
        <v/>
      </c>
    </row>
    <row r="186">
      <c r="A186" s="25" t="n"/>
      <c r="B186" s="45">
        <f>IF(A186="","",IFERROR(INDEX(Mitarbeiter!$B$6:$B$205,MATCH($A186,Mitarbeiter!$A$6:$A$205,0)),"?"))</f>
        <v/>
      </c>
      <c r="C186" s="46" t="n"/>
      <c r="D186" s="26" t="n"/>
      <c r="E186" s="26" t="n"/>
      <c r="F186" s="24">
        <f>IF(A186="","",SUM(L186:W186))</f>
        <v/>
      </c>
      <c r="G186" s="36">
        <f>IF(A186="","",SUM(X186:AI186))</f>
        <v/>
      </c>
      <c r="H186" s="8">
        <f>IF(A186="","",IF(ISNA(MATCH(A186,Mitarbeiter!$A$6:$A$205,0)),"Pers.-Nr. unbekannt",IF(D186="","Von fehlt",IF(AND(C186&lt;&gt;Einstellungen!$C$4,C186&lt;&gt;Einstellungen!$C$5),"Objekt fehlt",IF(J186&lt;D186,"Bis vor Von",IF(D186&lt;INDEX(Mitarbeiter!$C$6:$C$205,MATCH($A186,Mitarbeiter!$A$6:$A$205,0)),"vor Eintritt",IF(AND(INDEX(Mitarbeiter!$D$6:$D$205,MATCH($A186,Mitarbeiter!$A$6:$A$205,0))&lt;&gt;"",D186&gt;INDEX(Mitarbeiter!$D$6:$D$205,MATCH($A186,Mitarbeiter!$A$6:$A$205,0))),"nach Austritt",IF(E186="","offen","ok"))))))))</f>
        <v/>
      </c>
      <c r="J186" s="47">
        <f>IF(A186="","",IF(E186="",Einstellungen!$C$9,E186))</f>
        <v/>
      </c>
      <c r="K186" s="48">
        <f>IF(A186="",0,IFERROR(INDEX(Mitarbeiter!$F$6:$F$205,MATCH($A186,Mitarbeiter!$A$6:$A$205,0)),0))</f>
        <v/>
      </c>
      <c r="L186" s="49">
        <f>IF(OR(A186="",D186=""),0,MAX(0,NETWORKDAYS(MAX(D186,DATE(Einstellungen!$C$3,1,1)),MIN(J186,DATE(Einstellungen!$C$3,2,0)),Einstellungen!$F$13:$F$32)))</f>
        <v/>
      </c>
      <c r="M186" s="49">
        <f>IF(OR(A186="",D186=""),0,MAX(0,NETWORKDAYS(MAX(D186,DATE(Einstellungen!$C$3,2,1)),MIN(J186,DATE(Einstellungen!$C$3,3,0)),Einstellungen!$F$13:$F$32)))</f>
        <v/>
      </c>
      <c r="N186" s="49">
        <f>IF(OR(A186="",D186=""),0,MAX(0,NETWORKDAYS(MAX(D186,DATE(Einstellungen!$C$3,3,1)),MIN(J186,DATE(Einstellungen!$C$3,4,0)),Einstellungen!$F$13:$F$32)))</f>
        <v/>
      </c>
      <c r="O186" s="49">
        <f>IF(OR(A186="",D186=""),0,MAX(0,NETWORKDAYS(MAX(D186,DATE(Einstellungen!$C$3,4,1)),MIN(J186,DATE(Einstellungen!$C$3,5,0)),Einstellungen!$F$13:$F$32)))</f>
        <v/>
      </c>
      <c r="P186" s="49">
        <f>IF(OR(A186="",D186=""),0,MAX(0,NETWORKDAYS(MAX(D186,DATE(Einstellungen!$C$3,5,1)),MIN(J186,DATE(Einstellungen!$C$3,6,0)),Einstellungen!$F$13:$F$32)))</f>
        <v/>
      </c>
      <c r="Q186" s="49">
        <f>IF(OR(A186="",D186=""),0,MAX(0,NETWORKDAYS(MAX(D186,DATE(Einstellungen!$C$3,6,1)),MIN(J186,DATE(Einstellungen!$C$3,7,0)),Einstellungen!$F$13:$F$32)))</f>
        <v/>
      </c>
      <c r="R186" s="49">
        <f>IF(OR(A186="",D186=""),0,MAX(0,NETWORKDAYS(MAX(D186,DATE(Einstellungen!$C$3,7,1)),MIN(J186,DATE(Einstellungen!$C$3,8,0)),Einstellungen!$F$13:$F$32)))</f>
        <v/>
      </c>
      <c r="S186" s="49">
        <f>IF(OR(A186="",D186=""),0,MAX(0,NETWORKDAYS(MAX(D186,DATE(Einstellungen!$C$3,8,1)),MIN(J186,DATE(Einstellungen!$C$3,9,0)),Einstellungen!$F$13:$F$32)))</f>
        <v/>
      </c>
      <c r="T186" s="49">
        <f>IF(OR(A186="",D186=""),0,MAX(0,NETWORKDAYS(MAX(D186,DATE(Einstellungen!$C$3,9,1)),MIN(J186,DATE(Einstellungen!$C$3,10,0)),Einstellungen!$F$13:$F$32)))</f>
        <v/>
      </c>
      <c r="U186" s="49">
        <f>IF(OR(A186="",D186=""),0,MAX(0,NETWORKDAYS(MAX(D186,DATE(Einstellungen!$C$3,10,1)),MIN(J186,DATE(Einstellungen!$C$3,11,0)),Einstellungen!$F$13:$F$32)))</f>
        <v/>
      </c>
      <c r="V186" s="49">
        <f>IF(OR(A186="",D186=""),0,MAX(0,NETWORKDAYS(MAX(D186,DATE(Einstellungen!$C$3,11,1)),MIN(J186,DATE(Einstellungen!$C$3,12,0)),Einstellungen!$F$13:$F$32)))</f>
        <v/>
      </c>
      <c r="W186" s="49">
        <f>IF(OR(A186="",D186=""),0,MAX(0,NETWORKDAYS(MAX(D186,DATE(Einstellungen!$C$3,12,1)),MIN(J186,DATE(Einstellungen!$C$3,13,0)),Einstellungen!$F$13:$F$32)))</f>
        <v/>
      </c>
      <c r="X186" s="50">
        <f>L186*K186</f>
        <v/>
      </c>
      <c r="Y186" s="50">
        <f>M186*K186</f>
        <v/>
      </c>
      <c r="Z186" s="50">
        <f>N186*K186</f>
        <v/>
      </c>
      <c r="AA186" s="50">
        <f>O186*K186</f>
        <v/>
      </c>
      <c r="AB186" s="50">
        <f>P186*K186</f>
        <v/>
      </c>
      <c r="AC186" s="50">
        <f>Q186*K186</f>
        <v/>
      </c>
      <c r="AD186" s="50">
        <f>R186*K186</f>
        <v/>
      </c>
      <c r="AE186" s="50">
        <f>S186*K186</f>
        <v/>
      </c>
      <c r="AF186" s="50">
        <f>T186*K186</f>
        <v/>
      </c>
      <c r="AG186" s="50">
        <f>U186*K186</f>
        <v/>
      </c>
      <c r="AH186" s="50">
        <f>V186*K186</f>
        <v/>
      </c>
      <c r="AI186" s="50">
        <f>W186*K186</f>
        <v/>
      </c>
    </row>
    <row r="187">
      <c r="A187" s="25" t="n"/>
      <c r="B187" s="45">
        <f>IF(A187="","",IFERROR(INDEX(Mitarbeiter!$B$6:$B$205,MATCH($A187,Mitarbeiter!$A$6:$A$205,0)),"?"))</f>
        <v/>
      </c>
      <c r="C187" s="46" t="n"/>
      <c r="D187" s="26" t="n"/>
      <c r="E187" s="26" t="n"/>
      <c r="F187" s="24">
        <f>IF(A187="","",SUM(L187:W187))</f>
        <v/>
      </c>
      <c r="G187" s="36">
        <f>IF(A187="","",SUM(X187:AI187))</f>
        <v/>
      </c>
      <c r="H187" s="8">
        <f>IF(A187="","",IF(ISNA(MATCH(A187,Mitarbeiter!$A$6:$A$205,0)),"Pers.-Nr. unbekannt",IF(D187="","Von fehlt",IF(AND(C187&lt;&gt;Einstellungen!$C$4,C187&lt;&gt;Einstellungen!$C$5),"Objekt fehlt",IF(J187&lt;D187,"Bis vor Von",IF(D187&lt;INDEX(Mitarbeiter!$C$6:$C$205,MATCH($A187,Mitarbeiter!$A$6:$A$205,0)),"vor Eintritt",IF(AND(INDEX(Mitarbeiter!$D$6:$D$205,MATCH($A187,Mitarbeiter!$A$6:$A$205,0))&lt;&gt;"",D187&gt;INDEX(Mitarbeiter!$D$6:$D$205,MATCH($A187,Mitarbeiter!$A$6:$A$205,0))),"nach Austritt",IF(E187="","offen","ok"))))))))</f>
        <v/>
      </c>
      <c r="J187" s="47">
        <f>IF(A187="","",IF(E187="",Einstellungen!$C$9,E187))</f>
        <v/>
      </c>
      <c r="K187" s="48">
        <f>IF(A187="",0,IFERROR(INDEX(Mitarbeiter!$F$6:$F$205,MATCH($A187,Mitarbeiter!$A$6:$A$205,0)),0))</f>
        <v/>
      </c>
      <c r="L187" s="49">
        <f>IF(OR(A187="",D187=""),0,MAX(0,NETWORKDAYS(MAX(D187,DATE(Einstellungen!$C$3,1,1)),MIN(J187,DATE(Einstellungen!$C$3,2,0)),Einstellungen!$F$13:$F$32)))</f>
        <v/>
      </c>
      <c r="M187" s="49">
        <f>IF(OR(A187="",D187=""),0,MAX(0,NETWORKDAYS(MAX(D187,DATE(Einstellungen!$C$3,2,1)),MIN(J187,DATE(Einstellungen!$C$3,3,0)),Einstellungen!$F$13:$F$32)))</f>
        <v/>
      </c>
      <c r="N187" s="49">
        <f>IF(OR(A187="",D187=""),0,MAX(0,NETWORKDAYS(MAX(D187,DATE(Einstellungen!$C$3,3,1)),MIN(J187,DATE(Einstellungen!$C$3,4,0)),Einstellungen!$F$13:$F$32)))</f>
        <v/>
      </c>
      <c r="O187" s="49">
        <f>IF(OR(A187="",D187=""),0,MAX(0,NETWORKDAYS(MAX(D187,DATE(Einstellungen!$C$3,4,1)),MIN(J187,DATE(Einstellungen!$C$3,5,0)),Einstellungen!$F$13:$F$32)))</f>
        <v/>
      </c>
      <c r="P187" s="49">
        <f>IF(OR(A187="",D187=""),0,MAX(0,NETWORKDAYS(MAX(D187,DATE(Einstellungen!$C$3,5,1)),MIN(J187,DATE(Einstellungen!$C$3,6,0)),Einstellungen!$F$13:$F$32)))</f>
        <v/>
      </c>
      <c r="Q187" s="49">
        <f>IF(OR(A187="",D187=""),0,MAX(0,NETWORKDAYS(MAX(D187,DATE(Einstellungen!$C$3,6,1)),MIN(J187,DATE(Einstellungen!$C$3,7,0)),Einstellungen!$F$13:$F$32)))</f>
        <v/>
      </c>
      <c r="R187" s="49">
        <f>IF(OR(A187="",D187=""),0,MAX(0,NETWORKDAYS(MAX(D187,DATE(Einstellungen!$C$3,7,1)),MIN(J187,DATE(Einstellungen!$C$3,8,0)),Einstellungen!$F$13:$F$32)))</f>
        <v/>
      </c>
      <c r="S187" s="49">
        <f>IF(OR(A187="",D187=""),0,MAX(0,NETWORKDAYS(MAX(D187,DATE(Einstellungen!$C$3,8,1)),MIN(J187,DATE(Einstellungen!$C$3,9,0)),Einstellungen!$F$13:$F$32)))</f>
        <v/>
      </c>
      <c r="T187" s="49">
        <f>IF(OR(A187="",D187=""),0,MAX(0,NETWORKDAYS(MAX(D187,DATE(Einstellungen!$C$3,9,1)),MIN(J187,DATE(Einstellungen!$C$3,10,0)),Einstellungen!$F$13:$F$32)))</f>
        <v/>
      </c>
      <c r="U187" s="49">
        <f>IF(OR(A187="",D187=""),0,MAX(0,NETWORKDAYS(MAX(D187,DATE(Einstellungen!$C$3,10,1)),MIN(J187,DATE(Einstellungen!$C$3,11,0)),Einstellungen!$F$13:$F$32)))</f>
        <v/>
      </c>
      <c r="V187" s="49">
        <f>IF(OR(A187="",D187=""),0,MAX(0,NETWORKDAYS(MAX(D187,DATE(Einstellungen!$C$3,11,1)),MIN(J187,DATE(Einstellungen!$C$3,12,0)),Einstellungen!$F$13:$F$32)))</f>
        <v/>
      </c>
      <c r="W187" s="49">
        <f>IF(OR(A187="",D187=""),0,MAX(0,NETWORKDAYS(MAX(D187,DATE(Einstellungen!$C$3,12,1)),MIN(J187,DATE(Einstellungen!$C$3,13,0)),Einstellungen!$F$13:$F$32)))</f>
        <v/>
      </c>
      <c r="X187" s="50">
        <f>L187*K187</f>
        <v/>
      </c>
      <c r="Y187" s="50">
        <f>M187*K187</f>
        <v/>
      </c>
      <c r="Z187" s="50">
        <f>N187*K187</f>
        <v/>
      </c>
      <c r="AA187" s="50">
        <f>O187*K187</f>
        <v/>
      </c>
      <c r="AB187" s="50">
        <f>P187*K187</f>
        <v/>
      </c>
      <c r="AC187" s="50">
        <f>Q187*K187</f>
        <v/>
      </c>
      <c r="AD187" s="50">
        <f>R187*K187</f>
        <v/>
      </c>
      <c r="AE187" s="50">
        <f>S187*K187</f>
        <v/>
      </c>
      <c r="AF187" s="50">
        <f>T187*K187</f>
        <v/>
      </c>
      <c r="AG187" s="50">
        <f>U187*K187</f>
        <v/>
      </c>
      <c r="AH187" s="50">
        <f>V187*K187</f>
        <v/>
      </c>
      <c r="AI187" s="50">
        <f>W187*K187</f>
        <v/>
      </c>
    </row>
    <row r="188">
      <c r="A188" s="25" t="n"/>
      <c r="B188" s="45">
        <f>IF(A188="","",IFERROR(INDEX(Mitarbeiter!$B$6:$B$205,MATCH($A188,Mitarbeiter!$A$6:$A$205,0)),"?"))</f>
        <v/>
      </c>
      <c r="C188" s="46" t="n"/>
      <c r="D188" s="26" t="n"/>
      <c r="E188" s="26" t="n"/>
      <c r="F188" s="24">
        <f>IF(A188="","",SUM(L188:W188))</f>
        <v/>
      </c>
      <c r="G188" s="36">
        <f>IF(A188="","",SUM(X188:AI188))</f>
        <v/>
      </c>
      <c r="H188" s="8">
        <f>IF(A188="","",IF(ISNA(MATCH(A188,Mitarbeiter!$A$6:$A$205,0)),"Pers.-Nr. unbekannt",IF(D188="","Von fehlt",IF(AND(C188&lt;&gt;Einstellungen!$C$4,C188&lt;&gt;Einstellungen!$C$5),"Objekt fehlt",IF(J188&lt;D188,"Bis vor Von",IF(D188&lt;INDEX(Mitarbeiter!$C$6:$C$205,MATCH($A188,Mitarbeiter!$A$6:$A$205,0)),"vor Eintritt",IF(AND(INDEX(Mitarbeiter!$D$6:$D$205,MATCH($A188,Mitarbeiter!$A$6:$A$205,0))&lt;&gt;"",D188&gt;INDEX(Mitarbeiter!$D$6:$D$205,MATCH($A188,Mitarbeiter!$A$6:$A$205,0))),"nach Austritt",IF(E188="","offen","ok"))))))))</f>
        <v/>
      </c>
      <c r="J188" s="47">
        <f>IF(A188="","",IF(E188="",Einstellungen!$C$9,E188))</f>
        <v/>
      </c>
      <c r="K188" s="48">
        <f>IF(A188="",0,IFERROR(INDEX(Mitarbeiter!$F$6:$F$205,MATCH($A188,Mitarbeiter!$A$6:$A$205,0)),0))</f>
        <v/>
      </c>
      <c r="L188" s="49">
        <f>IF(OR(A188="",D188=""),0,MAX(0,NETWORKDAYS(MAX(D188,DATE(Einstellungen!$C$3,1,1)),MIN(J188,DATE(Einstellungen!$C$3,2,0)),Einstellungen!$F$13:$F$32)))</f>
        <v/>
      </c>
      <c r="M188" s="49">
        <f>IF(OR(A188="",D188=""),0,MAX(0,NETWORKDAYS(MAX(D188,DATE(Einstellungen!$C$3,2,1)),MIN(J188,DATE(Einstellungen!$C$3,3,0)),Einstellungen!$F$13:$F$32)))</f>
        <v/>
      </c>
      <c r="N188" s="49">
        <f>IF(OR(A188="",D188=""),0,MAX(0,NETWORKDAYS(MAX(D188,DATE(Einstellungen!$C$3,3,1)),MIN(J188,DATE(Einstellungen!$C$3,4,0)),Einstellungen!$F$13:$F$32)))</f>
        <v/>
      </c>
      <c r="O188" s="49">
        <f>IF(OR(A188="",D188=""),0,MAX(0,NETWORKDAYS(MAX(D188,DATE(Einstellungen!$C$3,4,1)),MIN(J188,DATE(Einstellungen!$C$3,5,0)),Einstellungen!$F$13:$F$32)))</f>
        <v/>
      </c>
      <c r="P188" s="49">
        <f>IF(OR(A188="",D188=""),0,MAX(0,NETWORKDAYS(MAX(D188,DATE(Einstellungen!$C$3,5,1)),MIN(J188,DATE(Einstellungen!$C$3,6,0)),Einstellungen!$F$13:$F$32)))</f>
        <v/>
      </c>
      <c r="Q188" s="49">
        <f>IF(OR(A188="",D188=""),0,MAX(0,NETWORKDAYS(MAX(D188,DATE(Einstellungen!$C$3,6,1)),MIN(J188,DATE(Einstellungen!$C$3,7,0)),Einstellungen!$F$13:$F$32)))</f>
        <v/>
      </c>
      <c r="R188" s="49">
        <f>IF(OR(A188="",D188=""),0,MAX(0,NETWORKDAYS(MAX(D188,DATE(Einstellungen!$C$3,7,1)),MIN(J188,DATE(Einstellungen!$C$3,8,0)),Einstellungen!$F$13:$F$32)))</f>
        <v/>
      </c>
      <c r="S188" s="49">
        <f>IF(OR(A188="",D188=""),0,MAX(0,NETWORKDAYS(MAX(D188,DATE(Einstellungen!$C$3,8,1)),MIN(J188,DATE(Einstellungen!$C$3,9,0)),Einstellungen!$F$13:$F$32)))</f>
        <v/>
      </c>
      <c r="T188" s="49">
        <f>IF(OR(A188="",D188=""),0,MAX(0,NETWORKDAYS(MAX(D188,DATE(Einstellungen!$C$3,9,1)),MIN(J188,DATE(Einstellungen!$C$3,10,0)),Einstellungen!$F$13:$F$32)))</f>
        <v/>
      </c>
      <c r="U188" s="49">
        <f>IF(OR(A188="",D188=""),0,MAX(0,NETWORKDAYS(MAX(D188,DATE(Einstellungen!$C$3,10,1)),MIN(J188,DATE(Einstellungen!$C$3,11,0)),Einstellungen!$F$13:$F$32)))</f>
        <v/>
      </c>
      <c r="V188" s="49">
        <f>IF(OR(A188="",D188=""),0,MAX(0,NETWORKDAYS(MAX(D188,DATE(Einstellungen!$C$3,11,1)),MIN(J188,DATE(Einstellungen!$C$3,12,0)),Einstellungen!$F$13:$F$32)))</f>
        <v/>
      </c>
      <c r="W188" s="49">
        <f>IF(OR(A188="",D188=""),0,MAX(0,NETWORKDAYS(MAX(D188,DATE(Einstellungen!$C$3,12,1)),MIN(J188,DATE(Einstellungen!$C$3,13,0)),Einstellungen!$F$13:$F$32)))</f>
        <v/>
      </c>
      <c r="X188" s="50">
        <f>L188*K188</f>
        <v/>
      </c>
      <c r="Y188" s="50">
        <f>M188*K188</f>
        <v/>
      </c>
      <c r="Z188" s="50">
        <f>N188*K188</f>
        <v/>
      </c>
      <c r="AA188" s="50">
        <f>O188*K188</f>
        <v/>
      </c>
      <c r="AB188" s="50">
        <f>P188*K188</f>
        <v/>
      </c>
      <c r="AC188" s="50">
        <f>Q188*K188</f>
        <v/>
      </c>
      <c r="AD188" s="50">
        <f>R188*K188</f>
        <v/>
      </c>
      <c r="AE188" s="50">
        <f>S188*K188</f>
        <v/>
      </c>
      <c r="AF188" s="50">
        <f>T188*K188</f>
        <v/>
      </c>
      <c r="AG188" s="50">
        <f>U188*K188</f>
        <v/>
      </c>
      <c r="AH188" s="50">
        <f>V188*K188</f>
        <v/>
      </c>
      <c r="AI188" s="50">
        <f>W188*K188</f>
        <v/>
      </c>
    </row>
    <row r="189">
      <c r="A189" s="25" t="n"/>
      <c r="B189" s="45">
        <f>IF(A189="","",IFERROR(INDEX(Mitarbeiter!$B$6:$B$205,MATCH($A189,Mitarbeiter!$A$6:$A$205,0)),"?"))</f>
        <v/>
      </c>
      <c r="C189" s="46" t="n"/>
      <c r="D189" s="26" t="n"/>
      <c r="E189" s="26" t="n"/>
      <c r="F189" s="24">
        <f>IF(A189="","",SUM(L189:W189))</f>
        <v/>
      </c>
      <c r="G189" s="36">
        <f>IF(A189="","",SUM(X189:AI189))</f>
        <v/>
      </c>
      <c r="H189" s="8">
        <f>IF(A189="","",IF(ISNA(MATCH(A189,Mitarbeiter!$A$6:$A$205,0)),"Pers.-Nr. unbekannt",IF(D189="","Von fehlt",IF(AND(C189&lt;&gt;Einstellungen!$C$4,C189&lt;&gt;Einstellungen!$C$5),"Objekt fehlt",IF(J189&lt;D189,"Bis vor Von",IF(D189&lt;INDEX(Mitarbeiter!$C$6:$C$205,MATCH($A189,Mitarbeiter!$A$6:$A$205,0)),"vor Eintritt",IF(AND(INDEX(Mitarbeiter!$D$6:$D$205,MATCH($A189,Mitarbeiter!$A$6:$A$205,0))&lt;&gt;"",D189&gt;INDEX(Mitarbeiter!$D$6:$D$205,MATCH($A189,Mitarbeiter!$A$6:$A$205,0))),"nach Austritt",IF(E189="","offen","ok"))))))))</f>
        <v/>
      </c>
      <c r="J189" s="47">
        <f>IF(A189="","",IF(E189="",Einstellungen!$C$9,E189))</f>
        <v/>
      </c>
      <c r="K189" s="48">
        <f>IF(A189="",0,IFERROR(INDEX(Mitarbeiter!$F$6:$F$205,MATCH($A189,Mitarbeiter!$A$6:$A$205,0)),0))</f>
        <v/>
      </c>
      <c r="L189" s="49">
        <f>IF(OR(A189="",D189=""),0,MAX(0,NETWORKDAYS(MAX(D189,DATE(Einstellungen!$C$3,1,1)),MIN(J189,DATE(Einstellungen!$C$3,2,0)),Einstellungen!$F$13:$F$32)))</f>
        <v/>
      </c>
      <c r="M189" s="49">
        <f>IF(OR(A189="",D189=""),0,MAX(0,NETWORKDAYS(MAX(D189,DATE(Einstellungen!$C$3,2,1)),MIN(J189,DATE(Einstellungen!$C$3,3,0)),Einstellungen!$F$13:$F$32)))</f>
        <v/>
      </c>
      <c r="N189" s="49">
        <f>IF(OR(A189="",D189=""),0,MAX(0,NETWORKDAYS(MAX(D189,DATE(Einstellungen!$C$3,3,1)),MIN(J189,DATE(Einstellungen!$C$3,4,0)),Einstellungen!$F$13:$F$32)))</f>
        <v/>
      </c>
      <c r="O189" s="49">
        <f>IF(OR(A189="",D189=""),0,MAX(0,NETWORKDAYS(MAX(D189,DATE(Einstellungen!$C$3,4,1)),MIN(J189,DATE(Einstellungen!$C$3,5,0)),Einstellungen!$F$13:$F$32)))</f>
        <v/>
      </c>
      <c r="P189" s="49">
        <f>IF(OR(A189="",D189=""),0,MAX(0,NETWORKDAYS(MAX(D189,DATE(Einstellungen!$C$3,5,1)),MIN(J189,DATE(Einstellungen!$C$3,6,0)),Einstellungen!$F$13:$F$32)))</f>
        <v/>
      </c>
      <c r="Q189" s="49">
        <f>IF(OR(A189="",D189=""),0,MAX(0,NETWORKDAYS(MAX(D189,DATE(Einstellungen!$C$3,6,1)),MIN(J189,DATE(Einstellungen!$C$3,7,0)),Einstellungen!$F$13:$F$32)))</f>
        <v/>
      </c>
      <c r="R189" s="49">
        <f>IF(OR(A189="",D189=""),0,MAX(0,NETWORKDAYS(MAX(D189,DATE(Einstellungen!$C$3,7,1)),MIN(J189,DATE(Einstellungen!$C$3,8,0)),Einstellungen!$F$13:$F$32)))</f>
        <v/>
      </c>
      <c r="S189" s="49">
        <f>IF(OR(A189="",D189=""),0,MAX(0,NETWORKDAYS(MAX(D189,DATE(Einstellungen!$C$3,8,1)),MIN(J189,DATE(Einstellungen!$C$3,9,0)),Einstellungen!$F$13:$F$32)))</f>
        <v/>
      </c>
      <c r="T189" s="49">
        <f>IF(OR(A189="",D189=""),0,MAX(0,NETWORKDAYS(MAX(D189,DATE(Einstellungen!$C$3,9,1)),MIN(J189,DATE(Einstellungen!$C$3,10,0)),Einstellungen!$F$13:$F$32)))</f>
        <v/>
      </c>
      <c r="U189" s="49">
        <f>IF(OR(A189="",D189=""),0,MAX(0,NETWORKDAYS(MAX(D189,DATE(Einstellungen!$C$3,10,1)),MIN(J189,DATE(Einstellungen!$C$3,11,0)),Einstellungen!$F$13:$F$32)))</f>
        <v/>
      </c>
      <c r="V189" s="49">
        <f>IF(OR(A189="",D189=""),0,MAX(0,NETWORKDAYS(MAX(D189,DATE(Einstellungen!$C$3,11,1)),MIN(J189,DATE(Einstellungen!$C$3,12,0)),Einstellungen!$F$13:$F$32)))</f>
        <v/>
      </c>
      <c r="W189" s="49">
        <f>IF(OR(A189="",D189=""),0,MAX(0,NETWORKDAYS(MAX(D189,DATE(Einstellungen!$C$3,12,1)),MIN(J189,DATE(Einstellungen!$C$3,13,0)),Einstellungen!$F$13:$F$32)))</f>
        <v/>
      </c>
      <c r="X189" s="50">
        <f>L189*K189</f>
        <v/>
      </c>
      <c r="Y189" s="50">
        <f>M189*K189</f>
        <v/>
      </c>
      <c r="Z189" s="50">
        <f>N189*K189</f>
        <v/>
      </c>
      <c r="AA189" s="50">
        <f>O189*K189</f>
        <v/>
      </c>
      <c r="AB189" s="50">
        <f>P189*K189</f>
        <v/>
      </c>
      <c r="AC189" s="50">
        <f>Q189*K189</f>
        <v/>
      </c>
      <c r="AD189" s="50">
        <f>R189*K189</f>
        <v/>
      </c>
      <c r="AE189" s="50">
        <f>S189*K189</f>
        <v/>
      </c>
      <c r="AF189" s="50">
        <f>T189*K189</f>
        <v/>
      </c>
      <c r="AG189" s="50">
        <f>U189*K189</f>
        <v/>
      </c>
      <c r="AH189" s="50">
        <f>V189*K189</f>
        <v/>
      </c>
      <c r="AI189" s="50">
        <f>W189*K189</f>
        <v/>
      </c>
    </row>
    <row r="190">
      <c r="A190" s="25" t="n"/>
      <c r="B190" s="45">
        <f>IF(A190="","",IFERROR(INDEX(Mitarbeiter!$B$6:$B$205,MATCH($A190,Mitarbeiter!$A$6:$A$205,0)),"?"))</f>
        <v/>
      </c>
      <c r="C190" s="46" t="n"/>
      <c r="D190" s="26" t="n"/>
      <c r="E190" s="26" t="n"/>
      <c r="F190" s="24">
        <f>IF(A190="","",SUM(L190:W190))</f>
        <v/>
      </c>
      <c r="G190" s="36">
        <f>IF(A190="","",SUM(X190:AI190))</f>
        <v/>
      </c>
      <c r="H190" s="8">
        <f>IF(A190="","",IF(ISNA(MATCH(A190,Mitarbeiter!$A$6:$A$205,0)),"Pers.-Nr. unbekannt",IF(D190="","Von fehlt",IF(AND(C190&lt;&gt;Einstellungen!$C$4,C190&lt;&gt;Einstellungen!$C$5),"Objekt fehlt",IF(J190&lt;D190,"Bis vor Von",IF(D190&lt;INDEX(Mitarbeiter!$C$6:$C$205,MATCH($A190,Mitarbeiter!$A$6:$A$205,0)),"vor Eintritt",IF(AND(INDEX(Mitarbeiter!$D$6:$D$205,MATCH($A190,Mitarbeiter!$A$6:$A$205,0))&lt;&gt;"",D190&gt;INDEX(Mitarbeiter!$D$6:$D$205,MATCH($A190,Mitarbeiter!$A$6:$A$205,0))),"nach Austritt",IF(E190="","offen","ok"))))))))</f>
        <v/>
      </c>
      <c r="J190" s="47">
        <f>IF(A190="","",IF(E190="",Einstellungen!$C$9,E190))</f>
        <v/>
      </c>
      <c r="K190" s="48">
        <f>IF(A190="",0,IFERROR(INDEX(Mitarbeiter!$F$6:$F$205,MATCH($A190,Mitarbeiter!$A$6:$A$205,0)),0))</f>
        <v/>
      </c>
      <c r="L190" s="49">
        <f>IF(OR(A190="",D190=""),0,MAX(0,NETWORKDAYS(MAX(D190,DATE(Einstellungen!$C$3,1,1)),MIN(J190,DATE(Einstellungen!$C$3,2,0)),Einstellungen!$F$13:$F$32)))</f>
        <v/>
      </c>
      <c r="M190" s="49">
        <f>IF(OR(A190="",D190=""),0,MAX(0,NETWORKDAYS(MAX(D190,DATE(Einstellungen!$C$3,2,1)),MIN(J190,DATE(Einstellungen!$C$3,3,0)),Einstellungen!$F$13:$F$32)))</f>
        <v/>
      </c>
      <c r="N190" s="49">
        <f>IF(OR(A190="",D190=""),0,MAX(0,NETWORKDAYS(MAX(D190,DATE(Einstellungen!$C$3,3,1)),MIN(J190,DATE(Einstellungen!$C$3,4,0)),Einstellungen!$F$13:$F$32)))</f>
        <v/>
      </c>
      <c r="O190" s="49">
        <f>IF(OR(A190="",D190=""),0,MAX(0,NETWORKDAYS(MAX(D190,DATE(Einstellungen!$C$3,4,1)),MIN(J190,DATE(Einstellungen!$C$3,5,0)),Einstellungen!$F$13:$F$32)))</f>
        <v/>
      </c>
      <c r="P190" s="49">
        <f>IF(OR(A190="",D190=""),0,MAX(0,NETWORKDAYS(MAX(D190,DATE(Einstellungen!$C$3,5,1)),MIN(J190,DATE(Einstellungen!$C$3,6,0)),Einstellungen!$F$13:$F$32)))</f>
        <v/>
      </c>
      <c r="Q190" s="49">
        <f>IF(OR(A190="",D190=""),0,MAX(0,NETWORKDAYS(MAX(D190,DATE(Einstellungen!$C$3,6,1)),MIN(J190,DATE(Einstellungen!$C$3,7,0)),Einstellungen!$F$13:$F$32)))</f>
        <v/>
      </c>
      <c r="R190" s="49">
        <f>IF(OR(A190="",D190=""),0,MAX(0,NETWORKDAYS(MAX(D190,DATE(Einstellungen!$C$3,7,1)),MIN(J190,DATE(Einstellungen!$C$3,8,0)),Einstellungen!$F$13:$F$32)))</f>
        <v/>
      </c>
      <c r="S190" s="49">
        <f>IF(OR(A190="",D190=""),0,MAX(0,NETWORKDAYS(MAX(D190,DATE(Einstellungen!$C$3,8,1)),MIN(J190,DATE(Einstellungen!$C$3,9,0)),Einstellungen!$F$13:$F$32)))</f>
        <v/>
      </c>
      <c r="T190" s="49">
        <f>IF(OR(A190="",D190=""),0,MAX(0,NETWORKDAYS(MAX(D190,DATE(Einstellungen!$C$3,9,1)),MIN(J190,DATE(Einstellungen!$C$3,10,0)),Einstellungen!$F$13:$F$32)))</f>
        <v/>
      </c>
      <c r="U190" s="49">
        <f>IF(OR(A190="",D190=""),0,MAX(0,NETWORKDAYS(MAX(D190,DATE(Einstellungen!$C$3,10,1)),MIN(J190,DATE(Einstellungen!$C$3,11,0)),Einstellungen!$F$13:$F$32)))</f>
        <v/>
      </c>
      <c r="V190" s="49">
        <f>IF(OR(A190="",D190=""),0,MAX(0,NETWORKDAYS(MAX(D190,DATE(Einstellungen!$C$3,11,1)),MIN(J190,DATE(Einstellungen!$C$3,12,0)),Einstellungen!$F$13:$F$32)))</f>
        <v/>
      </c>
      <c r="W190" s="49">
        <f>IF(OR(A190="",D190=""),0,MAX(0,NETWORKDAYS(MAX(D190,DATE(Einstellungen!$C$3,12,1)),MIN(J190,DATE(Einstellungen!$C$3,13,0)),Einstellungen!$F$13:$F$32)))</f>
        <v/>
      </c>
      <c r="X190" s="50">
        <f>L190*K190</f>
        <v/>
      </c>
      <c r="Y190" s="50">
        <f>M190*K190</f>
        <v/>
      </c>
      <c r="Z190" s="50">
        <f>N190*K190</f>
        <v/>
      </c>
      <c r="AA190" s="50">
        <f>O190*K190</f>
        <v/>
      </c>
      <c r="AB190" s="50">
        <f>P190*K190</f>
        <v/>
      </c>
      <c r="AC190" s="50">
        <f>Q190*K190</f>
        <v/>
      </c>
      <c r="AD190" s="50">
        <f>R190*K190</f>
        <v/>
      </c>
      <c r="AE190" s="50">
        <f>S190*K190</f>
        <v/>
      </c>
      <c r="AF190" s="50">
        <f>T190*K190</f>
        <v/>
      </c>
      <c r="AG190" s="50">
        <f>U190*K190</f>
        <v/>
      </c>
      <c r="AH190" s="50">
        <f>V190*K190</f>
        <v/>
      </c>
      <c r="AI190" s="50">
        <f>W190*K190</f>
        <v/>
      </c>
    </row>
    <row r="191">
      <c r="A191" s="25" t="n"/>
      <c r="B191" s="45">
        <f>IF(A191="","",IFERROR(INDEX(Mitarbeiter!$B$6:$B$205,MATCH($A191,Mitarbeiter!$A$6:$A$205,0)),"?"))</f>
        <v/>
      </c>
      <c r="C191" s="46" t="n"/>
      <c r="D191" s="26" t="n"/>
      <c r="E191" s="26" t="n"/>
      <c r="F191" s="24">
        <f>IF(A191="","",SUM(L191:W191))</f>
        <v/>
      </c>
      <c r="G191" s="36">
        <f>IF(A191="","",SUM(X191:AI191))</f>
        <v/>
      </c>
      <c r="H191" s="8">
        <f>IF(A191="","",IF(ISNA(MATCH(A191,Mitarbeiter!$A$6:$A$205,0)),"Pers.-Nr. unbekannt",IF(D191="","Von fehlt",IF(AND(C191&lt;&gt;Einstellungen!$C$4,C191&lt;&gt;Einstellungen!$C$5),"Objekt fehlt",IF(J191&lt;D191,"Bis vor Von",IF(D191&lt;INDEX(Mitarbeiter!$C$6:$C$205,MATCH($A191,Mitarbeiter!$A$6:$A$205,0)),"vor Eintritt",IF(AND(INDEX(Mitarbeiter!$D$6:$D$205,MATCH($A191,Mitarbeiter!$A$6:$A$205,0))&lt;&gt;"",D191&gt;INDEX(Mitarbeiter!$D$6:$D$205,MATCH($A191,Mitarbeiter!$A$6:$A$205,0))),"nach Austritt",IF(E191="","offen","ok"))))))))</f>
        <v/>
      </c>
      <c r="J191" s="47">
        <f>IF(A191="","",IF(E191="",Einstellungen!$C$9,E191))</f>
        <v/>
      </c>
      <c r="K191" s="48">
        <f>IF(A191="",0,IFERROR(INDEX(Mitarbeiter!$F$6:$F$205,MATCH($A191,Mitarbeiter!$A$6:$A$205,0)),0))</f>
        <v/>
      </c>
      <c r="L191" s="49">
        <f>IF(OR(A191="",D191=""),0,MAX(0,NETWORKDAYS(MAX(D191,DATE(Einstellungen!$C$3,1,1)),MIN(J191,DATE(Einstellungen!$C$3,2,0)),Einstellungen!$F$13:$F$32)))</f>
        <v/>
      </c>
      <c r="M191" s="49">
        <f>IF(OR(A191="",D191=""),0,MAX(0,NETWORKDAYS(MAX(D191,DATE(Einstellungen!$C$3,2,1)),MIN(J191,DATE(Einstellungen!$C$3,3,0)),Einstellungen!$F$13:$F$32)))</f>
        <v/>
      </c>
      <c r="N191" s="49">
        <f>IF(OR(A191="",D191=""),0,MAX(0,NETWORKDAYS(MAX(D191,DATE(Einstellungen!$C$3,3,1)),MIN(J191,DATE(Einstellungen!$C$3,4,0)),Einstellungen!$F$13:$F$32)))</f>
        <v/>
      </c>
      <c r="O191" s="49">
        <f>IF(OR(A191="",D191=""),0,MAX(0,NETWORKDAYS(MAX(D191,DATE(Einstellungen!$C$3,4,1)),MIN(J191,DATE(Einstellungen!$C$3,5,0)),Einstellungen!$F$13:$F$32)))</f>
        <v/>
      </c>
      <c r="P191" s="49">
        <f>IF(OR(A191="",D191=""),0,MAX(0,NETWORKDAYS(MAX(D191,DATE(Einstellungen!$C$3,5,1)),MIN(J191,DATE(Einstellungen!$C$3,6,0)),Einstellungen!$F$13:$F$32)))</f>
        <v/>
      </c>
      <c r="Q191" s="49">
        <f>IF(OR(A191="",D191=""),0,MAX(0,NETWORKDAYS(MAX(D191,DATE(Einstellungen!$C$3,6,1)),MIN(J191,DATE(Einstellungen!$C$3,7,0)),Einstellungen!$F$13:$F$32)))</f>
        <v/>
      </c>
      <c r="R191" s="49">
        <f>IF(OR(A191="",D191=""),0,MAX(0,NETWORKDAYS(MAX(D191,DATE(Einstellungen!$C$3,7,1)),MIN(J191,DATE(Einstellungen!$C$3,8,0)),Einstellungen!$F$13:$F$32)))</f>
        <v/>
      </c>
      <c r="S191" s="49">
        <f>IF(OR(A191="",D191=""),0,MAX(0,NETWORKDAYS(MAX(D191,DATE(Einstellungen!$C$3,8,1)),MIN(J191,DATE(Einstellungen!$C$3,9,0)),Einstellungen!$F$13:$F$32)))</f>
        <v/>
      </c>
      <c r="T191" s="49">
        <f>IF(OR(A191="",D191=""),0,MAX(0,NETWORKDAYS(MAX(D191,DATE(Einstellungen!$C$3,9,1)),MIN(J191,DATE(Einstellungen!$C$3,10,0)),Einstellungen!$F$13:$F$32)))</f>
        <v/>
      </c>
      <c r="U191" s="49">
        <f>IF(OR(A191="",D191=""),0,MAX(0,NETWORKDAYS(MAX(D191,DATE(Einstellungen!$C$3,10,1)),MIN(J191,DATE(Einstellungen!$C$3,11,0)),Einstellungen!$F$13:$F$32)))</f>
        <v/>
      </c>
      <c r="V191" s="49">
        <f>IF(OR(A191="",D191=""),0,MAX(0,NETWORKDAYS(MAX(D191,DATE(Einstellungen!$C$3,11,1)),MIN(J191,DATE(Einstellungen!$C$3,12,0)),Einstellungen!$F$13:$F$32)))</f>
        <v/>
      </c>
      <c r="W191" s="49">
        <f>IF(OR(A191="",D191=""),0,MAX(0,NETWORKDAYS(MAX(D191,DATE(Einstellungen!$C$3,12,1)),MIN(J191,DATE(Einstellungen!$C$3,13,0)),Einstellungen!$F$13:$F$32)))</f>
        <v/>
      </c>
      <c r="X191" s="50">
        <f>L191*K191</f>
        <v/>
      </c>
      <c r="Y191" s="50">
        <f>M191*K191</f>
        <v/>
      </c>
      <c r="Z191" s="50">
        <f>N191*K191</f>
        <v/>
      </c>
      <c r="AA191" s="50">
        <f>O191*K191</f>
        <v/>
      </c>
      <c r="AB191" s="50">
        <f>P191*K191</f>
        <v/>
      </c>
      <c r="AC191" s="50">
        <f>Q191*K191</f>
        <v/>
      </c>
      <c r="AD191" s="50">
        <f>R191*K191</f>
        <v/>
      </c>
      <c r="AE191" s="50">
        <f>S191*K191</f>
        <v/>
      </c>
      <c r="AF191" s="50">
        <f>T191*K191</f>
        <v/>
      </c>
      <c r="AG191" s="50">
        <f>U191*K191</f>
        <v/>
      </c>
      <c r="AH191" s="50">
        <f>V191*K191</f>
        <v/>
      </c>
      <c r="AI191" s="50">
        <f>W191*K191</f>
        <v/>
      </c>
    </row>
    <row r="192">
      <c r="A192" s="25" t="n"/>
      <c r="B192" s="45">
        <f>IF(A192="","",IFERROR(INDEX(Mitarbeiter!$B$6:$B$205,MATCH($A192,Mitarbeiter!$A$6:$A$205,0)),"?"))</f>
        <v/>
      </c>
      <c r="C192" s="46" t="n"/>
      <c r="D192" s="26" t="n"/>
      <c r="E192" s="26" t="n"/>
      <c r="F192" s="24">
        <f>IF(A192="","",SUM(L192:W192))</f>
        <v/>
      </c>
      <c r="G192" s="36">
        <f>IF(A192="","",SUM(X192:AI192))</f>
        <v/>
      </c>
      <c r="H192" s="8">
        <f>IF(A192="","",IF(ISNA(MATCH(A192,Mitarbeiter!$A$6:$A$205,0)),"Pers.-Nr. unbekannt",IF(D192="","Von fehlt",IF(AND(C192&lt;&gt;Einstellungen!$C$4,C192&lt;&gt;Einstellungen!$C$5),"Objekt fehlt",IF(J192&lt;D192,"Bis vor Von",IF(D192&lt;INDEX(Mitarbeiter!$C$6:$C$205,MATCH($A192,Mitarbeiter!$A$6:$A$205,0)),"vor Eintritt",IF(AND(INDEX(Mitarbeiter!$D$6:$D$205,MATCH($A192,Mitarbeiter!$A$6:$A$205,0))&lt;&gt;"",D192&gt;INDEX(Mitarbeiter!$D$6:$D$205,MATCH($A192,Mitarbeiter!$A$6:$A$205,0))),"nach Austritt",IF(E192="","offen","ok"))))))))</f>
        <v/>
      </c>
      <c r="J192" s="47">
        <f>IF(A192="","",IF(E192="",Einstellungen!$C$9,E192))</f>
        <v/>
      </c>
      <c r="K192" s="48">
        <f>IF(A192="",0,IFERROR(INDEX(Mitarbeiter!$F$6:$F$205,MATCH($A192,Mitarbeiter!$A$6:$A$205,0)),0))</f>
        <v/>
      </c>
      <c r="L192" s="49">
        <f>IF(OR(A192="",D192=""),0,MAX(0,NETWORKDAYS(MAX(D192,DATE(Einstellungen!$C$3,1,1)),MIN(J192,DATE(Einstellungen!$C$3,2,0)),Einstellungen!$F$13:$F$32)))</f>
        <v/>
      </c>
      <c r="M192" s="49">
        <f>IF(OR(A192="",D192=""),0,MAX(0,NETWORKDAYS(MAX(D192,DATE(Einstellungen!$C$3,2,1)),MIN(J192,DATE(Einstellungen!$C$3,3,0)),Einstellungen!$F$13:$F$32)))</f>
        <v/>
      </c>
      <c r="N192" s="49">
        <f>IF(OR(A192="",D192=""),0,MAX(0,NETWORKDAYS(MAX(D192,DATE(Einstellungen!$C$3,3,1)),MIN(J192,DATE(Einstellungen!$C$3,4,0)),Einstellungen!$F$13:$F$32)))</f>
        <v/>
      </c>
      <c r="O192" s="49">
        <f>IF(OR(A192="",D192=""),0,MAX(0,NETWORKDAYS(MAX(D192,DATE(Einstellungen!$C$3,4,1)),MIN(J192,DATE(Einstellungen!$C$3,5,0)),Einstellungen!$F$13:$F$32)))</f>
        <v/>
      </c>
      <c r="P192" s="49">
        <f>IF(OR(A192="",D192=""),0,MAX(0,NETWORKDAYS(MAX(D192,DATE(Einstellungen!$C$3,5,1)),MIN(J192,DATE(Einstellungen!$C$3,6,0)),Einstellungen!$F$13:$F$32)))</f>
        <v/>
      </c>
      <c r="Q192" s="49">
        <f>IF(OR(A192="",D192=""),0,MAX(0,NETWORKDAYS(MAX(D192,DATE(Einstellungen!$C$3,6,1)),MIN(J192,DATE(Einstellungen!$C$3,7,0)),Einstellungen!$F$13:$F$32)))</f>
        <v/>
      </c>
      <c r="R192" s="49">
        <f>IF(OR(A192="",D192=""),0,MAX(0,NETWORKDAYS(MAX(D192,DATE(Einstellungen!$C$3,7,1)),MIN(J192,DATE(Einstellungen!$C$3,8,0)),Einstellungen!$F$13:$F$32)))</f>
        <v/>
      </c>
      <c r="S192" s="49">
        <f>IF(OR(A192="",D192=""),0,MAX(0,NETWORKDAYS(MAX(D192,DATE(Einstellungen!$C$3,8,1)),MIN(J192,DATE(Einstellungen!$C$3,9,0)),Einstellungen!$F$13:$F$32)))</f>
        <v/>
      </c>
      <c r="T192" s="49">
        <f>IF(OR(A192="",D192=""),0,MAX(0,NETWORKDAYS(MAX(D192,DATE(Einstellungen!$C$3,9,1)),MIN(J192,DATE(Einstellungen!$C$3,10,0)),Einstellungen!$F$13:$F$32)))</f>
        <v/>
      </c>
      <c r="U192" s="49">
        <f>IF(OR(A192="",D192=""),0,MAX(0,NETWORKDAYS(MAX(D192,DATE(Einstellungen!$C$3,10,1)),MIN(J192,DATE(Einstellungen!$C$3,11,0)),Einstellungen!$F$13:$F$32)))</f>
        <v/>
      </c>
      <c r="V192" s="49">
        <f>IF(OR(A192="",D192=""),0,MAX(0,NETWORKDAYS(MAX(D192,DATE(Einstellungen!$C$3,11,1)),MIN(J192,DATE(Einstellungen!$C$3,12,0)),Einstellungen!$F$13:$F$32)))</f>
        <v/>
      </c>
      <c r="W192" s="49">
        <f>IF(OR(A192="",D192=""),0,MAX(0,NETWORKDAYS(MAX(D192,DATE(Einstellungen!$C$3,12,1)),MIN(J192,DATE(Einstellungen!$C$3,13,0)),Einstellungen!$F$13:$F$32)))</f>
        <v/>
      </c>
      <c r="X192" s="50">
        <f>L192*K192</f>
        <v/>
      </c>
      <c r="Y192" s="50">
        <f>M192*K192</f>
        <v/>
      </c>
      <c r="Z192" s="50">
        <f>N192*K192</f>
        <v/>
      </c>
      <c r="AA192" s="50">
        <f>O192*K192</f>
        <v/>
      </c>
      <c r="AB192" s="50">
        <f>P192*K192</f>
        <v/>
      </c>
      <c r="AC192" s="50">
        <f>Q192*K192</f>
        <v/>
      </c>
      <c r="AD192" s="50">
        <f>R192*K192</f>
        <v/>
      </c>
      <c r="AE192" s="50">
        <f>S192*K192</f>
        <v/>
      </c>
      <c r="AF192" s="50">
        <f>T192*K192</f>
        <v/>
      </c>
      <c r="AG192" s="50">
        <f>U192*K192</f>
        <v/>
      </c>
      <c r="AH192" s="50">
        <f>V192*K192</f>
        <v/>
      </c>
      <c r="AI192" s="50">
        <f>W192*K192</f>
        <v/>
      </c>
    </row>
    <row r="193">
      <c r="A193" s="25" t="n"/>
      <c r="B193" s="45">
        <f>IF(A193="","",IFERROR(INDEX(Mitarbeiter!$B$6:$B$205,MATCH($A193,Mitarbeiter!$A$6:$A$205,0)),"?"))</f>
        <v/>
      </c>
      <c r="C193" s="46" t="n"/>
      <c r="D193" s="26" t="n"/>
      <c r="E193" s="26" t="n"/>
      <c r="F193" s="24">
        <f>IF(A193="","",SUM(L193:W193))</f>
        <v/>
      </c>
      <c r="G193" s="36">
        <f>IF(A193="","",SUM(X193:AI193))</f>
        <v/>
      </c>
      <c r="H193" s="8">
        <f>IF(A193="","",IF(ISNA(MATCH(A193,Mitarbeiter!$A$6:$A$205,0)),"Pers.-Nr. unbekannt",IF(D193="","Von fehlt",IF(AND(C193&lt;&gt;Einstellungen!$C$4,C193&lt;&gt;Einstellungen!$C$5),"Objekt fehlt",IF(J193&lt;D193,"Bis vor Von",IF(D193&lt;INDEX(Mitarbeiter!$C$6:$C$205,MATCH($A193,Mitarbeiter!$A$6:$A$205,0)),"vor Eintritt",IF(AND(INDEX(Mitarbeiter!$D$6:$D$205,MATCH($A193,Mitarbeiter!$A$6:$A$205,0))&lt;&gt;"",D193&gt;INDEX(Mitarbeiter!$D$6:$D$205,MATCH($A193,Mitarbeiter!$A$6:$A$205,0))),"nach Austritt",IF(E193="","offen","ok"))))))))</f>
        <v/>
      </c>
      <c r="J193" s="47">
        <f>IF(A193="","",IF(E193="",Einstellungen!$C$9,E193))</f>
        <v/>
      </c>
      <c r="K193" s="48">
        <f>IF(A193="",0,IFERROR(INDEX(Mitarbeiter!$F$6:$F$205,MATCH($A193,Mitarbeiter!$A$6:$A$205,0)),0))</f>
        <v/>
      </c>
      <c r="L193" s="49">
        <f>IF(OR(A193="",D193=""),0,MAX(0,NETWORKDAYS(MAX(D193,DATE(Einstellungen!$C$3,1,1)),MIN(J193,DATE(Einstellungen!$C$3,2,0)),Einstellungen!$F$13:$F$32)))</f>
        <v/>
      </c>
      <c r="M193" s="49">
        <f>IF(OR(A193="",D193=""),0,MAX(0,NETWORKDAYS(MAX(D193,DATE(Einstellungen!$C$3,2,1)),MIN(J193,DATE(Einstellungen!$C$3,3,0)),Einstellungen!$F$13:$F$32)))</f>
        <v/>
      </c>
      <c r="N193" s="49">
        <f>IF(OR(A193="",D193=""),0,MAX(0,NETWORKDAYS(MAX(D193,DATE(Einstellungen!$C$3,3,1)),MIN(J193,DATE(Einstellungen!$C$3,4,0)),Einstellungen!$F$13:$F$32)))</f>
        <v/>
      </c>
      <c r="O193" s="49">
        <f>IF(OR(A193="",D193=""),0,MAX(0,NETWORKDAYS(MAX(D193,DATE(Einstellungen!$C$3,4,1)),MIN(J193,DATE(Einstellungen!$C$3,5,0)),Einstellungen!$F$13:$F$32)))</f>
        <v/>
      </c>
      <c r="P193" s="49">
        <f>IF(OR(A193="",D193=""),0,MAX(0,NETWORKDAYS(MAX(D193,DATE(Einstellungen!$C$3,5,1)),MIN(J193,DATE(Einstellungen!$C$3,6,0)),Einstellungen!$F$13:$F$32)))</f>
        <v/>
      </c>
      <c r="Q193" s="49">
        <f>IF(OR(A193="",D193=""),0,MAX(0,NETWORKDAYS(MAX(D193,DATE(Einstellungen!$C$3,6,1)),MIN(J193,DATE(Einstellungen!$C$3,7,0)),Einstellungen!$F$13:$F$32)))</f>
        <v/>
      </c>
      <c r="R193" s="49">
        <f>IF(OR(A193="",D193=""),0,MAX(0,NETWORKDAYS(MAX(D193,DATE(Einstellungen!$C$3,7,1)),MIN(J193,DATE(Einstellungen!$C$3,8,0)),Einstellungen!$F$13:$F$32)))</f>
        <v/>
      </c>
      <c r="S193" s="49">
        <f>IF(OR(A193="",D193=""),0,MAX(0,NETWORKDAYS(MAX(D193,DATE(Einstellungen!$C$3,8,1)),MIN(J193,DATE(Einstellungen!$C$3,9,0)),Einstellungen!$F$13:$F$32)))</f>
        <v/>
      </c>
      <c r="T193" s="49">
        <f>IF(OR(A193="",D193=""),0,MAX(0,NETWORKDAYS(MAX(D193,DATE(Einstellungen!$C$3,9,1)),MIN(J193,DATE(Einstellungen!$C$3,10,0)),Einstellungen!$F$13:$F$32)))</f>
        <v/>
      </c>
      <c r="U193" s="49">
        <f>IF(OR(A193="",D193=""),0,MAX(0,NETWORKDAYS(MAX(D193,DATE(Einstellungen!$C$3,10,1)),MIN(J193,DATE(Einstellungen!$C$3,11,0)),Einstellungen!$F$13:$F$32)))</f>
        <v/>
      </c>
      <c r="V193" s="49">
        <f>IF(OR(A193="",D193=""),0,MAX(0,NETWORKDAYS(MAX(D193,DATE(Einstellungen!$C$3,11,1)),MIN(J193,DATE(Einstellungen!$C$3,12,0)),Einstellungen!$F$13:$F$32)))</f>
        <v/>
      </c>
      <c r="W193" s="49">
        <f>IF(OR(A193="",D193=""),0,MAX(0,NETWORKDAYS(MAX(D193,DATE(Einstellungen!$C$3,12,1)),MIN(J193,DATE(Einstellungen!$C$3,13,0)),Einstellungen!$F$13:$F$32)))</f>
        <v/>
      </c>
      <c r="X193" s="50">
        <f>L193*K193</f>
        <v/>
      </c>
      <c r="Y193" s="50">
        <f>M193*K193</f>
        <v/>
      </c>
      <c r="Z193" s="50">
        <f>N193*K193</f>
        <v/>
      </c>
      <c r="AA193" s="50">
        <f>O193*K193</f>
        <v/>
      </c>
      <c r="AB193" s="50">
        <f>P193*K193</f>
        <v/>
      </c>
      <c r="AC193" s="50">
        <f>Q193*K193</f>
        <v/>
      </c>
      <c r="AD193" s="50">
        <f>R193*K193</f>
        <v/>
      </c>
      <c r="AE193" s="50">
        <f>S193*K193</f>
        <v/>
      </c>
      <c r="AF193" s="50">
        <f>T193*K193</f>
        <v/>
      </c>
      <c r="AG193" s="50">
        <f>U193*K193</f>
        <v/>
      </c>
      <c r="AH193" s="50">
        <f>V193*K193</f>
        <v/>
      </c>
      <c r="AI193" s="50">
        <f>W193*K193</f>
        <v/>
      </c>
    </row>
    <row r="194">
      <c r="A194" s="25" t="n"/>
      <c r="B194" s="45">
        <f>IF(A194="","",IFERROR(INDEX(Mitarbeiter!$B$6:$B$205,MATCH($A194,Mitarbeiter!$A$6:$A$205,0)),"?"))</f>
        <v/>
      </c>
      <c r="C194" s="46" t="n"/>
      <c r="D194" s="26" t="n"/>
      <c r="E194" s="26" t="n"/>
      <c r="F194" s="24">
        <f>IF(A194="","",SUM(L194:W194))</f>
        <v/>
      </c>
      <c r="G194" s="36">
        <f>IF(A194="","",SUM(X194:AI194))</f>
        <v/>
      </c>
      <c r="H194" s="8">
        <f>IF(A194="","",IF(ISNA(MATCH(A194,Mitarbeiter!$A$6:$A$205,0)),"Pers.-Nr. unbekannt",IF(D194="","Von fehlt",IF(AND(C194&lt;&gt;Einstellungen!$C$4,C194&lt;&gt;Einstellungen!$C$5),"Objekt fehlt",IF(J194&lt;D194,"Bis vor Von",IF(D194&lt;INDEX(Mitarbeiter!$C$6:$C$205,MATCH($A194,Mitarbeiter!$A$6:$A$205,0)),"vor Eintritt",IF(AND(INDEX(Mitarbeiter!$D$6:$D$205,MATCH($A194,Mitarbeiter!$A$6:$A$205,0))&lt;&gt;"",D194&gt;INDEX(Mitarbeiter!$D$6:$D$205,MATCH($A194,Mitarbeiter!$A$6:$A$205,0))),"nach Austritt",IF(E194="","offen","ok"))))))))</f>
        <v/>
      </c>
      <c r="J194" s="47">
        <f>IF(A194="","",IF(E194="",Einstellungen!$C$9,E194))</f>
        <v/>
      </c>
      <c r="K194" s="48">
        <f>IF(A194="",0,IFERROR(INDEX(Mitarbeiter!$F$6:$F$205,MATCH($A194,Mitarbeiter!$A$6:$A$205,0)),0))</f>
        <v/>
      </c>
      <c r="L194" s="49">
        <f>IF(OR(A194="",D194=""),0,MAX(0,NETWORKDAYS(MAX(D194,DATE(Einstellungen!$C$3,1,1)),MIN(J194,DATE(Einstellungen!$C$3,2,0)),Einstellungen!$F$13:$F$32)))</f>
        <v/>
      </c>
      <c r="M194" s="49">
        <f>IF(OR(A194="",D194=""),0,MAX(0,NETWORKDAYS(MAX(D194,DATE(Einstellungen!$C$3,2,1)),MIN(J194,DATE(Einstellungen!$C$3,3,0)),Einstellungen!$F$13:$F$32)))</f>
        <v/>
      </c>
      <c r="N194" s="49">
        <f>IF(OR(A194="",D194=""),0,MAX(0,NETWORKDAYS(MAX(D194,DATE(Einstellungen!$C$3,3,1)),MIN(J194,DATE(Einstellungen!$C$3,4,0)),Einstellungen!$F$13:$F$32)))</f>
        <v/>
      </c>
      <c r="O194" s="49">
        <f>IF(OR(A194="",D194=""),0,MAX(0,NETWORKDAYS(MAX(D194,DATE(Einstellungen!$C$3,4,1)),MIN(J194,DATE(Einstellungen!$C$3,5,0)),Einstellungen!$F$13:$F$32)))</f>
        <v/>
      </c>
      <c r="P194" s="49">
        <f>IF(OR(A194="",D194=""),0,MAX(0,NETWORKDAYS(MAX(D194,DATE(Einstellungen!$C$3,5,1)),MIN(J194,DATE(Einstellungen!$C$3,6,0)),Einstellungen!$F$13:$F$32)))</f>
        <v/>
      </c>
      <c r="Q194" s="49">
        <f>IF(OR(A194="",D194=""),0,MAX(0,NETWORKDAYS(MAX(D194,DATE(Einstellungen!$C$3,6,1)),MIN(J194,DATE(Einstellungen!$C$3,7,0)),Einstellungen!$F$13:$F$32)))</f>
        <v/>
      </c>
      <c r="R194" s="49">
        <f>IF(OR(A194="",D194=""),0,MAX(0,NETWORKDAYS(MAX(D194,DATE(Einstellungen!$C$3,7,1)),MIN(J194,DATE(Einstellungen!$C$3,8,0)),Einstellungen!$F$13:$F$32)))</f>
        <v/>
      </c>
      <c r="S194" s="49">
        <f>IF(OR(A194="",D194=""),0,MAX(0,NETWORKDAYS(MAX(D194,DATE(Einstellungen!$C$3,8,1)),MIN(J194,DATE(Einstellungen!$C$3,9,0)),Einstellungen!$F$13:$F$32)))</f>
        <v/>
      </c>
      <c r="T194" s="49">
        <f>IF(OR(A194="",D194=""),0,MAX(0,NETWORKDAYS(MAX(D194,DATE(Einstellungen!$C$3,9,1)),MIN(J194,DATE(Einstellungen!$C$3,10,0)),Einstellungen!$F$13:$F$32)))</f>
        <v/>
      </c>
      <c r="U194" s="49">
        <f>IF(OR(A194="",D194=""),0,MAX(0,NETWORKDAYS(MAX(D194,DATE(Einstellungen!$C$3,10,1)),MIN(J194,DATE(Einstellungen!$C$3,11,0)),Einstellungen!$F$13:$F$32)))</f>
        <v/>
      </c>
      <c r="V194" s="49">
        <f>IF(OR(A194="",D194=""),0,MAX(0,NETWORKDAYS(MAX(D194,DATE(Einstellungen!$C$3,11,1)),MIN(J194,DATE(Einstellungen!$C$3,12,0)),Einstellungen!$F$13:$F$32)))</f>
        <v/>
      </c>
      <c r="W194" s="49">
        <f>IF(OR(A194="",D194=""),0,MAX(0,NETWORKDAYS(MAX(D194,DATE(Einstellungen!$C$3,12,1)),MIN(J194,DATE(Einstellungen!$C$3,13,0)),Einstellungen!$F$13:$F$32)))</f>
        <v/>
      </c>
      <c r="X194" s="50">
        <f>L194*K194</f>
        <v/>
      </c>
      <c r="Y194" s="50">
        <f>M194*K194</f>
        <v/>
      </c>
      <c r="Z194" s="50">
        <f>N194*K194</f>
        <v/>
      </c>
      <c r="AA194" s="50">
        <f>O194*K194</f>
        <v/>
      </c>
      <c r="AB194" s="50">
        <f>P194*K194</f>
        <v/>
      </c>
      <c r="AC194" s="50">
        <f>Q194*K194</f>
        <v/>
      </c>
      <c r="AD194" s="50">
        <f>R194*K194</f>
        <v/>
      </c>
      <c r="AE194" s="50">
        <f>S194*K194</f>
        <v/>
      </c>
      <c r="AF194" s="50">
        <f>T194*K194</f>
        <v/>
      </c>
      <c r="AG194" s="50">
        <f>U194*K194</f>
        <v/>
      </c>
      <c r="AH194" s="50">
        <f>V194*K194</f>
        <v/>
      </c>
      <c r="AI194" s="50">
        <f>W194*K194</f>
        <v/>
      </c>
    </row>
    <row r="195">
      <c r="A195" s="25" t="n"/>
      <c r="B195" s="45">
        <f>IF(A195="","",IFERROR(INDEX(Mitarbeiter!$B$6:$B$205,MATCH($A195,Mitarbeiter!$A$6:$A$205,0)),"?"))</f>
        <v/>
      </c>
      <c r="C195" s="46" t="n"/>
      <c r="D195" s="26" t="n"/>
      <c r="E195" s="26" t="n"/>
      <c r="F195" s="24">
        <f>IF(A195="","",SUM(L195:W195))</f>
        <v/>
      </c>
      <c r="G195" s="36">
        <f>IF(A195="","",SUM(X195:AI195))</f>
        <v/>
      </c>
      <c r="H195" s="8">
        <f>IF(A195="","",IF(ISNA(MATCH(A195,Mitarbeiter!$A$6:$A$205,0)),"Pers.-Nr. unbekannt",IF(D195="","Von fehlt",IF(AND(C195&lt;&gt;Einstellungen!$C$4,C195&lt;&gt;Einstellungen!$C$5),"Objekt fehlt",IF(J195&lt;D195,"Bis vor Von",IF(D195&lt;INDEX(Mitarbeiter!$C$6:$C$205,MATCH($A195,Mitarbeiter!$A$6:$A$205,0)),"vor Eintritt",IF(AND(INDEX(Mitarbeiter!$D$6:$D$205,MATCH($A195,Mitarbeiter!$A$6:$A$205,0))&lt;&gt;"",D195&gt;INDEX(Mitarbeiter!$D$6:$D$205,MATCH($A195,Mitarbeiter!$A$6:$A$205,0))),"nach Austritt",IF(E195="","offen","ok"))))))))</f>
        <v/>
      </c>
      <c r="J195" s="47">
        <f>IF(A195="","",IF(E195="",Einstellungen!$C$9,E195))</f>
        <v/>
      </c>
      <c r="K195" s="48">
        <f>IF(A195="",0,IFERROR(INDEX(Mitarbeiter!$F$6:$F$205,MATCH($A195,Mitarbeiter!$A$6:$A$205,0)),0))</f>
        <v/>
      </c>
      <c r="L195" s="49">
        <f>IF(OR(A195="",D195=""),0,MAX(0,NETWORKDAYS(MAX(D195,DATE(Einstellungen!$C$3,1,1)),MIN(J195,DATE(Einstellungen!$C$3,2,0)),Einstellungen!$F$13:$F$32)))</f>
        <v/>
      </c>
      <c r="M195" s="49">
        <f>IF(OR(A195="",D195=""),0,MAX(0,NETWORKDAYS(MAX(D195,DATE(Einstellungen!$C$3,2,1)),MIN(J195,DATE(Einstellungen!$C$3,3,0)),Einstellungen!$F$13:$F$32)))</f>
        <v/>
      </c>
      <c r="N195" s="49">
        <f>IF(OR(A195="",D195=""),0,MAX(0,NETWORKDAYS(MAX(D195,DATE(Einstellungen!$C$3,3,1)),MIN(J195,DATE(Einstellungen!$C$3,4,0)),Einstellungen!$F$13:$F$32)))</f>
        <v/>
      </c>
      <c r="O195" s="49">
        <f>IF(OR(A195="",D195=""),0,MAX(0,NETWORKDAYS(MAX(D195,DATE(Einstellungen!$C$3,4,1)),MIN(J195,DATE(Einstellungen!$C$3,5,0)),Einstellungen!$F$13:$F$32)))</f>
        <v/>
      </c>
      <c r="P195" s="49">
        <f>IF(OR(A195="",D195=""),0,MAX(0,NETWORKDAYS(MAX(D195,DATE(Einstellungen!$C$3,5,1)),MIN(J195,DATE(Einstellungen!$C$3,6,0)),Einstellungen!$F$13:$F$32)))</f>
        <v/>
      </c>
      <c r="Q195" s="49">
        <f>IF(OR(A195="",D195=""),0,MAX(0,NETWORKDAYS(MAX(D195,DATE(Einstellungen!$C$3,6,1)),MIN(J195,DATE(Einstellungen!$C$3,7,0)),Einstellungen!$F$13:$F$32)))</f>
        <v/>
      </c>
      <c r="R195" s="49">
        <f>IF(OR(A195="",D195=""),0,MAX(0,NETWORKDAYS(MAX(D195,DATE(Einstellungen!$C$3,7,1)),MIN(J195,DATE(Einstellungen!$C$3,8,0)),Einstellungen!$F$13:$F$32)))</f>
        <v/>
      </c>
      <c r="S195" s="49">
        <f>IF(OR(A195="",D195=""),0,MAX(0,NETWORKDAYS(MAX(D195,DATE(Einstellungen!$C$3,8,1)),MIN(J195,DATE(Einstellungen!$C$3,9,0)),Einstellungen!$F$13:$F$32)))</f>
        <v/>
      </c>
      <c r="T195" s="49">
        <f>IF(OR(A195="",D195=""),0,MAX(0,NETWORKDAYS(MAX(D195,DATE(Einstellungen!$C$3,9,1)),MIN(J195,DATE(Einstellungen!$C$3,10,0)),Einstellungen!$F$13:$F$32)))</f>
        <v/>
      </c>
      <c r="U195" s="49">
        <f>IF(OR(A195="",D195=""),0,MAX(0,NETWORKDAYS(MAX(D195,DATE(Einstellungen!$C$3,10,1)),MIN(J195,DATE(Einstellungen!$C$3,11,0)),Einstellungen!$F$13:$F$32)))</f>
        <v/>
      </c>
      <c r="V195" s="49">
        <f>IF(OR(A195="",D195=""),0,MAX(0,NETWORKDAYS(MAX(D195,DATE(Einstellungen!$C$3,11,1)),MIN(J195,DATE(Einstellungen!$C$3,12,0)),Einstellungen!$F$13:$F$32)))</f>
        <v/>
      </c>
      <c r="W195" s="49">
        <f>IF(OR(A195="",D195=""),0,MAX(0,NETWORKDAYS(MAX(D195,DATE(Einstellungen!$C$3,12,1)),MIN(J195,DATE(Einstellungen!$C$3,13,0)),Einstellungen!$F$13:$F$32)))</f>
        <v/>
      </c>
      <c r="X195" s="50">
        <f>L195*K195</f>
        <v/>
      </c>
      <c r="Y195" s="50">
        <f>M195*K195</f>
        <v/>
      </c>
      <c r="Z195" s="50">
        <f>N195*K195</f>
        <v/>
      </c>
      <c r="AA195" s="50">
        <f>O195*K195</f>
        <v/>
      </c>
      <c r="AB195" s="50">
        <f>P195*K195</f>
        <v/>
      </c>
      <c r="AC195" s="50">
        <f>Q195*K195</f>
        <v/>
      </c>
      <c r="AD195" s="50">
        <f>R195*K195</f>
        <v/>
      </c>
      <c r="AE195" s="50">
        <f>S195*K195</f>
        <v/>
      </c>
      <c r="AF195" s="50">
        <f>T195*K195</f>
        <v/>
      </c>
      <c r="AG195" s="50">
        <f>U195*K195</f>
        <v/>
      </c>
      <c r="AH195" s="50">
        <f>V195*K195</f>
        <v/>
      </c>
      <c r="AI195" s="50">
        <f>W195*K195</f>
        <v/>
      </c>
    </row>
    <row r="196">
      <c r="A196" s="25" t="n"/>
      <c r="B196" s="45">
        <f>IF(A196="","",IFERROR(INDEX(Mitarbeiter!$B$6:$B$205,MATCH($A196,Mitarbeiter!$A$6:$A$205,0)),"?"))</f>
        <v/>
      </c>
      <c r="C196" s="46" t="n"/>
      <c r="D196" s="26" t="n"/>
      <c r="E196" s="26" t="n"/>
      <c r="F196" s="24">
        <f>IF(A196="","",SUM(L196:W196))</f>
        <v/>
      </c>
      <c r="G196" s="36">
        <f>IF(A196="","",SUM(X196:AI196))</f>
        <v/>
      </c>
      <c r="H196" s="8">
        <f>IF(A196="","",IF(ISNA(MATCH(A196,Mitarbeiter!$A$6:$A$205,0)),"Pers.-Nr. unbekannt",IF(D196="","Von fehlt",IF(AND(C196&lt;&gt;Einstellungen!$C$4,C196&lt;&gt;Einstellungen!$C$5),"Objekt fehlt",IF(J196&lt;D196,"Bis vor Von",IF(D196&lt;INDEX(Mitarbeiter!$C$6:$C$205,MATCH($A196,Mitarbeiter!$A$6:$A$205,0)),"vor Eintritt",IF(AND(INDEX(Mitarbeiter!$D$6:$D$205,MATCH($A196,Mitarbeiter!$A$6:$A$205,0))&lt;&gt;"",D196&gt;INDEX(Mitarbeiter!$D$6:$D$205,MATCH($A196,Mitarbeiter!$A$6:$A$205,0))),"nach Austritt",IF(E196="","offen","ok"))))))))</f>
        <v/>
      </c>
      <c r="J196" s="47">
        <f>IF(A196="","",IF(E196="",Einstellungen!$C$9,E196))</f>
        <v/>
      </c>
      <c r="K196" s="48">
        <f>IF(A196="",0,IFERROR(INDEX(Mitarbeiter!$F$6:$F$205,MATCH($A196,Mitarbeiter!$A$6:$A$205,0)),0))</f>
        <v/>
      </c>
      <c r="L196" s="49">
        <f>IF(OR(A196="",D196=""),0,MAX(0,NETWORKDAYS(MAX(D196,DATE(Einstellungen!$C$3,1,1)),MIN(J196,DATE(Einstellungen!$C$3,2,0)),Einstellungen!$F$13:$F$32)))</f>
        <v/>
      </c>
      <c r="M196" s="49">
        <f>IF(OR(A196="",D196=""),0,MAX(0,NETWORKDAYS(MAX(D196,DATE(Einstellungen!$C$3,2,1)),MIN(J196,DATE(Einstellungen!$C$3,3,0)),Einstellungen!$F$13:$F$32)))</f>
        <v/>
      </c>
      <c r="N196" s="49">
        <f>IF(OR(A196="",D196=""),0,MAX(0,NETWORKDAYS(MAX(D196,DATE(Einstellungen!$C$3,3,1)),MIN(J196,DATE(Einstellungen!$C$3,4,0)),Einstellungen!$F$13:$F$32)))</f>
        <v/>
      </c>
      <c r="O196" s="49">
        <f>IF(OR(A196="",D196=""),0,MAX(0,NETWORKDAYS(MAX(D196,DATE(Einstellungen!$C$3,4,1)),MIN(J196,DATE(Einstellungen!$C$3,5,0)),Einstellungen!$F$13:$F$32)))</f>
        <v/>
      </c>
      <c r="P196" s="49">
        <f>IF(OR(A196="",D196=""),0,MAX(0,NETWORKDAYS(MAX(D196,DATE(Einstellungen!$C$3,5,1)),MIN(J196,DATE(Einstellungen!$C$3,6,0)),Einstellungen!$F$13:$F$32)))</f>
        <v/>
      </c>
      <c r="Q196" s="49">
        <f>IF(OR(A196="",D196=""),0,MAX(0,NETWORKDAYS(MAX(D196,DATE(Einstellungen!$C$3,6,1)),MIN(J196,DATE(Einstellungen!$C$3,7,0)),Einstellungen!$F$13:$F$32)))</f>
        <v/>
      </c>
      <c r="R196" s="49">
        <f>IF(OR(A196="",D196=""),0,MAX(0,NETWORKDAYS(MAX(D196,DATE(Einstellungen!$C$3,7,1)),MIN(J196,DATE(Einstellungen!$C$3,8,0)),Einstellungen!$F$13:$F$32)))</f>
        <v/>
      </c>
      <c r="S196" s="49">
        <f>IF(OR(A196="",D196=""),0,MAX(0,NETWORKDAYS(MAX(D196,DATE(Einstellungen!$C$3,8,1)),MIN(J196,DATE(Einstellungen!$C$3,9,0)),Einstellungen!$F$13:$F$32)))</f>
        <v/>
      </c>
      <c r="T196" s="49">
        <f>IF(OR(A196="",D196=""),0,MAX(0,NETWORKDAYS(MAX(D196,DATE(Einstellungen!$C$3,9,1)),MIN(J196,DATE(Einstellungen!$C$3,10,0)),Einstellungen!$F$13:$F$32)))</f>
        <v/>
      </c>
      <c r="U196" s="49">
        <f>IF(OR(A196="",D196=""),0,MAX(0,NETWORKDAYS(MAX(D196,DATE(Einstellungen!$C$3,10,1)),MIN(J196,DATE(Einstellungen!$C$3,11,0)),Einstellungen!$F$13:$F$32)))</f>
        <v/>
      </c>
      <c r="V196" s="49">
        <f>IF(OR(A196="",D196=""),0,MAX(0,NETWORKDAYS(MAX(D196,DATE(Einstellungen!$C$3,11,1)),MIN(J196,DATE(Einstellungen!$C$3,12,0)),Einstellungen!$F$13:$F$32)))</f>
        <v/>
      </c>
      <c r="W196" s="49">
        <f>IF(OR(A196="",D196=""),0,MAX(0,NETWORKDAYS(MAX(D196,DATE(Einstellungen!$C$3,12,1)),MIN(J196,DATE(Einstellungen!$C$3,13,0)),Einstellungen!$F$13:$F$32)))</f>
        <v/>
      </c>
      <c r="X196" s="50">
        <f>L196*K196</f>
        <v/>
      </c>
      <c r="Y196" s="50">
        <f>M196*K196</f>
        <v/>
      </c>
      <c r="Z196" s="50">
        <f>N196*K196</f>
        <v/>
      </c>
      <c r="AA196" s="50">
        <f>O196*K196</f>
        <v/>
      </c>
      <c r="AB196" s="50">
        <f>P196*K196</f>
        <v/>
      </c>
      <c r="AC196" s="50">
        <f>Q196*K196</f>
        <v/>
      </c>
      <c r="AD196" s="50">
        <f>R196*K196</f>
        <v/>
      </c>
      <c r="AE196" s="50">
        <f>S196*K196</f>
        <v/>
      </c>
      <c r="AF196" s="50">
        <f>T196*K196</f>
        <v/>
      </c>
      <c r="AG196" s="50">
        <f>U196*K196</f>
        <v/>
      </c>
      <c r="AH196" s="50">
        <f>V196*K196</f>
        <v/>
      </c>
      <c r="AI196" s="50">
        <f>W196*K196</f>
        <v/>
      </c>
    </row>
    <row r="197">
      <c r="A197" s="25" t="n"/>
      <c r="B197" s="45">
        <f>IF(A197="","",IFERROR(INDEX(Mitarbeiter!$B$6:$B$205,MATCH($A197,Mitarbeiter!$A$6:$A$205,0)),"?"))</f>
        <v/>
      </c>
      <c r="C197" s="46" t="n"/>
      <c r="D197" s="26" t="n"/>
      <c r="E197" s="26" t="n"/>
      <c r="F197" s="24">
        <f>IF(A197="","",SUM(L197:W197))</f>
        <v/>
      </c>
      <c r="G197" s="36">
        <f>IF(A197="","",SUM(X197:AI197))</f>
        <v/>
      </c>
      <c r="H197" s="8">
        <f>IF(A197="","",IF(ISNA(MATCH(A197,Mitarbeiter!$A$6:$A$205,0)),"Pers.-Nr. unbekannt",IF(D197="","Von fehlt",IF(AND(C197&lt;&gt;Einstellungen!$C$4,C197&lt;&gt;Einstellungen!$C$5),"Objekt fehlt",IF(J197&lt;D197,"Bis vor Von",IF(D197&lt;INDEX(Mitarbeiter!$C$6:$C$205,MATCH($A197,Mitarbeiter!$A$6:$A$205,0)),"vor Eintritt",IF(AND(INDEX(Mitarbeiter!$D$6:$D$205,MATCH($A197,Mitarbeiter!$A$6:$A$205,0))&lt;&gt;"",D197&gt;INDEX(Mitarbeiter!$D$6:$D$205,MATCH($A197,Mitarbeiter!$A$6:$A$205,0))),"nach Austritt",IF(E197="","offen","ok"))))))))</f>
        <v/>
      </c>
      <c r="J197" s="47">
        <f>IF(A197="","",IF(E197="",Einstellungen!$C$9,E197))</f>
        <v/>
      </c>
      <c r="K197" s="48">
        <f>IF(A197="",0,IFERROR(INDEX(Mitarbeiter!$F$6:$F$205,MATCH($A197,Mitarbeiter!$A$6:$A$205,0)),0))</f>
        <v/>
      </c>
      <c r="L197" s="49">
        <f>IF(OR(A197="",D197=""),0,MAX(0,NETWORKDAYS(MAX(D197,DATE(Einstellungen!$C$3,1,1)),MIN(J197,DATE(Einstellungen!$C$3,2,0)),Einstellungen!$F$13:$F$32)))</f>
        <v/>
      </c>
      <c r="M197" s="49">
        <f>IF(OR(A197="",D197=""),0,MAX(0,NETWORKDAYS(MAX(D197,DATE(Einstellungen!$C$3,2,1)),MIN(J197,DATE(Einstellungen!$C$3,3,0)),Einstellungen!$F$13:$F$32)))</f>
        <v/>
      </c>
      <c r="N197" s="49">
        <f>IF(OR(A197="",D197=""),0,MAX(0,NETWORKDAYS(MAX(D197,DATE(Einstellungen!$C$3,3,1)),MIN(J197,DATE(Einstellungen!$C$3,4,0)),Einstellungen!$F$13:$F$32)))</f>
        <v/>
      </c>
      <c r="O197" s="49">
        <f>IF(OR(A197="",D197=""),0,MAX(0,NETWORKDAYS(MAX(D197,DATE(Einstellungen!$C$3,4,1)),MIN(J197,DATE(Einstellungen!$C$3,5,0)),Einstellungen!$F$13:$F$32)))</f>
        <v/>
      </c>
      <c r="P197" s="49">
        <f>IF(OR(A197="",D197=""),0,MAX(0,NETWORKDAYS(MAX(D197,DATE(Einstellungen!$C$3,5,1)),MIN(J197,DATE(Einstellungen!$C$3,6,0)),Einstellungen!$F$13:$F$32)))</f>
        <v/>
      </c>
      <c r="Q197" s="49">
        <f>IF(OR(A197="",D197=""),0,MAX(0,NETWORKDAYS(MAX(D197,DATE(Einstellungen!$C$3,6,1)),MIN(J197,DATE(Einstellungen!$C$3,7,0)),Einstellungen!$F$13:$F$32)))</f>
        <v/>
      </c>
      <c r="R197" s="49">
        <f>IF(OR(A197="",D197=""),0,MAX(0,NETWORKDAYS(MAX(D197,DATE(Einstellungen!$C$3,7,1)),MIN(J197,DATE(Einstellungen!$C$3,8,0)),Einstellungen!$F$13:$F$32)))</f>
        <v/>
      </c>
      <c r="S197" s="49">
        <f>IF(OR(A197="",D197=""),0,MAX(0,NETWORKDAYS(MAX(D197,DATE(Einstellungen!$C$3,8,1)),MIN(J197,DATE(Einstellungen!$C$3,9,0)),Einstellungen!$F$13:$F$32)))</f>
        <v/>
      </c>
      <c r="T197" s="49">
        <f>IF(OR(A197="",D197=""),0,MAX(0,NETWORKDAYS(MAX(D197,DATE(Einstellungen!$C$3,9,1)),MIN(J197,DATE(Einstellungen!$C$3,10,0)),Einstellungen!$F$13:$F$32)))</f>
        <v/>
      </c>
      <c r="U197" s="49">
        <f>IF(OR(A197="",D197=""),0,MAX(0,NETWORKDAYS(MAX(D197,DATE(Einstellungen!$C$3,10,1)),MIN(J197,DATE(Einstellungen!$C$3,11,0)),Einstellungen!$F$13:$F$32)))</f>
        <v/>
      </c>
      <c r="V197" s="49">
        <f>IF(OR(A197="",D197=""),0,MAX(0,NETWORKDAYS(MAX(D197,DATE(Einstellungen!$C$3,11,1)),MIN(J197,DATE(Einstellungen!$C$3,12,0)),Einstellungen!$F$13:$F$32)))</f>
        <v/>
      </c>
      <c r="W197" s="49">
        <f>IF(OR(A197="",D197=""),0,MAX(0,NETWORKDAYS(MAX(D197,DATE(Einstellungen!$C$3,12,1)),MIN(J197,DATE(Einstellungen!$C$3,13,0)),Einstellungen!$F$13:$F$32)))</f>
        <v/>
      </c>
      <c r="X197" s="50">
        <f>L197*K197</f>
        <v/>
      </c>
      <c r="Y197" s="50">
        <f>M197*K197</f>
        <v/>
      </c>
      <c r="Z197" s="50">
        <f>N197*K197</f>
        <v/>
      </c>
      <c r="AA197" s="50">
        <f>O197*K197</f>
        <v/>
      </c>
      <c r="AB197" s="50">
        <f>P197*K197</f>
        <v/>
      </c>
      <c r="AC197" s="50">
        <f>Q197*K197</f>
        <v/>
      </c>
      <c r="AD197" s="50">
        <f>R197*K197</f>
        <v/>
      </c>
      <c r="AE197" s="50">
        <f>S197*K197</f>
        <v/>
      </c>
      <c r="AF197" s="50">
        <f>T197*K197</f>
        <v/>
      </c>
      <c r="AG197" s="50">
        <f>U197*K197</f>
        <v/>
      </c>
      <c r="AH197" s="50">
        <f>V197*K197</f>
        <v/>
      </c>
      <c r="AI197" s="50">
        <f>W197*K197</f>
        <v/>
      </c>
    </row>
    <row r="198">
      <c r="A198" s="25" t="n"/>
      <c r="B198" s="45">
        <f>IF(A198="","",IFERROR(INDEX(Mitarbeiter!$B$6:$B$205,MATCH($A198,Mitarbeiter!$A$6:$A$205,0)),"?"))</f>
        <v/>
      </c>
      <c r="C198" s="46" t="n"/>
      <c r="D198" s="26" t="n"/>
      <c r="E198" s="26" t="n"/>
      <c r="F198" s="24">
        <f>IF(A198="","",SUM(L198:W198))</f>
        <v/>
      </c>
      <c r="G198" s="36">
        <f>IF(A198="","",SUM(X198:AI198))</f>
        <v/>
      </c>
      <c r="H198" s="8">
        <f>IF(A198="","",IF(ISNA(MATCH(A198,Mitarbeiter!$A$6:$A$205,0)),"Pers.-Nr. unbekannt",IF(D198="","Von fehlt",IF(AND(C198&lt;&gt;Einstellungen!$C$4,C198&lt;&gt;Einstellungen!$C$5),"Objekt fehlt",IF(J198&lt;D198,"Bis vor Von",IF(D198&lt;INDEX(Mitarbeiter!$C$6:$C$205,MATCH($A198,Mitarbeiter!$A$6:$A$205,0)),"vor Eintritt",IF(AND(INDEX(Mitarbeiter!$D$6:$D$205,MATCH($A198,Mitarbeiter!$A$6:$A$205,0))&lt;&gt;"",D198&gt;INDEX(Mitarbeiter!$D$6:$D$205,MATCH($A198,Mitarbeiter!$A$6:$A$205,0))),"nach Austritt",IF(E198="","offen","ok"))))))))</f>
        <v/>
      </c>
      <c r="J198" s="47">
        <f>IF(A198="","",IF(E198="",Einstellungen!$C$9,E198))</f>
        <v/>
      </c>
      <c r="K198" s="48">
        <f>IF(A198="",0,IFERROR(INDEX(Mitarbeiter!$F$6:$F$205,MATCH($A198,Mitarbeiter!$A$6:$A$205,0)),0))</f>
        <v/>
      </c>
      <c r="L198" s="49">
        <f>IF(OR(A198="",D198=""),0,MAX(0,NETWORKDAYS(MAX(D198,DATE(Einstellungen!$C$3,1,1)),MIN(J198,DATE(Einstellungen!$C$3,2,0)),Einstellungen!$F$13:$F$32)))</f>
        <v/>
      </c>
      <c r="M198" s="49">
        <f>IF(OR(A198="",D198=""),0,MAX(0,NETWORKDAYS(MAX(D198,DATE(Einstellungen!$C$3,2,1)),MIN(J198,DATE(Einstellungen!$C$3,3,0)),Einstellungen!$F$13:$F$32)))</f>
        <v/>
      </c>
      <c r="N198" s="49">
        <f>IF(OR(A198="",D198=""),0,MAX(0,NETWORKDAYS(MAX(D198,DATE(Einstellungen!$C$3,3,1)),MIN(J198,DATE(Einstellungen!$C$3,4,0)),Einstellungen!$F$13:$F$32)))</f>
        <v/>
      </c>
      <c r="O198" s="49">
        <f>IF(OR(A198="",D198=""),0,MAX(0,NETWORKDAYS(MAX(D198,DATE(Einstellungen!$C$3,4,1)),MIN(J198,DATE(Einstellungen!$C$3,5,0)),Einstellungen!$F$13:$F$32)))</f>
        <v/>
      </c>
      <c r="P198" s="49">
        <f>IF(OR(A198="",D198=""),0,MAX(0,NETWORKDAYS(MAX(D198,DATE(Einstellungen!$C$3,5,1)),MIN(J198,DATE(Einstellungen!$C$3,6,0)),Einstellungen!$F$13:$F$32)))</f>
        <v/>
      </c>
      <c r="Q198" s="49">
        <f>IF(OR(A198="",D198=""),0,MAX(0,NETWORKDAYS(MAX(D198,DATE(Einstellungen!$C$3,6,1)),MIN(J198,DATE(Einstellungen!$C$3,7,0)),Einstellungen!$F$13:$F$32)))</f>
        <v/>
      </c>
      <c r="R198" s="49">
        <f>IF(OR(A198="",D198=""),0,MAX(0,NETWORKDAYS(MAX(D198,DATE(Einstellungen!$C$3,7,1)),MIN(J198,DATE(Einstellungen!$C$3,8,0)),Einstellungen!$F$13:$F$32)))</f>
        <v/>
      </c>
      <c r="S198" s="49">
        <f>IF(OR(A198="",D198=""),0,MAX(0,NETWORKDAYS(MAX(D198,DATE(Einstellungen!$C$3,8,1)),MIN(J198,DATE(Einstellungen!$C$3,9,0)),Einstellungen!$F$13:$F$32)))</f>
        <v/>
      </c>
      <c r="T198" s="49">
        <f>IF(OR(A198="",D198=""),0,MAX(0,NETWORKDAYS(MAX(D198,DATE(Einstellungen!$C$3,9,1)),MIN(J198,DATE(Einstellungen!$C$3,10,0)),Einstellungen!$F$13:$F$32)))</f>
        <v/>
      </c>
      <c r="U198" s="49">
        <f>IF(OR(A198="",D198=""),0,MAX(0,NETWORKDAYS(MAX(D198,DATE(Einstellungen!$C$3,10,1)),MIN(J198,DATE(Einstellungen!$C$3,11,0)),Einstellungen!$F$13:$F$32)))</f>
        <v/>
      </c>
      <c r="V198" s="49">
        <f>IF(OR(A198="",D198=""),0,MAX(0,NETWORKDAYS(MAX(D198,DATE(Einstellungen!$C$3,11,1)),MIN(J198,DATE(Einstellungen!$C$3,12,0)),Einstellungen!$F$13:$F$32)))</f>
        <v/>
      </c>
      <c r="W198" s="49">
        <f>IF(OR(A198="",D198=""),0,MAX(0,NETWORKDAYS(MAX(D198,DATE(Einstellungen!$C$3,12,1)),MIN(J198,DATE(Einstellungen!$C$3,13,0)),Einstellungen!$F$13:$F$32)))</f>
        <v/>
      </c>
      <c r="X198" s="50">
        <f>L198*K198</f>
        <v/>
      </c>
      <c r="Y198" s="50">
        <f>M198*K198</f>
        <v/>
      </c>
      <c r="Z198" s="50">
        <f>N198*K198</f>
        <v/>
      </c>
      <c r="AA198" s="50">
        <f>O198*K198</f>
        <v/>
      </c>
      <c r="AB198" s="50">
        <f>P198*K198</f>
        <v/>
      </c>
      <c r="AC198" s="50">
        <f>Q198*K198</f>
        <v/>
      </c>
      <c r="AD198" s="50">
        <f>R198*K198</f>
        <v/>
      </c>
      <c r="AE198" s="50">
        <f>S198*K198</f>
        <v/>
      </c>
      <c r="AF198" s="50">
        <f>T198*K198</f>
        <v/>
      </c>
      <c r="AG198" s="50">
        <f>U198*K198</f>
        <v/>
      </c>
      <c r="AH198" s="50">
        <f>V198*K198</f>
        <v/>
      </c>
      <c r="AI198" s="50">
        <f>W198*K198</f>
        <v/>
      </c>
    </row>
    <row r="199">
      <c r="A199" s="25" t="n"/>
      <c r="B199" s="45">
        <f>IF(A199="","",IFERROR(INDEX(Mitarbeiter!$B$6:$B$205,MATCH($A199,Mitarbeiter!$A$6:$A$205,0)),"?"))</f>
        <v/>
      </c>
      <c r="C199" s="46" t="n"/>
      <c r="D199" s="26" t="n"/>
      <c r="E199" s="26" t="n"/>
      <c r="F199" s="24">
        <f>IF(A199="","",SUM(L199:W199))</f>
        <v/>
      </c>
      <c r="G199" s="36">
        <f>IF(A199="","",SUM(X199:AI199))</f>
        <v/>
      </c>
      <c r="H199" s="8">
        <f>IF(A199="","",IF(ISNA(MATCH(A199,Mitarbeiter!$A$6:$A$205,0)),"Pers.-Nr. unbekannt",IF(D199="","Von fehlt",IF(AND(C199&lt;&gt;Einstellungen!$C$4,C199&lt;&gt;Einstellungen!$C$5),"Objekt fehlt",IF(J199&lt;D199,"Bis vor Von",IF(D199&lt;INDEX(Mitarbeiter!$C$6:$C$205,MATCH($A199,Mitarbeiter!$A$6:$A$205,0)),"vor Eintritt",IF(AND(INDEX(Mitarbeiter!$D$6:$D$205,MATCH($A199,Mitarbeiter!$A$6:$A$205,0))&lt;&gt;"",D199&gt;INDEX(Mitarbeiter!$D$6:$D$205,MATCH($A199,Mitarbeiter!$A$6:$A$205,0))),"nach Austritt",IF(E199="","offen","ok"))))))))</f>
        <v/>
      </c>
      <c r="J199" s="47">
        <f>IF(A199="","",IF(E199="",Einstellungen!$C$9,E199))</f>
        <v/>
      </c>
      <c r="K199" s="48">
        <f>IF(A199="",0,IFERROR(INDEX(Mitarbeiter!$F$6:$F$205,MATCH($A199,Mitarbeiter!$A$6:$A$205,0)),0))</f>
        <v/>
      </c>
      <c r="L199" s="49">
        <f>IF(OR(A199="",D199=""),0,MAX(0,NETWORKDAYS(MAX(D199,DATE(Einstellungen!$C$3,1,1)),MIN(J199,DATE(Einstellungen!$C$3,2,0)),Einstellungen!$F$13:$F$32)))</f>
        <v/>
      </c>
      <c r="M199" s="49">
        <f>IF(OR(A199="",D199=""),0,MAX(0,NETWORKDAYS(MAX(D199,DATE(Einstellungen!$C$3,2,1)),MIN(J199,DATE(Einstellungen!$C$3,3,0)),Einstellungen!$F$13:$F$32)))</f>
        <v/>
      </c>
      <c r="N199" s="49">
        <f>IF(OR(A199="",D199=""),0,MAX(0,NETWORKDAYS(MAX(D199,DATE(Einstellungen!$C$3,3,1)),MIN(J199,DATE(Einstellungen!$C$3,4,0)),Einstellungen!$F$13:$F$32)))</f>
        <v/>
      </c>
      <c r="O199" s="49">
        <f>IF(OR(A199="",D199=""),0,MAX(0,NETWORKDAYS(MAX(D199,DATE(Einstellungen!$C$3,4,1)),MIN(J199,DATE(Einstellungen!$C$3,5,0)),Einstellungen!$F$13:$F$32)))</f>
        <v/>
      </c>
      <c r="P199" s="49">
        <f>IF(OR(A199="",D199=""),0,MAX(0,NETWORKDAYS(MAX(D199,DATE(Einstellungen!$C$3,5,1)),MIN(J199,DATE(Einstellungen!$C$3,6,0)),Einstellungen!$F$13:$F$32)))</f>
        <v/>
      </c>
      <c r="Q199" s="49">
        <f>IF(OR(A199="",D199=""),0,MAX(0,NETWORKDAYS(MAX(D199,DATE(Einstellungen!$C$3,6,1)),MIN(J199,DATE(Einstellungen!$C$3,7,0)),Einstellungen!$F$13:$F$32)))</f>
        <v/>
      </c>
      <c r="R199" s="49">
        <f>IF(OR(A199="",D199=""),0,MAX(0,NETWORKDAYS(MAX(D199,DATE(Einstellungen!$C$3,7,1)),MIN(J199,DATE(Einstellungen!$C$3,8,0)),Einstellungen!$F$13:$F$32)))</f>
        <v/>
      </c>
      <c r="S199" s="49">
        <f>IF(OR(A199="",D199=""),0,MAX(0,NETWORKDAYS(MAX(D199,DATE(Einstellungen!$C$3,8,1)),MIN(J199,DATE(Einstellungen!$C$3,9,0)),Einstellungen!$F$13:$F$32)))</f>
        <v/>
      </c>
      <c r="T199" s="49">
        <f>IF(OR(A199="",D199=""),0,MAX(0,NETWORKDAYS(MAX(D199,DATE(Einstellungen!$C$3,9,1)),MIN(J199,DATE(Einstellungen!$C$3,10,0)),Einstellungen!$F$13:$F$32)))</f>
        <v/>
      </c>
      <c r="U199" s="49">
        <f>IF(OR(A199="",D199=""),0,MAX(0,NETWORKDAYS(MAX(D199,DATE(Einstellungen!$C$3,10,1)),MIN(J199,DATE(Einstellungen!$C$3,11,0)),Einstellungen!$F$13:$F$32)))</f>
        <v/>
      </c>
      <c r="V199" s="49">
        <f>IF(OR(A199="",D199=""),0,MAX(0,NETWORKDAYS(MAX(D199,DATE(Einstellungen!$C$3,11,1)),MIN(J199,DATE(Einstellungen!$C$3,12,0)),Einstellungen!$F$13:$F$32)))</f>
        <v/>
      </c>
      <c r="W199" s="49">
        <f>IF(OR(A199="",D199=""),0,MAX(0,NETWORKDAYS(MAX(D199,DATE(Einstellungen!$C$3,12,1)),MIN(J199,DATE(Einstellungen!$C$3,13,0)),Einstellungen!$F$13:$F$32)))</f>
        <v/>
      </c>
      <c r="X199" s="50">
        <f>L199*K199</f>
        <v/>
      </c>
      <c r="Y199" s="50">
        <f>M199*K199</f>
        <v/>
      </c>
      <c r="Z199" s="50">
        <f>N199*K199</f>
        <v/>
      </c>
      <c r="AA199" s="50">
        <f>O199*K199</f>
        <v/>
      </c>
      <c r="AB199" s="50">
        <f>P199*K199</f>
        <v/>
      </c>
      <c r="AC199" s="50">
        <f>Q199*K199</f>
        <v/>
      </c>
      <c r="AD199" s="50">
        <f>R199*K199</f>
        <v/>
      </c>
      <c r="AE199" s="50">
        <f>S199*K199</f>
        <v/>
      </c>
      <c r="AF199" s="50">
        <f>T199*K199</f>
        <v/>
      </c>
      <c r="AG199" s="50">
        <f>U199*K199</f>
        <v/>
      </c>
      <c r="AH199" s="50">
        <f>V199*K199</f>
        <v/>
      </c>
      <c r="AI199" s="50">
        <f>W199*K199</f>
        <v/>
      </c>
    </row>
    <row r="200">
      <c r="A200" s="25" t="n"/>
      <c r="B200" s="45">
        <f>IF(A200="","",IFERROR(INDEX(Mitarbeiter!$B$6:$B$205,MATCH($A200,Mitarbeiter!$A$6:$A$205,0)),"?"))</f>
        <v/>
      </c>
      <c r="C200" s="46" t="n"/>
      <c r="D200" s="26" t="n"/>
      <c r="E200" s="26" t="n"/>
      <c r="F200" s="24">
        <f>IF(A200="","",SUM(L200:W200))</f>
        <v/>
      </c>
      <c r="G200" s="36">
        <f>IF(A200="","",SUM(X200:AI200))</f>
        <v/>
      </c>
      <c r="H200" s="8">
        <f>IF(A200="","",IF(ISNA(MATCH(A200,Mitarbeiter!$A$6:$A$205,0)),"Pers.-Nr. unbekannt",IF(D200="","Von fehlt",IF(AND(C200&lt;&gt;Einstellungen!$C$4,C200&lt;&gt;Einstellungen!$C$5),"Objekt fehlt",IF(J200&lt;D200,"Bis vor Von",IF(D200&lt;INDEX(Mitarbeiter!$C$6:$C$205,MATCH($A200,Mitarbeiter!$A$6:$A$205,0)),"vor Eintritt",IF(AND(INDEX(Mitarbeiter!$D$6:$D$205,MATCH($A200,Mitarbeiter!$A$6:$A$205,0))&lt;&gt;"",D200&gt;INDEX(Mitarbeiter!$D$6:$D$205,MATCH($A200,Mitarbeiter!$A$6:$A$205,0))),"nach Austritt",IF(E200="","offen","ok"))))))))</f>
        <v/>
      </c>
      <c r="J200" s="47">
        <f>IF(A200="","",IF(E200="",Einstellungen!$C$9,E200))</f>
        <v/>
      </c>
      <c r="K200" s="48">
        <f>IF(A200="",0,IFERROR(INDEX(Mitarbeiter!$F$6:$F$205,MATCH($A200,Mitarbeiter!$A$6:$A$205,0)),0))</f>
        <v/>
      </c>
      <c r="L200" s="49">
        <f>IF(OR(A200="",D200=""),0,MAX(0,NETWORKDAYS(MAX(D200,DATE(Einstellungen!$C$3,1,1)),MIN(J200,DATE(Einstellungen!$C$3,2,0)),Einstellungen!$F$13:$F$32)))</f>
        <v/>
      </c>
      <c r="M200" s="49">
        <f>IF(OR(A200="",D200=""),0,MAX(0,NETWORKDAYS(MAX(D200,DATE(Einstellungen!$C$3,2,1)),MIN(J200,DATE(Einstellungen!$C$3,3,0)),Einstellungen!$F$13:$F$32)))</f>
        <v/>
      </c>
      <c r="N200" s="49">
        <f>IF(OR(A200="",D200=""),0,MAX(0,NETWORKDAYS(MAX(D200,DATE(Einstellungen!$C$3,3,1)),MIN(J200,DATE(Einstellungen!$C$3,4,0)),Einstellungen!$F$13:$F$32)))</f>
        <v/>
      </c>
      <c r="O200" s="49">
        <f>IF(OR(A200="",D200=""),0,MAX(0,NETWORKDAYS(MAX(D200,DATE(Einstellungen!$C$3,4,1)),MIN(J200,DATE(Einstellungen!$C$3,5,0)),Einstellungen!$F$13:$F$32)))</f>
        <v/>
      </c>
      <c r="P200" s="49">
        <f>IF(OR(A200="",D200=""),0,MAX(0,NETWORKDAYS(MAX(D200,DATE(Einstellungen!$C$3,5,1)),MIN(J200,DATE(Einstellungen!$C$3,6,0)),Einstellungen!$F$13:$F$32)))</f>
        <v/>
      </c>
      <c r="Q200" s="49">
        <f>IF(OR(A200="",D200=""),0,MAX(0,NETWORKDAYS(MAX(D200,DATE(Einstellungen!$C$3,6,1)),MIN(J200,DATE(Einstellungen!$C$3,7,0)),Einstellungen!$F$13:$F$32)))</f>
        <v/>
      </c>
      <c r="R200" s="49">
        <f>IF(OR(A200="",D200=""),0,MAX(0,NETWORKDAYS(MAX(D200,DATE(Einstellungen!$C$3,7,1)),MIN(J200,DATE(Einstellungen!$C$3,8,0)),Einstellungen!$F$13:$F$32)))</f>
        <v/>
      </c>
      <c r="S200" s="49">
        <f>IF(OR(A200="",D200=""),0,MAX(0,NETWORKDAYS(MAX(D200,DATE(Einstellungen!$C$3,8,1)),MIN(J200,DATE(Einstellungen!$C$3,9,0)),Einstellungen!$F$13:$F$32)))</f>
        <v/>
      </c>
      <c r="T200" s="49">
        <f>IF(OR(A200="",D200=""),0,MAX(0,NETWORKDAYS(MAX(D200,DATE(Einstellungen!$C$3,9,1)),MIN(J200,DATE(Einstellungen!$C$3,10,0)),Einstellungen!$F$13:$F$32)))</f>
        <v/>
      </c>
      <c r="U200" s="49">
        <f>IF(OR(A200="",D200=""),0,MAX(0,NETWORKDAYS(MAX(D200,DATE(Einstellungen!$C$3,10,1)),MIN(J200,DATE(Einstellungen!$C$3,11,0)),Einstellungen!$F$13:$F$32)))</f>
        <v/>
      </c>
      <c r="V200" s="49">
        <f>IF(OR(A200="",D200=""),0,MAX(0,NETWORKDAYS(MAX(D200,DATE(Einstellungen!$C$3,11,1)),MIN(J200,DATE(Einstellungen!$C$3,12,0)),Einstellungen!$F$13:$F$32)))</f>
        <v/>
      </c>
      <c r="W200" s="49">
        <f>IF(OR(A200="",D200=""),0,MAX(0,NETWORKDAYS(MAX(D200,DATE(Einstellungen!$C$3,12,1)),MIN(J200,DATE(Einstellungen!$C$3,13,0)),Einstellungen!$F$13:$F$32)))</f>
        <v/>
      </c>
      <c r="X200" s="50">
        <f>L200*K200</f>
        <v/>
      </c>
      <c r="Y200" s="50">
        <f>M200*K200</f>
        <v/>
      </c>
      <c r="Z200" s="50">
        <f>N200*K200</f>
        <v/>
      </c>
      <c r="AA200" s="50">
        <f>O200*K200</f>
        <v/>
      </c>
      <c r="AB200" s="50">
        <f>P200*K200</f>
        <v/>
      </c>
      <c r="AC200" s="50">
        <f>Q200*K200</f>
        <v/>
      </c>
      <c r="AD200" s="50">
        <f>R200*K200</f>
        <v/>
      </c>
      <c r="AE200" s="50">
        <f>S200*K200</f>
        <v/>
      </c>
      <c r="AF200" s="50">
        <f>T200*K200</f>
        <v/>
      </c>
      <c r="AG200" s="50">
        <f>U200*K200</f>
        <v/>
      </c>
      <c r="AH200" s="50">
        <f>V200*K200</f>
        <v/>
      </c>
      <c r="AI200" s="50">
        <f>W200*K200</f>
        <v/>
      </c>
    </row>
    <row r="201">
      <c r="A201" s="25" t="n"/>
      <c r="B201" s="45">
        <f>IF(A201="","",IFERROR(INDEX(Mitarbeiter!$B$6:$B$205,MATCH($A201,Mitarbeiter!$A$6:$A$205,0)),"?"))</f>
        <v/>
      </c>
      <c r="C201" s="46" t="n"/>
      <c r="D201" s="26" t="n"/>
      <c r="E201" s="26" t="n"/>
      <c r="F201" s="24">
        <f>IF(A201="","",SUM(L201:W201))</f>
        <v/>
      </c>
      <c r="G201" s="36">
        <f>IF(A201="","",SUM(X201:AI201))</f>
        <v/>
      </c>
      <c r="H201" s="8">
        <f>IF(A201="","",IF(ISNA(MATCH(A201,Mitarbeiter!$A$6:$A$205,0)),"Pers.-Nr. unbekannt",IF(D201="","Von fehlt",IF(AND(C201&lt;&gt;Einstellungen!$C$4,C201&lt;&gt;Einstellungen!$C$5),"Objekt fehlt",IF(J201&lt;D201,"Bis vor Von",IF(D201&lt;INDEX(Mitarbeiter!$C$6:$C$205,MATCH($A201,Mitarbeiter!$A$6:$A$205,0)),"vor Eintritt",IF(AND(INDEX(Mitarbeiter!$D$6:$D$205,MATCH($A201,Mitarbeiter!$A$6:$A$205,0))&lt;&gt;"",D201&gt;INDEX(Mitarbeiter!$D$6:$D$205,MATCH($A201,Mitarbeiter!$A$6:$A$205,0))),"nach Austritt",IF(E201="","offen","ok"))))))))</f>
        <v/>
      </c>
      <c r="J201" s="47">
        <f>IF(A201="","",IF(E201="",Einstellungen!$C$9,E201))</f>
        <v/>
      </c>
      <c r="K201" s="48">
        <f>IF(A201="",0,IFERROR(INDEX(Mitarbeiter!$F$6:$F$205,MATCH($A201,Mitarbeiter!$A$6:$A$205,0)),0))</f>
        <v/>
      </c>
      <c r="L201" s="49">
        <f>IF(OR(A201="",D201=""),0,MAX(0,NETWORKDAYS(MAX(D201,DATE(Einstellungen!$C$3,1,1)),MIN(J201,DATE(Einstellungen!$C$3,2,0)),Einstellungen!$F$13:$F$32)))</f>
        <v/>
      </c>
      <c r="M201" s="49">
        <f>IF(OR(A201="",D201=""),0,MAX(0,NETWORKDAYS(MAX(D201,DATE(Einstellungen!$C$3,2,1)),MIN(J201,DATE(Einstellungen!$C$3,3,0)),Einstellungen!$F$13:$F$32)))</f>
        <v/>
      </c>
      <c r="N201" s="49">
        <f>IF(OR(A201="",D201=""),0,MAX(0,NETWORKDAYS(MAX(D201,DATE(Einstellungen!$C$3,3,1)),MIN(J201,DATE(Einstellungen!$C$3,4,0)),Einstellungen!$F$13:$F$32)))</f>
        <v/>
      </c>
      <c r="O201" s="49">
        <f>IF(OR(A201="",D201=""),0,MAX(0,NETWORKDAYS(MAX(D201,DATE(Einstellungen!$C$3,4,1)),MIN(J201,DATE(Einstellungen!$C$3,5,0)),Einstellungen!$F$13:$F$32)))</f>
        <v/>
      </c>
      <c r="P201" s="49">
        <f>IF(OR(A201="",D201=""),0,MAX(0,NETWORKDAYS(MAX(D201,DATE(Einstellungen!$C$3,5,1)),MIN(J201,DATE(Einstellungen!$C$3,6,0)),Einstellungen!$F$13:$F$32)))</f>
        <v/>
      </c>
      <c r="Q201" s="49">
        <f>IF(OR(A201="",D201=""),0,MAX(0,NETWORKDAYS(MAX(D201,DATE(Einstellungen!$C$3,6,1)),MIN(J201,DATE(Einstellungen!$C$3,7,0)),Einstellungen!$F$13:$F$32)))</f>
        <v/>
      </c>
      <c r="R201" s="49">
        <f>IF(OR(A201="",D201=""),0,MAX(0,NETWORKDAYS(MAX(D201,DATE(Einstellungen!$C$3,7,1)),MIN(J201,DATE(Einstellungen!$C$3,8,0)),Einstellungen!$F$13:$F$32)))</f>
        <v/>
      </c>
      <c r="S201" s="49">
        <f>IF(OR(A201="",D201=""),0,MAX(0,NETWORKDAYS(MAX(D201,DATE(Einstellungen!$C$3,8,1)),MIN(J201,DATE(Einstellungen!$C$3,9,0)),Einstellungen!$F$13:$F$32)))</f>
        <v/>
      </c>
      <c r="T201" s="49">
        <f>IF(OR(A201="",D201=""),0,MAX(0,NETWORKDAYS(MAX(D201,DATE(Einstellungen!$C$3,9,1)),MIN(J201,DATE(Einstellungen!$C$3,10,0)),Einstellungen!$F$13:$F$32)))</f>
        <v/>
      </c>
      <c r="U201" s="49">
        <f>IF(OR(A201="",D201=""),0,MAX(0,NETWORKDAYS(MAX(D201,DATE(Einstellungen!$C$3,10,1)),MIN(J201,DATE(Einstellungen!$C$3,11,0)),Einstellungen!$F$13:$F$32)))</f>
        <v/>
      </c>
      <c r="V201" s="49">
        <f>IF(OR(A201="",D201=""),0,MAX(0,NETWORKDAYS(MAX(D201,DATE(Einstellungen!$C$3,11,1)),MIN(J201,DATE(Einstellungen!$C$3,12,0)),Einstellungen!$F$13:$F$32)))</f>
        <v/>
      </c>
      <c r="W201" s="49">
        <f>IF(OR(A201="",D201=""),0,MAX(0,NETWORKDAYS(MAX(D201,DATE(Einstellungen!$C$3,12,1)),MIN(J201,DATE(Einstellungen!$C$3,13,0)),Einstellungen!$F$13:$F$32)))</f>
        <v/>
      </c>
      <c r="X201" s="50">
        <f>L201*K201</f>
        <v/>
      </c>
      <c r="Y201" s="50">
        <f>M201*K201</f>
        <v/>
      </c>
      <c r="Z201" s="50">
        <f>N201*K201</f>
        <v/>
      </c>
      <c r="AA201" s="50">
        <f>O201*K201</f>
        <v/>
      </c>
      <c r="AB201" s="50">
        <f>P201*K201</f>
        <v/>
      </c>
      <c r="AC201" s="50">
        <f>Q201*K201</f>
        <v/>
      </c>
      <c r="AD201" s="50">
        <f>R201*K201</f>
        <v/>
      </c>
      <c r="AE201" s="50">
        <f>S201*K201</f>
        <v/>
      </c>
      <c r="AF201" s="50">
        <f>T201*K201</f>
        <v/>
      </c>
      <c r="AG201" s="50">
        <f>U201*K201</f>
        <v/>
      </c>
      <c r="AH201" s="50">
        <f>V201*K201</f>
        <v/>
      </c>
      <c r="AI201" s="50">
        <f>W201*K201</f>
        <v/>
      </c>
    </row>
    <row r="202">
      <c r="A202" s="25" t="n"/>
      <c r="B202" s="45">
        <f>IF(A202="","",IFERROR(INDEX(Mitarbeiter!$B$6:$B$205,MATCH($A202,Mitarbeiter!$A$6:$A$205,0)),"?"))</f>
        <v/>
      </c>
      <c r="C202" s="46" t="n"/>
      <c r="D202" s="26" t="n"/>
      <c r="E202" s="26" t="n"/>
      <c r="F202" s="24">
        <f>IF(A202="","",SUM(L202:W202))</f>
        <v/>
      </c>
      <c r="G202" s="36">
        <f>IF(A202="","",SUM(X202:AI202))</f>
        <v/>
      </c>
      <c r="H202" s="8">
        <f>IF(A202="","",IF(ISNA(MATCH(A202,Mitarbeiter!$A$6:$A$205,0)),"Pers.-Nr. unbekannt",IF(D202="","Von fehlt",IF(AND(C202&lt;&gt;Einstellungen!$C$4,C202&lt;&gt;Einstellungen!$C$5),"Objekt fehlt",IF(J202&lt;D202,"Bis vor Von",IF(D202&lt;INDEX(Mitarbeiter!$C$6:$C$205,MATCH($A202,Mitarbeiter!$A$6:$A$205,0)),"vor Eintritt",IF(AND(INDEX(Mitarbeiter!$D$6:$D$205,MATCH($A202,Mitarbeiter!$A$6:$A$205,0))&lt;&gt;"",D202&gt;INDEX(Mitarbeiter!$D$6:$D$205,MATCH($A202,Mitarbeiter!$A$6:$A$205,0))),"nach Austritt",IF(E202="","offen","ok"))))))))</f>
        <v/>
      </c>
      <c r="J202" s="47">
        <f>IF(A202="","",IF(E202="",Einstellungen!$C$9,E202))</f>
        <v/>
      </c>
      <c r="K202" s="48">
        <f>IF(A202="",0,IFERROR(INDEX(Mitarbeiter!$F$6:$F$205,MATCH($A202,Mitarbeiter!$A$6:$A$205,0)),0))</f>
        <v/>
      </c>
      <c r="L202" s="49">
        <f>IF(OR(A202="",D202=""),0,MAX(0,NETWORKDAYS(MAX(D202,DATE(Einstellungen!$C$3,1,1)),MIN(J202,DATE(Einstellungen!$C$3,2,0)),Einstellungen!$F$13:$F$32)))</f>
        <v/>
      </c>
      <c r="M202" s="49">
        <f>IF(OR(A202="",D202=""),0,MAX(0,NETWORKDAYS(MAX(D202,DATE(Einstellungen!$C$3,2,1)),MIN(J202,DATE(Einstellungen!$C$3,3,0)),Einstellungen!$F$13:$F$32)))</f>
        <v/>
      </c>
      <c r="N202" s="49">
        <f>IF(OR(A202="",D202=""),0,MAX(0,NETWORKDAYS(MAX(D202,DATE(Einstellungen!$C$3,3,1)),MIN(J202,DATE(Einstellungen!$C$3,4,0)),Einstellungen!$F$13:$F$32)))</f>
        <v/>
      </c>
      <c r="O202" s="49">
        <f>IF(OR(A202="",D202=""),0,MAX(0,NETWORKDAYS(MAX(D202,DATE(Einstellungen!$C$3,4,1)),MIN(J202,DATE(Einstellungen!$C$3,5,0)),Einstellungen!$F$13:$F$32)))</f>
        <v/>
      </c>
      <c r="P202" s="49">
        <f>IF(OR(A202="",D202=""),0,MAX(0,NETWORKDAYS(MAX(D202,DATE(Einstellungen!$C$3,5,1)),MIN(J202,DATE(Einstellungen!$C$3,6,0)),Einstellungen!$F$13:$F$32)))</f>
        <v/>
      </c>
      <c r="Q202" s="49">
        <f>IF(OR(A202="",D202=""),0,MAX(0,NETWORKDAYS(MAX(D202,DATE(Einstellungen!$C$3,6,1)),MIN(J202,DATE(Einstellungen!$C$3,7,0)),Einstellungen!$F$13:$F$32)))</f>
        <v/>
      </c>
      <c r="R202" s="49">
        <f>IF(OR(A202="",D202=""),0,MAX(0,NETWORKDAYS(MAX(D202,DATE(Einstellungen!$C$3,7,1)),MIN(J202,DATE(Einstellungen!$C$3,8,0)),Einstellungen!$F$13:$F$32)))</f>
        <v/>
      </c>
      <c r="S202" s="49">
        <f>IF(OR(A202="",D202=""),0,MAX(0,NETWORKDAYS(MAX(D202,DATE(Einstellungen!$C$3,8,1)),MIN(J202,DATE(Einstellungen!$C$3,9,0)),Einstellungen!$F$13:$F$32)))</f>
        <v/>
      </c>
      <c r="T202" s="49">
        <f>IF(OR(A202="",D202=""),0,MAX(0,NETWORKDAYS(MAX(D202,DATE(Einstellungen!$C$3,9,1)),MIN(J202,DATE(Einstellungen!$C$3,10,0)),Einstellungen!$F$13:$F$32)))</f>
        <v/>
      </c>
      <c r="U202" s="49">
        <f>IF(OR(A202="",D202=""),0,MAX(0,NETWORKDAYS(MAX(D202,DATE(Einstellungen!$C$3,10,1)),MIN(J202,DATE(Einstellungen!$C$3,11,0)),Einstellungen!$F$13:$F$32)))</f>
        <v/>
      </c>
      <c r="V202" s="49">
        <f>IF(OR(A202="",D202=""),0,MAX(0,NETWORKDAYS(MAX(D202,DATE(Einstellungen!$C$3,11,1)),MIN(J202,DATE(Einstellungen!$C$3,12,0)),Einstellungen!$F$13:$F$32)))</f>
        <v/>
      </c>
      <c r="W202" s="49">
        <f>IF(OR(A202="",D202=""),0,MAX(0,NETWORKDAYS(MAX(D202,DATE(Einstellungen!$C$3,12,1)),MIN(J202,DATE(Einstellungen!$C$3,13,0)),Einstellungen!$F$13:$F$32)))</f>
        <v/>
      </c>
      <c r="X202" s="50">
        <f>L202*K202</f>
        <v/>
      </c>
      <c r="Y202" s="50">
        <f>M202*K202</f>
        <v/>
      </c>
      <c r="Z202" s="50">
        <f>N202*K202</f>
        <v/>
      </c>
      <c r="AA202" s="50">
        <f>O202*K202</f>
        <v/>
      </c>
      <c r="AB202" s="50">
        <f>P202*K202</f>
        <v/>
      </c>
      <c r="AC202" s="50">
        <f>Q202*K202</f>
        <v/>
      </c>
      <c r="AD202" s="50">
        <f>R202*K202</f>
        <v/>
      </c>
      <c r="AE202" s="50">
        <f>S202*K202</f>
        <v/>
      </c>
      <c r="AF202" s="50">
        <f>T202*K202</f>
        <v/>
      </c>
      <c r="AG202" s="50">
        <f>U202*K202</f>
        <v/>
      </c>
      <c r="AH202" s="50">
        <f>V202*K202</f>
        <v/>
      </c>
      <c r="AI202" s="50">
        <f>W202*K202</f>
        <v/>
      </c>
    </row>
    <row r="203">
      <c r="A203" s="25" t="n"/>
      <c r="B203" s="45">
        <f>IF(A203="","",IFERROR(INDEX(Mitarbeiter!$B$6:$B$205,MATCH($A203,Mitarbeiter!$A$6:$A$205,0)),"?"))</f>
        <v/>
      </c>
      <c r="C203" s="46" t="n"/>
      <c r="D203" s="26" t="n"/>
      <c r="E203" s="26" t="n"/>
      <c r="F203" s="24">
        <f>IF(A203="","",SUM(L203:W203))</f>
        <v/>
      </c>
      <c r="G203" s="36">
        <f>IF(A203="","",SUM(X203:AI203))</f>
        <v/>
      </c>
      <c r="H203" s="8">
        <f>IF(A203="","",IF(ISNA(MATCH(A203,Mitarbeiter!$A$6:$A$205,0)),"Pers.-Nr. unbekannt",IF(D203="","Von fehlt",IF(AND(C203&lt;&gt;Einstellungen!$C$4,C203&lt;&gt;Einstellungen!$C$5),"Objekt fehlt",IF(J203&lt;D203,"Bis vor Von",IF(D203&lt;INDEX(Mitarbeiter!$C$6:$C$205,MATCH($A203,Mitarbeiter!$A$6:$A$205,0)),"vor Eintritt",IF(AND(INDEX(Mitarbeiter!$D$6:$D$205,MATCH($A203,Mitarbeiter!$A$6:$A$205,0))&lt;&gt;"",D203&gt;INDEX(Mitarbeiter!$D$6:$D$205,MATCH($A203,Mitarbeiter!$A$6:$A$205,0))),"nach Austritt",IF(E203="","offen","ok"))))))))</f>
        <v/>
      </c>
      <c r="J203" s="47">
        <f>IF(A203="","",IF(E203="",Einstellungen!$C$9,E203))</f>
        <v/>
      </c>
      <c r="K203" s="48">
        <f>IF(A203="",0,IFERROR(INDEX(Mitarbeiter!$F$6:$F$205,MATCH($A203,Mitarbeiter!$A$6:$A$205,0)),0))</f>
        <v/>
      </c>
      <c r="L203" s="49">
        <f>IF(OR(A203="",D203=""),0,MAX(0,NETWORKDAYS(MAX(D203,DATE(Einstellungen!$C$3,1,1)),MIN(J203,DATE(Einstellungen!$C$3,2,0)),Einstellungen!$F$13:$F$32)))</f>
        <v/>
      </c>
      <c r="M203" s="49">
        <f>IF(OR(A203="",D203=""),0,MAX(0,NETWORKDAYS(MAX(D203,DATE(Einstellungen!$C$3,2,1)),MIN(J203,DATE(Einstellungen!$C$3,3,0)),Einstellungen!$F$13:$F$32)))</f>
        <v/>
      </c>
      <c r="N203" s="49">
        <f>IF(OR(A203="",D203=""),0,MAX(0,NETWORKDAYS(MAX(D203,DATE(Einstellungen!$C$3,3,1)),MIN(J203,DATE(Einstellungen!$C$3,4,0)),Einstellungen!$F$13:$F$32)))</f>
        <v/>
      </c>
      <c r="O203" s="49">
        <f>IF(OR(A203="",D203=""),0,MAX(0,NETWORKDAYS(MAX(D203,DATE(Einstellungen!$C$3,4,1)),MIN(J203,DATE(Einstellungen!$C$3,5,0)),Einstellungen!$F$13:$F$32)))</f>
        <v/>
      </c>
      <c r="P203" s="49">
        <f>IF(OR(A203="",D203=""),0,MAX(0,NETWORKDAYS(MAX(D203,DATE(Einstellungen!$C$3,5,1)),MIN(J203,DATE(Einstellungen!$C$3,6,0)),Einstellungen!$F$13:$F$32)))</f>
        <v/>
      </c>
      <c r="Q203" s="49">
        <f>IF(OR(A203="",D203=""),0,MAX(0,NETWORKDAYS(MAX(D203,DATE(Einstellungen!$C$3,6,1)),MIN(J203,DATE(Einstellungen!$C$3,7,0)),Einstellungen!$F$13:$F$32)))</f>
        <v/>
      </c>
      <c r="R203" s="49">
        <f>IF(OR(A203="",D203=""),0,MAX(0,NETWORKDAYS(MAX(D203,DATE(Einstellungen!$C$3,7,1)),MIN(J203,DATE(Einstellungen!$C$3,8,0)),Einstellungen!$F$13:$F$32)))</f>
        <v/>
      </c>
      <c r="S203" s="49">
        <f>IF(OR(A203="",D203=""),0,MAX(0,NETWORKDAYS(MAX(D203,DATE(Einstellungen!$C$3,8,1)),MIN(J203,DATE(Einstellungen!$C$3,9,0)),Einstellungen!$F$13:$F$32)))</f>
        <v/>
      </c>
      <c r="T203" s="49">
        <f>IF(OR(A203="",D203=""),0,MAX(0,NETWORKDAYS(MAX(D203,DATE(Einstellungen!$C$3,9,1)),MIN(J203,DATE(Einstellungen!$C$3,10,0)),Einstellungen!$F$13:$F$32)))</f>
        <v/>
      </c>
      <c r="U203" s="49">
        <f>IF(OR(A203="",D203=""),0,MAX(0,NETWORKDAYS(MAX(D203,DATE(Einstellungen!$C$3,10,1)),MIN(J203,DATE(Einstellungen!$C$3,11,0)),Einstellungen!$F$13:$F$32)))</f>
        <v/>
      </c>
      <c r="V203" s="49">
        <f>IF(OR(A203="",D203=""),0,MAX(0,NETWORKDAYS(MAX(D203,DATE(Einstellungen!$C$3,11,1)),MIN(J203,DATE(Einstellungen!$C$3,12,0)),Einstellungen!$F$13:$F$32)))</f>
        <v/>
      </c>
      <c r="W203" s="49">
        <f>IF(OR(A203="",D203=""),0,MAX(0,NETWORKDAYS(MAX(D203,DATE(Einstellungen!$C$3,12,1)),MIN(J203,DATE(Einstellungen!$C$3,13,0)),Einstellungen!$F$13:$F$32)))</f>
        <v/>
      </c>
      <c r="X203" s="50">
        <f>L203*K203</f>
        <v/>
      </c>
      <c r="Y203" s="50">
        <f>M203*K203</f>
        <v/>
      </c>
      <c r="Z203" s="50">
        <f>N203*K203</f>
        <v/>
      </c>
      <c r="AA203" s="50">
        <f>O203*K203</f>
        <v/>
      </c>
      <c r="AB203" s="50">
        <f>P203*K203</f>
        <v/>
      </c>
      <c r="AC203" s="50">
        <f>Q203*K203</f>
        <v/>
      </c>
      <c r="AD203" s="50">
        <f>R203*K203</f>
        <v/>
      </c>
      <c r="AE203" s="50">
        <f>S203*K203</f>
        <v/>
      </c>
      <c r="AF203" s="50">
        <f>T203*K203</f>
        <v/>
      </c>
      <c r="AG203" s="50">
        <f>U203*K203</f>
        <v/>
      </c>
      <c r="AH203" s="50">
        <f>V203*K203</f>
        <v/>
      </c>
      <c r="AI203" s="50">
        <f>W203*K203</f>
        <v/>
      </c>
    </row>
    <row r="204">
      <c r="A204" s="25" t="n"/>
      <c r="B204" s="45">
        <f>IF(A204="","",IFERROR(INDEX(Mitarbeiter!$B$6:$B$205,MATCH($A204,Mitarbeiter!$A$6:$A$205,0)),"?"))</f>
        <v/>
      </c>
      <c r="C204" s="46" t="n"/>
      <c r="D204" s="26" t="n"/>
      <c r="E204" s="26" t="n"/>
      <c r="F204" s="24">
        <f>IF(A204="","",SUM(L204:W204))</f>
        <v/>
      </c>
      <c r="G204" s="36">
        <f>IF(A204="","",SUM(X204:AI204))</f>
        <v/>
      </c>
      <c r="H204" s="8">
        <f>IF(A204="","",IF(ISNA(MATCH(A204,Mitarbeiter!$A$6:$A$205,0)),"Pers.-Nr. unbekannt",IF(D204="","Von fehlt",IF(AND(C204&lt;&gt;Einstellungen!$C$4,C204&lt;&gt;Einstellungen!$C$5),"Objekt fehlt",IF(J204&lt;D204,"Bis vor Von",IF(D204&lt;INDEX(Mitarbeiter!$C$6:$C$205,MATCH($A204,Mitarbeiter!$A$6:$A$205,0)),"vor Eintritt",IF(AND(INDEX(Mitarbeiter!$D$6:$D$205,MATCH($A204,Mitarbeiter!$A$6:$A$205,0))&lt;&gt;"",D204&gt;INDEX(Mitarbeiter!$D$6:$D$205,MATCH($A204,Mitarbeiter!$A$6:$A$205,0))),"nach Austritt",IF(E204="","offen","ok"))))))))</f>
        <v/>
      </c>
      <c r="J204" s="47">
        <f>IF(A204="","",IF(E204="",Einstellungen!$C$9,E204))</f>
        <v/>
      </c>
      <c r="K204" s="48">
        <f>IF(A204="",0,IFERROR(INDEX(Mitarbeiter!$F$6:$F$205,MATCH($A204,Mitarbeiter!$A$6:$A$205,0)),0))</f>
        <v/>
      </c>
      <c r="L204" s="49">
        <f>IF(OR(A204="",D204=""),0,MAX(0,NETWORKDAYS(MAX(D204,DATE(Einstellungen!$C$3,1,1)),MIN(J204,DATE(Einstellungen!$C$3,2,0)),Einstellungen!$F$13:$F$32)))</f>
        <v/>
      </c>
      <c r="M204" s="49">
        <f>IF(OR(A204="",D204=""),0,MAX(0,NETWORKDAYS(MAX(D204,DATE(Einstellungen!$C$3,2,1)),MIN(J204,DATE(Einstellungen!$C$3,3,0)),Einstellungen!$F$13:$F$32)))</f>
        <v/>
      </c>
      <c r="N204" s="49">
        <f>IF(OR(A204="",D204=""),0,MAX(0,NETWORKDAYS(MAX(D204,DATE(Einstellungen!$C$3,3,1)),MIN(J204,DATE(Einstellungen!$C$3,4,0)),Einstellungen!$F$13:$F$32)))</f>
        <v/>
      </c>
      <c r="O204" s="49">
        <f>IF(OR(A204="",D204=""),0,MAX(0,NETWORKDAYS(MAX(D204,DATE(Einstellungen!$C$3,4,1)),MIN(J204,DATE(Einstellungen!$C$3,5,0)),Einstellungen!$F$13:$F$32)))</f>
        <v/>
      </c>
      <c r="P204" s="49">
        <f>IF(OR(A204="",D204=""),0,MAX(0,NETWORKDAYS(MAX(D204,DATE(Einstellungen!$C$3,5,1)),MIN(J204,DATE(Einstellungen!$C$3,6,0)),Einstellungen!$F$13:$F$32)))</f>
        <v/>
      </c>
      <c r="Q204" s="49">
        <f>IF(OR(A204="",D204=""),0,MAX(0,NETWORKDAYS(MAX(D204,DATE(Einstellungen!$C$3,6,1)),MIN(J204,DATE(Einstellungen!$C$3,7,0)),Einstellungen!$F$13:$F$32)))</f>
        <v/>
      </c>
      <c r="R204" s="49">
        <f>IF(OR(A204="",D204=""),0,MAX(0,NETWORKDAYS(MAX(D204,DATE(Einstellungen!$C$3,7,1)),MIN(J204,DATE(Einstellungen!$C$3,8,0)),Einstellungen!$F$13:$F$32)))</f>
        <v/>
      </c>
      <c r="S204" s="49">
        <f>IF(OR(A204="",D204=""),0,MAX(0,NETWORKDAYS(MAX(D204,DATE(Einstellungen!$C$3,8,1)),MIN(J204,DATE(Einstellungen!$C$3,9,0)),Einstellungen!$F$13:$F$32)))</f>
        <v/>
      </c>
      <c r="T204" s="49">
        <f>IF(OR(A204="",D204=""),0,MAX(0,NETWORKDAYS(MAX(D204,DATE(Einstellungen!$C$3,9,1)),MIN(J204,DATE(Einstellungen!$C$3,10,0)),Einstellungen!$F$13:$F$32)))</f>
        <v/>
      </c>
      <c r="U204" s="49">
        <f>IF(OR(A204="",D204=""),0,MAX(0,NETWORKDAYS(MAX(D204,DATE(Einstellungen!$C$3,10,1)),MIN(J204,DATE(Einstellungen!$C$3,11,0)),Einstellungen!$F$13:$F$32)))</f>
        <v/>
      </c>
      <c r="V204" s="49">
        <f>IF(OR(A204="",D204=""),0,MAX(0,NETWORKDAYS(MAX(D204,DATE(Einstellungen!$C$3,11,1)),MIN(J204,DATE(Einstellungen!$C$3,12,0)),Einstellungen!$F$13:$F$32)))</f>
        <v/>
      </c>
      <c r="W204" s="49">
        <f>IF(OR(A204="",D204=""),0,MAX(0,NETWORKDAYS(MAX(D204,DATE(Einstellungen!$C$3,12,1)),MIN(J204,DATE(Einstellungen!$C$3,13,0)),Einstellungen!$F$13:$F$32)))</f>
        <v/>
      </c>
      <c r="X204" s="50">
        <f>L204*K204</f>
        <v/>
      </c>
      <c r="Y204" s="50">
        <f>M204*K204</f>
        <v/>
      </c>
      <c r="Z204" s="50">
        <f>N204*K204</f>
        <v/>
      </c>
      <c r="AA204" s="50">
        <f>O204*K204</f>
        <v/>
      </c>
      <c r="AB204" s="50">
        <f>P204*K204</f>
        <v/>
      </c>
      <c r="AC204" s="50">
        <f>Q204*K204</f>
        <v/>
      </c>
      <c r="AD204" s="50">
        <f>R204*K204</f>
        <v/>
      </c>
      <c r="AE204" s="50">
        <f>S204*K204</f>
        <v/>
      </c>
      <c r="AF204" s="50">
        <f>T204*K204</f>
        <v/>
      </c>
      <c r="AG204" s="50">
        <f>U204*K204</f>
        <v/>
      </c>
      <c r="AH204" s="50">
        <f>V204*K204</f>
        <v/>
      </c>
      <c r="AI204" s="50">
        <f>W204*K204</f>
        <v/>
      </c>
    </row>
    <row r="205">
      <c r="A205" s="25" t="n"/>
      <c r="B205" s="45">
        <f>IF(A205="","",IFERROR(INDEX(Mitarbeiter!$B$6:$B$205,MATCH($A205,Mitarbeiter!$A$6:$A$205,0)),"?"))</f>
        <v/>
      </c>
      <c r="C205" s="46" t="n"/>
      <c r="D205" s="26" t="n"/>
      <c r="E205" s="26" t="n"/>
      <c r="F205" s="24">
        <f>IF(A205="","",SUM(L205:W205))</f>
        <v/>
      </c>
      <c r="G205" s="36">
        <f>IF(A205="","",SUM(X205:AI205))</f>
        <v/>
      </c>
      <c r="H205" s="8">
        <f>IF(A205="","",IF(ISNA(MATCH(A205,Mitarbeiter!$A$6:$A$205,0)),"Pers.-Nr. unbekannt",IF(D205="","Von fehlt",IF(AND(C205&lt;&gt;Einstellungen!$C$4,C205&lt;&gt;Einstellungen!$C$5),"Objekt fehlt",IF(J205&lt;D205,"Bis vor Von",IF(D205&lt;INDEX(Mitarbeiter!$C$6:$C$205,MATCH($A205,Mitarbeiter!$A$6:$A$205,0)),"vor Eintritt",IF(AND(INDEX(Mitarbeiter!$D$6:$D$205,MATCH($A205,Mitarbeiter!$A$6:$A$205,0))&lt;&gt;"",D205&gt;INDEX(Mitarbeiter!$D$6:$D$205,MATCH($A205,Mitarbeiter!$A$6:$A$205,0))),"nach Austritt",IF(E205="","offen","ok"))))))))</f>
        <v/>
      </c>
      <c r="J205" s="47">
        <f>IF(A205="","",IF(E205="",Einstellungen!$C$9,E205))</f>
        <v/>
      </c>
      <c r="K205" s="48">
        <f>IF(A205="",0,IFERROR(INDEX(Mitarbeiter!$F$6:$F$205,MATCH($A205,Mitarbeiter!$A$6:$A$205,0)),0))</f>
        <v/>
      </c>
      <c r="L205" s="49">
        <f>IF(OR(A205="",D205=""),0,MAX(0,NETWORKDAYS(MAX(D205,DATE(Einstellungen!$C$3,1,1)),MIN(J205,DATE(Einstellungen!$C$3,2,0)),Einstellungen!$F$13:$F$32)))</f>
        <v/>
      </c>
      <c r="M205" s="49">
        <f>IF(OR(A205="",D205=""),0,MAX(0,NETWORKDAYS(MAX(D205,DATE(Einstellungen!$C$3,2,1)),MIN(J205,DATE(Einstellungen!$C$3,3,0)),Einstellungen!$F$13:$F$32)))</f>
        <v/>
      </c>
      <c r="N205" s="49">
        <f>IF(OR(A205="",D205=""),0,MAX(0,NETWORKDAYS(MAX(D205,DATE(Einstellungen!$C$3,3,1)),MIN(J205,DATE(Einstellungen!$C$3,4,0)),Einstellungen!$F$13:$F$32)))</f>
        <v/>
      </c>
      <c r="O205" s="49">
        <f>IF(OR(A205="",D205=""),0,MAX(0,NETWORKDAYS(MAX(D205,DATE(Einstellungen!$C$3,4,1)),MIN(J205,DATE(Einstellungen!$C$3,5,0)),Einstellungen!$F$13:$F$32)))</f>
        <v/>
      </c>
      <c r="P205" s="49">
        <f>IF(OR(A205="",D205=""),0,MAX(0,NETWORKDAYS(MAX(D205,DATE(Einstellungen!$C$3,5,1)),MIN(J205,DATE(Einstellungen!$C$3,6,0)),Einstellungen!$F$13:$F$32)))</f>
        <v/>
      </c>
      <c r="Q205" s="49">
        <f>IF(OR(A205="",D205=""),0,MAX(0,NETWORKDAYS(MAX(D205,DATE(Einstellungen!$C$3,6,1)),MIN(J205,DATE(Einstellungen!$C$3,7,0)),Einstellungen!$F$13:$F$32)))</f>
        <v/>
      </c>
      <c r="R205" s="49">
        <f>IF(OR(A205="",D205=""),0,MAX(0,NETWORKDAYS(MAX(D205,DATE(Einstellungen!$C$3,7,1)),MIN(J205,DATE(Einstellungen!$C$3,8,0)),Einstellungen!$F$13:$F$32)))</f>
        <v/>
      </c>
      <c r="S205" s="49">
        <f>IF(OR(A205="",D205=""),0,MAX(0,NETWORKDAYS(MAX(D205,DATE(Einstellungen!$C$3,8,1)),MIN(J205,DATE(Einstellungen!$C$3,9,0)),Einstellungen!$F$13:$F$32)))</f>
        <v/>
      </c>
      <c r="T205" s="49">
        <f>IF(OR(A205="",D205=""),0,MAX(0,NETWORKDAYS(MAX(D205,DATE(Einstellungen!$C$3,9,1)),MIN(J205,DATE(Einstellungen!$C$3,10,0)),Einstellungen!$F$13:$F$32)))</f>
        <v/>
      </c>
      <c r="U205" s="49">
        <f>IF(OR(A205="",D205=""),0,MAX(0,NETWORKDAYS(MAX(D205,DATE(Einstellungen!$C$3,10,1)),MIN(J205,DATE(Einstellungen!$C$3,11,0)),Einstellungen!$F$13:$F$32)))</f>
        <v/>
      </c>
      <c r="V205" s="49">
        <f>IF(OR(A205="",D205=""),0,MAX(0,NETWORKDAYS(MAX(D205,DATE(Einstellungen!$C$3,11,1)),MIN(J205,DATE(Einstellungen!$C$3,12,0)),Einstellungen!$F$13:$F$32)))</f>
        <v/>
      </c>
      <c r="W205" s="49">
        <f>IF(OR(A205="",D205=""),0,MAX(0,NETWORKDAYS(MAX(D205,DATE(Einstellungen!$C$3,12,1)),MIN(J205,DATE(Einstellungen!$C$3,13,0)),Einstellungen!$F$13:$F$32)))</f>
        <v/>
      </c>
      <c r="X205" s="50">
        <f>L205*K205</f>
        <v/>
      </c>
      <c r="Y205" s="50">
        <f>M205*K205</f>
        <v/>
      </c>
      <c r="Z205" s="50">
        <f>N205*K205</f>
        <v/>
      </c>
      <c r="AA205" s="50">
        <f>O205*K205</f>
        <v/>
      </c>
      <c r="AB205" s="50">
        <f>P205*K205</f>
        <v/>
      </c>
      <c r="AC205" s="50">
        <f>Q205*K205</f>
        <v/>
      </c>
      <c r="AD205" s="50">
        <f>R205*K205</f>
        <v/>
      </c>
      <c r="AE205" s="50">
        <f>S205*K205</f>
        <v/>
      </c>
      <c r="AF205" s="50">
        <f>T205*K205</f>
        <v/>
      </c>
      <c r="AG205" s="50">
        <f>U205*K205</f>
        <v/>
      </c>
      <c r="AH205" s="50">
        <f>V205*K205</f>
        <v/>
      </c>
      <c r="AI205" s="50">
        <f>W205*K205</f>
        <v/>
      </c>
    </row>
    <row r="206">
      <c r="A206" s="25" t="n"/>
      <c r="B206" s="45">
        <f>IF(A206="","",IFERROR(INDEX(Mitarbeiter!$B$6:$B$205,MATCH($A206,Mitarbeiter!$A$6:$A$205,0)),"?"))</f>
        <v/>
      </c>
      <c r="C206" s="46" t="n"/>
      <c r="D206" s="26" t="n"/>
      <c r="E206" s="26" t="n"/>
      <c r="F206" s="24">
        <f>IF(A206="","",SUM(L206:W206))</f>
        <v/>
      </c>
      <c r="G206" s="36">
        <f>IF(A206="","",SUM(X206:AI206))</f>
        <v/>
      </c>
      <c r="H206" s="8">
        <f>IF(A206="","",IF(ISNA(MATCH(A206,Mitarbeiter!$A$6:$A$205,0)),"Pers.-Nr. unbekannt",IF(D206="","Von fehlt",IF(AND(C206&lt;&gt;Einstellungen!$C$4,C206&lt;&gt;Einstellungen!$C$5),"Objekt fehlt",IF(J206&lt;D206,"Bis vor Von",IF(D206&lt;INDEX(Mitarbeiter!$C$6:$C$205,MATCH($A206,Mitarbeiter!$A$6:$A$205,0)),"vor Eintritt",IF(AND(INDEX(Mitarbeiter!$D$6:$D$205,MATCH($A206,Mitarbeiter!$A$6:$A$205,0))&lt;&gt;"",D206&gt;INDEX(Mitarbeiter!$D$6:$D$205,MATCH($A206,Mitarbeiter!$A$6:$A$205,0))),"nach Austritt",IF(E206="","offen","ok"))))))))</f>
        <v/>
      </c>
      <c r="J206" s="47">
        <f>IF(A206="","",IF(E206="",Einstellungen!$C$9,E206))</f>
        <v/>
      </c>
      <c r="K206" s="48">
        <f>IF(A206="",0,IFERROR(INDEX(Mitarbeiter!$F$6:$F$205,MATCH($A206,Mitarbeiter!$A$6:$A$205,0)),0))</f>
        <v/>
      </c>
      <c r="L206" s="49">
        <f>IF(OR(A206="",D206=""),0,MAX(0,NETWORKDAYS(MAX(D206,DATE(Einstellungen!$C$3,1,1)),MIN(J206,DATE(Einstellungen!$C$3,2,0)),Einstellungen!$F$13:$F$32)))</f>
        <v/>
      </c>
      <c r="M206" s="49">
        <f>IF(OR(A206="",D206=""),0,MAX(0,NETWORKDAYS(MAX(D206,DATE(Einstellungen!$C$3,2,1)),MIN(J206,DATE(Einstellungen!$C$3,3,0)),Einstellungen!$F$13:$F$32)))</f>
        <v/>
      </c>
      <c r="N206" s="49">
        <f>IF(OR(A206="",D206=""),0,MAX(0,NETWORKDAYS(MAX(D206,DATE(Einstellungen!$C$3,3,1)),MIN(J206,DATE(Einstellungen!$C$3,4,0)),Einstellungen!$F$13:$F$32)))</f>
        <v/>
      </c>
      <c r="O206" s="49">
        <f>IF(OR(A206="",D206=""),0,MAX(0,NETWORKDAYS(MAX(D206,DATE(Einstellungen!$C$3,4,1)),MIN(J206,DATE(Einstellungen!$C$3,5,0)),Einstellungen!$F$13:$F$32)))</f>
        <v/>
      </c>
      <c r="P206" s="49">
        <f>IF(OR(A206="",D206=""),0,MAX(0,NETWORKDAYS(MAX(D206,DATE(Einstellungen!$C$3,5,1)),MIN(J206,DATE(Einstellungen!$C$3,6,0)),Einstellungen!$F$13:$F$32)))</f>
        <v/>
      </c>
      <c r="Q206" s="49">
        <f>IF(OR(A206="",D206=""),0,MAX(0,NETWORKDAYS(MAX(D206,DATE(Einstellungen!$C$3,6,1)),MIN(J206,DATE(Einstellungen!$C$3,7,0)),Einstellungen!$F$13:$F$32)))</f>
        <v/>
      </c>
      <c r="R206" s="49">
        <f>IF(OR(A206="",D206=""),0,MAX(0,NETWORKDAYS(MAX(D206,DATE(Einstellungen!$C$3,7,1)),MIN(J206,DATE(Einstellungen!$C$3,8,0)),Einstellungen!$F$13:$F$32)))</f>
        <v/>
      </c>
      <c r="S206" s="49">
        <f>IF(OR(A206="",D206=""),0,MAX(0,NETWORKDAYS(MAX(D206,DATE(Einstellungen!$C$3,8,1)),MIN(J206,DATE(Einstellungen!$C$3,9,0)),Einstellungen!$F$13:$F$32)))</f>
        <v/>
      </c>
      <c r="T206" s="49">
        <f>IF(OR(A206="",D206=""),0,MAX(0,NETWORKDAYS(MAX(D206,DATE(Einstellungen!$C$3,9,1)),MIN(J206,DATE(Einstellungen!$C$3,10,0)),Einstellungen!$F$13:$F$32)))</f>
        <v/>
      </c>
      <c r="U206" s="49">
        <f>IF(OR(A206="",D206=""),0,MAX(0,NETWORKDAYS(MAX(D206,DATE(Einstellungen!$C$3,10,1)),MIN(J206,DATE(Einstellungen!$C$3,11,0)),Einstellungen!$F$13:$F$32)))</f>
        <v/>
      </c>
      <c r="V206" s="49">
        <f>IF(OR(A206="",D206=""),0,MAX(0,NETWORKDAYS(MAX(D206,DATE(Einstellungen!$C$3,11,1)),MIN(J206,DATE(Einstellungen!$C$3,12,0)),Einstellungen!$F$13:$F$32)))</f>
        <v/>
      </c>
      <c r="W206" s="49">
        <f>IF(OR(A206="",D206=""),0,MAX(0,NETWORKDAYS(MAX(D206,DATE(Einstellungen!$C$3,12,1)),MIN(J206,DATE(Einstellungen!$C$3,13,0)),Einstellungen!$F$13:$F$32)))</f>
        <v/>
      </c>
      <c r="X206" s="50">
        <f>L206*K206</f>
        <v/>
      </c>
      <c r="Y206" s="50">
        <f>M206*K206</f>
        <v/>
      </c>
      <c r="Z206" s="50">
        <f>N206*K206</f>
        <v/>
      </c>
      <c r="AA206" s="50">
        <f>O206*K206</f>
        <v/>
      </c>
      <c r="AB206" s="50">
        <f>P206*K206</f>
        <v/>
      </c>
      <c r="AC206" s="50">
        <f>Q206*K206</f>
        <v/>
      </c>
      <c r="AD206" s="50">
        <f>R206*K206</f>
        <v/>
      </c>
      <c r="AE206" s="50">
        <f>S206*K206</f>
        <v/>
      </c>
      <c r="AF206" s="50">
        <f>T206*K206</f>
        <v/>
      </c>
      <c r="AG206" s="50">
        <f>U206*K206</f>
        <v/>
      </c>
      <c r="AH206" s="50">
        <f>V206*K206</f>
        <v/>
      </c>
      <c r="AI206" s="50">
        <f>W206*K206</f>
        <v/>
      </c>
    </row>
    <row r="207">
      <c r="A207" s="25" t="n"/>
      <c r="B207" s="45">
        <f>IF(A207="","",IFERROR(INDEX(Mitarbeiter!$B$6:$B$205,MATCH($A207,Mitarbeiter!$A$6:$A$205,0)),"?"))</f>
        <v/>
      </c>
      <c r="C207" s="46" t="n"/>
      <c r="D207" s="26" t="n"/>
      <c r="E207" s="26" t="n"/>
      <c r="F207" s="24">
        <f>IF(A207="","",SUM(L207:W207))</f>
        <v/>
      </c>
      <c r="G207" s="36">
        <f>IF(A207="","",SUM(X207:AI207))</f>
        <v/>
      </c>
      <c r="H207" s="8">
        <f>IF(A207="","",IF(ISNA(MATCH(A207,Mitarbeiter!$A$6:$A$205,0)),"Pers.-Nr. unbekannt",IF(D207="","Von fehlt",IF(AND(C207&lt;&gt;Einstellungen!$C$4,C207&lt;&gt;Einstellungen!$C$5),"Objekt fehlt",IF(J207&lt;D207,"Bis vor Von",IF(D207&lt;INDEX(Mitarbeiter!$C$6:$C$205,MATCH($A207,Mitarbeiter!$A$6:$A$205,0)),"vor Eintritt",IF(AND(INDEX(Mitarbeiter!$D$6:$D$205,MATCH($A207,Mitarbeiter!$A$6:$A$205,0))&lt;&gt;"",D207&gt;INDEX(Mitarbeiter!$D$6:$D$205,MATCH($A207,Mitarbeiter!$A$6:$A$205,0))),"nach Austritt",IF(E207="","offen","ok"))))))))</f>
        <v/>
      </c>
      <c r="J207" s="47">
        <f>IF(A207="","",IF(E207="",Einstellungen!$C$9,E207))</f>
        <v/>
      </c>
      <c r="K207" s="48">
        <f>IF(A207="",0,IFERROR(INDEX(Mitarbeiter!$F$6:$F$205,MATCH($A207,Mitarbeiter!$A$6:$A$205,0)),0))</f>
        <v/>
      </c>
      <c r="L207" s="49">
        <f>IF(OR(A207="",D207=""),0,MAX(0,NETWORKDAYS(MAX(D207,DATE(Einstellungen!$C$3,1,1)),MIN(J207,DATE(Einstellungen!$C$3,2,0)),Einstellungen!$F$13:$F$32)))</f>
        <v/>
      </c>
      <c r="M207" s="49">
        <f>IF(OR(A207="",D207=""),0,MAX(0,NETWORKDAYS(MAX(D207,DATE(Einstellungen!$C$3,2,1)),MIN(J207,DATE(Einstellungen!$C$3,3,0)),Einstellungen!$F$13:$F$32)))</f>
        <v/>
      </c>
      <c r="N207" s="49">
        <f>IF(OR(A207="",D207=""),0,MAX(0,NETWORKDAYS(MAX(D207,DATE(Einstellungen!$C$3,3,1)),MIN(J207,DATE(Einstellungen!$C$3,4,0)),Einstellungen!$F$13:$F$32)))</f>
        <v/>
      </c>
      <c r="O207" s="49">
        <f>IF(OR(A207="",D207=""),0,MAX(0,NETWORKDAYS(MAX(D207,DATE(Einstellungen!$C$3,4,1)),MIN(J207,DATE(Einstellungen!$C$3,5,0)),Einstellungen!$F$13:$F$32)))</f>
        <v/>
      </c>
      <c r="P207" s="49">
        <f>IF(OR(A207="",D207=""),0,MAX(0,NETWORKDAYS(MAX(D207,DATE(Einstellungen!$C$3,5,1)),MIN(J207,DATE(Einstellungen!$C$3,6,0)),Einstellungen!$F$13:$F$32)))</f>
        <v/>
      </c>
      <c r="Q207" s="49">
        <f>IF(OR(A207="",D207=""),0,MAX(0,NETWORKDAYS(MAX(D207,DATE(Einstellungen!$C$3,6,1)),MIN(J207,DATE(Einstellungen!$C$3,7,0)),Einstellungen!$F$13:$F$32)))</f>
        <v/>
      </c>
      <c r="R207" s="49">
        <f>IF(OR(A207="",D207=""),0,MAX(0,NETWORKDAYS(MAX(D207,DATE(Einstellungen!$C$3,7,1)),MIN(J207,DATE(Einstellungen!$C$3,8,0)),Einstellungen!$F$13:$F$32)))</f>
        <v/>
      </c>
      <c r="S207" s="49">
        <f>IF(OR(A207="",D207=""),0,MAX(0,NETWORKDAYS(MAX(D207,DATE(Einstellungen!$C$3,8,1)),MIN(J207,DATE(Einstellungen!$C$3,9,0)),Einstellungen!$F$13:$F$32)))</f>
        <v/>
      </c>
      <c r="T207" s="49">
        <f>IF(OR(A207="",D207=""),0,MAX(0,NETWORKDAYS(MAX(D207,DATE(Einstellungen!$C$3,9,1)),MIN(J207,DATE(Einstellungen!$C$3,10,0)),Einstellungen!$F$13:$F$32)))</f>
        <v/>
      </c>
      <c r="U207" s="49">
        <f>IF(OR(A207="",D207=""),0,MAX(0,NETWORKDAYS(MAX(D207,DATE(Einstellungen!$C$3,10,1)),MIN(J207,DATE(Einstellungen!$C$3,11,0)),Einstellungen!$F$13:$F$32)))</f>
        <v/>
      </c>
      <c r="V207" s="49">
        <f>IF(OR(A207="",D207=""),0,MAX(0,NETWORKDAYS(MAX(D207,DATE(Einstellungen!$C$3,11,1)),MIN(J207,DATE(Einstellungen!$C$3,12,0)),Einstellungen!$F$13:$F$32)))</f>
        <v/>
      </c>
      <c r="W207" s="49">
        <f>IF(OR(A207="",D207=""),0,MAX(0,NETWORKDAYS(MAX(D207,DATE(Einstellungen!$C$3,12,1)),MIN(J207,DATE(Einstellungen!$C$3,13,0)),Einstellungen!$F$13:$F$32)))</f>
        <v/>
      </c>
      <c r="X207" s="50">
        <f>L207*K207</f>
        <v/>
      </c>
      <c r="Y207" s="50">
        <f>M207*K207</f>
        <v/>
      </c>
      <c r="Z207" s="50">
        <f>N207*K207</f>
        <v/>
      </c>
      <c r="AA207" s="50">
        <f>O207*K207</f>
        <v/>
      </c>
      <c r="AB207" s="50">
        <f>P207*K207</f>
        <v/>
      </c>
      <c r="AC207" s="50">
        <f>Q207*K207</f>
        <v/>
      </c>
      <c r="AD207" s="50">
        <f>R207*K207</f>
        <v/>
      </c>
      <c r="AE207" s="50">
        <f>S207*K207</f>
        <v/>
      </c>
      <c r="AF207" s="50">
        <f>T207*K207</f>
        <v/>
      </c>
      <c r="AG207" s="50">
        <f>U207*K207</f>
        <v/>
      </c>
      <c r="AH207" s="50">
        <f>V207*K207</f>
        <v/>
      </c>
      <c r="AI207" s="50">
        <f>W207*K207</f>
        <v/>
      </c>
    </row>
    <row r="208">
      <c r="A208" s="25" t="n"/>
      <c r="B208" s="45">
        <f>IF(A208="","",IFERROR(INDEX(Mitarbeiter!$B$6:$B$205,MATCH($A208,Mitarbeiter!$A$6:$A$205,0)),"?"))</f>
        <v/>
      </c>
      <c r="C208" s="46" t="n"/>
      <c r="D208" s="26" t="n"/>
      <c r="E208" s="26" t="n"/>
      <c r="F208" s="24">
        <f>IF(A208="","",SUM(L208:W208))</f>
        <v/>
      </c>
      <c r="G208" s="36">
        <f>IF(A208="","",SUM(X208:AI208))</f>
        <v/>
      </c>
      <c r="H208" s="8">
        <f>IF(A208="","",IF(ISNA(MATCH(A208,Mitarbeiter!$A$6:$A$205,0)),"Pers.-Nr. unbekannt",IF(D208="","Von fehlt",IF(AND(C208&lt;&gt;Einstellungen!$C$4,C208&lt;&gt;Einstellungen!$C$5),"Objekt fehlt",IF(J208&lt;D208,"Bis vor Von",IF(D208&lt;INDEX(Mitarbeiter!$C$6:$C$205,MATCH($A208,Mitarbeiter!$A$6:$A$205,0)),"vor Eintritt",IF(AND(INDEX(Mitarbeiter!$D$6:$D$205,MATCH($A208,Mitarbeiter!$A$6:$A$205,0))&lt;&gt;"",D208&gt;INDEX(Mitarbeiter!$D$6:$D$205,MATCH($A208,Mitarbeiter!$A$6:$A$205,0))),"nach Austritt",IF(E208="","offen","ok"))))))))</f>
        <v/>
      </c>
      <c r="J208" s="47">
        <f>IF(A208="","",IF(E208="",Einstellungen!$C$9,E208))</f>
        <v/>
      </c>
      <c r="K208" s="48">
        <f>IF(A208="",0,IFERROR(INDEX(Mitarbeiter!$F$6:$F$205,MATCH($A208,Mitarbeiter!$A$6:$A$205,0)),0))</f>
        <v/>
      </c>
      <c r="L208" s="49">
        <f>IF(OR(A208="",D208=""),0,MAX(0,NETWORKDAYS(MAX(D208,DATE(Einstellungen!$C$3,1,1)),MIN(J208,DATE(Einstellungen!$C$3,2,0)),Einstellungen!$F$13:$F$32)))</f>
        <v/>
      </c>
      <c r="M208" s="49">
        <f>IF(OR(A208="",D208=""),0,MAX(0,NETWORKDAYS(MAX(D208,DATE(Einstellungen!$C$3,2,1)),MIN(J208,DATE(Einstellungen!$C$3,3,0)),Einstellungen!$F$13:$F$32)))</f>
        <v/>
      </c>
      <c r="N208" s="49">
        <f>IF(OR(A208="",D208=""),0,MAX(0,NETWORKDAYS(MAX(D208,DATE(Einstellungen!$C$3,3,1)),MIN(J208,DATE(Einstellungen!$C$3,4,0)),Einstellungen!$F$13:$F$32)))</f>
        <v/>
      </c>
      <c r="O208" s="49">
        <f>IF(OR(A208="",D208=""),0,MAX(0,NETWORKDAYS(MAX(D208,DATE(Einstellungen!$C$3,4,1)),MIN(J208,DATE(Einstellungen!$C$3,5,0)),Einstellungen!$F$13:$F$32)))</f>
        <v/>
      </c>
      <c r="P208" s="49">
        <f>IF(OR(A208="",D208=""),0,MAX(0,NETWORKDAYS(MAX(D208,DATE(Einstellungen!$C$3,5,1)),MIN(J208,DATE(Einstellungen!$C$3,6,0)),Einstellungen!$F$13:$F$32)))</f>
        <v/>
      </c>
      <c r="Q208" s="49">
        <f>IF(OR(A208="",D208=""),0,MAX(0,NETWORKDAYS(MAX(D208,DATE(Einstellungen!$C$3,6,1)),MIN(J208,DATE(Einstellungen!$C$3,7,0)),Einstellungen!$F$13:$F$32)))</f>
        <v/>
      </c>
      <c r="R208" s="49">
        <f>IF(OR(A208="",D208=""),0,MAX(0,NETWORKDAYS(MAX(D208,DATE(Einstellungen!$C$3,7,1)),MIN(J208,DATE(Einstellungen!$C$3,8,0)),Einstellungen!$F$13:$F$32)))</f>
        <v/>
      </c>
      <c r="S208" s="49">
        <f>IF(OR(A208="",D208=""),0,MAX(0,NETWORKDAYS(MAX(D208,DATE(Einstellungen!$C$3,8,1)),MIN(J208,DATE(Einstellungen!$C$3,9,0)),Einstellungen!$F$13:$F$32)))</f>
        <v/>
      </c>
      <c r="T208" s="49">
        <f>IF(OR(A208="",D208=""),0,MAX(0,NETWORKDAYS(MAX(D208,DATE(Einstellungen!$C$3,9,1)),MIN(J208,DATE(Einstellungen!$C$3,10,0)),Einstellungen!$F$13:$F$32)))</f>
        <v/>
      </c>
      <c r="U208" s="49">
        <f>IF(OR(A208="",D208=""),0,MAX(0,NETWORKDAYS(MAX(D208,DATE(Einstellungen!$C$3,10,1)),MIN(J208,DATE(Einstellungen!$C$3,11,0)),Einstellungen!$F$13:$F$32)))</f>
        <v/>
      </c>
      <c r="V208" s="49">
        <f>IF(OR(A208="",D208=""),0,MAX(0,NETWORKDAYS(MAX(D208,DATE(Einstellungen!$C$3,11,1)),MIN(J208,DATE(Einstellungen!$C$3,12,0)),Einstellungen!$F$13:$F$32)))</f>
        <v/>
      </c>
      <c r="W208" s="49">
        <f>IF(OR(A208="",D208=""),0,MAX(0,NETWORKDAYS(MAX(D208,DATE(Einstellungen!$C$3,12,1)),MIN(J208,DATE(Einstellungen!$C$3,13,0)),Einstellungen!$F$13:$F$32)))</f>
        <v/>
      </c>
      <c r="X208" s="50">
        <f>L208*K208</f>
        <v/>
      </c>
      <c r="Y208" s="50">
        <f>M208*K208</f>
        <v/>
      </c>
      <c r="Z208" s="50">
        <f>N208*K208</f>
        <v/>
      </c>
      <c r="AA208" s="50">
        <f>O208*K208</f>
        <v/>
      </c>
      <c r="AB208" s="50">
        <f>P208*K208</f>
        <v/>
      </c>
      <c r="AC208" s="50">
        <f>Q208*K208</f>
        <v/>
      </c>
      <c r="AD208" s="50">
        <f>R208*K208</f>
        <v/>
      </c>
      <c r="AE208" s="50">
        <f>S208*K208</f>
        <v/>
      </c>
      <c r="AF208" s="50">
        <f>T208*K208</f>
        <v/>
      </c>
      <c r="AG208" s="50">
        <f>U208*K208</f>
        <v/>
      </c>
      <c r="AH208" s="50">
        <f>V208*K208</f>
        <v/>
      </c>
      <c r="AI208" s="50">
        <f>W208*K208</f>
        <v/>
      </c>
    </row>
    <row r="209">
      <c r="A209" s="25" t="n"/>
      <c r="B209" s="45">
        <f>IF(A209="","",IFERROR(INDEX(Mitarbeiter!$B$6:$B$205,MATCH($A209,Mitarbeiter!$A$6:$A$205,0)),"?"))</f>
        <v/>
      </c>
      <c r="C209" s="46" t="n"/>
      <c r="D209" s="26" t="n"/>
      <c r="E209" s="26" t="n"/>
      <c r="F209" s="24">
        <f>IF(A209="","",SUM(L209:W209))</f>
        <v/>
      </c>
      <c r="G209" s="36">
        <f>IF(A209="","",SUM(X209:AI209))</f>
        <v/>
      </c>
      <c r="H209" s="8">
        <f>IF(A209="","",IF(ISNA(MATCH(A209,Mitarbeiter!$A$6:$A$205,0)),"Pers.-Nr. unbekannt",IF(D209="","Von fehlt",IF(AND(C209&lt;&gt;Einstellungen!$C$4,C209&lt;&gt;Einstellungen!$C$5),"Objekt fehlt",IF(J209&lt;D209,"Bis vor Von",IF(D209&lt;INDEX(Mitarbeiter!$C$6:$C$205,MATCH($A209,Mitarbeiter!$A$6:$A$205,0)),"vor Eintritt",IF(AND(INDEX(Mitarbeiter!$D$6:$D$205,MATCH($A209,Mitarbeiter!$A$6:$A$205,0))&lt;&gt;"",D209&gt;INDEX(Mitarbeiter!$D$6:$D$205,MATCH($A209,Mitarbeiter!$A$6:$A$205,0))),"nach Austritt",IF(E209="","offen","ok"))))))))</f>
        <v/>
      </c>
      <c r="J209" s="47">
        <f>IF(A209="","",IF(E209="",Einstellungen!$C$9,E209))</f>
        <v/>
      </c>
      <c r="K209" s="48">
        <f>IF(A209="",0,IFERROR(INDEX(Mitarbeiter!$F$6:$F$205,MATCH($A209,Mitarbeiter!$A$6:$A$205,0)),0))</f>
        <v/>
      </c>
      <c r="L209" s="49">
        <f>IF(OR(A209="",D209=""),0,MAX(0,NETWORKDAYS(MAX(D209,DATE(Einstellungen!$C$3,1,1)),MIN(J209,DATE(Einstellungen!$C$3,2,0)),Einstellungen!$F$13:$F$32)))</f>
        <v/>
      </c>
      <c r="M209" s="49">
        <f>IF(OR(A209="",D209=""),0,MAX(0,NETWORKDAYS(MAX(D209,DATE(Einstellungen!$C$3,2,1)),MIN(J209,DATE(Einstellungen!$C$3,3,0)),Einstellungen!$F$13:$F$32)))</f>
        <v/>
      </c>
      <c r="N209" s="49">
        <f>IF(OR(A209="",D209=""),0,MAX(0,NETWORKDAYS(MAX(D209,DATE(Einstellungen!$C$3,3,1)),MIN(J209,DATE(Einstellungen!$C$3,4,0)),Einstellungen!$F$13:$F$32)))</f>
        <v/>
      </c>
      <c r="O209" s="49">
        <f>IF(OR(A209="",D209=""),0,MAX(0,NETWORKDAYS(MAX(D209,DATE(Einstellungen!$C$3,4,1)),MIN(J209,DATE(Einstellungen!$C$3,5,0)),Einstellungen!$F$13:$F$32)))</f>
        <v/>
      </c>
      <c r="P209" s="49">
        <f>IF(OR(A209="",D209=""),0,MAX(0,NETWORKDAYS(MAX(D209,DATE(Einstellungen!$C$3,5,1)),MIN(J209,DATE(Einstellungen!$C$3,6,0)),Einstellungen!$F$13:$F$32)))</f>
        <v/>
      </c>
      <c r="Q209" s="49">
        <f>IF(OR(A209="",D209=""),0,MAX(0,NETWORKDAYS(MAX(D209,DATE(Einstellungen!$C$3,6,1)),MIN(J209,DATE(Einstellungen!$C$3,7,0)),Einstellungen!$F$13:$F$32)))</f>
        <v/>
      </c>
      <c r="R209" s="49">
        <f>IF(OR(A209="",D209=""),0,MAX(0,NETWORKDAYS(MAX(D209,DATE(Einstellungen!$C$3,7,1)),MIN(J209,DATE(Einstellungen!$C$3,8,0)),Einstellungen!$F$13:$F$32)))</f>
        <v/>
      </c>
      <c r="S209" s="49">
        <f>IF(OR(A209="",D209=""),0,MAX(0,NETWORKDAYS(MAX(D209,DATE(Einstellungen!$C$3,8,1)),MIN(J209,DATE(Einstellungen!$C$3,9,0)),Einstellungen!$F$13:$F$32)))</f>
        <v/>
      </c>
      <c r="T209" s="49">
        <f>IF(OR(A209="",D209=""),0,MAX(0,NETWORKDAYS(MAX(D209,DATE(Einstellungen!$C$3,9,1)),MIN(J209,DATE(Einstellungen!$C$3,10,0)),Einstellungen!$F$13:$F$32)))</f>
        <v/>
      </c>
      <c r="U209" s="49">
        <f>IF(OR(A209="",D209=""),0,MAX(0,NETWORKDAYS(MAX(D209,DATE(Einstellungen!$C$3,10,1)),MIN(J209,DATE(Einstellungen!$C$3,11,0)),Einstellungen!$F$13:$F$32)))</f>
        <v/>
      </c>
      <c r="V209" s="49">
        <f>IF(OR(A209="",D209=""),0,MAX(0,NETWORKDAYS(MAX(D209,DATE(Einstellungen!$C$3,11,1)),MIN(J209,DATE(Einstellungen!$C$3,12,0)),Einstellungen!$F$13:$F$32)))</f>
        <v/>
      </c>
      <c r="W209" s="49">
        <f>IF(OR(A209="",D209=""),0,MAX(0,NETWORKDAYS(MAX(D209,DATE(Einstellungen!$C$3,12,1)),MIN(J209,DATE(Einstellungen!$C$3,13,0)),Einstellungen!$F$13:$F$32)))</f>
        <v/>
      </c>
      <c r="X209" s="50">
        <f>L209*K209</f>
        <v/>
      </c>
      <c r="Y209" s="50">
        <f>M209*K209</f>
        <v/>
      </c>
      <c r="Z209" s="50">
        <f>N209*K209</f>
        <v/>
      </c>
      <c r="AA209" s="50">
        <f>O209*K209</f>
        <v/>
      </c>
      <c r="AB209" s="50">
        <f>P209*K209</f>
        <v/>
      </c>
      <c r="AC209" s="50">
        <f>Q209*K209</f>
        <v/>
      </c>
      <c r="AD209" s="50">
        <f>R209*K209</f>
        <v/>
      </c>
      <c r="AE209" s="50">
        <f>S209*K209</f>
        <v/>
      </c>
      <c r="AF209" s="50">
        <f>T209*K209</f>
        <v/>
      </c>
      <c r="AG209" s="50">
        <f>U209*K209</f>
        <v/>
      </c>
      <c r="AH209" s="50">
        <f>V209*K209</f>
        <v/>
      </c>
      <c r="AI209" s="50">
        <f>W209*K209</f>
        <v/>
      </c>
    </row>
    <row r="210">
      <c r="A210" s="25" t="n"/>
      <c r="B210" s="45">
        <f>IF(A210="","",IFERROR(INDEX(Mitarbeiter!$B$6:$B$205,MATCH($A210,Mitarbeiter!$A$6:$A$205,0)),"?"))</f>
        <v/>
      </c>
      <c r="C210" s="46" t="n"/>
      <c r="D210" s="26" t="n"/>
      <c r="E210" s="26" t="n"/>
      <c r="F210" s="24">
        <f>IF(A210="","",SUM(L210:W210))</f>
        <v/>
      </c>
      <c r="G210" s="36">
        <f>IF(A210="","",SUM(X210:AI210))</f>
        <v/>
      </c>
      <c r="H210" s="8">
        <f>IF(A210="","",IF(ISNA(MATCH(A210,Mitarbeiter!$A$6:$A$205,0)),"Pers.-Nr. unbekannt",IF(D210="","Von fehlt",IF(AND(C210&lt;&gt;Einstellungen!$C$4,C210&lt;&gt;Einstellungen!$C$5),"Objekt fehlt",IF(J210&lt;D210,"Bis vor Von",IF(D210&lt;INDEX(Mitarbeiter!$C$6:$C$205,MATCH($A210,Mitarbeiter!$A$6:$A$205,0)),"vor Eintritt",IF(AND(INDEX(Mitarbeiter!$D$6:$D$205,MATCH($A210,Mitarbeiter!$A$6:$A$205,0))&lt;&gt;"",D210&gt;INDEX(Mitarbeiter!$D$6:$D$205,MATCH($A210,Mitarbeiter!$A$6:$A$205,0))),"nach Austritt",IF(E210="","offen","ok"))))))))</f>
        <v/>
      </c>
      <c r="J210" s="47">
        <f>IF(A210="","",IF(E210="",Einstellungen!$C$9,E210))</f>
        <v/>
      </c>
      <c r="K210" s="48">
        <f>IF(A210="",0,IFERROR(INDEX(Mitarbeiter!$F$6:$F$205,MATCH($A210,Mitarbeiter!$A$6:$A$205,0)),0))</f>
        <v/>
      </c>
      <c r="L210" s="49">
        <f>IF(OR(A210="",D210=""),0,MAX(0,NETWORKDAYS(MAX(D210,DATE(Einstellungen!$C$3,1,1)),MIN(J210,DATE(Einstellungen!$C$3,2,0)),Einstellungen!$F$13:$F$32)))</f>
        <v/>
      </c>
      <c r="M210" s="49">
        <f>IF(OR(A210="",D210=""),0,MAX(0,NETWORKDAYS(MAX(D210,DATE(Einstellungen!$C$3,2,1)),MIN(J210,DATE(Einstellungen!$C$3,3,0)),Einstellungen!$F$13:$F$32)))</f>
        <v/>
      </c>
      <c r="N210" s="49">
        <f>IF(OR(A210="",D210=""),0,MAX(0,NETWORKDAYS(MAX(D210,DATE(Einstellungen!$C$3,3,1)),MIN(J210,DATE(Einstellungen!$C$3,4,0)),Einstellungen!$F$13:$F$32)))</f>
        <v/>
      </c>
      <c r="O210" s="49">
        <f>IF(OR(A210="",D210=""),0,MAX(0,NETWORKDAYS(MAX(D210,DATE(Einstellungen!$C$3,4,1)),MIN(J210,DATE(Einstellungen!$C$3,5,0)),Einstellungen!$F$13:$F$32)))</f>
        <v/>
      </c>
      <c r="P210" s="49">
        <f>IF(OR(A210="",D210=""),0,MAX(0,NETWORKDAYS(MAX(D210,DATE(Einstellungen!$C$3,5,1)),MIN(J210,DATE(Einstellungen!$C$3,6,0)),Einstellungen!$F$13:$F$32)))</f>
        <v/>
      </c>
      <c r="Q210" s="49">
        <f>IF(OR(A210="",D210=""),0,MAX(0,NETWORKDAYS(MAX(D210,DATE(Einstellungen!$C$3,6,1)),MIN(J210,DATE(Einstellungen!$C$3,7,0)),Einstellungen!$F$13:$F$32)))</f>
        <v/>
      </c>
      <c r="R210" s="49">
        <f>IF(OR(A210="",D210=""),0,MAX(0,NETWORKDAYS(MAX(D210,DATE(Einstellungen!$C$3,7,1)),MIN(J210,DATE(Einstellungen!$C$3,8,0)),Einstellungen!$F$13:$F$32)))</f>
        <v/>
      </c>
      <c r="S210" s="49">
        <f>IF(OR(A210="",D210=""),0,MAX(0,NETWORKDAYS(MAX(D210,DATE(Einstellungen!$C$3,8,1)),MIN(J210,DATE(Einstellungen!$C$3,9,0)),Einstellungen!$F$13:$F$32)))</f>
        <v/>
      </c>
      <c r="T210" s="49">
        <f>IF(OR(A210="",D210=""),0,MAX(0,NETWORKDAYS(MAX(D210,DATE(Einstellungen!$C$3,9,1)),MIN(J210,DATE(Einstellungen!$C$3,10,0)),Einstellungen!$F$13:$F$32)))</f>
        <v/>
      </c>
      <c r="U210" s="49">
        <f>IF(OR(A210="",D210=""),0,MAX(0,NETWORKDAYS(MAX(D210,DATE(Einstellungen!$C$3,10,1)),MIN(J210,DATE(Einstellungen!$C$3,11,0)),Einstellungen!$F$13:$F$32)))</f>
        <v/>
      </c>
      <c r="V210" s="49">
        <f>IF(OR(A210="",D210=""),0,MAX(0,NETWORKDAYS(MAX(D210,DATE(Einstellungen!$C$3,11,1)),MIN(J210,DATE(Einstellungen!$C$3,12,0)),Einstellungen!$F$13:$F$32)))</f>
        <v/>
      </c>
      <c r="W210" s="49">
        <f>IF(OR(A210="",D210=""),0,MAX(0,NETWORKDAYS(MAX(D210,DATE(Einstellungen!$C$3,12,1)),MIN(J210,DATE(Einstellungen!$C$3,13,0)),Einstellungen!$F$13:$F$32)))</f>
        <v/>
      </c>
      <c r="X210" s="50">
        <f>L210*K210</f>
        <v/>
      </c>
      <c r="Y210" s="50">
        <f>M210*K210</f>
        <v/>
      </c>
      <c r="Z210" s="50">
        <f>N210*K210</f>
        <v/>
      </c>
      <c r="AA210" s="50">
        <f>O210*K210</f>
        <v/>
      </c>
      <c r="AB210" s="50">
        <f>P210*K210</f>
        <v/>
      </c>
      <c r="AC210" s="50">
        <f>Q210*K210</f>
        <v/>
      </c>
      <c r="AD210" s="50">
        <f>R210*K210</f>
        <v/>
      </c>
      <c r="AE210" s="50">
        <f>S210*K210</f>
        <v/>
      </c>
      <c r="AF210" s="50">
        <f>T210*K210</f>
        <v/>
      </c>
      <c r="AG210" s="50">
        <f>U210*K210</f>
        <v/>
      </c>
      <c r="AH210" s="50">
        <f>V210*K210</f>
        <v/>
      </c>
      <c r="AI210" s="50">
        <f>W210*K210</f>
        <v/>
      </c>
    </row>
    <row r="211">
      <c r="A211" s="25" t="n"/>
      <c r="B211" s="45">
        <f>IF(A211="","",IFERROR(INDEX(Mitarbeiter!$B$6:$B$205,MATCH($A211,Mitarbeiter!$A$6:$A$205,0)),"?"))</f>
        <v/>
      </c>
      <c r="C211" s="46" t="n"/>
      <c r="D211" s="26" t="n"/>
      <c r="E211" s="26" t="n"/>
      <c r="F211" s="24">
        <f>IF(A211="","",SUM(L211:W211))</f>
        <v/>
      </c>
      <c r="G211" s="36">
        <f>IF(A211="","",SUM(X211:AI211))</f>
        <v/>
      </c>
      <c r="H211" s="8">
        <f>IF(A211="","",IF(ISNA(MATCH(A211,Mitarbeiter!$A$6:$A$205,0)),"Pers.-Nr. unbekannt",IF(D211="","Von fehlt",IF(AND(C211&lt;&gt;Einstellungen!$C$4,C211&lt;&gt;Einstellungen!$C$5),"Objekt fehlt",IF(J211&lt;D211,"Bis vor Von",IF(D211&lt;INDEX(Mitarbeiter!$C$6:$C$205,MATCH($A211,Mitarbeiter!$A$6:$A$205,0)),"vor Eintritt",IF(AND(INDEX(Mitarbeiter!$D$6:$D$205,MATCH($A211,Mitarbeiter!$A$6:$A$205,0))&lt;&gt;"",D211&gt;INDEX(Mitarbeiter!$D$6:$D$205,MATCH($A211,Mitarbeiter!$A$6:$A$205,0))),"nach Austritt",IF(E211="","offen","ok"))))))))</f>
        <v/>
      </c>
      <c r="J211" s="47">
        <f>IF(A211="","",IF(E211="",Einstellungen!$C$9,E211))</f>
        <v/>
      </c>
      <c r="K211" s="48">
        <f>IF(A211="",0,IFERROR(INDEX(Mitarbeiter!$F$6:$F$205,MATCH($A211,Mitarbeiter!$A$6:$A$205,0)),0))</f>
        <v/>
      </c>
      <c r="L211" s="49">
        <f>IF(OR(A211="",D211=""),0,MAX(0,NETWORKDAYS(MAX(D211,DATE(Einstellungen!$C$3,1,1)),MIN(J211,DATE(Einstellungen!$C$3,2,0)),Einstellungen!$F$13:$F$32)))</f>
        <v/>
      </c>
      <c r="M211" s="49">
        <f>IF(OR(A211="",D211=""),0,MAX(0,NETWORKDAYS(MAX(D211,DATE(Einstellungen!$C$3,2,1)),MIN(J211,DATE(Einstellungen!$C$3,3,0)),Einstellungen!$F$13:$F$32)))</f>
        <v/>
      </c>
      <c r="N211" s="49">
        <f>IF(OR(A211="",D211=""),0,MAX(0,NETWORKDAYS(MAX(D211,DATE(Einstellungen!$C$3,3,1)),MIN(J211,DATE(Einstellungen!$C$3,4,0)),Einstellungen!$F$13:$F$32)))</f>
        <v/>
      </c>
      <c r="O211" s="49">
        <f>IF(OR(A211="",D211=""),0,MAX(0,NETWORKDAYS(MAX(D211,DATE(Einstellungen!$C$3,4,1)),MIN(J211,DATE(Einstellungen!$C$3,5,0)),Einstellungen!$F$13:$F$32)))</f>
        <v/>
      </c>
      <c r="P211" s="49">
        <f>IF(OR(A211="",D211=""),0,MAX(0,NETWORKDAYS(MAX(D211,DATE(Einstellungen!$C$3,5,1)),MIN(J211,DATE(Einstellungen!$C$3,6,0)),Einstellungen!$F$13:$F$32)))</f>
        <v/>
      </c>
      <c r="Q211" s="49">
        <f>IF(OR(A211="",D211=""),0,MAX(0,NETWORKDAYS(MAX(D211,DATE(Einstellungen!$C$3,6,1)),MIN(J211,DATE(Einstellungen!$C$3,7,0)),Einstellungen!$F$13:$F$32)))</f>
        <v/>
      </c>
      <c r="R211" s="49">
        <f>IF(OR(A211="",D211=""),0,MAX(0,NETWORKDAYS(MAX(D211,DATE(Einstellungen!$C$3,7,1)),MIN(J211,DATE(Einstellungen!$C$3,8,0)),Einstellungen!$F$13:$F$32)))</f>
        <v/>
      </c>
      <c r="S211" s="49">
        <f>IF(OR(A211="",D211=""),0,MAX(0,NETWORKDAYS(MAX(D211,DATE(Einstellungen!$C$3,8,1)),MIN(J211,DATE(Einstellungen!$C$3,9,0)),Einstellungen!$F$13:$F$32)))</f>
        <v/>
      </c>
      <c r="T211" s="49">
        <f>IF(OR(A211="",D211=""),0,MAX(0,NETWORKDAYS(MAX(D211,DATE(Einstellungen!$C$3,9,1)),MIN(J211,DATE(Einstellungen!$C$3,10,0)),Einstellungen!$F$13:$F$32)))</f>
        <v/>
      </c>
      <c r="U211" s="49">
        <f>IF(OR(A211="",D211=""),0,MAX(0,NETWORKDAYS(MAX(D211,DATE(Einstellungen!$C$3,10,1)),MIN(J211,DATE(Einstellungen!$C$3,11,0)),Einstellungen!$F$13:$F$32)))</f>
        <v/>
      </c>
      <c r="V211" s="49">
        <f>IF(OR(A211="",D211=""),0,MAX(0,NETWORKDAYS(MAX(D211,DATE(Einstellungen!$C$3,11,1)),MIN(J211,DATE(Einstellungen!$C$3,12,0)),Einstellungen!$F$13:$F$32)))</f>
        <v/>
      </c>
      <c r="W211" s="49">
        <f>IF(OR(A211="",D211=""),0,MAX(0,NETWORKDAYS(MAX(D211,DATE(Einstellungen!$C$3,12,1)),MIN(J211,DATE(Einstellungen!$C$3,13,0)),Einstellungen!$F$13:$F$32)))</f>
        <v/>
      </c>
      <c r="X211" s="50">
        <f>L211*K211</f>
        <v/>
      </c>
      <c r="Y211" s="50">
        <f>M211*K211</f>
        <v/>
      </c>
      <c r="Z211" s="50">
        <f>N211*K211</f>
        <v/>
      </c>
      <c r="AA211" s="50">
        <f>O211*K211</f>
        <v/>
      </c>
      <c r="AB211" s="50">
        <f>P211*K211</f>
        <v/>
      </c>
      <c r="AC211" s="50">
        <f>Q211*K211</f>
        <v/>
      </c>
      <c r="AD211" s="50">
        <f>R211*K211</f>
        <v/>
      </c>
      <c r="AE211" s="50">
        <f>S211*K211</f>
        <v/>
      </c>
      <c r="AF211" s="50">
        <f>T211*K211</f>
        <v/>
      </c>
      <c r="AG211" s="50">
        <f>U211*K211</f>
        <v/>
      </c>
      <c r="AH211" s="50">
        <f>V211*K211</f>
        <v/>
      </c>
      <c r="AI211" s="50">
        <f>W211*K211</f>
        <v/>
      </c>
    </row>
    <row r="212">
      <c r="A212" s="25" t="n"/>
      <c r="B212" s="45">
        <f>IF(A212="","",IFERROR(INDEX(Mitarbeiter!$B$6:$B$205,MATCH($A212,Mitarbeiter!$A$6:$A$205,0)),"?"))</f>
        <v/>
      </c>
      <c r="C212" s="46" t="n"/>
      <c r="D212" s="26" t="n"/>
      <c r="E212" s="26" t="n"/>
      <c r="F212" s="24">
        <f>IF(A212="","",SUM(L212:W212))</f>
        <v/>
      </c>
      <c r="G212" s="36">
        <f>IF(A212="","",SUM(X212:AI212))</f>
        <v/>
      </c>
      <c r="H212" s="8">
        <f>IF(A212="","",IF(ISNA(MATCH(A212,Mitarbeiter!$A$6:$A$205,0)),"Pers.-Nr. unbekannt",IF(D212="","Von fehlt",IF(AND(C212&lt;&gt;Einstellungen!$C$4,C212&lt;&gt;Einstellungen!$C$5),"Objekt fehlt",IF(J212&lt;D212,"Bis vor Von",IF(D212&lt;INDEX(Mitarbeiter!$C$6:$C$205,MATCH($A212,Mitarbeiter!$A$6:$A$205,0)),"vor Eintritt",IF(AND(INDEX(Mitarbeiter!$D$6:$D$205,MATCH($A212,Mitarbeiter!$A$6:$A$205,0))&lt;&gt;"",D212&gt;INDEX(Mitarbeiter!$D$6:$D$205,MATCH($A212,Mitarbeiter!$A$6:$A$205,0))),"nach Austritt",IF(E212="","offen","ok"))))))))</f>
        <v/>
      </c>
      <c r="J212" s="47">
        <f>IF(A212="","",IF(E212="",Einstellungen!$C$9,E212))</f>
        <v/>
      </c>
      <c r="K212" s="48">
        <f>IF(A212="",0,IFERROR(INDEX(Mitarbeiter!$F$6:$F$205,MATCH($A212,Mitarbeiter!$A$6:$A$205,0)),0))</f>
        <v/>
      </c>
      <c r="L212" s="49">
        <f>IF(OR(A212="",D212=""),0,MAX(0,NETWORKDAYS(MAX(D212,DATE(Einstellungen!$C$3,1,1)),MIN(J212,DATE(Einstellungen!$C$3,2,0)),Einstellungen!$F$13:$F$32)))</f>
        <v/>
      </c>
      <c r="M212" s="49">
        <f>IF(OR(A212="",D212=""),0,MAX(0,NETWORKDAYS(MAX(D212,DATE(Einstellungen!$C$3,2,1)),MIN(J212,DATE(Einstellungen!$C$3,3,0)),Einstellungen!$F$13:$F$32)))</f>
        <v/>
      </c>
      <c r="N212" s="49">
        <f>IF(OR(A212="",D212=""),0,MAX(0,NETWORKDAYS(MAX(D212,DATE(Einstellungen!$C$3,3,1)),MIN(J212,DATE(Einstellungen!$C$3,4,0)),Einstellungen!$F$13:$F$32)))</f>
        <v/>
      </c>
      <c r="O212" s="49">
        <f>IF(OR(A212="",D212=""),0,MAX(0,NETWORKDAYS(MAX(D212,DATE(Einstellungen!$C$3,4,1)),MIN(J212,DATE(Einstellungen!$C$3,5,0)),Einstellungen!$F$13:$F$32)))</f>
        <v/>
      </c>
      <c r="P212" s="49">
        <f>IF(OR(A212="",D212=""),0,MAX(0,NETWORKDAYS(MAX(D212,DATE(Einstellungen!$C$3,5,1)),MIN(J212,DATE(Einstellungen!$C$3,6,0)),Einstellungen!$F$13:$F$32)))</f>
        <v/>
      </c>
      <c r="Q212" s="49">
        <f>IF(OR(A212="",D212=""),0,MAX(0,NETWORKDAYS(MAX(D212,DATE(Einstellungen!$C$3,6,1)),MIN(J212,DATE(Einstellungen!$C$3,7,0)),Einstellungen!$F$13:$F$32)))</f>
        <v/>
      </c>
      <c r="R212" s="49">
        <f>IF(OR(A212="",D212=""),0,MAX(0,NETWORKDAYS(MAX(D212,DATE(Einstellungen!$C$3,7,1)),MIN(J212,DATE(Einstellungen!$C$3,8,0)),Einstellungen!$F$13:$F$32)))</f>
        <v/>
      </c>
      <c r="S212" s="49">
        <f>IF(OR(A212="",D212=""),0,MAX(0,NETWORKDAYS(MAX(D212,DATE(Einstellungen!$C$3,8,1)),MIN(J212,DATE(Einstellungen!$C$3,9,0)),Einstellungen!$F$13:$F$32)))</f>
        <v/>
      </c>
      <c r="T212" s="49">
        <f>IF(OR(A212="",D212=""),0,MAX(0,NETWORKDAYS(MAX(D212,DATE(Einstellungen!$C$3,9,1)),MIN(J212,DATE(Einstellungen!$C$3,10,0)),Einstellungen!$F$13:$F$32)))</f>
        <v/>
      </c>
      <c r="U212" s="49">
        <f>IF(OR(A212="",D212=""),0,MAX(0,NETWORKDAYS(MAX(D212,DATE(Einstellungen!$C$3,10,1)),MIN(J212,DATE(Einstellungen!$C$3,11,0)),Einstellungen!$F$13:$F$32)))</f>
        <v/>
      </c>
      <c r="V212" s="49">
        <f>IF(OR(A212="",D212=""),0,MAX(0,NETWORKDAYS(MAX(D212,DATE(Einstellungen!$C$3,11,1)),MIN(J212,DATE(Einstellungen!$C$3,12,0)),Einstellungen!$F$13:$F$32)))</f>
        <v/>
      </c>
      <c r="W212" s="49">
        <f>IF(OR(A212="",D212=""),0,MAX(0,NETWORKDAYS(MAX(D212,DATE(Einstellungen!$C$3,12,1)),MIN(J212,DATE(Einstellungen!$C$3,13,0)),Einstellungen!$F$13:$F$32)))</f>
        <v/>
      </c>
      <c r="X212" s="50">
        <f>L212*K212</f>
        <v/>
      </c>
      <c r="Y212" s="50">
        <f>M212*K212</f>
        <v/>
      </c>
      <c r="Z212" s="50">
        <f>N212*K212</f>
        <v/>
      </c>
      <c r="AA212" s="50">
        <f>O212*K212</f>
        <v/>
      </c>
      <c r="AB212" s="50">
        <f>P212*K212</f>
        <v/>
      </c>
      <c r="AC212" s="50">
        <f>Q212*K212</f>
        <v/>
      </c>
      <c r="AD212" s="50">
        <f>R212*K212</f>
        <v/>
      </c>
      <c r="AE212" s="50">
        <f>S212*K212</f>
        <v/>
      </c>
      <c r="AF212" s="50">
        <f>T212*K212</f>
        <v/>
      </c>
      <c r="AG212" s="50">
        <f>U212*K212</f>
        <v/>
      </c>
      <c r="AH212" s="50">
        <f>V212*K212</f>
        <v/>
      </c>
      <c r="AI212" s="50">
        <f>W212*K212</f>
        <v/>
      </c>
    </row>
    <row r="213">
      <c r="A213" s="25" t="n"/>
      <c r="B213" s="45">
        <f>IF(A213="","",IFERROR(INDEX(Mitarbeiter!$B$6:$B$205,MATCH($A213,Mitarbeiter!$A$6:$A$205,0)),"?"))</f>
        <v/>
      </c>
      <c r="C213" s="46" t="n"/>
      <c r="D213" s="26" t="n"/>
      <c r="E213" s="26" t="n"/>
      <c r="F213" s="24">
        <f>IF(A213="","",SUM(L213:W213))</f>
        <v/>
      </c>
      <c r="G213" s="36">
        <f>IF(A213="","",SUM(X213:AI213))</f>
        <v/>
      </c>
      <c r="H213" s="8">
        <f>IF(A213="","",IF(ISNA(MATCH(A213,Mitarbeiter!$A$6:$A$205,0)),"Pers.-Nr. unbekannt",IF(D213="","Von fehlt",IF(AND(C213&lt;&gt;Einstellungen!$C$4,C213&lt;&gt;Einstellungen!$C$5),"Objekt fehlt",IF(J213&lt;D213,"Bis vor Von",IF(D213&lt;INDEX(Mitarbeiter!$C$6:$C$205,MATCH($A213,Mitarbeiter!$A$6:$A$205,0)),"vor Eintritt",IF(AND(INDEX(Mitarbeiter!$D$6:$D$205,MATCH($A213,Mitarbeiter!$A$6:$A$205,0))&lt;&gt;"",D213&gt;INDEX(Mitarbeiter!$D$6:$D$205,MATCH($A213,Mitarbeiter!$A$6:$A$205,0))),"nach Austritt",IF(E213="","offen","ok"))))))))</f>
        <v/>
      </c>
      <c r="J213" s="47">
        <f>IF(A213="","",IF(E213="",Einstellungen!$C$9,E213))</f>
        <v/>
      </c>
      <c r="K213" s="48">
        <f>IF(A213="",0,IFERROR(INDEX(Mitarbeiter!$F$6:$F$205,MATCH($A213,Mitarbeiter!$A$6:$A$205,0)),0))</f>
        <v/>
      </c>
      <c r="L213" s="49">
        <f>IF(OR(A213="",D213=""),0,MAX(0,NETWORKDAYS(MAX(D213,DATE(Einstellungen!$C$3,1,1)),MIN(J213,DATE(Einstellungen!$C$3,2,0)),Einstellungen!$F$13:$F$32)))</f>
        <v/>
      </c>
      <c r="M213" s="49">
        <f>IF(OR(A213="",D213=""),0,MAX(0,NETWORKDAYS(MAX(D213,DATE(Einstellungen!$C$3,2,1)),MIN(J213,DATE(Einstellungen!$C$3,3,0)),Einstellungen!$F$13:$F$32)))</f>
        <v/>
      </c>
      <c r="N213" s="49">
        <f>IF(OR(A213="",D213=""),0,MAX(0,NETWORKDAYS(MAX(D213,DATE(Einstellungen!$C$3,3,1)),MIN(J213,DATE(Einstellungen!$C$3,4,0)),Einstellungen!$F$13:$F$32)))</f>
        <v/>
      </c>
      <c r="O213" s="49">
        <f>IF(OR(A213="",D213=""),0,MAX(0,NETWORKDAYS(MAX(D213,DATE(Einstellungen!$C$3,4,1)),MIN(J213,DATE(Einstellungen!$C$3,5,0)),Einstellungen!$F$13:$F$32)))</f>
        <v/>
      </c>
      <c r="P213" s="49">
        <f>IF(OR(A213="",D213=""),0,MAX(0,NETWORKDAYS(MAX(D213,DATE(Einstellungen!$C$3,5,1)),MIN(J213,DATE(Einstellungen!$C$3,6,0)),Einstellungen!$F$13:$F$32)))</f>
        <v/>
      </c>
      <c r="Q213" s="49">
        <f>IF(OR(A213="",D213=""),0,MAX(0,NETWORKDAYS(MAX(D213,DATE(Einstellungen!$C$3,6,1)),MIN(J213,DATE(Einstellungen!$C$3,7,0)),Einstellungen!$F$13:$F$32)))</f>
        <v/>
      </c>
      <c r="R213" s="49">
        <f>IF(OR(A213="",D213=""),0,MAX(0,NETWORKDAYS(MAX(D213,DATE(Einstellungen!$C$3,7,1)),MIN(J213,DATE(Einstellungen!$C$3,8,0)),Einstellungen!$F$13:$F$32)))</f>
        <v/>
      </c>
      <c r="S213" s="49">
        <f>IF(OR(A213="",D213=""),0,MAX(0,NETWORKDAYS(MAX(D213,DATE(Einstellungen!$C$3,8,1)),MIN(J213,DATE(Einstellungen!$C$3,9,0)),Einstellungen!$F$13:$F$32)))</f>
        <v/>
      </c>
      <c r="T213" s="49">
        <f>IF(OR(A213="",D213=""),0,MAX(0,NETWORKDAYS(MAX(D213,DATE(Einstellungen!$C$3,9,1)),MIN(J213,DATE(Einstellungen!$C$3,10,0)),Einstellungen!$F$13:$F$32)))</f>
        <v/>
      </c>
      <c r="U213" s="49">
        <f>IF(OR(A213="",D213=""),0,MAX(0,NETWORKDAYS(MAX(D213,DATE(Einstellungen!$C$3,10,1)),MIN(J213,DATE(Einstellungen!$C$3,11,0)),Einstellungen!$F$13:$F$32)))</f>
        <v/>
      </c>
      <c r="V213" s="49">
        <f>IF(OR(A213="",D213=""),0,MAX(0,NETWORKDAYS(MAX(D213,DATE(Einstellungen!$C$3,11,1)),MIN(J213,DATE(Einstellungen!$C$3,12,0)),Einstellungen!$F$13:$F$32)))</f>
        <v/>
      </c>
      <c r="W213" s="49">
        <f>IF(OR(A213="",D213=""),0,MAX(0,NETWORKDAYS(MAX(D213,DATE(Einstellungen!$C$3,12,1)),MIN(J213,DATE(Einstellungen!$C$3,13,0)),Einstellungen!$F$13:$F$32)))</f>
        <v/>
      </c>
      <c r="X213" s="50">
        <f>L213*K213</f>
        <v/>
      </c>
      <c r="Y213" s="50">
        <f>M213*K213</f>
        <v/>
      </c>
      <c r="Z213" s="50">
        <f>N213*K213</f>
        <v/>
      </c>
      <c r="AA213" s="50">
        <f>O213*K213</f>
        <v/>
      </c>
      <c r="AB213" s="50">
        <f>P213*K213</f>
        <v/>
      </c>
      <c r="AC213" s="50">
        <f>Q213*K213</f>
        <v/>
      </c>
      <c r="AD213" s="50">
        <f>R213*K213</f>
        <v/>
      </c>
      <c r="AE213" s="50">
        <f>S213*K213</f>
        <v/>
      </c>
      <c r="AF213" s="50">
        <f>T213*K213</f>
        <v/>
      </c>
      <c r="AG213" s="50">
        <f>U213*K213</f>
        <v/>
      </c>
      <c r="AH213" s="50">
        <f>V213*K213</f>
        <v/>
      </c>
      <c r="AI213" s="50">
        <f>W213*K213</f>
        <v/>
      </c>
    </row>
    <row r="214">
      <c r="A214" s="25" t="n"/>
      <c r="B214" s="45">
        <f>IF(A214="","",IFERROR(INDEX(Mitarbeiter!$B$6:$B$205,MATCH($A214,Mitarbeiter!$A$6:$A$205,0)),"?"))</f>
        <v/>
      </c>
      <c r="C214" s="46" t="n"/>
      <c r="D214" s="26" t="n"/>
      <c r="E214" s="26" t="n"/>
      <c r="F214" s="24">
        <f>IF(A214="","",SUM(L214:W214))</f>
        <v/>
      </c>
      <c r="G214" s="36">
        <f>IF(A214="","",SUM(X214:AI214))</f>
        <v/>
      </c>
      <c r="H214" s="8">
        <f>IF(A214="","",IF(ISNA(MATCH(A214,Mitarbeiter!$A$6:$A$205,0)),"Pers.-Nr. unbekannt",IF(D214="","Von fehlt",IF(AND(C214&lt;&gt;Einstellungen!$C$4,C214&lt;&gt;Einstellungen!$C$5),"Objekt fehlt",IF(J214&lt;D214,"Bis vor Von",IF(D214&lt;INDEX(Mitarbeiter!$C$6:$C$205,MATCH($A214,Mitarbeiter!$A$6:$A$205,0)),"vor Eintritt",IF(AND(INDEX(Mitarbeiter!$D$6:$D$205,MATCH($A214,Mitarbeiter!$A$6:$A$205,0))&lt;&gt;"",D214&gt;INDEX(Mitarbeiter!$D$6:$D$205,MATCH($A214,Mitarbeiter!$A$6:$A$205,0))),"nach Austritt",IF(E214="","offen","ok"))))))))</f>
        <v/>
      </c>
      <c r="J214" s="47">
        <f>IF(A214="","",IF(E214="",Einstellungen!$C$9,E214))</f>
        <v/>
      </c>
      <c r="K214" s="48">
        <f>IF(A214="",0,IFERROR(INDEX(Mitarbeiter!$F$6:$F$205,MATCH($A214,Mitarbeiter!$A$6:$A$205,0)),0))</f>
        <v/>
      </c>
      <c r="L214" s="49">
        <f>IF(OR(A214="",D214=""),0,MAX(0,NETWORKDAYS(MAX(D214,DATE(Einstellungen!$C$3,1,1)),MIN(J214,DATE(Einstellungen!$C$3,2,0)),Einstellungen!$F$13:$F$32)))</f>
        <v/>
      </c>
      <c r="M214" s="49">
        <f>IF(OR(A214="",D214=""),0,MAX(0,NETWORKDAYS(MAX(D214,DATE(Einstellungen!$C$3,2,1)),MIN(J214,DATE(Einstellungen!$C$3,3,0)),Einstellungen!$F$13:$F$32)))</f>
        <v/>
      </c>
      <c r="N214" s="49">
        <f>IF(OR(A214="",D214=""),0,MAX(0,NETWORKDAYS(MAX(D214,DATE(Einstellungen!$C$3,3,1)),MIN(J214,DATE(Einstellungen!$C$3,4,0)),Einstellungen!$F$13:$F$32)))</f>
        <v/>
      </c>
      <c r="O214" s="49">
        <f>IF(OR(A214="",D214=""),0,MAX(0,NETWORKDAYS(MAX(D214,DATE(Einstellungen!$C$3,4,1)),MIN(J214,DATE(Einstellungen!$C$3,5,0)),Einstellungen!$F$13:$F$32)))</f>
        <v/>
      </c>
      <c r="P214" s="49">
        <f>IF(OR(A214="",D214=""),0,MAX(0,NETWORKDAYS(MAX(D214,DATE(Einstellungen!$C$3,5,1)),MIN(J214,DATE(Einstellungen!$C$3,6,0)),Einstellungen!$F$13:$F$32)))</f>
        <v/>
      </c>
      <c r="Q214" s="49">
        <f>IF(OR(A214="",D214=""),0,MAX(0,NETWORKDAYS(MAX(D214,DATE(Einstellungen!$C$3,6,1)),MIN(J214,DATE(Einstellungen!$C$3,7,0)),Einstellungen!$F$13:$F$32)))</f>
        <v/>
      </c>
      <c r="R214" s="49">
        <f>IF(OR(A214="",D214=""),0,MAX(0,NETWORKDAYS(MAX(D214,DATE(Einstellungen!$C$3,7,1)),MIN(J214,DATE(Einstellungen!$C$3,8,0)),Einstellungen!$F$13:$F$32)))</f>
        <v/>
      </c>
      <c r="S214" s="49">
        <f>IF(OR(A214="",D214=""),0,MAX(0,NETWORKDAYS(MAX(D214,DATE(Einstellungen!$C$3,8,1)),MIN(J214,DATE(Einstellungen!$C$3,9,0)),Einstellungen!$F$13:$F$32)))</f>
        <v/>
      </c>
      <c r="T214" s="49">
        <f>IF(OR(A214="",D214=""),0,MAX(0,NETWORKDAYS(MAX(D214,DATE(Einstellungen!$C$3,9,1)),MIN(J214,DATE(Einstellungen!$C$3,10,0)),Einstellungen!$F$13:$F$32)))</f>
        <v/>
      </c>
      <c r="U214" s="49">
        <f>IF(OR(A214="",D214=""),0,MAX(0,NETWORKDAYS(MAX(D214,DATE(Einstellungen!$C$3,10,1)),MIN(J214,DATE(Einstellungen!$C$3,11,0)),Einstellungen!$F$13:$F$32)))</f>
        <v/>
      </c>
      <c r="V214" s="49">
        <f>IF(OR(A214="",D214=""),0,MAX(0,NETWORKDAYS(MAX(D214,DATE(Einstellungen!$C$3,11,1)),MIN(J214,DATE(Einstellungen!$C$3,12,0)),Einstellungen!$F$13:$F$32)))</f>
        <v/>
      </c>
      <c r="W214" s="49">
        <f>IF(OR(A214="",D214=""),0,MAX(0,NETWORKDAYS(MAX(D214,DATE(Einstellungen!$C$3,12,1)),MIN(J214,DATE(Einstellungen!$C$3,13,0)),Einstellungen!$F$13:$F$32)))</f>
        <v/>
      </c>
      <c r="X214" s="50">
        <f>L214*K214</f>
        <v/>
      </c>
      <c r="Y214" s="50">
        <f>M214*K214</f>
        <v/>
      </c>
      <c r="Z214" s="50">
        <f>N214*K214</f>
        <v/>
      </c>
      <c r="AA214" s="50">
        <f>O214*K214</f>
        <v/>
      </c>
      <c r="AB214" s="50">
        <f>P214*K214</f>
        <v/>
      </c>
      <c r="AC214" s="50">
        <f>Q214*K214</f>
        <v/>
      </c>
      <c r="AD214" s="50">
        <f>R214*K214</f>
        <v/>
      </c>
      <c r="AE214" s="50">
        <f>S214*K214</f>
        <v/>
      </c>
      <c r="AF214" s="50">
        <f>T214*K214</f>
        <v/>
      </c>
      <c r="AG214" s="50">
        <f>U214*K214</f>
        <v/>
      </c>
      <c r="AH214" s="50">
        <f>V214*K214</f>
        <v/>
      </c>
      <c r="AI214" s="50">
        <f>W214*K214</f>
        <v/>
      </c>
    </row>
    <row r="215">
      <c r="A215" s="25" t="n"/>
      <c r="B215" s="45">
        <f>IF(A215="","",IFERROR(INDEX(Mitarbeiter!$B$6:$B$205,MATCH($A215,Mitarbeiter!$A$6:$A$205,0)),"?"))</f>
        <v/>
      </c>
      <c r="C215" s="46" t="n"/>
      <c r="D215" s="26" t="n"/>
      <c r="E215" s="26" t="n"/>
      <c r="F215" s="24">
        <f>IF(A215="","",SUM(L215:W215))</f>
        <v/>
      </c>
      <c r="G215" s="36">
        <f>IF(A215="","",SUM(X215:AI215))</f>
        <v/>
      </c>
      <c r="H215" s="8">
        <f>IF(A215="","",IF(ISNA(MATCH(A215,Mitarbeiter!$A$6:$A$205,0)),"Pers.-Nr. unbekannt",IF(D215="","Von fehlt",IF(AND(C215&lt;&gt;Einstellungen!$C$4,C215&lt;&gt;Einstellungen!$C$5),"Objekt fehlt",IF(J215&lt;D215,"Bis vor Von",IF(D215&lt;INDEX(Mitarbeiter!$C$6:$C$205,MATCH($A215,Mitarbeiter!$A$6:$A$205,0)),"vor Eintritt",IF(AND(INDEX(Mitarbeiter!$D$6:$D$205,MATCH($A215,Mitarbeiter!$A$6:$A$205,0))&lt;&gt;"",D215&gt;INDEX(Mitarbeiter!$D$6:$D$205,MATCH($A215,Mitarbeiter!$A$6:$A$205,0))),"nach Austritt",IF(E215="","offen","ok"))))))))</f>
        <v/>
      </c>
      <c r="J215" s="47">
        <f>IF(A215="","",IF(E215="",Einstellungen!$C$9,E215))</f>
        <v/>
      </c>
      <c r="K215" s="48">
        <f>IF(A215="",0,IFERROR(INDEX(Mitarbeiter!$F$6:$F$205,MATCH($A215,Mitarbeiter!$A$6:$A$205,0)),0))</f>
        <v/>
      </c>
      <c r="L215" s="49">
        <f>IF(OR(A215="",D215=""),0,MAX(0,NETWORKDAYS(MAX(D215,DATE(Einstellungen!$C$3,1,1)),MIN(J215,DATE(Einstellungen!$C$3,2,0)),Einstellungen!$F$13:$F$32)))</f>
        <v/>
      </c>
      <c r="M215" s="49">
        <f>IF(OR(A215="",D215=""),0,MAX(0,NETWORKDAYS(MAX(D215,DATE(Einstellungen!$C$3,2,1)),MIN(J215,DATE(Einstellungen!$C$3,3,0)),Einstellungen!$F$13:$F$32)))</f>
        <v/>
      </c>
      <c r="N215" s="49">
        <f>IF(OR(A215="",D215=""),0,MAX(0,NETWORKDAYS(MAX(D215,DATE(Einstellungen!$C$3,3,1)),MIN(J215,DATE(Einstellungen!$C$3,4,0)),Einstellungen!$F$13:$F$32)))</f>
        <v/>
      </c>
      <c r="O215" s="49">
        <f>IF(OR(A215="",D215=""),0,MAX(0,NETWORKDAYS(MAX(D215,DATE(Einstellungen!$C$3,4,1)),MIN(J215,DATE(Einstellungen!$C$3,5,0)),Einstellungen!$F$13:$F$32)))</f>
        <v/>
      </c>
      <c r="P215" s="49">
        <f>IF(OR(A215="",D215=""),0,MAX(0,NETWORKDAYS(MAX(D215,DATE(Einstellungen!$C$3,5,1)),MIN(J215,DATE(Einstellungen!$C$3,6,0)),Einstellungen!$F$13:$F$32)))</f>
        <v/>
      </c>
      <c r="Q215" s="49">
        <f>IF(OR(A215="",D215=""),0,MAX(0,NETWORKDAYS(MAX(D215,DATE(Einstellungen!$C$3,6,1)),MIN(J215,DATE(Einstellungen!$C$3,7,0)),Einstellungen!$F$13:$F$32)))</f>
        <v/>
      </c>
      <c r="R215" s="49">
        <f>IF(OR(A215="",D215=""),0,MAX(0,NETWORKDAYS(MAX(D215,DATE(Einstellungen!$C$3,7,1)),MIN(J215,DATE(Einstellungen!$C$3,8,0)),Einstellungen!$F$13:$F$32)))</f>
        <v/>
      </c>
      <c r="S215" s="49">
        <f>IF(OR(A215="",D215=""),0,MAX(0,NETWORKDAYS(MAX(D215,DATE(Einstellungen!$C$3,8,1)),MIN(J215,DATE(Einstellungen!$C$3,9,0)),Einstellungen!$F$13:$F$32)))</f>
        <v/>
      </c>
      <c r="T215" s="49">
        <f>IF(OR(A215="",D215=""),0,MAX(0,NETWORKDAYS(MAX(D215,DATE(Einstellungen!$C$3,9,1)),MIN(J215,DATE(Einstellungen!$C$3,10,0)),Einstellungen!$F$13:$F$32)))</f>
        <v/>
      </c>
      <c r="U215" s="49">
        <f>IF(OR(A215="",D215=""),0,MAX(0,NETWORKDAYS(MAX(D215,DATE(Einstellungen!$C$3,10,1)),MIN(J215,DATE(Einstellungen!$C$3,11,0)),Einstellungen!$F$13:$F$32)))</f>
        <v/>
      </c>
      <c r="V215" s="49">
        <f>IF(OR(A215="",D215=""),0,MAX(0,NETWORKDAYS(MAX(D215,DATE(Einstellungen!$C$3,11,1)),MIN(J215,DATE(Einstellungen!$C$3,12,0)),Einstellungen!$F$13:$F$32)))</f>
        <v/>
      </c>
      <c r="W215" s="49">
        <f>IF(OR(A215="",D215=""),0,MAX(0,NETWORKDAYS(MAX(D215,DATE(Einstellungen!$C$3,12,1)),MIN(J215,DATE(Einstellungen!$C$3,13,0)),Einstellungen!$F$13:$F$32)))</f>
        <v/>
      </c>
      <c r="X215" s="50">
        <f>L215*K215</f>
        <v/>
      </c>
      <c r="Y215" s="50">
        <f>M215*K215</f>
        <v/>
      </c>
      <c r="Z215" s="50">
        <f>N215*K215</f>
        <v/>
      </c>
      <c r="AA215" s="50">
        <f>O215*K215</f>
        <v/>
      </c>
      <c r="AB215" s="50">
        <f>P215*K215</f>
        <v/>
      </c>
      <c r="AC215" s="50">
        <f>Q215*K215</f>
        <v/>
      </c>
      <c r="AD215" s="50">
        <f>R215*K215</f>
        <v/>
      </c>
      <c r="AE215" s="50">
        <f>S215*K215</f>
        <v/>
      </c>
      <c r="AF215" s="50">
        <f>T215*K215</f>
        <v/>
      </c>
      <c r="AG215" s="50">
        <f>U215*K215</f>
        <v/>
      </c>
      <c r="AH215" s="50">
        <f>V215*K215</f>
        <v/>
      </c>
      <c r="AI215" s="50">
        <f>W215*K215</f>
        <v/>
      </c>
    </row>
    <row r="216">
      <c r="A216" s="25" t="n"/>
      <c r="B216" s="45">
        <f>IF(A216="","",IFERROR(INDEX(Mitarbeiter!$B$6:$B$205,MATCH($A216,Mitarbeiter!$A$6:$A$205,0)),"?"))</f>
        <v/>
      </c>
      <c r="C216" s="46" t="n"/>
      <c r="D216" s="26" t="n"/>
      <c r="E216" s="26" t="n"/>
      <c r="F216" s="24">
        <f>IF(A216="","",SUM(L216:W216))</f>
        <v/>
      </c>
      <c r="G216" s="36">
        <f>IF(A216="","",SUM(X216:AI216))</f>
        <v/>
      </c>
      <c r="H216" s="8">
        <f>IF(A216="","",IF(ISNA(MATCH(A216,Mitarbeiter!$A$6:$A$205,0)),"Pers.-Nr. unbekannt",IF(D216="","Von fehlt",IF(AND(C216&lt;&gt;Einstellungen!$C$4,C216&lt;&gt;Einstellungen!$C$5),"Objekt fehlt",IF(J216&lt;D216,"Bis vor Von",IF(D216&lt;INDEX(Mitarbeiter!$C$6:$C$205,MATCH($A216,Mitarbeiter!$A$6:$A$205,0)),"vor Eintritt",IF(AND(INDEX(Mitarbeiter!$D$6:$D$205,MATCH($A216,Mitarbeiter!$A$6:$A$205,0))&lt;&gt;"",D216&gt;INDEX(Mitarbeiter!$D$6:$D$205,MATCH($A216,Mitarbeiter!$A$6:$A$205,0))),"nach Austritt",IF(E216="","offen","ok"))))))))</f>
        <v/>
      </c>
      <c r="J216" s="47">
        <f>IF(A216="","",IF(E216="",Einstellungen!$C$9,E216))</f>
        <v/>
      </c>
      <c r="K216" s="48">
        <f>IF(A216="",0,IFERROR(INDEX(Mitarbeiter!$F$6:$F$205,MATCH($A216,Mitarbeiter!$A$6:$A$205,0)),0))</f>
        <v/>
      </c>
      <c r="L216" s="49">
        <f>IF(OR(A216="",D216=""),0,MAX(0,NETWORKDAYS(MAX(D216,DATE(Einstellungen!$C$3,1,1)),MIN(J216,DATE(Einstellungen!$C$3,2,0)),Einstellungen!$F$13:$F$32)))</f>
        <v/>
      </c>
      <c r="M216" s="49">
        <f>IF(OR(A216="",D216=""),0,MAX(0,NETWORKDAYS(MAX(D216,DATE(Einstellungen!$C$3,2,1)),MIN(J216,DATE(Einstellungen!$C$3,3,0)),Einstellungen!$F$13:$F$32)))</f>
        <v/>
      </c>
      <c r="N216" s="49">
        <f>IF(OR(A216="",D216=""),0,MAX(0,NETWORKDAYS(MAX(D216,DATE(Einstellungen!$C$3,3,1)),MIN(J216,DATE(Einstellungen!$C$3,4,0)),Einstellungen!$F$13:$F$32)))</f>
        <v/>
      </c>
      <c r="O216" s="49">
        <f>IF(OR(A216="",D216=""),0,MAX(0,NETWORKDAYS(MAX(D216,DATE(Einstellungen!$C$3,4,1)),MIN(J216,DATE(Einstellungen!$C$3,5,0)),Einstellungen!$F$13:$F$32)))</f>
        <v/>
      </c>
      <c r="P216" s="49">
        <f>IF(OR(A216="",D216=""),0,MAX(0,NETWORKDAYS(MAX(D216,DATE(Einstellungen!$C$3,5,1)),MIN(J216,DATE(Einstellungen!$C$3,6,0)),Einstellungen!$F$13:$F$32)))</f>
        <v/>
      </c>
      <c r="Q216" s="49">
        <f>IF(OR(A216="",D216=""),0,MAX(0,NETWORKDAYS(MAX(D216,DATE(Einstellungen!$C$3,6,1)),MIN(J216,DATE(Einstellungen!$C$3,7,0)),Einstellungen!$F$13:$F$32)))</f>
        <v/>
      </c>
      <c r="R216" s="49">
        <f>IF(OR(A216="",D216=""),0,MAX(0,NETWORKDAYS(MAX(D216,DATE(Einstellungen!$C$3,7,1)),MIN(J216,DATE(Einstellungen!$C$3,8,0)),Einstellungen!$F$13:$F$32)))</f>
        <v/>
      </c>
      <c r="S216" s="49">
        <f>IF(OR(A216="",D216=""),0,MAX(0,NETWORKDAYS(MAX(D216,DATE(Einstellungen!$C$3,8,1)),MIN(J216,DATE(Einstellungen!$C$3,9,0)),Einstellungen!$F$13:$F$32)))</f>
        <v/>
      </c>
      <c r="T216" s="49">
        <f>IF(OR(A216="",D216=""),0,MAX(0,NETWORKDAYS(MAX(D216,DATE(Einstellungen!$C$3,9,1)),MIN(J216,DATE(Einstellungen!$C$3,10,0)),Einstellungen!$F$13:$F$32)))</f>
        <v/>
      </c>
      <c r="U216" s="49">
        <f>IF(OR(A216="",D216=""),0,MAX(0,NETWORKDAYS(MAX(D216,DATE(Einstellungen!$C$3,10,1)),MIN(J216,DATE(Einstellungen!$C$3,11,0)),Einstellungen!$F$13:$F$32)))</f>
        <v/>
      </c>
      <c r="V216" s="49">
        <f>IF(OR(A216="",D216=""),0,MAX(0,NETWORKDAYS(MAX(D216,DATE(Einstellungen!$C$3,11,1)),MIN(J216,DATE(Einstellungen!$C$3,12,0)),Einstellungen!$F$13:$F$32)))</f>
        <v/>
      </c>
      <c r="W216" s="49">
        <f>IF(OR(A216="",D216=""),0,MAX(0,NETWORKDAYS(MAX(D216,DATE(Einstellungen!$C$3,12,1)),MIN(J216,DATE(Einstellungen!$C$3,13,0)),Einstellungen!$F$13:$F$32)))</f>
        <v/>
      </c>
      <c r="X216" s="50">
        <f>L216*K216</f>
        <v/>
      </c>
      <c r="Y216" s="50">
        <f>M216*K216</f>
        <v/>
      </c>
      <c r="Z216" s="50">
        <f>N216*K216</f>
        <v/>
      </c>
      <c r="AA216" s="50">
        <f>O216*K216</f>
        <v/>
      </c>
      <c r="AB216" s="50">
        <f>P216*K216</f>
        <v/>
      </c>
      <c r="AC216" s="50">
        <f>Q216*K216</f>
        <v/>
      </c>
      <c r="AD216" s="50">
        <f>R216*K216</f>
        <v/>
      </c>
      <c r="AE216" s="50">
        <f>S216*K216</f>
        <v/>
      </c>
      <c r="AF216" s="50">
        <f>T216*K216</f>
        <v/>
      </c>
      <c r="AG216" s="50">
        <f>U216*K216</f>
        <v/>
      </c>
      <c r="AH216" s="50">
        <f>V216*K216</f>
        <v/>
      </c>
      <c r="AI216" s="50">
        <f>W216*K216</f>
        <v/>
      </c>
    </row>
    <row r="217">
      <c r="A217" s="25" t="n"/>
      <c r="B217" s="45">
        <f>IF(A217="","",IFERROR(INDEX(Mitarbeiter!$B$6:$B$205,MATCH($A217,Mitarbeiter!$A$6:$A$205,0)),"?"))</f>
        <v/>
      </c>
      <c r="C217" s="46" t="n"/>
      <c r="D217" s="26" t="n"/>
      <c r="E217" s="26" t="n"/>
      <c r="F217" s="24">
        <f>IF(A217="","",SUM(L217:W217))</f>
        <v/>
      </c>
      <c r="G217" s="36">
        <f>IF(A217="","",SUM(X217:AI217))</f>
        <v/>
      </c>
      <c r="H217" s="8">
        <f>IF(A217="","",IF(ISNA(MATCH(A217,Mitarbeiter!$A$6:$A$205,0)),"Pers.-Nr. unbekannt",IF(D217="","Von fehlt",IF(AND(C217&lt;&gt;Einstellungen!$C$4,C217&lt;&gt;Einstellungen!$C$5),"Objekt fehlt",IF(J217&lt;D217,"Bis vor Von",IF(D217&lt;INDEX(Mitarbeiter!$C$6:$C$205,MATCH($A217,Mitarbeiter!$A$6:$A$205,0)),"vor Eintritt",IF(AND(INDEX(Mitarbeiter!$D$6:$D$205,MATCH($A217,Mitarbeiter!$A$6:$A$205,0))&lt;&gt;"",D217&gt;INDEX(Mitarbeiter!$D$6:$D$205,MATCH($A217,Mitarbeiter!$A$6:$A$205,0))),"nach Austritt",IF(E217="","offen","ok"))))))))</f>
        <v/>
      </c>
      <c r="J217" s="47">
        <f>IF(A217="","",IF(E217="",Einstellungen!$C$9,E217))</f>
        <v/>
      </c>
      <c r="K217" s="48">
        <f>IF(A217="",0,IFERROR(INDEX(Mitarbeiter!$F$6:$F$205,MATCH($A217,Mitarbeiter!$A$6:$A$205,0)),0))</f>
        <v/>
      </c>
      <c r="L217" s="49">
        <f>IF(OR(A217="",D217=""),0,MAX(0,NETWORKDAYS(MAX(D217,DATE(Einstellungen!$C$3,1,1)),MIN(J217,DATE(Einstellungen!$C$3,2,0)),Einstellungen!$F$13:$F$32)))</f>
        <v/>
      </c>
      <c r="M217" s="49">
        <f>IF(OR(A217="",D217=""),0,MAX(0,NETWORKDAYS(MAX(D217,DATE(Einstellungen!$C$3,2,1)),MIN(J217,DATE(Einstellungen!$C$3,3,0)),Einstellungen!$F$13:$F$32)))</f>
        <v/>
      </c>
      <c r="N217" s="49">
        <f>IF(OR(A217="",D217=""),0,MAX(0,NETWORKDAYS(MAX(D217,DATE(Einstellungen!$C$3,3,1)),MIN(J217,DATE(Einstellungen!$C$3,4,0)),Einstellungen!$F$13:$F$32)))</f>
        <v/>
      </c>
      <c r="O217" s="49">
        <f>IF(OR(A217="",D217=""),0,MAX(0,NETWORKDAYS(MAX(D217,DATE(Einstellungen!$C$3,4,1)),MIN(J217,DATE(Einstellungen!$C$3,5,0)),Einstellungen!$F$13:$F$32)))</f>
        <v/>
      </c>
      <c r="P217" s="49">
        <f>IF(OR(A217="",D217=""),0,MAX(0,NETWORKDAYS(MAX(D217,DATE(Einstellungen!$C$3,5,1)),MIN(J217,DATE(Einstellungen!$C$3,6,0)),Einstellungen!$F$13:$F$32)))</f>
        <v/>
      </c>
      <c r="Q217" s="49">
        <f>IF(OR(A217="",D217=""),0,MAX(0,NETWORKDAYS(MAX(D217,DATE(Einstellungen!$C$3,6,1)),MIN(J217,DATE(Einstellungen!$C$3,7,0)),Einstellungen!$F$13:$F$32)))</f>
        <v/>
      </c>
      <c r="R217" s="49">
        <f>IF(OR(A217="",D217=""),0,MAX(0,NETWORKDAYS(MAX(D217,DATE(Einstellungen!$C$3,7,1)),MIN(J217,DATE(Einstellungen!$C$3,8,0)),Einstellungen!$F$13:$F$32)))</f>
        <v/>
      </c>
      <c r="S217" s="49">
        <f>IF(OR(A217="",D217=""),0,MAX(0,NETWORKDAYS(MAX(D217,DATE(Einstellungen!$C$3,8,1)),MIN(J217,DATE(Einstellungen!$C$3,9,0)),Einstellungen!$F$13:$F$32)))</f>
        <v/>
      </c>
      <c r="T217" s="49">
        <f>IF(OR(A217="",D217=""),0,MAX(0,NETWORKDAYS(MAX(D217,DATE(Einstellungen!$C$3,9,1)),MIN(J217,DATE(Einstellungen!$C$3,10,0)),Einstellungen!$F$13:$F$32)))</f>
        <v/>
      </c>
      <c r="U217" s="49">
        <f>IF(OR(A217="",D217=""),0,MAX(0,NETWORKDAYS(MAX(D217,DATE(Einstellungen!$C$3,10,1)),MIN(J217,DATE(Einstellungen!$C$3,11,0)),Einstellungen!$F$13:$F$32)))</f>
        <v/>
      </c>
      <c r="V217" s="49">
        <f>IF(OR(A217="",D217=""),0,MAX(0,NETWORKDAYS(MAX(D217,DATE(Einstellungen!$C$3,11,1)),MIN(J217,DATE(Einstellungen!$C$3,12,0)),Einstellungen!$F$13:$F$32)))</f>
        <v/>
      </c>
      <c r="W217" s="49">
        <f>IF(OR(A217="",D217=""),0,MAX(0,NETWORKDAYS(MAX(D217,DATE(Einstellungen!$C$3,12,1)),MIN(J217,DATE(Einstellungen!$C$3,13,0)),Einstellungen!$F$13:$F$32)))</f>
        <v/>
      </c>
      <c r="X217" s="50">
        <f>L217*K217</f>
        <v/>
      </c>
      <c r="Y217" s="50">
        <f>M217*K217</f>
        <v/>
      </c>
      <c r="Z217" s="50">
        <f>N217*K217</f>
        <v/>
      </c>
      <c r="AA217" s="50">
        <f>O217*K217</f>
        <v/>
      </c>
      <c r="AB217" s="50">
        <f>P217*K217</f>
        <v/>
      </c>
      <c r="AC217" s="50">
        <f>Q217*K217</f>
        <v/>
      </c>
      <c r="AD217" s="50">
        <f>R217*K217</f>
        <v/>
      </c>
      <c r="AE217" s="50">
        <f>S217*K217</f>
        <v/>
      </c>
      <c r="AF217" s="50">
        <f>T217*K217</f>
        <v/>
      </c>
      <c r="AG217" s="50">
        <f>U217*K217</f>
        <v/>
      </c>
      <c r="AH217" s="50">
        <f>V217*K217</f>
        <v/>
      </c>
      <c r="AI217" s="50">
        <f>W217*K217</f>
        <v/>
      </c>
    </row>
    <row r="218">
      <c r="A218" s="25" t="n"/>
      <c r="B218" s="45">
        <f>IF(A218="","",IFERROR(INDEX(Mitarbeiter!$B$6:$B$205,MATCH($A218,Mitarbeiter!$A$6:$A$205,0)),"?"))</f>
        <v/>
      </c>
      <c r="C218" s="46" t="n"/>
      <c r="D218" s="26" t="n"/>
      <c r="E218" s="26" t="n"/>
      <c r="F218" s="24">
        <f>IF(A218="","",SUM(L218:W218))</f>
        <v/>
      </c>
      <c r="G218" s="36">
        <f>IF(A218="","",SUM(X218:AI218))</f>
        <v/>
      </c>
      <c r="H218" s="8">
        <f>IF(A218="","",IF(ISNA(MATCH(A218,Mitarbeiter!$A$6:$A$205,0)),"Pers.-Nr. unbekannt",IF(D218="","Von fehlt",IF(AND(C218&lt;&gt;Einstellungen!$C$4,C218&lt;&gt;Einstellungen!$C$5),"Objekt fehlt",IF(J218&lt;D218,"Bis vor Von",IF(D218&lt;INDEX(Mitarbeiter!$C$6:$C$205,MATCH($A218,Mitarbeiter!$A$6:$A$205,0)),"vor Eintritt",IF(AND(INDEX(Mitarbeiter!$D$6:$D$205,MATCH($A218,Mitarbeiter!$A$6:$A$205,0))&lt;&gt;"",D218&gt;INDEX(Mitarbeiter!$D$6:$D$205,MATCH($A218,Mitarbeiter!$A$6:$A$205,0))),"nach Austritt",IF(E218="","offen","ok"))))))))</f>
        <v/>
      </c>
      <c r="J218" s="47">
        <f>IF(A218="","",IF(E218="",Einstellungen!$C$9,E218))</f>
        <v/>
      </c>
      <c r="K218" s="48">
        <f>IF(A218="",0,IFERROR(INDEX(Mitarbeiter!$F$6:$F$205,MATCH($A218,Mitarbeiter!$A$6:$A$205,0)),0))</f>
        <v/>
      </c>
      <c r="L218" s="49">
        <f>IF(OR(A218="",D218=""),0,MAX(0,NETWORKDAYS(MAX(D218,DATE(Einstellungen!$C$3,1,1)),MIN(J218,DATE(Einstellungen!$C$3,2,0)),Einstellungen!$F$13:$F$32)))</f>
        <v/>
      </c>
      <c r="M218" s="49">
        <f>IF(OR(A218="",D218=""),0,MAX(0,NETWORKDAYS(MAX(D218,DATE(Einstellungen!$C$3,2,1)),MIN(J218,DATE(Einstellungen!$C$3,3,0)),Einstellungen!$F$13:$F$32)))</f>
        <v/>
      </c>
      <c r="N218" s="49">
        <f>IF(OR(A218="",D218=""),0,MAX(0,NETWORKDAYS(MAX(D218,DATE(Einstellungen!$C$3,3,1)),MIN(J218,DATE(Einstellungen!$C$3,4,0)),Einstellungen!$F$13:$F$32)))</f>
        <v/>
      </c>
      <c r="O218" s="49">
        <f>IF(OR(A218="",D218=""),0,MAX(0,NETWORKDAYS(MAX(D218,DATE(Einstellungen!$C$3,4,1)),MIN(J218,DATE(Einstellungen!$C$3,5,0)),Einstellungen!$F$13:$F$32)))</f>
        <v/>
      </c>
      <c r="P218" s="49">
        <f>IF(OR(A218="",D218=""),0,MAX(0,NETWORKDAYS(MAX(D218,DATE(Einstellungen!$C$3,5,1)),MIN(J218,DATE(Einstellungen!$C$3,6,0)),Einstellungen!$F$13:$F$32)))</f>
        <v/>
      </c>
      <c r="Q218" s="49">
        <f>IF(OR(A218="",D218=""),0,MAX(0,NETWORKDAYS(MAX(D218,DATE(Einstellungen!$C$3,6,1)),MIN(J218,DATE(Einstellungen!$C$3,7,0)),Einstellungen!$F$13:$F$32)))</f>
        <v/>
      </c>
      <c r="R218" s="49">
        <f>IF(OR(A218="",D218=""),0,MAX(0,NETWORKDAYS(MAX(D218,DATE(Einstellungen!$C$3,7,1)),MIN(J218,DATE(Einstellungen!$C$3,8,0)),Einstellungen!$F$13:$F$32)))</f>
        <v/>
      </c>
      <c r="S218" s="49">
        <f>IF(OR(A218="",D218=""),0,MAX(0,NETWORKDAYS(MAX(D218,DATE(Einstellungen!$C$3,8,1)),MIN(J218,DATE(Einstellungen!$C$3,9,0)),Einstellungen!$F$13:$F$32)))</f>
        <v/>
      </c>
      <c r="T218" s="49">
        <f>IF(OR(A218="",D218=""),0,MAX(0,NETWORKDAYS(MAX(D218,DATE(Einstellungen!$C$3,9,1)),MIN(J218,DATE(Einstellungen!$C$3,10,0)),Einstellungen!$F$13:$F$32)))</f>
        <v/>
      </c>
      <c r="U218" s="49">
        <f>IF(OR(A218="",D218=""),0,MAX(0,NETWORKDAYS(MAX(D218,DATE(Einstellungen!$C$3,10,1)),MIN(J218,DATE(Einstellungen!$C$3,11,0)),Einstellungen!$F$13:$F$32)))</f>
        <v/>
      </c>
      <c r="V218" s="49">
        <f>IF(OR(A218="",D218=""),0,MAX(0,NETWORKDAYS(MAX(D218,DATE(Einstellungen!$C$3,11,1)),MIN(J218,DATE(Einstellungen!$C$3,12,0)),Einstellungen!$F$13:$F$32)))</f>
        <v/>
      </c>
      <c r="W218" s="49">
        <f>IF(OR(A218="",D218=""),0,MAX(0,NETWORKDAYS(MAX(D218,DATE(Einstellungen!$C$3,12,1)),MIN(J218,DATE(Einstellungen!$C$3,13,0)),Einstellungen!$F$13:$F$32)))</f>
        <v/>
      </c>
      <c r="X218" s="50">
        <f>L218*K218</f>
        <v/>
      </c>
      <c r="Y218" s="50">
        <f>M218*K218</f>
        <v/>
      </c>
      <c r="Z218" s="50">
        <f>N218*K218</f>
        <v/>
      </c>
      <c r="AA218" s="50">
        <f>O218*K218</f>
        <v/>
      </c>
      <c r="AB218" s="50">
        <f>P218*K218</f>
        <v/>
      </c>
      <c r="AC218" s="50">
        <f>Q218*K218</f>
        <v/>
      </c>
      <c r="AD218" s="50">
        <f>R218*K218</f>
        <v/>
      </c>
      <c r="AE218" s="50">
        <f>S218*K218</f>
        <v/>
      </c>
      <c r="AF218" s="50">
        <f>T218*K218</f>
        <v/>
      </c>
      <c r="AG218" s="50">
        <f>U218*K218</f>
        <v/>
      </c>
      <c r="AH218" s="50">
        <f>V218*K218</f>
        <v/>
      </c>
      <c r="AI218" s="50">
        <f>W218*K218</f>
        <v/>
      </c>
    </row>
    <row r="219">
      <c r="A219" s="25" t="n"/>
      <c r="B219" s="45">
        <f>IF(A219="","",IFERROR(INDEX(Mitarbeiter!$B$6:$B$205,MATCH($A219,Mitarbeiter!$A$6:$A$205,0)),"?"))</f>
        <v/>
      </c>
      <c r="C219" s="46" t="n"/>
      <c r="D219" s="26" t="n"/>
      <c r="E219" s="26" t="n"/>
      <c r="F219" s="24">
        <f>IF(A219="","",SUM(L219:W219))</f>
        <v/>
      </c>
      <c r="G219" s="36">
        <f>IF(A219="","",SUM(X219:AI219))</f>
        <v/>
      </c>
      <c r="H219" s="8">
        <f>IF(A219="","",IF(ISNA(MATCH(A219,Mitarbeiter!$A$6:$A$205,0)),"Pers.-Nr. unbekannt",IF(D219="","Von fehlt",IF(AND(C219&lt;&gt;Einstellungen!$C$4,C219&lt;&gt;Einstellungen!$C$5),"Objekt fehlt",IF(J219&lt;D219,"Bis vor Von",IF(D219&lt;INDEX(Mitarbeiter!$C$6:$C$205,MATCH($A219,Mitarbeiter!$A$6:$A$205,0)),"vor Eintritt",IF(AND(INDEX(Mitarbeiter!$D$6:$D$205,MATCH($A219,Mitarbeiter!$A$6:$A$205,0))&lt;&gt;"",D219&gt;INDEX(Mitarbeiter!$D$6:$D$205,MATCH($A219,Mitarbeiter!$A$6:$A$205,0))),"nach Austritt",IF(E219="","offen","ok"))))))))</f>
        <v/>
      </c>
      <c r="J219" s="47">
        <f>IF(A219="","",IF(E219="",Einstellungen!$C$9,E219))</f>
        <v/>
      </c>
      <c r="K219" s="48">
        <f>IF(A219="",0,IFERROR(INDEX(Mitarbeiter!$F$6:$F$205,MATCH($A219,Mitarbeiter!$A$6:$A$205,0)),0))</f>
        <v/>
      </c>
      <c r="L219" s="49">
        <f>IF(OR(A219="",D219=""),0,MAX(0,NETWORKDAYS(MAX(D219,DATE(Einstellungen!$C$3,1,1)),MIN(J219,DATE(Einstellungen!$C$3,2,0)),Einstellungen!$F$13:$F$32)))</f>
        <v/>
      </c>
      <c r="M219" s="49">
        <f>IF(OR(A219="",D219=""),0,MAX(0,NETWORKDAYS(MAX(D219,DATE(Einstellungen!$C$3,2,1)),MIN(J219,DATE(Einstellungen!$C$3,3,0)),Einstellungen!$F$13:$F$32)))</f>
        <v/>
      </c>
      <c r="N219" s="49">
        <f>IF(OR(A219="",D219=""),0,MAX(0,NETWORKDAYS(MAX(D219,DATE(Einstellungen!$C$3,3,1)),MIN(J219,DATE(Einstellungen!$C$3,4,0)),Einstellungen!$F$13:$F$32)))</f>
        <v/>
      </c>
      <c r="O219" s="49">
        <f>IF(OR(A219="",D219=""),0,MAX(0,NETWORKDAYS(MAX(D219,DATE(Einstellungen!$C$3,4,1)),MIN(J219,DATE(Einstellungen!$C$3,5,0)),Einstellungen!$F$13:$F$32)))</f>
        <v/>
      </c>
      <c r="P219" s="49">
        <f>IF(OR(A219="",D219=""),0,MAX(0,NETWORKDAYS(MAX(D219,DATE(Einstellungen!$C$3,5,1)),MIN(J219,DATE(Einstellungen!$C$3,6,0)),Einstellungen!$F$13:$F$32)))</f>
        <v/>
      </c>
      <c r="Q219" s="49">
        <f>IF(OR(A219="",D219=""),0,MAX(0,NETWORKDAYS(MAX(D219,DATE(Einstellungen!$C$3,6,1)),MIN(J219,DATE(Einstellungen!$C$3,7,0)),Einstellungen!$F$13:$F$32)))</f>
        <v/>
      </c>
      <c r="R219" s="49">
        <f>IF(OR(A219="",D219=""),0,MAX(0,NETWORKDAYS(MAX(D219,DATE(Einstellungen!$C$3,7,1)),MIN(J219,DATE(Einstellungen!$C$3,8,0)),Einstellungen!$F$13:$F$32)))</f>
        <v/>
      </c>
      <c r="S219" s="49">
        <f>IF(OR(A219="",D219=""),0,MAX(0,NETWORKDAYS(MAX(D219,DATE(Einstellungen!$C$3,8,1)),MIN(J219,DATE(Einstellungen!$C$3,9,0)),Einstellungen!$F$13:$F$32)))</f>
        <v/>
      </c>
      <c r="T219" s="49">
        <f>IF(OR(A219="",D219=""),0,MAX(0,NETWORKDAYS(MAX(D219,DATE(Einstellungen!$C$3,9,1)),MIN(J219,DATE(Einstellungen!$C$3,10,0)),Einstellungen!$F$13:$F$32)))</f>
        <v/>
      </c>
      <c r="U219" s="49">
        <f>IF(OR(A219="",D219=""),0,MAX(0,NETWORKDAYS(MAX(D219,DATE(Einstellungen!$C$3,10,1)),MIN(J219,DATE(Einstellungen!$C$3,11,0)),Einstellungen!$F$13:$F$32)))</f>
        <v/>
      </c>
      <c r="V219" s="49">
        <f>IF(OR(A219="",D219=""),0,MAX(0,NETWORKDAYS(MAX(D219,DATE(Einstellungen!$C$3,11,1)),MIN(J219,DATE(Einstellungen!$C$3,12,0)),Einstellungen!$F$13:$F$32)))</f>
        <v/>
      </c>
      <c r="W219" s="49">
        <f>IF(OR(A219="",D219=""),0,MAX(0,NETWORKDAYS(MAX(D219,DATE(Einstellungen!$C$3,12,1)),MIN(J219,DATE(Einstellungen!$C$3,13,0)),Einstellungen!$F$13:$F$32)))</f>
        <v/>
      </c>
      <c r="X219" s="50">
        <f>L219*K219</f>
        <v/>
      </c>
      <c r="Y219" s="50">
        <f>M219*K219</f>
        <v/>
      </c>
      <c r="Z219" s="50">
        <f>N219*K219</f>
        <v/>
      </c>
      <c r="AA219" s="50">
        <f>O219*K219</f>
        <v/>
      </c>
      <c r="AB219" s="50">
        <f>P219*K219</f>
        <v/>
      </c>
      <c r="AC219" s="50">
        <f>Q219*K219</f>
        <v/>
      </c>
      <c r="AD219" s="50">
        <f>R219*K219</f>
        <v/>
      </c>
      <c r="AE219" s="50">
        <f>S219*K219</f>
        <v/>
      </c>
      <c r="AF219" s="50">
        <f>T219*K219</f>
        <v/>
      </c>
      <c r="AG219" s="50">
        <f>U219*K219</f>
        <v/>
      </c>
      <c r="AH219" s="50">
        <f>V219*K219</f>
        <v/>
      </c>
      <c r="AI219" s="50">
        <f>W219*K219</f>
        <v/>
      </c>
    </row>
    <row r="220">
      <c r="A220" s="25" t="n"/>
      <c r="B220" s="45">
        <f>IF(A220="","",IFERROR(INDEX(Mitarbeiter!$B$6:$B$205,MATCH($A220,Mitarbeiter!$A$6:$A$205,0)),"?"))</f>
        <v/>
      </c>
      <c r="C220" s="46" t="n"/>
      <c r="D220" s="26" t="n"/>
      <c r="E220" s="26" t="n"/>
      <c r="F220" s="24">
        <f>IF(A220="","",SUM(L220:W220))</f>
        <v/>
      </c>
      <c r="G220" s="36">
        <f>IF(A220="","",SUM(X220:AI220))</f>
        <v/>
      </c>
      <c r="H220" s="8">
        <f>IF(A220="","",IF(ISNA(MATCH(A220,Mitarbeiter!$A$6:$A$205,0)),"Pers.-Nr. unbekannt",IF(D220="","Von fehlt",IF(AND(C220&lt;&gt;Einstellungen!$C$4,C220&lt;&gt;Einstellungen!$C$5),"Objekt fehlt",IF(J220&lt;D220,"Bis vor Von",IF(D220&lt;INDEX(Mitarbeiter!$C$6:$C$205,MATCH($A220,Mitarbeiter!$A$6:$A$205,0)),"vor Eintritt",IF(AND(INDEX(Mitarbeiter!$D$6:$D$205,MATCH($A220,Mitarbeiter!$A$6:$A$205,0))&lt;&gt;"",D220&gt;INDEX(Mitarbeiter!$D$6:$D$205,MATCH($A220,Mitarbeiter!$A$6:$A$205,0))),"nach Austritt",IF(E220="","offen","ok"))))))))</f>
        <v/>
      </c>
      <c r="J220" s="47">
        <f>IF(A220="","",IF(E220="",Einstellungen!$C$9,E220))</f>
        <v/>
      </c>
      <c r="K220" s="48">
        <f>IF(A220="",0,IFERROR(INDEX(Mitarbeiter!$F$6:$F$205,MATCH($A220,Mitarbeiter!$A$6:$A$205,0)),0))</f>
        <v/>
      </c>
      <c r="L220" s="49">
        <f>IF(OR(A220="",D220=""),0,MAX(0,NETWORKDAYS(MAX(D220,DATE(Einstellungen!$C$3,1,1)),MIN(J220,DATE(Einstellungen!$C$3,2,0)),Einstellungen!$F$13:$F$32)))</f>
        <v/>
      </c>
      <c r="M220" s="49">
        <f>IF(OR(A220="",D220=""),0,MAX(0,NETWORKDAYS(MAX(D220,DATE(Einstellungen!$C$3,2,1)),MIN(J220,DATE(Einstellungen!$C$3,3,0)),Einstellungen!$F$13:$F$32)))</f>
        <v/>
      </c>
      <c r="N220" s="49">
        <f>IF(OR(A220="",D220=""),0,MAX(0,NETWORKDAYS(MAX(D220,DATE(Einstellungen!$C$3,3,1)),MIN(J220,DATE(Einstellungen!$C$3,4,0)),Einstellungen!$F$13:$F$32)))</f>
        <v/>
      </c>
      <c r="O220" s="49">
        <f>IF(OR(A220="",D220=""),0,MAX(0,NETWORKDAYS(MAX(D220,DATE(Einstellungen!$C$3,4,1)),MIN(J220,DATE(Einstellungen!$C$3,5,0)),Einstellungen!$F$13:$F$32)))</f>
        <v/>
      </c>
      <c r="P220" s="49">
        <f>IF(OR(A220="",D220=""),0,MAX(0,NETWORKDAYS(MAX(D220,DATE(Einstellungen!$C$3,5,1)),MIN(J220,DATE(Einstellungen!$C$3,6,0)),Einstellungen!$F$13:$F$32)))</f>
        <v/>
      </c>
      <c r="Q220" s="49">
        <f>IF(OR(A220="",D220=""),0,MAX(0,NETWORKDAYS(MAX(D220,DATE(Einstellungen!$C$3,6,1)),MIN(J220,DATE(Einstellungen!$C$3,7,0)),Einstellungen!$F$13:$F$32)))</f>
        <v/>
      </c>
      <c r="R220" s="49">
        <f>IF(OR(A220="",D220=""),0,MAX(0,NETWORKDAYS(MAX(D220,DATE(Einstellungen!$C$3,7,1)),MIN(J220,DATE(Einstellungen!$C$3,8,0)),Einstellungen!$F$13:$F$32)))</f>
        <v/>
      </c>
      <c r="S220" s="49">
        <f>IF(OR(A220="",D220=""),0,MAX(0,NETWORKDAYS(MAX(D220,DATE(Einstellungen!$C$3,8,1)),MIN(J220,DATE(Einstellungen!$C$3,9,0)),Einstellungen!$F$13:$F$32)))</f>
        <v/>
      </c>
      <c r="T220" s="49">
        <f>IF(OR(A220="",D220=""),0,MAX(0,NETWORKDAYS(MAX(D220,DATE(Einstellungen!$C$3,9,1)),MIN(J220,DATE(Einstellungen!$C$3,10,0)),Einstellungen!$F$13:$F$32)))</f>
        <v/>
      </c>
      <c r="U220" s="49">
        <f>IF(OR(A220="",D220=""),0,MAX(0,NETWORKDAYS(MAX(D220,DATE(Einstellungen!$C$3,10,1)),MIN(J220,DATE(Einstellungen!$C$3,11,0)),Einstellungen!$F$13:$F$32)))</f>
        <v/>
      </c>
      <c r="V220" s="49">
        <f>IF(OR(A220="",D220=""),0,MAX(0,NETWORKDAYS(MAX(D220,DATE(Einstellungen!$C$3,11,1)),MIN(J220,DATE(Einstellungen!$C$3,12,0)),Einstellungen!$F$13:$F$32)))</f>
        <v/>
      </c>
      <c r="W220" s="49">
        <f>IF(OR(A220="",D220=""),0,MAX(0,NETWORKDAYS(MAX(D220,DATE(Einstellungen!$C$3,12,1)),MIN(J220,DATE(Einstellungen!$C$3,13,0)),Einstellungen!$F$13:$F$32)))</f>
        <v/>
      </c>
      <c r="X220" s="50">
        <f>L220*K220</f>
        <v/>
      </c>
      <c r="Y220" s="50">
        <f>M220*K220</f>
        <v/>
      </c>
      <c r="Z220" s="50">
        <f>N220*K220</f>
        <v/>
      </c>
      <c r="AA220" s="50">
        <f>O220*K220</f>
        <v/>
      </c>
      <c r="AB220" s="50">
        <f>P220*K220</f>
        <v/>
      </c>
      <c r="AC220" s="50">
        <f>Q220*K220</f>
        <v/>
      </c>
      <c r="AD220" s="50">
        <f>R220*K220</f>
        <v/>
      </c>
      <c r="AE220" s="50">
        <f>S220*K220</f>
        <v/>
      </c>
      <c r="AF220" s="50">
        <f>T220*K220</f>
        <v/>
      </c>
      <c r="AG220" s="50">
        <f>U220*K220</f>
        <v/>
      </c>
      <c r="AH220" s="50">
        <f>V220*K220</f>
        <v/>
      </c>
      <c r="AI220" s="50">
        <f>W220*K220</f>
        <v/>
      </c>
    </row>
    <row r="221">
      <c r="A221" s="25" t="n"/>
      <c r="B221" s="45">
        <f>IF(A221="","",IFERROR(INDEX(Mitarbeiter!$B$6:$B$205,MATCH($A221,Mitarbeiter!$A$6:$A$205,0)),"?"))</f>
        <v/>
      </c>
      <c r="C221" s="46" t="n"/>
      <c r="D221" s="26" t="n"/>
      <c r="E221" s="26" t="n"/>
      <c r="F221" s="24">
        <f>IF(A221="","",SUM(L221:W221))</f>
        <v/>
      </c>
      <c r="G221" s="36">
        <f>IF(A221="","",SUM(X221:AI221))</f>
        <v/>
      </c>
      <c r="H221" s="8">
        <f>IF(A221="","",IF(ISNA(MATCH(A221,Mitarbeiter!$A$6:$A$205,0)),"Pers.-Nr. unbekannt",IF(D221="","Von fehlt",IF(AND(C221&lt;&gt;Einstellungen!$C$4,C221&lt;&gt;Einstellungen!$C$5),"Objekt fehlt",IF(J221&lt;D221,"Bis vor Von",IF(D221&lt;INDEX(Mitarbeiter!$C$6:$C$205,MATCH($A221,Mitarbeiter!$A$6:$A$205,0)),"vor Eintritt",IF(AND(INDEX(Mitarbeiter!$D$6:$D$205,MATCH($A221,Mitarbeiter!$A$6:$A$205,0))&lt;&gt;"",D221&gt;INDEX(Mitarbeiter!$D$6:$D$205,MATCH($A221,Mitarbeiter!$A$6:$A$205,0))),"nach Austritt",IF(E221="","offen","ok"))))))))</f>
        <v/>
      </c>
      <c r="J221" s="47">
        <f>IF(A221="","",IF(E221="",Einstellungen!$C$9,E221))</f>
        <v/>
      </c>
      <c r="K221" s="48">
        <f>IF(A221="",0,IFERROR(INDEX(Mitarbeiter!$F$6:$F$205,MATCH($A221,Mitarbeiter!$A$6:$A$205,0)),0))</f>
        <v/>
      </c>
      <c r="L221" s="49">
        <f>IF(OR(A221="",D221=""),0,MAX(0,NETWORKDAYS(MAX(D221,DATE(Einstellungen!$C$3,1,1)),MIN(J221,DATE(Einstellungen!$C$3,2,0)),Einstellungen!$F$13:$F$32)))</f>
        <v/>
      </c>
      <c r="M221" s="49">
        <f>IF(OR(A221="",D221=""),0,MAX(0,NETWORKDAYS(MAX(D221,DATE(Einstellungen!$C$3,2,1)),MIN(J221,DATE(Einstellungen!$C$3,3,0)),Einstellungen!$F$13:$F$32)))</f>
        <v/>
      </c>
      <c r="N221" s="49">
        <f>IF(OR(A221="",D221=""),0,MAX(0,NETWORKDAYS(MAX(D221,DATE(Einstellungen!$C$3,3,1)),MIN(J221,DATE(Einstellungen!$C$3,4,0)),Einstellungen!$F$13:$F$32)))</f>
        <v/>
      </c>
      <c r="O221" s="49">
        <f>IF(OR(A221="",D221=""),0,MAX(0,NETWORKDAYS(MAX(D221,DATE(Einstellungen!$C$3,4,1)),MIN(J221,DATE(Einstellungen!$C$3,5,0)),Einstellungen!$F$13:$F$32)))</f>
        <v/>
      </c>
      <c r="P221" s="49">
        <f>IF(OR(A221="",D221=""),0,MAX(0,NETWORKDAYS(MAX(D221,DATE(Einstellungen!$C$3,5,1)),MIN(J221,DATE(Einstellungen!$C$3,6,0)),Einstellungen!$F$13:$F$32)))</f>
        <v/>
      </c>
      <c r="Q221" s="49">
        <f>IF(OR(A221="",D221=""),0,MAX(0,NETWORKDAYS(MAX(D221,DATE(Einstellungen!$C$3,6,1)),MIN(J221,DATE(Einstellungen!$C$3,7,0)),Einstellungen!$F$13:$F$32)))</f>
        <v/>
      </c>
      <c r="R221" s="49">
        <f>IF(OR(A221="",D221=""),0,MAX(0,NETWORKDAYS(MAX(D221,DATE(Einstellungen!$C$3,7,1)),MIN(J221,DATE(Einstellungen!$C$3,8,0)),Einstellungen!$F$13:$F$32)))</f>
        <v/>
      </c>
      <c r="S221" s="49">
        <f>IF(OR(A221="",D221=""),0,MAX(0,NETWORKDAYS(MAX(D221,DATE(Einstellungen!$C$3,8,1)),MIN(J221,DATE(Einstellungen!$C$3,9,0)),Einstellungen!$F$13:$F$32)))</f>
        <v/>
      </c>
      <c r="T221" s="49">
        <f>IF(OR(A221="",D221=""),0,MAX(0,NETWORKDAYS(MAX(D221,DATE(Einstellungen!$C$3,9,1)),MIN(J221,DATE(Einstellungen!$C$3,10,0)),Einstellungen!$F$13:$F$32)))</f>
        <v/>
      </c>
      <c r="U221" s="49">
        <f>IF(OR(A221="",D221=""),0,MAX(0,NETWORKDAYS(MAX(D221,DATE(Einstellungen!$C$3,10,1)),MIN(J221,DATE(Einstellungen!$C$3,11,0)),Einstellungen!$F$13:$F$32)))</f>
        <v/>
      </c>
      <c r="V221" s="49">
        <f>IF(OR(A221="",D221=""),0,MAX(0,NETWORKDAYS(MAX(D221,DATE(Einstellungen!$C$3,11,1)),MIN(J221,DATE(Einstellungen!$C$3,12,0)),Einstellungen!$F$13:$F$32)))</f>
        <v/>
      </c>
      <c r="W221" s="49">
        <f>IF(OR(A221="",D221=""),0,MAX(0,NETWORKDAYS(MAX(D221,DATE(Einstellungen!$C$3,12,1)),MIN(J221,DATE(Einstellungen!$C$3,13,0)),Einstellungen!$F$13:$F$32)))</f>
        <v/>
      </c>
      <c r="X221" s="50">
        <f>L221*K221</f>
        <v/>
      </c>
      <c r="Y221" s="50">
        <f>M221*K221</f>
        <v/>
      </c>
      <c r="Z221" s="50">
        <f>N221*K221</f>
        <v/>
      </c>
      <c r="AA221" s="50">
        <f>O221*K221</f>
        <v/>
      </c>
      <c r="AB221" s="50">
        <f>P221*K221</f>
        <v/>
      </c>
      <c r="AC221" s="50">
        <f>Q221*K221</f>
        <v/>
      </c>
      <c r="AD221" s="50">
        <f>R221*K221</f>
        <v/>
      </c>
      <c r="AE221" s="50">
        <f>S221*K221</f>
        <v/>
      </c>
      <c r="AF221" s="50">
        <f>T221*K221</f>
        <v/>
      </c>
      <c r="AG221" s="50">
        <f>U221*K221</f>
        <v/>
      </c>
      <c r="AH221" s="50">
        <f>V221*K221</f>
        <v/>
      </c>
      <c r="AI221" s="50">
        <f>W221*K221</f>
        <v/>
      </c>
    </row>
    <row r="222">
      <c r="A222" s="25" t="n"/>
      <c r="B222" s="45">
        <f>IF(A222="","",IFERROR(INDEX(Mitarbeiter!$B$6:$B$205,MATCH($A222,Mitarbeiter!$A$6:$A$205,0)),"?"))</f>
        <v/>
      </c>
      <c r="C222" s="46" t="n"/>
      <c r="D222" s="26" t="n"/>
      <c r="E222" s="26" t="n"/>
      <c r="F222" s="24">
        <f>IF(A222="","",SUM(L222:W222))</f>
        <v/>
      </c>
      <c r="G222" s="36">
        <f>IF(A222="","",SUM(X222:AI222))</f>
        <v/>
      </c>
      <c r="H222" s="8">
        <f>IF(A222="","",IF(ISNA(MATCH(A222,Mitarbeiter!$A$6:$A$205,0)),"Pers.-Nr. unbekannt",IF(D222="","Von fehlt",IF(AND(C222&lt;&gt;Einstellungen!$C$4,C222&lt;&gt;Einstellungen!$C$5),"Objekt fehlt",IF(J222&lt;D222,"Bis vor Von",IF(D222&lt;INDEX(Mitarbeiter!$C$6:$C$205,MATCH($A222,Mitarbeiter!$A$6:$A$205,0)),"vor Eintritt",IF(AND(INDEX(Mitarbeiter!$D$6:$D$205,MATCH($A222,Mitarbeiter!$A$6:$A$205,0))&lt;&gt;"",D222&gt;INDEX(Mitarbeiter!$D$6:$D$205,MATCH($A222,Mitarbeiter!$A$6:$A$205,0))),"nach Austritt",IF(E222="","offen","ok"))))))))</f>
        <v/>
      </c>
      <c r="J222" s="47">
        <f>IF(A222="","",IF(E222="",Einstellungen!$C$9,E222))</f>
        <v/>
      </c>
      <c r="K222" s="48">
        <f>IF(A222="",0,IFERROR(INDEX(Mitarbeiter!$F$6:$F$205,MATCH($A222,Mitarbeiter!$A$6:$A$205,0)),0))</f>
        <v/>
      </c>
      <c r="L222" s="49">
        <f>IF(OR(A222="",D222=""),0,MAX(0,NETWORKDAYS(MAX(D222,DATE(Einstellungen!$C$3,1,1)),MIN(J222,DATE(Einstellungen!$C$3,2,0)),Einstellungen!$F$13:$F$32)))</f>
        <v/>
      </c>
      <c r="M222" s="49">
        <f>IF(OR(A222="",D222=""),0,MAX(0,NETWORKDAYS(MAX(D222,DATE(Einstellungen!$C$3,2,1)),MIN(J222,DATE(Einstellungen!$C$3,3,0)),Einstellungen!$F$13:$F$32)))</f>
        <v/>
      </c>
      <c r="N222" s="49">
        <f>IF(OR(A222="",D222=""),0,MAX(0,NETWORKDAYS(MAX(D222,DATE(Einstellungen!$C$3,3,1)),MIN(J222,DATE(Einstellungen!$C$3,4,0)),Einstellungen!$F$13:$F$32)))</f>
        <v/>
      </c>
      <c r="O222" s="49">
        <f>IF(OR(A222="",D222=""),0,MAX(0,NETWORKDAYS(MAX(D222,DATE(Einstellungen!$C$3,4,1)),MIN(J222,DATE(Einstellungen!$C$3,5,0)),Einstellungen!$F$13:$F$32)))</f>
        <v/>
      </c>
      <c r="P222" s="49">
        <f>IF(OR(A222="",D222=""),0,MAX(0,NETWORKDAYS(MAX(D222,DATE(Einstellungen!$C$3,5,1)),MIN(J222,DATE(Einstellungen!$C$3,6,0)),Einstellungen!$F$13:$F$32)))</f>
        <v/>
      </c>
      <c r="Q222" s="49">
        <f>IF(OR(A222="",D222=""),0,MAX(0,NETWORKDAYS(MAX(D222,DATE(Einstellungen!$C$3,6,1)),MIN(J222,DATE(Einstellungen!$C$3,7,0)),Einstellungen!$F$13:$F$32)))</f>
        <v/>
      </c>
      <c r="R222" s="49">
        <f>IF(OR(A222="",D222=""),0,MAX(0,NETWORKDAYS(MAX(D222,DATE(Einstellungen!$C$3,7,1)),MIN(J222,DATE(Einstellungen!$C$3,8,0)),Einstellungen!$F$13:$F$32)))</f>
        <v/>
      </c>
      <c r="S222" s="49">
        <f>IF(OR(A222="",D222=""),0,MAX(0,NETWORKDAYS(MAX(D222,DATE(Einstellungen!$C$3,8,1)),MIN(J222,DATE(Einstellungen!$C$3,9,0)),Einstellungen!$F$13:$F$32)))</f>
        <v/>
      </c>
      <c r="T222" s="49">
        <f>IF(OR(A222="",D222=""),0,MAX(0,NETWORKDAYS(MAX(D222,DATE(Einstellungen!$C$3,9,1)),MIN(J222,DATE(Einstellungen!$C$3,10,0)),Einstellungen!$F$13:$F$32)))</f>
        <v/>
      </c>
      <c r="U222" s="49">
        <f>IF(OR(A222="",D222=""),0,MAX(0,NETWORKDAYS(MAX(D222,DATE(Einstellungen!$C$3,10,1)),MIN(J222,DATE(Einstellungen!$C$3,11,0)),Einstellungen!$F$13:$F$32)))</f>
        <v/>
      </c>
      <c r="V222" s="49">
        <f>IF(OR(A222="",D222=""),0,MAX(0,NETWORKDAYS(MAX(D222,DATE(Einstellungen!$C$3,11,1)),MIN(J222,DATE(Einstellungen!$C$3,12,0)),Einstellungen!$F$13:$F$32)))</f>
        <v/>
      </c>
      <c r="W222" s="49">
        <f>IF(OR(A222="",D222=""),0,MAX(0,NETWORKDAYS(MAX(D222,DATE(Einstellungen!$C$3,12,1)),MIN(J222,DATE(Einstellungen!$C$3,13,0)),Einstellungen!$F$13:$F$32)))</f>
        <v/>
      </c>
      <c r="X222" s="50">
        <f>L222*K222</f>
        <v/>
      </c>
      <c r="Y222" s="50">
        <f>M222*K222</f>
        <v/>
      </c>
      <c r="Z222" s="50">
        <f>N222*K222</f>
        <v/>
      </c>
      <c r="AA222" s="50">
        <f>O222*K222</f>
        <v/>
      </c>
      <c r="AB222" s="50">
        <f>P222*K222</f>
        <v/>
      </c>
      <c r="AC222" s="50">
        <f>Q222*K222</f>
        <v/>
      </c>
      <c r="AD222" s="50">
        <f>R222*K222</f>
        <v/>
      </c>
      <c r="AE222" s="50">
        <f>S222*K222</f>
        <v/>
      </c>
      <c r="AF222" s="50">
        <f>T222*K222</f>
        <v/>
      </c>
      <c r="AG222" s="50">
        <f>U222*K222</f>
        <v/>
      </c>
      <c r="AH222" s="50">
        <f>V222*K222</f>
        <v/>
      </c>
      <c r="AI222" s="50">
        <f>W222*K222</f>
        <v/>
      </c>
    </row>
    <row r="223">
      <c r="A223" s="25" t="n"/>
      <c r="B223" s="45">
        <f>IF(A223="","",IFERROR(INDEX(Mitarbeiter!$B$6:$B$205,MATCH($A223,Mitarbeiter!$A$6:$A$205,0)),"?"))</f>
        <v/>
      </c>
      <c r="C223" s="46" t="n"/>
      <c r="D223" s="26" t="n"/>
      <c r="E223" s="26" t="n"/>
      <c r="F223" s="24">
        <f>IF(A223="","",SUM(L223:W223))</f>
        <v/>
      </c>
      <c r="G223" s="36">
        <f>IF(A223="","",SUM(X223:AI223))</f>
        <v/>
      </c>
      <c r="H223" s="8">
        <f>IF(A223="","",IF(ISNA(MATCH(A223,Mitarbeiter!$A$6:$A$205,0)),"Pers.-Nr. unbekannt",IF(D223="","Von fehlt",IF(AND(C223&lt;&gt;Einstellungen!$C$4,C223&lt;&gt;Einstellungen!$C$5),"Objekt fehlt",IF(J223&lt;D223,"Bis vor Von",IF(D223&lt;INDEX(Mitarbeiter!$C$6:$C$205,MATCH($A223,Mitarbeiter!$A$6:$A$205,0)),"vor Eintritt",IF(AND(INDEX(Mitarbeiter!$D$6:$D$205,MATCH($A223,Mitarbeiter!$A$6:$A$205,0))&lt;&gt;"",D223&gt;INDEX(Mitarbeiter!$D$6:$D$205,MATCH($A223,Mitarbeiter!$A$6:$A$205,0))),"nach Austritt",IF(E223="","offen","ok"))))))))</f>
        <v/>
      </c>
      <c r="J223" s="47">
        <f>IF(A223="","",IF(E223="",Einstellungen!$C$9,E223))</f>
        <v/>
      </c>
      <c r="K223" s="48">
        <f>IF(A223="",0,IFERROR(INDEX(Mitarbeiter!$F$6:$F$205,MATCH($A223,Mitarbeiter!$A$6:$A$205,0)),0))</f>
        <v/>
      </c>
      <c r="L223" s="49">
        <f>IF(OR(A223="",D223=""),0,MAX(0,NETWORKDAYS(MAX(D223,DATE(Einstellungen!$C$3,1,1)),MIN(J223,DATE(Einstellungen!$C$3,2,0)),Einstellungen!$F$13:$F$32)))</f>
        <v/>
      </c>
      <c r="M223" s="49">
        <f>IF(OR(A223="",D223=""),0,MAX(0,NETWORKDAYS(MAX(D223,DATE(Einstellungen!$C$3,2,1)),MIN(J223,DATE(Einstellungen!$C$3,3,0)),Einstellungen!$F$13:$F$32)))</f>
        <v/>
      </c>
      <c r="N223" s="49">
        <f>IF(OR(A223="",D223=""),0,MAX(0,NETWORKDAYS(MAX(D223,DATE(Einstellungen!$C$3,3,1)),MIN(J223,DATE(Einstellungen!$C$3,4,0)),Einstellungen!$F$13:$F$32)))</f>
        <v/>
      </c>
      <c r="O223" s="49">
        <f>IF(OR(A223="",D223=""),0,MAX(0,NETWORKDAYS(MAX(D223,DATE(Einstellungen!$C$3,4,1)),MIN(J223,DATE(Einstellungen!$C$3,5,0)),Einstellungen!$F$13:$F$32)))</f>
        <v/>
      </c>
      <c r="P223" s="49">
        <f>IF(OR(A223="",D223=""),0,MAX(0,NETWORKDAYS(MAX(D223,DATE(Einstellungen!$C$3,5,1)),MIN(J223,DATE(Einstellungen!$C$3,6,0)),Einstellungen!$F$13:$F$32)))</f>
        <v/>
      </c>
      <c r="Q223" s="49">
        <f>IF(OR(A223="",D223=""),0,MAX(0,NETWORKDAYS(MAX(D223,DATE(Einstellungen!$C$3,6,1)),MIN(J223,DATE(Einstellungen!$C$3,7,0)),Einstellungen!$F$13:$F$32)))</f>
        <v/>
      </c>
      <c r="R223" s="49">
        <f>IF(OR(A223="",D223=""),0,MAX(0,NETWORKDAYS(MAX(D223,DATE(Einstellungen!$C$3,7,1)),MIN(J223,DATE(Einstellungen!$C$3,8,0)),Einstellungen!$F$13:$F$32)))</f>
        <v/>
      </c>
      <c r="S223" s="49">
        <f>IF(OR(A223="",D223=""),0,MAX(0,NETWORKDAYS(MAX(D223,DATE(Einstellungen!$C$3,8,1)),MIN(J223,DATE(Einstellungen!$C$3,9,0)),Einstellungen!$F$13:$F$32)))</f>
        <v/>
      </c>
      <c r="T223" s="49">
        <f>IF(OR(A223="",D223=""),0,MAX(0,NETWORKDAYS(MAX(D223,DATE(Einstellungen!$C$3,9,1)),MIN(J223,DATE(Einstellungen!$C$3,10,0)),Einstellungen!$F$13:$F$32)))</f>
        <v/>
      </c>
      <c r="U223" s="49">
        <f>IF(OR(A223="",D223=""),0,MAX(0,NETWORKDAYS(MAX(D223,DATE(Einstellungen!$C$3,10,1)),MIN(J223,DATE(Einstellungen!$C$3,11,0)),Einstellungen!$F$13:$F$32)))</f>
        <v/>
      </c>
      <c r="V223" s="49">
        <f>IF(OR(A223="",D223=""),0,MAX(0,NETWORKDAYS(MAX(D223,DATE(Einstellungen!$C$3,11,1)),MIN(J223,DATE(Einstellungen!$C$3,12,0)),Einstellungen!$F$13:$F$32)))</f>
        <v/>
      </c>
      <c r="W223" s="49">
        <f>IF(OR(A223="",D223=""),0,MAX(0,NETWORKDAYS(MAX(D223,DATE(Einstellungen!$C$3,12,1)),MIN(J223,DATE(Einstellungen!$C$3,13,0)),Einstellungen!$F$13:$F$32)))</f>
        <v/>
      </c>
      <c r="X223" s="50">
        <f>L223*K223</f>
        <v/>
      </c>
      <c r="Y223" s="50">
        <f>M223*K223</f>
        <v/>
      </c>
      <c r="Z223" s="50">
        <f>N223*K223</f>
        <v/>
      </c>
      <c r="AA223" s="50">
        <f>O223*K223</f>
        <v/>
      </c>
      <c r="AB223" s="50">
        <f>P223*K223</f>
        <v/>
      </c>
      <c r="AC223" s="50">
        <f>Q223*K223</f>
        <v/>
      </c>
      <c r="AD223" s="50">
        <f>R223*K223</f>
        <v/>
      </c>
      <c r="AE223" s="50">
        <f>S223*K223</f>
        <v/>
      </c>
      <c r="AF223" s="50">
        <f>T223*K223</f>
        <v/>
      </c>
      <c r="AG223" s="50">
        <f>U223*K223</f>
        <v/>
      </c>
      <c r="AH223" s="50">
        <f>V223*K223</f>
        <v/>
      </c>
      <c r="AI223" s="50">
        <f>W223*K223</f>
        <v/>
      </c>
    </row>
    <row r="224">
      <c r="A224" s="25" t="n"/>
      <c r="B224" s="45">
        <f>IF(A224="","",IFERROR(INDEX(Mitarbeiter!$B$6:$B$205,MATCH($A224,Mitarbeiter!$A$6:$A$205,0)),"?"))</f>
        <v/>
      </c>
      <c r="C224" s="46" t="n"/>
      <c r="D224" s="26" t="n"/>
      <c r="E224" s="26" t="n"/>
      <c r="F224" s="24">
        <f>IF(A224="","",SUM(L224:W224))</f>
        <v/>
      </c>
      <c r="G224" s="36">
        <f>IF(A224="","",SUM(X224:AI224))</f>
        <v/>
      </c>
      <c r="H224" s="8">
        <f>IF(A224="","",IF(ISNA(MATCH(A224,Mitarbeiter!$A$6:$A$205,0)),"Pers.-Nr. unbekannt",IF(D224="","Von fehlt",IF(AND(C224&lt;&gt;Einstellungen!$C$4,C224&lt;&gt;Einstellungen!$C$5),"Objekt fehlt",IF(J224&lt;D224,"Bis vor Von",IF(D224&lt;INDEX(Mitarbeiter!$C$6:$C$205,MATCH($A224,Mitarbeiter!$A$6:$A$205,0)),"vor Eintritt",IF(AND(INDEX(Mitarbeiter!$D$6:$D$205,MATCH($A224,Mitarbeiter!$A$6:$A$205,0))&lt;&gt;"",D224&gt;INDEX(Mitarbeiter!$D$6:$D$205,MATCH($A224,Mitarbeiter!$A$6:$A$205,0))),"nach Austritt",IF(E224="","offen","ok"))))))))</f>
        <v/>
      </c>
      <c r="J224" s="47">
        <f>IF(A224="","",IF(E224="",Einstellungen!$C$9,E224))</f>
        <v/>
      </c>
      <c r="K224" s="48">
        <f>IF(A224="",0,IFERROR(INDEX(Mitarbeiter!$F$6:$F$205,MATCH($A224,Mitarbeiter!$A$6:$A$205,0)),0))</f>
        <v/>
      </c>
      <c r="L224" s="49">
        <f>IF(OR(A224="",D224=""),0,MAX(0,NETWORKDAYS(MAX(D224,DATE(Einstellungen!$C$3,1,1)),MIN(J224,DATE(Einstellungen!$C$3,2,0)),Einstellungen!$F$13:$F$32)))</f>
        <v/>
      </c>
      <c r="M224" s="49">
        <f>IF(OR(A224="",D224=""),0,MAX(0,NETWORKDAYS(MAX(D224,DATE(Einstellungen!$C$3,2,1)),MIN(J224,DATE(Einstellungen!$C$3,3,0)),Einstellungen!$F$13:$F$32)))</f>
        <v/>
      </c>
      <c r="N224" s="49">
        <f>IF(OR(A224="",D224=""),0,MAX(0,NETWORKDAYS(MAX(D224,DATE(Einstellungen!$C$3,3,1)),MIN(J224,DATE(Einstellungen!$C$3,4,0)),Einstellungen!$F$13:$F$32)))</f>
        <v/>
      </c>
      <c r="O224" s="49">
        <f>IF(OR(A224="",D224=""),0,MAX(0,NETWORKDAYS(MAX(D224,DATE(Einstellungen!$C$3,4,1)),MIN(J224,DATE(Einstellungen!$C$3,5,0)),Einstellungen!$F$13:$F$32)))</f>
        <v/>
      </c>
      <c r="P224" s="49">
        <f>IF(OR(A224="",D224=""),0,MAX(0,NETWORKDAYS(MAX(D224,DATE(Einstellungen!$C$3,5,1)),MIN(J224,DATE(Einstellungen!$C$3,6,0)),Einstellungen!$F$13:$F$32)))</f>
        <v/>
      </c>
      <c r="Q224" s="49">
        <f>IF(OR(A224="",D224=""),0,MAX(0,NETWORKDAYS(MAX(D224,DATE(Einstellungen!$C$3,6,1)),MIN(J224,DATE(Einstellungen!$C$3,7,0)),Einstellungen!$F$13:$F$32)))</f>
        <v/>
      </c>
      <c r="R224" s="49">
        <f>IF(OR(A224="",D224=""),0,MAX(0,NETWORKDAYS(MAX(D224,DATE(Einstellungen!$C$3,7,1)),MIN(J224,DATE(Einstellungen!$C$3,8,0)),Einstellungen!$F$13:$F$32)))</f>
        <v/>
      </c>
      <c r="S224" s="49">
        <f>IF(OR(A224="",D224=""),0,MAX(0,NETWORKDAYS(MAX(D224,DATE(Einstellungen!$C$3,8,1)),MIN(J224,DATE(Einstellungen!$C$3,9,0)),Einstellungen!$F$13:$F$32)))</f>
        <v/>
      </c>
      <c r="T224" s="49">
        <f>IF(OR(A224="",D224=""),0,MAX(0,NETWORKDAYS(MAX(D224,DATE(Einstellungen!$C$3,9,1)),MIN(J224,DATE(Einstellungen!$C$3,10,0)),Einstellungen!$F$13:$F$32)))</f>
        <v/>
      </c>
      <c r="U224" s="49">
        <f>IF(OR(A224="",D224=""),0,MAX(0,NETWORKDAYS(MAX(D224,DATE(Einstellungen!$C$3,10,1)),MIN(J224,DATE(Einstellungen!$C$3,11,0)),Einstellungen!$F$13:$F$32)))</f>
        <v/>
      </c>
      <c r="V224" s="49">
        <f>IF(OR(A224="",D224=""),0,MAX(0,NETWORKDAYS(MAX(D224,DATE(Einstellungen!$C$3,11,1)),MIN(J224,DATE(Einstellungen!$C$3,12,0)),Einstellungen!$F$13:$F$32)))</f>
        <v/>
      </c>
      <c r="W224" s="49">
        <f>IF(OR(A224="",D224=""),0,MAX(0,NETWORKDAYS(MAX(D224,DATE(Einstellungen!$C$3,12,1)),MIN(J224,DATE(Einstellungen!$C$3,13,0)),Einstellungen!$F$13:$F$32)))</f>
        <v/>
      </c>
      <c r="X224" s="50">
        <f>L224*K224</f>
        <v/>
      </c>
      <c r="Y224" s="50">
        <f>M224*K224</f>
        <v/>
      </c>
      <c r="Z224" s="50">
        <f>N224*K224</f>
        <v/>
      </c>
      <c r="AA224" s="50">
        <f>O224*K224</f>
        <v/>
      </c>
      <c r="AB224" s="50">
        <f>P224*K224</f>
        <v/>
      </c>
      <c r="AC224" s="50">
        <f>Q224*K224</f>
        <v/>
      </c>
      <c r="AD224" s="50">
        <f>R224*K224</f>
        <v/>
      </c>
      <c r="AE224" s="50">
        <f>S224*K224</f>
        <v/>
      </c>
      <c r="AF224" s="50">
        <f>T224*K224</f>
        <v/>
      </c>
      <c r="AG224" s="50">
        <f>U224*K224</f>
        <v/>
      </c>
      <c r="AH224" s="50">
        <f>V224*K224</f>
        <v/>
      </c>
      <c r="AI224" s="50">
        <f>W224*K224</f>
        <v/>
      </c>
    </row>
    <row r="225">
      <c r="A225" s="25" t="n"/>
      <c r="B225" s="45">
        <f>IF(A225="","",IFERROR(INDEX(Mitarbeiter!$B$6:$B$205,MATCH($A225,Mitarbeiter!$A$6:$A$205,0)),"?"))</f>
        <v/>
      </c>
      <c r="C225" s="46" t="n"/>
      <c r="D225" s="26" t="n"/>
      <c r="E225" s="26" t="n"/>
      <c r="F225" s="24">
        <f>IF(A225="","",SUM(L225:W225))</f>
        <v/>
      </c>
      <c r="G225" s="36">
        <f>IF(A225="","",SUM(X225:AI225))</f>
        <v/>
      </c>
      <c r="H225" s="8">
        <f>IF(A225="","",IF(ISNA(MATCH(A225,Mitarbeiter!$A$6:$A$205,0)),"Pers.-Nr. unbekannt",IF(D225="","Von fehlt",IF(AND(C225&lt;&gt;Einstellungen!$C$4,C225&lt;&gt;Einstellungen!$C$5),"Objekt fehlt",IF(J225&lt;D225,"Bis vor Von",IF(D225&lt;INDEX(Mitarbeiter!$C$6:$C$205,MATCH($A225,Mitarbeiter!$A$6:$A$205,0)),"vor Eintritt",IF(AND(INDEX(Mitarbeiter!$D$6:$D$205,MATCH($A225,Mitarbeiter!$A$6:$A$205,0))&lt;&gt;"",D225&gt;INDEX(Mitarbeiter!$D$6:$D$205,MATCH($A225,Mitarbeiter!$A$6:$A$205,0))),"nach Austritt",IF(E225="","offen","ok"))))))))</f>
        <v/>
      </c>
      <c r="J225" s="47">
        <f>IF(A225="","",IF(E225="",Einstellungen!$C$9,E225))</f>
        <v/>
      </c>
      <c r="K225" s="48">
        <f>IF(A225="",0,IFERROR(INDEX(Mitarbeiter!$F$6:$F$205,MATCH($A225,Mitarbeiter!$A$6:$A$205,0)),0))</f>
        <v/>
      </c>
      <c r="L225" s="49">
        <f>IF(OR(A225="",D225=""),0,MAX(0,NETWORKDAYS(MAX(D225,DATE(Einstellungen!$C$3,1,1)),MIN(J225,DATE(Einstellungen!$C$3,2,0)),Einstellungen!$F$13:$F$32)))</f>
        <v/>
      </c>
      <c r="M225" s="49">
        <f>IF(OR(A225="",D225=""),0,MAX(0,NETWORKDAYS(MAX(D225,DATE(Einstellungen!$C$3,2,1)),MIN(J225,DATE(Einstellungen!$C$3,3,0)),Einstellungen!$F$13:$F$32)))</f>
        <v/>
      </c>
      <c r="N225" s="49">
        <f>IF(OR(A225="",D225=""),0,MAX(0,NETWORKDAYS(MAX(D225,DATE(Einstellungen!$C$3,3,1)),MIN(J225,DATE(Einstellungen!$C$3,4,0)),Einstellungen!$F$13:$F$32)))</f>
        <v/>
      </c>
      <c r="O225" s="49">
        <f>IF(OR(A225="",D225=""),0,MAX(0,NETWORKDAYS(MAX(D225,DATE(Einstellungen!$C$3,4,1)),MIN(J225,DATE(Einstellungen!$C$3,5,0)),Einstellungen!$F$13:$F$32)))</f>
        <v/>
      </c>
      <c r="P225" s="49">
        <f>IF(OR(A225="",D225=""),0,MAX(0,NETWORKDAYS(MAX(D225,DATE(Einstellungen!$C$3,5,1)),MIN(J225,DATE(Einstellungen!$C$3,6,0)),Einstellungen!$F$13:$F$32)))</f>
        <v/>
      </c>
      <c r="Q225" s="49">
        <f>IF(OR(A225="",D225=""),0,MAX(0,NETWORKDAYS(MAX(D225,DATE(Einstellungen!$C$3,6,1)),MIN(J225,DATE(Einstellungen!$C$3,7,0)),Einstellungen!$F$13:$F$32)))</f>
        <v/>
      </c>
      <c r="R225" s="49">
        <f>IF(OR(A225="",D225=""),0,MAX(0,NETWORKDAYS(MAX(D225,DATE(Einstellungen!$C$3,7,1)),MIN(J225,DATE(Einstellungen!$C$3,8,0)),Einstellungen!$F$13:$F$32)))</f>
        <v/>
      </c>
      <c r="S225" s="49">
        <f>IF(OR(A225="",D225=""),0,MAX(0,NETWORKDAYS(MAX(D225,DATE(Einstellungen!$C$3,8,1)),MIN(J225,DATE(Einstellungen!$C$3,9,0)),Einstellungen!$F$13:$F$32)))</f>
        <v/>
      </c>
      <c r="T225" s="49">
        <f>IF(OR(A225="",D225=""),0,MAX(0,NETWORKDAYS(MAX(D225,DATE(Einstellungen!$C$3,9,1)),MIN(J225,DATE(Einstellungen!$C$3,10,0)),Einstellungen!$F$13:$F$32)))</f>
        <v/>
      </c>
      <c r="U225" s="49">
        <f>IF(OR(A225="",D225=""),0,MAX(0,NETWORKDAYS(MAX(D225,DATE(Einstellungen!$C$3,10,1)),MIN(J225,DATE(Einstellungen!$C$3,11,0)),Einstellungen!$F$13:$F$32)))</f>
        <v/>
      </c>
      <c r="V225" s="49">
        <f>IF(OR(A225="",D225=""),0,MAX(0,NETWORKDAYS(MAX(D225,DATE(Einstellungen!$C$3,11,1)),MIN(J225,DATE(Einstellungen!$C$3,12,0)),Einstellungen!$F$13:$F$32)))</f>
        <v/>
      </c>
      <c r="W225" s="49">
        <f>IF(OR(A225="",D225=""),0,MAX(0,NETWORKDAYS(MAX(D225,DATE(Einstellungen!$C$3,12,1)),MIN(J225,DATE(Einstellungen!$C$3,13,0)),Einstellungen!$F$13:$F$32)))</f>
        <v/>
      </c>
      <c r="X225" s="50">
        <f>L225*K225</f>
        <v/>
      </c>
      <c r="Y225" s="50">
        <f>M225*K225</f>
        <v/>
      </c>
      <c r="Z225" s="50">
        <f>N225*K225</f>
        <v/>
      </c>
      <c r="AA225" s="50">
        <f>O225*K225</f>
        <v/>
      </c>
      <c r="AB225" s="50">
        <f>P225*K225</f>
        <v/>
      </c>
      <c r="AC225" s="50">
        <f>Q225*K225</f>
        <v/>
      </c>
      <c r="AD225" s="50">
        <f>R225*K225</f>
        <v/>
      </c>
      <c r="AE225" s="50">
        <f>S225*K225</f>
        <v/>
      </c>
      <c r="AF225" s="50">
        <f>T225*K225</f>
        <v/>
      </c>
      <c r="AG225" s="50">
        <f>U225*K225</f>
        <v/>
      </c>
      <c r="AH225" s="50">
        <f>V225*K225</f>
        <v/>
      </c>
      <c r="AI225" s="50">
        <f>W225*K225</f>
        <v/>
      </c>
    </row>
    <row r="226">
      <c r="A226" s="25" t="n"/>
      <c r="B226" s="45">
        <f>IF(A226="","",IFERROR(INDEX(Mitarbeiter!$B$6:$B$205,MATCH($A226,Mitarbeiter!$A$6:$A$205,0)),"?"))</f>
        <v/>
      </c>
      <c r="C226" s="46" t="n"/>
      <c r="D226" s="26" t="n"/>
      <c r="E226" s="26" t="n"/>
      <c r="F226" s="24">
        <f>IF(A226="","",SUM(L226:W226))</f>
        <v/>
      </c>
      <c r="G226" s="36">
        <f>IF(A226="","",SUM(X226:AI226))</f>
        <v/>
      </c>
      <c r="H226" s="8">
        <f>IF(A226="","",IF(ISNA(MATCH(A226,Mitarbeiter!$A$6:$A$205,0)),"Pers.-Nr. unbekannt",IF(D226="","Von fehlt",IF(AND(C226&lt;&gt;Einstellungen!$C$4,C226&lt;&gt;Einstellungen!$C$5),"Objekt fehlt",IF(J226&lt;D226,"Bis vor Von",IF(D226&lt;INDEX(Mitarbeiter!$C$6:$C$205,MATCH($A226,Mitarbeiter!$A$6:$A$205,0)),"vor Eintritt",IF(AND(INDEX(Mitarbeiter!$D$6:$D$205,MATCH($A226,Mitarbeiter!$A$6:$A$205,0))&lt;&gt;"",D226&gt;INDEX(Mitarbeiter!$D$6:$D$205,MATCH($A226,Mitarbeiter!$A$6:$A$205,0))),"nach Austritt",IF(E226="","offen","ok"))))))))</f>
        <v/>
      </c>
      <c r="J226" s="47">
        <f>IF(A226="","",IF(E226="",Einstellungen!$C$9,E226))</f>
        <v/>
      </c>
      <c r="K226" s="48">
        <f>IF(A226="",0,IFERROR(INDEX(Mitarbeiter!$F$6:$F$205,MATCH($A226,Mitarbeiter!$A$6:$A$205,0)),0))</f>
        <v/>
      </c>
      <c r="L226" s="49">
        <f>IF(OR(A226="",D226=""),0,MAX(0,NETWORKDAYS(MAX(D226,DATE(Einstellungen!$C$3,1,1)),MIN(J226,DATE(Einstellungen!$C$3,2,0)),Einstellungen!$F$13:$F$32)))</f>
        <v/>
      </c>
      <c r="M226" s="49">
        <f>IF(OR(A226="",D226=""),0,MAX(0,NETWORKDAYS(MAX(D226,DATE(Einstellungen!$C$3,2,1)),MIN(J226,DATE(Einstellungen!$C$3,3,0)),Einstellungen!$F$13:$F$32)))</f>
        <v/>
      </c>
      <c r="N226" s="49">
        <f>IF(OR(A226="",D226=""),0,MAX(0,NETWORKDAYS(MAX(D226,DATE(Einstellungen!$C$3,3,1)),MIN(J226,DATE(Einstellungen!$C$3,4,0)),Einstellungen!$F$13:$F$32)))</f>
        <v/>
      </c>
      <c r="O226" s="49">
        <f>IF(OR(A226="",D226=""),0,MAX(0,NETWORKDAYS(MAX(D226,DATE(Einstellungen!$C$3,4,1)),MIN(J226,DATE(Einstellungen!$C$3,5,0)),Einstellungen!$F$13:$F$32)))</f>
        <v/>
      </c>
      <c r="P226" s="49">
        <f>IF(OR(A226="",D226=""),0,MAX(0,NETWORKDAYS(MAX(D226,DATE(Einstellungen!$C$3,5,1)),MIN(J226,DATE(Einstellungen!$C$3,6,0)),Einstellungen!$F$13:$F$32)))</f>
        <v/>
      </c>
      <c r="Q226" s="49">
        <f>IF(OR(A226="",D226=""),0,MAX(0,NETWORKDAYS(MAX(D226,DATE(Einstellungen!$C$3,6,1)),MIN(J226,DATE(Einstellungen!$C$3,7,0)),Einstellungen!$F$13:$F$32)))</f>
        <v/>
      </c>
      <c r="R226" s="49">
        <f>IF(OR(A226="",D226=""),0,MAX(0,NETWORKDAYS(MAX(D226,DATE(Einstellungen!$C$3,7,1)),MIN(J226,DATE(Einstellungen!$C$3,8,0)),Einstellungen!$F$13:$F$32)))</f>
        <v/>
      </c>
      <c r="S226" s="49">
        <f>IF(OR(A226="",D226=""),0,MAX(0,NETWORKDAYS(MAX(D226,DATE(Einstellungen!$C$3,8,1)),MIN(J226,DATE(Einstellungen!$C$3,9,0)),Einstellungen!$F$13:$F$32)))</f>
        <v/>
      </c>
      <c r="T226" s="49">
        <f>IF(OR(A226="",D226=""),0,MAX(0,NETWORKDAYS(MAX(D226,DATE(Einstellungen!$C$3,9,1)),MIN(J226,DATE(Einstellungen!$C$3,10,0)),Einstellungen!$F$13:$F$32)))</f>
        <v/>
      </c>
      <c r="U226" s="49">
        <f>IF(OR(A226="",D226=""),0,MAX(0,NETWORKDAYS(MAX(D226,DATE(Einstellungen!$C$3,10,1)),MIN(J226,DATE(Einstellungen!$C$3,11,0)),Einstellungen!$F$13:$F$32)))</f>
        <v/>
      </c>
      <c r="V226" s="49">
        <f>IF(OR(A226="",D226=""),0,MAX(0,NETWORKDAYS(MAX(D226,DATE(Einstellungen!$C$3,11,1)),MIN(J226,DATE(Einstellungen!$C$3,12,0)),Einstellungen!$F$13:$F$32)))</f>
        <v/>
      </c>
      <c r="W226" s="49">
        <f>IF(OR(A226="",D226=""),0,MAX(0,NETWORKDAYS(MAX(D226,DATE(Einstellungen!$C$3,12,1)),MIN(J226,DATE(Einstellungen!$C$3,13,0)),Einstellungen!$F$13:$F$32)))</f>
        <v/>
      </c>
      <c r="X226" s="50">
        <f>L226*K226</f>
        <v/>
      </c>
      <c r="Y226" s="50">
        <f>M226*K226</f>
        <v/>
      </c>
      <c r="Z226" s="50">
        <f>N226*K226</f>
        <v/>
      </c>
      <c r="AA226" s="50">
        <f>O226*K226</f>
        <v/>
      </c>
      <c r="AB226" s="50">
        <f>P226*K226</f>
        <v/>
      </c>
      <c r="AC226" s="50">
        <f>Q226*K226</f>
        <v/>
      </c>
      <c r="AD226" s="50">
        <f>R226*K226</f>
        <v/>
      </c>
      <c r="AE226" s="50">
        <f>S226*K226</f>
        <v/>
      </c>
      <c r="AF226" s="50">
        <f>T226*K226</f>
        <v/>
      </c>
      <c r="AG226" s="50">
        <f>U226*K226</f>
        <v/>
      </c>
      <c r="AH226" s="50">
        <f>V226*K226</f>
        <v/>
      </c>
      <c r="AI226" s="50">
        <f>W226*K226</f>
        <v/>
      </c>
    </row>
    <row r="227">
      <c r="A227" s="25" t="n"/>
      <c r="B227" s="45">
        <f>IF(A227="","",IFERROR(INDEX(Mitarbeiter!$B$6:$B$205,MATCH($A227,Mitarbeiter!$A$6:$A$205,0)),"?"))</f>
        <v/>
      </c>
      <c r="C227" s="46" t="n"/>
      <c r="D227" s="26" t="n"/>
      <c r="E227" s="26" t="n"/>
      <c r="F227" s="24">
        <f>IF(A227="","",SUM(L227:W227))</f>
        <v/>
      </c>
      <c r="G227" s="36">
        <f>IF(A227="","",SUM(X227:AI227))</f>
        <v/>
      </c>
      <c r="H227" s="8">
        <f>IF(A227="","",IF(ISNA(MATCH(A227,Mitarbeiter!$A$6:$A$205,0)),"Pers.-Nr. unbekannt",IF(D227="","Von fehlt",IF(AND(C227&lt;&gt;Einstellungen!$C$4,C227&lt;&gt;Einstellungen!$C$5),"Objekt fehlt",IF(J227&lt;D227,"Bis vor Von",IF(D227&lt;INDEX(Mitarbeiter!$C$6:$C$205,MATCH($A227,Mitarbeiter!$A$6:$A$205,0)),"vor Eintritt",IF(AND(INDEX(Mitarbeiter!$D$6:$D$205,MATCH($A227,Mitarbeiter!$A$6:$A$205,0))&lt;&gt;"",D227&gt;INDEX(Mitarbeiter!$D$6:$D$205,MATCH($A227,Mitarbeiter!$A$6:$A$205,0))),"nach Austritt",IF(E227="","offen","ok"))))))))</f>
        <v/>
      </c>
      <c r="J227" s="47">
        <f>IF(A227="","",IF(E227="",Einstellungen!$C$9,E227))</f>
        <v/>
      </c>
      <c r="K227" s="48">
        <f>IF(A227="",0,IFERROR(INDEX(Mitarbeiter!$F$6:$F$205,MATCH($A227,Mitarbeiter!$A$6:$A$205,0)),0))</f>
        <v/>
      </c>
      <c r="L227" s="49">
        <f>IF(OR(A227="",D227=""),0,MAX(0,NETWORKDAYS(MAX(D227,DATE(Einstellungen!$C$3,1,1)),MIN(J227,DATE(Einstellungen!$C$3,2,0)),Einstellungen!$F$13:$F$32)))</f>
        <v/>
      </c>
      <c r="M227" s="49">
        <f>IF(OR(A227="",D227=""),0,MAX(0,NETWORKDAYS(MAX(D227,DATE(Einstellungen!$C$3,2,1)),MIN(J227,DATE(Einstellungen!$C$3,3,0)),Einstellungen!$F$13:$F$32)))</f>
        <v/>
      </c>
      <c r="N227" s="49">
        <f>IF(OR(A227="",D227=""),0,MAX(0,NETWORKDAYS(MAX(D227,DATE(Einstellungen!$C$3,3,1)),MIN(J227,DATE(Einstellungen!$C$3,4,0)),Einstellungen!$F$13:$F$32)))</f>
        <v/>
      </c>
      <c r="O227" s="49">
        <f>IF(OR(A227="",D227=""),0,MAX(0,NETWORKDAYS(MAX(D227,DATE(Einstellungen!$C$3,4,1)),MIN(J227,DATE(Einstellungen!$C$3,5,0)),Einstellungen!$F$13:$F$32)))</f>
        <v/>
      </c>
      <c r="P227" s="49">
        <f>IF(OR(A227="",D227=""),0,MAX(0,NETWORKDAYS(MAX(D227,DATE(Einstellungen!$C$3,5,1)),MIN(J227,DATE(Einstellungen!$C$3,6,0)),Einstellungen!$F$13:$F$32)))</f>
        <v/>
      </c>
      <c r="Q227" s="49">
        <f>IF(OR(A227="",D227=""),0,MAX(0,NETWORKDAYS(MAX(D227,DATE(Einstellungen!$C$3,6,1)),MIN(J227,DATE(Einstellungen!$C$3,7,0)),Einstellungen!$F$13:$F$32)))</f>
        <v/>
      </c>
      <c r="R227" s="49">
        <f>IF(OR(A227="",D227=""),0,MAX(0,NETWORKDAYS(MAX(D227,DATE(Einstellungen!$C$3,7,1)),MIN(J227,DATE(Einstellungen!$C$3,8,0)),Einstellungen!$F$13:$F$32)))</f>
        <v/>
      </c>
      <c r="S227" s="49">
        <f>IF(OR(A227="",D227=""),0,MAX(0,NETWORKDAYS(MAX(D227,DATE(Einstellungen!$C$3,8,1)),MIN(J227,DATE(Einstellungen!$C$3,9,0)),Einstellungen!$F$13:$F$32)))</f>
        <v/>
      </c>
      <c r="T227" s="49">
        <f>IF(OR(A227="",D227=""),0,MAX(0,NETWORKDAYS(MAX(D227,DATE(Einstellungen!$C$3,9,1)),MIN(J227,DATE(Einstellungen!$C$3,10,0)),Einstellungen!$F$13:$F$32)))</f>
        <v/>
      </c>
      <c r="U227" s="49">
        <f>IF(OR(A227="",D227=""),0,MAX(0,NETWORKDAYS(MAX(D227,DATE(Einstellungen!$C$3,10,1)),MIN(J227,DATE(Einstellungen!$C$3,11,0)),Einstellungen!$F$13:$F$32)))</f>
        <v/>
      </c>
      <c r="V227" s="49">
        <f>IF(OR(A227="",D227=""),0,MAX(0,NETWORKDAYS(MAX(D227,DATE(Einstellungen!$C$3,11,1)),MIN(J227,DATE(Einstellungen!$C$3,12,0)),Einstellungen!$F$13:$F$32)))</f>
        <v/>
      </c>
      <c r="W227" s="49">
        <f>IF(OR(A227="",D227=""),0,MAX(0,NETWORKDAYS(MAX(D227,DATE(Einstellungen!$C$3,12,1)),MIN(J227,DATE(Einstellungen!$C$3,13,0)),Einstellungen!$F$13:$F$32)))</f>
        <v/>
      </c>
      <c r="X227" s="50">
        <f>L227*K227</f>
        <v/>
      </c>
      <c r="Y227" s="50">
        <f>M227*K227</f>
        <v/>
      </c>
      <c r="Z227" s="50">
        <f>N227*K227</f>
        <v/>
      </c>
      <c r="AA227" s="50">
        <f>O227*K227</f>
        <v/>
      </c>
      <c r="AB227" s="50">
        <f>P227*K227</f>
        <v/>
      </c>
      <c r="AC227" s="50">
        <f>Q227*K227</f>
        <v/>
      </c>
      <c r="AD227" s="50">
        <f>R227*K227</f>
        <v/>
      </c>
      <c r="AE227" s="50">
        <f>S227*K227</f>
        <v/>
      </c>
      <c r="AF227" s="50">
        <f>T227*K227</f>
        <v/>
      </c>
      <c r="AG227" s="50">
        <f>U227*K227</f>
        <v/>
      </c>
      <c r="AH227" s="50">
        <f>V227*K227</f>
        <v/>
      </c>
      <c r="AI227" s="50">
        <f>W227*K227</f>
        <v/>
      </c>
    </row>
    <row r="228">
      <c r="A228" s="25" t="n"/>
      <c r="B228" s="45">
        <f>IF(A228="","",IFERROR(INDEX(Mitarbeiter!$B$6:$B$205,MATCH($A228,Mitarbeiter!$A$6:$A$205,0)),"?"))</f>
        <v/>
      </c>
      <c r="C228" s="46" t="n"/>
      <c r="D228" s="26" t="n"/>
      <c r="E228" s="26" t="n"/>
      <c r="F228" s="24">
        <f>IF(A228="","",SUM(L228:W228))</f>
        <v/>
      </c>
      <c r="G228" s="36">
        <f>IF(A228="","",SUM(X228:AI228))</f>
        <v/>
      </c>
      <c r="H228" s="8">
        <f>IF(A228="","",IF(ISNA(MATCH(A228,Mitarbeiter!$A$6:$A$205,0)),"Pers.-Nr. unbekannt",IF(D228="","Von fehlt",IF(AND(C228&lt;&gt;Einstellungen!$C$4,C228&lt;&gt;Einstellungen!$C$5),"Objekt fehlt",IF(J228&lt;D228,"Bis vor Von",IF(D228&lt;INDEX(Mitarbeiter!$C$6:$C$205,MATCH($A228,Mitarbeiter!$A$6:$A$205,0)),"vor Eintritt",IF(AND(INDEX(Mitarbeiter!$D$6:$D$205,MATCH($A228,Mitarbeiter!$A$6:$A$205,0))&lt;&gt;"",D228&gt;INDEX(Mitarbeiter!$D$6:$D$205,MATCH($A228,Mitarbeiter!$A$6:$A$205,0))),"nach Austritt",IF(E228="","offen","ok"))))))))</f>
        <v/>
      </c>
      <c r="J228" s="47">
        <f>IF(A228="","",IF(E228="",Einstellungen!$C$9,E228))</f>
        <v/>
      </c>
      <c r="K228" s="48">
        <f>IF(A228="",0,IFERROR(INDEX(Mitarbeiter!$F$6:$F$205,MATCH($A228,Mitarbeiter!$A$6:$A$205,0)),0))</f>
        <v/>
      </c>
      <c r="L228" s="49">
        <f>IF(OR(A228="",D228=""),0,MAX(0,NETWORKDAYS(MAX(D228,DATE(Einstellungen!$C$3,1,1)),MIN(J228,DATE(Einstellungen!$C$3,2,0)),Einstellungen!$F$13:$F$32)))</f>
        <v/>
      </c>
      <c r="M228" s="49">
        <f>IF(OR(A228="",D228=""),0,MAX(0,NETWORKDAYS(MAX(D228,DATE(Einstellungen!$C$3,2,1)),MIN(J228,DATE(Einstellungen!$C$3,3,0)),Einstellungen!$F$13:$F$32)))</f>
        <v/>
      </c>
      <c r="N228" s="49">
        <f>IF(OR(A228="",D228=""),0,MAX(0,NETWORKDAYS(MAX(D228,DATE(Einstellungen!$C$3,3,1)),MIN(J228,DATE(Einstellungen!$C$3,4,0)),Einstellungen!$F$13:$F$32)))</f>
        <v/>
      </c>
      <c r="O228" s="49">
        <f>IF(OR(A228="",D228=""),0,MAX(0,NETWORKDAYS(MAX(D228,DATE(Einstellungen!$C$3,4,1)),MIN(J228,DATE(Einstellungen!$C$3,5,0)),Einstellungen!$F$13:$F$32)))</f>
        <v/>
      </c>
      <c r="P228" s="49">
        <f>IF(OR(A228="",D228=""),0,MAX(0,NETWORKDAYS(MAX(D228,DATE(Einstellungen!$C$3,5,1)),MIN(J228,DATE(Einstellungen!$C$3,6,0)),Einstellungen!$F$13:$F$32)))</f>
        <v/>
      </c>
      <c r="Q228" s="49">
        <f>IF(OR(A228="",D228=""),0,MAX(0,NETWORKDAYS(MAX(D228,DATE(Einstellungen!$C$3,6,1)),MIN(J228,DATE(Einstellungen!$C$3,7,0)),Einstellungen!$F$13:$F$32)))</f>
        <v/>
      </c>
      <c r="R228" s="49">
        <f>IF(OR(A228="",D228=""),0,MAX(0,NETWORKDAYS(MAX(D228,DATE(Einstellungen!$C$3,7,1)),MIN(J228,DATE(Einstellungen!$C$3,8,0)),Einstellungen!$F$13:$F$32)))</f>
        <v/>
      </c>
      <c r="S228" s="49">
        <f>IF(OR(A228="",D228=""),0,MAX(0,NETWORKDAYS(MAX(D228,DATE(Einstellungen!$C$3,8,1)),MIN(J228,DATE(Einstellungen!$C$3,9,0)),Einstellungen!$F$13:$F$32)))</f>
        <v/>
      </c>
      <c r="T228" s="49">
        <f>IF(OR(A228="",D228=""),0,MAX(0,NETWORKDAYS(MAX(D228,DATE(Einstellungen!$C$3,9,1)),MIN(J228,DATE(Einstellungen!$C$3,10,0)),Einstellungen!$F$13:$F$32)))</f>
        <v/>
      </c>
      <c r="U228" s="49">
        <f>IF(OR(A228="",D228=""),0,MAX(0,NETWORKDAYS(MAX(D228,DATE(Einstellungen!$C$3,10,1)),MIN(J228,DATE(Einstellungen!$C$3,11,0)),Einstellungen!$F$13:$F$32)))</f>
        <v/>
      </c>
      <c r="V228" s="49">
        <f>IF(OR(A228="",D228=""),0,MAX(0,NETWORKDAYS(MAX(D228,DATE(Einstellungen!$C$3,11,1)),MIN(J228,DATE(Einstellungen!$C$3,12,0)),Einstellungen!$F$13:$F$32)))</f>
        <v/>
      </c>
      <c r="W228" s="49">
        <f>IF(OR(A228="",D228=""),0,MAX(0,NETWORKDAYS(MAX(D228,DATE(Einstellungen!$C$3,12,1)),MIN(J228,DATE(Einstellungen!$C$3,13,0)),Einstellungen!$F$13:$F$32)))</f>
        <v/>
      </c>
      <c r="X228" s="50">
        <f>L228*K228</f>
        <v/>
      </c>
      <c r="Y228" s="50">
        <f>M228*K228</f>
        <v/>
      </c>
      <c r="Z228" s="50">
        <f>N228*K228</f>
        <v/>
      </c>
      <c r="AA228" s="50">
        <f>O228*K228</f>
        <v/>
      </c>
      <c r="AB228" s="50">
        <f>P228*K228</f>
        <v/>
      </c>
      <c r="AC228" s="50">
        <f>Q228*K228</f>
        <v/>
      </c>
      <c r="AD228" s="50">
        <f>R228*K228</f>
        <v/>
      </c>
      <c r="AE228" s="50">
        <f>S228*K228</f>
        <v/>
      </c>
      <c r="AF228" s="50">
        <f>T228*K228</f>
        <v/>
      </c>
      <c r="AG228" s="50">
        <f>U228*K228</f>
        <v/>
      </c>
      <c r="AH228" s="50">
        <f>V228*K228</f>
        <v/>
      </c>
      <c r="AI228" s="50">
        <f>W228*K228</f>
        <v/>
      </c>
    </row>
    <row r="229">
      <c r="A229" s="25" t="n"/>
      <c r="B229" s="45">
        <f>IF(A229="","",IFERROR(INDEX(Mitarbeiter!$B$6:$B$205,MATCH($A229,Mitarbeiter!$A$6:$A$205,0)),"?"))</f>
        <v/>
      </c>
      <c r="C229" s="46" t="n"/>
      <c r="D229" s="26" t="n"/>
      <c r="E229" s="26" t="n"/>
      <c r="F229" s="24">
        <f>IF(A229="","",SUM(L229:W229))</f>
        <v/>
      </c>
      <c r="G229" s="36">
        <f>IF(A229="","",SUM(X229:AI229))</f>
        <v/>
      </c>
      <c r="H229" s="8">
        <f>IF(A229="","",IF(ISNA(MATCH(A229,Mitarbeiter!$A$6:$A$205,0)),"Pers.-Nr. unbekannt",IF(D229="","Von fehlt",IF(AND(C229&lt;&gt;Einstellungen!$C$4,C229&lt;&gt;Einstellungen!$C$5),"Objekt fehlt",IF(J229&lt;D229,"Bis vor Von",IF(D229&lt;INDEX(Mitarbeiter!$C$6:$C$205,MATCH($A229,Mitarbeiter!$A$6:$A$205,0)),"vor Eintritt",IF(AND(INDEX(Mitarbeiter!$D$6:$D$205,MATCH($A229,Mitarbeiter!$A$6:$A$205,0))&lt;&gt;"",D229&gt;INDEX(Mitarbeiter!$D$6:$D$205,MATCH($A229,Mitarbeiter!$A$6:$A$205,0))),"nach Austritt",IF(E229="","offen","ok"))))))))</f>
        <v/>
      </c>
      <c r="J229" s="47">
        <f>IF(A229="","",IF(E229="",Einstellungen!$C$9,E229))</f>
        <v/>
      </c>
      <c r="K229" s="48">
        <f>IF(A229="",0,IFERROR(INDEX(Mitarbeiter!$F$6:$F$205,MATCH($A229,Mitarbeiter!$A$6:$A$205,0)),0))</f>
        <v/>
      </c>
      <c r="L229" s="49">
        <f>IF(OR(A229="",D229=""),0,MAX(0,NETWORKDAYS(MAX(D229,DATE(Einstellungen!$C$3,1,1)),MIN(J229,DATE(Einstellungen!$C$3,2,0)),Einstellungen!$F$13:$F$32)))</f>
        <v/>
      </c>
      <c r="M229" s="49">
        <f>IF(OR(A229="",D229=""),0,MAX(0,NETWORKDAYS(MAX(D229,DATE(Einstellungen!$C$3,2,1)),MIN(J229,DATE(Einstellungen!$C$3,3,0)),Einstellungen!$F$13:$F$32)))</f>
        <v/>
      </c>
      <c r="N229" s="49">
        <f>IF(OR(A229="",D229=""),0,MAX(0,NETWORKDAYS(MAX(D229,DATE(Einstellungen!$C$3,3,1)),MIN(J229,DATE(Einstellungen!$C$3,4,0)),Einstellungen!$F$13:$F$32)))</f>
        <v/>
      </c>
      <c r="O229" s="49">
        <f>IF(OR(A229="",D229=""),0,MAX(0,NETWORKDAYS(MAX(D229,DATE(Einstellungen!$C$3,4,1)),MIN(J229,DATE(Einstellungen!$C$3,5,0)),Einstellungen!$F$13:$F$32)))</f>
        <v/>
      </c>
      <c r="P229" s="49">
        <f>IF(OR(A229="",D229=""),0,MAX(0,NETWORKDAYS(MAX(D229,DATE(Einstellungen!$C$3,5,1)),MIN(J229,DATE(Einstellungen!$C$3,6,0)),Einstellungen!$F$13:$F$32)))</f>
        <v/>
      </c>
      <c r="Q229" s="49">
        <f>IF(OR(A229="",D229=""),0,MAX(0,NETWORKDAYS(MAX(D229,DATE(Einstellungen!$C$3,6,1)),MIN(J229,DATE(Einstellungen!$C$3,7,0)),Einstellungen!$F$13:$F$32)))</f>
        <v/>
      </c>
      <c r="R229" s="49">
        <f>IF(OR(A229="",D229=""),0,MAX(0,NETWORKDAYS(MAX(D229,DATE(Einstellungen!$C$3,7,1)),MIN(J229,DATE(Einstellungen!$C$3,8,0)),Einstellungen!$F$13:$F$32)))</f>
        <v/>
      </c>
      <c r="S229" s="49">
        <f>IF(OR(A229="",D229=""),0,MAX(0,NETWORKDAYS(MAX(D229,DATE(Einstellungen!$C$3,8,1)),MIN(J229,DATE(Einstellungen!$C$3,9,0)),Einstellungen!$F$13:$F$32)))</f>
        <v/>
      </c>
      <c r="T229" s="49">
        <f>IF(OR(A229="",D229=""),0,MAX(0,NETWORKDAYS(MAX(D229,DATE(Einstellungen!$C$3,9,1)),MIN(J229,DATE(Einstellungen!$C$3,10,0)),Einstellungen!$F$13:$F$32)))</f>
        <v/>
      </c>
      <c r="U229" s="49">
        <f>IF(OR(A229="",D229=""),0,MAX(0,NETWORKDAYS(MAX(D229,DATE(Einstellungen!$C$3,10,1)),MIN(J229,DATE(Einstellungen!$C$3,11,0)),Einstellungen!$F$13:$F$32)))</f>
        <v/>
      </c>
      <c r="V229" s="49">
        <f>IF(OR(A229="",D229=""),0,MAX(0,NETWORKDAYS(MAX(D229,DATE(Einstellungen!$C$3,11,1)),MIN(J229,DATE(Einstellungen!$C$3,12,0)),Einstellungen!$F$13:$F$32)))</f>
        <v/>
      </c>
      <c r="W229" s="49">
        <f>IF(OR(A229="",D229=""),0,MAX(0,NETWORKDAYS(MAX(D229,DATE(Einstellungen!$C$3,12,1)),MIN(J229,DATE(Einstellungen!$C$3,13,0)),Einstellungen!$F$13:$F$32)))</f>
        <v/>
      </c>
      <c r="X229" s="50">
        <f>L229*K229</f>
        <v/>
      </c>
      <c r="Y229" s="50">
        <f>M229*K229</f>
        <v/>
      </c>
      <c r="Z229" s="50">
        <f>N229*K229</f>
        <v/>
      </c>
      <c r="AA229" s="50">
        <f>O229*K229</f>
        <v/>
      </c>
      <c r="AB229" s="50">
        <f>P229*K229</f>
        <v/>
      </c>
      <c r="AC229" s="50">
        <f>Q229*K229</f>
        <v/>
      </c>
      <c r="AD229" s="50">
        <f>R229*K229</f>
        <v/>
      </c>
      <c r="AE229" s="50">
        <f>S229*K229</f>
        <v/>
      </c>
      <c r="AF229" s="50">
        <f>T229*K229</f>
        <v/>
      </c>
      <c r="AG229" s="50">
        <f>U229*K229</f>
        <v/>
      </c>
      <c r="AH229" s="50">
        <f>V229*K229</f>
        <v/>
      </c>
      <c r="AI229" s="50">
        <f>W229*K229</f>
        <v/>
      </c>
    </row>
    <row r="230">
      <c r="A230" s="25" t="n"/>
      <c r="B230" s="45">
        <f>IF(A230="","",IFERROR(INDEX(Mitarbeiter!$B$6:$B$205,MATCH($A230,Mitarbeiter!$A$6:$A$205,0)),"?"))</f>
        <v/>
      </c>
      <c r="C230" s="46" t="n"/>
      <c r="D230" s="26" t="n"/>
      <c r="E230" s="26" t="n"/>
      <c r="F230" s="24">
        <f>IF(A230="","",SUM(L230:W230))</f>
        <v/>
      </c>
      <c r="G230" s="36">
        <f>IF(A230="","",SUM(X230:AI230))</f>
        <v/>
      </c>
      <c r="H230" s="8">
        <f>IF(A230="","",IF(ISNA(MATCH(A230,Mitarbeiter!$A$6:$A$205,0)),"Pers.-Nr. unbekannt",IF(D230="","Von fehlt",IF(AND(C230&lt;&gt;Einstellungen!$C$4,C230&lt;&gt;Einstellungen!$C$5),"Objekt fehlt",IF(J230&lt;D230,"Bis vor Von",IF(D230&lt;INDEX(Mitarbeiter!$C$6:$C$205,MATCH($A230,Mitarbeiter!$A$6:$A$205,0)),"vor Eintritt",IF(AND(INDEX(Mitarbeiter!$D$6:$D$205,MATCH($A230,Mitarbeiter!$A$6:$A$205,0))&lt;&gt;"",D230&gt;INDEX(Mitarbeiter!$D$6:$D$205,MATCH($A230,Mitarbeiter!$A$6:$A$205,0))),"nach Austritt",IF(E230="","offen","ok"))))))))</f>
        <v/>
      </c>
      <c r="J230" s="47">
        <f>IF(A230="","",IF(E230="",Einstellungen!$C$9,E230))</f>
        <v/>
      </c>
      <c r="K230" s="48">
        <f>IF(A230="",0,IFERROR(INDEX(Mitarbeiter!$F$6:$F$205,MATCH($A230,Mitarbeiter!$A$6:$A$205,0)),0))</f>
        <v/>
      </c>
      <c r="L230" s="49">
        <f>IF(OR(A230="",D230=""),0,MAX(0,NETWORKDAYS(MAX(D230,DATE(Einstellungen!$C$3,1,1)),MIN(J230,DATE(Einstellungen!$C$3,2,0)),Einstellungen!$F$13:$F$32)))</f>
        <v/>
      </c>
      <c r="M230" s="49">
        <f>IF(OR(A230="",D230=""),0,MAX(0,NETWORKDAYS(MAX(D230,DATE(Einstellungen!$C$3,2,1)),MIN(J230,DATE(Einstellungen!$C$3,3,0)),Einstellungen!$F$13:$F$32)))</f>
        <v/>
      </c>
      <c r="N230" s="49">
        <f>IF(OR(A230="",D230=""),0,MAX(0,NETWORKDAYS(MAX(D230,DATE(Einstellungen!$C$3,3,1)),MIN(J230,DATE(Einstellungen!$C$3,4,0)),Einstellungen!$F$13:$F$32)))</f>
        <v/>
      </c>
      <c r="O230" s="49">
        <f>IF(OR(A230="",D230=""),0,MAX(0,NETWORKDAYS(MAX(D230,DATE(Einstellungen!$C$3,4,1)),MIN(J230,DATE(Einstellungen!$C$3,5,0)),Einstellungen!$F$13:$F$32)))</f>
        <v/>
      </c>
      <c r="P230" s="49">
        <f>IF(OR(A230="",D230=""),0,MAX(0,NETWORKDAYS(MAX(D230,DATE(Einstellungen!$C$3,5,1)),MIN(J230,DATE(Einstellungen!$C$3,6,0)),Einstellungen!$F$13:$F$32)))</f>
        <v/>
      </c>
      <c r="Q230" s="49">
        <f>IF(OR(A230="",D230=""),0,MAX(0,NETWORKDAYS(MAX(D230,DATE(Einstellungen!$C$3,6,1)),MIN(J230,DATE(Einstellungen!$C$3,7,0)),Einstellungen!$F$13:$F$32)))</f>
        <v/>
      </c>
      <c r="R230" s="49">
        <f>IF(OR(A230="",D230=""),0,MAX(0,NETWORKDAYS(MAX(D230,DATE(Einstellungen!$C$3,7,1)),MIN(J230,DATE(Einstellungen!$C$3,8,0)),Einstellungen!$F$13:$F$32)))</f>
        <v/>
      </c>
      <c r="S230" s="49">
        <f>IF(OR(A230="",D230=""),0,MAX(0,NETWORKDAYS(MAX(D230,DATE(Einstellungen!$C$3,8,1)),MIN(J230,DATE(Einstellungen!$C$3,9,0)),Einstellungen!$F$13:$F$32)))</f>
        <v/>
      </c>
      <c r="T230" s="49">
        <f>IF(OR(A230="",D230=""),0,MAX(0,NETWORKDAYS(MAX(D230,DATE(Einstellungen!$C$3,9,1)),MIN(J230,DATE(Einstellungen!$C$3,10,0)),Einstellungen!$F$13:$F$32)))</f>
        <v/>
      </c>
      <c r="U230" s="49">
        <f>IF(OR(A230="",D230=""),0,MAX(0,NETWORKDAYS(MAX(D230,DATE(Einstellungen!$C$3,10,1)),MIN(J230,DATE(Einstellungen!$C$3,11,0)),Einstellungen!$F$13:$F$32)))</f>
        <v/>
      </c>
      <c r="V230" s="49">
        <f>IF(OR(A230="",D230=""),0,MAX(0,NETWORKDAYS(MAX(D230,DATE(Einstellungen!$C$3,11,1)),MIN(J230,DATE(Einstellungen!$C$3,12,0)),Einstellungen!$F$13:$F$32)))</f>
        <v/>
      </c>
      <c r="W230" s="49">
        <f>IF(OR(A230="",D230=""),0,MAX(0,NETWORKDAYS(MAX(D230,DATE(Einstellungen!$C$3,12,1)),MIN(J230,DATE(Einstellungen!$C$3,13,0)),Einstellungen!$F$13:$F$32)))</f>
        <v/>
      </c>
      <c r="X230" s="50">
        <f>L230*K230</f>
        <v/>
      </c>
      <c r="Y230" s="50">
        <f>M230*K230</f>
        <v/>
      </c>
      <c r="Z230" s="50">
        <f>N230*K230</f>
        <v/>
      </c>
      <c r="AA230" s="50">
        <f>O230*K230</f>
        <v/>
      </c>
      <c r="AB230" s="50">
        <f>P230*K230</f>
        <v/>
      </c>
      <c r="AC230" s="50">
        <f>Q230*K230</f>
        <v/>
      </c>
      <c r="AD230" s="50">
        <f>R230*K230</f>
        <v/>
      </c>
      <c r="AE230" s="50">
        <f>S230*K230</f>
        <v/>
      </c>
      <c r="AF230" s="50">
        <f>T230*K230</f>
        <v/>
      </c>
      <c r="AG230" s="50">
        <f>U230*K230</f>
        <v/>
      </c>
      <c r="AH230" s="50">
        <f>V230*K230</f>
        <v/>
      </c>
      <c r="AI230" s="50">
        <f>W230*K230</f>
        <v/>
      </c>
    </row>
    <row r="231">
      <c r="A231" s="25" t="n"/>
      <c r="B231" s="45">
        <f>IF(A231="","",IFERROR(INDEX(Mitarbeiter!$B$6:$B$205,MATCH($A231,Mitarbeiter!$A$6:$A$205,0)),"?"))</f>
        <v/>
      </c>
      <c r="C231" s="46" t="n"/>
      <c r="D231" s="26" t="n"/>
      <c r="E231" s="26" t="n"/>
      <c r="F231" s="24">
        <f>IF(A231="","",SUM(L231:W231))</f>
        <v/>
      </c>
      <c r="G231" s="36">
        <f>IF(A231="","",SUM(X231:AI231))</f>
        <v/>
      </c>
      <c r="H231" s="8">
        <f>IF(A231="","",IF(ISNA(MATCH(A231,Mitarbeiter!$A$6:$A$205,0)),"Pers.-Nr. unbekannt",IF(D231="","Von fehlt",IF(AND(C231&lt;&gt;Einstellungen!$C$4,C231&lt;&gt;Einstellungen!$C$5),"Objekt fehlt",IF(J231&lt;D231,"Bis vor Von",IF(D231&lt;INDEX(Mitarbeiter!$C$6:$C$205,MATCH($A231,Mitarbeiter!$A$6:$A$205,0)),"vor Eintritt",IF(AND(INDEX(Mitarbeiter!$D$6:$D$205,MATCH($A231,Mitarbeiter!$A$6:$A$205,0))&lt;&gt;"",D231&gt;INDEX(Mitarbeiter!$D$6:$D$205,MATCH($A231,Mitarbeiter!$A$6:$A$205,0))),"nach Austritt",IF(E231="","offen","ok"))))))))</f>
        <v/>
      </c>
      <c r="J231" s="47">
        <f>IF(A231="","",IF(E231="",Einstellungen!$C$9,E231))</f>
        <v/>
      </c>
      <c r="K231" s="48">
        <f>IF(A231="",0,IFERROR(INDEX(Mitarbeiter!$F$6:$F$205,MATCH($A231,Mitarbeiter!$A$6:$A$205,0)),0))</f>
        <v/>
      </c>
      <c r="L231" s="49">
        <f>IF(OR(A231="",D231=""),0,MAX(0,NETWORKDAYS(MAX(D231,DATE(Einstellungen!$C$3,1,1)),MIN(J231,DATE(Einstellungen!$C$3,2,0)),Einstellungen!$F$13:$F$32)))</f>
        <v/>
      </c>
      <c r="M231" s="49">
        <f>IF(OR(A231="",D231=""),0,MAX(0,NETWORKDAYS(MAX(D231,DATE(Einstellungen!$C$3,2,1)),MIN(J231,DATE(Einstellungen!$C$3,3,0)),Einstellungen!$F$13:$F$32)))</f>
        <v/>
      </c>
      <c r="N231" s="49">
        <f>IF(OR(A231="",D231=""),0,MAX(0,NETWORKDAYS(MAX(D231,DATE(Einstellungen!$C$3,3,1)),MIN(J231,DATE(Einstellungen!$C$3,4,0)),Einstellungen!$F$13:$F$32)))</f>
        <v/>
      </c>
      <c r="O231" s="49">
        <f>IF(OR(A231="",D231=""),0,MAX(0,NETWORKDAYS(MAX(D231,DATE(Einstellungen!$C$3,4,1)),MIN(J231,DATE(Einstellungen!$C$3,5,0)),Einstellungen!$F$13:$F$32)))</f>
        <v/>
      </c>
      <c r="P231" s="49">
        <f>IF(OR(A231="",D231=""),0,MAX(0,NETWORKDAYS(MAX(D231,DATE(Einstellungen!$C$3,5,1)),MIN(J231,DATE(Einstellungen!$C$3,6,0)),Einstellungen!$F$13:$F$32)))</f>
        <v/>
      </c>
      <c r="Q231" s="49">
        <f>IF(OR(A231="",D231=""),0,MAX(0,NETWORKDAYS(MAX(D231,DATE(Einstellungen!$C$3,6,1)),MIN(J231,DATE(Einstellungen!$C$3,7,0)),Einstellungen!$F$13:$F$32)))</f>
        <v/>
      </c>
      <c r="R231" s="49">
        <f>IF(OR(A231="",D231=""),0,MAX(0,NETWORKDAYS(MAX(D231,DATE(Einstellungen!$C$3,7,1)),MIN(J231,DATE(Einstellungen!$C$3,8,0)),Einstellungen!$F$13:$F$32)))</f>
        <v/>
      </c>
      <c r="S231" s="49">
        <f>IF(OR(A231="",D231=""),0,MAX(0,NETWORKDAYS(MAX(D231,DATE(Einstellungen!$C$3,8,1)),MIN(J231,DATE(Einstellungen!$C$3,9,0)),Einstellungen!$F$13:$F$32)))</f>
        <v/>
      </c>
      <c r="T231" s="49">
        <f>IF(OR(A231="",D231=""),0,MAX(0,NETWORKDAYS(MAX(D231,DATE(Einstellungen!$C$3,9,1)),MIN(J231,DATE(Einstellungen!$C$3,10,0)),Einstellungen!$F$13:$F$32)))</f>
        <v/>
      </c>
      <c r="U231" s="49">
        <f>IF(OR(A231="",D231=""),0,MAX(0,NETWORKDAYS(MAX(D231,DATE(Einstellungen!$C$3,10,1)),MIN(J231,DATE(Einstellungen!$C$3,11,0)),Einstellungen!$F$13:$F$32)))</f>
        <v/>
      </c>
      <c r="V231" s="49">
        <f>IF(OR(A231="",D231=""),0,MAX(0,NETWORKDAYS(MAX(D231,DATE(Einstellungen!$C$3,11,1)),MIN(J231,DATE(Einstellungen!$C$3,12,0)),Einstellungen!$F$13:$F$32)))</f>
        <v/>
      </c>
      <c r="W231" s="49">
        <f>IF(OR(A231="",D231=""),0,MAX(0,NETWORKDAYS(MAX(D231,DATE(Einstellungen!$C$3,12,1)),MIN(J231,DATE(Einstellungen!$C$3,13,0)),Einstellungen!$F$13:$F$32)))</f>
        <v/>
      </c>
      <c r="X231" s="50">
        <f>L231*K231</f>
        <v/>
      </c>
      <c r="Y231" s="50">
        <f>M231*K231</f>
        <v/>
      </c>
      <c r="Z231" s="50">
        <f>N231*K231</f>
        <v/>
      </c>
      <c r="AA231" s="50">
        <f>O231*K231</f>
        <v/>
      </c>
      <c r="AB231" s="50">
        <f>P231*K231</f>
        <v/>
      </c>
      <c r="AC231" s="50">
        <f>Q231*K231</f>
        <v/>
      </c>
      <c r="AD231" s="50">
        <f>R231*K231</f>
        <v/>
      </c>
      <c r="AE231" s="50">
        <f>S231*K231</f>
        <v/>
      </c>
      <c r="AF231" s="50">
        <f>T231*K231</f>
        <v/>
      </c>
      <c r="AG231" s="50">
        <f>U231*K231</f>
        <v/>
      </c>
      <c r="AH231" s="50">
        <f>V231*K231</f>
        <v/>
      </c>
      <c r="AI231" s="50">
        <f>W231*K231</f>
        <v/>
      </c>
    </row>
    <row r="232">
      <c r="A232" s="25" t="n"/>
      <c r="B232" s="45">
        <f>IF(A232="","",IFERROR(INDEX(Mitarbeiter!$B$6:$B$205,MATCH($A232,Mitarbeiter!$A$6:$A$205,0)),"?"))</f>
        <v/>
      </c>
      <c r="C232" s="46" t="n"/>
      <c r="D232" s="26" t="n"/>
      <c r="E232" s="26" t="n"/>
      <c r="F232" s="24">
        <f>IF(A232="","",SUM(L232:W232))</f>
        <v/>
      </c>
      <c r="G232" s="36">
        <f>IF(A232="","",SUM(X232:AI232))</f>
        <v/>
      </c>
      <c r="H232" s="8">
        <f>IF(A232="","",IF(ISNA(MATCH(A232,Mitarbeiter!$A$6:$A$205,0)),"Pers.-Nr. unbekannt",IF(D232="","Von fehlt",IF(AND(C232&lt;&gt;Einstellungen!$C$4,C232&lt;&gt;Einstellungen!$C$5),"Objekt fehlt",IF(J232&lt;D232,"Bis vor Von",IF(D232&lt;INDEX(Mitarbeiter!$C$6:$C$205,MATCH($A232,Mitarbeiter!$A$6:$A$205,0)),"vor Eintritt",IF(AND(INDEX(Mitarbeiter!$D$6:$D$205,MATCH($A232,Mitarbeiter!$A$6:$A$205,0))&lt;&gt;"",D232&gt;INDEX(Mitarbeiter!$D$6:$D$205,MATCH($A232,Mitarbeiter!$A$6:$A$205,0))),"nach Austritt",IF(E232="","offen","ok"))))))))</f>
        <v/>
      </c>
      <c r="J232" s="47">
        <f>IF(A232="","",IF(E232="",Einstellungen!$C$9,E232))</f>
        <v/>
      </c>
      <c r="K232" s="48">
        <f>IF(A232="",0,IFERROR(INDEX(Mitarbeiter!$F$6:$F$205,MATCH($A232,Mitarbeiter!$A$6:$A$205,0)),0))</f>
        <v/>
      </c>
      <c r="L232" s="49">
        <f>IF(OR(A232="",D232=""),0,MAX(0,NETWORKDAYS(MAX(D232,DATE(Einstellungen!$C$3,1,1)),MIN(J232,DATE(Einstellungen!$C$3,2,0)),Einstellungen!$F$13:$F$32)))</f>
        <v/>
      </c>
      <c r="M232" s="49">
        <f>IF(OR(A232="",D232=""),0,MAX(0,NETWORKDAYS(MAX(D232,DATE(Einstellungen!$C$3,2,1)),MIN(J232,DATE(Einstellungen!$C$3,3,0)),Einstellungen!$F$13:$F$32)))</f>
        <v/>
      </c>
      <c r="N232" s="49">
        <f>IF(OR(A232="",D232=""),0,MAX(0,NETWORKDAYS(MAX(D232,DATE(Einstellungen!$C$3,3,1)),MIN(J232,DATE(Einstellungen!$C$3,4,0)),Einstellungen!$F$13:$F$32)))</f>
        <v/>
      </c>
      <c r="O232" s="49">
        <f>IF(OR(A232="",D232=""),0,MAX(0,NETWORKDAYS(MAX(D232,DATE(Einstellungen!$C$3,4,1)),MIN(J232,DATE(Einstellungen!$C$3,5,0)),Einstellungen!$F$13:$F$32)))</f>
        <v/>
      </c>
      <c r="P232" s="49">
        <f>IF(OR(A232="",D232=""),0,MAX(0,NETWORKDAYS(MAX(D232,DATE(Einstellungen!$C$3,5,1)),MIN(J232,DATE(Einstellungen!$C$3,6,0)),Einstellungen!$F$13:$F$32)))</f>
        <v/>
      </c>
      <c r="Q232" s="49">
        <f>IF(OR(A232="",D232=""),0,MAX(0,NETWORKDAYS(MAX(D232,DATE(Einstellungen!$C$3,6,1)),MIN(J232,DATE(Einstellungen!$C$3,7,0)),Einstellungen!$F$13:$F$32)))</f>
        <v/>
      </c>
      <c r="R232" s="49">
        <f>IF(OR(A232="",D232=""),0,MAX(0,NETWORKDAYS(MAX(D232,DATE(Einstellungen!$C$3,7,1)),MIN(J232,DATE(Einstellungen!$C$3,8,0)),Einstellungen!$F$13:$F$32)))</f>
        <v/>
      </c>
      <c r="S232" s="49">
        <f>IF(OR(A232="",D232=""),0,MAX(0,NETWORKDAYS(MAX(D232,DATE(Einstellungen!$C$3,8,1)),MIN(J232,DATE(Einstellungen!$C$3,9,0)),Einstellungen!$F$13:$F$32)))</f>
        <v/>
      </c>
      <c r="T232" s="49">
        <f>IF(OR(A232="",D232=""),0,MAX(0,NETWORKDAYS(MAX(D232,DATE(Einstellungen!$C$3,9,1)),MIN(J232,DATE(Einstellungen!$C$3,10,0)),Einstellungen!$F$13:$F$32)))</f>
        <v/>
      </c>
      <c r="U232" s="49">
        <f>IF(OR(A232="",D232=""),0,MAX(0,NETWORKDAYS(MAX(D232,DATE(Einstellungen!$C$3,10,1)),MIN(J232,DATE(Einstellungen!$C$3,11,0)),Einstellungen!$F$13:$F$32)))</f>
        <v/>
      </c>
      <c r="V232" s="49">
        <f>IF(OR(A232="",D232=""),0,MAX(0,NETWORKDAYS(MAX(D232,DATE(Einstellungen!$C$3,11,1)),MIN(J232,DATE(Einstellungen!$C$3,12,0)),Einstellungen!$F$13:$F$32)))</f>
        <v/>
      </c>
      <c r="W232" s="49">
        <f>IF(OR(A232="",D232=""),0,MAX(0,NETWORKDAYS(MAX(D232,DATE(Einstellungen!$C$3,12,1)),MIN(J232,DATE(Einstellungen!$C$3,13,0)),Einstellungen!$F$13:$F$32)))</f>
        <v/>
      </c>
      <c r="X232" s="50">
        <f>L232*K232</f>
        <v/>
      </c>
      <c r="Y232" s="50">
        <f>M232*K232</f>
        <v/>
      </c>
      <c r="Z232" s="50">
        <f>N232*K232</f>
        <v/>
      </c>
      <c r="AA232" s="50">
        <f>O232*K232</f>
        <v/>
      </c>
      <c r="AB232" s="50">
        <f>P232*K232</f>
        <v/>
      </c>
      <c r="AC232" s="50">
        <f>Q232*K232</f>
        <v/>
      </c>
      <c r="AD232" s="50">
        <f>R232*K232</f>
        <v/>
      </c>
      <c r="AE232" s="50">
        <f>S232*K232</f>
        <v/>
      </c>
      <c r="AF232" s="50">
        <f>T232*K232</f>
        <v/>
      </c>
      <c r="AG232" s="50">
        <f>U232*K232</f>
        <v/>
      </c>
      <c r="AH232" s="50">
        <f>V232*K232</f>
        <v/>
      </c>
      <c r="AI232" s="50">
        <f>W232*K232</f>
        <v/>
      </c>
    </row>
    <row r="233">
      <c r="A233" s="25" t="n"/>
      <c r="B233" s="45">
        <f>IF(A233="","",IFERROR(INDEX(Mitarbeiter!$B$6:$B$205,MATCH($A233,Mitarbeiter!$A$6:$A$205,0)),"?"))</f>
        <v/>
      </c>
      <c r="C233" s="46" t="n"/>
      <c r="D233" s="26" t="n"/>
      <c r="E233" s="26" t="n"/>
      <c r="F233" s="24">
        <f>IF(A233="","",SUM(L233:W233))</f>
        <v/>
      </c>
      <c r="G233" s="36">
        <f>IF(A233="","",SUM(X233:AI233))</f>
        <v/>
      </c>
      <c r="H233" s="8">
        <f>IF(A233="","",IF(ISNA(MATCH(A233,Mitarbeiter!$A$6:$A$205,0)),"Pers.-Nr. unbekannt",IF(D233="","Von fehlt",IF(AND(C233&lt;&gt;Einstellungen!$C$4,C233&lt;&gt;Einstellungen!$C$5),"Objekt fehlt",IF(J233&lt;D233,"Bis vor Von",IF(D233&lt;INDEX(Mitarbeiter!$C$6:$C$205,MATCH($A233,Mitarbeiter!$A$6:$A$205,0)),"vor Eintritt",IF(AND(INDEX(Mitarbeiter!$D$6:$D$205,MATCH($A233,Mitarbeiter!$A$6:$A$205,0))&lt;&gt;"",D233&gt;INDEX(Mitarbeiter!$D$6:$D$205,MATCH($A233,Mitarbeiter!$A$6:$A$205,0))),"nach Austritt",IF(E233="","offen","ok"))))))))</f>
        <v/>
      </c>
      <c r="J233" s="47">
        <f>IF(A233="","",IF(E233="",Einstellungen!$C$9,E233))</f>
        <v/>
      </c>
      <c r="K233" s="48">
        <f>IF(A233="",0,IFERROR(INDEX(Mitarbeiter!$F$6:$F$205,MATCH($A233,Mitarbeiter!$A$6:$A$205,0)),0))</f>
        <v/>
      </c>
      <c r="L233" s="49">
        <f>IF(OR(A233="",D233=""),0,MAX(0,NETWORKDAYS(MAX(D233,DATE(Einstellungen!$C$3,1,1)),MIN(J233,DATE(Einstellungen!$C$3,2,0)),Einstellungen!$F$13:$F$32)))</f>
        <v/>
      </c>
      <c r="M233" s="49">
        <f>IF(OR(A233="",D233=""),0,MAX(0,NETWORKDAYS(MAX(D233,DATE(Einstellungen!$C$3,2,1)),MIN(J233,DATE(Einstellungen!$C$3,3,0)),Einstellungen!$F$13:$F$32)))</f>
        <v/>
      </c>
      <c r="N233" s="49">
        <f>IF(OR(A233="",D233=""),0,MAX(0,NETWORKDAYS(MAX(D233,DATE(Einstellungen!$C$3,3,1)),MIN(J233,DATE(Einstellungen!$C$3,4,0)),Einstellungen!$F$13:$F$32)))</f>
        <v/>
      </c>
      <c r="O233" s="49">
        <f>IF(OR(A233="",D233=""),0,MAX(0,NETWORKDAYS(MAX(D233,DATE(Einstellungen!$C$3,4,1)),MIN(J233,DATE(Einstellungen!$C$3,5,0)),Einstellungen!$F$13:$F$32)))</f>
        <v/>
      </c>
      <c r="P233" s="49">
        <f>IF(OR(A233="",D233=""),0,MAX(0,NETWORKDAYS(MAX(D233,DATE(Einstellungen!$C$3,5,1)),MIN(J233,DATE(Einstellungen!$C$3,6,0)),Einstellungen!$F$13:$F$32)))</f>
        <v/>
      </c>
      <c r="Q233" s="49">
        <f>IF(OR(A233="",D233=""),0,MAX(0,NETWORKDAYS(MAX(D233,DATE(Einstellungen!$C$3,6,1)),MIN(J233,DATE(Einstellungen!$C$3,7,0)),Einstellungen!$F$13:$F$32)))</f>
        <v/>
      </c>
      <c r="R233" s="49">
        <f>IF(OR(A233="",D233=""),0,MAX(0,NETWORKDAYS(MAX(D233,DATE(Einstellungen!$C$3,7,1)),MIN(J233,DATE(Einstellungen!$C$3,8,0)),Einstellungen!$F$13:$F$32)))</f>
        <v/>
      </c>
      <c r="S233" s="49">
        <f>IF(OR(A233="",D233=""),0,MAX(0,NETWORKDAYS(MAX(D233,DATE(Einstellungen!$C$3,8,1)),MIN(J233,DATE(Einstellungen!$C$3,9,0)),Einstellungen!$F$13:$F$32)))</f>
        <v/>
      </c>
      <c r="T233" s="49">
        <f>IF(OR(A233="",D233=""),0,MAX(0,NETWORKDAYS(MAX(D233,DATE(Einstellungen!$C$3,9,1)),MIN(J233,DATE(Einstellungen!$C$3,10,0)),Einstellungen!$F$13:$F$32)))</f>
        <v/>
      </c>
      <c r="U233" s="49">
        <f>IF(OR(A233="",D233=""),0,MAX(0,NETWORKDAYS(MAX(D233,DATE(Einstellungen!$C$3,10,1)),MIN(J233,DATE(Einstellungen!$C$3,11,0)),Einstellungen!$F$13:$F$32)))</f>
        <v/>
      </c>
      <c r="V233" s="49">
        <f>IF(OR(A233="",D233=""),0,MAX(0,NETWORKDAYS(MAX(D233,DATE(Einstellungen!$C$3,11,1)),MIN(J233,DATE(Einstellungen!$C$3,12,0)),Einstellungen!$F$13:$F$32)))</f>
        <v/>
      </c>
      <c r="W233" s="49">
        <f>IF(OR(A233="",D233=""),0,MAX(0,NETWORKDAYS(MAX(D233,DATE(Einstellungen!$C$3,12,1)),MIN(J233,DATE(Einstellungen!$C$3,13,0)),Einstellungen!$F$13:$F$32)))</f>
        <v/>
      </c>
      <c r="X233" s="50">
        <f>L233*K233</f>
        <v/>
      </c>
      <c r="Y233" s="50">
        <f>M233*K233</f>
        <v/>
      </c>
      <c r="Z233" s="50">
        <f>N233*K233</f>
        <v/>
      </c>
      <c r="AA233" s="50">
        <f>O233*K233</f>
        <v/>
      </c>
      <c r="AB233" s="50">
        <f>P233*K233</f>
        <v/>
      </c>
      <c r="AC233" s="50">
        <f>Q233*K233</f>
        <v/>
      </c>
      <c r="AD233" s="50">
        <f>R233*K233</f>
        <v/>
      </c>
      <c r="AE233" s="50">
        <f>S233*K233</f>
        <v/>
      </c>
      <c r="AF233" s="50">
        <f>T233*K233</f>
        <v/>
      </c>
      <c r="AG233" s="50">
        <f>U233*K233</f>
        <v/>
      </c>
      <c r="AH233" s="50">
        <f>V233*K233</f>
        <v/>
      </c>
      <c r="AI233" s="50">
        <f>W233*K233</f>
        <v/>
      </c>
    </row>
    <row r="234">
      <c r="A234" s="25" t="n"/>
      <c r="B234" s="45">
        <f>IF(A234="","",IFERROR(INDEX(Mitarbeiter!$B$6:$B$205,MATCH($A234,Mitarbeiter!$A$6:$A$205,0)),"?"))</f>
        <v/>
      </c>
      <c r="C234" s="46" t="n"/>
      <c r="D234" s="26" t="n"/>
      <c r="E234" s="26" t="n"/>
      <c r="F234" s="24">
        <f>IF(A234="","",SUM(L234:W234))</f>
        <v/>
      </c>
      <c r="G234" s="36">
        <f>IF(A234="","",SUM(X234:AI234))</f>
        <v/>
      </c>
      <c r="H234" s="8">
        <f>IF(A234="","",IF(ISNA(MATCH(A234,Mitarbeiter!$A$6:$A$205,0)),"Pers.-Nr. unbekannt",IF(D234="","Von fehlt",IF(AND(C234&lt;&gt;Einstellungen!$C$4,C234&lt;&gt;Einstellungen!$C$5),"Objekt fehlt",IF(J234&lt;D234,"Bis vor Von",IF(D234&lt;INDEX(Mitarbeiter!$C$6:$C$205,MATCH($A234,Mitarbeiter!$A$6:$A$205,0)),"vor Eintritt",IF(AND(INDEX(Mitarbeiter!$D$6:$D$205,MATCH($A234,Mitarbeiter!$A$6:$A$205,0))&lt;&gt;"",D234&gt;INDEX(Mitarbeiter!$D$6:$D$205,MATCH($A234,Mitarbeiter!$A$6:$A$205,0))),"nach Austritt",IF(E234="","offen","ok"))))))))</f>
        <v/>
      </c>
      <c r="J234" s="47">
        <f>IF(A234="","",IF(E234="",Einstellungen!$C$9,E234))</f>
        <v/>
      </c>
      <c r="K234" s="48">
        <f>IF(A234="",0,IFERROR(INDEX(Mitarbeiter!$F$6:$F$205,MATCH($A234,Mitarbeiter!$A$6:$A$205,0)),0))</f>
        <v/>
      </c>
      <c r="L234" s="49">
        <f>IF(OR(A234="",D234=""),0,MAX(0,NETWORKDAYS(MAX(D234,DATE(Einstellungen!$C$3,1,1)),MIN(J234,DATE(Einstellungen!$C$3,2,0)),Einstellungen!$F$13:$F$32)))</f>
        <v/>
      </c>
      <c r="M234" s="49">
        <f>IF(OR(A234="",D234=""),0,MAX(0,NETWORKDAYS(MAX(D234,DATE(Einstellungen!$C$3,2,1)),MIN(J234,DATE(Einstellungen!$C$3,3,0)),Einstellungen!$F$13:$F$32)))</f>
        <v/>
      </c>
      <c r="N234" s="49">
        <f>IF(OR(A234="",D234=""),0,MAX(0,NETWORKDAYS(MAX(D234,DATE(Einstellungen!$C$3,3,1)),MIN(J234,DATE(Einstellungen!$C$3,4,0)),Einstellungen!$F$13:$F$32)))</f>
        <v/>
      </c>
      <c r="O234" s="49">
        <f>IF(OR(A234="",D234=""),0,MAX(0,NETWORKDAYS(MAX(D234,DATE(Einstellungen!$C$3,4,1)),MIN(J234,DATE(Einstellungen!$C$3,5,0)),Einstellungen!$F$13:$F$32)))</f>
        <v/>
      </c>
      <c r="P234" s="49">
        <f>IF(OR(A234="",D234=""),0,MAX(0,NETWORKDAYS(MAX(D234,DATE(Einstellungen!$C$3,5,1)),MIN(J234,DATE(Einstellungen!$C$3,6,0)),Einstellungen!$F$13:$F$32)))</f>
        <v/>
      </c>
      <c r="Q234" s="49">
        <f>IF(OR(A234="",D234=""),0,MAX(0,NETWORKDAYS(MAX(D234,DATE(Einstellungen!$C$3,6,1)),MIN(J234,DATE(Einstellungen!$C$3,7,0)),Einstellungen!$F$13:$F$32)))</f>
        <v/>
      </c>
      <c r="R234" s="49">
        <f>IF(OR(A234="",D234=""),0,MAX(0,NETWORKDAYS(MAX(D234,DATE(Einstellungen!$C$3,7,1)),MIN(J234,DATE(Einstellungen!$C$3,8,0)),Einstellungen!$F$13:$F$32)))</f>
        <v/>
      </c>
      <c r="S234" s="49">
        <f>IF(OR(A234="",D234=""),0,MAX(0,NETWORKDAYS(MAX(D234,DATE(Einstellungen!$C$3,8,1)),MIN(J234,DATE(Einstellungen!$C$3,9,0)),Einstellungen!$F$13:$F$32)))</f>
        <v/>
      </c>
      <c r="T234" s="49">
        <f>IF(OR(A234="",D234=""),0,MAX(0,NETWORKDAYS(MAX(D234,DATE(Einstellungen!$C$3,9,1)),MIN(J234,DATE(Einstellungen!$C$3,10,0)),Einstellungen!$F$13:$F$32)))</f>
        <v/>
      </c>
      <c r="U234" s="49">
        <f>IF(OR(A234="",D234=""),0,MAX(0,NETWORKDAYS(MAX(D234,DATE(Einstellungen!$C$3,10,1)),MIN(J234,DATE(Einstellungen!$C$3,11,0)),Einstellungen!$F$13:$F$32)))</f>
        <v/>
      </c>
      <c r="V234" s="49">
        <f>IF(OR(A234="",D234=""),0,MAX(0,NETWORKDAYS(MAX(D234,DATE(Einstellungen!$C$3,11,1)),MIN(J234,DATE(Einstellungen!$C$3,12,0)),Einstellungen!$F$13:$F$32)))</f>
        <v/>
      </c>
      <c r="W234" s="49">
        <f>IF(OR(A234="",D234=""),0,MAX(0,NETWORKDAYS(MAX(D234,DATE(Einstellungen!$C$3,12,1)),MIN(J234,DATE(Einstellungen!$C$3,13,0)),Einstellungen!$F$13:$F$32)))</f>
        <v/>
      </c>
      <c r="X234" s="50">
        <f>L234*K234</f>
        <v/>
      </c>
      <c r="Y234" s="50">
        <f>M234*K234</f>
        <v/>
      </c>
      <c r="Z234" s="50">
        <f>N234*K234</f>
        <v/>
      </c>
      <c r="AA234" s="50">
        <f>O234*K234</f>
        <v/>
      </c>
      <c r="AB234" s="50">
        <f>P234*K234</f>
        <v/>
      </c>
      <c r="AC234" s="50">
        <f>Q234*K234</f>
        <v/>
      </c>
      <c r="AD234" s="50">
        <f>R234*K234</f>
        <v/>
      </c>
      <c r="AE234" s="50">
        <f>S234*K234</f>
        <v/>
      </c>
      <c r="AF234" s="50">
        <f>T234*K234</f>
        <v/>
      </c>
      <c r="AG234" s="50">
        <f>U234*K234</f>
        <v/>
      </c>
      <c r="AH234" s="50">
        <f>V234*K234</f>
        <v/>
      </c>
      <c r="AI234" s="50">
        <f>W234*K234</f>
        <v/>
      </c>
    </row>
    <row r="235">
      <c r="A235" s="25" t="n"/>
      <c r="B235" s="45">
        <f>IF(A235="","",IFERROR(INDEX(Mitarbeiter!$B$6:$B$205,MATCH($A235,Mitarbeiter!$A$6:$A$205,0)),"?"))</f>
        <v/>
      </c>
      <c r="C235" s="46" t="n"/>
      <c r="D235" s="26" t="n"/>
      <c r="E235" s="26" t="n"/>
      <c r="F235" s="24">
        <f>IF(A235="","",SUM(L235:W235))</f>
        <v/>
      </c>
      <c r="G235" s="36">
        <f>IF(A235="","",SUM(X235:AI235))</f>
        <v/>
      </c>
      <c r="H235" s="8">
        <f>IF(A235="","",IF(ISNA(MATCH(A235,Mitarbeiter!$A$6:$A$205,0)),"Pers.-Nr. unbekannt",IF(D235="","Von fehlt",IF(AND(C235&lt;&gt;Einstellungen!$C$4,C235&lt;&gt;Einstellungen!$C$5),"Objekt fehlt",IF(J235&lt;D235,"Bis vor Von",IF(D235&lt;INDEX(Mitarbeiter!$C$6:$C$205,MATCH($A235,Mitarbeiter!$A$6:$A$205,0)),"vor Eintritt",IF(AND(INDEX(Mitarbeiter!$D$6:$D$205,MATCH($A235,Mitarbeiter!$A$6:$A$205,0))&lt;&gt;"",D235&gt;INDEX(Mitarbeiter!$D$6:$D$205,MATCH($A235,Mitarbeiter!$A$6:$A$205,0))),"nach Austritt",IF(E235="","offen","ok"))))))))</f>
        <v/>
      </c>
      <c r="J235" s="47">
        <f>IF(A235="","",IF(E235="",Einstellungen!$C$9,E235))</f>
        <v/>
      </c>
      <c r="K235" s="48">
        <f>IF(A235="",0,IFERROR(INDEX(Mitarbeiter!$F$6:$F$205,MATCH($A235,Mitarbeiter!$A$6:$A$205,0)),0))</f>
        <v/>
      </c>
      <c r="L235" s="49">
        <f>IF(OR(A235="",D235=""),0,MAX(0,NETWORKDAYS(MAX(D235,DATE(Einstellungen!$C$3,1,1)),MIN(J235,DATE(Einstellungen!$C$3,2,0)),Einstellungen!$F$13:$F$32)))</f>
        <v/>
      </c>
      <c r="M235" s="49">
        <f>IF(OR(A235="",D235=""),0,MAX(0,NETWORKDAYS(MAX(D235,DATE(Einstellungen!$C$3,2,1)),MIN(J235,DATE(Einstellungen!$C$3,3,0)),Einstellungen!$F$13:$F$32)))</f>
        <v/>
      </c>
      <c r="N235" s="49">
        <f>IF(OR(A235="",D235=""),0,MAX(0,NETWORKDAYS(MAX(D235,DATE(Einstellungen!$C$3,3,1)),MIN(J235,DATE(Einstellungen!$C$3,4,0)),Einstellungen!$F$13:$F$32)))</f>
        <v/>
      </c>
      <c r="O235" s="49">
        <f>IF(OR(A235="",D235=""),0,MAX(0,NETWORKDAYS(MAX(D235,DATE(Einstellungen!$C$3,4,1)),MIN(J235,DATE(Einstellungen!$C$3,5,0)),Einstellungen!$F$13:$F$32)))</f>
        <v/>
      </c>
      <c r="P235" s="49">
        <f>IF(OR(A235="",D235=""),0,MAX(0,NETWORKDAYS(MAX(D235,DATE(Einstellungen!$C$3,5,1)),MIN(J235,DATE(Einstellungen!$C$3,6,0)),Einstellungen!$F$13:$F$32)))</f>
        <v/>
      </c>
      <c r="Q235" s="49">
        <f>IF(OR(A235="",D235=""),0,MAX(0,NETWORKDAYS(MAX(D235,DATE(Einstellungen!$C$3,6,1)),MIN(J235,DATE(Einstellungen!$C$3,7,0)),Einstellungen!$F$13:$F$32)))</f>
        <v/>
      </c>
      <c r="R235" s="49">
        <f>IF(OR(A235="",D235=""),0,MAX(0,NETWORKDAYS(MAX(D235,DATE(Einstellungen!$C$3,7,1)),MIN(J235,DATE(Einstellungen!$C$3,8,0)),Einstellungen!$F$13:$F$32)))</f>
        <v/>
      </c>
      <c r="S235" s="49">
        <f>IF(OR(A235="",D235=""),0,MAX(0,NETWORKDAYS(MAX(D235,DATE(Einstellungen!$C$3,8,1)),MIN(J235,DATE(Einstellungen!$C$3,9,0)),Einstellungen!$F$13:$F$32)))</f>
        <v/>
      </c>
      <c r="T235" s="49">
        <f>IF(OR(A235="",D235=""),0,MAX(0,NETWORKDAYS(MAX(D235,DATE(Einstellungen!$C$3,9,1)),MIN(J235,DATE(Einstellungen!$C$3,10,0)),Einstellungen!$F$13:$F$32)))</f>
        <v/>
      </c>
      <c r="U235" s="49">
        <f>IF(OR(A235="",D235=""),0,MAX(0,NETWORKDAYS(MAX(D235,DATE(Einstellungen!$C$3,10,1)),MIN(J235,DATE(Einstellungen!$C$3,11,0)),Einstellungen!$F$13:$F$32)))</f>
        <v/>
      </c>
      <c r="V235" s="49">
        <f>IF(OR(A235="",D235=""),0,MAX(0,NETWORKDAYS(MAX(D235,DATE(Einstellungen!$C$3,11,1)),MIN(J235,DATE(Einstellungen!$C$3,12,0)),Einstellungen!$F$13:$F$32)))</f>
        <v/>
      </c>
      <c r="W235" s="49">
        <f>IF(OR(A235="",D235=""),0,MAX(0,NETWORKDAYS(MAX(D235,DATE(Einstellungen!$C$3,12,1)),MIN(J235,DATE(Einstellungen!$C$3,13,0)),Einstellungen!$F$13:$F$32)))</f>
        <v/>
      </c>
      <c r="X235" s="50">
        <f>L235*K235</f>
        <v/>
      </c>
      <c r="Y235" s="50">
        <f>M235*K235</f>
        <v/>
      </c>
      <c r="Z235" s="50">
        <f>N235*K235</f>
        <v/>
      </c>
      <c r="AA235" s="50">
        <f>O235*K235</f>
        <v/>
      </c>
      <c r="AB235" s="50">
        <f>P235*K235</f>
        <v/>
      </c>
      <c r="AC235" s="50">
        <f>Q235*K235</f>
        <v/>
      </c>
      <c r="AD235" s="50">
        <f>R235*K235</f>
        <v/>
      </c>
      <c r="AE235" s="50">
        <f>S235*K235</f>
        <v/>
      </c>
      <c r="AF235" s="50">
        <f>T235*K235</f>
        <v/>
      </c>
      <c r="AG235" s="50">
        <f>U235*K235</f>
        <v/>
      </c>
      <c r="AH235" s="50">
        <f>V235*K235</f>
        <v/>
      </c>
      <c r="AI235" s="50">
        <f>W235*K235</f>
        <v/>
      </c>
    </row>
    <row r="236">
      <c r="A236" s="25" t="n"/>
      <c r="B236" s="45">
        <f>IF(A236="","",IFERROR(INDEX(Mitarbeiter!$B$6:$B$205,MATCH($A236,Mitarbeiter!$A$6:$A$205,0)),"?"))</f>
        <v/>
      </c>
      <c r="C236" s="46" t="n"/>
      <c r="D236" s="26" t="n"/>
      <c r="E236" s="26" t="n"/>
      <c r="F236" s="24">
        <f>IF(A236="","",SUM(L236:W236))</f>
        <v/>
      </c>
      <c r="G236" s="36">
        <f>IF(A236="","",SUM(X236:AI236))</f>
        <v/>
      </c>
      <c r="H236" s="8">
        <f>IF(A236="","",IF(ISNA(MATCH(A236,Mitarbeiter!$A$6:$A$205,0)),"Pers.-Nr. unbekannt",IF(D236="","Von fehlt",IF(AND(C236&lt;&gt;Einstellungen!$C$4,C236&lt;&gt;Einstellungen!$C$5),"Objekt fehlt",IF(J236&lt;D236,"Bis vor Von",IF(D236&lt;INDEX(Mitarbeiter!$C$6:$C$205,MATCH($A236,Mitarbeiter!$A$6:$A$205,0)),"vor Eintritt",IF(AND(INDEX(Mitarbeiter!$D$6:$D$205,MATCH($A236,Mitarbeiter!$A$6:$A$205,0))&lt;&gt;"",D236&gt;INDEX(Mitarbeiter!$D$6:$D$205,MATCH($A236,Mitarbeiter!$A$6:$A$205,0))),"nach Austritt",IF(E236="","offen","ok"))))))))</f>
        <v/>
      </c>
      <c r="J236" s="47">
        <f>IF(A236="","",IF(E236="",Einstellungen!$C$9,E236))</f>
        <v/>
      </c>
      <c r="K236" s="48">
        <f>IF(A236="",0,IFERROR(INDEX(Mitarbeiter!$F$6:$F$205,MATCH($A236,Mitarbeiter!$A$6:$A$205,0)),0))</f>
        <v/>
      </c>
      <c r="L236" s="49">
        <f>IF(OR(A236="",D236=""),0,MAX(0,NETWORKDAYS(MAX(D236,DATE(Einstellungen!$C$3,1,1)),MIN(J236,DATE(Einstellungen!$C$3,2,0)),Einstellungen!$F$13:$F$32)))</f>
        <v/>
      </c>
      <c r="M236" s="49">
        <f>IF(OR(A236="",D236=""),0,MAX(0,NETWORKDAYS(MAX(D236,DATE(Einstellungen!$C$3,2,1)),MIN(J236,DATE(Einstellungen!$C$3,3,0)),Einstellungen!$F$13:$F$32)))</f>
        <v/>
      </c>
      <c r="N236" s="49">
        <f>IF(OR(A236="",D236=""),0,MAX(0,NETWORKDAYS(MAX(D236,DATE(Einstellungen!$C$3,3,1)),MIN(J236,DATE(Einstellungen!$C$3,4,0)),Einstellungen!$F$13:$F$32)))</f>
        <v/>
      </c>
      <c r="O236" s="49">
        <f>IF(OR(A236="",D236=""),0,MAX(0,NETWORKDAYS(MAX(D236,DATE(Einstellungen!$C$3,4,1)),MIN(J236,DATE(Einstellungen!$C$3,5,0)),Einstellungen!$F$13:$F$32)))</f>
        <v/>
      </c>
      <c r="P236" s="49">
        <f>IF(OR(A236="",D236=""),0,MAX(0,NETWORKDAYS(MAX(D236,DATE(Einstellungen!$C$3,5,1)),MIN(J236,DATE(Einstellungen!$C$3,6,0)),Einstellungen!$F$13:$F$32)))</f>
        <v/>
      </c>
      <c r="Q236" s="49">
        <f>IF(OR(A236="",D236=""),0,MAX(0,NETWORKDAYS(MAX(D236,DATE(Einstellungen!$C$3,6,1)),MIN(J236,DATE(Einstellungen!$C$3,7,0)),Einstellungen!$F$13:$F$32)))</f>
        <v/>
      </c>
      <c r="R236" s="49">
        <f>IF(OR(A236="",D236=""),0,MAX(0,NETWORKDAYS(MAX(D236,DATE(Einstellungen!$C$3,7,1)),MIN(J236,DATE(Einstellungen!$C$3,8,0)),Einstellungen!$F$13:$F$32)))</f>
        <v/>
      </c>
      <c r="S236" s="49">
        <f>IF(OR(A236="",D236=""),0,MAX(0,NETWORKDAYS(MAX(D236,DATE(Einstellungen!$C$3,8,1)),MIN(J236,DATE(Einstellungen!$C$3,9,0)),Einstellungen!$F$13:$F$32)))</f>
        <v/>
      </c>
      <c r="T236" s="49">
        <f>IF(OR(A236="",D236=""),0,MAX(0,NETWORKDAYS(MAX(D236,DATE(Einstellungen!$C$3,9,1)),MIN(J236,DATE(Einstellungen!$C$3,10,0)),Einstellungen!$F$13:$F$32)))</f>
        <v/>
      </c>
      <c r="U236" s="49">
        <f>IF(OR(A236="",D236=""),0,MAX(0,NETWORKDAYS(MAX(D236,DATE(Einstellungen!$C$3,10,1)),MIN(J236,DATE(Einstellungen!$C$3,11,0)),Einstellungen!$F$13:$F$32)))</f>
        <v/>
      </c>
      <c r="V236" s="49">
        <f>IF(OR(A236="",D236=""),0,MAX(0,NETWORKDAYS(MAX(D236,DATE(Einstellungen!$C$3,11,1)),MIN(J236,DATE(Einstellungen!$C$3,12,0)),Einstellungen!$F$13:$F$32)))</f>
        <v/>
      </c>
      <c r="W236" s="49">
        <f>IF(OR(A236="",D236=""),0,MAX(0,NETWORKDAYS(MAX(D236,DATE(Einstellungen!$C$3,12,1)),MIN(J236,DATE(Einstellungen!$C$3,13,0)),Einstellungen!$F$13:$F$32)))</f>
        <v/>
      </c>
      <c r="X236" s="50">
        <f>L236*K236</f>
        <v/>
      </c>
      <c r="Y236" s="50">
        <f>M236*K236</f>
        <v/>
      </c>
      <c r="Z236" s="50">
        <f>N236*K236</f>
        <v/>
      </c>
      <c r="AA236" s="50">
        <f>O236*K236</f>
        <v/>
      </c>
      <c r="AB236" s="50">
        <f>P236*K236</f>
        <v/>
      </c>
      <c r="AC236" s="50">
        <f>Q236*K236</f>
        <v/>
      </c>
      <c r="AD236" s="50">
        <f>R236*K236</f>
        <v/>
      </c>
      <c r="AE236" s="50">
        <f>S236*K236</f>
        <v/>
      </c>
      <c r="AF236" s="50">
        <f>T236*K236</f>
        <v/>
      </c>
      <c r="AG236" s="50">
        <f>U236*K236</f>
        <v/>
      </c>
      <c r="AH236" s="50">
        <f>V236*K236</f>
        <v/>
      </c>
      <c r="AI236" s="50">
        <f>W236*K236</f>
        <v/>
      </c>
    </row>
    <row r="237">
      <c r="A237" s="25" t="n"/>
      <c r="B237" s="45">
        <f>IF(A237="","",IFERROR(INDEX(Mitarbeiter!$B$6:$B$205,MATCH($A237,Mitarbeiter!$A$6:$A$205,0)),"?"))</f>
        <v/>
      </c>
      <c r="C237" s="46" t="n"/>
      <c r="D237" s="26" t="n"/>
      <c r="E237" s="26" t="n"/>
      <c r="F237" s="24">
        <f>IF(A237="","",SUM(L237:W237))</f>
        <v/>
      </c>
      <c r="G237" s="36">
        <f>IF(A237="","",SUM(X237:AI237))</f>
        <v/>
      </c>
      <c r="H237" s="8">
        <f>IF(A237="","",IF(ISNA(MATCH(A237,Mitarbeiter!$A$6:$A$205,0)),"Pers.-Nr. unbekannt",IF(D237="","Von fehlt",IF(AND(C237&lt;&gt;Einstellungen!$C$4,C237&lt;&gt;Einstellungen!$C$5),"Objekt fehlt",IF(J237&lt;D237,"Bis vor Von",IF(D237&lt;INDEX(Mitarbeiter!$C$6:$C$205,MATCH($A237,Mitarbeiter!$A$6:$A$205,0)),"vor Eintritt",IF(AND(INDEX(Mitarbeiter!$D$6:$D$205,MATCH($A237,Mitarbeiter!$A$6:$A$205,0))&lt;&gt;"",D237&gt;INDEX(Mitarbeiter!$D$6:$D$205,MATCH($A237,Mitarbeiter!$A$6:$A$205,0))),"nach Austritt",IF(E237="","offen","ok"))))))))</f>
        <v/>
      </c>
      <c r="J237" s="47">
        <f>IF(A237="","",IF(E237="",Einstellungen!$C$9,E237))</f>
        <v/>
      </c>
      <c r="K237" s="48">
        <f>IF(A237="",0,IFERROR(INDEX(Mitarbeiter!$F$6:$F$205,MATCH($A237,Mitarbeiter!$A$6:$A$205,0)),0))</f>
        <v/>
      </c>
      <c r="L237" s="49">
        <f>IF(OR(A237="",D237=""),0,MAX(0,NETWORKDAYS(MAX(D237,DATE(Einstellungen!$C$3,1,1)),MIN(J237,DATE(Einstellungen!$C$3,2,0)),Einstellungen!$F$13:$F$32)))</f>
        <v/>
      </c>
      <c r="M237" s="49">
        <f>IF(OR(A237="",D237=""),0,MAX(0,NETWORKDAYS(MAX(D237,DATE(Einstellungen!$C$3,2,1)),MIN(J237,DATE(Einstellungen!$C$3,3,0)),Einstellungen!$F$13:$F$32)))</f>
        <v/>
      </c>
      <c r="N237" s="49">
        <f>IF(OR(A237="",D237=""),0,MAX(0,NETWORKDAYS(MAX(D237,DATE(Einstellungen!$C$3,3,1)),MIN(J237,DATE(Einstellungen!$C$3,4,0)),Einstellungen!$F$13:$F$32)))</f>
        <v/>
      </c>
      <c r="O237" s="49">
        <f>IF(OR(A237="",D237=""),0,MAX(0,NETWORKDAYS(MAX(D237,DATE(Einstellungen!$C$3,4,1)),MIN(J237,DATE(Einstellungen!$C$3,5,0)),Einstellungen!$F$13:$F$32)))</f>
        <v/>
      </c>
      <c r="P237" s="49">
        <f>IF(OR(A237="",D237=""),0,MAX(0,NETWORKDAYS(MAX(D237,DATE(Einstellungen!$C$3,5,1)),MIN(J237,DATE(Einstellungen!$C$3,6,0)),Einstellungen!$F$13:$F$32)))</f>
        <v/>
      </c>
      <c r="Q237" s="49">
        <f>IF(OR(A237="",D237=""),0,MAX(0,NETWORKDAYS(MAX(D237,DATE(Einstellungen!$C$3,6,1)),MIN(J237,DATE(Einstellungen!$C$3,7,0)),Einstellungen!$F$13:$F$32)))</f>
        <v/>
      </c>
      <c r="R237" s="49">
        <f>IF(OR(A237="",D237=""),0,MAX(0,NETWORKDAYS(MAX(D237,DATE(Einstellungen!$C$3,7,1)),MIN(J237,DATE(Einstellungen!$C$3,8,0)),Einstellungen!$F$13:$F$32)))</f>
        <v/>
      </c>
      <c r="S237" s="49">
        <f>IF(OR(A237="",D237=""),0,MAX(0,NETWORKDAYS(MAX(D237,DATE(Einstellungen!$C$3,8,1)),MIN(J237,DATE(Einstellungen!$C$3,9,0)),Einstellungen!$F$13:$F$32)))</f>
        <v/>
      </c>
      <c r="T237" s="49">
        <f>IF(OR(A237="",D237=""),0,MAX(0,NETWORKDAYS(MAX(D237,DATE(Einstellungen!$C$3,9,1)),MIN(J237,DATE(Einstellungen!$C$3,10,0)),Einstellungen!$F$13:$F$32)))</f>
        <v/>
      </c>
      <c r="U237" s="49">
        <f>IF(OR(A237="",D237=""),0,MAX(0,NETWORKDAYS(MAX(D237,DATE(Einstellungen!$C$3,10,1)),MIN(J237,DATE(Einstellungen!$C$3,11,0)),Einstellungen!$F$13:$F$32)))</f>
        <v/>
      </c>
      <c r="V237" s="49">
        <f>IF(OR(A237="",D237=""),0,MAX(0,NETWORKDAYS(MAX(D237,DATE(Einstellungen!$C$3,11,1)),MIN(J237,DATE(Einstellungen!$C$3,12,0)),Einstellungen!$F$13:$F$32)))</f>
        <v/>
      </c>
      <c r="W237" s="49">
        <f>IF(OR(A237="",D237=""),0,MAX(0,NETWORKDAYS(MAX(D237,DATE(Einstellungen!$C$3,12,1)),MIN(J237,DATE(Einstellungen!$C$3,13,0)),Einstellungen!$F$13:$F$32)))</f>
        <v/>
      </c>
      <c r="X237" s="50">
        <f>L237*K237</f>
        <v/>
      </c>
      <c r="Y237" s="50">
        <f>M237*K237</f>
        <v/>
      </c>
      <c r="Z237" s="50">
        <f>N237*K237</f>
        <v/>
      </c>
      <c r="AA237" s="50">
        <f>O237*K237</f>
        <v/>
      </c>
      <c r="AB237" s="50">
        <f>P237*K237</f>
        <v/>
      </c>
      <c r="AC237" s="50">
        <f>Q237*K237</f>
        <v/>
      </c>
      <c r="AD237" s="50">
        <f>R237*K237</f>
        <v/>
      </c>
      <c r="AE237" s="50">
        <f>S237*K237</f>
        <v/>
      </c>
      <c r="AF237" s="50">
        <f>T237*K237</f>
        <v/>
      </c>
      <c r="AG237" s="50">
        <f>U237*K237</f>
        <v/>
      </c>
      <c r="AH237" s="50">
        <f>V237*K237</f>
        <v/>
      </c>
      <c r="AI237" s="50">
        <f>W237*K237</f>
        <v/>
      </c>
    </row>
    <row r="238">
      <c r="A238" s="25" t="n"/>
      <c r="B238" s="45">
        <f>IF(A238="","",IFERROR(INDEX(Mitarbeiter!$B$6:$B$205,MATCH($A238,Mitarbeiter!$A$6:$A$205,0)),"?"))</f>
        <v/>
      </c>
      <c r="C238" s="46" t="n"/>
      <c r="D238" s="26" t="n"/>
      <c r="E238" s="26" t="n"/>
      <c r="F238" s="24">
        <f>IF(A238="","",SUM(L238:W238))</f>
        <v/>
      </c>
      <c r="G238" s="36">
        <f>IF(A238="","",SUM(X238:AI238))</f>
        <v/>
      </c>
      <c r="H238" s="8">
        <f>IF(A238="","",IF(ISNA(MATCH(A238,Mitarbeiter!$A$6:$A$205,0)),"Pers.-Nr. unbekannt",IF(D238="","Von fehlt",IF(AND(C238&lt;&gt;Einstellungen!$C$4,C238&lt;&gt;Einstellungen!$C$5),"Objekt fehlt",IF(J238&lt;D238,"Bis vor Von",IF(D238&lt;INDEX(Mitarbeiter!$C$6:$C$205,MATCH($A238,Mitarbeiter!$A$6:$A$205,0)),"vor Eintritt",IF(AND(INDEX(Mitarbeiter!$D$6:$D$205,MATCH($A238,Mitarbeiter!$A$6:$A$205,0))&lt;&gt;"",D238&gt;INDEX(Mitarbeiter!$D$6:$D$205,MATCH($A238,Mitarbeiter!$A$6:$A$205,0))),"nach Austritt",IF(E238="","offen","ok"))))))))</f>
        <v/>
      </c>
      <c r="J238" s="47">
        <f>IF(A238="","",IF(E238="",Einstellungen!$C$9,E238))</f>
        <v/>
      </c>
      <c r="K238" s="48">
        <f>IF(A238="",0,IFERROR(INDEX(Mitarbeiter!$F$6:$F$205,MATCH($A238,Mitarbeiter!$A$6:$A$205,0)),0))</f>
        <v/>
      </c>
      <c r="L238" s="49">
        <f>IF(OR(A238="",D238=""),0,MAX(0,NETWORKDAYS(MAX(D238,DATE(Einstellungen!$C$3,1,1)),MIN(J238,DATE(Einstellungen!$C$3,2,0)),Einstellungen!$F$13:$F$32)))</f>
        <v/>
      </c>
      <c r="M238" s="49">
        <f>IF(OR(A238="",D238=""),0,MAX(0,NETWORKDAYS(MAX(D238,DATE(Einstellungen!$C$3,2,1)),MIN(J238,DATE(Einstellungen!$C$3,3,0)),Einstellungen!$F$13:$F$32)))</f>
        <v/>
      </c>
      <c r="N238" s="49">
        <f>IF(OR(A238="",D238=""),0,MAX(0,NETWORKDAYS(MAX(D238,DATE(Einstellungen!$C$3,3,1)),MIN(J238,DATE(Einstellungen!$C$3,4,0)),Einstellungen!$F$13:$F$32)))</f>
        <v/>
      </c>
      <c r="O238" s="49">
        <f>IF(OR(A238="",D238=""),0,MAX(0,NETWORKDAYS(MAX(D238,DATE(Einstellungen!$C$3,4,1)),MIN(J238,DATE(Einstellungen!$C$3,5,0)),Einstellungen!$F$13:$F$32)))</f>
        <v/>
      </c>
      <c r="P238" s="49">
        <f>IF(OR(A238="",D238=""),0,MAX(0,NETWORKDAYS(MAX(D238,DATE(Einstellungen!$C$3,5,1)),MIN(J238,DATE(Einstellungen!$C$3,6,0)),Einstellungen!$F$13:$F$32)))</f>
        <v/>
      </c>
      <c r="Q238" s="49">
        <f>IF(OR(A238="",D238=""),0,MAX(0,NETWORKDAYS(MAX(D238,DATE(Einstellungen!$C$3,6,1)),MIN(J238,DATE(Einstellungen!$C$3,7,0)),Einstellungen!$F$13:$F$32)))</f>
        <v/>
      </c>
      <c r="R238" s="49">
        <f>IF(OR(A238="",D238=""),0,MAX(0,NETWORKDAYS(MAX(D238,DATE(Einstellungen!$C$3,7,1)),MIN(J238,DATE(Einstellungen!$C$3,8,0)),Einstellungen!$F$13:$F$32)))</f>
        <v/>
      </c>
      <c r="S238" s="49">
        <f>IF(OR(A238="",D238=""),0,MAX(0,NETWORKDAYS(MAX(D238,DATE(Einstellungen!$C$3,8,1)),MIN(J238,DATE(Einstellungen!$C$3,9,0)),Einstellungen!$F$13:$F$32)))</f>
        <v/>
      </c>
      <c r="T238" s="49">
        <f>IF(OR(A238="",D238=""),0,MAX(0,NETWORKDAYS(MAX(D238,DATE(Einstellungen!$C$3,9,1)),MIN(J238,DATE(Einstellungen!$C$3,10,0)),Einstellungen!$F$13:$F$32)))</f>
        <v/>
      </c>
      <c r="U238" s="49">
        <f>IF(OR(A238="",D238=""),0,MAX(0,NETWORKDAYS(MAX(D238,DATE(Einstellungen!$C$3,10,1)),MIN(J238,DATE(Einstellungen!$C$3,11,0)),Einstellungen!$F$13:$F$32)))</f>
        <v/>
      </c>
      <c r="V238" s="49">
        <f>IF(OR(A238="",D238=""),0,MAX(0,NETWORKDAYS(MAX(D238,DATE(Einstellungen!$C$3,11,1)),MIN(J238,DATE(Einstellungen!$C$3,12,0)),Einstellungen!$F$13:$F$32)))</f>
        <v/>
      </c>
      <c r="W238" s="49">
        <f>IF(OR(A238="",D238=""),0,MAX(0,NETWORKDAYS(MAX(D238,DATE(Einstellungen!$C$3,12,1)),MIN(J238,DATE(Einstellungen!$C$3,13,0)),Einstellungen!$F$13:$F$32)))</f>
        <v/>
      </c>
      <c r="X238" s="50">
        <f>L238*K238</f>
        <v/>
      </c>
      <c r="Y238" s="50">
        <f>M238*K238</f>
        <v/>
      </c>
      <c r="Z238" s="50">
        <f>N238*K238</f>
        <v/>
      </c>
      <c r="AA238" s="50">
        <f>O238*K238</f>
        <v/>
      </c>
      <c r="AB238" s="50">
        <f>P238*K238</f>
        <v/>
      </c>
      <c r="AC238" s="50">
        <f>Q238*K238</f>
        <v/>
      </c>
      <c r="AD238" s="50">
        <f>R238*K238</f>
        <v/>
      </c>
      <c r="AE238" s="50">
        <f>S238*K238</f>
        <v/>
      </c>
      <c r="AF238" s="50">
        <f>T238*K238</f>
        <v/>
      </c>
      <c r="AG238" s="50">
        <f>U238*K238</f>
        <v/>
      </c>
      <c r="AH238" s="50">
        <f>V238*K238</f>
        <v/>
      </c>
      <c r="AI238" s="50">
        <f>W238*K238</f>
        <v/>
      </c>
    </row>
    <row r="239">
      <c r="A239" s="25" t="n"/>
      <c r="B239" s="45">
        <f>IF(A239="","",IFERROR(INDEX(Mitarbeiter!$B$6:$B$205,MATCH($A239,Mitarbeiter!$A$6:$A$205,0)),"?"))</f>
        <v/>
      </c>
      <c r="C239" s="46" t="n"/>
      <c r="D239" s="26" t="n"/>
      <c r="E239" s="26" t="n"/>
      <c r="F239" s="24">
        <f>IF(A239="","",SUM(L239:W239))</f>
        <v/>
      </c>
      <c r="G239" s="36">
        <f>IF(A239="","",SUM(X239:AI239))</f>
        <v/>
      </c>
      <c r="H239" s="8">
        <f>IF(A239="","",IF(ISNA(MATCH(A239,Mitarbeiter!$A$6:$A$205,0)),"Pers.-Nr. unbekannt",IF(D239="","Von fehlt",IF(AND(C239&lt;&gt;Einstellungen!$C$4,C239&lt;&gt;Einstellungen!$C$5),"Objekt fehlt",IF(J239&lt;D239,"Bis vor Von",IF(D239&lt;INDEX(Mitarbeiter!$C$6:$C$205,MATCH($A239,Mitarbeiter!$A$6:$A$205,0)),"vor Eintritt",IF(AND(INDEX(Mitarbeiter!$D$6:$D$205,MATCH($A239,Mitarbeiter!$A$6:$A$205,0))&lt;&gt;"",D239&gt;INDEX(Mitarbeiter!$D$6:$D$205,MATCH($A239,Mitarbeiter!$A$6:$A$205,0))),"nach Austritt",IF(E239="","offen","ok"))))))))</f>
        <v/>
      </c>
      <c r="J239" s="47">
        <f>IF(A239="","",IF(E239="",Einstellungen!$C$9,E239))</f>
        <v/>
      </c>
      <c r="K239" s="48">
        <f>IF(A239="",0,IFERROR(INDEX(Mitarbeiter!$F$6:$F$205,MATCH($A239,Mitarbeiter!$A$6:$A$205,0)),0))</f>
        <v/>
      </c>
      <c r="L239" s="49">
        <f>IF(OR(A239="",D239=""),0,MAX(0,NETWORKDAYS(MAX(D239,DATE(Einstellungen!$C$3,1,1)),MIN(J239,DATE(Einstellungen!$C$3,2,0)),Einstellungen!$F$13:$F$32)))</f>
        <v/>
      </c>
      <c r="M239" s="49">
        <f>IF(OR(A239="",D239=""),0,MAX(0,NETWORKDAYS(MAX(D239,DATE(Einstellungen!$C$3,2,1)),MIN(J239,DATE(Einstellungen!$C$3,3,0)),Einstellungen!$F$13:$F$32)))</f>
        <v/>
      </c>
      <c r="N239" s="49">
        <f>IF(OR(A239="",D239=""),0,MAX(0,NETWORKDAYS(MAX(D239,DATE(Einstellungen!$C$3,3,1)),MIN(J239,DATE(Einstellungen!$C$3,4,0)),Einstellungen!$F$13:$F$32)))</f>
        <v/>
      </c>
      <c r="O239" s="49">
        <f>IF(OR(A239="",D239=""),0,MAX(0,NETWORKDAYS(MAX(D239,DATE(Einstellungen!$C$3,4,1)),MIN(J239,DATE(Einstellungen!$C$3,5,0)),Einstellungen!$F$13:$F$32)))</f>
        <v/>
      </c>
      <c r="P239" s="49">
        <f>IF(OR(A239="",D239=""),0,MAX(0,NETWORKDAYS(MAX(D239,DATE(Einstellungen!$C$3,5,1)),MIN(J239,DATE(Einstellungen!$C$3,6,0)),Einstellungen!$F$13:$F$32)))</f>
        <v/>
      </c>
      <c r="Q239" s="49">
        <f>IF(OR(A239="",D239=""),0,MAX(0,NETWORKDAYS(MAX(D239,DATE(Einstellungen!$C$3,6,1)),MIN(J239,DATE(Einstellungen!$C$3,7,0)),Einstellungen!$F$13:$F$32)))</f>
        <v/>
      </c>
      <c r="R239" s="49">
        <f>IF(OR(A239="",D239=""),0,MAX(0,NETWORKDAYS(MAX(D239,DATE(Einstellungen!$C$3,7,1)),MIN(J239,DATE(Einstellungen!$C$3,8,0)),Einstellungen!$F$13:$F$32)))</f>
        <v/>
      </c>
      <c r="S239" s="49">
        <f>IF(OR(A239="",D239=""),0,MAX(0,NETWORKDAYS(MAX(D239,DATE(Einstellungen!$C$3,8,1)),MIN(J239,DATE(Einstellungen!$C$3,9,0)),Einstellungen!$F$13:$F$32)))</f>
        <v/>
      </c>
      <c r="T239" s="49">
        <f>IF(OR(A239="",D239=""),0,MAX(0,NETWORKDAYS(MAX(D239,DATE(Einstellungen!$C$3,9,1)),MIN(J239,DATE(Einstellungen!$C$3,10,0)),Einstellungen!$F$13:$F$32)))</f>
        <v/>
      </c>
      <c r="U239" s="49">
        <f>IF(OR(A239="",D239=""),0,MAX(0,NETWORKDAYS(MAX(D239,DATE(Einstellungen!$C$3,10,1)),MIN(J239,DATE(Einstellungen!$C$3,11,0)),Einstellungen!$F$13:$F$32)))</f>
        <v/>
      </c>
      <c r="V239" s="49">
        <f>IF(OR(A239="",D239=""),0,MAX(0,NETWORKDAYS(MAX(D239,DATE(Einstellungen!$C$3,11,1)),MIN(J239,DATE(Einstellungen!$C$3,12,0)),Einstellungen!$F$13:$F$32)))</f>
        <v/>
      </c>
      <c r="W239" s="49">
        <f>IF(OR(A239="",D239=""),0,MAX(0,NETWORKDAYS(MAX(D239,DATE(Einstellungen!$C$3,12,1)),MIN(J239,DATE(Einstellungen!$C$3,13,0)),Einstellungen!$F$13:$F$32)))</f>
        <v/>
      </c>
      <c r="X239" s="50">
        <f>L239*K239</f>
        <v/>
      </c>
      <c r="Y239" s="50">
        <f>M239*K239</f>
        <v/>
      </c>
      <c r="Z239" s="50">
        <f>N239*K239</f>
        <v/>
      </c>
      <c r="AA239" s="50">
        <f>O239*K239</f>
        <v/>
      </c>
      <c r="AB239" s="50">
        <f>P239*K239</f>
        <v/>
      </c>
      <c r="AC239" s="50">
        <f>Q239*K239</f>
        <v/>
      </c>
      <c r="AD239" s="50">
        <f>R239*K239</f>
        <v/>
      </c>
      <c r="AE239" s="50">
        <f>S239*K239</f>
        <v/>
      </c>
      <c r="AF239" s="50">
        <f>T239*K239</f>
        <v/>
      </c>
      <c r="AG239" s="50">
        <f>U239*K239</f>
        <v/>
      </c>
      <c r="AH239" s="50">
        <f>V239*K239</f>
        <v/>
      </c>
      <c r="AI239" s="50">
        <f>W239*K239</f>
        <v/>
      </c>
    </row>
    <row r="240">
      <c r="A240" s="25" t="n"/>
      <c r="B240" s="45">
        <f>IF(A240="","",IFERROR(INDEX(Mitarbeiter!$B$6:$B$205,MATCH($A240,Mitarbeiter!$A$6:$A$205,0)),"?"))</f>
        <v/>
      </c>
      <c r="C240" s="46" t="n"/>
      <c r="D240" s="26" t="n"/>
      <c r="E240" s="26" t="n"/>
      <c r="F240" s="24">
        <f>IF(A240="","",SUM(L240:W240))</f>
        <v/>
      </c>
      <c r="G240" s="36">
        <f>IF(A240="","",SUM(X240:AI240))</f>
        <v/>
      </c>
      <c r="H240" s="8">
        <f>IF(A240="","",IF(ISNA(MATCH(A240,Mitarbeiter!$A$6:$A$205,0)),"Pers.-Nr. unbekannt",IF(D240="","Von fehlt",IF(AND(C240&lt;&gt;Einstellungen!$C$4,C240&lt;&gt;Einstellungen!$C$5),"Objekt fehlt",IF(J240&lt;D240,"Bis vor Von",IF(D240&lt;INDEX(Mitarbeiter!$C$6:$C$205,MATCH($A240,Mitarbeiter!$A$6:$A$205,0)),"vor Eintritt",IF(AND(INDEX(Mitarbeiter!$D$6:$D$205,MATCH($A240,Mitarbeiter!$A$6:$A$205,0))&lt;&gt;"",D240&gt;INDEX(Mitarbeiter!$D$6:$D$205,MATCH($A240,Mitarbeiter!$A$6:$A$205,0))),"nach Austritt",IF(E240="","offen","ok"))))))))</f>
        <v/>
      </c>
      <c r="J240" s="47">
        <f>IF(A240="","",IF(E240="",Einstellungen!$C$9,E240))</f>
        <v/>
      </c>
      <c r="K240" s="48">
        <f>IF(A240="",0,IFERROR(INDEX(Mitarbeiter!$F$6:$F$205,MATCH($A240,Mitarbeiter!$A$6:$A$205,0)),0))</f>
        <v/>
      </c>
      <c r="L240" s="49">
        <f>IF(OR(A240="",D240=""),0,MAX(0,NETWORKDAYS(MAX(D240,DATE(Einstellungen!$C$3,1,1)),MIN(J240,DATE(Einstellungen!$C$3,2,0)),Einstellungen!$F$13:$F$32)))</f>
        <v/>
      </c>
      <c r="M240" s="49">
        <f>IF(OR(A240="",D240=""),0,MAX(0,NETWORKDAYS(MAX(D240,DATE(Einstellungen!$C$3,2,1)),MIN(J240,DATE(Einstellungen!$C$3,3,0)),Einstellungen!$F$13:$F$32)))</f>
        <v/>
      </c>
      <c r="N240" s="49">
        <f>IF(OR(A240="",D240=""),0,MAX(0,NETWORKDAYS(MAX(D240,DATE(Einstellungen!$C$3,3,1)),MIN(J240,DATE(Einstellungen!$C$3,4,0)),Einstellungen!$F$13:$F$32)))</f>
        <v/>
      </c>
      <c r="O240" s="49">
        <f>IF(OR(A240="",D240=""),0,MAX(0,NETWORKDAYS(MAX(D240,DATE(Einstellungen!$C$3,4,1)),MIN(J240,DATE(Einstellungen!$C$3,5,0)),Einstellungen!$F$13:$F$32)))</f>
        <v/>
      </c>
      <c r="P240" s="49">
        <f>IF(OR(A240="",D240=""),0,MAX(0,NETWORKDAYS(MAX(D240,DATE(Einstellungen!$C$3,5,1)),MIN(J240,DATE(Einstellungen!$C$3,6,0)),Einstellungen!$F$13:$F$32)))</f>
        <v/>
      </c>
      <c r="Q240" s="49">
        <f>IF(OR(A240="",D240=""),0,MAX(0,NETWORKDAYS(MAX(D240,DATE(Einstellungen!$C$3,6,1)),MIN(J240,DATE(Einstellungen!$C$3,7,0)),Einstellungen!$F$13:$F$32)))</f>
        <v/>
      </c>
      <c r="R240" s="49">
        <f>IF(OR(A240="",D240=""),0,MAX(0,NETWORKDAYS(MAX(D240,DATE(Einstellungen!$C$3,7,1)),MIN(J240,DATE(Einstellungen!$C$3,8,0)),Einstellungen!$F$13:$F$32)))</f>
        <v/>
      </c>
      <c r="S240" s="49">
        <f>IF(OR(A240="",D240=""),0,MAX(0,NETWORKDAYS(MAX(D240,DATE(Einstellungen!$C$3,8,1)),MIN(J240,DATE(Einstellungen!$C$3,9,0)),Einstellungen!$F$13:$F$32)))</f>
        <v/>
      </c>
      <c r="T240" s="49">
        <f>IF(OR(A240="",D240=""),0,MAX(0,NETWORKDAYS(MAX(D240,DATE(Einstellungen!$C$3,9,1)),MIN(J240,DATE(Einstellungen!$C$3,10,0)),Einstellungen!$F$13:$F$32)))</f>
        <v/>
      </c>
      <c r="U240" s="49">
        <f>IF(OR(A240="",D240=""),0,MAX(0,NETWORKDAYS(MAX(D240,DATE(Einstellungen!$C$3,10,1)),MIN(J240,DATE(Einstellungen!$C$3,11,0)),Einstellungen!$F$13:$F$32)))</f>
        <v/>
      </c>
      <c r="V240" s="49">
        <f>IF(OR(A240="",D240=""),0,MAX(0,NETWORKDAYS(MAX(D240,DATE(Einstellungen!$C$3,11,1)),MIN(J240,DATE(Einstellungen!$C$3,12,0)),Einstellungen!$F$13:$F$32)))</f>
        <v/>
      </c>
      <c r="W240" s="49">
        <f>IF(OR(A240="",D240=""),0,MAX(0,NETWORKDAYS(MAX(D240,DATE(Einstellungen!$C$3,12,1)),MIN(J240,DATE(Einstellungen!$C$3,13,0)),Einstellungen!$F$13:$F$32)))</f>
        <v/>
      </c>
      <c r="X240" s="50">
        <f>L240*K240</f>
        <v/>
      </c>
      <c r="Y240" s="50">
        <f>M240*K240</f>
        <v/>
      </c>
      <c r="Z240" s="50">
        <f>N240*K240</f>
        <v/>
      </c>
      <c r="AA240" s="50">
        <f>O240*K240</f>
        <v/>
      </c>
      <c r="AB240" s="50">
        <f>P240*K240</f>
        <v/>
      </c>
      <c r="AC240" s="50">
        <f>Q240*K240</f>
        <v/>
      </c>
      <c r="AD240" s="50">
        <f>R240*K240</f>
        <v/>
      </c>
      <c r="AE240" s="50">
        <f>S240*K240</f>
        <v/>
      </c>
      <c r="AF240" s="50">
        <f>T240*K240</f>
        <v/>
      </c>
      <c r="AG240" s="50">
        <f>U240*K240</f>
        <v/>
      </c>
      <c r="AH240" s="50">
        <f>V240*K240</f>
        <v/>
      </c>
      <c r="AI240" s="50">
        <f>W240*K240</f>
        <v/>
      </c>
    </row>
    <row r="241">
      <c r="A241" s="25" t="n"/>
      <c r="B241" s="45">
        <f>IF(A241="","",IFERROR(INDEX(Mitarbeiter!$B$6:$B$205,MATCH($A241,Mitarbeiter!$A$6:$A$205,0)),"?"))</f>
        <v/>
      </c>
      <c r="C241" s="46" t="n"/>
      <c r="D241" s="26" t="n"/>
      <c r="E241" s="26" t="n"/>
      <c r="F241" s="24">
        <f>IF(A241="","",SUM(L241:W241))</f>
        <v/>
      </c>
      <c r="G241" s="36">
        <f>IF(A241="","",SUM(X241:AI241))</f>
        <v/>
      </c>
      <c r="H241" s="8">
        <f>IF(A241="","",IF(ISNA(MATCH(A241,Mitarbeiter!$A$6:$A$205,0)),"Pers.-Nr. unbekannt",IF(D241="","Von fehlt",IF(AND(C241&lt;&gt;Einstellungen!$C$4,C241&lt;&gt;Einstellungen!$C$5),"Objekt fehlt",IF(J241&lt;D241,"Bis vor Von",IF(D241&lt;INDEX(Mitarbeiter!$C$6:$C$205,MATCH($A241,Mitarbeiter!$A$6:$A$205,0)),"vor Eintritt",IF(AND(INDEX(Mitarbeiter!$D$6:$D$205,MATCH($A241,Mitarbeiter!$A$6:$A$205,0))&lt;&gt;"",D241&gt;INDEX(Mitarbeiter!$D$6:$D$205,MATCH($A241,Mitarbeiter!$A$6:$A$205,0))),"nach Austritt",IF(E241="","offen","ok"))))))))</f>
        <v/>
      </c>
      <c r="J241" s="47">
        <f>IF(A241="","",IF(E241="",Einstellungen!$C$9,E241))</f>
        <v/>
      </c>
      <c r="K241" s="48">
        <f>IF(A241="",0,IFERROR(INDEX(Mitarbeiter!$F$6:$F$205,MATCH($A241,Mitarbeiter!$A$6:$A$205,0)),0))</f>
        <v/>
      </c>
      <c r="L241" s="49">
        <f>IF(OR(A241="",D241=""),0,MAX(0,NETWORKDAYS(MAX(D241,DATE(Einstellungen!$C$3,1,1)),MIN(J241,DATE(Einstellungen!$C$3,2,0)),Einstellungen!$F$13:$F$32)))</f>
        <v/>
      </c>
      <c r="M241" s="49">
        <f>IF(OR(A241="",D241=""),0,MAX(0,NETWORKDAYS(MAX(D241,DATE(Einstellungen!$C$3,2,1)),MIN(J241,DATE(Einstellungen!$C$3,3,0)),Einstellungen!$F$13:$F$32)))</f>
        <v/>
      </c>
      <c r="N241" s="49">
        <f>IF(OR(A241="",D241=""),0,MAX(0,NETWORKDAYS(MAX(D241,DATE(Einstellungen!$C$3,3,1)),MIN(J241,DATE(Einstellungen!$C$3,4,0)),Einstellungen!$F$13:$F$32)))</f>
        <v/>
      </c>
      <c r="O241" s="49">
        <f>IF(OR(A241="",D241=""),0,MAX(0,NETWORKDAYS(MAX(D241,DATE(Einstellungen!$C$3,4,1)),MIN(J241,DATE(Einstellungen!$C$3,5,0)),Einstellungen!$F$13:$F$32)))</f>
        <v/>
      </c>
      <c r="P241" s="49">
        <f>IF(OR(A241="",D241=""),0,MAX(0,NETWORKDAYS(MAX(D241,DATE(Einstellungen!$C$3,5,1)),MIN(J241,DATE(Einstellungen!$C$3,6,0)),Einstellungen!$F$13:$F$32)))</f>
        <v/>
      </c>
      <c r="Q241" s="49">
        <f>IF(OR(A241="",D241=""),0,MAX(0,NETWORKDAYS(MAX(D241,DATE(Einstellungen!$C$3,6,1)),MIN(J241,DATE(Einstellungen!$C$3,7,0)),Einstellungen!$F$13:$F$32)))</f>
        <v/>
      </c>
      <c r="R241" s="49">
        <f>IF(OR(A241="",D241=""),0,MAX(0,NETWORKDAYS(MAX(D241,DATE(Einstellungen!$C$3,7,1)),MIN(J241,DATE(Einstellungen!$C$3,8,0)),Einstellungen!$F$13:$F$32)))</f>
        <v/>
      </c>
      <c r="S241" s="49">
        <f>IF(OR(A241="",D241=""),0,MAX(0,NETWORKDAYS(MAX(D241,DATE(Einstellungen!$C$3,8,1)),MIN(J241,DATE(Einstellungen!$C$3,9,0)),Einstellungen!$F$13:$F$32)))</f>
        <v/>
      </c>
      <c r="T241" s="49">
        <f>IF(OR(A241="",D241=""),0,MAX(0,NETWORKDAYS(MAX(D241,DATE(Einstellungen!$C$3,9,1)),MIN(J241,DATE(Einstellungen!$C$3,10,0)),Einstellungen!$F$13:$F$32)))</f>
        <v/>
      </c>
      <c r="U241" s="49">
        <f>IF(OR(A241="",D241=""),0,MAX(0,NETWORKDAYS(MAX(D241,DATE(Einstellungen!$C$3,10,1)),MIN(J241,DATE(Einstellungen!$C$3,11,0)),Einstellungen!$F$13:$F$32)))</f>
        <v/>
      </c>
      <c r="V241" s="49">
        <f>IF(OR(A241="",D241=""),0,MAX(0,NETWORKDAYS(MAX(D241,DATE(Einstellungen!$C$3,11,1)),MIN(J241,DATE(Einstellungen!$C$3,12,0)),Einstellungen!$F$13:$F$32)))</f>
        <v/>
      </c>
      <c r="W241" s="49">
        <f>IF(OR(A241="",D241=""),0,MAX(0,NETWORKDAYS(MAX(D241,DATE(Einstellungen!$C$3,12,1)),MIN(J241,DATE(Einstellungen!$C$3,13,0)),Einstellungen!$F$13:$F$32)))</f>
        <v/>
      </c>
      <c r="X241" s="50">
        <f>L241*K241</f>
        <v/>
      </c>
      <c r="Y241" s="50">
        <f>M241*K241</f>
        <v/>
      </c>
      <c r="Z241" s="50">
        <f>N241*K241</f>
        <v/>
      </c>
      <c r="AA241" s="50">
        <f>O241*K241</f>
        <v/>
      </c>
      <c r="AB241" s="50">
        <f>P241*K241</f>
        <v/>
      </c>
      <c r="AC241" s="50">
        <f>Q241*K241</f>
        <v/>
      </c>
      <c r="AD241" s="50">
        <f>R241*K241</f>
        <v/>
      </c>
      <c r="AE241" s="50">
        <f>S241*K241</f>
        <v/>
      </c>
      <c r="AF241" s="50">
        <f>T241*K241</f>
        <v/>
      </c>
      <c r="AG241" s="50">
        <f>U241*K241</f>
        <v/>
      </c>
      <c r="AH241" s="50">
        <f>V241*K241</f>
        <v/>
      </c>
      <c r="AI241" s="50">
        <f>W241*K241</f>
        <v/>
      </c>
    </row>
    <row r="242">
      <c r="A242" s="25" t="n"/>
      <c r="B242" s="45">
        <f>IF(A242="","",IFERROR(INDEX(Mitarbeiter!$B$6:$B$205,MATCH($A242,Mitarbeiter!$A$6:$A$205,0)),"?"))</f>
        <v/>
      </c>
      <c r="C242" s="46" t="n"/>
      <c r="D242" s="26" t="n"/>
      <c r="E242" s="26" t="n"/>
      <c r="F242" s="24">
        <f>IF(A242="","",SUM(L242:W242))</f>
        <v/>
      </c>
      <c r="G242" s="36">
        <f>IF(A242="","",SUM(X242:AI242))</f>
        <v/>
      </c>
      <c r="H242" s="8">
        <f>IF(A242="","",IF(ISNA(MATCH(A242,Mitarbeiter!$A$6:$A$205,0)),"Pers.-Nr. unbekannt",IF(D242="","Von fehlt",IF(AND(C242&lt;&gt;Einstellungen!$C$4,C242&lt;&gt;Einstellungen!$C$5),"Objekt fehlt",IF(J242&lt;D242,"Bis vor Von",IF(D242&lt;INDEX(Mitarbeiter!$C$6:$C$205,MATCH($A242,Mitarbeiter!$A$6:$A$205,0)),"vor Eintritt",IF(AND(INDEX(Mitarbeiter!$D$6:$D$205,MATCH($A242,Mitarbeiter!$A$6:$A$205,0))&lt;&gt;"",D242&gt;INDEX(Mitarbeiter!$D$6:$D$205,MATCH($A242,Mitarbeiter!$A$6:$A$205,0))),"nach Austritt",IF(E242="","offen","ok"))))))))</f>
        <v/>
      </c>
      <c r="J242" s="47">
        <f>IF(A242="","",IF(E242="",Einstellungen!$C$9,E242))</f>
        <v/>
      </c>
      <c r="K242" s="48">
        <f>IF(A242="",0,IFERROR(INDEX(Mitarbeiter!$F$6:$F$205,MATCH($A242,Mitarbeiter!$A$6:$A$205,0)),0))</f>
        <v/>
      </c>
      <c r="L242" s="49">
        <f>IF(OR(A242="",D242=""),0,MAX(0,NETWORKDAYS(MAX(D242,DATE(Einstellungen!$C$3,1,1)),MIN(J242,DATE(Einstellungen!$C$3,2,0)),Einstellungen!$F$13:$F$32)))</f>
        <v/>
      </c>
      <c r="M242" s="49">
        <f>IF(OR(A242="",D242=""),0,MAX(0,NETWORKDAYS(MAX(D242,DATE(Einstellungen!$C$3,2,1)),MIN(J242,DATE(Einstellungen!$C$3,3,0)),Einstellungen!$F$13:$F$32)))</f>
        <v/>
      </c>
      <c r="N242" s="49">
        <f>IF(OR(A242="",D242=""),0,MAX(0,NETWORKDAYS(MAX(D242,DATE(Einstellungen!$C$3,3,1)),MIN(J242,DATE(Einstellungen!$C$3,4,0)),Einstellungen!$F$13:$F$32)))</f>
        <v/>
      </c>
      <c r="O242" s="49">
        <f>IF(OR(A242="",D242=""),0,MAX(0,NETWORKDAYS(MAX(D242,DATE(Einstellungen!$C$3,4,1)),MIN(J242,DATE(Einstellungen!$C$3,5,0)),Einstellungen!$F$13:$F$32)))</f>
        <v/>
      </c>
      <c r="P242" s="49">
        <f>IF(OR(A242="",D242=""),0,MAX(0,NETWORKDAYS(MAX(D242,DATE(Einstellungen!$C$3,5,1)),MIN(J242,DATE(Einstellungen!$C$3,6,0)),Einstellungen!$F$13:$F$32)))</f>
        <v/>
      </c>
      <c r="Q242" s="49">
        <f>IF(OR(A242="",D242=""),0,MAX(0,NETWORKDAYS(MAX(D242,DATE(Einstellungen!$C$3,6,1)),MIN(J242,DATE(Einstellungen!$C$3,7,0)),Einstellungen!$F$13:$F$32)))</f>
        <v/>
      </c>
      <c r="R242" s="49">
        <f>IF(OR(A242="",D242=""),0,MAX(0,NETWORKDAYS(MAX(D242,DATE(Einstellungen!$C$3,7,1)),MIN(J242,DATE(Einstellungen!$C$3,8,0)),Einstellungen!$F$13:$F$32)))</f>
        <v/>
      </c>
      <c r="S242" s="49">
        <f>IF(OR(A242="",D242=""),0,MAX(0,NETWORKDAYS(MAX(D242,DATE(Einstellungen!$C$3,8,1)),MIN(J242,DATE(Einstellungen!$C$3,9,0)),Einstellungen!$F$13:$F$32)))</f>
        <v/>
      </c>
      <c r="T242" s="49">
        <f>IF(OR(A242="",D242=""),0,MAX(0,NETWORKDAYS(MAX(D242,DATE(Einstellungen!$C$3,9,1)),MIN(J242,DATE(Einstellungen!$C$3,10,0)),Einstellungen!$F$13:$F$32)))</f>
        <v/>
      </c>
      <c r="U242" s="49">
        <f>IF(OR(A242="",D242=""),0,MAX(0,NETWORKDAYS(MAX(D242,DATE(Einstellungen!$C$3,10,1)),MIN(J242,DATE(Einstellungen!$C$3,11,0)),Einstellungen!$F$13:$F$32)))</f>
        <v/>
      </c>
      <c r="V242" s="49">
        <f>IF(OR(A242="",D242=""),0,MAX(0,NETWORKDAYS(MAX(D242,DATE(Einstellungen!$C$3,11,1)),MIN(J242,DATE(Einstellungen!$C$3,12,0)),Einstellungen!$F$13:$F$32)))</f>
        <v/>
      </c>
      <c r="W242" s="49">
        <f>IF(OR(A242="",D242=""),0,MAX(0,NETWORKDAYS(MAX(D242,DATE(Einstellungen!$C$3,12,1)),MIN(J242,DATE(Einstellungen!$C$3,13,0)),Einstellungen!$F$13:$F$32)))</f>
        <v/>
      </c>
      <c r="X242" s="50">
        <f>L242*K242</f>
        <v/>
      </c>
      <c r="Y242" s="50">
        <f>M242*K242</f>
        <v/>
      </c>
      <c r="Z242" s="50">
        <f>N242*K242</f>
        <v/>
      </c>
      <c r="AA242" s="50">
        <f>O242*K242</f>
        <v/>
      </c>
      <c r="AB242" s="50">
        <f>P242*K242</f>
        <v/>
      </c>
      <c r="AC242" s="50">
        <f>Q242*K242</f>
        <v/>
      </c>
      <c r="AD242" s="50">
        <f>R242*K242</f>
        <v/>
      </c>
      <c r="AE242" s="50">
        <f>S242*K242</f>
        <v/>
      </c>
      <c r="AF242" s="50">
        <f>T242*K242</f>
        <v/>
      </c>
      <c r="AG242" s="50">
        <f>U242*K242</f>
        <v/>
      </c>
      <c r="AH242" s="50">
        <f>V242*K242</f>
        <v/>
      </c>
      <c r="AI242" s="50">
        <f>W242*K242</f>
        <v/>
      </c>
    </row>
    <row r="243">
      <c r="A243" s="25" t="n"/>
      <c r="B243" s="45">
        <f>IF(A243="","",IFERROR(INDEX(Mitarbeiter!$B$6:$B$205,MATCH($A243,Mitarbeiter!$A$6:$A$205,0)),"?"))</f>
        <v/>
      </c>
      <c r="C243" s="46" t="n"/>
      <c r="D243" s="26" t="n"/>
      <c r="E243" s="26" t="n"/>
      <c r="F243" s="24">
        <f>IF(A243="","",SUM(L243:W243))</f>
        <v/>
      </c>
      <c r="G243" s="36">
        <f>IF(A243="","",SUM(X243:AI243))</f>
        <v/>
      </c>
      <c r="H243" s="8">
        <f>IF(A243="","",IF(ISNA(MATCH(A243,Mitarbeiter!$A$6:$A$205,0)),"Pers.-Nr. unbekannt",IF(D243="","Von fehlt",IF(AND(C243&lt;&gt;Einstellungen!$C$4,C243&lt;&gt;Einstellungen!$C$5),"Objekt fehlt",IF(J243&lt;D243,"Bis vor Von",IF(D243&lt;INDEX(Mitarbeiter!$C$6:$C$205,MATCH($A243,Mitarbeiter!$A$6:$A$205,0)),"vor Eintritt",IF(AND(INDEX(Mitarbeiter!$D$6:$D$205,MATCH($A243,Mitarbeiter!$A$6:$A$205,0))&lt;&gt;"",D243&gt;INDEX(Mitarbeiter!$D$6:$D$205,MATCH($A243,Mitarbeiter!$A$6:$A$205,0))),"nach Austritt",IF(E243="","offen","ok"))))))))</f>
        <v/>
      </c>
      <c r="J243" s="47">
        <f>IF(A243="","",IF(E243="",Einstellungen!$C$9,E243))</f>
        <v/>
      </c>
      <c r="K243" s="48">
        <f>IF(A243="",0,IFERROR(INDEX(Mitarbeiter!$F$6:$F$205,MATCH($A243,Mitarbeiter!$A$6:$A$205,0)),0))</f>
        <v/>
      </c>
      <c r="L243" s="49">
        <f>IF(OR(A243="",D243=""),0,MAX(0,NETWORKDAYS(MAX(D243,DATE(Einstellungen!$C$3,1,1)),MIN(J243,DATE(Einstellungen!$C$3,2,0)),Einstellungen!$F$13:$F$32)))</f>
        <v/>
      </c>
      <c r="M243" s="49">
        <f>IF(OR(A243="",D243=""),0,MAX(0,NETWORKDAYS(MAX(D243,DATE(Einstellungen!$C$3,2,1)),MIN(J243,DATE(Einstellungen!$C$3,3,0)),Einstellungen!$F$13:$F$32)))</f>
        <v/>
      </c>
      <c r="N243" s="49">
        <f>IF(OR(A243="",D243=""),0,MAX(0,NETWORKDAYS(MAX(D243,DATE(Einstellungen!$C$3,3,1)),MIN(J243,DATE(Einstellungen!$C$3,4,0)),Einstellungen!$F$13:$F$32)))</f>
        <v/>
      </c>
      <c r="O243" s="49">
        <f>IF(OR(A243="",D243=""),0,MAX(0,NETWORKDAYS(MAX(D243,DATE(Einstellungen!$C$3,4,1)),MIN(J243,DATE(Einstellungen!$C$3,5,0)),Einstellungen!$F$13:$F$32)))</f>
        <v/>
      </c>
      <c r="P243" s="49">
        <f>IF(OR(A243="",D243=""),0,MAX(0,NETWORKDAYS(MAX(D243,DATE(Einstellungen!$C$3,5,1)),MIN(J243,DATE(Einstellungen!$C$3,6,0)),Einstellungen!$F$13:$F$32)))</f>
        <v/>
      </c>
      <c r="Q243" s="49">
        <f>IF(OR(A243="",D243=""),0,MAX(0,NETWORKDAYS(MAX(D243,DATE(Einstellungen!$C$3,6,1)),MIN(J243,DATE(Einstellungen!$C$3,7,0)),Einstellungen!$F$13:$F$32)))</f>
        <v/>
      </c>
      <c r="R243" s="49">
        <f>IF(OR(A243="",D243=""),0,MAX(0,NETWORKDAYS(MAX(D243,DATE(Einstellungen!$C$3,7,1)),MIN(J243,DATE(Einstellungen!$C$3,8,0)),Einstellungen!$F$13:$F$32)))</f>
        <v/>
      </c>
      <c r="S243" s="49">
        <f>IF(OR(A243="",D243=""),0,MAX(0,NETWORKDAYS(MAX(D243,DATE(Einstellungen!$C$3,8,1)),MIN(J243,DATE(Einstellungen!$C$3,9,0)),Einstellungen!$F$13:$F$32)))</f>
        <v/>
      </c>
      <c r="T243" s="49">
        <f>IF(OR(A243="",D243=""),0,MAX(0,NETWORKDAYS(MAX(D243,DATE(Einstellungen!$C$3,9,1)),MIN(J243,DATE(Einstellungen!$C$3,10,0)),Einstellungen!$F$13:$F$32)))</f>
        <v/>
      </c>
      <c r="U243" s="49">
        <f>IF(OR(A243="",D243=""),0,MAX(0,NETWORKDAYS(MAX(D243,DATE(Einstellungen!$C$3,10,1)),MIN(J243,DATE(Einstellungen!$C$3,11,0)),Einstellungen!$F$13:$F$32)))</f>
        <v/>
      </c>
      <c r="V243" s="49">
        <f>IF(OR(A243="",D243=""),0,MAX(0,NETWORKDAYS(MAX(D243,DATE(Einstellungen!$C$3,11,1)),MIN(J243,DATE(Einstellungen!$C$3,12,0)),Einstellungen!$F$13:$F$32)))</f>
        <v/>
      </c>
      <c r="W243" s="49">
        <f>IF(OR(A243="",D243=""),0,MAX(0,NETWORKDAYS(MAX(D243,DATE(Einstellungen!$C$3,12,1)),MIN(J243,DATE(Einstellungen!$C$3,13,0)),Einstellungen!$F$13:$F$32)))</f>
        <v/>
      </c>
      <c r="X243" s="50">
        <f>L243*K243</f>
        <v/>
      </c>
      <c r="Y243" s="50">
        <f>M243*K243</f>
        <v/>
      </c>
      <c r="Z243" s="50">
        <f>N243*K243</f>
        <v/>
      </c>
      <c r="AA243" s="50">
        <f>O243*K243</f>
        <v/>
      </c>
      <c r="AB243" s="50">
        <f>P243*K243</f>
        <v/>
      </c>
      <c r="AC243" s="50">
        <f>Q243*K243</f>
        <v/>
      </c>
      <c r="AD243" s="50">
        <f>R243*K243</f>
        <v/>
      </c>
      <c r="AE243" s="50">
        <f>S243*K243</f>
        <v/>
      </c>
      <c r="AF243" s="50">
        <f>T243*K243</f>
        <v/>
      </c>
      <c r="AG243" s="50">
        <f>U243*K243</f>
        <v/>
      </c>
      <c r="AH243" s="50">
        <f>V243*K243</f>
        <v/>
      </c>
      <c r="AI243" s="50">
        <f>W243*K243</f>
        <v/>
      </c>
    </row>
    <row r="244">
      <c r="A244" s="25" t="n"/>
      <c r="B244" s="45">
        <f>IF(A244="","",IFERROR(INDEX(Mitarbeiter!$B$6:$B$205,MATCH($A244,Mitarbeiter!$A$6:$A$205,0)),"?"))</f>
        <v/>
      </c>
      <c r="C244" s="46" t="n"/>
      <c r="D244" s="26" t="n"/>
      <c r="E244" s="26" t="n"/>
      <c r="F244" s="24">
        <f>IF(A244="","",SUM(L244:W244))</f>
        <v/>
      </c>
      <c r="G244" s="36">
        <f>IF(A244="","",SUM(X244:AI244))</f>
        <v/>
      </c>
      <c r="H244" s="8">
        <f>IF(A244="","",IF(ISNA(MATCH(A244,Mitarbeiter!$A$6:$A$205,0)),"Pers.-Nr. unbekannt",IF(D244="","Von fehlt",IF(AND(C244&lt;&gt;Einstellungen!$C$4,C244&lt;&gt;Einstellungen!$C$5),"Objekt fehlt",IF(J244&lt;D244,"Bis vor Von",IF(D244&lt;INDEX(Mitarbeiter!$C$6:$C$205,MATCH($A244,Mitarbeiter!$A$6:$A$205,0)),"vor Eintritt",IF(AND(INDEX(Mitarbeiter!$D$6:$D$205,MATCH($A244,Mitarbeiter!$A$6:$A$205,0))&lt;&gt;"",D244&gt;INDEX(Mitarbeiter!$D$6:$D$205,MATCH($A244,Mitarbeiter!$A$6:$A$205,0))),"nach Austritt",IF(E244="","offen","ok"))))))))</f>
        <v/>
      </c>
      <c r="J244" s="47">
        <f>IF(A244="","",IF(E244="",Einstellungen!$C$9,E244))</f>
        <v/>
      </c>
      <c r="K244" s="48">
        <f>IF(A244="",0,IFERROR(INDEX(Mitarbeiter!$F$6:$F$205,MATCH($A244,Mitarbeiter!$A$6:$A$205,0)),0))</f>
        <v/>
      </c>
      <c r="L244" s="49">
        <f>IF(OR(A244="",D244=""),0,MAX(0,NETWORKDAYS(MAX(D244,DATE(Einstellungen!$C$3,1,1)),MIN(J244,DATE(Einstellungen!$C$3,2,0)),Einstellungen!$F$13:$F$32)))</f>
        <v/>
      </c>
      <c r="M244" s="49">
        <f>IF(OR(A244="",D244=""),0,MAX(0,NETWORKDAYS(MAX(D244,DATE(Einstellungen!$C$3,2,1)),MIN(J244,DATE(Einstellungen!$C$3,3,0)),Einstellungen!$F$13:$F$32)))</f>
        <v/>
      </c>
      <c r="N244" s="49">
        <f>IF(OR(A244="",D244=""),0,MAX(0,NETWORKDAYS(MAX(D244,DATE(Einstellungen!$C$3,3,1)),MIN(J244,DATE(Einstellungen!$C$3,4,0)),Einstellungen!$F$13:$F$32)))</f>
        <v/>
      </c>
      <c r="O244" s="49">
        <f>IF(OR(A244="",D244=""),0,MAX(0,NETWORKDAYS(MAX(D244,DATE(Einstellungen!$C$3,4,1)),MIN(J244,DATE(Einstellungen!$C$3,5,0)),Einstellungen!$F$13:$F$32)))</f>
        <v/>
      </c>
      <c r="P244" s="49">
        <f>IF(OR(A244="",D244=""),0,MAX(0,NETWORKDAYS(MAX(D244,DATE(Einstellungen!$C$3,5,1)),MIN(J244,DATE(Einstellungen!$C$3,6,0)),Einstellungen!$F$13:$F$32)))</f>
        <v/>
      </c>
      <c r="Q244" s="49">
        <f>IF(OR(A244="",D244=""),0,MAX(0,NETWORKDAYS(MAX(D244,DATE(Einstellungen!$C$3,6,1)),MIN(J244,DATE(Einstellungen!$C$3,7,0)),Einstellungen!$F$13:$F$32)))</f>
        <v/>
      </c>
      <c r="R244" s="49">
        <f>IF(OR(A244="",D244=""),0,MAX(0,NETWORKDAYS(MAX(D244,DATE(Einstellungen!$C$3,7,1)),MIN(J244,DATE(Einstellungen!$C$3,8,0)),Einstellungen!$F$13:$F$32)))</f>
        <v/>
      </c>
      <c r="S244" s="49">
        <f>IF(OR(A244="",D244=""),0,MAX(0,NETWORKDAYS(MAX(D244,DATE(Einstellungen!$C$3,8,1)),MIN(J244,DATE(Einstellungen!$C$3,9,0)),Einstellungen!$F$13:$F$32)))</f>
        <v/>
      </c>
      <c r="T244" s="49">
        <f>IF(OR(A244="",D244=""),0,MAX(0,NETWORKDAYS(MAX(D244,DATE(Einstellungen!$C$3,9,1)),MIN(J244,DATE(Einstellungen!$C$3,10,0)),Einstellungen!$F$13:$F$32)))</f>
        <v/>
      </c>
      <c r="U244" s="49">
        <f>IF(OR(A244="",D244=""),0,MAX(0,NETWORKDAYS(MAX(D244,DATE(Einstellungen!$C$3,10,1)),MIN(J244,DATE(Einstellungen!$C$3,11,0)),Einstellungen!$F$13:$F$32)))</f>
        <v/>
      </c>
      <c r="V244" s="49">
        <f>IF(OR(A244="",D244=""),0,MAX(0,NETWORKDAYS(MAX(D244,DATE(Einstellungen!$C$3,11,1)),MIN(J244,DATE(Einstellungen!$C$3,12,0)),Einstellungen!$F$13:$F$32)))</f>
        <v/>
      </c>
      <c r="W244" s="49">
        <f>IF(OR(A244="",D244=""),0,MAX(0,NETWORKDAYS(MAX(D244,DATE(Einstellungen!$C$3,12,1)),MIN(J244,DATE(Einstellungen!$C$3,13,0)),Einstellungen!$F$13:$F$32)))</f>
        <v/>
      </c>
      <c r="X244" s="50">
        <f>L244*K244</f>
        <v/>
      </c>
      <c r="Y244" s="50">
        <f>M244*K244</f>
        <v/>
      </c>
      <c r="Z244" s="50">
        <f>N244*K244</f>
        <v/>
      </c>
      <c r="AA244" s="50">
        <f>O244*K244</f>
        <v/>
      </c>
      <c r="AB244" s="50">
        <f>P244*K244</f>
        <v/>
      </c>
      <c r="AC244" s="50">
        <f>Q244*K244</f>
        <v/>
      </c>
      <c r="AD244" s="50">
        <f>R244*K244</f>
        <v/>
      </c>
      <c r="AE244" s="50">
        <f>S244*K244</f>
        <v/>
      </c>
      <c r="AF244" s="50">
        <f>T244*K244</f>
        <v/>
      </c>
      <c r="AG244" s="50">
        <f>U244*K244</f>
        <v/>
      </c>
      <c r="AH244" s="50">
        <f>V244*K244</f>
        <v/>
      </c>
      <c r="AI244" s="50">
        <f>W244*K244</f>
        <v/>
      </c>
    </row>
    <row r="245">
      <c r="A245" s="25" t="n"/>
      <c r="B245" s="45">
        <f>IF(A245="","",IFERROR(INDEX(Mitarbeiter!$B$6:$B$205,MATCH($A245,Mitarbeiter!$A$6:$A$205,0)),"?"))</f>
        <v/>
      </c>
      <c r="C245" s="46" t="n"/>
      <c r="D245" s="26" t="n"/>
      <c r="E245" s="26" t="n"/>
      <c r="F245" s="24">
        <f>IF(A245="","",SUM(L245:W245))</f>
        <v/>
      </c>
      <c r="G245" s="36">
        <f>IF(A245="","",SUM(X245:AI245))</f>
        <v/>
      </c>
      <c r="H245" s="8">
        <f>IF(A245="","",IF(ISNA(MATCH(A245,Mitarbeiter!$A$6:$A$205,0)),"Pers.-Nr. unbekannt",IF(D245="","Von fehlt",IF(AND(C245&lt;&gt;Einstellungen!$C$4,C245&lt;&gt;Einstellungen!$C$5),"Objekt fehlt",IF(J245&lt;D245,"Bis vor Von",IF(D245&lt;INDEX(Mitarbeiter!$C$6:$C$205,MATCH($A245,Mitarbeiter!$A$6:$A$205,0)),"vor Eintritt",IF(AND(INDEX(Mitarbeiter!$D$6:$D$205,MATCH($A245,Mitarbeiter!$A$6:$A$205,0))&lt;&gt;"",D245&gt;INDEX(Mitarbeiter!$D$6:$D$205,MATCH($A245,Mitarbeiter!$A$6:$A$205,0))),"nach Austritt",IF(E245="","offen","ok"))))))))</f>
        <v/>
      </c>
      <c r="J245" s="47">
        <f>IF(A245="","",IF(E245="",Einstellungen!$C$9,E245))</f>
        <v/>
      </c>
      <c r="K245" s="48">
        <f>IF(A245="",0,IFERROR(INDEX(Mitarbeiter!$F$6:$F$205,MATCH($A245,Mitarbeiter!$A$6:$A$205,0)),0))</f>
        <v/>
      </c>
      <c r="L245" s="49">
        <f>IF(OR(A245="",D245=""),0,MAX(0,NETWORKDAYS(MAX(D245,DATE(Einstellungen!$C$3,1,1)),MIN(J245,DATE(Einstellungen!$C$3,2,0)),Einstellungen!$F$13:$F$32)))</f>
        <v/>
      </c>
      <c r="M245" s="49">
        <f>IF(OR(A245="",D245=""),0,MAX(0,NETWORKDAYS(MAX(D245,DATE(Einstellungen!$C$3,2,1)),MIN(J245,DATE(Einstellungen!$C$3,3,0)),Einstellungen!$F$13:$F$32)))</f>
        <v/>
      </c>
      <c r="N245" s="49">
        <f>IF(OR(A245="",D245=""),0,MAX(0,NETWORKDAYS(MAX(D245,DATE(Einstellungen!$C$3,3,1)),MIN(J245,DATE(Einstellungen!$C$3,4,0)),Einstellungen!$F$13:$F$32)))</f>
        <v/>
      </c>
      <c r="O245" s="49">
        <f>IF(OR(A245="",D245=""),0,MAX(0,NETWORKDAYS(MAX(D245,DATE(Einstellungen!$C$3,4,1)),MIN(J245,DATE(Einstellungen!$C$3,5,0)),Einstellungen!$F$13:$F$32)))</f>
        <v/>
      </c>
      <c r="P245" s="49">
        <f>IF(OR(A245="",D245=""),0,MAX(0,NETWORKDAYS(MAX(D245,DATE(Einstellungen!$C$3,5,1)),MIN(J245,DATE(Einstellungen!$C$3,6,0)),Einstellungen!$F$13:$F$32)))</f>
        <v/>
      </c>
      <c r="Q245" s="49">
        <f>IF(OR(A245="",D245=""),0,MAX(0,NETWORKDAYS(MAX(D245,DATE(Einstellungen!$C$3,6,1)),MIN(J245,DATE(Einstellungen!$C$3,7,0)),Einstellungen!$F$13:$F$32)))</f>
        <v/>
      </c>
      <c r="R245" s="49">
        <f>IF(OR(A245="",D245=""),0,MAX(0,NETWORKDAYS(MAX(D245,DATE(Einstellungen!$C$3,7,1)),MIN(J245,DATE(Einstellungen!$C$3,8,0)),Einstellungen!$F$13:$F$32)))</f>
        <v/>
      </c>
      <c r="S245" s="49">
        <f>IF(OR(A245="",D245=""),0,MAX(0,NETWORKDAYS(MAX(D245,DATE(Einstellungen!$C$3,8,1)),MIN(J245,DATE(Einstellungen!$C$3,9,0)),Einstellungen!$F$13:$F$32)))</f>
        <v/>
      </c>
      <c r="T245" s="49">
        <f>IF(OR(A245="",D245=""),0,MAX(0,NETWORKDAYS(MAX(D245,DATE(Einstellungen!$C$3,9,1)),MIN(J245,DATE(Einstellungen!$C$3,10,0)),Einstellungen!$F$13:$F$32)))</f>
        <v/>
      </c>
      <c r="U245" s="49">
        <f>IF(OR(A245="",D245=""),0,MAX(0,NETWORKDAYS(MAX(D245,DATE(Einstellungen!$C$3,10,1)),MIN(J245,DATE(Einstellungen!$C$3,11,0)),Einstellungen!$F$13:$F$32)))</f>
        <v/>
      </c>
      <c r="V245" s="49">
        <f>IF(OR(A245="",D245=""),0,MAX(0,NETWORKDAYS(MAX(D245,DATE(Einstellungen!$C$3,11,1)),MIN(J245,DATE(Einstellungen!$C$3,12,0)),Einstellungen!$F$13:$F$32)))</f>
        <v/>
      </c>
      <c r="W245" s="49">
        <f>IF(OR(A245="",D245=""),0,MAX(0,NETWORKDAYS(MAX(D245,DATE(Einstellungen!$C$3,12,1)),MIN(J245,DATE(Einstellungen!$C$3,13,0)),Einstellungen!$F$13:$F$32)))</f>
        <v/>
      </c>
      <c r="X245" s="50">
        <f>L245*K245</f>
        <v/>
      </c>
      <c r="Y245" s="50">
        <f>M245*K245</f>
        <v/>
      </c>
      <c r="Z245" s="50">
        <f>N245*K245</f>
        <v/>
      </c>
      <c r="AA245" s="50">
        <f>O245*K245</f>
        <v/>
      </c>
      <c r="AB245" s="50">
        <f>P245*K245</f>
        <v/>
      </c>
      <c r="AC245" s="50">
        <f>Q245*K245</f>
        <v/>
      </c>
      <c r="AD245" s="50">
        <f>R245*K245</f>
        <v/>
      </c>
      <c r="AE245" s="50">
        <f>S245*K245</f>
        <v/>
      </c>
      <c r="AF245" s="50">
        <f>T245*K245</f>
        <v/>
      </c>
      <c r="AG245" s="50">
        <f>U245*K245</f>
        <v/>
      </c>
      <c r="AH245" s="50">
        <f>V245*K245</f>
        <v/>
      </c>
      <c r="AI245" s="50">
        <f>W245*K245</f>
        <v/>
      </c>
    </row>
    <row r="246">
      <c r="A246" s="25" t="n"/>
      <c r="B246" s="45">
        <f>IF(A246="","",IFERROR(INDEX(Mitarbeiter!$B$6:$B$205,MATCH($A246,Mitarbeiter!$A$6:$A$205,0)),"?"))</f>
        <v/>
      </c>
      <c r="C246" s="46" t="n"/>
      <c r="D246" s="26" t="n"/>
      <c r="E246" s="26" t="n"/>
      <c r="F246" s="24">
        <f>IF(A246="","",SUM(L246:W246))</f>
        <v/>
      </c>
      <c r="G246" s="36">
        <f>IF(A246="","",SUM(X246:AI246))</f>
        <v/>
      </c>
      <c r="H246" s="8">
        <f>IF(A246="","",IF(ISNA(MATCH(A246,Mitarbeiter!$A$6:$A$205,0)),"Pers.-Nr. unbekannt",IF(D246="","Von fehlt",IF(AND(C246&lt;&gt;Einstellungen!$C$4,C246&lt;&gt;Einstellungen!$C$5),"Objekt fehlt",IF(J246&lt;D246,"Bis vor Von",IF(D246&lt;INDEX(Mitarbeiter!$C$6:$C$205,MATCH($A246,Mitarbeiter!$A$6:$A$205,0)),"vor Eintritt",IF(AND(INDEX(Mitarbeiter!$D$6:$D$205,MATCH($A246,Mitarbeiter!$A$6:$A$205,0))&lt;&gt;"",D246&gt;INDEX(Mitarbeiter!$D$6:$D$205,MATCH($A246,Mitarbeiter!$A$6:$A$205,0))),"nach Austritt",IF(E246="","offen","ok"))))))))</f>
        <v/>
      </c>
      <c r="J246" s="47">
        <f>IF(A246="","",IF(E246="",Einstellungen!$C$9,E246))</f>
        <v/>
      </c>
      <c r="K246" s="48">
        <f>IF(A246="",0,IFERROR(INDEX(Mitarbeiter!$F$6:$F$205,MATCH($A246,Mitarbeiter!$A$6:$A$205,0)),0))</f>
        <v/>
      </c>
      <c r="L246" s="49">
        <f>IF(OR(A246="",D246=""),0,MAX(0,NETWORKDAYS(MAX(D246,DATE(Einstellungen!$C$3,1,1)),MIN(J246,DATE(Einstellungen!$C$3,2,0)),Einstellungen!$F$13:$F$32)))</f>
        <v/>
      </c>
      <c r="M246" s="49">
        <f>IF(OR(A246="",D246=""),0,MAX(0,NETWORKDAYS(MAX(D246,DATE(Einstellungen!$C$3,2,1)),MIN(J246,DATE(Einstellungen!$C$3,3,0)),Einstellungen!$F$13:$F$32)))</f>
        <v/>
      </c>
      <c r="N246" s="49">
        <f>IF(OR(A246="",D246=""),0,MAX(0,NETWORKDAYS(MAX(D246,DATE(Einstellungen!$C$3,3,1)),MIN(J246,DATE(Einstellungen!$C$3,4,0)),Einstellungen!$F$13:$F$32)))</f>
        <v/>
      </c>
      <c r="O246" s="49">
        <f>IF(OR(A246="",D246=""),0,MAX(0,NETWORKDAYS(MAX(D246,DATE(Einstellungen!$C$3,4,1)),MIN(J246,DATE(Einstellungen!$C$3,5,0)),Einstellungen!$F$13:$F$32)))</f>
        <v/>
      </c>
      <c r="P246" s="49">
        <f>IF(OR(A246="",D246=""),0,MAX(0,NETWORKDAYS(MAX(D246,DATE(Einstellungen!$C$3,5,1)),MIN(J246,DATE(Einstellungen!$C$3,6,0)),Einstellungen!$F$13:$F$32)))</f>
        <v/>
      </c>
      <c r="Q246" s="49">
        <f>IF(OR(A246="",D246=""),0,MAX(0,NETWORKDAYS(MAX(D246,DATE(Einstellungen!$C$3,6,1)),MIN(J246,DATE(Einstellungen!$C$3,7,0)),Einstellungen!$F$13:$F$32)))</f>
        <v/>
      </c>
      <c r="R246" s="49">
        <f>IF(OR(A246="",D246=""),0,MAX(0,NETWORKDAYS(MAX(D246,DATE(Einstellungen!$C$3,7,1)),MIN(J246,DATE(Einstellungen!$C$3,8,0)),Einstellungen!$F$13:$F$32)))</f>
        <v/>
      </c>
      <c r="S246" s="49">
        <f>IF(OR(A246="",D246=""),0,MAX(0,NETWORKDAYS(MAX(D246,DATE(Einstellungen!$C$3,8,1)),MIN(J246,DATE(Einstellungen!$C$3,9,0)),Einstellungen!$F$13:$F$32)))</f>
        <v/>
      </c>
      <c r="T246" s="49">
        <f>IF(OR(A246="",D246=""),0,MAX(0,NETWORKDAYS(MAX(D246,DATE(Einstellungen!$C$3,9,1)),MIN(J246,DATE(Einstellungen!$C$3,10,0)),Einstellungen!$F$13:$F$32)))</f>
        <v/>
      </c>
      <c r="U246" s="49">
        <f>IF(OR(A246="",D246=""),0,MAX(0,NETWORKDAYS(MAX(D246,DATE(Einstellungen!$C$3,10,1)),MIN(J246,DATE(Einstellungen!$C$3,11,0)),Einstellungen!$F$13:$F$32)))</f>
        <v/>
      </c>
      <c r="V246" s="49">
        <f>IF(OR(A246="",D246=""),0,MAX(0,NETWORKDAYS(MAX(D246,DATE(Einstellungen!$C$3,11,1)),MIN(J246,DATE(Einstellungen!$C$3,12,0)),Einstellungen!$F$13:$F$32)))</f>
        <v/>
      </c>
      <c r="W246" s="49">
        <f>IF(OR(A246="",D246=""),0,MAX(0,NETWORKDAYS(MAX(D246,DATE(Einstellungen!$C$3,12,1)),MIN(J246,DATE(Einstellungen!$C$3,13,0)),Einstellungen!$F$13:$F$32)))</f>
        <v/>
      </c>
      <c r="X246" s="50">
        <f>L246*K246</f>
        <v/>
      </c>
      <c r="Y246" s="50">
        <f>M246*K246</f>
        <v/>
      </c>
      <c r="Z246" s="50">
        <f>N246*K246</f>
        <v/>
      </c>
      <c r="AA246" s="50">
        <f>O246*K246</f>
        <v/>
      </c>
      <c r="AB246" s="50">
        <f>P246*K246</f>
        <v/>
      </c>
      <c r="AC246" s="50">
        <f>Q246*K246</f>
        <v/>
      </c>
      <c r="AD246" s="50">
        <f>R246*K246</f>
        <v/>
      </c>
      <c r="AE246" s="50">
        <f>S246*K246</f>
        <v/>
      </c>
      <c r="AF246" s="50">
        <f>T246*K246</f>
        <v/>
      </c>
      <c r="AG246" s="50">
        <f>U246*K246</f>
        <v/>
      </c>
      <c r="AH246" s="50">
        <f>V246*K246</f>
        <v/>
      </c>
      <c r="AI246" s="50">
        <f>W246*K246</f>
        <v/>
      </c>
    </row>
    <row r="247">
      <c r="A247" s="25" t="n"/>
      <c r="B247" s="45">
        <f>IF(A247="","",IFERROR(INDEX(Mitarbeiter!$B$6:$B$205,MATCH($A247,Mitarbeiter!$A$6:$A$205,0)),"?"))</f>
        <v/>
      </c>
      <c r="C247" s="46" t="n"/>
      <c r="D247" s="26" t="n"/>
      <c r="E247" s="26" t="n"/>
      <c r="F247" s="24">
        <f>IF(A247="","",SUM(L247:W247))</f>
        <v/>
      </c>
      <c r="G247" s="36">
        <f>IF(A247="","",SUM(X247:AI247))</f>
        <v/>
      </c>
      <c r="H247" s="8">
        <f>IF(A247="","",IF(ISNA(MATCH(A247,Mitarbeiter!$A$6:$A$205,0)),"Pers.-Nr. unbekannt",IF(D247="","Von fehlt",IF(AND(C247&lt;&gt;Einstellungen!$C$4,C247&lt;&gt;Einstellungen!$C$5),"Objekt fehlt",IF(J247&lt;D247,"Bis vor Von",IF(D247&lt;INDEX(Mitarbeiter!$C$6:$C$205,MATCH($A247,Mitarbeiter!$A$6:$A$205,0)),"vor Eintritt",IF(AND(INDEX(Mitarbeiter!$D$6:$D$205,MATCH($A247,Mitarbeiter!$A$6:$A$205,0))&lt;&gt;"",D247&gt;INDEX(Mitarbeiter!$D$6:$D$205,MATCH($A247,Mitarbeiter!$A$6:$A$205,0))),"nach Austritt",IF(E247="","offen","ok"))))))))</f>
        <v/>
      </c>
      <c r="J247" s="47">
        <f>IF(A247="","",IF(E247="",Einstellungen!$C$9,E247))</f>
        <v/>
      </c>
      <c r="K247" s="48">
        <f>IF(A247="",0,IFERROR(INDEX(Mitarbeiter!$F$6:$F$205,MATCH($A247,Mitarbeiter!$A$6:$A$205,0)),0))</f>
        <v/>
      </c>
      <c r="L247" s="49">
        <f>IF(OR(A247="",D247=""),0,MAX(0,NETWORKDAYS(MAX(D247,DATE(Einstellungen!$C$3,1,1)),MIN(J247,DATE(Einstellungen!$C$3,2,0)),Einstellungen!$F$13:$F$32)))</f>
        <v/>
      </c>
      <c r="M247" s="49">
        <f>IF(OR(A247="",D247=""),0,MAX(0,NETWORKDAYS(MAX(D247,DATE(Einstellungen!$C$3,2,1)),MIN(J247,DATE(Einstellungen!$C$3,3,0)),Einstellungen!$F$13:$F$32)))</f>
        <v/>
      </c>
      <c r="N247" s="49">
        <f>IF(OR(A247="",D247=""),0,MAX(0,NETWORKDAYS(MAX(D247,DATE(Einstellungen!$C$3,3,1)),MIN(J247,DATE(Einstellungen!$C$3,4,0)),Einstellungen!$F$13:$F$32)))</f>
        <v/>
      </c>
      <c r="O247" s="49">
        <f>IF(OR(A247="",D247=""),0,MAX(0,NETWORKDAYS(MAX(D247,DATE(Einstellungen!$C$3,4,1)),MIN(J247,DATE(Einstellungen!$C$3,5,0)),Einstellungen!$F$13:$F$32)))</f>
        <v/>
      </c>
      <c r="P247" s="49">
        <f>IF(OR(A247="",D247=""),0,MAX(0,NETWORKDAYS(MAX(D247,DATE(Einstellungen!$C$3,5,1)),MIN(J247,DATE(Einstellungen!$C$3,6,0)),Einstellungen!$F$13:$F$32)))</f>
        <v/>
      </c>
      <c r="Q247" s="49">
        <f>IF(OR(A247="",D247=""),0,MAX(0,NETWORKDAYS(MAX(D247,DATE(Einstellungen!$C$3,6,1)),MIN(J247,DATE(Einstellungen!$C$3,7,0)),Einstellungen!$F$13:$F$32)))</f>
        <v/>
      </c>
      <c r="R247" s="49">
        <f>IF(OR(A247="",D247=""),0,MAX(0,NETWORKDAYS(MAX(D247,DATE(Einstellungen!$C$3,7,1)),MIN(J247,DATE(Einstellungen!$C$3,8,0)),Einstellungen!$F$13:$F$32)))</f>
        <v/>
      </c>
      <c r="S247" s="49">
        <f>IF(OR(A247="",D247=""),0,MAX(0,NETWORKDAYS(MAX(D247,DATE(Einstellungen!$C$3,8,1)),MIN(J247,DATE(Einstellungen!$C$3,9,0)),Einstellungen!$F$13:$F$32)))</f>
        <v/>
      </c>
      <c r="T247" s="49">
        <f>IF(OR(A247="",D247=""),0,MAX(0,NETWORKDAYS(MAX(D247,DATE(Einstellungen!$C$3,9,1)),MIN(J247,DATE(Einstellungen!$C$3,10,0)),Einstellungen!$F$13:$F$32)))</f>
        <v/>
      </c>
      <c r="U247" s="49">
        <f>IF(OR(A247="",D247=""),0,MAX(0,NETWORKDAYS(MAX(D247,DATE(Einstellungen!$C$3,10,1)),MIN(J247,DATE(Einstellungen!$C$3,11,0)),Einstellungen!$F$13:$F$32)))</f>
        <v/>
      </c>
      <c r="V247" s="49">
        <f>IF(OR(A247="",D247=""),0,MAX(0,NETWORKDAYS(MAX(D247,DATE(Einstellungen!$C$3,11,1)),MIN(J247,DATE(Einstellungen!$C$3,12,0)),Einstellungen!$F$13:$F$32)))</f>
        <v/>
      </c>
      <c r="W247" s="49">
        <f>IF(OR(A247="",D247=""),0,MAX(0,NETWORKDAYS(MAX(D247,DATE(Einstellungen!$C$3,12,1)),MIN(J247,DATE(Einstellungen!$C$3,13,0)),Einstellungen!$F$13:$F$32)))</f>
        <v/>
      </c>
      <c r="X247" s="50">
        <f>L247*K247</f>
        <v/>
      </c>
      <c r="Y247" s="50">
        <f>M247*K247</f>
        <v/>
      </c>
      <c r="Z247" s="50">
        <f>N247*K247</f>
        <v/>
      </c>
      <c r="AA247" s="50">
        <f>O247*K247</f>
        <v/>
      </c>
      <c r="AB247" s="50">
        <f>P247*K247</f>
        <v/>
      </c>
      <c r="AC247" s="50">
        <f>Q247*K247</f>
        <v/>
      </c>
      <c r="AD247" s="50">
        <f>R247*K247</f>
        <v/>
      </c>
      <c r="AE247" s="50">
        <f>S247*K247</f>
        <v/>
      </c>
      <c r="AF247" s="50">
        <f>T247*K247</f>
        <v/>
      </c>
      <c r="AG247" s="50">
        <f>U247*K247</f>
        <v/>
      </c>
      <c r="AH247" s="50">
        <f>V247*K247</f>
        <v/>
      </c>
      <c r="AI247" s="50">
        <f>W247*K247</f>
        <v/>
      </c>
    </row>
    <row r="248">
      <c r="A248" s="25" t="n"/>
      <c r="B248" s="45">
        <f>IF(A248="","",IFERROR(INDEX(Mitarbeiter!$B$6:$B$205,MATCH($A248,Mitarbeiter!$A$6:$A$205,0)),"?"))</f>
        <v/>
      </c>
      <c r="C248" s="46" t="n"/>
      <c r="D248" s="26" t="n"/>
      <c r="E248" s="26" t="n"/>
      <c r="F248" s="24">
        <f>IF(A248="","",SUM(L248:W248))</f>
        <v/>
      </c>
      <c r="G248" s="36">
        <f>IF(A248="","",SUM(X248:AI248))</f>
        <v/>
      </c>
      <c r="H248" s="8">
        <f>IF(A248="","",IF(ISNA(MATCH(A248,Mitarbeiter!$A$6:$A$205,0)),"Pers.-Nr. unbekannt",IF(D248="","Von fehlt",IF(AND(C248&lt;&gt;Einstellungen!$C$4,C248&lt;&gt;Einstellungen!$C$5),"Objekt fehlt",IF(J248&lt;D248,"Bis vor Von",IF(D248&lt;INDEX(Mitarbeiter!$C$6:$C$205,MATCH($A248,Mitarbeiter!$A$6:$A$205,0)),"vor Eintritt",IF(AND(INDEX(Mitarbeiter!$D$6:$D$205,MATCH($A248,Mitarbeiter!$A$6:$A$205,0))&lt;&gt;"",D248&gt;INDEX(Mitarbeiter!$D$6:$D$205,MATCH($A248,Mitarbeiter!$A$6:$A$205,0))),"nach Austritt",IF(E248="","offen","ok"))))))))</f>
        <v/>
      </c>
      <c r="J248" s="47">
        <f>IF(A248="","",IF(E248="",Einstellungen!$C$9,E248))</f>
        <v/>
      </c>
      <c r="K248" s="48">
        <f>IF(A248="",0,IFERROR(INDEX(Mitarbeiter!$F$6:$F$205,MATCH($A248,Mitarbeiter!$A$6:$A$205,0)),0))</f>
        <v/>
      </c>
      <c r="L248" s="49">
        <f>IF(OR(A248="",D248=""),0,MAX(0,NETWORKDAYS(MAX(D248,DATE(Einstellungen!$C$3,1,1)),MIN(J248,DATE(Einstellungen!$C$3,2,0)),Einstellungen!$F$13:$F$32)))</f>
        <v/>
      </c>
      <c r="M248" s="49">
        <f>IF(OR(A248="",D248=""),0,MAX(0,NETWORKDAYS(MAX(D248,DATE(Einstellungen!$C$3,2,1)),MIN(J248,DATE(Einstellungen!$C$3,3,0)),Einstellungen!$F$13:$F$32)))</f>
        <v/>
      </c>
      <c r="N248" s="49">
        <f>IF(OR(A248="",D248=""),0,MAX(0,NETWORKDAYS(MAX(D248,DATE(Einstellungen!$C$3,3,1)),MIN(J248,DATE(Einstellungen!$C$3,4,0)),Einstellungen!$F$13:$F$32)))</f>
        <v/>
      </c>
      <c r="O248" s="49">
        <f>IF(OR(A248="",D248=""),0,MAX(0,NETWORKDAYS(MAX(D248,DATE(Einstellungen!$C$3,4,1)),MIN(J248,DATE(Einstellungen!$C$3,5,0)),Einstellungen!$F$13:$F$32)))</f>
        <v/>
      </c>
      <c r="P248" s="49">
        <f>IF(OR(A248="",D248=""),0,MAX(0,NETWORKDAYS(MAX(D248,DATE(Einstellungen!$C$3,5,1)),MIN(J248,DATE(Einstellungen!$C$3,6,0)),Einstellungen!$F$13:$F$32)))</f>
        <v/>
      </c>
      <c r="Q248" s="49">
        <f>IF(OR(A248="",D248=""),0,MAX(0,NETWORKDAYS(MAX(D248,DATE(Einstellungen!$C$3,6,1)),MIN(J248,DATE(Einstellungen!$C$3,7,0)),Einstellungen!$F$13:$F$32)))</f>
        <v/>
      </c>
      <c r="R248" s="49">
        <f>IF(OR(A248="",D248=""),0,MAX(0,NETWORKDAYS(MAX(D248,DATE(Einstellungen!$C$3,7,1)),MIN(J248,DATE(Einstellungen!$C$3,8,0)),Einstellungen!$F$13:$F$32)))</f>
        <v/>
      </c>
      <c r="S248" s="49">
        <f>IF(OR(A248="",D248=""),0,MAX(0,NETWORKDAYS(MAX(D248,DATE(Einstellungen!$C$3,8,1)),MIN(J248,DATE(Einstellungen!$C$3,9,0)),Einstellungen!$F$13:$F$32)))</f>
        <v/>
      </c>
      <c r="T248" s="49">
        <f>IF(OR(A248="",D248=""),0,MAX(0,NETWORKDAYS(MAX(D248,DATE(Einstellungen!$C$3,9,1)),MIN(J248,DATE(Einstellungen!$C$3,10,0)),Einstellungen!$F$13:$F$32)))</f>
        <v/>
      </c>
      <c r="U248" s="49">
        <f>IF(OR(A248="",D248=""),0,MAX(0,NETWORKDAYS(MAX(D248,DATE(Einstellungen!$C$3,10,1)),MIN(J248,DATE(Einstellungen!$C$3,11,0)),Einstellungen!$F$13:$F$32)))</f>
        <v/>
      </c>
      <c r="V248" s="49">
        <f>IF(OR(A248="",D248=""),0,MAX(0,NETWORKDAYS(MAX(D248,DATE(Einstellungen!$C$3,11,1)),MIN(J248,DATE(Einstellungen!$C$3,12,0)),Einstellungen!$F$13:$F$32)))</f>
        <v/>
      </c>
      <c r="W248" s="49">
        <f>IF(OR(A248="",D248=""),0,MAX(0,NETWORKDAYS(MAX(D248,DATE(Einstellungen!$C$3,12,1)),MIN(J248,DATE(Einstellungen!$C$3,13,0)),Einstellungen!$F$13:$F$32)))</f>
        <v/>
      </c>
      <c r="X248" s="50">
        <f>L248*K248</f>
        <v/>
      </c>
      <c r="Y248" s="50">
        <f>M248*K248</f>
        <v/>
      </c>
      <c r="Z248" s="50">
        <f>N248*K248</f>
        <v/>
      </c>
      <c r="AA248" s="50">
        <f>O248*K248</f>
        <v/>
      </c>
      <c r="AB248" s="50">
        <f>P248*K248</f>
        <v/>
      </c>
      <c r="AC248" s="50">
        <f>Q248*K248</f>
        <v/>
      </c>
      <c r="AD248" s="50">
        <f>R248*K248</f>
        <v/>
      </c>
      <c r="AE248" s="50">
        <f>S248*K248</f>
        <v/>
      </c>
      <c r="AF248" s="50">
        <f>T248*K248</f>
        <v/>
      </c>
      <c r="AG248" s="50">
        <f>U248*K248</f>
        <v/>
      </c>
      <c r="AH248" s="50">
        <f>V248*K248</f>
        <v/>
      </c>
      <c r="AI248" s="50">
        <f>W248*K248</f>
        <v/>
      </c>
    </row>
    <row r="249">
      <c r="A249" s="25" t="n"/>
      <c r="B249" s="45">
        <f>IF(A249="","",IFERROR(INDEX(Mitarbeiter!$B$6:$B$205,MATCH($A249,Mitarbeiter!$A$6:$A$205,0)),"?"))</f>
        <v/>
      </c>
      <c r="C249" s="46" t="n"/>
      <c r="D249" s="26" t="n"/>
      <c r="E249" s="26" t="n"/>
      <c r="F249" s="24">
        <f>IF(A249="","",SUM(L249:W249))</f>
        <v/>
      </c>
      <c r="G249" s="36">
        <f>IF(A249="","",SUM(X249:AI249))</f>
        <v/>
      </c>
      <c r="H249" s="8">
        <f>IF(A249="","",IF(ISNA(MATCH(A249,Mitarbeiter!$A$6:$A$205,0)),"Pers.-Nr. unbekannt",IF(D249="","Von fehlt",IF(AND(C249&lt;&gt;Einstellungen!$C$4,C249&lt;&gt;Einstellungen!$C$5),"Objekt fehlt",IF(J249&lt;D249,"Bis vor Von",IF(D249&lt;INDEX(Mitarbeiter!$C$6:$C$205,MATCH($A249,Mitarbeiter!$A$6:$A$205,0)),"vor Eintritt",IF(AND(INDEX(Mitarbeiter!$D$6:$D$205,MATCH($A249,Mitarbeiter!$A$6:$A$205,0))&lt;&gt;"",D249&gt;INDEX(Mitarbeiter!$D$6:$D$205,MATCH($A249,Mitarbeiter!$A$6:$A$205,0))),"nach Austritt",IF(E249="","offen","ok"))))))))</f>
        <v/>
      </c>
      <c r="J249" s="47">
        <f>IF(A249="","",IF(E249="",Einstellungen!$C$9,E249))</f>
        <v/>
      </c>
      <c r="K249" s="48">
        <f>IF(A249="",0,IFERROR(INDEX(Mitarbeiter!$F$6:$F$205,MATCH($A249,Mitarbeiter!$A$6:$A$205,0)),0))</f>
        <v/>
      </c>
      <c r="L249" s="49">
        <f>IF(OR(A249="",D249=""),0,MAX(0,NETWORKDAYS(MAX(D249,DATE(Einstellungen!$C$3,1,1)),MIN(J249,DATE(Einstellungen!$C$3,2,0)),Einstellungen!$F$13:$F$32)))</f>
        <v/>
      </c>
      <c r="M249" s="49">
        <f>IF(OR(A249="",D249=""),0,MAX(0,NETWORKDAYS(MAX(D249,DATE(Einstellungen!$C$3,2,1)),MIN(J249,DATE(Einstellungen!$C$3,3,0)),Einstellungen!$F$13:$F$32)))</f>
        <v/>
      </c>
      <c r="N249" s="49">
        <f>IF(OR(A249="",D249=""),0,MAX(0,NETWORKDAYS(MAX(D249,DATE(Einstellungen!$C$3,3,1)),MIN(J249,DATE(Einstellungen!$C$3,4,0)),Einstellungen!$F$13:$F$32)))</f>
        <v/>
      </c>
      <c r="O249" s="49">
        <f>IF(OR(A249="",D249=""),0,MAX(0,NETWORKDAYS(MAX(D249,DATE(Einstellungen!$C$3,4,1)),MIN(J249,DATE(Einstellungen!$C$3,5,0)),Einstellungen!$F$13:$F$32)))</f>
        <v/>
      </c>
      <c r="P249" s="49">
        <f>IF(OR(A249="",D249=""),0,MAX(0,NETWORKDAYS(MAX(D249,DATE(Einstellungen!$C$3,5,1)),MIN(J249,DATE(Einstellungen!$C$3,6,0)),Einstellungen!$F$13:$F$32)))</f>
        <v/>
      </c>
      <c r="Q249" s="49">
        <f>IF(OR(A249="",D249=""),0,MAX(0,NETWORKDAYS(MAX(D249,DATE(Einstellungen!$C$3,6,1)),MIN(J249,DATE(Einstellungen!$C$3,7,0)),Einstellungen!$F$13:$F$32)))</f>
        <v/>
      </c>
      <c r="R249" s="49">
        <f>IF(OR(A249="",D249=""),0,MAX(0,NETWORKDAYS(MAX(D249,DATE(Einstellungen!$C$3,7,1)),MIN(J249,DATE(Einstellungen!$C$3,8,0)),Einstellungen!$F$13:$F$32)))</f>
        <v/>
      </c>
      <c r="S249" s="49">
        <f>IF(OR(A249="",D249=""),0,MAX(0,NETWORKDAYS(MAX(D249,DATE(Einstellungen!$C$3,8,1)),MIN(J249,DATE(Einstellungen!$C$3,9,0)),Einstellungen!$F$13:$F$32)))</f>
        <v/>
      </c>
      <c r="T249" s="49">
        <f>IF(OR(A249="",D249=""),0,MAX(0,NETWORKDAYS(MAX(D249,DATE(Einstellungen!$C$3,9,1)),MIN(J249,DATE(Einstellungen!$C$3,10,0)),Einstellungen!$F$13:$F$32)))</f>
        <v/>
      </c>
      <c r="U249" s="49">
        <f>IF(OR(A249="",D249=""),0,MAX(0,NETWORKDAYS(MAX(D249,DATE(Einstellungen!$C$3,10,1)),MIN(J249,DATE(Einstellungen!$C$3,11,0)),Einstellungen!$F$13:$F$32)))</f>
        <v/>
      </c>
      <c r="V249" s="49">
        <f>IF(OR(A249="",D249=""),0,MAX(0,NETWORKDAYS(MAX(D249,DATE(Einstellungen!$C$3,11,1)),MIN(J249,DATE(Einstellungen!$C$3,12,0)),Einstellungen!$F$13:$F$32)))</f>
        <v/>
      </c>
      <c r="W249" s="49">
        <f>IF(OR(A249="",D249=""),0,MAX(0,NETWORKDAYS(MAX(D249,DATE(Einstellungen!$C$3,12,1)),MIN(J249,DATE(Einstellungen!$C$3,13,0)),Einstellungen!$F$13:$F$32)))</f>
        <v/>
      </c>
      <c r="X249" s="50">
        <f>L249*K249</f>
        <v/>
      </c>
      <c r="Y249" s="50">
        <f>M249*K249</f>
        <v/>
      </c>
      <c r="Z249" s="50">
        <f>N249*K249</f>
        <v/>
      </c>
      <c r="AA249" s="50">
        <f>O249*K249</f>
        <v/>
      </c>
      <c r="AB249" s="50">
        <f>P249*K249</f>
        <v/>
      </c>
      <c r="AC249" s="50">
        <f>Q249*K249</f>
        <v/>
      </c>
      <c r="AD249" s="50">
        <f>R249*K249</f>
        <v/>
      </c>
      <c r="AE249" s="50">
        <f>S249*K249</f>
        <v/>
      </c>
      <c r="AF249" s="50">
        <f>T249*K249</f>
        <v/>
      </c>
      <c r="AG249" s="50">
        <f>U249*K249</f>
        <v/>
      </c>
      <c r="AH249" s="50">
        <f>V249*K249</f>
        <v/>
      </c>
      <c r="AI249" s="50">
        <f>W249*K249</f>
        <v/>
      </c>
    </row>
    <row r="250">
      <c r="A250" s="25" t="n"/>
      <c r="B250" s="45">
        <f>IF(A250="","",IFERROR(INDEX(Mitarbeiter!$B$6:$B$205,MATCH($A250,Mitarbeiter!$A$6:$A$205,0)),"?"))</f>
        <v/>
      </c>
      <c r="C250" s="46" t="n"/>
      <c r="D250" s="26" t="n"/>
      <c r="E250" s="26" t="n"/>
      <c r="F250" s="24">
        <f>IF(A250="","",SUM(L250:W250))</f>
        <v/>
      </c>
      <c r="G250" s="36">
        <f>IF(A250="","",SUM(X250:AI250))</f>
        <v/>
      </c>
      <c r="H250" s="8">
        <f>IF(A250="","",IF(ISNA(MATCH(A250,Mitarbeiter!$A$6:$A$205,0)),"Pers.-Nr. unbekannt",IF(D250="","Von fehlt",IF(AND(C250&lt;&gt;Einstellungen!$C$4,C250&lt;&gt;Einstellungen!$C$5),"Objekt fehlt",IF(J250&lt;D250,"Bis vor Von",IF(D250&lt;INDEX(Mitarbeiter!$C$6:$C$205,MATCH($A250,Mitarbeiter!$A$6:$A$205,0)),"vor Eintritt",IF(AND(INDEX(Mitarbeiter!$D$6:$D$205,MATCH($A250,Mitarbeiter!$A$6:$A$205,0))&lt;&gt;"",D250&gt;INDEX(Mitarbeiter!$D$6:$D$205,MATCH($A250,Mitarbeiter!$A$6:$A$205,0))),"nach Austritt",IF(E250="","offen","ok"))))))))</f>
        <v/>
      </c>
      <c r="J250" s="47">
        <f>IF(A250="","",IF(E250="",Einstellungen!$C$9,E250))</f>
        <v/>
      </c>
      <c r="K250" s="48">
        <f>IF(A250="",0,IFERROR(INDEX(Mitarbeiter!$F$6:$F$205,MATCH($A250,Mitarbeiter!$A$6:$A$205,0)),0))</f>
        <v/>
      </c>
      <c r="L250" s="49">
        <f>IF(OR(A250="",D250=""),0,MAX(0,NETWORKDAYS(MAX(D250,DATE(Einstellungen!$C$3,1,1)),MIN(J250,DATE(Einstellungen!$C$3,2,0)),Einstellungen!$F$13:$F$32)))</f>
        <v/>
      </c>
      <c r="M250" s="49">
        <f>IF(OR(A250="",D250=""),0,MAX(0,NETWORKDAYS(MAX(D250,DATE(Einstellungen!$C$3,2,1)),MIN(J250,DATE(Einstellungen!$C$3,3,0)),Einstellungen!$F$13:$F$32)))</f>
        <v/>
      </c>
      <c r="N250" s="49">
        <f>IF(OR(A250="",D250=""),0,MAX(0,NETWORKDAYS(MAX(D250,DATE(Einstellungen!$C$3,3,1)),MIN(J250,DATE(Einstellungen!$C$3,4,0)),Einstellungen!$F$13:$F$32)))</f>
        <v/>
      </c>
      <c r="O250" s="49">
        <f>IF(OR(A250="",D250=""),0,MAX(0,NETWORKDAYS(MAX(D250,DATE(Einstellungen!$C$3,4,1)),MIN(J250,DATE(Einstellungen!$C$3,5,0)),Einstellungen!$F$13:$F$32)))</f>
        <v/>
      </c>
      <c r="P250" s="49">
        <f>IF(OR(A250="",D250=""),0,MAX(0,NETWORKDAYS(MAX(D250,DATE(Einstellungen!$C$3,5,1)),MIN(J250,DATE(Einstellungen!$C$3,6,0)),Einstellungen!$F$13:$F$32)))</f>
        <v/>
      </c>
      <c r="Q250" s="49">
        <f>IF(OR(A250="",D250=""),0,MAX(0,NETWORKDAYS(MAX(D250,DATE(Einstellungen!$C$3,6,1)),MIN(J250,DATE(Einstellungen!$C$3,7,0)),Einstellungen!$F$13:$F$32)))</f>
        <v/>
      </c>
      <c r="R250" s="49">
        <f>IF(OR(A250="",D250=""),0,MAX(0,NETWORKDAYS(MAX(D250,DATE(Einstellungen!$C$3,7,1)),MIN(J250,DATE(Einstellungen!$C$3,8,0)),Einstellungen!$F$13:$F$32)))</f>
        <v/>
      </c>
      <c r="S250" s="49">
        <f>IF(OR(A250="",D250=""),0,MAX(0,NETWORKDAYS(MAX(D250,DATE(Einstellungen!$C$3,8,1)),MIN(J250,DATE(Einstellungen!$C$3,9,0)),Einstellungen!$F$13:$F$32)))</f>
        <v/>
      </c>
      <c r="T250" s="49">
        <f>IF(OR(A250="",D250=""),0,MAX(0,NETWORKDAYS(MAX(D250,DATE(Einstellungen!$C$3,9,1)),MIN(J250,DATE(Einstellungen!$C$3,10,0)),Einstellungen!$F$13:$F$32)))</f>
        <v/>
      </c>
      <c r="U250" s="49">
        <f>IF(OR(A250="",D250=""),0,MAX(0,NETWORKDAYS(MAX(D250,DATE(Einstellungen!$C$3,10,1)),MIN(J250,DATE(Einstellungen!$C$3,11,0)),Einstellungen!$F$13:$F$32)))</f>
        <v/>
      </c>
      <c r="V250" s="49">
        <f>IF(OR(A250="",D250=""),0,MAX(0,NETWORKDAYS(MAX(D250,DATE(Einstellungen!$C$3,11,1)),MIN(J250,DATE(Einstellungen!$C$3,12,0)),Einstellungen!$F$13:$F$32)))</f>
        <v/>
      </c>
      <c r="W250" s="49">
        <f>IF(OR(A250="",D250=""),0,MAX(0,NETWORKDAYS(MAX(D250,DATE(Einstellungen!$C$3,12,1)),MIN(J250,DATE(Einstellungen!$C$3,13,0)),Einstellungen!$F$13:$F$32)))</f>
        <v/>
      </c>
      <c r="X250" s="50">
        <f>L250*K250</f>
        <v/>
      </c>
      <c r="Y250" s="50">
        <f>M250*K250</f>
        <v/>
      </c>
      <c r="Z250" s="50">
        <f>N250*K250</f>
        <v/>
      </c>
      <c r="AA250" s="50">
        <f>O250*K250</f>
        <v/>
      </c>
      <c r="AB250" s="50">
        <f>P250*K250</f>
        <v/>
      </c>
      <c r="AC250" s="50">
        <f>Q250*K250</f>
        <v/>
      </c>
      <c r="AD250" s="50">
        <f>R250*K250</f>
        <v/>
      </c>
      <c r="AE250" s="50">
        <f>S250*K250</f>
        <v/>
      </c>
      <c r="AF250" s="50">
        <f>T250*K250</f>
        <v/>
      </c>
      <c r="AG250" s="50">
        <f>U250*K250</f>
        <v/>
      </c>
      <c r="AH250" s="50">
        <f>V250*K250</f>
        <v/>
      </c>
      <c r="AI250" s="50">
        <f>W250*K250</f>
        <v/>
      </c>
    </row>
    <row r="251">
      <c r="A251" s="25" t="n"/>
      <c r="B251" s="45">
        <f>IF(A251="","",IFERROR(INDEX(Mitarbeiter!$B$6:$B$205,MATCH($A251,Mitarbeiter!$A$6:$A$205,0)),"?"))</f>
        <v/>
      </c>
      <c r="C251" s="46" t="n"/>
      <c r="D251" s="26" t="n"/>
      <c r="E251" s="26" t="n"/>
      <c r="F251" s="24">
        <f>IF(A251="","",SUM(L251:W251))</f>
        <v/>
      </c>
      <c r="G251" s="36">
        <f>IF(A251="","",SUM(X251:AI251))</f>
        <v/>
      </c>
      <c r="H251" s="8">
        <f>IF(A251="","",IF(ISNA(MATCH(A251,Mitarbeiter!$A$6:$A$205,0)),"Pers.-Nr. unbekannt",IF(D251="","Von fehlt",IF(AND(C251&lt;&gt;Einstellungen!$C$4,C251&lt;&gt;Einstellungen!$C$5),"Objekt fehlt",IF(J251&lt;D251,"Bis vor Von",IF(D251&lt;INDEX(Mitarbeiter!$C$6:$C$205,MATCH($A251,Mitarbeiter!$A$6:$A$205,0)),"vor Eintritt",IF(AND(INDEX(Mitarbeiter!$D$6:$D$205,MATCH($A251,Mitarbeiter!$A$6:$A$205,0))&lt;&gt;"",D251&gt;INDEX(Mitarbeiter!$D$6:$D$205,MATCH($A251,Mitarbeiter!$A$6:$A$205,0))),"nach Austritt",IF(E251="","offen","ok"))))))))</f>
        <v/>
      </c>
      <c r="J251" s="47">
        <f>IF(A251="","",IF(E251="",Einstellungen!$C$9,E251))</f>
        <v/>
      </c>
      <c r="K251" s="48">
        <f>IF(A251="",0,IFERROR(INDEX(Mitarbeiter!$F$6:$F$205,MATCH($A251,Mitarbeiter!$A$6:$A$205,0)),0))</f>
        <v/>
      </c>
      <c r="L251" s="49">
        <f>IF(OR(A251="",D251=""),0,MAX(0,NETWORKDAYS(MAX(D251,DATE(Einstellungen!$C$3,1,1)),MIN(J251,DATE(Einstellungen!$C$3,2,0)),Einstellungen!$F$13:$F$32)))</f>
        <v/>
      </c>
      <c r="M251" s="49">
        <f>IF(OR(A251="",D251=""),0,MAX(0,NETWORKDAYS(MAX(D251,DATE(Einstellungen!$C$3,2,1)),MIN(J251,DATE(Einstellungen!$C$3,3,0)),Einstellungen!$F$13:$F$32)))</f>
        <v/>
      </c>
      <c r="N251" s="49">
        <f>IF(OR(A251="",D251=""),0,MAX(0,NETWORKDAYS(MAX(D251,DATE(Einstellungen!$C$3,3,1)),MIN(J251,DATE(Einstellungen!$C$3,4,0)),Einstellungen!$F$13:$F$32)))</f>
        <v/>
      </c>
      <c r="O251" s="49">
        <f>IF(OR(A251="",D251=""),0,MAX(0,NETWORKDAYS(MAX(D251,DATE(Einstellungen!$C$3,4,1)),MIN(J251,DATE(Einstellungen!$C$3,5,0)),Einstellungen!$F$13:$F$32)))</f>
        <v/>
      </c>
      <c r="P251" s="49">
        <f>IF(OR(A251="",D251=""),0,MAX(0,NETWORKDAYS(MAX(D251,DATE(Einstellungen!$C$3,5,1)),MIN(J251,DATE(Einstellungen!$C$3,6,0)),Einstellungen!$F$13:$F$32)))</f>
        <v/>
      </c>
      <c r="Q251" s="49">
        <f>IF(OR(A251="",D251=""),0,MAX(0,NETWORKDAYS(MAX(D251,DATE(Einstellungen!$C$3,6,1)),MIN(J251,DATE(Einstellungen!$C$3,7,0)),Einstellungen!$F$13:$F$32)))</f>
        <v/>
      </c>
      <c r="R251" s="49">
        <f>IF(OR(A251="",D251=""),0,MAX(0,NETWORKDAYS(MAX(D251,DATE(Einstellungen!$C$3,7,1)),MIN(J251,DATE(Einstellungen!$C$3,8,0)),Einstellungen!$F$13:$F$32)))</f>
        <v/>
      </c>
      <c r="S251" s="49">
        <f>IF(OR(A251="",D251=""),0,MAX(0,NETWORKDAYS(MAX(D251,DATE(Einstellungen!$C$3,8,1)),MIN(J251,DATE(Einstellungen!$C$3,9,0)),Einstellungen!$F$13:$F$32)))</f>
        <v/>
      </c>
      <c r="T251" s="49">
        <f>IF(OR(A251="",D251=""),0,MAX(0,NETWORKDAYS(MAX(D251,DATE(Einstellungen!$C$3,9,1)),MIN(J251,DATE(Einstellungen!$C$3,10,0)),Einstellungen!$F$13:$F$32)))</f>
        <v/>
      </c>
      <c r="U251" s="49">
        <f>IF(OR(A251="",D251=""),0,MAX(0,NETWORKDAYS(MAX(D251,DATE(Einstellungen!$C$3,10,1)),MIN(J251,DATE(Einstellungen!$C$3,11,0)),Einstellungen!$F$13:$F$32)))</f>
        <v/>
      </c>
      <c r="V251" s="49">
        <f>IF(OR(A251="",D251=""),0,MAX(0,NETWORKDAYS(MAX(D251,DATE(Einstellungen!$C$3,11,1)),MIN(J251,DATE(Einstellungen!$C$3,12,0)),Einstellungen!$F$13:$F$32)))</f>
        <v/>
      </c>
      <c r="W251" s="49">
        <f>IF(OR(A251="",D251=""),0,MAX(0,NETWORKDAYS(MAX(D251,DATE(Einstellungen!$C$3,12,1)),MIN(J251,DATE(Einstellungen!$C$3,13,0)),Einstellungen!$F$13:$F$32)))</f>
        <v/>
      </c>
      <c r="X251" s="50">
        <f>L251*K251</f>
        <v/>
      </c>
      <c r="Y251" s="50">
        <f>M251*K251</f>
        <v/>
      </c>
      <c r="Z251" s="50">
        <f>N251*K251</f>
        <v/>
      </c>
      <c r="AA251" s="50">
        <f>O251*K251</f>
        <v/>
      </c>
      <c r="AB251" s="50">
        <f>P251*K251</f>
        <v/>
      </c>
      <c r="AC251" s="50">
        <f>Q251*K251</f>
        <v/>
      </c>
      <c r="AD251" s="50">
        <f>R251*K251</f>
        <v/>
      </c>
      <c r="AE251" s="50">
        <f>S251*K251</f>
        <v/>
      </c>
      <c r="AF251" s="50">
        <f>T251*K251</f>
        <v/>
      </c>
      <c r="AG251" s="50">
        <f>U251*K251</f>
        <v/>
      </c>
      <c r="AH251" s="50">
        <f>V251*K251</f>
        <v/>
      </c>
      <c r="AI251" s="50">
        <f>W251*K251</f>
        <v/>
      </c>
    </row>
    <row r="252">
      <c r="A252" s="25" t="n"/>
      <c r="B252" s="45">
        <f>IF(A252="","",IFERROR(INDEX(Mitarbeiter!$B$6:$B$205,MATCH($A252,Mitarbeiter!$A$6:$A$205,0)),"?"))</f>
        <v/>
      </c>
      <c r="C252" s="46" t="n"/>
      <c r="D252" s="26" t="n"/>
      <c r="E252" s="26" t="n"/>
      <c r="F252" s="24">
        <f>IF(A252="","",SUM(L252:W252))</f>
        <v/>
      </c>
      <c r="G252" s="36">
        <f>IF(A252="","",SUM(X252:AI252))</f>
        <v/>
      </c>
      <c r="H252" s="8">
        <f>IF(A252="","",IF(ISNA(MATCH(A252,Mitarbeiter!$A$6:$A$205,0)),"Pers.-Nr. unbekannt",IF(D252="","Von fehlt",IF(AND(C252&lt;&gt;Einstellungen!$C$4,C252&lt;&gt;Einstellungen!$C$5),"Objekt fehlt",IF(J252&lt;D252,"Bis vor Von",IF(D252&lt;INDEX(Mitarbeiter!$C$6:$C$205,MATCH($A252,Mitarbeiter!$A$6:$A$205,0)),"vor Eintritt",IF(AND(INDEX(Mitarbeiter!$D$6:$D$205,MATCH($A252,Mitarbeiter!$A$6:$A$205,0))&lt;&gt;"",D252&gt;INDEX(Mitarbeiter!$D$6:$D$205,MATCH($A252,Mitarbeiter!$A$6:$A$205,0))),"nach Austritt",IF(E252="","offen","ok"))))))))</f>
        <v/>
      </c>
      <c r="J252" s="47">
        <f>IF(A252="","",IF(E252="",Einstellungen!$C$9,E252))</f>
        <v/>
      </c>
      <c r="K252" s="48">
        <f>IF(A252="",0,IFERROR(INDEX(Mitarbeiter!$F$6:$F$205,MATCH($A252,Mitarbeiter!$A$6:$A$205,0)),0))</f>
        <v/>
      </c>
      <c r="L252" s="49">
        <f>IF(OR(A252="",D252=""),0,MAX(0,NETWORKDAYS(MAX(D252,DATE(Einstellungen!$C$3,1,1)),MIN(J252,DATE(Einstellungen!$C$3,2,0)),Einstellungen!$F$13:$F$32)))</f>
        <v/>
      </c>
      <c r="M252" s="49">
        <f>IF(OR(A252="",D252=""),0,MAX(0,NETWORKDAYS(MAX(D252,DATE(Einstellungen!$C$3,2,1)),MIN(J252,DATE(Einstellungen!$C$3,3,0)),Einstellungen!$F$13:$F$32)))</f>
        <v/>
      </c>
      <c r="N252" s="49">
        <f>IF(OR(A252="",D252=""),0,MAX(0,NETWORKDAYS(MAX(D252,DATE(Einstellungen!$C$3,3,1)),MIN(J252,DATE(Einstellungen!$C$3,4,0)),Einstellungen!$F$13:$F$32)))</f>
        <v/>
      </c>
      <c r="O252" s="49">
        <f>IF(OR(A252="",D252=""),0,MAX(0,NETWORKDAYS(MAX(D252,DATE(Einstellungen!$C$3,4,1)),MIN(J252,DATE(Einstellungen!$C$3,5,0)),Einstellungen!$F$13:$F$32)))</f>
        <v/>
      </c>
      <c r="P252" s="49">
        <f>IF(OR(A252="",D252=""),0,MAX(0,NETWORKDAYS(MAX(D252,DATE(Einstellungen!$C$3,5,1)),MIN(J252,DATE(Einstellungen!$C$3,6,0)),Einstellungen!$F$13:$F$32)))</f>
        <v/>
      </c>
      <c r="Q252" s="49">
        <f>IF(OR(A252="",D252=""),0,MAX(0,NETWORKDAYS(MAX(D252,DATE(Einstellungen!$C$3,6,1)),MIN(J252,DATE(Einstellungen!$C$3,7,0)),Einstellungen!$F$13:$F$32)))</f>
        <v/>
      </c>
      <c r="R252" s="49">
        <f>IF(OR(A252="",D252=""),0,MAX(0,NETWORKDAYS(MAX(D252,DATE(Einstellungen!$C$3,7,1)),MIN(J252,DATE(Einstellungen!$C$3,8,0)),Einstellungen!$F$13:$F$32)))</f>
        <v/>
      </c>
      <c r="S252" s="49">
        <f>IF(OR(A252="",D252=""),0,MAX(0,NETWORKDAYS(MAX(D252,DATE(Einstellungen!$C$3,8,1)),MIN(J252,DATE(Einstellungen!$C$3,9,0)),Einstellungen!$F$13:$F$32)))</f>
        <v/>
      </c>
      <c r="T252" s="49">
        <f>IF(OR(A252="",D252=""),0,MAX(0,NETWORKDAYS(MAX(D252,DATE(Einstellungen!$C$3,9,1)),MIN(J252,DATE(Einstellungen!$C$3,10,0)),Einstellungen!$F$13:$F$32)))</f>
        <v/>
      </c>
      <c r="U252" s="49">
        <f>IF(OR(A252="",D252=""),0,MAX(0,NETWORKDAYS(MAX(D252,DATE(Einstellungen!$C$3,10,1)),MIN(J252,DATE(Einstellungen!$C$3,11,0)),Einstellungen!$F$13:$F$32)))</f>
        <v/>
      </c>
      <c r="V252" s="49">
        <f>IF(OR(A252="",D252=""),0,MAX(0,NETWORKDAYS(MAX(D252,DATE(Einstellungen!$C$3,11,1)),MIN(J252,DATE(Einstellungen!$C$3,12,0)),Einstellungen!$F$13:$F$32)))</f>
        <v/>
      </c>
      <c r="W252" s="49">
        <f>IF(OR(A252="",D252=""),0,MAX(0,NETWORKDAYS(MAX(D252,DATE(Einstellungen!$C$3,12,1)),MIN(J252,DATE(Einstellungen!$C$3,13,0)),Einstellungen!$F$13:$F$32)))</f>
        <v/>
      </c>
      <c r="X252" s="50">
        <f>L252*K252</f>
        <v/>
      </c>
      <c r="Y252" s="50">
        <f>M252*K252</f>
        <v/>
      </c>
      <c r="Z252" s="50">
        <f>N252*K252</f>
        <v/>
      </c>
      <c r="AA252" s="50">
        <f>O252*K252</f>
        <v/>
      </c>
      <c r="AB252" s="50">
        <f>P252*K252</f>
        <v/>
      </c>
      <c r="AC252" s="50">
        <f>Q252*K252</f>
        <v/>
      </c>
      <c r="AD252" s="50">
        <f>R252*K252</f>
        <v/>
      </c>
      <c r="AE252" s="50">
        <f>S252*K252</f>
        <v/>
      </c>
      <c r="AF252" s="50">
        <f>T252*K252</f>
        <v/>
      </c>
      <c r="AG252" s="50">
        <f>U252*K252</f>
        <v/>
      </c>
      <c r="AH252" s="50">
        <f>V252*K252</f>
        <v/>
      </c>
      <c r="AI252" s="50">
        <f>W252*K252</f>
        <v/>
      </c>
    </row>
    <row r="253">
      <c r="A253" s="25" t="n"/>
      <c r="B253" s="45">
        <f>IF(A253="","",IFERROR(INDEX(Mitarbeiter!$B$6:$B$205,MATCH($A253,Mitarbeiter!$A$6:$A$205,0)),"?"))</f>
        <v/>
      </c>
      <c r="C253" s="46" t="n"/>
      <c r="D253" s="26" t="n"/>
      <c r="E253" s="26" t="n"/>
      <c r="F253" s="24">
        <f>IF(A253="","",SUM(L253:W253))</f>
        <v/>
      </c>
      <c r="G253" s="36">
        <f>IF(A253="","",SUM(X253:AI253))</f>
        <v/>
      </c>
      <c r="H253" s="8">
        <f>IF(A253="","",IF(ISNA(MATCH(A253,Mitarbeiter!$A$6:$A$205,0)),"Pers.-Nr. unbekannt",IF(D253="","Von fehlt",IF(AND(C253&lt;&gt;Einstellungen!$C$4,C253&lt;&gt;Einstellungen!$C$5),"Objekt fehlt",IF(J253&lt;D253,"Bis vor Von",IF(D253&lt;INDEX(Mitarbeiter!$C$6:$C$205,MATCH($A253,Mitarbeiter!$A$6:$A$205,0)),"vor Eintritt",IF(AND(INDEX(Mitarbeiter!$D$6:$D$205,MATCH($A253,Mitarbeiter!$A$6:$A$205,0))&lt;&gt;"",D253&gt;INDEX(Mitarbeiter!$D$6:$D$205,MATCH($A253,Mitarbeiter!$A$6:$A$205,0))),"nach Austritt",IF(E253="","offen","ok"))))))))</f>
        <v/>
      </c>
      <c r="J253" s="47">
        <f>IF(A253="","",IF(E253="",Einstellungen!$C$9,E253))</f>
        <v/>
      </c>
      <c r="K253" s="48">
        <f>IF(A253="",0,IFERROR(INDEX(Mitarbeiter!$F$6:$F$205,MATCH($A253,Mitarbeiter!$A$6:$A$205,0)),0))</f>
        <v/>
      </c>
      <c r="L253" s="49">
        <f>IF(OR(A253="",D253=""),0,MAX(0,NETWORKDAYS(MAX(D253,DATE(Einstellungen!$C$3,1,1)),MIN(J253,DATE(Einstellungen!$C$3,2,0)),Einstellungen!$F$13:$F$32)))</f>
        <v/>
      </c>
      <c r="M253" s="49">
        <f>IF(OR(A253="",D253=""),0,MAX(0,NETWORKDAYS(MAX(D253,DATE(Einstellungen!$C$3,2,1)),MIN(J253,DATE(Einstellungen!$C$3,3,0)),Einstellungen!$F$13:$F$32)))</f>
        <v/>
      </c>
      <c r="N253" s="49">
        <f>IF(OR(A253="",D253=""),0,MAX(0,NETWORKDAYS(MAX(D253,DATE(Einstellungen!$C$3,3,1)),MIN(J253,DATE(Einstellungen!$C$3,4,0)),Einstellungen!$F$13:$F$32)))</f>
        <v/>
      </c>
      <c r="O253" s="49">
        <f>IF(OR(A253="",D253=""),0,MAX(0,NETWORKDAYS(MAX(D253,DATE(Einstellungen!$C$3,4,1)),MIN(J253,DATE(Einstellungen!$C$3,5,0)),Einstellungen!$F$13:$F$32)))</f>
        <v/>
      </c>
      <c r="P253" s="49">
        <f>IF(OR(A253="",D253=""),0,MAX(0,NETWORKDAYS(MAX(D253,DATE(Einstellungen!$C$3,5,1)),MIN(J253,DATE(Einstellungen!$C$3,6,0)),Einstellungen!$F$13:$F$32)))</f>
        <v/>
      </c>
      <c r="Q253" s="49">
        <f>IF(OR(A253="",D253=""),0,MAX(0,NETWORKDAYS(MAX(D253,DATE(Einstellungen!$C$3,6,1)),MIN(J253,DATE(Einstellungen!$C$3,7,0)),Einstellungen!$F$13:$F$32)))</f>
        <v/>
      </c>
      <c r="R253" s="49">
        <f>IF(OR(A253="",D253=""),0,MAX(0,NETWORKDAYS(MAX(D253,DATE(Einstellungen!$C$3,7,1)),MIN(J253,DATE(Einstellungen!$C$3,8,0)),Einstellungen!$F$13:$F$32)))</f>
        <v/>
      </c>
      <c r="S253" s="49">
        <f>IF(OR(A253="",D253=""),0,MAX(0,NETWORKDAYS(MAX(D253,DATE(Einstellungen!$C$3,8,1)),MIN(J253,DATE(Einstellungen!$C$3,9,0)),Einstellungen!$F$13:$F$32)))</f>
        <v/>
      </c>
      <c r="T253" s="49">
        <f>IF(OR(A253="",D253=""),0,MAX(0,NETWORKDAYS(MAX(D253,DATE(Einstellungen!$C$3,9,1)),MIN(J253,DATE(Einstellungen!$C$3,10,0)),Einstellungen!$F$13:$F$32)))</f>
        <v/>
      </c>
      <c r="U253" s="49">
        <f>IF(OR(A253="",D253=""),0,MAX(0,NETWORKDAYS(MAX(D253,DATE(Einstellungen!$C$3,10,1)),MIN(J253,DATE(Einstellungen!$C$3,11,0)),Einstellungen!$F$13:$F$32)))</f>
        <v/>
      </c>
      <c r="V253" s="49">
        <f>IF(OR(A253="",D253=""),0,MAX(0,NETWORKDAYS(MAX(D253,DATE(Einstellungen!$C$3,11,1)),MIN(J253,DATE(Einstellungen!$C$3,12,0)),Einstellungen!$F$13:$F$32)))</f>
        <v/>
      </c>
      <c r="W253" s="49">
        <f>IF(OR(A253="",D253=""),0,MAX(0,NETWORKDAYS(MAX(D253,DATE(Einstellungen!$C$3,12,1)),MIN(J253,DATE(Einstellungen!$C$3,13,0)),Einstellungen!$F$13:$F$32)))</f>
        <v/>
      </c>
      <c r="X253" s="50">
        <f>L253*K253</f>
        <v/>
      </c>
      <c r="Y253" s="50">
        <f>M253*K253</f>
        <v/>
      </c>
      <c r="Z253" s="50">
        <f>N253*K253</f>
        <v/>
      </c>
      <c r="AA253" s="50">
        <f>O253*K253</f>
        <v/>
      </c>
      <c r="AB253" s="50">
        <f>P253*K253</f>
        <v/>
      </c>
      <c r="AC253" s="50">
        <f>Q253*K253</f>
        <v/>
      </c>
      <c r="AD253" s="50">
        <f>R253*K253</f>
        <v/>
      </c>
      <c r="AE253" s="50">
        <f>S253*K253</f>
        <v/>
      </c>
      <c r="AF253" s="50">
        <f>T253*K253</f>
        <v/>
      </c>
      <c r="AG253" s="50">
        <f>U253*K253</f>
        <v/>
      </c>
      <c r="AH253" s="50">
        <f>V253*K253</f>
        <v/>
      </c>
      <c r="AI253" s="50">
        <f>W253*K253</f>
        <v/>
      </c>
    </row>
    <row r="254">
      <c r="A254" s="25" t="n"/>
      <c r="B254" s="45">
        <f>IF(A254="","",IFERROR(INDEX(Mitarbeiter!$B$6:$B$205,MATCH($A254,Mitarbeiter!$A$6:$A$205,0)),"?"))</f>
        <v/>
      </c>
      <c r="C254" s="46" t="n"/>
      <c r="D254" s="26" t="n"/>
      <c r="E254" s="26" t="n"/>
      <c r="F254" s="24">
        <f>IF(A254="","",SUM(L254:W254))</f>
        <v/>
      </c>
      <c r="G254" s="36">
        <f>IF(A254="","",SUM(X254:AI254))</f>
        <v/>
      </c>
      <c r="H254" s="8">
        <f>IF(A254="","",IF(ISNA(MATCH(A254,Mitarbeiter!$A$6:$A$205,0)),"Pers.-Nr. unbekannt",IF(D254="","Von fehlt",IF(AND(C254&lt;&gt;Einstellungen!$C$4,C254&lt;&gt;Einstellungen!$C$5),"Objekt fehlt",IF(J254&lt;D254,"Bis vor Von",IF(D254&lt;INDEX(Mitarbeiter!$C$6:$C$205,MATCH($A254,Mitarbeiter!$A$6:$A$205,0)),"vor Eintritt",IF(AND(INDEX(Mitarbeiter!$D$6:$D$205,MATCH($A254,Mitarbeiter!$A$6:$A$205,0))&lt;&gt;"",D254&gt;INDEX(Mitarbeiter!$D$6:$D$205,MATCH($A254,Mitarbeiter!$A$6:$A$205,0))),"nach Austritt",IF(E254="","offen","ok"))))))))</f>
        <v/>
      </c>
      <c r="J254" s="47">
        <f>IF(A254="","",IF(E254="",Einstellungen!$C$9,E254))</f>
        <v/>
      </c>
      <c r="K254" s="48">
        <f>IF(A254="",0,IFERROR(INDEX(Mitarbeiter!$F$6:$F$205,MATCH($A254,Mitarbeiter!$A$6:$A$205,0)),0))</f>
        <v/>
      </c>
      <c r="L254" s="49">
        <f>IF(OR(A254="",D254=""),0,MAX(0,NETWORKDAYS(MAX(D254,DATE(Einstellungen!$C$3,1,1)),MIN(J254,DATE(Einstellungen!$C$3,2,0)),Einstellungen!$F$13:$F$32)))</f>
        <v/>
      </c>
      <c r="M254" s="49">
        <f>IF(OR(A254="",D254=""),0,MAX(0,NETWORKDAYS(MAX(D254,DATE(Einstellungen!$C$3,2,1)),MIN(J254,DATE(Einstellungen!$C$3,3,0)),Einstellungen!$F$13:$F$32)))</f>
        <v/>
      </c>
      <c r="N254" s="49">
        <f>IF(OR(A254="",D254=""),0,MAX(0,NETWORKDAYS(MAX(D254,DATE(Einstellungen!$C$3,3,1)),MIN(J254,DATE(Einstellungen!$C$3,4,0)),Einstellungen!$F$13:$F$32)))</f>
        <v/>
      </c>
      <c r="O254" s="49">
        <f>IF(OR(A254="",D254=""),0,MAX(0,NETWORKDAYS(MAX(D254,DATE(Einstellungen!$C$3,4,1)),MIN(J254,DATE(Einstellungen!$C$3,5,0)),Einstellungen!$F$13:$F$32)))</f>
        <v/>
      </c>
      <c r="P254" s="49">
        <f>IF(OR(A254="",D254=""),0,MAX(0,NETWORKDAYS(MAX(D254,DATE(Einstellungen!$C$3,5,1)),MIN(J254,DATE(Einstellungen!$C$3,6,0)),Einstellungen!$F$13:$F$32)))</f>
        <v/>
      </c>
      <c r="Q254" s="49">
        <f>IF(OR(A254="",D254=""),0,MAX(0,NETWORKDAYS(MAX(D254,DATE(Einstellungen!$C$3,6,1)),MIN(J254,DATE(Einstellungen!$C$3,7,0)),Einstellungen!$F$13:$F$32)))</f>
        <v/>
      </c>
      <c r="R254" s="49">
        <f>IF(OR(A254="",D254=""),0,MAX(0,NETWORKDAYS(MAX(D254,DATE(Einstellungen!$C$3,7,1)),MIN(J254,DATE(Einstellungen!$C$3,8,0)),Einstellungen!$F$13:$F$32)))</f>
        <v/>
      </c>
      <c r="S254" s="49">
        <f>IF(OR(A254="",D254=""),0,MAX(0,NETWORKDAYS(MAX(D254,DATE(Einstellungen!$C$3,8,1)),MIN(J254,DATE(Einstellungen!$C$3,9,0)),Einstellungen!$F$13:$F$32)))</f>
        <v/>
      </c>
      <c r="T254" s="49">
        <f>IF(OR(A254="",D254=""),0,MAX(0,NETWORKDAYS(MAX(D254,DATE(Einstellungen!$C$3,9,1)),MIN(J254,DATE(Einstellungen!$C$3,10,0)),Einstellungen!$F$13:$F$32)))</f>
        <v/>
      </c>
      <c r="U254" s="49">
        <f>IF(OR(A254="",D254=""),0,MAX(0,NETWORKDAYS(MAX(D254,DATE(Einstellungen!$C$3,10,1)),MIN(J254,DATE(Einstellungen!$C$3,11,0)),Einstellungen!$F$13:$F$32)))</f>
        <v/>
      </c>
      <c r="V254" s="49">
        <f>IF(OR(A254="",D254=""),0,MAX(0,NETWORKDAYS(MAX(D254,DATE(Einstellungen!$C$3,11,1)),MIN(J254,DATE(Einstellungen!$C$3,12,0)),Einstellungen!$F$13:$F$32)))</f>
        <v/>
      </c>
      <c r="W254" s="49">
        <f>IF(OR(A254="",D254=""),0,MAX(0,NETWORKDAYS(MAX(D254,DATE(Einstellungen!$C$3,12,1)),MIN(J254,DATE(Einstellungen!$C$3,13,0)),Einstellungen!$F$13:$F$32)))</f>
        <v/>
      </c>
      <c r="X254" s="50">
        <f>L254*K254</f>
        <v/>
      </c>
      <c r="Y254" s="50">
        <f>M254*K254</f>
        <v/>
      </c>
      <c r="Z254" s="50">
        <f>N254*K254</f>
        <v/>
      </c>
      <c r="AA254" s="50">
        <f>O254*K254</f>
        <v/>
      </c>
      <c r="AB254" s="50">
        <f>P254*K254</f>
        <v/>
      </c>
      <c r="AC254" s="50">
        <f>Q254*K254</f>
        <v/>
      </c>
      <c r="AD254" s="50">
        <f>R254*K254</f>
        <v/>
      </c>
      <c r="AE254" s="50">
        <f>S254*K254</f>
        <v/>
      </c>
      <c r="AF254" s="50">
        <f>T254*K254</f>
        <v/>
      </c>
      <c r="AG254" s="50">
        <f>U254*K254</f>
        <v/>
      </c>
      <c r="AH254" s="50">
        <f>V254*K254</f>
        <v/>
      </c>
      <c r="AI254" s="50">
        <f>W254*K254</f>
        <v/>
      </c>
    </row>
    <row r="255">
      <c r="A255" s="25" t="n"/>
      <c r="B255" s="45">
        <f>IF(A255="","",IFERROR(INDEX(Mitarbeiter!$B$6:$B$205,MATCH($A255,Mitarbeiter!$A$6:$A$205,0)),"?"))</f>
        <v/>
      </c>
      <c r="C255" s="46" t="n"/>
      <c r="D255" s="26" t="n"/>
      <c r="E255" s="26" t="n"/>
      <c r="F255" s="24">
        <f>IF(A255="","",SUM(L255:W255))</f>
        <v/>
      </c>
      <c r="G255" s="36">
        <f>IF(A255="","",SUM(X255:AI255))</f>
        <v/>
      </c>
      <c r="H255" s="8">
        <f>IF(A255="","",IF(ISNA(MATCH(A255,Mitarbeiter!$A$6:$A$205,0)),"Pers.-Nr. unbekannt",IF(D255="","Von fehlt",IF(AND(C255&lt;&gt;Einstellungen!$C$4,C255&lt;&gt;Einstellungen!$C$5),"Objekt fehlt",IF(J255&lt;D255,"Bis vor Von",IF(D255&lt;INDEX(Mitarbeiter!$C$6:$C$205,MATCH($A255,Mitarbeiter!$A$6:$A$205,0)),"vor Eintritt",IF(AND(INDEX(Mitarbeiter!$D$6:$D$205,MATCH($A255,Mitarbeiter!$A$6:$A$205,0))&lt;&gt;"",D255&gt;INDEX(Mitarbeiter!$D$6:$D$205,MATCH($A255,Mitarbeiter!$A$6:$A$205,0))),"nach Austritt",IF(E255="","offen","ok"))))))))</f>
        <v/>
      </c>
      <c r="J255" s="47">
        <f>IF(A255="","",IF(E255="",Einstellungen!$C$9,E255))</f>
        <v/>
      </c>
      <c r="K255" s="48">
        <f>IF(A255="",0,IFERROR(INDEX(Mitarbeiter!$F$6:$F$205,MATCH($A255,Mitarbeiter!$A$6:$A$205,0)),0))</f>
        <v/>
      </c>
      <c r="L255" s="49">
        <f>IF(OR(A255="",D255=""),0,MAX(0,NETWORKDAYS(MAX(D255,DATE(Einstellungen!$C$3,1,1)),MIN(J255,DATE(Einstellungen!$C$3,2,0)),Einstellungen!$F$13:$F$32)))</f>
        <v/>
      </c>
      <c r="M255" s="49">
        <f>IF(OR(A255="",D255=""),0,MAX(0,NETWORKDAYS(MAX(D255,DATE(Einstellungen!$C$3,2,1)),MIN(J255,DATE(Einstellungen!$C$3,3,0)),Einstellungen!$F$13:$F$32)))</f>
        <v/>
      </c>
      <c r="N255" s="49">
        <f>IF(OR(A255="",D255=""),0,MAX(0,NETWORKDAYS(MAX(D255,DATE(Einstellungen!$C$3,3,1)),MIN(J255,DATE(Einstellungen!$C$3,4,0)),Einstellungen!$F$13:$F$32)))</f>
        <v/>
      </c>
      <c r="O255" s="49">
        <f>IF(OR(A255="",D255=""),0,MAX(0,NETWORKDAYS(MAX(D255,DATE(Einstellungen!$C$3,4,1)),MIN(J255,DATE(Einstellungen!$C$3,5,0)),Einstellungen!$F$13:$F$32)))</f>
        <v/>
      </c>
      <c r="P255" s="49">
        <f>IF(OR(A255="",D255=""),0,MAX(0,NETWORKDAYS(MAX(D255,DATE(Einstellungen!$C$3,5,1)),MIN(J255,DATE(Einstellungen!$C$3,6,0)),Einstellungen!$F$13:$F$32)))</f>
        <v/>
      </c>
      <c r="Q255" s="49">
        <f>IF(OR(A255="",D255=""),0,MAX(0,NETWORKDAYS(MAX(D255,DATE(Einstellungen!$C$3,6,1)),MIN(J255,DATE(Einstellungen!$C$3,7,0)),Einstellungen!$F$13:$F$32)))</f>
        <v/>
      </c>
      <c r="R255" s="49">
        <f>IF(OR(A255="",D255=""),0,MAX(0,NETWORKDAYS(MAX(D255,DATE(Einstellungen!$C$3,7,1)),MIN(J255,DATE(Einstellungen!$C$3,8,0)),Einstellungen!$F$13:$F$32)))</f>
        <v/>
      </c>
      <c r="S255" s="49">
        <f>IF(OR(A255="",D255=""),0,MAX(0,NETWORKDAYS(MAX(D255,DATE(Einstellungen!$C$3,8,1)),MIN(J255,DATE(Einstellungen!$C$3,9,0)),Einstellungen!$F$13:$F$32)))</f>
        <v/>
      </c>
      <c r="T255" s="49">
        <f>IF(OR(A255="",D255=""),0,MAX(0,NETWORKDAYS(MAX(D255,DATE(Einstellungen!$C$3,9,1)),MIN(J255,DATE(Einstellungen!$C$3,10,0)),Einstellungen!$F$13:$F$32)))</f>
        <v/>
      </c>
      <c r="U255" s="49">
        <f>IF(OR(A255="",D255=""),0,MAX(0,NETWORKDAYS(MAX(D255,DATE(Einstellungen!$C$3,10,1)),MIN(J255,DATE(Einstellungen!$C$3,11,0)),Einstellungen!$F$13:$F$32)))</f>
        <v/>
      </c>
      <c r="V255" s="49">
        <f>IF(OR(A255="",D255=""),0,MAX(0,NETWORKDAYS(MAX(D255,DATE(Einstellungen!$C$3,11,1)),MIN(J255,DATE(Einstellungen!$C$3,12,0)),Einstellungen!$F$13:$F$32)))</f>
        <v/>
      </c>
      <c r="W255" s="49">
        <f>IF(OR(A255="",D255=""),0,MAX(0,NETWORKDAYS(MAX(D255,DATE(Einstellungen!$C$3,12,1)),MIN(J255,DATE(Einstellungen!$C$3,13,0)),Einstellungen!$F$13:$F$32)))</f>
        <v/>
      </c>
      <c r="X255" s="50">
        <f>L255*K255</f>
        <v/>
      </c>
      <c r="Y255" s="50">
        <f>M255*K255</f>
        <v/>
      </c>
      <c r="Z255" s="50">
        <f>N255*K255</f>
        <v/>
      </c>
      <c r="AA255" s="50">
        <f>O255*K255</f>
        <v/>
      </c>
      <c r="AB255" s="50">
        <f>P255*K255</f>
        <v/>
      </c>
      <c r="AC255" s="50">
        <f>Q255*K255</f>
        <v/>
      </c>
      <c r="AD255" s="50">
        <f>R255*K255</f>
        <v/>
      </c>
      <c r="AE255" s="50">
        <f>S255*K255</f>
        <v/>
      </c>
      <c r="AF255" s="50">
        <f>T255*K255</f>
        <v/>
      </c>
      <c r="AG255" s="50">
        <f>U255*K255</f>
        <v/>
      </c>
      <c r="AH255" s="50">
        <f>V255*K255</f>
        <v/>
      </c>
      <c r="AI255" s="50">
        <f>W255*K255</f>
        <v/>
      </c>
    </row>
    <row r="256">
      <c r="A256" s="25" t="n"/>
      <c r="B256" s="45">
        <f>IF(A256="","",IFERROR(INDEX(Mitarbeiter!$B$6:$B$205,MATCH($A256,Mitarbeiter!$A$6:$A$205,0)),"?"))</f>
        <v/>
      </c>
      <c r="C256" s="46" t="n"/>
      <c r="D256" s="26" t="n"/>
      <c r="E256" s="26" t="n"/>
      <c r="F256" s="24">
        <f>IF(A256="","",SUM(L256:W256))</f>
        <v/>
      </c>
      <c r="G256" s="36">
        <f>IF(A256="","",SUM(X256:AI256))</f>
        <v/>
      </c>
      <c r="H256" s="8">
        <f>IF(A256="","",IF(ISNA(MATCH(A256,Mitarbeiter!$A$6:$A$205,0)),"Pers.-Nr. unbekannt",IF(D256="","Von fehlt",IF(AND(C256&lt;&gt;Einstellungen!$C$4,C256&lt;&gt;Einstellungen!$C$5),"Objekt fehlt",IF(J256&lt;D256,"Bis vor Von",IF(D256&lt;INDEX(Mitarbeiter!$C$6:$C$205,MATCH($A256,Mitarbeiter!$A$6:$A$205,0)),"vor Eintritt",IF(AND(INDEX(Mitarbeiter!$D$6:$D$205,MATCH($A256,Mitarbeiter!$A$6:$A$205,0))&lt;&gt;"",D256&gt;INDEX(Mitarbeiter!$D$6:$D$205,MATCH($A256,Mitarbeiter!$A$6:$A$205,0))),"nach Austritt",IF(E256="","offen","ok"))))))))</f>
        <v/>
      </c>
      <c r="J256" s="47">
        <f>IF(A256="","",IF(E256="",Einstellungen!$C$9,E256))</f>
        <v/>
      </c>
      <c r="K256" s="48">
        <f>IF(A256="",0,IFERROR(INDEX(Mitarbeiter!$F$6:$F$205,MATCH($A256,Mitarbeiter!$A$6:$A$205,0)),0))</f>
        <v/>
      </c>
      <c r="L256" s="49">
        <f>IF(OR(A256="",D256=""),0,MAX(0,NETWORKDAYS(MAX(D256,DATE(Einstellungen!$C$3,1,1)),MIN(J256,DATE(Einstellungen!$C$3,2,0)),Einstellungen!$F$13:$F$32)))</f>
        <v/>
      </c>
      <c r="M256" s="49">
        <f>IF(OR(A256="",D256=""),0,MAX(0,NETWORKDAYS(MAX(D256,DATE(Einstellungen!$C$3,2,1)),MIN(J256,DATE(Einstellungen!$C$3,3,0)),Einstellungen!$F$13:$F$32)))</f>
        <v/>
      </c>
      <c r="N256" s="49">
        <f>IF(OR(A256="",D256=""),0,MAX(0,NETWORKDAYS(MAX(D256,DATE(Einstellungen!$C$3,3,1)),MIN(J256,DATE(Einstellungen!$C$3,4,0)),Einstellungen!$F$13:$F$32)))</f>
        <v/>
      </c>
      <c r="O256" s="49">
        <f>IF(OR(A256="",D256=""),0,MAX(0,NETWORKDAYS(MAX(D256,DATE(Einstellungen!$C$3,4,1)),MIN(J256,DATE(Einstellungen!$C$3,5,0)),Einstellungen!$F$13:$F$32)))</f>
        <v/>
      </c>
      <c r="P256" s="49">
        <f>IF(OR(A256="",D256=""),0,MAX(0,NETWORKDAYS(MAX(D256,DATE(Einstellungen!$C$3,5,1)),MIN(J256,DATE(Einstellungen!$C$3,6,0)),Einstellungen!$F$13:$F$32)))</f>
        <v/>
      </c>
      <c r="Q256" s="49">
        <f>IF(OR(A256="",D256=""),0,MAX(0,NETWORKDAYS(MAX(D256,DATE(Einstellungen!$C$3,6,1)),MIN(J256,DATE(Einstellungen!$C$3,7,0)),Einstellungen!$F$13:$F$32)))</f>
        <v/>
      </c>
      <c r="R256" s="49">
        <f>IF(OR(A256="",D256=""),0,MAX(0,NETWORKDAYS(MAX(D256,DATE(Einstellungen!$C$3,7,1)),MIN(J256,DATE(Einstellungen!$C$3,8,0)),Einstellungen!$F$13:$F$32)))</f>
        <v/>
      </c>
      <c r="S256" s="49">
        <f>IF(OR(A256="",D256=""),0,MAX(0,NETWORKDAYS(MAX(D256,DATE(Einstellungen!$C$3,8,1)),MIN(J256,DATE(Einstellungen!$C$3,9,0)),Einstellungen!$F$13:$F$32)))</f>
        <v/>
      </c>
      <c r="T256" s="49">
        <f>IF(OR(A256="",D256=""),0,MAX(0,NETWORKDAYS(MAX(D256,DATE(Einstellungen!$C$3,9,1)),MIN(J256,DATE(Einstellungen!$C$3,10,0)),Einstellungen!$F$13:$F$32)))</f>
        <v/>
      </c>
      <c r="U256" s="49">
        <f>IF(OR(A256="",D256=""),0,MAX(0,NETWORKDAYS(MAX(D256,DATE(Einstellungen!$C$3,10,1)),MIN(J256,DATE(Einstellungen!$C$3,11,0)),Einstellungen!$F$13:$F$32)))</f>
        <v/>
      </c>
      <c r="V256" s="49">
        <f>IF(OR(A256="",D256=""),0,MAX(0,NETWORKDAYS(MAX(D256,DATE(Einstellungen!$C$3,11,1)),MIN(J256,DATE(Einstellungen!$C$3,12,0)),Einstellungen!$F$13:$F$32)))</f>
        <v/>
      </c>
      <c r="W256" s="49">
        <f>IF(OR(A256="",D256=""),0,MAX(0,NETWORKDAYS(MAX(D256,DATE(Einstellungen!$C$3,12,1)),MIN(J256,DATE(Einstellungen!$C$3,13,0)),Einstellungen!$F$13:$F$32)))</f>
        <v/>
      </c>
      <c r="X256" s="50">
        <f>L256*K256</f>
        <v/>
      </c>
      <c r="Y256" s="50">
        <f>M256*K256</f>
        <v/>
      </c>
      <c r="Z256" s="50">
        <f>N256*K256</f>
        <v/>
      </c>
      <c r="AA256" s="50">
        <f>O256*K256</f>
        <v/>
      </c>
      <c r="AB256" s="50">
        <f>P256*K256</f>
        <v/>
      </c>
      <c r="AC256" s="50">
        <f>Q256*K256</f>
        <v/>
      </c>
      <c r="AD256" s="50">
        <f>R256*K256</f>
        <v/>
      </c>
      <c r="AE256" s="50">
        <f>S256*K256</f>
        <v/>
      </c>
      <c r="AF256" s="50">
        <f>T256*K256</f>
        <v/>
      </c>
      <c r="AG256" s="50">
        <f>U256*K256</f>
        <v/>
      </c>
      <c r="AH256" s="50">
        <f>V256*K256</f>
        <v/>
      </c>
      <c r="AI256" s="50">
        <f>W256*K256</f>
        <v/>
      </c>
    </row>
    <row r="257">
      <c r="A257" s="25" t="n"/>
      <c r="B257" s="45">
        <f>IF(A257="","",IFERROR(INDEX(Mitarbeiter!$B$6:$B$205,MATCH($A257,Mitarbeiter!$A$6:$A$205,0)),"?"))</f>
        <v/>
      </c>
      <c r="C257" s="46" t="n"/>
      <c r="D257" s="26" t="n"/>
      <c r="E257" s="26" t="n"/>
      <c r="F257" s="24">
        <f>IF(A257="","",SUM(L257:W257))</f>
        <v/>
      </c>
      <c r="G257" s="36">
        <f>IF(A257="","",SUM(X257:AI257))</f>
        <v/>
      </c>
      <c r="H257" s="8">
        <f>IF(A257="","",IF(ISNA(MATCH(A257,Mitarbeiter!$A$6:$A$205,0)),"Pers.-Nr. unbekannt",IF(D257="","Von fehlt",IF(AND(C257&lt;&gt;Einstellungen!$C$4,C257&lt;&gt;Einstellungen!$C$5),"Objekt fehlt",IF(J257&lt;D257,"Bis vor Von",IF(D257&lt;INDEX(Mitarbeiter!$C$6:$C$205,MATCH($A257,Mitarbeiter!$A$6:$A$205,0)),"vor Eintritt",IF(AND(INDEX(Mitarbeiter!$D$6:$D$205,MATCH($A257,Mitarbeiter!$A$6:$A$205,0))&lt;&gt;"",D257&gt;INDEX(Mitarbeiter!$D$6:$D$205,MATCH($A257,Mitarbeiter!$A$6:$A$205,0))),"nach Austritt",IF(E257="","offen","ok"))))))))</f>
        <v/>
      </c>
      <c r="J257" s="47">
        <f>IF(A257="","",IF(E257="",Einstellungen!$C$9,E257))</f>
        <v/>
      </c>
      <c r="K257" s="48">
        <f>IF(A257="",0,IFERROR(INDEX(Mitarbeiter!$F$6:$F$205,MATCH($A257,Mitarbeiter!$A$6:$A$205,0)),0))</f>
        <v/>
      </c>
      <c r="L257" s="49">
        <f>IF(OR(A257="",D257=""),0,MAX(0,NETWORKDAYS(MAX(D257,DATE(Einstellungen!$C$3,1,1)),MIN(J257,DATE(Einstellungen!$C$3,2,0)),Einstellungen!$F$13:$F$32)))</f>
        <v/>
      </c>
      <c r="M257" s="49">
        <f>IF(OR(A257="",D257=""),0,MAX(0,NETWORKDAYS(MAX(D257,DATE(Einstellungen!$C$3,2,1)),MIN(J257,DATE(Einstellungen!$C$3,3,0)),Einstellungen!$F$13:$F$32)))</f>
        <v/>
      </c>
      <c r="N257" s="49">
        <f>IF(OR(A257="",D257=""),0,MAX(0,NETWORKDAYS(MAX(D257,DATE(Einstellungen!$C$3,3,1)),MIN(J257,DATE(Einstellungen!$C$3,4,0)),Einstellungen!$F$13:$F$32)))</f>
        <v/>
      </c>
      <c r="O257" s="49">
        <f>IF(OR(A257="",D257=""),0,MAX(0,NETWORKDAYS(MAX(D257,DATE(Einstellungen!$C$3,4,1)),MIN(J257,DATE(Einstellungen!$C$3,5,0)),Einstellungen!$F$13:$F$32)))</f>
        <v/>
      </c>
      <c r="P257" s="49">
        <f>IF(OR(A257="",D257=""),0,MAX(0,NETWORKDAYS(MAX(D257,DATE(Einstellungen!$C$3,5,1)),MIN(J257,DATE(Einstellungen!$C$3,6,0)),Einstellungen!$F$13:$F$32)))</f>
        <v/>
      </c>
      <c r="Q257" s="49">
        <f>IF(OR(A257="",D257=""),0,MAX(0,NETWORKDAYS(MAX(D257,DATE(Einstellungen!$C$3,6,1)),MIN(J257,DATE(Einstellungen!$C$3,7,0)),Einstellungen!$F$13:$F$32)))</f>
        <v/>
      </c>
      <c r="R257" s="49">
        <f>IF(OR(A257="",D257=""),0,MAX(0,NETWORKDAYS(MAX(D257,DATE(Einstellungen!$C$3,7,1)),MIN(J257,DATE(Einstellungen!$C$3,8,0)),Einstellungen!$F$13:$F$32)))</f>
        <v/>
      </c>
      <c r="S257" s="49">
        <f>IF(OR(A257="",D257=""),0,MAX(0,NETWORKDAYS(MAX(D257,DATE(Einstellungen!$C$3,8,1)),MIN(J257,DATE(Einstellungen!$C$3,9,0)),Einstellungen!$F$13:$F$32)))</f>
        <v/>
      </c>
      <c r="T257" s="49">
        <f>IF(OR(A257="",D257=""),0,MAX(0,NETWORKDAYS(MAX(D257,DATE(Einstellungen!$C$3,9,1)),MIN(J257,DATE(Einstellungen!$C$3,10,0)),Einstellungen!$F$13:$F$32)))</f>
        <v/>
      </c>
      <c r="U257" s="49">
        <f>IF(OR(A257="",D257=""),0,MAX(0,NETWORKDAYS(MAX(D257,DATE(Einstellungen!$C$3,10,1)),MIN(J257,DATE(Einstellungen!$C$3,11,0)),Einstellungen!$F$13:$F$32)))</f>
        <v/>
      </c>
      <c r="V257" s="49">
        <f>IF(OR(A257="",D257=""),0,MAX(0,NETWORKDAYS(MAX(D257,DATE(Einstellungen!$C$3,11,1)),MIN(J257,DATE(Einstellungen!$C$3,12,0)),Einstellungen!$F$13:$F$32)))</f>
        <v/>
      </c>
      <c r="W257" s="49">
        <f>IF(OR(A257="",D257=""),0,MAX(0,NETWORKDAYS(MAX(D257,DATE(Einstellungen!$C$3,12,1)),MIN(J257,DATE(Einstellungen!$C$3,13,0)),Einstellungen!$F$13:$F$32)))</f>
        <v/>
      </c>
      <c r="X257" s="50">
        <f>L257*K257</f>
        <v/>
      </c>
      <c r="Y257" s="50">
        <f>M257*K257</f>
        <v/>
      </c>
      <c r="Z257" s="50">
        <f>N257*K257</f>
        <v/>
      </c>
      <c r="AA257" s="50">
        <f>O257*K257</f>
        <v/>
      </c>
      <c r="AB257" s="50">
        <f>P257*K257</f>
        <v/>
      </c>
      <c r="AC257" s="50">
        <f>Q257*K257</f>
        <v/>
      </c>
      <c r="AD257" s="50">
        <f>R257*K257</f>
        <v/>
      </c>
      <c r="AE257" s="50">
        <f>S257*K257</f>
        <v/>
      </c>
      <c r="AF257" s="50">
        <f>T257*K257</f>
        <v/>
      </c>
      <c r="AG257" s="50">
        <f>U257*K257</f>
        <v/>
      </c>
      <c r="AH257" s="50">
        <f>V257*K257</f>
        <v/>
      </c>
      <c r="AI257" s="50">
        <f>W257*K257</f>
        <v/>
      </c>
    </row>
    <row r="258">
      <c r="A258" s="25" t="n"/>
      <c r="B258" s="45">
        <f>IF(A258="","",IFERROR(INDEX(Mitarbeiter!$B$6:$B$205,MATCH($A258,Mitarbeiter!$A$6:$A$205,0)),"?"))</f>
        <v/>
      </c>
      <c r="C258" s="46" t="n"/>
      <c r="D258" s="26" t="n"/>
      <c r="E258" s="26" t="n"/>
      <c r="F258" s="24">
        <f>IF(A258="","",SUM(L258:W258))</f>
        <v/>
      </c>
      <c r="G258" s="36">
        <f>IF(A258="","",SUM(X258:AI258))</f>
        <v/>
      </c>
      <c r="H258" s="8">
        <f>IF(A258="","",IF(ISNA(MATCH(A258,Mitarbeiter!$A$6:$A$205,0)),"Pers.-Nr. unbekannt",IF(D258="","Von fehlt",IF(AND(C258&lt;&gt;Einstellungen!$C$4,C258&lt;&gt;Einstellungen!$C$5),"Objekt fehlt",IF(J258&lt;D258,"Bis vor Von",IF(D258&lt;INDEX(Mitarbeiter!$C$6:$C$205,MATCH($A258,Mitarbeiter!$A$6:$A$205,0)),"vor Eintritt",IF(AND(INDEX(Mitarbeiter!$D$6:$D$205,MATCH($A258,Mitarbeiter!$A$6:$A$205,0))&lt;&gt;"",D258&gt;INDEX(Mitarbeiter!$D$6:$D$205,MATCH($A258,Mitarbeiter!$A$6:$A$205,0))),"nach Austritt",IF(E258="","offen","ok"))))))))</f>
        <v/>
      </c>
      <c r="J258" s="47">
        <f>IF(A258="","",IF(E258="",Einstellungen!$C$9,E258))</f>
        <v/>
      </c>
      <c r="K258" s="48">
        <f>IF(A258="",0,IFERROR(INDEX(Mitarbeiter!$F$6:$F$205,MATCH($A258,Mitarbeiter!$A$6:$A$205,0)),0))</f>
        <v/>
      </c>
      <c r="L258" s="49">
        <f>IF(OR(A258="",D258=""),0,MAX(0,NETWORKDAYS(MAX(D258,DATE(Einstellungen!$C$3,1,1)),MIN(J258,DATE(Einstellungen!$C$3,2,0)),Einstellungen!$F$13:$F$32)))</f>
        <v/>
      </c>
      <c r="M258" s="49">
        <f>IF(OR(A258="",D258=""),0,MAX(0,NETWORKDAYS(MAX(D258,DATE(Einstellungen!$C$3,2,1)),MIN(J258,DATE(Einstellungen!$C$3,3,0)),Einstellungen!$F$13:$F$32)))</f>
        <v/>
      </c>
      <c r="N258" s="49">
        <f>IF(OR(A258="",D258=""),0,MAX(0,NETWORKDAYS(MAX(D258,DATE(Einstellungen!$C$3,3,1)),MIN(J258,DATE(Einstellungen!$C$3,4,0)),Einstellungen!$F$13:$F$32)))</f>
        <v/>
      </c>
      <c r="O258" s="49">
        <f>IF(OR(A258="",D258=""),0,MAX(0,NETWORKDAYS(MAX(D258,DATE(Einstellungen!$C$3,4,1)),MIN(J258,DATE(Einstellungen!$C$3,5,0)),Einstellungen!$F$13:$F$32)))</f>
        <v/>
      </c>
      <c r="P258" s="49">
        <f>IF(OR(A258="",D258=""),0,MAX(0,NETWORKDAYS(MAX(D258,DATE(Einstellungen!$C$3,5,1)),MIN(J258,DATE(Einstellungen!$C$3,6,0)),Einstellungen!$F$13:$F$32)))</f>
        <v/>
      </c>
      <c r="Q258" s="49">
        <f>IF(OR(A258="",D258=""),0,MAX(0,NETWORKDAYS(MAX(D258,DATE(Einstellungen!$C$3,6,1)),MIN(J258,DATE(Einstellungen!$C$3,7,0)),Einstellungen!$F$13:$F$32)))</f>
        <v/>
      </c>
      <c r="R258" s="49">
        <f>IF(OR(A258="",D258=""),0,MAX(0,NETWORKDAYS(MAX(D258,DATE(Einstellungen!$C$3,7,1)),MIN(J258,DATE(Einstellungen!$C$3,8,0)),Einstellungen!$F$13:$F$32)))</f>
        <v/>
      </c>
      <c r="S258" s="49">
        <f>IF(OR(A258="",D258=""),0,MAX(0,NETWORKDAYS(MAX(D258,DATE(Einstellungen!$C$3,8,1)),MIN(J258,DATE(Einstellungen!$C$3,9,0)),Einstellungen!$F$13:$F$32)))</f>
        <v/>
      </c>
      <c r="T258" s="49">
        <f>IF(OR(A258="",D258=""),0,MAX(0,NETWORKDAYS(MAX(D258,DATE(Einstellungen!$C$3,9,1)),MIN(J258,DATE(Einstellungen!$C$3,10,0)),Einstellungen!$F$13:$F$32)))</f>
        <v/>
      </c>
      <c r="U258" s="49">
        <f>IF(OR(A258="",D258=""),0,MAX(0,NETWORKDAYS(MAX(D258,DATE(Einstellungen!$C$3,10,1)),MIN(J258,DATE(Einstellungen!$C$3,11,0)),Einstellungen!$F$13:$F$32)))</f>
        <v/>
      </c>
      <c r="V258" s="49">
        <f>IF(OR(A258="",D258=""),0,MAX(0,NETWORKDAYS(MAX(D258,DATE(Einstellungen!$C$3,11,1)),MIN(J258,DATE(Einstellungen!$C$3,12,0)),Einstellungen!$F$13:$F$32)))</f>
        <v/>
      </c>
      <c r="W258" s="49">
        <f>IF(OR(A258="",D258=""),0,MAX(0,NETWORKDAYS(MAX(D258,DATE(Einstellungen!$C$3,12,1)),MIN(J258,DATE(Einstellungen!$C$3,13,0)),Einstellungen!$F$13:$F$32)))</f>
        <v/>
      </c>
      <c r="X258" s="50">
        <f>L258*K258</f>
        <v/>
      </c>
      <c r="Y258" s="50">
        <f>M258*K258</f>
        <v/>
      </c>
      <c r="Z258" s="50">
        <f>N258*K258</f>
        <v/>
      </c>
      <c r="AA258" s="50">
        <f>O258*K258</f>
        <v/>
      </c>
      <c r="AB258" s="50">
        <f>P258*K258</f>
        <v/>
      </c>
      <c r="AC258" s="50">
        <f>Q258*K258</f>
        <v/>
      </c>
      <c r="AD258" s="50">
        <f>R258*K258</f>
        <v/>
      </c>
      <c r="AE258" s="50">
        <f>S258*K258</f>
        <v/>
      </c>
      <c r="AF258" s="50">
        <f>T258*K258</f>
        <v/>
      </c>
      <c r="AG258" s="50">
        <f>U258*K258</f>
        <v/>
      </c>
      <c r="AH258" s="50">
        <f>V258*K258</f>
        <v/>
      </c>
      <c r="AI258" s="50">
        <f>W258*K258</f>
        <v/>
      </c>
    </row>
    <row r="259">
      <c r="A259" s="25" t="n"/>
      <c r="B259" s="45">
        <f>IF(A259="","",IFERROR(INDEX(Mitarbeiter!$B$6:$B$205,MATCH($A259,Mitarbeiter!$A$6:$A$205,0)),"?"))</f>
        <v/>
      </c>
      <c r="C259" s="46" t="n"/>
      <c r="D259" s="26" t="n"/>
      <c r="E259" s="26" t="n"/>
      <c r="F259" s="24">
        <f>IF(A259="","",SUM(L259:W259))</f>
        <v/>
      </c>
      <c r="G259" s="36">
        <f>IF(A259="","",SUM(X259:AI259))</f>
        <v/>
      </c>
      <c r="H259" s="8">
        <f>IF(A259="","",IF(ISNA(MATCH(A259,Mitarbeiter!$A$6:$A$205,0)),"Pers.-Nr. unbekannt",IF(D259="","Von fehlt",IF(AND(C259&lt;&gt;Einstellungen!$C$4,C259&lt;&gt;Einstellungen!$C$5),"Objekt fehlt",IF(J259&lt;D259,"Bis vor Von",IF(D259&lt;INDEX(Mitarbeiter!$C$6:$C$205,MATCH($A259,Mitarbeiter!$A$6:$A$205,0)),"vor Eintritt",IF(AND(INDEX(Mitarbeiter!$D$6:$D$205,MATCH($A259,Mitarbeiter!$A$6:$A$205,0))&lt;&gt;"",D259&gt;INDEX(Mitarbeiter!$D$6:$D$205,MATCH($A259,Mitarbeiter!$A$6:$A$205,0))),"nach Austritt",IF(E259="","offen","ok"))))))))</f>
        <v/>
      </c>
      <c r="J259" s="47">
        <f>IF(A259="","",IF(E259="",Einstellungen!$C$9,E259))</f>
        <v/>
      </c>
      <c r="K259" s="48">
        <f>IF(A259="",0,IFERROR(INDEX(Mitarbeiter!$F$6:$F$205,MATCH($A259,Mitarbeiter!$A$6:$A$205,0)),0))</f>
        <v/>
      </c>
      <c r="L259" s="49">
        <f>IF(OR(A259="",D259=""),0,MAX(0,NETWORKDAYS(MAX(D259,DATE(Einstellungen!$C$3,1,1)),MIN(J259,DATE(Einstellungen!$C$3,2,0)),Einstellungen!$F$13:$F$32)))</f>
        <v/>
      </c>
      <c r="M259" s="49">
        <f>IF(OR(A259="",D259=""),0,MAX(0,NETWORKDAYS(MAX(D259,DATE(Einstellungen!$C$3,2,1)),MIN(J259,DATE(Einstellungen!$C$3,3,0)),Einstellungen!$F$13:$F$32)))</f>
        <v/>
      </c>
      <c r="N259" s="49">
        <f>IF(OR(A259="",D259=""),0,MAX(0,NETWORKDAYS(MAX(D259,DATE(Einstellungen!$C$3,3,1)),MIN(J259,DATE(Einstellungen!$C$3,4,0)),Einstellungen!$F$13:$F$32)))</f>
        <v/>
      </c>
      <c r="O259" s="49">
        <f>IF(OR(A259="",D259=""),0,MAX(0,NETWORKDAYS(MAX(D259,DATE(Einstellungen!$C$3,4,1)),MIN(J259,DATE(Einstellungen!$C$3,5,0)),Einstellungen!$F$13:$F$32)))</f>
        <v/>
      </c>
      <c r="P259" s="49">
        <f>IF(OR(A259="",D259=""),0,MAX(0,NETWORKDAYS(MAX(D259,DATE(Einstellungen!$C$3,5,1)),MIN(J259,DATE(Einstellungen!$C$3,6,0)),Einstellungen!$F$13:$F$32)))</f>
        <v/>
      </c>
      <c r="Q259" s="49">
        <f>IF(OR(A259="",D259=""),0,MAX(0,NETWORKDAYS(MAX(D259,DATE(Einstellungen!$C$3,6,1)),MIN(J259,DATE(Einstellungen!$C$3,7,0)),Einstellungen!$F$13:$F$32)))</f>
        <v/>
      </c>
      <c r="R259" s="49">
        <f>IF(OR(A259="",D259=""),0,MAX(0,NETWORKDAYS(MAX(D259,DATE(Einstellungen!$C$3,7,1)),MIN(J259,DATE(Einstellungen!$C$3,8,0)),Einstellungen!$F$13:$F$32)))</f>
        <v/>
      </c>
      <c r="S259" s="49">
        <f>IF(OR(A259="",D259=""),0,MAX(0,NETWORKDAYS(MAX(D259,DATE(Einstellungen!$C$3,8,1)),MIN(J259,DATE(Einstellungen!$C$3,9,0)),Einstellungen!$F$13:$F$32)))</f>
        <v/>
      </c>
      <c r="T259" s="49">
        <f>IF(OR(A259="",D259=""),0,MAX(0,NETWORKDAYS(MAX(D259,DATE(Einstellungen!$C$3,9,1)),MIN(J259,DATE(Einstellungen!$C$3,10,0)),Einstellungen!$F$13:$F$32)))</f>
        <v/>
      </c>
      <c r="U259" s="49">
        <f>IF(OR(A259="",D259=""),0,MAX(0,NETWORKDAYS(MAX(D259,DATE(Einstellungen!$C$3,10,1)),MIN(J259,DATE(Einstellungen!$C$3,11,0)),Einstellungen!$F$13:$F$32)))</f>
        <v/>
      </c>
      <c r="V259" s="49">
        <f>IF(OR(A259="",D259=""),0,MAX(0,NETWORKDAYS(MAX(D259,DATE(Einstellungen!$C$3,11,1)),MIN(J259,DATE(Einstellungen!$C$3,12,0)),Einstellungen!$F$13:$F$32)))</f>
        <v/>
      </c>
      <c r="W259" s="49">
        <f>IF(OR(A259="",D259=""),0,MAX(0,NETWORKDAYS(MAX(D259,DATE(Einstellungen!$C$3,12,1)),MIN(J259,DATE(Einstellungen!$C$3,13,0)),Einstellungen!$F$13:$F$32)))</f>
        <v/>
      </c>
      <c r="X259" s="50">
        <f>L259*K259</f>
        <v/>
      </c>
      <c r="Y259" s="50">
        <f>M259*K259</f>
        <v/>
      </c>
      <c r="Z259" s="50">
        <f>N259*K259</f>
        <v/>
      </c>
      <c r="AA259" s="50">
        <f>O259*K259</f>
        <v/>
      </c>
      <c r="AB259" s="50">
        <f>P259*K259</f>
        <v/>
      </c>
      <c r="AC259" s="50">
        <f>Q259*K259</f>
        <v/>
      </c>
      <c r="AD259" s="50">
        <f>R259*K259</f>
        <v/>
      </c>
      <c r="AE259" s="50">
        <f>S259*K259</f>
        <v/>
      </c>
      <c r="AF259" s="50">
        <f>T259*K259</f>
        <v/>
      </c>
      <c r="AG259" s="50">
        <f>U259*K259</f>
        <v/>
      </c>
      <c r="AH259" s="50">
        <f>V259*K259</f>
        <v/>
      </c>
      <c r="AI259" s="50">
        <f>W259*K259</f>
        <v/>
      </c>
    </row>
    <row r="260">
      <c r="A260" s="25" t="n"/>
      <c r="B260" s="45">
        <f>IF(A260="","",IFERROR(INDEX(Mitarbeiter!$B$6:$B$205,MATCH($A260,Mitarbeiter!$A$6:$A$205,0)),"?"))</f>
        <v/>
      </c>
      <c r="C260" s="46" t="n"/>
      <c r="D260" s="26" t="n"/>
      <c r="E260" s="26" t="n"/>
      <c r="F260" s="24">
        <f>IF(A260="","",SUM(L260:W260))</f>
        <v/>
      </c>
      <c r="G260" s="36">
        <f>IF(A260="","",SUM(X260:AI260))</f>
        <v/>
      </c>
      <c r="H260" s="8">
        <f>IF(A260="","",IF(ISNA(MATCH(A260,Mitarbeiter!$A$6:$A$205,0)),"Pers.-Nr. unbekannt",IF(D260="","Von fehlt",IF(AND(C260&lt;&gt;Einstellungen!$C$4,C260&lt;&gt;Einstellungen!$C$5),"Objekt fehlt",IF(J260&lt;D260,"Bis vor Von",IF(D260&lt;INDEX(Mitarbeiter!$C$6:$C$205,MATCH($A260,Mitarbeiter!$A$6:$A$205,0)),"vor Eintritt",IF(AND(INDEX(Mitarbeiter!$D$6:$D$205,MATCH($A260,Mitarbeiter!$A$6:$A$205,0))&lt;&gt;"",D260&gt;INDEX(Mitarbeiter!$D$6:$D$205,MATCH($A260,Mitarbeiter!$A$6:$A$205,0))),"nach Austritt",IF(E260="","offen","ok"))))))))</f>
        <v/>
      </c>
      <c r="J260" s="47">
        <f>IF(A260="","",IF(E260="",Einstellungen!$C$9,E260))</f>
        <v/>
      </c>
      <c r="K260" s="48">
        <f>IF(A260="",0,IFERROR(INDEX(Mitarbeiter!$F$6:$F$205,MATCH($A260,Mitarbeiter!$A$6:$A$205,0)),0))</f>
        <v/>
      </c>
      <c r="L260" s="49">
        <f>IF(OR(A260="",D260=""),0,MAX(0,NETWORKDAYS(MAX(D260,DATE(Einstellungen!$C$3,1,1)),MIN(J260,DATE(Einstellungen!$C$3,2,0)),Einstellungen!$F$13:$F$32)))</f>
        <v/>
      </c>
      <c r="M260" s="49">
        <f>IF(OR(A260="",D260=""),0,MAX(0,NETWORKDAYS(MAX(D260,DATE(Einstellungen!$C$3,2,1)),MIN(J260,DATE(Einstellungen!$C$3,3,0)),Einstellungen!$F$13:$F$32)))</f>
        <v/>
      </c>
      <c r="N260" s="49">
        <f>IF(OR(A260="",D260=""),0,MAX(0,NETWORKDAYS(MAX(D260,DATE(Einstellungen!$C$3,3,1)),MIN(J260,DATE(Einstellungen!$C$3,4,0)),Einstellungen!$F$13:$F$32)))</f>
        <v/>
      </c>
      <c r="O260" s="49">
        <f>IF(OR(A260="",D260=""),0,MAX(0,NETWORKDAYS(MAX(D260,DATE(Einstellungen!$C$3,4,1)),MIN(J260,DATE(Einstellungen!$C$3,5,0)),Einstellungen!$F$13:$F$32)))</f>
        <v/>
      </c>
      <c r="P260" s="49">
        <f>IF(OR(A260="",D260=""),0,MAX(0,NETWORKDAYS(MAX(D260,DATE(Einstellungen!$C$3,5,1)),MIN(J260,DATE(Einstellungen!$C$3,6,0)),Einstellungen!$F$13:$F$32)))</f>
        <v/>
      </c>
      <c r="Q260" s="49">
        <f>IF(OR(A260="",D260=""),0,MAX(0,NETWORKDAYS(MAX(D260,DATE(Einstellungen!$C$3,6,1)),MIN(J260,DATE(Einstellungen!$C$3,7,0)),Einstellungen!$F$13:$F$32)))</f>
        <v/>
      </c>
      <c r="R260" s="49">
        <f>IF(OR(A260="",D260=""),0,MAX(0,NETWORKDAYS(MAX(D260,DATE(Einstellungen!$C$3,7,1)),MIN(J260,DATE(Einstellungen!$C$3,8,0)),Einstellungen!$F$13:$F$32)))</f>
        <v/>
      </c>
      <c r="S260" s="49">
        <f>IF(OR(A260="",D260=""),0,MAX(0,NETWORKDAYS(MAX(D260,DATE(Einstellungen!$C$3,8,1)),MIN(J260,DATE(Einstellungen!$C$3,9,0)),Einstellungen!$F$13:$F$32)))</f>
        <v/>
      </c>
      <c r="T260" s="49">
        <f>IF(OR(A260="",D260=""),0,MAX(0,NETWORKDAYS(MAX(D260,DATE(Einstellungen!$C$3,9,1)),MIN(J260,DATE(Einstellungen!$C$3,10,0)),Einstellungen!$F$13:$F$32)))</f>
        <v/>
      </c>
      <c r="U260" s="49">
        <f>IF(OR(A260="",D260=""),0,MAX(0,NETWORKDAYS(MAX(D260,DATE(Einstellungen!$C$3,10,1)),MIN(J260,DATE(Einstellungen!$C$3,11,0)),Einstellungen!$F$13:$F$32)))</f>
        <v/>
      </c>
      <c r="V260" s="49">
        <f>IF(OR(A260="",D260=""),0,MAX(0,NETWORKDAYS(MAX(D260,DATE(Einstellungen!$C$3,11,1)),MIN(J260,DATE(Einstellungen!$C$3,12,0)),Einstellungen!$F$13:$F$32)))</f>
        <v/>
      </c>
      <c r="W260" s="49">
        <f>IF(OR(A260="",D260=""),0,MAX(0,NETWORKDAYS(MAX(D260,DATE(Einstellungen!$C$3,12,1)),MIN(J260,DATE(Einstellungen!$C$3,13,0)),Einstellungen!$F$13:$F$32)))</f>
        <v/>
      </c>
      <c r="X260" s="50">
        <f>L260*K260</f>
        <v/>
      </c>
      <c r="Y260" s="50">
        <f>M260*K260</f>
        <v/>
      </c>
      <c r="Z260" s="50">
        <f>N260*K260</f>
        <v/>
      </c>
      <c r="AA260" s="50">
        <f>O260*K260</f>
        <v/>
      </c>
      <c r="AB260" s="50">
        <f>P260*K260</f>
        <v/>
      </c>
      <c r="AC260" s="50">
        <f>Q260*K260</f>
        <v/>
      </c>
      <c r="AD260" s="50">
        <f>R260*K260</f>
        <v/>
      </c>
      <c r="AE260" s="50">
        <f>S260*K260</f>
        <v/>
      </c>
      <c r="AF260" s="50">
        <f>T260*K260</f>
        <v/>
      </c>
      <c r="AG260" s="50">
        <f>U260*K260</f>
        <v/>
      </c>
      <c r="AH260" s="50">
        <f>V260*K260</f>
        <v/>
      </c>
      <c r="AI260" s="50">
        <f>W260*K260</f>
        <v/>
      </c>
    </row>
    <row r="261">
      <c r="A261" s="25" t="n"/>
      <c r="B261" s="45">
        <f>IF(A261="","",IFERROR(INDEX(Mitarbeiter!$B$6:$B$205,MATCH($A261,Mitarbeiter!$A$6:$A$205,0)),"?"))</f>
        <v/>
      </c>
      <c r="C261" s="46" t="n"/>
      <c r="D261" s="26" t="n"/>
      <c r="E261" s="26" t="n"/>
      <c r="F261" s="24">
        <f>IF(A261="","",SUM(L261:W261))</f>
        <v/>
      </c>
      <c r="G261" s="36">
        <f>IF(A261="","",SUM(X261:AI261))</f>
        <v/>
      </c>
      <c r="H261" s="8">
        <f>IF(A261="","",IF(ISNA(MATCH(A261,Mitarbeiter!$A$6:$A$205,0)),"Pers.-Nr. unbekannt",IF(D261="","Von fehlt",IF(AND(C261&lt;&gt;Einstellungen!$C$4,C261&lt;&gt;Einstellungen!$C$5),"Objekt fehlt",IF(J261&lt;D261,"Bis vor Von",IF(D261&lt;INDEX(Mitarbeiter!$C$6:$C$205,MATCH($A261,Mitarbeiter!$A$6:$A$205,0)),"vor Eintritt",IF(AND(INDEX(Mitarbeiter!$D$6:$D$205,MATCH($A261,Mitarbeiter!$A$6:$A$205,0))&lt;&gt;"",D261&gt;INDEX(Mitarbeiter!$D$6:$D$205,MATCH($A261,Mitarbeiter!$A$6:$A$205,0))),"nach Austritt",IF(E261="","offen","ok"))))))))</f>
        <v/>
      </c>
      <c r="J261" s="47">
        <f>IF(A261="","",IF(E261="",Einstellungen!$C$9,E261))</f>
        <v/>
      </c>
      <c r="K261" s="48">
        <f>IF(A261="",0,IFERROR(INDEX(Mitarbeiter!$F$6:$F$205,MATCH($A261,Mitarbeiter!$A$6:$A$205,0)),0))</f>
        <v/>
      </c>
      <c r="L261" s="49">
        <f>IF(OR(A261="",D261=""),0,MAX(0,NETWORKDAYS(MAX(D261,DATE(Einstellungen!$C$3,1,1)),MIN(J261,DATE(Einstellungen!$C$3,2,0)),Einstellungen!$F$13:$F$32)))</f>
        <v/>
      </c>
      <c r="M261" s="49">
        <f>IF(OR(A261="",D261=""),0,MAX(0,NETWORKDAYS(MAX(D261,DATE(Einstellungen!$C$3,2,1)),MIN(J261,DATE(Einstellungen!$C$3,3,0)),Einstellungen!$F$13:$F$32)))</f>
        <v/>
      </c>
      <c r="N261" s="49">
        <f>IF(OR(A261="",D261=""),0,MAX(0,NETWORKDAYS(MAX(D261,DATE(Einstellungen!$C$3,3,1)),MIN(J261,DATE(Einstellungen!$C$3,4,0)),Einstellungen!$F$13:$F$32)))</f>
        <v/>
      </c>
      <c r="O261" s="49">
        <f>IF(OR(A261="",D261=""),0,MAX(0,NETWORKDAYS(MAX(D261,DATE(Einstellungen!$C$3,4,1)),MIN(J261,DATE(Einstellungen!$C$3,5,0)),Einstellungen!$F$13:$F$32)))</f>
        <v/>
      </c>
      <c r="P261" s="49">
        <f>IF(OR(A261="",D261=""),0,MAX(0,NETWORKDAYS(MAX(D261,DATE(Einstellungen!$C$3,5,1)),MIN(J261,DATE(Einstellungen!$C$3,6,0)),Einstellungen!$F$13:$F$32)))</f>
        <v/>
      </c>
      <c r="Q261" s="49">
        <f>IF(OR(A261="",D261=""),0,MAX(0,NETWORKDAYS(MAX(D261,DATE(Einstellungen!$C$3,6,1)),MIN(J261,DATE(Einstellungen!$C$3,7,0)),Einstellungen!$F$13:$F$32)))</f>
        <v/>
      </c>
      <c r="R261" s="49">
        <f>IF(OR(A261="",D261=""),0,MAX(0,NETWORKDAYS(MAX(D261,DATE(Einstellungen!$C$3,7,1)),MIN(J261,DATE(Einstellungen!$C$3,8,0)),Einstellungen!$F$13:$F$32)))</f>
        <v/>
      </c>
      <c r="S261" s="49">
        <f>IF(OR(A261="",D261=""),0,MAX(0,NETWORKDAYS(MAX(D261,DATE(Einstellungen!$C$3,8,1)),MIN(J261,DATE(Einstellungen!$C$3,9,0)),Einstellungen!$F$13:$F$32)))</f>
        <v/>
      </c>
      <c r="T261" s="49">
        <f>IF(OR(A261="",D261=""),0,MAX(0,NETWORKDAYS(MAX(D261,DATE(Einstellungen!$C$3,9,1)),MIN(J261,DATE(Einstellungen!$C$3,10,0)),Einstellungen!$F$13:$F$32)))</f>
        <v/>
      </c>
      <c r="U261" s="49">
        <f>IF(OR(A261="",D261=""),0,MAX(0,NETWORKDAYS(MAX(D261,DATE(Einstellungen!$C$3,10,1)),MIN(J261,DATE(Einstellungen!$C$3,11,0)),Einstellungen!$F$13:$F$32)))</f>
        <v/>
      </c>
      <c r="V261" s="49">
        <f>IF(OR(A261="",D261=""),0,MAX(0,NETWORKDAYS(MAX(D261,DATE(Einstellungen!$C$3,11,1)),MIN(J261,DATE(Einstellungen!$C$3,12,0)),Einstellungen!$F$13:$F$32)))</f>
        <v/>
      </c>
      <c r="W261" s="49">
        <f>IF(OR(A261="",D261=""),0,MAX(0,NETWORKDAYS(MAX(D261,DATE(Einstellungen!$C$3,12,1)),MIN(J261,DATE(Einstellungen!$C$3,13,0)),Einstellungen!$F$13:$F$32)))</f>
        <v/>
      </c>
      <c r="X261" s="50">
        <f>L261*K261</f>
        <v/>
      </c>
      <c r="Y261" s="50">
        <f>M261*K261</f>
        <v/>
      </c>
      <c r="Z261" s="50">
        <f>N261*K261</f>
        <v/>
      </c>
      <c r="AA261" s="50">
        <f>O261*K261</f>
        <v/>
      </c>
      <c r="AB261" s="50">
        <f>P261*K261</f>
        <v/>
      </c>
      <c r="AC261" s="50">
        <f>Q261*K261</f>
        <v/>
      </c>
      <c r="AD261" s="50">
        <f>R261*K261</f>
        <v/>
      </c>
      <c r="AE261" s="50">
        <f>S261*K261</f>
        <v/>
      </c>
      <c r="AF261" s="50">
        <f>T261*K261</f>
        <v/>
      </c>
      <c r="AG261" s="50">
        <f>U261*K261</f>
        <v/>
      </c>
      <c r="AH261" s="50">
        <f>V261*K261</f>
        <v/>
      </c>
      <c r="AI261" s="50">
        <f>W261*K261</f>
        <v/>
      </c>
    </row>
    <row r="262">
      <c r="A262" s="25" t="n"/>
      <c r="B262" s="45">
        <f>IF(A262="","",IFERROR(INDEX(Mitarbeiter!$B$6:$B$205,MATCH($A262,Mitarbeiter!$A$6:$A$205,0)),"?"))</f>
        <v/>
      </c>
      <c r="C262" s="46" t="n"/>
      <c r="D262" s="26" t="n"/>
      <c r="E262" s="26" t="n"/>
      <c r="F262" s="24">
        <f>IF(A262="","",SUM(L262:W262))</f>
        <v/>
      </c>
      <c r="G262" s="36">
        <f>IF(A262="","",SUM(X262:AI262))</f>
        <v/>
      </c>
      <c r="H262" s="8">
        <f>IF(A262="","",IF(ISNA(MATCH(A262,Mitarbeiter!$A$6:$A$205,0)),"Pers.-Nr. unbekannt",IF(D262="","Von fehlt",IF(AND(C262&lt;&gt;Einstellungen!$C$4,C262&lt;&gt;Einstellungen!$C$5),"Objekt fehlt",IF(J262&lt;D262,"Bis vor Von",IF(D262&lt;INDEX(Mitarbeiter!$C$6:$C$205,MATCH($A262,Mitarbeiter!$A$6:$A$205,0)),"vor Eintritt",IF(AND(INDEX(Mitarbeiter!$D$6:$D$205,MATCH($A262,Mitarbeiter!$A$6:$A$205,0))&lt;&gt;"",D262&gt;INDEX(Mitarbeiter!$D$6:$D$205,MATCH($A262,Mitarbeiter!$A$6:$A$205,0))),"nach Austritt",IF(E262="","offen","ok"))))))))</f>
        <v/>
      </c>
      <c r="J262" s="47">
        <f>IF(A262="","",IF(E262="",Einstellungen!$C$9,E262))</f>
        <v/>
      </c>
      <c r="K262" s="48">
        <f>IF(A262="",0,IFERROR(INDEX(Mitarbeiter!$F$6:$F$205,MATCH($A262,Mitarbeiter!$A$6:$A$205,0)),0))</f>
        <v/>
      </c>
      <c r="L262" s="49">
        <f>IF(OR(A262="",D262=""),0,MAX(0,NETWORKDAYS(MAX(D262,DATE(Einstellungen!$C$3,1,1)),MIN(J262,DATE(Einstellungen!$C$3,2,0)),Einstellungen!$F$13:$F$32)))</f>
        <v/>
      </c>
      <c r="M262" s="49">
        <f>IF(OR(A262="",D262=""),0,MAX(0,NETWORKDAYS(MAX(D262,DATE(Einstellungen!$C$3,2,1)),MIN(J262,DATE(Einstellungen!$C$3,3,0)),Einstellungen!$F$13:$F$32)))</f>
        <v/>
      </c>
      <c r="N262" s="49">
        <f>IF(OR(A262="",D262=""),0,MAX(0,NETWORKDAYS(MAX(D262,DATE(Einstellungen!$C$3,3,1)),MIN(J262,DATE(Einstellungen!$C$3,4,0)),Einstellungen!$F$13:$F$32)))</f>
        <v/>
      </c>
      <c r="O262" s="49">
        <f>IF(OR(A262="",D262=""),0,MAX(0,NETWORKDAYS(MAX(D262,DATE(Einstellungen!$C$3,4,1)),MIN(J262,DATE(Einstellungen!$C$3,5,0)),Einstellungen!$F$13:$F$32)))</f>
        <v/>
      </c>
      <c r="P262" s="49">
        <f>IF(OR(A262="",D262=""),0,MAX(0,NETWORKDAYS(MAX(D262,DATE(Einstellungen!$C$3,5,1)),MIN(J262,DATE(Einstellungen!$C$3,6,0)),Einstellungen!$F$13:$F$32)))</f>
        <v/>
      </c>
      <c r="Q262" s="49">
        <f>IF(OR(A262="",D262=""),0,MAX(0,NETWORKDAYS(MAX(D262,DATE(Einstellungen!$C$3,6,1)),MIN(J262,DATE(Einstellungen!$C$3,7,0)),Einstellungen!$F$13:$F$32)))</f>
        <v/>
      </c>
      <c r="R262" s="49">
        <f>IF(OR(A262="",D262=""),0,MAX(0,NETWORKDAYS(MAX(D262,DATE(Einstellungen!$C$3,7,1)),MIN(J262,DATE(Einstellungen!$C$3,8,0)),Einstellungen!$F$13:$F$32)))</f>
        <v/>
      </c>
      <c r="S262" s="49">
        <f>IF(OR(A262="",D262=""),0,MAX(0,NETWORKDAYS(MAX(D262,DATE(Einstellungen!$C$3,8,1)),MIN(J262,DATE(Einstellungen!$C$3,9,0)),Einstellungen!$F$13:$F$32)))</f>
        <v/>
      </c>
      <c r="T262" s="49">
        <f>IF(OR(A262="",D262=""),0,MAX(0,NETWORKDAYS(MAX(D262,DATE(Einstellungen!$C$3,9,1)),MIN(J262,DATE(Einstellungen!$C$3,10,0)),Einstellungen!$F$13:$F$32)))</f>
        <v/>
      </c>
      <c r="U262" s="49">
        <f>IF(OR(A262="",D262=""),0,MAX(0,NETWORKDAYS(MAX(D262,DATE(Einstellungen!$C$3,10,1)),MIN(J262,DATE(Einstellungen!$C$3,11,0)),Einstellungen!$F$13:$F$32)))</f>
        <v/>
      </c>
      <c r="V262" s="49">
        <f>IF(OR(A262="",D262=""),0,MAX(0,NETWORKDAYS(MAX(D262,DATE(Einstellungen!$C$3,11,1)),MIN(J262,DATE(Einstellungen!$C$3,12,0)),Einstellungen!$F$13:$F$32)))</f>
        <v/>
      </c>
      <c r="W262" s="49">
        <f>IF(OR(A262="",D262=""),0,MAX(0,NETWORKDAYS(MAX(D262,DATE(Einstellungen!$C$3,12,1)),MIN(J262,DATE(Einstellungen!$C$3,13,0)),Einstellungen!$F$13:$F$32)))</f>
        <v/>
      </c>
      <c r="X262" s="50">
        <f>L262*K262</f>
        <v/>
      </c>
      <c r="Y262" s="50">
        <f>M262*K262</f>
        <v/>
      </c>
      <c r="Z262" s="50">
        <f>N262*K262</f>
        <v/>
      </c>
      <c r="AA262" s="50">
        <f>O262*K262</f>
        <v/>
      </c>
      <c r="AB262" s="50">
        <f>P262*K262</f>
        <v/>
      </c>
      <c r="AC262" s="50">
        <f>Q262*K262</f>
        <v/>
      </c>
      <c r="AD262" s="50">
        <f>R262*K262</f>
        <v/>
      </c>
      <c r="AE262" s="50">
        <f>S262*K262</f>
        <v/>
      </c>
      <c r="AF262" s="50">
        <f>T262*K262</f>
        <v/>
      </c>
      <c r="AG262" s="50">
        <f>U262*K262</f>
        <v/>
      </c>
      <c r="AH262" s="50">
        <f>V262*K262</f>
        <v/>
      </c>
      <c r="AI262" s="50">
        <f>W262*K262</f>
        <v/>
      </c>
    </row>
    <row r="263">
      <c r="A263" s="25" t="n"/>
      <c r="B263" s="45">
        <f>IF(A263="","",IFERROR(INDEX(Mitarbeiter!$B$6:$B$205,MATCH($A263,Mitarbeiter!$A$6:$A$205,0)),"?"))</f>
        <v/>
      </c>
      <c r="C263" s="46" t="n"/>
      <c r="D263" s="26" t="n"/>
      <c r="E263" s="26" t="n"/>
      <c r="F263" s="24">
        <f>IF(A263="","",SUM(L263:W263))</f>
        <v/>
      </c>
      <c r="G263" s="36">
        <f>IF(A263="","",SUM(X263:AI263))</f>
        <v/>
      </c>
      <c r="H263" s="8">
        <f>IF(A263="","",IF(ISNA(MATCH(A263,Mitarbeiter!$A$6:$A$205,0)),"Pers.-Nr. unbekannt",IF(D263="","Von fehlt",IF(AND(C263&lt;&gt;Einstellungen!$C$4,C263&lt;&gt;Einstellungen!$C$5),"Objekt fehlt",IF(J263&lt;D263,"Bis vor Von",IF(D263&lt;INDEX(Mitarbeiter!$C$6:$C$205,MATCH($A263,Mitarbeiter!$A$6:$A$205,0)),"vor Eintritt",IF(AND(INDEX(Mitarbeiter!$D$6:$D$205,MATCH($A263,Mitarbeiter!$A$6:$A$205,0))&lt;&gt;"",D263&gt;INDEX(Mitarbeiter!$D$6:$D$205,MATCH($A263,Mitarbeiter!$A$6:$A$205,0))),"nach Austritt",IF(E263="","offen","ok"))))))))</f>
        <v/>
      </c>
      <c r="J263" s="47">
        <f>IF(A263="","",IF(E263="",Einstellungen!$C$9,E263))</f>
        <v/>
      </c>
      <c r="K263" s="48">
        <f>IF(A263="",0,IFERROR(INDEX(Mitarbeiter!$F$6:$F$205,MATCH($A263,Mitarbeiter!$A$6:$A$205,0)),0))</f>
        <v/>
      </c>
      <c r="L263" s="49">
        <f>IF(OR(A263="",D263=""),0,MAX(0,NETWORKDAYS(MAX(D263,DATE(Einstellungen!$C$3,1,1)),MIN(J263,DATE(Einstellungen!$C$3,2,0)),Einstellungen!$F$13:$F$32)))</f>
        <v/>
      </c>
      <c r="M263" s="49">
        <f>IF(OR(A263="",D263=""),0,MAX(0,NETWORKDAYS(MAX(D263,DATE(Einstellungen!$C$3,2,1)),MIN(J263,DATE(Einstellungen!$C$3,3,0)),Einstellungen!$F$13:$F$32)))</f>
        <v/>
      </c>
      <c r="N263" s="49">
        <f>IF(OR(A263="",D263=""),0,MAX(0,NETWORKDAYS(MAX(D263,DATE(Einstellungen!$C$3,3,1)),MIN(J263,DATE(Einstellungen!$C$3,4,0)),Einstellungen!$F$13:$F$32)))</f>
        <v/>
      </c>
      <c r="O263" s="49">
        <f>IF(OR(A263="",D263=""),0,MAX(0,NETWORKDAYS(MAX(D263,DATE(Einstellungen!$C$3,4,1)),MIN(J263,DATE(Einstellungen!$C$3,5,0)),Einstellungen!$F$13:$F$32)))</f>
        <v/>
      </c>
      <c r="P263" s="49">
        <f>IF(OR(A263="",D263=""),0,MAX(0,NETWORKDAYS(MAX(D263,DATE(Einstellungen!$C$3,5,1)),MIN(J263,DATE(Einstellungen!$C$3,6,0)),Einstellungen!$F$13:$F$32)))</f>
        <v/>
      </c>
      <c r="Q263" s="49">
        <f>IF(OR(A263="",D263=""),0,MAX(0,NETWORKDAYS(MAX(D263,DATE(Einstellungen!$C$3,6,1)),MIN(J263,DATE(Einstellungen!$C$3,7,0)),Einstellungen!$F$13:$F$32)))</f>
        <v/>
      </c>
      <c r="R263" s="49">
        <f>IF(OR(A263="",D263=""),0,MAX(0,NETWORKDAYS(MAX(D263,DATE(Einstellungen!$C$3,7,1)),MIN(J263,DATE(Einstellungen!$C$3,8,0)),Einstellungen!$F$13:$F$32)))</f>
        <v/>
      </c>
      <c r="S263" s="49">
        <f>IF(OR(A263="",D263=""),0,MAX(0,NETWORKDAYS(MAX(D263,DATE(Einstellungen!$C$3,8,1)),MIN(J263,DATE(Einstellungen!$C$3,9,0)),Einstellungen!$F$13:$F$32)))</f>
        <v/>
      </c>
      <c r="T263" s="49">
        <f>IF(OR(A263="",D263=""),0,MAX(0,NETWORKDAYS(MAX(D263,DATE(Einstellungen!$C$3,9,1)),MIN(J263,DATE(Einstellungen!$C$3,10,0)),Einstellungen!$F$13:$F$32)))</f>
        <v/>
      </c>
      <c r="U263" s="49">
        <f>IF(OR(A263="",D263=""),0,MAX(0,NETWORKDAYS(MAX(D263,DATE(Einstellungen!$C$3,10,1)),MIN(J263,DATE(Einstellungen!$C$3,11,0)),Einstellungen!$F$13:$F$32)))</f>
        <v/>
      </c>
      <c r="V263" s="49">
        <f>IF(OR(A263="",D263=""),0,MAX(0,NETWORKDAYS(MAX(D263,DATE(Einstellungen!$C$3,11,1)),MIN(J263,DATE(Einstellungen!$C$3,12,0)),Einstellungen!$F$13:$F$32)))</f>
        <v/>
      </c>
      <c r="W263" s="49">
        <f>IF(OR(A263="",D263=""),0,MAX(0,NETWORKDAYS(MAX(D263,DATE(Einstellungen!$C$3,12,1)),MIN(J263,DATE(Einstellungen!$C$3,13,0)),Einstellungen!$F$13:$F$32)))</f>
        <v/>
      </c>
      <c r="X263" s="50">
        <f>L263*K263</f>
        <v/>
      </c>
      <c r="Y263" s="50">
        <f>M263*K263</f>
        <v/>
      </c>
      <c r="Z263" s="50">
        <f>N263*K263</f>
        <v/>
      </c>
      <c r="AA263" s="50">
        <f>O263*K263</f>
        <v/>
      </c>
      <c r="AB263" s="50">
        <f>P263*K263</f>
        <v/>
      </c>
      <c r="AC263" s="50">
        <f>Q263*K263</f>
        <v/>
      </c>
      <c r="AD263" s="50">
        <f>R263*K263</f>
        <v/>
      </c>
      <c r="AE263" s="50">
        <f>S263*K263</f>
        <v/>
      </c>
      <c r="AF263" s="50">
        <f>T263*K263</f>
        <v/>
      </c>
      <c r="AG263" s="50">
        <f>U263*K263</f>
        <v/>
      </c>
      <c r="AH263" s="50">
        <f>V263*K263</f>
        <v/>
      </c>
      <c r="AI263" s="50">
        <f>W263*K263</f>
        <v/>
      </c>
    </row>
    <row r="264">
      <c r="A264" s="25" t="n"/>
      <c r="B264" s="45">
        <f>IF(A264="","",IFERROR(INDEX(Mitarbeiter!$B$6:$B$205,MATCH($A264,Mitarbeiter!$A$6:$A$205,0)),"?"))</f>
        <v/>
      </c>
      <c r="C264" s="46" t="n"/>
      <c r="D264" s="26" t="n"/>
      <c r="E264" s="26" t="n"/>
      <c r="F264" s="24">
        <f>IF(A264="","",SUM(L264:W264))</f>
        <v/>
      </c>
      <c r="G264" s="36">
        <f>IF(A264="","",SUM(X264:AI264))</f>
        <v/>
      </c>
      <c r="H264" s="8">
        <f>IF(A264="","",IF(ISNA(MATCH(A264,Mitarbeiter!$A$6:$A$205,0)),"Pers.-Nr. unbekannt",IF(D264="","Von fehlt",IF(AND(C264&lt;&gt;Einstellungen!$C$4,C264&lt;&gt;Einstellungen!$C$5),"Objekt fehlt",IF(J264&lt;D264,"Bis vor Von",IF(D264&lt;INDEX(Mitarbeiter!$C$6:$C$205,MATCH($A264,Mitarbeiter!$A$6:$A$205,0)),"vor Eintritt",IF(AND(INDEX(Mitarbeiter!$D$6:$D$205,MATCH($A264,Mitarbeiter!$A$6:$A$205,0))&lt;&gt;"",D264&gt;INDEX(Mitarbeiter!$D$6:$D$205,MATCH($A264,Mitarbeiter!$A$6:$A$205,0))),"nach Austritt",IF(E264="","offen","ok"))))))))</f>
        <v/>
      </c>
      <c r="J264" s="47">
        <f>IF(A264="","",IF(E264="",Einstellungen!$C$9,E264))</f>
        <v/>
      </c>
      <c r="K264" s="48">
        <f>IF(A264="",0,IFERROR(INDEX(Mitarbeiter!$F$6:$F$205,MATCH($A264,Mitarbeiter!$A$6:$A$205,0)),0))</f>
        <v/>
      </c>
      <c r="L264" s="49">
        <f>IF(OR(A264="",D264=""),0,MAX(0,NETWORKDAYS(MAX(D264,DATE(Einstellungen!$C$3,1,1)),MIN(J264,DATE(Einstellungen!$C$3,2,0)),Einstellungen!$F$13:$F$32)))</f>
        <v/>
      </c>
      <c r="M264" s="49">
        <f>IF(OR(A264="",D264=""),0,MAX(0,NETWORKDAYS(MAX(D264,DATE(Einstellungen!$C$3,2,1)),MIN(J264,DATE(Einstellungen!$C$3,3,0)),Einstellungen!$F$13:$F$32)))</f>
        <v/>
      </c>
      <c r="N264" s="49">
        <f>IF(OR(A264="",D264=""),0,MAX(0,NETWORKDAYS(MAX(D264,DATE(Einstellungen!$C$3,3,1)),MIN(J264,DATE(Einstellungen!$C$3,4,0)),Einstellungen!$F$13:$F$32)))</f>
        <v/>
      </c>
      <c r="O264" s="49">
        <f>IF(OR(A264="",D264=""),0,MAX(0,NETWORKDAYS(MAX(D264,DATE(Einstellungen!$C$3,4,1)),MIN(J264,DATE(Einstellungen!$C$3,5,0)),Einstellungen!$F$13:$F$32)))</f>
        <v/>
      </c>
      <c r="P264" s="49">
        <f>IF(OR(A264="",D264=""),0,MAX(0,NETWORKDAYS(MAX(D264,DATE(Einstellungen!$C$3,5,1)),MIN(J264,DATE(Einstellungen!$C$3,6,0)),Einstellungen!$F$13:$F$32)))</f>
        <v/>
      </c>
      <c r="Q264" s="49">
        <f>IF(OR(A264="",D264=""),0,MAX(0,NETWORKDAYS(MAX(D264,DATE(Einstellungen!$C$3,6,1)),MIN(J264,DATE(Einstellungen!$C$3,7,0)),Einstellungen!$F$13:$F$32)))</f>
        <v/>
      </c>
      <c r="R264" s="49">
        <f>IF(OR(A264="",D264=""),0,MAX(0,NETWORKDAYS(MAX(D264,DATE(Einstellungen!$C$3,7,1)),MIN(J264,DATE(Einstellungen!$C$3,8,0)),Einstellungen!$F$13:$F$32)))</f>
        <v/>
      </c>
      <c r="S264" s="49">
        <f>IF(OR(A264="",D264=""),0,MAX(0,NETWORKDAYS(MAX(D264,DATE(Einstellungen!$C$3,8,1)),MIN(J264,DATE(Einstellungen!$C$3,9,0)),Einstellungen!$F$13:$F$32)))</f>
        <v/>
      </c>
      <c r="T264" s="49">
        <f>IF(OR(A264="",D264=""),0,MAX(0,NETWORKDAYS(MAX(D264,DATE(Einstellungen!$C$3,9,1)),MIN(J264,DATE(Einstellungen!$C$3,10,0)),Einstellungen!$F$13:$F$32)))</f>
        <v/>
      </c>
      <c r="U264" s="49">
        <f>IF(OR(A264="",D264=""),0,MAX(0,NETWORKDAYS(MAX(D264,DATE(Einstellungen!$C$3,10,1)),MIN(J264,DATE(Einstellungen!$C$3,11,0)),Einstellungen!$F$13:$F$32)))</f>
        <v/>
      </c>
      <c r="V264" s="49">
        <f>IF(OR(A264="",D264=""),0,MAX(0,NETWORKDAYS(MAX(D264,DATE(Einstellungen!$C$3,11,1)),MIN(J264,DATE(Einstellungen!$C$3,12,0)),Einstellungen!$F$13:$F$32)))</f>
        <v/>
      </c>
      <c r="W264" s="49">
        <f>IF(OR(A264="",D264=""),0,MAX(0,NETWORKDAYS(MAX(D264,DATE(Einstellungen!$C$3,12,1)),MIN(J264,DATE(Einstellungen!$C$3,13,0)),Einstellungen!$F$13:$F$32)))</f>
        <v/>
      </c>
      <c r="X264" s="50">
        <f>L264*K264</f>
        <v/>
      </c>
      <c r="Y264" s="50">
        <f>M264*K264</f>
        <v/>
      </c>
      <c r="Z264" s="50">
        <f>N264*K264</f>
        <v/>
      </c>
      <c r="AA264" s="50">
        <f>O264*K264</f>
        <v/>
      </c>
      <c r="AB264" s="50">
        <f>P264*K264</f>
        <v/>
      </c>
      <c r="AC264" s="50">
        <f>Q264*K264</f>
        <v/>
      </c>
      <c r="AD264" s="50">
        <f>R264*K264</f>
        <v/>
      </c>
      <c r="AE264" s="50">
        <f>S264*K264</f>
        <v/>
      </c>
      <c r="AF264" s="50">
        <f>T264*K264</f>
        <v/>
      </c>
      <c r="AG264" s="50">
        <f>U264*K264</f>
        <v/>
      </c>
      <c r="AH264" s="50">
        <f>V264*K264</f>
        <v/>
      </c>
      <c r="AI264" s="50">
        <f>W264*K264</f>
        <v/>
      </c>
    </row>
    <row r="265">
      <c r="A265" s="25" t="n"/>
      <c r="B265" s="45">
        <f>IF(A265="","",IFERROR(INDEX(Mitarbeiter!$B$6:$B$205,MATCH($A265,Mitarbeiter!$A$6:$A$205,0)),"?"))</f>
        <v/>
      </c>
      <c r="C265" s="46" t="n"/>
      <c r="D265" s="26" t="n"/>
      <c r="E265" s="26" t="n"/>
      <c r="F265" s="24">
        <f>IF(A265="","",SUM(L265:W265))</f>
        <v/>
      </c>
      <c r="G265" s="36">
        <f>IF(A265="","",SUM(X265:AI265))</f>
        <v/>
      </c>
      <c r="H265" s="8">
        <f>IF(A265="","",IF(ISNA(MATCH(A265,Mitarbeiter!$A$6:$A$205,0)),"Pers.-Nr. unbekannt",IF(D265="","Von fehlt",IF(AND(C265&lt;&gt;Einstellungen!$C$4,C265&lt;&gt;Einstellungen!$C$5),"Objekt fehlt",IF(J265&lt;D265,"Bis vor Von",IF(D265&lt;INDEX(Mitarbeiter!$C$6:$C$205,MATCH($A265,Mitarbeiter!$A$6:$A$205,0)),"vor Eintritt",IF(AND(INDEX(Mitarbeiter!$D$6:$D$205,MATCH($A265,Mitarbeiter!$A$6:$A$205,0))&lt;&gt;"",D265&gt;INDEX(Mitarbeiter!$D$6:$D$205,MATCH($A265,Mitarbeiter!$A$6:$A$205,0))),"nach Austritt",IF(E265="","offen","ok"))))))))</f>
        <v/>
      </c>
      <c r="J265" s="47">
        <f>IF(A265="","",IF(E265="",Einstellungen!$C$9,E265))</f>
        <v/>
      </c>
      <c r="K265" s="48">
        <f>IF(A265="",0,IFERROR(INDEX(Mitarbeiter!$F$6:$F$205,MATCH($A265,Mitarbeiter!$A$6:$A$205,0)),0))</f>
        <v/>
      </c>
      <c r="L265" s="49">
        <f>IF(OR(A265="",D265=""),0,MAX(0,NETWORKDAYS(MAX(D265,DATE(Einstellungen!$C$3,1,1)),MIN(J265,DATE(Einstellungen!$C$3,2,0)),Einstellungen!$F$13:$F$32)))</f>
        <v/>
      </c>
      <c r="M265" s="49">
        <f>IF(OR(A265="",D265=""),0,MAX(0,NETWORKDAYS(MAX(D265,DATE(Einstellungen!$C$3,2,1)),MIN(J265,DATE(Einstellungen!$C$3,3,0)),Einstellungen!$F$13:$F$32)))</f>
        <v/>
      </c>
      <c r="N265" s="49">
        <f>IF(OR(A265="",D265=""),0,MAX(0,NETWORKDAYS(MAX(D265,DATE(Einstellungen!$C$3,3,1)),MIN(J265,DATE(Einstellungen!$C$3,4,0)),Einstellungen!$F$13:$F$32)))</f>
        <v/>
      </c>
      <c r="O265" s="49">
        <f>IF(OR(A265="",D265=""),0,MAX(0,NETWORKDAYS(MAX(D265,DATE(Einstellungen!$C$3,4,1)),MIN(J265,DATE(Einstellungen!$C$3,5,0)),Einstellungen!$F$13:$F$32)))</f>
        <v/>
      </c>
      <c r="P265" s="49">
        <f>IF(OR(A265="",D265=""),0,MAX(0,NETWORKDAYS(MAX(D265,DATE(Einstellungen!$C$3,5,1)),MIN(J265,DATE(Einstellungen!$C$3,6,0)),Einstellungen!$F$13:$F$32)))</f>
        <v/>
      </c>
      <c r="Q265" s="49">
        <f>IF(OR(A265="",D265=""),0,MAX(0,NETWORKDAYS(MAX(D265,DATE(Einstellungen!$C$3,6,1)),MIN(J265,DATE(Einstellungen!$C$3,7,0)),Einstellungen!$F$13:$F$32)))</f>
        <v/>
      </c>
      <c r="R265" s="49">
        <f>IF(OR(A265="",D265=""),0,MAX(0,NETWORKDAYS(MAX(D265,DATE(Einstellungen!$C$3,7,1)),MIN(J265,DATE(Einstellungen!$C$3,8,0)),Einstellungen!$F$13:$F$32)))</f>
        <v/>
      </c>
      <c r="S265" s="49">
        <f>IF(OR(A265="",D265=""),0,MAX(0,NETWORKDAYS(MAX(D265,DATE(Einstellungen!$C$3,8,1)),MIN(J265,DATE(Einstellungen!$C$3,9,0)),Einstellungen!$F$13:$F$32)))</f>
        <v/>
      </c>
      <c r="T265" s="49">
        <f>IF(OR(A265="",D265=""),0,MAX(0,NETWORKDAYS(MAX(D265,DATE(Einstellungen!$C$3,9,1)),MIN(J265,DATE(Einstellungen!$C$3,10,0)),Einstellungen!$F$13:$F$32)))</f>
        <v/>
      </c>
      <c r="U265" s="49">
        <f>IF(OR(A265="",D265=""),0,MAX(0,NETWORKDAYS(MAX(D265,DATE(Einstellungen!$C$3,10,1)),MIN(J265,DATE(Einstellungen!$C$3,11,0)),Einstellungen!$F$13:$F$32)))</f>
        <v/>
      </c>
      <c r="V265" s="49">
        <f>IF(OR(A265="",D265=""),0,MAX(0,NETWORKDAYS(MAX(D265,DATE(Einstellungen!$C$3,11,1)),MIN(J265,DATE(Einstellungen!$C$3,12,0)),Einstellungen!$F$13:$F$32)))</f>
        <v/>
      </c>
      <c r="W265" s="49">
        <f>IF(OR(A265="",D265=""),0,MAX(0,NETWORKDAYS(MAX(D265,DATE(Einstellungen!$C$3,12,1)),MIN(J265,DATE(Einstellungen!$C$3,13,0)),Einstellungen!$F$13:$F$32)))</f>
        <v/>
      </c>
      <c r="X265" s="50">
        <f>L265*K265</f>
        <v/>
      </c>
      <c r="Y265" s="50">
        <f>M265*K265</f>
        <v/>
      </c>
      <c r="Z265" s="50">
        <f>N265*K265</f>
        <v/>
      </c>
      <c r="AA265" s="50">
        <f>O265*K265</f>
        <v/>
      </c>
      <c r="AB265" s="50">
        <f>P265*K265</f>
        <v/>
      </c>
      <c r="AC265" s="50">
        <f>Q265*K265</f>
        <v/>
      </c>
      <c r="AD265" s="50">
        <f>R265*K265</f>
        <v/>
      </c>
      <c r="AE265" s="50">
        <f>S265*K265</f>
        <v/>
      </c>
      <c r="AF265" s="50">
        <f>T265*K265</f>
        <v/>
      </c>
      <c r="AG265" s="50">
        <f>U265*K265</f>
        <v/>
      </c>
      <c r="AH265" s="50">
        <f>V265*K265</f>
        <v/>
      </c>
      <c r="AI265" s="50">
        <f>W265*K265</f>
        <v/>
      </c>
    </row>
    <row r="266">
      <c r="A266" s="25" t="n"/>
      <c r="B266" s="45">
        <f>IF(A266="","",IFERROR(INDEX(Mitarbeiter!$B$6:$B$205,MATCH($A266,Mitarbeiter!$A$6:$A$205,0)),"?"))</f>
        <v/>
      </c>
      <c r="C266" s="46" t="n"/>
      <c r="D266" s="26" t="n"/>
      <c r="E266" s="26" t="n"/>
      <c r="F266" s="24">
        <f>IF(A266="","",SUM(L266:W266))</f>
        <v/>
      </c>
      <c r="G266" s="36">
        <f>IF(A266="","",SUM(X266:AI266))</f>
        <v/>
      </c>
      <c r="H266" s="8">
        <f>IF(A266="","",IF(ISNA(MATCH(A266,Mitarbeiter!$A$6:$A$205,0)),"Pers.-Nr. unbekannt",IF(D266="","Von fehlt",IF(AND(C266&lt;&gt;Einstellungen!$C$4,C266&lt;&gt;Einstellungen!$C$5),"Objekt fehlt",IF(J266&lt;D266,"Bis vor Von",IF(D266&lt;INDEX(Mitarbeiter!$C$6:$C$205,MATCH($A266,Mitarbeiter!$A$6:$A$205,0)),"vor Eintritt",IF(AND(INDEX(Mitarbeiter!$D$6:$D$205,MATCH($A266,Mitarbeiter!$A$6:$A$205,0))&lt;&gt;"",D266&gt;INDEX(Mitarbeiter!$D$6:$D$205,MATCH($A266,Mitarbeiter!$A$6:$A$205,0))),"nach Austritt",IF(E266="","offen","ok"))))))))</f>
        <v/>
      </c>
      <c r="J266" s="47">
        <f>IF(A266="","",IF(E266="",Einstellungen!$C$9,E266))</f>
        <v/>
      </c>
      <c r="K266" s="48">
        <f>IF(A266="",0,IFERROR(INDEX(Mitarbeiter!$F$6:$F$205,MATCH($A266,Mitarbeiter!$A$6:$A$205,0)),0))</f>
        <v/>
      </c>
      <c r="L266" s="49">
        <f>IF(OR(A266="",D266=""),0,MAX(0,NETWORKDAYS(MAX(D266,DATE(Einstellungen!$C$3,1,1)),MIN(J266,DATE(Einstellungen!$C$3,2,0)),Einstellungen!$F$13:$F$32)))</f>
        <v/>
      </c>
      <c r="M266" s="49">
        <f>IF(OR(A266="",D266=""),0,MAX(0,NETWORKDAYS(MAX(D266,DATE(Einstellungen!$C$3,2,1)),MIN(J266,DATE(Einstellungen!$C$3,3,0)),Einstellungen!$F$13:$F$32)))</f>
        <v/>
      </c>
      <c r="N266" s="49">
        <f>IF(OR(A266="",D266=""),0,MAX(0,NETWORKDAYS(MAX(D266,DATE(Einstellungen!$C$3,3,1)),MIN(J266,DATE(Einstellungen!$C$3,4,0)),Einstellungen!$F$13:$F$32)))</f>
        <v/>
      </c>
      <c r="O266" s="49">
        <f>IF(OR(A266="",D266=""),0,MAX(0,NETWORKDAYS(MAX(D266,DATE(Einstellungen!$C$3,4,1)),MIN(J266,DATE(Einstellungen!$C$3,5,0)),Einstellungen!$F$13:$F$32)))</f>
        <v/>
      </c>
      <c r="P266" s="49">
        <f>IF(OR(A266="",D266=""),0,MAX(0,NETWORKDAYS(MAX(D266,DATE(Einstellungen!$C$3,5,1)),MIN(J266,DATE(Einstellungen!$C$3,6,0)),Einstellungen!$F$13:$F$32)))</f>
        <v/>
      </c>
      <c r="Q266" s="49">
        <f>IF(OR(A266="",D266=""),0,MAX(0,NETWORKDAYS(MAX(D266,DATE(Einstellungen!$C$3,6,1)),MIN(J266,DATE(Einstellungen!$C$3,7,0)),Einstellungen!$F$13:$F$32)))</f>
        <v/>
      </c>
      <c r="R266" s="49">
        <f>IF(OR(A266="",D266=""),0,MAX(0,NETWORKDAYS(MAX(D266,DATE(Einstellungen!$C$3,7,1)),MIN(J266,DATE(Einstellungen!$C$3,8,0)),Einstellungen!$F$13:$F$32)))</f>
        <v/>
      </c>
      <c r="S266" s="49">
        <f>IF(OR(A266="",D266=""),0,MAX(0,NETWORKDAYS(MAX(D266,DATE(Einstellungen!$C$3,8,1)),MIN(J266,DATE(Einstellungen!$C$3,9,0)),Einstellungen!$F$13:$F$32)))</f>
        <v/>
      </c>
      <c r="T266" s="49">
        <f>IF(OR(A266="",D266=""),0,MAX(0,NETWORKDAYS(MAX(D266,DATE(Einstellungen!$C$3,9,1)),MIN(J266,DATE(Einstellungen!$C$3,10,0)),Einstellungen!$F$13:$F$32)))</f>
        <v/>
      </c>
      <c r="U266" s="49">
        <f>IF(OR(A266="",D266=""),0,MAX(0,NETWORKDAYS(MAX(D266,DATE(Einstellungen!$C$3,10,1)),MIN(J266,DATE(Einstellungen!$C$3,11,0)),Einstellungen!$F$13:$F$32)))</f>
        <v/>
      </c>
      <c r="V266" s="49">
        <f>IF(OR(A266="",D266=""),0,MAX(0,NETWORKDAYS(MAX(D266,DATE(Einstellungen!$C$3,11,1)),MIN(J266,DATE(Einstellungen!$C$3,12,0)),Einstellungen!$F$13:$F$32)))</f>
        <v/>
      </c>
      <c r="W266" s="49">
        <f>IF(OR(A266="",D266=""),0,MAX(0,NETWORKDAYS(MAX(D266,DATE(Einstellungen!$C$3,12,1)),MIN(J266,DATE(Einstellungen!$C$3,13,0)),Einstellungen!$F$13:$F$32)))</f>
        <v/>
      </c>
      <c r="X266" s="50">
        <f>L266*K266</f>
        <v/>
      </c>
      <c r="Y266" s="50">
        <f>M266*K266</f>
        <v/>
      </c>
      <c r="Z266" s="50">
        <f>N266*K266</f>
        <v/>
      </c>
      <c r="AA266" s="50">
        <f>O266*K266</f>
        <v/>
      </c>
      <c r="AB266" s="50">
        <f>P266*K266</f>
        <v/>
      </c>
      <c r="AC266" s="50">
        <f>Q266*K266</f>
        <v/>
      </c>
      <c r="AD266" s="50">
        <f>R266*K266</f>
        <v/>
      </c>
      <c r="AE266" s="50">
        <f>S266*K266</f>
        <v/>
      </c>
      <c r="AF266" s="50">
        <f>T266*K266</f>
        <v/>
      </c>
      <c r="AG266" s="50">
        <f>U266*K266</f>
        <v/>
      </c>
      <c r="AH266" s="50">
        <f>V266*K266</f>
        <v/>
      </c>
      <c r="AI266" s="50">
        <f>W266*K266</f>
        <v/>
      </c>
    </row>
    <row r="267">
      <c r="A267" s="25" t="n"/>
      <c r="B267" s="45">
        <f>IF(A267="","",IFERROR(INDEX(Mitarbeiter!$B$6:$B$205,MATCH($A267,Mitarbeiter!$A$6:$A$205,0)),"?"))</f>
        <v/>
      </c>
      <c r="C267" s="46" t="n"/>
      <c r="D267" s="26" t="n"/>
      <c r="E267" s="26" t="n"/>
      <c r="F267" s="24">
        <f>IF(A267="","",SUM(L267:W267))</f>
        <v/>
      </c>
      <c r="G267" s="36">
        <f>IF(A267="","",SUM(X267:AI267))</f>
        <v/>
      </c>
      <c r="H267" s="8">
        <f>IF(A267="","",IF(ISNA(MATCH(A267,Mitarbeiter!$A$6:$A$205,0)),"Pers.-Nr. unbekannt",IF(D267="","Von fehlt",IF(AND(C267&lt;&gt;Einstellungen!$C$4,C267&lt;&gt;Einstellungen!$C$5),"Objekt fehlt",IF(J267&lt;D267,"Bis vor Von",IF(D267&lt;INDEX(Mitarbeiter!$C$6:$C$205,MATCH($A267,Mitarbeiter!$A$6:$A$205,0)),"vor Eintritt",IF(AND(INDEX(Mitarbeiter!$D$6:$D$205,MATCH($A267,Mitarbeiter!$A$6:$A$205,0))&lt;&gt;"",D267&gt;INDEX(Mitarbeiter!$D$6:$D$205,MATCH($A267,Mitarbeiter!$A$6:$A$205,0))),"nach Austritt",IF(E267="","offen","ok"))))))))</f>
        <v/>
      </c>
      <c r="J267" s="47">
        <f>IF(A267="","",IF(E267="",Einstellungen!$C$9,E267))</f>
        <v/>
      </c>
      <c r="K267" s="48">
        <f>IF(A267="",0,IFERROR(INDEX(Mitarbeiter!$F$6:$F$205,MATCH($A267,Mitarbeiter!$A$6:$A$205,0)),0))</f>
        <v/>
      </c>
      <c r="L267" s="49">
        <f>IF(OR(A267="",D267=""),0,MAX(0,NETWORKDAYS(MAX(D267,DATE(Einstellungen!$C$3,1,1)),MIN(J267,DATE(Einstellungen!$C$3,2,0)),Einstellungen!$F$13:$F$32)))</f>
        <v/>
      </c>
      <c r="M267" s="49">
        <f>IF(OR(A267="",D267=""),0,MAX(0,NETWORKDAYS(MAX(D267,DATE(Einstellungen!$C$3,2,1)),MIN(J267,DATE(Einstellungen!$C$3,3,0)),Einstellungen!$F$13:$F$32)))</f>
        <v/>
      </c>
      <c r="N267" s="49">
        <f>IF(OR(A267="",D267=""),0,MAX(0,NETWORKDAYS(MAX(D267,DATE(Einstellungen!$C$3,3,1)),MIN(J267,DATE(Einstellungen!$C$3,4,0)),Einstellungen!$F$13:$F$32)))</f>
        <v/>
      </c>
      <c r="O267" s="49">
        <f>IF(OR(A267="",D267=""),0,MAX(0,NETWORKDAYS(MAX(D267,DATE(Einstellungen!$C$3,4,1)),MIN(J267,DATE(Einstellungen!$C$3,5,0)),Einstellungen!$F$13:$F$32)))</f>
        <v/>
      </c>
      <c r="P267" s="49">
        <f>IF(OR(A267="",D267=""),0,MAX(0,NETWORKDAYS(MAX(D267,DATE(Einstellungen!$C$3,5,1)),MIN(J267,DATE(Einstellungen!$C$3,6,0)),Einstellungen!$F$13:$F$32)))</f>
        <v/>
      </c>
      <c r="Q267" s="49">
        <f>IF(OR(A267="",D267=""),0,MAX(0,NETWORKDAYS(MAX(D267,DATE(Einstellungen!$C$3,6,1)),MIN(J267,DATE(Einstellungen!$C$3,7,0)),Einstellungen!$F$13:$F$32)))</f>
        <v/>
      </c>
      <c r="R267" s="49">
        <f>IF(OR(A267="",D267=""),0,MAX(0,NETWORKDAYS(MAX(D267,DATE(Einstellungen!$C$3,7,1)),MIN(J267,DATE(Einstellungen!$C$3,8,0)),Einstellungen!$F$13:$F$32)))</f>
        <v/>
      </c>
      <c r="S267" s="49">
        <f>IF(OR(A267="",D267=""),0,MAX(0,NETWORKDAYS(MAX(D267,DATE(Einstellungen!$C$3,8,1)),MIN(J267,DATE(Einstellungen!$C$3,9,0)),Einstellungen!$F$13:$F$32)))</f>
        <v/>
      </c>
      <c r="T267" s="49">
        <f>IF(OR(A267="",D267=""),0,MAX(0,NETWORKDAYS(MAX(D267,DATE(Einstellungen!$C$3,9,1)),MIN(J267,DATE(Einstellungen!$C$3,10,0)),Einstellungen!$F$13:$F$32)))</f>
        <v/>
      </c>
      <c r="U267" s="49">
        <f>IF(OR(A267="",D267=""),0,MAX(0,NETWORKDAYS(MAX(D267,DATE(Einstellungen!$C$3,10,1)),MIN(J267,DATE(Einstellungen!$C$3,11,0)),Einstellungen!$F$13:$F$32)))</f>
        <v/>
      </c>
      <c r="V267" s="49">
        <f>IF(OR(A267="",D267=""),0,MAX(0,NETWORKDAYS(MAX(D267,DATE(Einstellungen!$C$3,11,1)),MIN(J267,DATE(Einstellungen!$C$3,12,0)),Einstellungen!$F$13:$F$32)))</f>
        <v/>
      </c>
      <c r="W267" s="49">
        <f>IF(OR(A267="",D267=""),0,MAX(0,NETWORKDAYS(MAX(D267,DATE(Einstellungen!$C$3,12,1)),MIN(J267,DATE(Einstellungen!$C$3,13,0)),Einstellungen!$F$13:$F$32)))</f>
        <v/>
      </c>
      <c r="X267" s="50">
        <f>L267*K267</f>
        <v/>
      </c>
      <c r="Y267" s="50">
        <f>M267*K267</f>
        <v/>
      </c>
      <c r="Z267" s="50">
        <f>N267*K267</f>
        <v/>
      </c>
      <c r="AA267" s="50">
        <f>O267*K267</f>
        <v/>
      </c>
      <c r="AB267" s="50">
        <f>P267*K267</f>
        <v/>
      </c>
      <c r="AC267" s="50">
        <f>Q267*K267</f>
        <v/>
      </c>
      <c r="AD267" s="50">
        <f>R267*K267</f>
        <v/>
      </c>
      <c r="AE267" s="50">
        <f>S267*K267</f>
        <v/>
      </c>
      <c r="AF267" s="50">
        <f>T267*K267</f>
        <v/>
      </c>
      <c r="AG267" s="50">
        <f>U267*K267</f>
        <v/>
      </c>
      <c r="AH267" s="50">
        <f>V267*K267</f>
        <v/>
      </c>
      <c r="AI267" s="50">
        <f>W267*K267</f>
        <v/>
      </c>
    </row>
    <row r="268">
      <c r="A268" s="25" t="n"/>
      <c r="B268" s="45">
        <f>IF(A268="","",IFERROR(INDEX(Mitarbeiter!$B$6:$B$205,MATCH($A268,Mitarbeiter!$A$6:$A$205,0)),"?"))</f>
        <v/>
      </c>
      <c r="C268" s="46" t="n"/>
      <c r="D268" s="26" t="n"/>
      <c r="E268" s="26" t="n"/>
      <c r="F268" s="24">
        <f>IF(A268="","",SUM(L268:W268))</f>
        <v/>
      </c>
      <c r="G268" s="36">
        <f>IF(A268="","",SUM(X268:AI268))</f>
        <v/>
      </c>
      <c r="H268" s="8">
        <f>IF(A268="","",IF(ISNA(MATCH(A268,Mitarbeiter!$A$6:$A$205,0)),"Pers.-Nr. unbekannt",IF(D268="","Von fehlt",IF(AND(C268&lt;&gt;Einstellungen!$C$4,C268&lt;&gt;Einstellungen!$C$5),"Objekt fehlt",IF(J268&lt;D268,"Bis vor Von",IF(D268&lt;INDEX(Mitarbeiter!$C$6:$C$205,MATCH($A268,Mitarbeiter!$A$6:$A$205,0)),"vor Eintritt",IF(AND(INDEX(Mitarbeiter!$D$6:$D$205,MATCH($A268,Mitarbeiter!$A$6:$A$205,0))&lt;&gt;"",D268&gt;INDEX(Mitarbeiter!$D$6:$D$205,MATCH($A268,Mitarbeiter!$A$6:$A$205,0))),"nach Austritt",IF(E268="","offen","ok"))))))))</f>
        <v/>
      </c>
      <c r="J268" s="47">
        <f>IF(A268="","",IF(E268="",Einstellungen!$C$9,E268))</f>
        <v/>
      </c>
      <c r="K268" s="48">
        <f>IF(A268="",0,IFERROR(INDEX(Mitarbeiter!$F$6:$F$205,MATCH($A268,Mitarbeiter!$A$6:$A$205,0)),0))</f>
        <v/>
      </c>
      <c r="L268" s="49">
        <f>IF(OR(A268="",D268=""),0,MAX(0,NETWORKDAYS(MAX(D268,DATE(Einstellungen!$C$3,1,1)),MIN(J268,DATE(Einstellungen!$C$3,2,0)),Einstellungen!$F$13:$F$32)))</f>
        <v/>
      </c>
      <c r="M268" s="49">
        <f>IF(OR(A268="",D268=""),0,MAX(0,NETWORKDAYS(MAX(D268,DATE(Einstellungen!$C$3,2,1)),MIN(J268,DATE(Einstellungen!$C$3,3,0)),Einstellungen!$F$13:$F$32)))</f>
        <v/>
      </c>
      <c r="N268" s="49">
        <f>IF(OR(A268="",D268=""),0,MAX(0,NETWORKDAYS(MAX(D268,DATE(Einstellungen!$C$3,3,1)),MIN(J268,DATE(Einstellungen!$C$3,4,0)),Einstellungen!$F$13:$F$32)))</f>
        <v/>
      </c>
      <c r="O268" s="49">
        <f>IF(OR(A268="",D268=""),0,MAX(0,NETWORKDAYS(MAX(D268,DATE(Einstellungen!$C$3,4,1)),MIN(J268,DATE(Einstellungen!$C$3,5,0)),Einstellungen!$F$13:$F$32)))</f>
        <v/>
      </c>
      <c r="P268" s="49">
        <f>IF(OR(A268="",D268=""),0,MAX(0,NETWORKDAYS(MAX(D268,DATE(Einstellungen!$C$3,5,1)),MIN(J268,DATE(Einstellungen!$C$3,6,0)),Einstellungen!$F$13:$F$32)))</f>
        <v/>
      </c>
      <c r="Q268" s="49">
        <f>IF(OR(A268="",D268=""),0,MAX(0,NETWORKDAYS(MAX(D268,DATE(Einstellungen!$C$3,6,1)),MIN(J268,DATE(Einstellungen!$C$3,7,0)),Einstellungen!$F$13:$F$32)))</f>
        <v/>
      </c>
      <c r="R268" s="49">
        <f>IF(OR(A268="",D268=""),0,MAX(0,NETWORKDAYS(MAX(D268,DATE(Einstellungen!$C$3,7,1)),MIN(J268,DATE(Einstellungen!$C$3,8,0)),Einstellungen!$F$13:$F$32)))</f>
        <v/>
      </c>
      <c r="S268" s="49">
        <f>IF(OR(A268="",D268=""),0,MAX(0,NETWORKDAYS(MAX(D268,DATE(Einstellungen!$C$3,8,1)),MIN(J268,DATE(Einstellungen!$C$3,9,0)),Einstellungen!$F$13:$F$32)))</f>
        <v/>
      </c>
      <c r="T268" s="49">
        <f>IF(OR(A268="",D268=""),0,MAX(0,NETWORKDAYS(MAX(D268,DATE(Einstellungen!$C$3,9,1)),MIN(J268,DATE(Einstellungen!$C$3,10,0)),Einstellungen!$F$13:$F$32)))</f>
        <v/>
      </c>
      <c r="U268" s="49">
        <f>IF(OR(A268="",D268=""),0,MAX(0,NETWORKDAYS(MAX(D268,DATE(Einstellungen!$C$3,10,1)),MIN(J268,DATE(Einstellungen!$C$3,11,0)),Einstellungen!$F$13:$F$32)))</f>
        <v/>
      </c>
      <c r="V268" s="49">
        <f>IF(OR(A268="",D268=""),0,MAX(0,NETWORKDAYS(MAX(D268,DATE(Einstellungen!$C$3,11,1)),MIN(J268,DATE(Einstellungen!$C$3,12,0)),Einstellungen!$F$13:$F$32)))</f>
        <v/>
      </c>
      <c r="W268" s="49">
        <f>IF(OR(A268="",D268=""),0,MAX(0,NETWORKDAYS(MAX(D268,DATE(Einstellungen!$C$3,12,1)),MIN(J268,DATE(Einstellungen!$C$3,13,0)),Einstellungen!$F$13:$F$32)))</f>
        <v/>
      </c>
      <c r="X268" s="50">
        <f>L268*K268</f>
        <v/>
      </c>
      <c r="Y268" s="50">
        <f>M268*K268</f>
        <v/>
      </c>
      <c r="Z268" s="50">
        <f>N268*K268</f>
        <v/>
      </c>
      <c r="AA268" s="50">
        <f>O268*K268</f>
        <v/>
      </c>
      <c r="AB268" s="50">
        <f>P268*K268</f>
        <v/>
      </c>
      <c r="AC268" s="50">
        <f>Q268*K268</f>
        <v/>
      </c>
      <c r="AD268" s="50">
        <f>R268*K268</f>
        <v/>
      </c>
      <c r="AE268" s="50">
        <f>S268*K268</f>
        <v/>
      </c>
      <c r="AF268" s="50">
        <f>T268*K268</f>
        <v/>
      </c>
      <c r="AG268" s="50">
        <f>U268*K268</f>
        <v/>
      </c>
      <c r="AH268" s="50">
        <f>V268*K268</f>
        <v/>
      </c>
      <c r="AI268" s="50">
        <f>W268*K268</f>
        <v/>
      </c>
    </row>
    <row r="269">
      <c r="A269" s="25" t="n"/>
      <c r="B269" s="45">
        <f>IF(A269="","",IFERROR(INDEX(Mitarbeiter!$B$6:$B$205,MATCH($A269,Mitarbeiter!$A$6:$A$205,0)),"?"))</f>
        <v/>
      </c>
      <c r="C269" s="46" t="n"/>
      <c r="D269" s="26" t="n"/>
      <c r="E269" s="26" t="n"/>
      <c r="F269" s="24">
        <f>IF(A269="","",SUM(L269:W269))</f>
        <v/>
      </c>
      <c r="G269" s="36">
        <f>IF(A269="","",SUM(X269:AI269))</f>
        <v/>
      </c>
      <c r="H269" s="8">
        <f>IF(A269="","",IF(ISNA(MATCH(A269,Mitarbeiter!$A$6:$A$205,0)),"Pers.-Nr. unbekannt",IF(D269="","Von fehlt",IF(AND(C269&lt;&gt;Einstellungen!$C$4,C269&lt;&gt;Einstellungen!$C$5),"Objekt fehlt",IF(J269&lt;D269,"Bis vor Von",IF(D269&lt;INDEX(Mitarbeiter!$C$6:$C$205,MATCH($A269,Mitarbeiter!$A$6:$A$205,0)),"vor Eintritt",IF(AND(INDEX(Mitarbeiter!$D$6:$D$205,MATCH($A269,Mitarbeiter!$A$6:$A$205,0))&lt;&gt;"",D269&gt;INDEX(Mitarbeiter!$D$6:$D$205,MATCH($A269,Mitarbeiter!$A$6:$A$205,0))),"nach Austritt",IF(E269="","offen","ok"))))))))</f>
        <v/>
      </c>
      <c r="J269" s="47">
        <f>IF(A269="","",IF(E269="",Einstellungen!$C$9,E269))</f>
        <v/>
      </c>
      <c r="K269" s="48">
        <f>IF(A269="",0,IFERROR(INDEX(Mitarbeiter!$F$6:$F$205,MATCH($A269,Mitarbeiter!$A$6:$A$205,0)),0))</f>
        <v/>
      </c>
      <c r="L269" s="49">
        <f>IF(OR(A269="",D269=""),0,MAX(0,NETWORKDAYS(MAX(D269,DATE(Einstellungen!$C$3,1,1)),MIN(J269,DATE(Einstellungen!$C$3,2,0)),Einstellungen!$F$13:$F$32)))</f>
        <v/>
      </c>
      <c r="M269" s="49">
        <f>IF(OR(A269="",D269=""),0,MAX(0,NETWORKDAYS(MAX(D269,DATE(Einstellungen!$C$3,2,1)),MIN(J269,DATE(Einstellungen!$C$3,3,0)),Einstellungen!$F$13:$F$32)))</f>
        <v/>
      </c>
      <c r="N269" s="49">
        <f>IF(OR(A269="",D269=""),0,MAX(0,NETWORKDAYS(MAX(D269,DATE(Einstellungen!$C$3,3,1)),MIN(J269,DATE(Einstellungen!$C$3,4,0)),Einstellungen!$F$13:$F$32)))</f>
        <v/>
      </c>
      <c r="O269" s="49">
        <f>IF(OR(A269="",D269=""),0,MAX(0,NETWORKDAYS(MAX(D269,DATE(Einstellungen!$C$3,4,1)),MIN(J269,DATE(Einstellungen!$C$3,5,0)),Einstellungen!$F$13:$F$32)))</f>
        <v/>
      </c>
      <c r="P269" s="49">
        <f>IF(OR(A269="",D269=""),0,MAX(0,NETWORKDAYS(MAX(D269,DATE(Einstellungen!$C$3,5,1)),MIN(J269,DATE(Einstellungen!$C$3,6,0)),Einstellungen!$F$13:$F$32)))</f>
        <v/>
      </c>
      <c r="Q269" s="49">
        <f>IF(OR(A269="",D269=""),0,MAX(0,NETWORKDAYS(MAX(D269,DATE(Einstellungen!$C$3,6,1)),MIN(J269,DATE(Einstellungen!$C$3,7,0)),Einstellungen!$F$13:$F$32)))</f>
        <v/>
      </c>
      <c r="R269" s="49">
        <f>IF(OR(A269="",D269=""),0,MAX(0,NETWORKDAYS(MAX(D269,DATE(Einstellungen!$C$3,7,1)),MIN(J269,DATE(Einstellungen!$C$3,8,0)),Einstellungen!$F$13:$F$32)))</f>
        <v/>
      </c>
      <c r="S269" s="49">
        <f>IF(OR(A269="",D269=""),0,MAX(0,NETWORKDAYS(MAX(D269,DATE(Einstellungen!$C$3,8,1)),MIN(J269,DATE(Einstellungen!$C$3,9,0)),Einstellungen!$F$13:$F$32)))</f>
        <v/>
      </c>
      <c r="T269" s="49">
        <f>IF(OR(A269="",D269=""),0,MAX(0,NETWORKDAYS(MAX(D269,DATE(Einstellungen!$C$3,9,1)),MIN(J269,DATE(Einstellungen!$C$3,10,0)),Einstellungen!$F$13:$F$32)))</f>
        <v/>
      </c>
      <c r="U269" s="49">
        <f>IF(OR(A269="",D269=""),0,MAX(0,NETWORKDAYS(MAX(D269,DATE(Einstellungen!$C$3,10,1)),MIN(J269,DATE(Einstellungen!$C$3,11,0)),Einstellungen!$F$13:$F$32)))</f>
        <v/>
      </c>
      <c r="V269" s="49">
        <f>IF(OR(A269="",D269=""),0,MAX(0,NETWORKDAYS(MAX(D269,DATE(Einstellungen!$C$3,11,1)),MIN(J269,DATE(Einstellungen!$C$3,12,0)),Einstellungen!$F$13:$F$32)))</f>
        <v/>
      </c>
      <c r="W269" s="49">
        <f>IF(OR(A269="",D269=""),0,MAX(0,NETWORKDAYS(MAX(D269,DATE(Einstellungen!$C$3,12,1)),MIN(J269,DATE(Einstellungen!$C$3,13,0)),Einstellungen!$F$13:$F$32)))</f>
        <v/>
      </c>
      <c r="X269" s="50">
        <f>L269*K269</f>
        <v/>
      </c>
      <c r="Y269" s="50">
        <f>M269*K269</f>
        <v/>
      </c>
      <c r="Z269" s="50">
        <f>N269*K269</f>
        <v/>
      </c>
      <c r="AA269" s="50">
        <f>O269*K269</f>
        <v/>
      </c>
      <c r="AB269" s="50">
        <f>P269*K269</f>
        <v/>
      </c>
      <c r="AC269" s="50">
        <f>Q269*K269</f>
        <v/>
      </c>
      <c r="AD269" s="50">
        <f>R269*K269</f>
        <v/>
      </c>
      <c r="AE269" s="50">
        <f>S269*K269</f>
        <v/>
      </c>
      <c r="AF269" s="50">
        <f>T269*K269</f>
        <v/>
      </c>
      <c r="AG269" s="50">
        <f>U269*K269</f>
        <v/>
      </c>
      <c r="AH269" s="50">
        <f>V269*K269</f>
        <v/>
      </c>
      <c r="AI269" s="50">
        <f>W269*K269</f>
        <v/>
      </c>
    </row>
    <row r="270">
      <c r="A270" s="25" t="n"/>
      <c r="B270" s="45">
        <f>IF(A270="","",IFERROR(INDEX(Mitarbeiter!$B$6:$B$205,MATCH($A270,Mitarbeiter!$A$6:$A$205,0)),"?"))</f>
        <v/>
      </c>
      <c r="C270" s="46" t="n"/>
      <c r="D270" s="26" t="n"/>
      <c r="E270" s="26" t="n"/>
      <c r="F270" s="24">
        <f>IF(A270="","",SUM(L270:W270))</f>
        <v/>
      </c>
      <c r="G270" s="36">
        <f>IF(A270="","",SUM(X270:AI270))</f>
        <v/>
      </c>
      <c r="H270" s="8">
        <f>IF(A270="","",IF(ISNA(MATCH(A270,Mitarbeiter!$A$6:$A$205,0)),"Pers.-Nr. unbekannt",IF(D270="","Von fehlt",IF(AND(C270&lt;&gt;Einstellungen!$C$4,C270&lt;&gt;Einstellungen!$C$5),"Objekt fehlt",IF(J270&lt;D270,"Bis vor Von",IF(D270&lt;INDEX(Mitarbeiter!$C$6:$C$205,MATCH($A270,Mitarbeiter!$A$6:$A$205,0)),"vor Eintritt",IF(AND(INDEX(Mitarbeiter!$D$6:$D$205,MATCH($A270,Mitarbeiter!$A$6:$A$205,0))&lt;&gt;"",D270&gt;INDEX(Mitarbeiter!$D$6:$D$205,MATCH($A270,Mitarbeiter!$A$6:$A$205,0))),"nach Austritt",IF(E270="","offen","ok"))))))))</f>
        <v/>
      </c>
      <c r="J270" s="47">
        <f>IF(A270="","",IF(E270="",Einstellungen!$C$9,E270))</f>
        <v/>
      </c>
      <c r="K270" s="48">
        <f>IF(A270="",0,IFERROR(INDEX(Mitarbeiter!$F$6:$F$205,MATCH($A270,Mitarbeiter!$A$6:$A$205,0)),0))</f>
        <v/>
      </c>
      <c r="L270" s="49">
        <f>IF(OR(A270="",D270=""),0,MAX(0,NETWORKDAYS(MAX(D270,DATE(Einstellungen!$C$3,1,1)),MIN(J270,DATE(Einstellungen!$C$3,2,0)),Einstellungen!$F$13:$F$32)))</f>
        <v/>
      </c>
      <c r="M270" s="49">
        <f>IF(OR(A270="",D270=""),0,MAX(0,NETWORKDAYS(MAX(D270,DATE(Einstellungen!$C$3,2,1)),MIN(J270,DATE(Einstellungen!$C$3,3,0)),Einstellungen!$F$13:$F$32)))</f>
        <v/>
      </c>
      <c r="N270" s="49">
        <f>IF(OR(A270="",D270=""),0,MAX(0,NETWORKDAYS(MAX(D270,DATE(Einstellungen!$C$3,3,1)),MIN(J270,DATE(Einstellungen!$C$3,4,0)),Einstellungen!$F$13:$F$32)))</f>
        <v/>
      </c>
      <c r="O270" s="49">
        <f>IF(OR(A270="",D270=""),0,MAX(0,NETWORKDAYS(MAX(D270,DATE(Einstellungen!$C$3,4,1)),MIN(J270,DATE(Einstellungen!$C$3,5,0)),Einstellungen!$F$13:$F$32)))</f>
        <v/>
      </c>
      <c r="P270" s="49">
        <f>IF(OR(A270="",D270=""),0,MAX(0,NETWORKDAYS(MAX(D270,DATE(Einstellungen!$C$3,5,1)),MIN(J270,DATE(Einstellungen!$C$3,6,0)),Einstellungen!$F$13:$F$32)))</f>
        <v/>
      </c>
      <c r="Q270" s="49">
        <f>IF(OR(A270="",D270=""),0,MAX(0,NETWORKDAYS(MAX(D270,DATE(Einstellungen!$C$3,6,1)),MIN(J270,DATE(Einstellungen!$C$3,7,0)),Einstellungen!$F$13:$F$32)))</f>
        <v/>
      </c>
      <c r="R270" s="49">
        <f>IF(OR(A270="",D270=""),0,MAX(0,NETWORKDAYS(MAX(D270,DATE(Einstellungen!$C$3,7,1)),MIN(J270,DATE(Einstellungen!$C$3,8,0)),Einstellungen!$F$13:$F$32)))</f>
        <v/>
      </c>
      <c r="S270" s="49">
        <f>IF(OR(A270="",D270=""),0,MAX(0,NETWORKDAYS(MAX(D270,DATE(Einstellungen!$C$3,8,1)),MIN(J270,DATE(Einstellungen!$C$3,9,0)),Einstellungen!$F$13:$F$32)))</f>
        <v/>
      </c>
      <c r="T270" s="49">
        <f>IF(OR(A270="",D270=""),0,MAX(0,NETWORKDAYS(MAX(D270,DATE(Einstellungen!$C$3,9,1)),MIN(J270,DATE(Einstellungen!$C$3,10,0)),Einstellungen!$F$13:$F$32)))</f>
        <v/>
      </c>
      <c r="U270" s="49">
        <f>IF(OR(A270="",D270=""),0,MAX(0,NETWORKDAYS(MAX(D270,DATE(Einstellungen!$C$3,10,1)),MIN(J270,DATE(Einstellungen!$C$3,11,0)),Einstellungen!$F$13:$F$32)))</f>
        <v/>
      </c>
      <c r="V270" s="49">
        <f>IF(OR(A270="",D270=""),0,MAX(0,NETWORKDAYS(MAX(D270,DATE(Einstellungen!$C$3,11,1)),MIN(J270,DATE(Einstellungen!$C$3,12,0)),Einstellungen!$F$13:$F$32)))</f>
        <v/>
      </c>
      <c r="W270" s="49">
        <f>IF(OR(A270="",D270=""),0,MAX(0,NETWORKDAYS(MAX(D270,DATE(Einstellungen!$C$3,12,1)),MIN(J270,DATE(Einstellungen!$C$3,13,0)),Einstellungen!$F$13:$F$32)))</f>
        <v/>
      </c>
      <c r="X270" s="50">
        <f>L270*K270</f>
        <v/>
      </c>
      <c r="Y270" s="50">
        <f>M270*K270</f>
        <v/>
      </c>
      <c r="Z270" s="50">
        <f>N270*K270</f>
        <v/>
      </c>
      <c r="AA270" s="50">
        <f>O270*K270</f>
        <v/>
      </c>
      <c r="AB270" s="50">
        <f>P270*K270</f>
        <v/>
      </c>
      <c r="AC270" s="50">
        <f>Q270*K270</f>
        <v/>
      </c>
      <c r="AD270" s="50">
        <f>R270*K270</f>
        <v/>
      </c>
      <c r="AE270" s="50">
        <f>S270*K270</f>
        <v/>
      </c>
      <c r="AF270" s="50">
        <f>T270*K270</f>
        <v/>
      </c>
      <c r="AG270" s="50">
        <f>U270*K270</f>
        <v/>
      </c>
      <c r="AH270" s="50">
        <f>V270*K270</f>
        <v/>
      </c>
      <c r="AI270" s="50">
        <f>W270*K270</f>
        <v/>
      </c>
    </row>
    <row r="271">
      <c r="A271" s="25" t="n"/>
      <c r="B271" s="45">
        <f>IF(A271="","",IFERROR(INDEX(Mitarbeiter!$B$6:$B$205,MATCH($A271,Mitarbeiter!$A$6:$A$205,0)),"?"))</f>
        <v/>
      </c>
      <c r="C271" s="46" t="n"/>
      <c r="D271" s="26" t="n"/>
      <c r="E271" s="26" t="n"/>
      <c r="F271" s="24">
        <f>IF(A271="","",SUM(L271:W271))</f>
        <v/>
      </c>
      <c r="G271" s="36">
        <f>IF(A271="","",SUM(X271:AI271))</f>
        <v/>
      </c>
      <c r="H271" s="8">
        <f>IF(A271="","",IF(ISNA(MATCH(A271,Mitarbeiter!$A$6:$A$205,0)),"Pers.-Nr. unbekannt",IF(D271="","Von fehlt",IF(AND(C271&lt;&gt;Einstellungen!$C$4,C271&lt;&gt;Einstellungen!$C$5),"Objekt fehlt",IF(J271&lt;D271,"Bis vor Von",IF(D271&lt;INDEX(Mitarbeiter!$C$6:$C$205,MATCH($A271,Mitarbeiter!$A$6:$A$205,0)),"vor Eintritt",IF(AND(INDEX(Mitarbeiter!$D$6:$D$205,MATCH($A271,Mitarbeiter!$A$6:$A$205,0))&lt;&gt;"",D271&gt;INDEX(Mitarbeiter!$D$6:$D$205,MATCH($A271,Mitarbeiter!$A$6:$A$205,0))),"nach Austritt",IF(E271="","offen","ok"))))))))</f>
        <v/>
      </c>
      <c r="J271" s="47">
        <f>IF(A271="","",IF(E271="",Einstellungen!$C$9,E271))</f>
        <v/>
      </c>
      <c r="K271" s="48">
        <f>IF(A271="",0,IFERROR(INDEX(Mitarbeiter!$F$6:$F$205,MATCH($A271,Mitarbeiter!$A$6:$A$205,0)),0))</f>
        <v/>
      </c>
      <c r="L271" s="49">
        <f>IF(OR(A271="",D271=""),0,MAX(0,NETWORKDAYS(MAX(D271,DATE(Einstellungen!$C$3,1,1)),MIN(J271,DATE(Einstellungen!$C$3,2,0)),Einstellungen!$F$13:$F$32)))</f>
        <v/>
      </c>
      <c r="M271" s="49">
        <f>IF(OR(A271="",D271=""),0,MAX(0,NETWORKDAYS(MAX(D271,DATE(Einstellungen!$C$3,2,1)),MIN(J271,DATE(Einstellungen!$C$3,3,0)),Einstellungen!$F$13:$F$32)))</f>
        <v/>
      </c>
      <c r="N271" s="49">
        <f>IF(OR(A271="",D271=""),0,MAX(0,NETWORKDAYS(MAX(D271,DATE(Einstellungen!$C$3,3,1)),MIN(J271,DATE(Einstellungen!$C$3,4,0)),Einstellungen!$F$13:$F$32)))</f>
        <v/>
      </c>
      <c r="O271" s="49">
        <f>IF(OR(A271="",D271=""),0,MAX(0,NETWORKDAYS(MAX(D271,DATE(Einstellungen!$C$3,4,1)),MIN(J271,DATE(Einstellungen!$C$3,5,0)),Einstellungen!$F$13:$F$32)))</f>
        <v/>
      </c>
      <c r="P271" s="49">
        <f>IF(OR(A271="",D271=""),0,MAX(0,NETWORKDAYS(MAX(D271,DATE(Einstellungen!$C$3,5,1)),MIN(J271,DATE(Einstellungen!$C$3,6,0)),Einstellungen!$F$13:$F$32)))</f>
        <v/>
      </c>
      <c r="Q271" s="49">
        <f>IF(OR(A271="",D271=""),0,MAX(0,NETWORKDAYS(MAX(D271,DATE(Einstellungen!$C$3,6,1)),MIN(J271,DATE(Einstellungen!$C$3,7,0)),Einstellungen!$F$13:$F$32)))</f>
        <v/>
      </c>
      <c r="R271" s="49">
        <f>IF(OR(A271="",D271=""),0,MAX(0,NETWORKDAYS(MAX(D271,DATE(Einstellungen!$C$3,7,1)),MIN(J271,DATE(Einstellungen!$C$3,8,0)),Einstellungen!$F$13:$F$32)))</f>
        <v/>
      </c>
      <c r="S271" s="49">
        <f>IF(OR(A271="",D271=""),0,MAX(0,NETWORKDAYS(MAX(D271,DATE(Einstellungen!$C$3,8,1)),MIN(J271,DATE(Einstellungen!$C$3,9,0)),Einstellungen!$F$13:$F$32)))</f>
        <v/>
      </c>
      <c r="T271" s="49">
        <f>IF(OR(A271="",D271=""),0,MAX(0,NETWORKDAYS(MAX(D271,DATE(Einstellungen!$C$3,9,1)),MIN(J271,DATE(Einstellungen!$C$3,10,0)),Einstellungen!$F$13:$F$32)))</f>
        <v/>
      </c>
      <c r="U271" s="49">
        <f>IF(OR(A271="",D271=""),0,MAX(0,NETWORKDAYS(MAX(D271,DATE(Einstellungen!$C$3,10,1)),MIN(J271,DATE(Einstellungen!$C$3,11,0)),Einstellungen!$F$13:$F$32)))</f>
        <v/>
      </c>
      <c r="V271" s="49">
        <f>IF(OR(A271="",D271=""),0,MAX(0,NETWORKDAYS(MAX(D271,DATE(Einstellungen!$C$3,11,1)),MIN(J271,DATE(Einstellungen!$C$3,12,0)),Einstellungen!$F$13:$F$32)))</f>
        <v/>
      </c>
      <c r="W271" s="49">
        <f>IF(OR(A271="",D271=""),0,MAX(0,NETWORKDAYS(MAX(D271,DATE(Einstellungen!$C$3,12,1)),MIN(J271,DATE(Einstellungen!$C$3,13,0)),Einstellungen!$F$13:$F$32)))</f>
        <v/>
      </c>
      <c r="X271" s="50">
        <f>L271*K271</f>
        <v/>
      </c>
      <c r="Y271" s="50">
        <f>M271*K271</f>
        <v/>
      </c>
      <c r="Z271" s="50">
        <f>N271*K271</f>
        <v/>
      </c>
      <c r="AA271" s="50">
        <f>O271*K271</f>
        <v/>
      </c>
      <c r="AB271" s="50">
        <f>P271*K271</f>
        <v/>
      </c>
      <c r="AC271" s="50">
        <f>Q271*K271</f>
        <v/>
      </c>
      <c r="AD271" s="50">
        <f>R271*K271</f>
        <v/>
      </c>
      <c r="AE271" s="50">
        <f>S271*K271</f>
        <v/>
      </c>
      <c r="AF271" s="50">
        <f>T271*K271</f>
        <v/>
      </c>
      <c r="AG271" s="50">
        <f>U271*K271</f>
        <v/>
      </c>
      <c r="AH271" s="50">
        <f>V271*K271</f>
        <v/>
      </c>
      <c r="AI271" s="50">
        <f>W271*K271</f>
        <v/>
      </c>
    </row>
    <row r="272">
      <c r="A272" s="25" t="n"/>
      <c r="B272" s="45">
        <f>IF(A272="","",IFERROR(INDEX(Mitarbeiter!$B$6:$B$205,MATCH($A272,Mitarbeiter!$A$6:$A$205,0)),"?"))</f>
        <v/>
      </c>
      <c r="C272" s="46" t="n"/>
      <c r="D272" s="26" t="n"/>
      <c r="E272" s="26" t="n"/>
      <c r="F272" s="24">
        <f>IF(A272="","",SUM(L272:W272))</f>
        <v/>
      </c>
      <c r="G272" s="36">
        <f>IF(A272="","",SUM(X272:AI272))</f>
        <v/>
      </c>
      <c r="H272" s="8">
        <f>IF(A272="","",IF(ISNA(MATCH(A272,Mitarbeiter!$A$6:$A$205,0)),"Pers.-Nr. unbekannt",IF(D272="","Von fehlt",IF(AND(C272&lt;&gt;Einstellungen!$C$4,C272&lt;&gt;Einstellungen!$C$5),"Objekt fehlt",IF(J272&lt;D272,"Bis vor Von",IF(D272&lt;INDEX(Mitarbeiter!$C$6:$C$205,MATCH($A272,Mitarbeiter!$A$6:$A$205,0)),"vor Eintritt",IF(AND(INDEX(Mitarbeiter!$D$6:$D$205,MATCH($A272,Mitarbeiter!$A$6:$A$205,0))&lt;&gt;"",D272&gt;INDEX(Mitarbeiter!$D$6:$D$205,MATCH($A272,Mitarbeiter!$A$6:$A$205,0))),"nach Austritt",IF(E272="","offen","ok"))))))))</f>
        <v/>
      </c>
      <c r="J272" s="47">
        <f>IF(A272="","",IF(E272="",Einstellungen!$C$9,E272))</f>
        <v/>
      </c>
      <c r="K272" s="48">
        <f>IF(A272="",0,IFERROR(INDEX(Mitarbeiter!$F$6:$F$205,MATCH($A272,Mitarbeiter!$A$6:$A$205,0)),0))</f>
        <v/>
      </c>
      <c r="L272" s="49">
        <f>IF(OR(A272="",D272=""),0,MAX(0,NETWORKDAYS(MAX(D272,DATE(Einstellungen!$C$3,1,1)),MIN(J272,DATE(Einstellungen!$C$3,2,0)),Einstellungen!$F$13:$F$32)))</f>
        <v/>
      </c>
      <c r="M272" s="49">
        <f>IF(OR(A272="",D272=""),0,MAX(0,NETWORKDAYS(MAX(D272,DATE(Einstellungen!$C$3,2,1)),MIN(J272,DATE(Einstellungen!$C$3,3,0)),Einstellungen!$F$13:$F$32)))</f>
        <v/>
      </c>
      <c r="N272" s="49">
        <f>IF(OR(A272="",D272=""),0,MAX(0,NETWORKDAYS(MAX(D272,DATE(Einstellungen!$C$3,3,1)),MIN(J272,DATE(Einstellungen!$C$3,4,0)),Einstellungen!$F$13:$F$32)))</f>
        <v/>
      </c>
      <c r="O272" s="49">
        <f>IF(OR(A272="",D272=""),0,MAX(0,NETWORKDAYS(MAX(D272,DATE(Einstellungen!$C$3,4,1)),MIN(J272,DATE(Einstellungen!$C$3,5,0)),Einstellungen!$F$13:$F$32)))</f>
        <v/>
      </c>
      <c r="P272" s="49">
        <f>IF(OR(A272="",D272=""),0,MAX(0,NETWORKDAYS(MAX(D272,DATE(Einstellungen!$C$3,5,1)),MIN(J272,DATE(Einstellungen!$C$3,6,0)),Einstellungen!$F$13:$F$32)))</f>
        <v/>
      </c>
      <c r="Q272" s="49">
        <f>IF(OR(A272="",D272=""),0,MAX(0,NETWORKDAYS(MAX(D272,DATE(Einstellungen!$C$3,6,1)),MIN(J272,DATE(Einstellungen!$C$3,7,0)),Einstellungen!$F$13:$F$32)))</f>
        <v/>
      </c>
      <c r="R272" s="49">
        <f>IF(OR(A272="",D272=""),0,MAX(0,NETWORKDAYS(MAX(D272,DATE(Einstellungen!$C$3,7,1)),MIN(J272,DATE(Einstellungen!$C$3,8,0)),Einstellungen!$F$13:$F$32)))</f>
        <v/>
      </c>
      <c r="S272" s="49">
        <f>IF(OR(A272="",D272=""),0,MAX(0,NETWORKDAYS(MAX(D272,DATE(Einstellungen!$C$3,8,1)),MIN(J272,DATE(Einstellungen!$C$3,9,0)),Einstellungen!$F$13:$F$32)))</f>
        <v/>
      </c>
      <c r="T272" s="49">
        <f>IF(OR(A272="",D272=""),0,MAX(0,NETWORKDAYS(MAX(D272,DATE(Einstellungen!$C$3,9,1)),MIN(J272,DATE(Einstellungen!$C$3,10,0)),Einstellungen!$F$13:$F$32)))</f>
        <v/>
      </c>
      <c r="U272" s="49">
        <f>IF(OR(A272="",D272=""),0,MAX(0,NETWORKDAYS(MAX(D272,DATE(Einstellungen!$C$3,10,1)),MIN(J272,DATE(Einstellungen!$C$3,11,0)),Einstellungen!$F$13:$F$32)))</f>
        <v/>
      </c>
      <c r="V272" s="49">
        <f>IF(OR(A272="",D272=""),0,MAX(0,NETWORKDAYS(MAX(D272,DATE(Einstellungen!$C$3,11,1)),MIN(J272,DATE(Einstellungen!$C$3,12,0)),Einstellungen!$F$13:$F$32)))</f>
        <v/>
      </c>
      <c r="W272" s="49">
        <f>IF(OR(A272="",D272=""),0,MAX(0,NETWORKDAYS(MAX(D272,DATE(Einstellungen!$C$3,12,1)),MIN(J272,DATE(Einstellungen!$C$3,13,0)),Einstellungen!$F$13:$F$32)))</f>
        <v/>
      </c>
      <c r="X272" s="50">
        <f>L272*K272</f>
        <v/>
      </c>
      <c r="Y272" s="50">
        <f>M272*K272</f>
        <v/>
      </c>
      <c r="Z272" s="50">
        <f>N272*K272</f>
        <v/>
      </c>
      <c r="AA272" s="50">
        <f>O272*K272</f>
        <v/>
      </c>
      <c r="AB272" s="50">
        <f>P272*K272</f>
        <v/>
      </c>
      <c r="AC272" s="50">
        <f>Q272*K272</f>
        <v/>
      </c>
      <c r="AD272" s="50">
        <f>R272*K272</f>
        <v/>
      </c>
      <c r="AE272" s="50">
        <f>S272*K272</f>
        <v/>
      </c>
      <c r="AF272" s="50">
        <f>T272*K272</f>
        <v/>
      </c>
      <c r="AG272" s="50">
        <f>U272*K272</f>
        <v/>
      </c>
      <c r="AH272" s="50">
        <f>V272*K272</f>
        <v/>
      </c>
      <c r="AI272" s="50">
        <f>W272*K272</f>
        <v/>
      </c>
    </row>
    <row r="273">
      <c r="A273" s="25" t="n"/>
      <c r="B273" s="45">
        <f>IF(A273="","",IFERROR(INDEX(Mitarbeiter!$B$6:$B$205,MATCH($A273,Mitarbeiter!$A$6:$A$205,0)),"?"))</f>
        <v/>
      </c>
      <c r="C273" s="46" t="n"/>
      <c r="D273" s="26" t="n"/>
      <c r="E273" s="26" t="n"/>
      <c r="F273" s="24">
        <f>IF(A273="","",SUM(L273:W273))</f>
        <v/>
      </c>
      <c r="G273" s="36">
        <f>IF(A273="","",SUM(X273:AI273))</f>
        <v/>
      </c>
      <c r="H273" s="8">
        <f>IF(A273="","",IF(ISNA(MATCH(A273,Mitarbeiter!$A$6:$A$205,0)),"Pers.-Nr. unbekannt",IF(D273="","Von fehlt",IF(AND(C273&lt;&gt;Einstellungen!$C$4,C273&lt;&gt;Einstellungen!$C$5),"Objekt fehlt",IF(J273&lt;D273,"Bis vor Von",IF(D273&lt;INDEX(Mitarbeiter!$C$6:$C$205,MATCH($A273,Mitarbeiter!$A$6:$A$205,0)),"vor Eintritt",IF(AND(INDEX(Mitarbeiter!$D$6:$D$205,MATCH($A273,Mitarbeiter!$A$6:$A$205,0))&lt;&gt;"",D273&gt;INDEX(Mitarbeiter!$D$6:$D$205,MATCH($A273,Mitarbeiter!$A$6:$A$205,0))),"nach Austritt",IF(E273="","offen","ok"))))))))</f>
        <v/>
      </c>
      <c r="J273" s="47">
        <f>IF(A273="","",IF(E273="",Einstellungen!$C$9,E273))</f>
        <v/>
      </c>
      <c r="K273" s="48">
        <f>IF(A273="",0,IFERROR(INDEX(Mitarbeiter!$F$6:$F$205,MATCH($A273,Mitarbeiter!$A$6:$A$205,0)),0))</f>
        <v/>
      </c>
      <c r="L273" s="49">
        <f>IF(OR(A273="",D273=""),0,MAX(0,NETWORKDAYS(MAX(D273,DATE(Einstellungen!$C$3,1,1)),MIN(J273,DATE(Einstellungen!$C$3,2,0)),Einstellungen!$F$13:$F$32)))</f>
        <v/>
      </c>
      <c r="M273" s="49">
        <f>IF(OR(A273="",D273=""),0,MAX(0,NETWORKDAYS(MAX(D273,DATE(Einstellungen!$C$3,2,1)),MIN(J273,DATE(Einstellungen!$C$3,3,0)),Einstellungen!$F$13:$F$32)))</f>
        <v/>
      </c>
      <c r="N273" s="49">
        <f>IF(OR(A273="",D273=""),0,MAX(0,NETWORKDAYS(MAX(D273,DATE(Einstellungen!$C$3,3,1)),MIN(J273,DATE(Einstellungen!$C$3,4,0)),Einstellungen!$F$13:$F$32)))</f>
        <v/>
      </c>
      <c r="O273" s="49">
        <f>IF(OR(A273="",D273=""),0,MAX(0,NETWORKDAYS(MAX(D273,DATE(Einstellungen!$C$3,4,1)),MIN(J273,DATE(Einstellungen!$C$3,5,0)),Einstellungen!$F$13:$F$32)))</f>
        <v/>
      </c>
      <c r="P273" s="49">
        <f>IF(OR(A273="",D273=""),0,MAX(0,NETWORKDAYS(MAX(D273,DATE(Einstellungen!$C$3,5,1)),MIN(J273,DATE(Einstellungen!$C$3,6,0)),Einstellungen!$F$13:$F$32)))</f>
        <v/>
      </c>
      <c r="Q273" s="49">
        <f>IF(OR(A273="",D273=""),0,MAX(0,NETWORKDAYS(MAX(D273,DATE(Einstellungen!$C$3,6,1)),MIN(J273,DATE(Einstellungen!$C$3,7,0)),Einstellungen!$F$13:$F$32)))</f>
        <v/>
      </c>
      <c r="R273" s="49">
        <f>IF(OR(A273="",D273=""),0,MAX(0,NETWORKDAYS(MAX(D273,DATE(Einstellungen!$C$3,7,1)),MIN(J273,DATE(Einstellungen!$C$3,8,0)),Einstellungen!$F$13:$F$32)))</f>
        <v/>
      </c>
      <c r="S273" s="49">
        <f>IF(OR(A273="",D273=""),0,MAX(0,NETWORKDAYS(MAX(D273,DATE(Einstellungen!$C$3,8,1)),MIN(J273,DATE(Einstellungen!$C$3,9,0)),Einstellungen!$F$13:$F$32)))</f>
        <v/>
      </c>
      <c r="T273" s="49">
        <f>IF(OR(A273="",D273=""),0,MAX(0,NETWORKDAYS(MAX(D273,DATE(Einstellungen!$C$3,9,1)),MIN(J273,DATE(Einstellungen!$C$3,10,0)),Einstellungen!$F$13:$F$32)))</f>
        <v/>
      </c>
      <c r="U273" s="49">
        <f>IF(OR(A273="",D273=""),0,MAX(0,NETWORKDAYS(MAX(D273,DATE(Einstellungen!$C$3,10,1)),MIN(J273,DATE(Einstellungen!$C$3,11,0)),Einstellungen!$F$13:$F$32)))</f>
        <v/>
      </c>
      <c r="V273" s="49">
        <f>IF(OR(A273="",D273=""),0,MAX(0,NETWORKDAYS(MAX(D273,DATE(Einstellungen!$C$3,11,1)),MIN(J273,DATE(Einstellungen!$C$3,12,0)),Einstellungen!$F$13:$F$32)))</f>
        <v/>
      </c>
      <c r="W273" s="49">
        <f>IF(OR(A273="",D273=""),0,MAX(0,NETWORKDAYS(MAX(D273,DATE(Einstellungen!$C$3,12,1)),MIN(J273,DATE(Einstellungen!$C$3,13,0)),Einstellungen!$F$13:$F$32)))</f>
        <v/>
      </c>
      <c r="X273" s="50">
        <f>L273*K273</f>
        <v/>
      </c>
      <c r="Y273" s="50">
        <f>M273*K273</f>
        <v/>
      </c>
      <c r="Z273" s="50">
        <f>N273*K273</f>
        <v/>
      </c>
      <c r="AA273" s="50">
        <f>O273*K273</f>
        <v/>
      </c>
      <c r="AB273" s="50">
        <f>P273*K273</f>
        <v/>
      </c>
      <c r="AC273" s="50">
        <f>Q273*K273</f>
        <v/>
      </c>
      <c r="AD273" s="50">
        <f>R273*K273</f>
        <v/>
      </c>
      <c r="AE273" s="50">
        <f>S273*K273</f>
        <v/>
      </c>
      <c r="AF273" s="50">
        <f>T273*K273</f>
        <v/>
      </c>
      <c r="AG273" s="50">
        <f>U273*K273</f>
        <v/>
      </c>
      <c r="AH273" s="50">
        <f>V273*K273</f>
        <v/>
      </c>
      <c r="AI273" s="50">
        <f>W273*K273</f>
        <v/>
      </c>
    </row>
    <row r="274">
      <c r="A274" s="25" t="n"/>
      <c r="B274" s="45">
        <f>IF(A274="","",IFERROR(INDEX(Mitarbeiter!$B$6:$B$205,MATCH($A274,Mitarbeiter!$A$6:$A$205,0)),"?"))</f>
        <v/>
      </c>
      <c r="C274" s="46" t="n"/>
      <c r="D274" s="26" t="n"/>
      <c r="E274" s="26" t="n"/>
      <c r="F274" s="24">
        <f>IF(A274="","",SUM(L274:W274))</f>
        <v/>
      </c>
      <c r="G274" s="36">
        <f>IF(A274="","",SUM(X274:AI274))</f>
        <v/>
      </c>
      <c r="H274" s="8">
        <f>IF(A274="","",IF(ISNA(MATCH(A274,Mitarbeiter!$A$6:$A$205,0)),"Pers.-Nr. unbekannt",IF(D274="","Von fehlt",IF(AND(C274&lt;&gt;Einstellungen!$C$4,C274&lt;&gt;Einstellungen!$C$5),"Objekt fehlt",IF(J274&lt;D274,"Bis vor Von",IF(D274&lt;INDEX(Mitarbeiter!$C$6:$C$205,MATCH($A274,Mitarbeiter!$A$6:$A$205,0)),"vor Eintritt",IF(AND(INDEX(Mitarbeiter!$D$6:$D$205,MATCH($A274,Mitarbeiter!$A$6:$A$205,0))&lt;&gt;"",D274&gt;INDEX(Mitarbeiter!$D$6:$D$205,MATCH($A274,Mitarbeiter!$A$6:$A$205,0))),"nach Austritt",IF(E274="","offen","ok"))))))))</f>
        <v/>
      </c>
      <c r="J274" s="47">
        <f>IF(A274="","",IF(E274="",Einstellungen!$C$9,E274))</f>
        <v/>
      </c>
      <c r="K274" s="48">
        <f>IF(A274="",0,IFERROR(INDEX(Mitarbeiter!$F$6:$F$205,MATCH($A274,Mitarbeiter!$A$6:$A$205,0)),0))</f>
        <v/>
      </c>
      <c r="L274" s="49">
        <f>IF(OR(A274="",D274=""),0,MAX(0,NETWORKDAYS(MAX(D274,DATE(Einstellungen!$C$3,1,1)),MIN(J274,DATE(Einstellungen!$C$3,2,0)),Einstellungen!$F$13:$F$32)))</f>
        <v/>
      </c>
      <c r="M274" s="49">
        <f>IF(OR(A274="",D274=""),0,MAX(0,NETWORKDAYS(MAX(D274,DATE(Einstellungen!$C$3,2,1)),MIN(J274,DATE(Einstellungen!$C$3,3,0)),Einstellungen!$F$13:$F$32)))</f>
        <v/>
      </c>
      <c r="N274" s="49">
        <f>IF(OR(A274="",D274=""),0,MAX(0,NETWORKDAYS(MAX(D274,DATE(Einstellungen!$C$3,3,1)),MIN(J274,DATE(Einstellungen!$C$3,4,0)),Einstellungen!$F$13:$F$32)))</f>
        <v/>
      </c>
      <c r="O274" s="49">
        <f>IF(OR(A274="",D274=""),0,MAX(0,NETWORKDAYS(MAX(D274,DATE(Einstellungen!$C$3,4,1)),MIN(J274,DATE(Einstellungen!$C$3,5,0)),Einstellungen!$F$13:$F$32)))</f>
        <v/>
      </c>
      <c r="P274" s="49">
        <f>IF(OR(A274="",D274=""),0,MAX(0,NETWORKDAYS(MAX(D274,DATE(Einstellungen!$C$3,5,1)),MIN(J274,DATE(Einstellungen!$C$3,6,0)),Einstellungen!$F$13:$F$32)))</f>
        <v/>
      </c>
      <c r="Q274" s="49">
        <f>IF(OR(A274="",D274=""),0,MAX(0,NETWORKDAYS(MAX(D274,DATE(Einstellungen!$C$3,6,1)),MIN(J274,DATE(Einstellungen!$C$3,7,0)),Einstellungen!$F$13:$F$32)))</f>
        <v/>
      </c>
      <c r="R274" s="49">
        <f>IF(OR(A274="",D274=""),0,MAX(0,NETWORKDAYS(MAX(D274,DATE(Einstellungen!$C$3,7,1)),MIN(J274,DATE(Einstellungen!$C$3,8,0)),Einstellungen!$F$13:$F$32)))</f>
        <v/>
      </c>
      <c r="S274" s="49">
        <f>IF(OR(A274="",D274=""),0,MAX(0,NETWORKDAYS(MAX(D274,DATE(Einstellungen!$C$3,8,1)),MIN(J274,DATE(Einstellungen!$C$3,9,0)),Einstellungen!$F$13:$F$32)))</f>
        <v/>
      </c>
      <c r="T274" s="49">
        <f>IF(OR(A274="",D274=""),0,MAX(0,NETWORKDAYS(MAX(D274,DATE(Einstellungen!$C$3,9,1)),MIN(J274,DATE(Einstellungen!$C$3,10,0)),Einstellungen!$F$13:$F$32)))</f>
        <v/>
      </c>
      <c r="U274" s="49">
        <f>IF(OR(A274="",D274=""),0,MAX(0,NETWORKDAYS(MAX(D274,DATE(Einstellungen!$C$3,10,1)),MIN(J274,DATE(Einstellungen!$C$3,11,0)),Einstellungen!$F$13:$F$32)))</f>
        <v/>
      </c>
      <c r="V274" s="49">
        <f>IF(OR(A274="",D274=""),0,MAX(0,NETWORKDAYS(MAX(D274,DATE(Einstellungen!$C$3,11,1)),MIN(J274,DATE(Einstellungen!$C$3,12,0)),Einstellungen!$F$13:$F$32)))</f>
        <v/>
      </c>
      <c r="W274" s="49">
        <f>IF(OR(A274="",D274=""),0,MAX(0,NETWORKDAYS(MAX(D274,DATE(Einstellungen!$C$3,12,1)),MIN(J274,DATE(Einstellungen!$C$3,13,0)),Einstellungen!$F$13:$F$32)))</f>
        <v/>
      </c>
      <c r="X274" s="50">
        <f>L274*K274</f>
        <v/>
      </c>
      <c r="Y274" s="50">
        <f>M274*K274</f>
        <v/>
      </c>
      <c r="Z274" s="50">
        <f>N274*K274</f>
        <v/>
      </c>
      <c r="AA274" s="50">
        <f>O274*K274</f>
        <v/>
      </c>
      <c r="AB274" s="50">
        <f>P274*K274</f>
        <v/>
      </c>
      <c r="AC274" s="50">
        <f>Q274*K274</f>
        <v/>
      </c>
      <c r="AD274" s="50">
        <f>R274*K274</f>
        <v/>
      </c>
      <c r="AE274" s="50">
        <f>S274*K274</f>
        <v/>
      </c>
      <c r="AF274" s="50">
        <f>T274*K274</f>
        <v/>
      </c>
      <c r="AG274" s="50">
        <f>U274*K274</f>
        <v/>
      </c>
      <c r="AH274" s="50">
        <f>V274*K274</f>
        <v/>
      </c>
      <c r="AI274" s="50">
        <f>W274*K274</f>
        <v/>
      </c>
    </row>
    <row r="275">
      <c r="A275" s="25" t="n"/>
      <c r="B275" s="45">
        <f>IF(A275="","",IFERROR(INDEX(Mitarbeiter!$B$6:$B$205,MATCH($A275,Mitarbeiter!$A$6:$A$205,0)),"?"))</f>
        <v/>
      </c>
      <c r="C275" s="46" t="n"/>
      <c r="D275" s="26" t="n"/>
      <c r="E275" s="26" t="n"/>
      <c r="F275" s="24">
        <f>IF(A275="","",SUM(L275:W275))</f>
        <v/>
      </c>
      <c r="G275" s="36">
        <f>IF(A275="","",SUM(X275:AI275))</f>
        <v/>
      </c>
      <c r="H275" s="8">
        <f>IF(A275="","",IF(ISNA(MATCH(A275,Mitarbeiter!$A$6:$A$205,0)),"Pers.-Nr. unbekannt",IF(D275="","Von fehlt",IF(AND(C275&lt;&gt;Einstellungen!$C$4,C275&lt;&gt;Einstellungen!$C$5),"Objekt fehlt",IF(J275&lt;D275,"Bis vor Von",IF(D275&lt;INDEX(Mitarbeiter!$C$6:$C$205,MATCH($A275,Mitarbeiter!$A$6:$A$205,0)),"vor Eintritt",IF(AND(INDEX(Mitarbeiter!$D$6:$D$205,MATCH($A275,Mitarbeiter!$A$6:$A$205,0))&lt;&gt;"",D275&gt;INDEX(Mitarbeiter!$D$6:$D$205,MATCH($A275,Mitarbeiter!$A$6:$A$205,0))),"nach Austritt",IF(E275="","offen","ok"))))))))</f>
        <v/>
      </c>
      <c r="J275" s="47">
        <f>IF(A275="","",IF(E275="",Einstellungen!$C$9,E275))</f>
        <v/>
      </c>
      <c r="K275" s="48">
        <f>IF(A275="",0,IFERROR(INDEX(Mitarbeiter!$F$6:$F$205,MATCH($A275,Mitarbeiter!$A$6:$A$205,0)),0))</f>
        <v/>
      </c>
      <c r="L275" s="49">
        <f>IF(OR(A275="",D275=""),0,MAX(0,NETWORKDAYS(MAX(D275,DATE(Einstellungen!$C$3,1,1)),MIN(J275,DATE(Einstellungen!$C$3,2,0)),Einstellungen!$F$13:$F$32)))</f>
        <v/>
      </c>
      <c r="M275" s="49">
        <f>IF(OR(A275="",D275=""),0,MAX(0,NETWORKDAYS(MAX(D275,DATE(Einstellungen!$C$3,2,1)),MIN(J275,DATE(Einstellungen!$C$3,3,0)),Einstellungen!$F$13:$F$32)))</f>
        <v/>
      </c>
      <c r="N275" s="49">
        <f>IF(OR(A275="",D275=""),0,MAX(0,NETWORKDAYS(MAX(D275,DATE(Einstellungen!$C$3,3,1)),MIN(J275,DATE(Einstellungen!$C$3,4,0)),Einstellungen!$F$13:$F$32)))</f>
        <v/>
      </c>
      <c r="O275" s="49">
        <f>IF(OR(A275="",D275=""),0,MAX(0,NETWORKDAYS(MAX(D275,DATE(Einstellungen!$C$3,4,1)),MIN(J275,DATE(Einstellungen!$C$3,5,0)),Einstellungen!$F$13:$F$32)))</f>
        <v/>
      </c>
      <c r="P275" s="49">
        <f>IF(OR(A275="",D275=""),0,MAX(0,NETWORKDAYS(MAX(D275,DATE(Einstellungen!$C$3,5,1)),MIN(J275,DATE(Einstellungen!$C$3,6,0)),Einstellungen!$F$13:$F$32)))</f>
        <v/>
      </c>
      <c r="Q275" s="49">
        <f>IF(OR(A275="",D275=""),0,MAX(0,NETWORKDAYS(MAX(D275,DATE(Einstellungen!$C$3,6,1)),MIN(J275,DATE(Einstellungen!$C$3,7,0)),Einstellungen!$F$13:$F$32)))</f>
        <v/>
      </c>
      <c r="R275" s="49">
        <f>IF(OR(A275="",D275=""),0,MAX(0,NETWORKDAYS(MAX(D275,DATE(Einstellungen!$C$3,7,1)),MIN(J275,DATE(Einstellungen!$C$3,8,0)),Einstellungen!$F$13:$F$32)))</f>
        <v/>
      </c>
      <c r="S275" s="49">
        <f>IF(OR(A275="",D275=""),0,MAX(0,NETWORKDAYS(MAX(D275,DATE(Einstellungen!$C$3,8,1)),MIN(J275,DATE(Einstellungen!$C$3,9,0)),Einstellungen!$F$13:$F$32)))</f>
        <v/>
      </c>
      <c r="T275" s="49">
        <f>IF(OR(A275="",D275=""),0,MAX(0,NETWORKDAYS(MAX(D275,DATE(Einstellungen!$C$3,9,1)),MIN(J275,DATE(Einstellungen!$C$3,10,0)),Einstellungen!$F$13:$F$32)))</f>
        <v/>
      </c>
      <c r="U275" s="49">
        <f>IF(OR(A275="",D275=""),0,MAX(0,NETWORKDAYS(MAX(D275,DATE(Einstellungen!$C$3,10,1)),MIN(J275,DATE(Einstellungen!$C$3,11,0)),Einstellungen!$F$13:$F$32)))</f>
        <v/>
      </c>
      <c r="V275" s="49">
        <f>IF(OR(A275="",D275=""),0,MAX(0,NETWORKDAYS(MAX(D275,DATE(Einstellungen!$C$3,11,1)),MIN(J275,DATE(Einstellungen!$C$3,12,0)),Einstellungen!$F$13:$F$32)))</f>
        <v/>
      </c>
      <c r="W275" s="49">
        <f>IF(OR(A275="",D275=""),0,MAX(0,NETWORKDAYS(MAX(D275,DATE(Einstellungen!$C$3,12,1)),MIN(J275,DATE(Einstellungen!$C$3,13,0)),Einstellungen!$F$13:$F$32)))</f>
        <v/>
      </c>
      <c r="X275" s="50">
        <f>L275*K275</f>
        <v/>
      </c>
      <c r="Y275" s="50">
        <f>M275*K275</f>
        <v/>
      </c>
      <c r="Z275" s="50">
        <f>N275*K275</f>
        <v/>
      </c>
      <c r="AA275" s="50">
        <f>O275*K275</f>
        <v/>
      </c>
      <c r="AB275" s="50">
        <f>P275*K275</f>
        <v/>
      </c>
      <c r="AC275" s="50">
        <f>Q275*K275</f>
        <v/>
      </c>
      <c r="AD275" s="50">
        <f>R275*K275</f>
        <v/>
      </c>
      <c r="AE275" s="50">
        <f>S275*K275</f>
        <v/>
      </c>
      <c r="AF275" s="50">
        <f>T275*K275</f>
        <v/>
      </c>
      <c r="AG275" s="50">
        <f>U275*K275</f>
        <v/>
      </c>
      <c r="AH275" s="50">
        <f>V275*K275</f>
        <v/>
      </c>
      <c r="AI275" s="50">
        <f>W275*K275</f>
        <v/>
      </c>
    </row>
    <row r="276">
      <c r="A276" s="25" t="n"/>
      <c r="B276" s="45">
        <f>IF(A276="","",IFERROR(INDEX(Mitarbeiter!$B$6:$B$205,MATCH($A276,Mitarbeiter!$A$6:$A$205,0)),"?"))</f>
        <v/>
      </c>
      <c r="C276" s="46" t="n"/>
      <c r="D276" s="26" t="n"/>
      <c r="E276" s="26" t="n"/>
      <c r="F276" s="24">
        <f>IF(A276="","",SUM(L276:W276))</f>
        <v/>
      </c>
      <c r="G276" s="36">
        <f>IF(A276="","",SUM(X276:AI276))</f>
        <v/>
      </c>
      <c r="H276" s="8">
        <f>IF(A276="","",IF(ISNA(MATCH(A276,Mitarbeiter!$A$6:$A$205,0)),"Pers.-Nr. unbekannt",IF(D276="","Von fehlt",IF(AND(C276&lt;&gt;Einstellungen!$C$4,C276&lt;&gt;Einstellungen!$C$5),"Objekt fehlt",IF(J276&lt;D276,"Bis vor Von",IF(D276&lt;INDEX(Mitarbeiter!$C$6:$C$205,MATCH($A276,Mitarbeiter!$A$6:$A$205,0)),"vor Eintritt",IF(AND(INDEX(Mitarbeiter!$D$6:$D$205,MATCH($A276,Mitarbeiter!$A$6:$A$205,0))&lt;&gt;"",D276&gt;INDEX(Mitarbeiter!$D$6:$D$205,MATCH($A276,Mitarbeiter!$A$6:$A$205,0))),"nach Austritt",IF(E276="","offen","ok"))))))))</f>
        <v/>
      </c>
      <c r="J276" s="47">
        <f>IF(A276="","",IF(E276="",Einstellungen!$C$9,E276))</f>
        <v/>
      </c>
      <c r="K276" s="48">
        <f>IF(A276="",0,IFERROR(INDEX(Mitarbeiter!$F$6:$F$205,MATCH($A276,Mitarbeiter!$A$6:$A$205,0)),0))</f>
        <v/>
      </c>
      <c r="L276" s="49">
        <f>IF(OR(A276="",D276=""),0,MAX(0,NETWORKDAYS(MAX(D276,DATE(Einstellungen!$C$3,1,1)),MIN(J276,DATE(Einstellungen!$C$3,2,0)),Einstellungen!$F$13:$F$32)))</f>
        <v/>
      </c>
      <c r="M276" s="49">
        <f>IF(OR(A276="",D276=""),0,MAX(0,NETWORKDAYS(MAX(D276,DATE(Einstellungen!$C$3,2,1)),MIN(J276,DATE(Einstellungen!$C$3,3,0)),Einstellungen!$F$13:$F$32)))</f>
        <v/>
      </c>
      <c r="N276" s="49">
        <f>IF(OR(A276="",D276=""),0,MAX(0,NETWORKDAYS(MAX(D276,DATE(Einstellungen!$C$3,3,1)),MIN(J276,DATE(Einstellungen!$C$3,4,0)),Einstellungen!$F$13:$F$32)))</f>
        <v/>
      </c>
      <c r="O276" s="49">
        <f>IF(OR(A276="",D276=""),0,MAX(0,NETWORKDAYS(MAX(D276,DATE(Einstellungen!$C$3,4,1)),MIN(J276,DATE(Einstellungen!$C$3,5,0)),Einstellungen!$F$13:$F$32)))</f>
        <v/>
      </c>
      <c r="P276" s="49">
        <f>IF(OR(A276="",D276=""),0,MAX(0,NETWORKDAYS(MAX(D276,DATE(Einstellungen!$C$3,5,1)),MIN(J276,DATE(Einstellungen!$C$3,6,0)),Einstellungen!$F$13:$F$32)))</f>
        <v/>
      </c>
      <c r="Q276" s="49">
        <f>IF(OR(A276="",D276=""),0,MAX(0,NETWORKDAYS(MAX(D276,DATE(Einstellungen!$C$3,6,1)),MIN(J276,DATE(Einstellungen!$C$3,7,0)),Einstellungen!$F$13:$F$32)))</f>
        <v/>
      </c>
      <c r="R276" s="49">
        <f>IF(OR(A276="",D276=""),0,MAX(0,NETWORKDAYS(MAX(D276,DATE(Einstellungen!$C$3,7,1)),MIN(J276,DATE(Einstellungen!$C$3,8,0)),Einstellungen!$F$13:$F$32)))</f>
        <v/>
      </c>
      <c r="S276" s="49">
        <f>IF(OR(A276="",D276=""),0,MAX(0,NETWORKDAYS(MAX(D276,DATE(Einstellungen!$C$3,8,1)),MIN(J276,DATE(Einstellungen!$C$3,9,0)),Einstellungen!$F$13:$F$32)))</f>
        <v/>
      </c>
      <c r="T276" s="49">
        <f>IF(OR(A276="",D276=""),0,MAX(0,NETWORKDAYS(MAX(D276,DATE(Einstellungen!$C$3,9,1)),MIN(J276,DATE(Einstellungen!$C$3,10,0)),Einstellungen!$F$13:$F$32)))</f>
        <v/>
      </c>
      <c r="U276" s="49">
        <f>IF(OR(A276="",D276=""),0,MAX(0,NETWORKDAYS(MAX(D276,DATE(Einstellungen!$C$3,10,1)),MIN(J276,DATE(Einstellungen!$C$3,11,0)),Einstellungen!$F$13:$F$32)))</f>
        <v/>
      </c>
      <c r="V276" s="49">
        <f>IF(OR(A276="",D276=""),0,MAX(0,NETWORKDAYS(MAX(D276,DATE(Einstellungen!$C$3,11,1)),MIN(J276,DATE(Einstellungen!$C$3,12,0)),Einstellungen!$F$13:$F$32)))</f>
        <v/>
      </c>
      <c r="W276" s="49">
        <f>IF(OR(A276="",D276=""),0,MAX(0,NETWORKDAYS(MAX(D276,DATE(Einstellungen!$C$3,12,1)),MIN(J276,DATE(Einstellungen!$C$3,13,0)),Einstellungen!$F$13:$F$32)))</f>
        <v/>
      </c>
      <c r="X276" s="50">
        <f>L276*K276</f>
        <v/>
      </c>
      <c r="Y276" s="50">
        <f>M276*K276</f>
        <v/>
      </c>
      <c r="Z276" s="50">
        <f>N276*K276</f>
        <v/>
      </c>
      <c r="AA276" s="50">
        <f>O276*K276</f>
        <v/>
      </c>
      <c r="AB276" s="50">
        <f>P276*K276</f>
        <v/>
      </c>
      <c r="AC276" s="50">
        <f>Q276*K276</f>
        <v/>
      </c>
      <c r="AD276" s="50">
        <f>R276*K276</f>
        <v/>
      </c>
      <c r="AE276" s="50">
        <f>S276*K276</f>
        <v/>
      </c>
      <c r="AF276" s="50">
        <f>T276*K276</f>
        <v/>
      </c>
      <c r="AG276" s="50">
        <f>U276*K276</f>
        <v/>
      </c>
      <c r="AH276" s="50">
        <f>V276*K276</f>
        <v/>
      </c>
      <c r="AI276" s="50">
        <f>W276*K276</f>
        <v/>
      </c>
    </row>
    <row r="277">
      <c r="A277" s="25" t="n"/>
      <c r="B277" s="45">
        <f>IF(A277="","",IFERROR(INDEX(Mitarbeiter!$B$6:$B$205,MATCH($A277,Mitarbeiter!$A$6:$A$205,0)),"?"))</f>
        <v/>
      </c>
      <c r="C277" s="46" t="n"/>
      <c r="D277" s="26" t="n"/>
      <c r="E277" s="26" t="n"/>
      <c r="F277" s="24">
        <f>IF(A277="","",SUM(L277:W277))</f>
        <v/>
      </c>
      <c r="G277" s="36">
        <f>IF(A277="","",SUM(X277:AI277))</f>
        <v/>
      </c>
      <c r="H277" s="8">
        <f>IF(A277="","",IF(ISNA(MATCH(A277,Mitarbeiter!$A$6:$A$205,0)),"Pers.-Nr. unbekannt",IF(D277="","Von fehlt",IF(AND(C277&lt;&gt;Einstellungen!$C$4,C277&lt;&gt;Einstellungen!$C$5),"Objekt fehlt",IF(J277&lt;D277,"Bis vor Von",IF(D277&lt;INDEX(Mitarbeiter!$C$6:$C$205,MATCH($A277,Mitarbeiter!$A$6:$A$205,0)),"vor Eintritt",IF(AND(INDEX(Mitarbeiter!$D$6:$D$205,MATCH($A277,Mitarbeiter!$A$6:$A$205,0))&lt;&gt;"",D277&gt;INDEX(Mitarbeiter!$D$6:$D$205,MATCH($A277,Mitarbeiter!$A$6:$A$205,0))),"nach Austritt",IF(E277="","offen","ok"))))))))</f>
        <v/>
      </c>
      <c r="J277" s="47">
        <f>IF(A277="","",IF(E277="",Einstellungen!$C$9,E277))</f>
        <v/>
      </c>
      <c r="K277" s="48">
        <f>IF(A277="",0,IFERROR(INDEX(Mitarbeiter!$F$6:$F$205,MATCH($A277,Mitarbeiter!$A$6:$A$205,0)),0))</f>
        <v/>
      </c>
      <c r="L277" s="49">
        <f>IF(OR(A277="",D277=""),0,MAX(0,NETWORKDAYS(MAX(D277,DATE(Einstellungen!$C$3,1,1)),MIN(J277,DATE(Einstellungen!$C$3,2,0)),Einstellungen!$F$13:$F$32)))</f>
        <v/>
      </c>
      <c r="M277" s="49">
        <f>IF(OR(A277="",D277=""),0,MAX(0,NETWORKDAYS(MAX(D277,DATE(Einstellungen!$C$3,2,1)),MIN(J277,DATE(Einstellungen!$C$3,3,0)),Einstellungen!$F$13:$F$32)))</f>
        <v/>
      </c>
      <c r="N277" s="49">
        <f>IF(OR(A277="",D277=""),0,MAX(0,NETWORKDAYS(MAX(D277,DATE(Einstellungen!$C$3,3,1)),MIN(J277,DATE(Einstellungen!$C$3,4,0)),Einstellungen!$F$13:$F$32)))</f>
        <v/>
      </c>
      <c r="O277" s="49">
        <f>IF(OR(A277="",D277=""),0,MAX(0,NETWORKDAYS(MAX(D277,DATE(Einstellungen!$C$3,4,1)),MIN(J277,DATE(Einstellungen!$C$3,5,0)),Einstellungen!$F$13:$F$32)))</f>
        <v/>
      </c>
      <c r="P277" s="49">
        <f>IF(OR(A277="",D277=""),0,MAX(0,NETWORKDAYS(MAX(D277,DATE(Einstellungen!$C$3,5,1)),MIN(J277,DATE(Einstellungen!$C$3,6,0)),Einstellungen!$F$13:$F$32)))</f>
        <v/>
      </c>
      <c r="Q277" s="49">
        <f>IF(OR(A277="",D277=""),0,MAX(0,NETWORKDAYS(MAX(D277,DATE(Einstellungen!$C$3,6,1)),MIN(J277,DATE(Einstellungen!$C$3,7,0)),Einstellungen!$F$13:$F$32)))</f>
        <v/>
      </c>
      <c r="R277" s="49">
        <f>IF(OR(A277="",D277=""),0,MAX(0,NETWORKDAYS(MAX(D277,DATE(Einstellungen!$C$3,7,1)),MIN(J277,DATE(Einstellungen!$C$3,8,0)),Einstellungen!$F$13:$F$32)))</f>
        <v/>
      </c>
      <c r="S277" s="49">
        <f>IF(OR(A277="",D277=""),0,MAX(0,NETWORKDAYS(MAX(D277,DATE(Einstellungen!$C$3,8,1)),MIN(J277,DATE(Einstellungen!$C$3,9,0)),Einstellungen!$F$13:$F$32)))</f>
        <v/>
      </c>
      <c r="T277" s="49">
        <f>IF(OR(A277="",D277=""),0,MAX(0,NETWORKDAYS(MAX(D277,DATE(Einstellungen!$C$3,9,1)),MIN(J277,DATE(Einstellungen!$C$3,10,0)),Einstellungen!$F$13:$F$32)))</f>
        <v/>
      </c>
      <c r="U277" s="49">
        <f>IF(OR(A277="",D277=""),0,MAX(0,NETWORKDAYS(MAX(D277,DATE(Einstellungen!$C$3,10,1)),MIN(J277,DATE(Einstellungen!$C$3,11,0)),Einstellungen!$F$13:$F$32)))</f>
        <v/>
      </c>
      <c r="V277" s="49">
        <f>IF(OR(A277="",D277=""),0,MAX(0,NETWORKDAYS(MAX(D277,DATE(Einstellungen!$C$3,11,1)),MIN(J277,DATE(Einstellungen!$C$3,12,0)),Einstellungen!$F$13:$F$32)))</f>
        <v/>
      </c>
      <c r="W277" s="49">
        <f>IF(OR(A277="",D277=""),0,MAX(0,NETWORKDAYS(MAX(D277,DATE(Einstellungen!$C$3,12,1)),MIN(J277,DATE(Einstellungen!$C$3,13,0)),Einstellungen!$F$13:$F$32)))</f>
        <v/>
      </c>
      <c r="X277" s="50">
        <f>L277*K277</f>
        <v/>
      </c>
      <c r="Y277" s="50">
        <f>M277*K277</f>
        <v/>
      </c>
      <c r="Z277" s="50">
        <f>N277*K277</f>
        <v/>
      </c>
      <c r="AA277" s="50">
        <f>O277*K277</f>
        <v/>
      </c>
      <c r="AB277" s="50">
        <f>P277*K277</f>
        <v/>
      </c>
      <c r="AC277" s="50">
        <f>Q277*K277</f>
        <v/>
      </c>
      <c r="AD277" s="50">
        <f>R277*K277</f>
        <v/>
      </c>
      <c r="AE277" s="50">
        <f>S277*K277</f>
        <v/>
      </c>
      <c r="AF277" s="50">
        <f>T277*K277</f>
        <v/>
      </c>
      <c r="AG277" s="50">
        <f>U277*K277</f>
        <v/>
      </c>
      <c r="AH277" s="50">
        <f>V277*K277</f>
        <v/>
      </c>
      <c r="AI277" s="50">
        <f>W277*K277</f>
        <v/>
      </c>
    </row>
    <row r="278">
      <c r="A278" s="25" t="n"/>
      <c r="B278" s="45">
        <f>IF(A278="","",IFERROR(INDEX(Mitarbeiter!$B$6:$B$205,MATCH($A278,Mitarbeiter!$A$6:$A$205,0)),"?"))</f>
        <v/>
      </c>
      <c r="C278" s="46" t="n"/>
      <c r="D278" s="26" t="n"/>
      <c r="E278" s="26" t="n"/>
      <c r="F278" s="24">
        <f>IF(A278="","",SUM(L278:W278))</f>
        <v/>
      </c>
      <c r="G278" s="36">
        <f>IF(A278="","",SUM(X278:AI278))</f>
        <v/>
      </c>
      <c r="H278" s="8">
        <f>IF(A278="","",IF(ISNA(MATCH(A278,Mitarbeiter!$A$6:$A$205,0)),"Pers.-Nr. unbekannt",IF(D278="","Von fehlt",IF(AND(C278&lt;&gt;Einstellungen!$C$4,C278&lt;&gt;Einstellungen!$C$5),"Objekt fehlt",IF(J278&lt;D278,"Bis vor Von",IF(D278&lt;INDEX(Mitarbeiter!$C$6:$C$205,MATCH($A278,Mitarbeiter!$A$6:$A$205,0)),"vor Eintritt",IF(AND(INDEX(Mitarbeiter!$D$6:$D$205,MATCH($A278,Mitarbeiter!$A$6:$A$205,0))&lt;&gt;"",D278&gt;INDEX(Mitarbeiter!$D$6:$D$205,MATCH($A278,Mitarbeiter!$A$6:$A$205,0))),"nach Austritt",IF(E278="","offen","ok"))))))))</f>
        <v/>
      </c>
      <c r="J278" s="47">
        <f>IF(A278="","",IF(E278="",Einstellungen!$C$9,E278))</f>
        <v/>
      </c>
      <c r="K278" s="48">
        <f>IF(A278="",0,IFERROR(INDEX(Mitarbeiter!$F$6:$F$205,MATCH($A278,Mitarbeiter!$A$6:$A$205,0)),0))</f>
        <v/>
      </c>
      <c r="L278" s="49">
        <f>IF(OR(A278="",D278=""),0,MAX(0,NETWORKDAYS(MAX(D278,DATE(Einstellungen!$C$3,1,1)),MIN(J278,DATE(Einstellungen!$C$3,2,0)),Einstellungen!$F$13:$F$32)))</f>
        <v/>
      </c>
      <c r="M278" s="49">
        <f>IF(OR(A278="",D278=""),0,MAX(0,NETWORKDAYS(MAX(D278,DATE(Einstellungen!$C$3,2,1)),MIN(J278,DATE(Einstellungen!$C$3,3,0)),Einstellungen!$F$13:$F$32)))</f>
        <v/>
      </c>
      <c r="N278" s="49">
        <f>IF(OR(A278="",D278=""),0,MAX(0,NETWORKDAYS(MAX(D278,DATE(Einstellungen!$C$3,3,1)),MIN(J278,DATE(Einstellungen!$C$3,4,0)),Einstellungen!$F$13:$F$32)))</f>
        <v/>
      </c>
      <c r="O278" s="49">
        <f>IF(OR(A278="",D278=""),0,MAX(0,NETWORKDAYS(MAX(D278,DATE(Einstellungen!$C$3,4,1)),MIN(J278,DATE(Einstellungen!$C$3,5,0)),Einstellungen!$F$13:$F$32)))</f>
        <v/>
      </c>
      <c r="P278" s="49">
        <f>IF(OR(A278="",D278=""),0,MAX(0,NETWORKDAYS(MAX(D278,DATE(Einstellungen!$C$3,5,1)),MIN(J278,DATE(Einstellungen!$C$3,6,0)),Einstellungen!$F$13:$F$32)))</f>
        <v/>
      </c>
      <c r="Q278" s="49">
        <f>IF(OR(A278="",D278=""),0,MAX(0,NETWORKDAYS(MAX(D278,DATE(Einstellungen!$C$3,6,1)),MIN(J278,DATE(Einstellungen!$C$3,7,0)),Einstellungen!$F$13:$F$32)))</f>
        <v/>
      </c>
      <c r="R278" s="49">
        <f>IF(OR(A278="",D278=""),0,MAX(0,NETWORKDAYS(MAX(D278,DATE(Einstellungen!$C$3,7,1)),MIN(J278,DATE(Einstellungen!$C$3,8,0)),Einstellungen!$F$13:$F$32)))</f>
        <v/>
      </c>
      <c r="S278" s="49">
        <f>IF(OR(A278="",D278=""),0,MAX(0,NETWORKDAYS(MAX(D278,DATE(Einstellungen!$C$3,8,1)),MIN(J278,DATE(Einstellungen!$C$3,9,0)),Einstellungen!$F$13:$F$32)))</f>
        <v/>
      </c>
      <c r="T278" s="49">
        <f>IF(OR(A278="",D278=""),0,MAX(0,NETWORKDAYS(MAX(D278,DATE(Einstellungen!$C$3,9,1)),MIN(J278,DATE(Einstellungen!$C$3,10,0)),Einstellungen!$F$13:$F$32)))</f>
        <v/>
      </c>
      <c r="U278" s="49">
        <f>IF(OR(A278="",D278=""),0,MAX(0,NETWORKDAYS(MAX(D278,DATE(Einstellungen!$C$3,10,1)),MIN(J278,DATE(Einstellungen!$C$3,11,0)),Einstellungen!$F$13:$F$32)))</f>
        <v/>
      </c>
      <c r="V278" s="49">
        <f>IF(OR(A278="",D278=""),0,MAX(0,NETWORKDAYS(MAX(D278,DATE(Einstellungen!$C$3,11,1)),MIN(J278,DATE(Einstellungen!$C$3,12,0)),Einstellungen!$F$13:$F$32)))</f>
        <v/>
      </c>
      <c r="W278" s="49">
        <f>IF(OR(A278="",D278=""),0,MAX(0,NETWORKDAYS(MAX(D278,DATE(Einstellungen!$C$3,12,1)),MIN(J278,DATE(Einstellungen!$C$3,13,0)),Einstellungen!$F$13:$F$32)))</f>
        <v/>
      </c>
      <c r="X278" s="50">
        <f>L278*K278</f>
        <v/>
      </c>
      <c r="Y278" s="50">
        <f>M278*K278</f>
        <v/>
      </c>
      <c r="Z278" s="50">
        <f>N278*K278</f>
        <v/>
      </c>
      <c r="AA278" s="50">
        <f>O278*K278</f>
        <v/>
      </c>
      <c r="AB278" s="50">
        <f>P278*K278</f>
        <v/>
      </c>
      <c r="AC278" s="50">
        <f>Q278*K278</f>
        <v/>
      </c>
      <c r="AD278" s="50">
        <f>R278*K278</f>
        <v/>
      </c>
      <c r="AE278" s="50">
        <f>S278*K278</f>
        <v/>
      </c>
      <c r="AF278" s="50">
        <f>T278*K278</f>
        <v/>
      </c>
      <c r="AG278" s="50">
        <f>U278*K278</f>
        <v/>
      </c>
      <c r="AH278" s="50">
        <f>V278*K278</f>
        <v/>
      </c>
      <c r="AI278" s="50">
        <f>W278*K278</f>
        <v/>
      </c>
    </row>
    <row r="279">
      <c r="A279" s="25" t="n"/>
      <c r="B279" s="45">
        <f>IF(A279="","",IFERROR(INDEX(Mitarbeiter!$B$6:$B$205,MATCH($A279,Mitarbeiter!$A$6:$A$205,0)),"?"))</f>
        <v/>
      </c>
      <c r="C279" s="46" t="n"/>
      <c r="D279" s="26" t="n"/>
      <c r="E279" s="26" t="n"/>
      <c r="F279" s="24">
        <f>IF(A279="","",SUM(L279:W279))</f>
        <v/>
      </c>
      <c r="G279" s="36">
        <f>IF(A279="","",SUM(X279:AI279))</f>
        <v/>
      </c>
      <c r="H279" s="8">
        <f>IF(A279="","",IF(ISNA(MATCH(A279,Mitarbeiter!$A$6:$A$205,0)),"Pers.-Nr. unbekannt",IF(D279="","Von fehlt",IF(AND(C279&lt;&gt;Einstellungen!$C$4,C279&lt;&gt;Einstellungen!$C$5),"Objekt fehlt",IF(J279&lt;D279,"Bis vor Von",IF(D279&lt;INDEX(Mitarbeiter!$C$6:$C$205,MATCH($A279,Mitarbeiter!$A$6:$A$205,0)),"vor Eintritt",IF(AND(INDEX(Mitarbeiter!$D$6:$D$205,MATCH($A279,Mitarbeiter!$A$6:$A$205,0))&lt;&gt;"",D279&gt;INDEX(Mitarbeiter!$D$6:$D$205,MATCH($A279,Mitarbeiter!$A$6:$A$205,0))),"nach Austritt",IF(E279="","offen","ok"))))))))</f>
        <v/>
      </c>
      <c r="J279" s="47">
        <f>IF(A279="","",IF(E279="",Einstellungen!$C$9,E279))</f>
        <v/>
      </c>
      <c r="K279" s="48">
        <f>IF(A279="",0,IFERROR(INDEX(Mitarbeiter!$F$6:$F$205,MATCH($A279,Mitarbeiter!$A$6:$A$205,0)),0))</f>
        <v/>
      </c>
      <c r="L279" s="49">
        <f>IF(OR(A279="",D279=""),0,MAX(0,NETWORKDAYS(MAX(D279,DATE(Einstellungen!$C$3,1,1)),MIN(J279,DATE(Einstellungen!$C$3,2,0)),Einstellungen!$F$13:$F$32)))</f>
        <v/>
      </c>
      <c r="M279" s="49">
        <f>IF(OR(A279="",D279=""),0,MAX(0,NETWORKDAYS(MAX(D279,DATE(Einstellungen!$C$3,2,1)),MIN(J279,DATE(Einstellungen!$C$3,3,0)),Einstellungen!$F$13:$F$32)))</f>
        <v/>
      </c>
      <c r="N279" s="49">
        <f>IF(OR(A279="",D279=""),0,MAX(0,NETWORKDAYS(MAX(D279,DATE(Einstellungen!$C$3,3,1)),MIN(J279,DATE(Einstellungen!$C$3,4,0)),Einstellungen!$F$13:$F$32)))</f>
        <v/>
      </c>
      <c r="O279" s="49">
        <f>IF(OR(A279="",D279=""),0,MAX(0,NETWORKDAYS(MAX(D279,DATE(Einstellungen!$C$3,4,1)),MIN(J279,DATE(Einstellungen!$C$3,5,0)),Einstellungen!$F$13:$F$32)))</f>
        <v/>
      </c>
      <c r="P279" s="49">
        <f>IF(OR(A279="",D279=""),0,MAX(0,NETWORKDAYS(MAX(D279,DATE(Einstellungen!$C$3,5,1)),MIN(J279,DATE(Einstellungen!$C$3,6,0)),Einstellungen!$F$13:$F$32)))</f>
        <v/>
      </c>
      <c r="Q279" s="49">
        <f>IF(OR(A279="",D279=""),0,MAX(0,NETWORKDAYS(MAX(D279,DATE(Einstellungen!$C$3,6,1)),MIN(J279,DATE(Einstellungen!$C$3,7,0)),Einstellungen!$F$13:$F$32)))</f>
        <v/>
      </c>
      <c r="R279" s="49">
        <f>IF(OR(A279="",D279=""),0,MAX(0,NETWORKDAYS(MAX(D279,DATE(Einstellungen!$C$3,7,1)),MIN(J279,DATE(Einstellungen!$C$3,8,0)),Einstellungen!$F$13:$F$32)))</f>
        <v/>
      </c>
      <c r="S279" s="49">
        <f>IF(OR(A279="",D279=""),0,MAX(0,NETWORKDAYS(MAX(D279,DATE(Einstellungen!$C$3,8,1)),MIN(J279,DATE(Einstellungen!$C$3,9,0)),Einstellungen!$F$13:$F$32)))</f>
        <v/>
      </c>
      <c r="T279" s="49">
        <f>IF(OR(A279="",D279=""),0,MAX(0,NETWORKDAYS(MAX(D279,DATE(Einstellungen!$C$3,9,1)),MIN(J279,DATE(Einstellungen!$C$3,10,0)),Einstellungen!$F$13:$F$32)))</f>
        <v/>
      </c>
      <c r="U279" s="49">
        <f>IF(OR(A279="",D279=""),0,MAX(0,NETWORKDAYS(MAX(D279,DATE(Einstellungen!$C$3,10,1)),MIN(J279,DATE(Einstellungen!$C$3,11,0)),Einstellungen!$F$13:$F$32)))</f>
        <v/>
      </c>
      <c r="V279" s="49">
        <f>IF(OR(A279="",D279=""),0,MAX(0,NETWORKDAYS(MAX(D279,DATE(Einstellungen!$C$3,11,1)),MIN(J279,DATE(Einstellungen!$C$3,12,0)),Einstellungen!$F$13:$F$32)))</f>
        <v/>
      </c>
      <c r="W279" s="49">
        <f>IF(OR(A279="",D279=""),0,MAX(0,NETWORKDAYS(MAX(D279,DATE(Einstellungen!$C$3,12,1)),MIN(J279,DATE(Einstellungen!$C$3,13,0)),Einstellungen!$F$13:$F$32)))</f>
        <v/>
      </c>
      <c r="X279" s="50">
        <f>L279*K279</f>
        <v/>
      </c>
      <c r="Y279" s="50">
        <f>M279*K279</f>
        <v/>
      </c>
      <c r="Z279" s="50">
        <f>N279*K279</f>
        <v/>
      </c>
      <c r="AA279" s="50">
        <f>O279*K279</f>
        <v/>
      </c>
      <c r="AB279" s="50">
        <f>P279*K279</f>
        <v/>
      </c>
      <c r="AC279" s="50">
        <f>Q279*K279</f>
        <v/>
      </c>
      <c r="AD279" s="50">
        <f>R279*K279</f>
        <v/>
      </c>
      <c r="AE279" s="50">
        <f>S279*K279</f>
        <v/>
      </c>
      <c r="AF279" s="50">
        <f>T279*K279</f>
        <v/>
      </c>
      <c r="AG279" s="50">
        <f>U279*K279</f>
        <v/>
      </c>
      <c r="AH279" s="50">
        <f>V279*K279</f>
        <v/>
      </c>
      <c r="AI279" s="50">
        <f>W279*K279</f>
        <v/>
      </c>
    </row>
    <row r="280">
      <c r="A280" s="25" t="n"/>
      <c r="B280" s="45">
        <f>IF(A280="","",IFERROR(INDEX(Mitarbeiter!$B$6:$B$205,MATCH($A280,Mitarbeiter!$A$6:$A$205,0)),"?"))</f>
        <v/>
      </c>
      <c r="C280" s="46" t="n"/>
      <c r="D280" s="26" t="n"/>
      <c r="E280" s="26" t="n"/>
      <c r="F280" s="24">
        <f>IF(A280="","",SUM(L280:W280))</f>
        <v/>
      </c>
      <c r="G280" s="36">
        <f>IF(A280="","",SUM(X280:AI280))</f>
        <v/>
      </c>
      <c r="H280" s="8">
        <f>IF(A280="","",IF(ISNA(MATCH(A280,Mitarbeiter!$A$6:$A$205,0)),"Pers.-Nr. unbekannt",IF(D280="","Von fehlt",IF(AND(C280&lt;&gt;Einstellungen!$C$4,C280&lt;&gt;Einstellungen!$C$5),"Objekt fehlt",IF(J280&lt;D280,"Bis vor Von",IF(D280&lt;INDEX(Mitarbeiter!$C$6:$C$205,MATCH($A280,Mitarbeiter!$A$6:$A$205,0)),"vor Eintritt",IF(AND(INDEX(Mitarbeiter!$D$6:$D$205,MATCH($A280,Mitarbeiter!$A$6:$A$205,0))&lt;&gt;"",D280&gt;INDEX(Mitarbeiter!$D$6:$D$205,MATCH($A280,Mitarbeiter!$A$6:$A$205,0))),"nach Austritt",IF(E280="","offen","ok"))))))))</f>
        <v/>
      </c>
      <c r="J280" s="47">
        <f>IF(A280="","",IF(E280="",Einstellungen!$C$9,E280))</f>
        <v/>
      </c>
      <c r="K280" s="48">
        <f>IF(A280="",0,IFERROR(INDEX(Mitarbeiter!$F$6:$F$205,MATCH($A280,Mitarbeiter!$A$6:$A$205,0)),0))</f>
        <v/>
      </c>
      <c r="L280" s="49">
        <f>IF(OR(A280="",D280=""),0,MAX(0,NETWORKDAYS(MAX(D280,DATE(Einstellungen!$C$3,1,1)),MIN(J280,DATE(Einstellungen!$C$3,2,0)),Einstellungen!$F$13:$F$32)))</f>
        <v/>
      </c>
      <c r="M280" s="49">
        <f>IF(OR(A280="",D280=""),0,MAX(0,NETWORKDAYS(MAX(D280,DATE(Einstellungen!$C$3,2,1)),MIN(J280,DATE(Einstellungen!$C$3,3,0)),Einstellungen!$F$13:$F$32)))</f>
        <v/>
      </c>
      <c r="N280" s="49">
        <f>IF(OR(A280="",D280=""),0,MAX(0,NETWORKDAYS(MAX(D280,DATE(Einstellungen!$C$3,3,1)),MIN(J280,DATE(Einstellungen!$C$3,4,0)),Einstellungen!$F$13:$F$32)))</f>
        <v/>
      </c>
      <c r="O280" s="49">
        <f>IF(OR(A280="",D280=""),0,MAX(0,NETWORKDAYS(MAX(D280,DATE(Einstellungen!$C$3,4,1)),MIN(J280,DATE(Einstellungen!$C$3,5,0)),Einstellungen!$F$13:$F$32)))</f>
        <v/>
      </c>
      <c r="P280" s="49">
        <f>IF(OR(A280="",D280=""),0,MAX(0,NETWORKDAYS(MAX(D280,DATE(Einstellungen!$C$3,5,1)),MIN(J280,DATE(Einstellungen!$C$3,6,0)),Einstellungen!$F$13:$F$32)))</f>
        <v/>
      </c>
      <c r="Q280" s="49">
        <f>IF(OR(A280="",D280=""),0,MAX(0,NETWORKDAYS(MAX(D280,DATE(Einstellungen!$C$3,6,1)),MIN(J280,DATE(Einstellungen!$C$3,7,0)),Einstellungen!$F$13:$F$32)))</f>
        <v/>
      </c>
      <c r="R280" s="49">
        <f>IF(OR(A280="",D280=""),0,MAX(0,NETWORKDAYS(MAX(D280,DATE(Einstellungen!$C$3,7,1)),MIN(J280,DATE(Einstellungen!$C$3,8,0)),Einstellungen!$F$13:$F$32)))</f>
        <v/>
      </c>
      <c r="S280" s="49">
        <f>IF(OR(A280="",D280=""),0,MAX(0,NETWORKDAYS(MAX(D280,DATE(Einstellungen!$C$3,8,1)),MIN(J280,DATE(Einstellungen!$C$3,9,0)),Einstellungen!$F$13:$F$32)))</f>
        <v/>
      </c>
      <c r="T280" s="49">
        <f>IF(OR(A280="",D280=""),0,MAX(0,NETWORKDAYS(MAX(D280,DATE(Einstellungen!$C$3,9,1)),MIN(J280,DATE(Einstellungen!$C$3,10,0)),Einstellungen!$F$13:$F$32)))</f>
        <v/>
      </c>
      <c r="U280" s="49">
        <f>IF(OR(A280="",D280=""),0,MAX(0,NETWORKDAYS(MAX(D280,DATE(Einstellungen!$C$3,10,1)),MIN(J280,DATE(Einstellungen!$C$3,11,0)),Einstellungen!$F$13:$F$32)))</f>
        <v/>
      </c>
      <c r="V280" s="49">
        <f>IF(OR(A280="",D280=""),0,MAX(0,NETWORKDAYS(MAX(D280,DATE(Einstellungen!$C$3,11,1)),MIN(J280,DATE(Einstellungen!$C$3,12,0)),Einstellungen!$F$13:$F$32)))</f>
        <v/>
      </c>
      <c r="W280" s="49">
        <f>IF(OR(A280="",D280=""),0,MAX(0,NETWORKDAYS(MAX(D280,DATE(Einstellungen!$C$3,12,1)),MIN(J280,DATE(Einstellungen!$C$3,13,0)),Einstellungen!$F$13:$F$32)))</f>
        <v/>
      </c>
      <c r="X280" s="50">
        <f>L280*K280</f>
        <v/>
      </c>
      <c r="Y280" s="50">
        <f>M280*K280</f>
        <v/>
      </c>
      <c r="Z280" s="50">
        <f>N280*K280</f>
        <v/>
      </c>
      <c r="AA280" s="50">
        <f>O280*K280</f>
        <v/>
      </c>
      <c r="AB280" s="50">
        <f>P280*K280</f>
        <v/>
      </c>
      <c r="AC280" s="50">
        <f>Q280*K280</f>
        <v/>
      </c>
      <c r="AD280" s="50">
        <f>R280*K280</f>
        <v/>
      </c>
      <c r="AE280" s="50">
        <f>S280*K280</f>
        <v/>
      </c>
      <c r="AF280" s="50">
        <f>T280*K280</f>
        <v/>
      </c>
      <c r="AG280" s="50">
        <f>U280*K280</f>
        <v/>
      </c>
      <c r="AH280" s="50">
        <f>V280*K280</f>
        <v/>
      </c>
      <c r="AI280" s="50">
        <f>W280*K280</f>
        <v/>
      </c>
    </row>
    <row r="281">
      <c r="A281" s="25" t="n"/>
      <c r="B281" s="45">
        <f>IF(A281="","",IFERROR(INDEX(Mitarbeiter!$B$6:$B$205,MATCH($A281,Mitarbeiter!$A$6:$A$205,0)),"?"))</f>
        <v/>
      </c>
      <c r="C281" s="46" t="n"/>
      <c r="D281" s="26" t="n"/>
      <c r="E281" s="26" t="n"/>
      <c r="F281" s="24">
        <f>IF(A281="","",SUM(L281:W281))</f>
        <v/>
      </c>
      <c r="G281" s="36">
        <f>IF(A281="","",SUM(X281:AI281))</f>
        <v/>
      </c>
      <c r="H281" s="8">
        <f>IF(A281="","",IF(ISNA(MATCH(A281,Mitarbeiter!$A$6:$A$205,0)),"Pers.-Nr. unbekannt",IF(D281="","Von fehlt",IF(AND(C281&lt;&gt;Einstellungen!$C$4,C281&lt;&gt;Einstellungen!$C$5),"Objekt fehlt",IF(J281&lt;D281,"Bis vor Von",IF(D281&lt;INDEX(Mitarbeiter!$C$6:$C$205,MATCH($A281,Mitarbeiter!$A$6:$A$205,0)),"vor Eintritt",IF(AND(INDEX(Mitarbeiter!$D$6:$D$205,MATCH($A281,Mitarbeiter!$A$6:$A$205,0))&lt;&gt;"",D281&gt;INDEX(Mitarbeiter!$D$6:$D$205,MATCH($A281,Mitarbeiter!$A$6:$A$205,0))),"nach Austritt",IF(E281="","offen","ok"))))))))</f>
        <v/>
      </c>
      <c r="J281" s="47">
        <f>IF(A281="","",IF(E281="",Einstellungen!$C$9,E281))</f>
        <v/>
      </c>
      <c r="K281" s="48">
        <f>IF(A281="",0,IFERROR(INDEX(Mitarbeiter!$F$6:$F$205,MATCH($A281,Mitarbeiter!$A$6:$A$205,0)),0))</f>
        <v/>
      </c>
      <c r="L281" s="49">
        <f>IF(OR(A281="",D281=""),0,MAX(0,NETWORKDAYS(MAX(D281,DATE(Einstellungen!$C$3,1,1)),MIN(J281,DATE(Einstellungen!$C$3,2,0)),Einstellungen!$F$13:$F$32)))</f>
        <v/>
      </c>
      <c r="M281" s="49">
        <f>IF(OR(A281="",D281=""),0,MAX(0,NETWORKDAYS(MAX(D281,DATE(Einstellungen!$C$3,2,1)),MIN(J281,DATE(Einstellungen!$C$3,3,0)),Einstellungen!$F$13:$F$32)))</f>
        <v/>
      </c>
      <c r="N281" s="49">
        <f>IF(OR(A281="",D281=""),0,MAX(0,NETWORKDAYS(MAX(D281,DATE(Einstellungen!$C$3,3,1)),MIN(J281,DATE(Einstellungen!$C$3,4,0)),Einstellungen!$F$13:$F$32)))</f>
        <v/>
      </c>
      <c r="O281" s="49">
        <f>IF(OR(A281="",D281=""),0,MAX(0,NETWORKDAYS(MAX(D281,DATE(Einstellungen!$C$3,4,1)),MIN(J281,DATE(Einstellungen!$C$3,5,0)),Einstellungen!$F$13:$F$32)))</f>
        <v/>
      </c>
      <c r="P281" s="49">
        <f>IF(OR(A281="",D281=""),0,MAX(0,NETWORKDAYS(MAX(D281,DATE(Einstellungen!$C$3,5,1)),MIN(J281,DATE(Einstellungen!$C$3,6,0)),Einstellungen!$F$13:$F$32)))</f>
        <v/>
      </c>
      <c r="Q281" s="49">
        <f>IF(OR(A281="",D281=""),0,MAX(0,NETWORKDAYS(MAX(D281,DATE(Einstellungen!$C$3,6,1)),MIN(J281,DATE(Einstellungen!$C$3,7,0)),Einstellungen!$F$13:$F$32)))</f>
        <v/>
      </c>
      <c r="R281" s="49">
        <f>IF(OR(A281="",D281=""),0,MAX(0,NETWORKDAYS(MAX(D281,DATE(Einstellungen!$C$3,7,1)),MIN(J281,DATE(Einstellungen!$C$3,8,0)),Einstellungen!$F$13:$F$32)))</f>
        <v/>
      </c>
      <c r="S281" s="49">
        <f>IF(OR(A281="",D281=""),0,MAX(0,NETWORKDAYS(MAX(D281,DATE(Einstellungen!$C$3,8,1)),MIN(J281,DATE(Einstellungen!$C$3,9,0)),Einstellungen!$F$13:$F$32)))</f>
        <v/>
      </c>
      <c r="T281" s="49">
        <f>IF(OR(A281="",D281=""),0,MAX(0,NETWORKDAYS(MAX(D281,DATE(Einstellungen!$C$3,9,1)),MIN(J281,DATE(Einstellungen!$C$3,10,0)),Einstellungen!$F$13:$F$32)))</f>
        <v/>
      </c>
      <c r="U281" s="49">
        <f>IF(OR(A281="",D281=""),0,MAX(0,NETWORKDAYS(MAX(D281,DATE(Einstellungen!$C$3,10,1)),MIN(J281,DATE(Einstellungen!$C$3,11,0)),Einstellungen!$F$13:$F$32)))</f>
        <v/>
      </c>
      <c r="V281" s="49">
        <f>IF(OR(A281="",D281=""),0,MAX(0,NETWORKDAYS(MAX(D281,DATE(Einstellungen!$C$3,11,1)),MIN(J281,DATE(Einstellungen!$C$3,12,0)),Einstellungen!$F$13:$F$32)))</f>
        <v/>
      </c>
      <c r="W281" s="49">
        <f>IF(OR(A281="",D281=""),0,MAX(0,NETWORKDAYS(MAX(D281,DATE(Einstellungen!$C$3,12,1)),MIN(J281,DATE(Einstellungen!$C$3,13,0)),Einstellungen!$F$13:$F$32)))</f>
        <v/>
      </c>
      <c r="X281" s="50">
        <f>L281*K281</f>
        <v/>
      </c>
      <c r="Y281" s="50">
        <f>M281*K281</f>
        <v/>
      </c>
      <c r="Z281" s="50">
        <f>N281*K281</f>
        <v/>
      </c>
      <c r="AA281" s="50">
        <f>O281*K281</f>
        <v/>
      </c>
      <c r="AB281" s="50">
        <f>P281*K281</f>
        <v/>
      </c>
      <c r="AC281" s="50">
        <f>Q281*K281</f>
        <v/>
      </c>
      <c r="AD281" s="50">
        <f>R281*K281</f>
        <v/>
      </c>
      <c r="AE281" s="50">
        <f>S281*K281</f>
        <v/>
      </c>
      <c r="AF281" s="50">
        <f>T281*K281</f>
        <v/>
      </c>
      <c r="AG281" s="50">
        <f>U281*K281</f>
        <v/>
      </c>
      <c r="AH281" s="50">
        <f>V281*K281</f>
        <v/>
      </c>
      <c r="AI281" s="50">
        <f>W281*K281</f>
        <v/>
      </c>
    </row>
    <row r="282">
      <c r="A282" s="25" t="n"/>
      <c r="B282" s="45">
        <f>IF(A282="","",IFERROR(INDEX(Mitarbeiter!$B$6:$B$205,MATCH($A282,Mitarbeiter!$A$6:$A$205,0)),"?"))</f>
        <v/>
      </c>
      <c r="C282" s="46" t="n"/>
      <c r="D282" s="26" t="n"/>
      <c r="E282" s="26" t="n"/>
      <c r="F282" s="24">
        <f>IF(A282="","",SUM(L282:W282))</f>
        <v/>
      </c>
      <c r="G282" s="36">
        <f>IF(A282="","",SUM(X282:AI282))</f>
        <v/>
      </c>
      <c r="H282" s="8">
        <f>IF(A282="","",IF(ISNA(MATCH(A282,Mitarbeiter!$A$6:$A$205,0)),"Pers.-Nr. unbekannt",IF(D282="","Von fehlt",IF(AND(C282&lt;&gt;Einstellungen!$C$4,C282&lt;&gt;Einstellungen!$C$5),"Objekt fehlt",IF(J282&lt;D282,"Bis vor Von",IF(D282&lt;INDEX(Mitarbeiter!$C$6:$C$205,MATCH($A282,Mitarbeiter!$A$6:$A$205,0)),"vor Eintritt",IF(AND(INDEX(Mitarbeiter!$D$6:$D$205,MATCH($A282,Mitarbeiter!$A$6:$A$205,0))&lt;&gt;"",D282&gt;INDEX(Mitarbeiter!$D$6:$D$205,MATCH($A282,Mitarbeiter!$A$6:$A$205,0))),"nach Austritt",IF(E282="","offen","ok"))))))))</f>
        <v/>
      </c>
      <c r="J282" s="47">
        <f>IF(A282="","",IF(E282="",Einstellungen!$C$9,E282))</f>
        <v/>
      </c>
      <c r="K282" s="48">
        <f>IF(A282="",0,IFERROR(INDEX(Mitarbeiter!$F$6:$F$205,MATCH($A282,Mitarbeiter!$A$6:$A$205,0)),0))</f>
        <v/>
      </c>
      <c r="L282" s="49">
        <f>IF(OR(A282="",D282=""),0,MAX(0,NETWORKDAYS(MAX(D282,DATE(Einstellungen!$C$3,1,1)),MIN(J282,DATE(Einstellungen!$C$3,2,0)),Einstellungen!$F$13:$F$32)))</f>
        <v/>
      </c>
      <c r="M282" s="49">
        <f>IF(OR(A282="",D282=""),0,MAX(0,NETWORKDAYS(MAX(D282,DATE(Einstellungen!$C$3,2,1)),MIN(J282,DATE(Einstellungen!$C$3,3,0)),Einstellungen!$F$13:$F$32)))</f>
        <v/>
      </c>
      <c r="N282" s="49">
        <f>IF(OR(A282="",D282=""),0,MAX(0,NETWORKDAYS(MAX(D282,DATE(Einstellungen!$C$3,3,1)),MIN(J282,DATE(Einstellungen!$C$3,4,0)),Einstellungen!$F$13:$F$32)))</f>
        <v/>
      </c>
      <c r="O282" s="49">
        <f>IF(OR(A282="",D282=""),0,MAX(0,NETWORKDAYS(MAX(D282,DATE(Einstellungen!$C$3,4,1)),MIN(J282,DATE(Einstellungen!$C$3,5,0)),Einstellungen!$F$13:$F$32)))</f>
        <v/>
      </c>
      <c r="P282" s="49">
        <f>IF(OR(A282="",D282=""),0,MAX(0,NETWORKDAYS(MAX(D282,DATE(Einstellungen!$C$3,5,1)),MIN(J282,DATE(Einstellungen!$C$3,6,0)),Einstellungen!$F$13:$F$32)))</f>
        <v/>
      </c>
      <c r="Q282" s="49">
        <f>IF(OR(A282="",D282=""),0,MAX(0,NETWORKDAYS(MAX(D282,DATE(Einstellungen!$C$3,6,1)),MIN(J282,DATE(Einstellungen!$C$3,7,0)),Einstellungen!$F$13:$F$32)))</f>
        <v/>
      </c>
      <c r="R282" s="49">
        <f>IF(OR(A282="",D282=""),0,MAX(0,NETWORKDAYS(MAX(D282,DATE(Einstellungen!$C$3,7,1)),MIN(J282,DATE(Einstellungen!$C$3,8,0)),Einstellungen!$F$13:$F$32)))</f>
        <v/>
      </c>
      <c r="S282" s="49">
        <f>IF(OR(A282="",D282=""),0,MAX(0,NETWORKDAYS(MAX(D282,DATE(Einstellungen!$C$3,8,1)),MIN(J282,DATE(Einstellungen!$C$3,9,0)),Einstellungen!$F$13:$F$32)))</f>
        <v/>
      </c>
      <c r="T282" s="49">
        <f>IF(OR(A282="",D282=""),0,MAX(0,NETWORKDAYS(MAX(D282,DATE(Einstellungen!$C$3,9,1)),MIN(J282,DATE(Einstellungen!$C$3,10,0)),Einstellungen!$F$13:$F$32)))</f>
        <v/>
      </c>
      <c r="U282" s="49">
        <f>IF(OR(A282="",D282=""),0,MAX(0,NETWORKDAYS(MAX(D282,DATE(Einstellungen!$C$3,10,1)),MIN(J282,DATE(Einstellungen!$C$3,11,0)),Einstellungen!$F$13:$F$32)))</f>
        <v/>
      </c>
      <c r="V282" s="49">
        <f>IF(OR(A282="",D282=""),0,MAX(0,NETWORKDAYS(MAX(D282,DATE(Einstellungen!$C$3,11,1)),MIN(J282,DATE(Einstellungen!$C$3,12,0)),Einstellungen!$F$13:$F$32)))</f>
        <v/>
      </c>
      <c r="W282" s="49">
        <f>IF(OR(A282="",D282=""),0,MAX(0,NETWORKDAYS(MAX(D282,DATE(Einstellungen!$C$3,12,1)),MIN(J282,DATE(Einstellungen!$C$3,13,0)),Einstellungen!$F$13:$F$32)))</f>
        <v/>
      </c>
      <c r="X282" s="50">
        <f>L282*K282</f>
        <v/>
      </c>
      <c r="Y282" s="50">
        <f>M282*K282</f>
        <v/>
      </c>
      <c r="Z282" s="50">
        <f>N282*K282</f>
        <v/>
      </c>
      <c r="AA282" s="50">
        <f>O282*K282</f>
        <v/>
      </c>
      <c r="AB282" s="50">
        <f>P282*K282</f>
        <v/>
      </c>
      <c r="AC282" s="50">
        <f>Q282*K282</f>
        <v/>
      </c>
      <c r="AD282" s="50">
        <f>R282*K282</f>
        <v/>
      </c>
      <c r="AE282" s="50">
        <f>S282*K282</f>
        <v/>
      </c>
      <c r="AF282" s="50">
        <f>T282*K282</f>
        <v/>
      </c>
      <c r="AG282" s="50">
        <f>U282*K282</f>
        <v/>
      </c>
      <c r="AH282" s="50">
        <f>V282*K282</f>
        <v/>
      </c>
      <c r="AI282" s="50">
        <f>W282*K282</f>
        <v/>
      </c>
    </row>
    <row r="283">
      <c r="A283" s="25" t="n"/>
      <c r="B283" s="45">
        <f>IF(A283="","",IFERROR(INDEX(Mitarbeiter!$B$6:$B$205,MATCH($A283,Mitarbeiter!$A$6:$A$205,0)),"?"))</f>
        <v/>
      </c>
      <c r="C283" s="46" t="n"/>
      <c r="D283" s="26" t="n"/>
      <c r="E283" s="26" t="n"/>
      <c r="F283" s="24">
        <f>IF(A283="","",SUM(L283:W283))</f>
        <v/>
      </c>
      <c r="G283" s="36">
        <f>IF(A283="","",SUM(X283:AI283))</f>
        <v/>
      </c>
      <c r="H283" s="8">
        <f>IF(A283="","",IF(ISNA(MATCH(A283,Mitarbeiter!$A$6:$A$205,0)),"Pers.-Nr. unbekannt",IF(D283="","Von fehlt",IF(AND(C283&lt;&gt;Einstellungen!$C$4,C283&lt;&gt;Einstellungen!$C$5),"Objekt fehlt",IF(J283&lt;D283,"Bis vor Von",IF(D283&lt;INDEX(Mitarbeiter!$C$6:$C$205,MATCH($A283,Mitarbeiter!$A$6:$A$205,0)),"vor Eintritt",IF(AND(INDEX(Mitarbeiter!$D$6:$D$205,MATCH($A283,Mitarbeiter!$A$6:$A$205,0))&lt;&gt;"",D283&gt;INDEX(Mitarbeiter!$D$6:$D$205,MATCH($A283,Mitarbeiter!$A$6:$A$205,0))),"nach Austritt",IF(E283="","offen","ok"))))))))</f>
        <v/>
      </c>
      <c r="J283" s="47">
        <f>IF(A283="","",IF(E283="",Einstellungen!$C$9,E283))</f>
        <v/>
      </c>
      <c r="K283" s="48">
        <f>IF(A283="",0,IFERROR(INDEX(Mitarbeiter!$F$6:$F$205,MATCH($A283,Mitarbeiter!$A$6:$A$205,0)),0))</f>
        <v/>
      </c>
      <c r="L283" s="49">
        <f>IF(OR(A283="",D283=""),0,MAX(0,NETWORKDAYS(MAX(D283,DATE(Einstellungen!$C$3,1,1)),MIN(J283,DATE(Einstellungen!$C$3,2,0)),Einstellungen!$F$13:$F$32)))</f>
        <v/>
      </c>
      <c r="M283" s="49">
        <f>IF(OR(A283="",D283=""),0,MAX(0,NETWORKDAYS(MAX(D283,DATE(Einstellungen!$C$3,2,1)),MIN(J283,DATE(Einstellungen!$C$3,3,0)),Einstellungen!$F$13:$F$32)))</f>
        <v/>
      </c>
      <c r="N283" s="49">
        <f>IF(OR(A283="",D283=""),0,MAX(0,NETWORKDAYS(MAX(D283,DATE(Einstellungen!$C$3,3,1)),MIN(J283,DATE(Einstellungen!$C$3,4,0)),Einstellungen!$F$13:$F$32)))</f>
        <v/>
      </c>
      <c r="O283" s="49">
        <f>IF(OR(A283="",D283=""),0,MAX(0,NETWORKDAYS(MAX(D283,DATE(Einstellungen!$C$3,4,1)),MIN(J283,DATE(Einstellungen!$C$3,5,0)),Einstellungen!$F$13:$F$32)))</f>
        <v/>
      </c>
      <c r="P283" s="49">
        <f>IF(OR(A283="",D283=""),0,MAX(0,NETWORKDAYS(MAX(D283,DATE(Einstellungen!$C$3,5,1)),MIN(J283,DATE(Einstellungen!$C$3,6,0)),Einstellungen!$F$13:$F$32)))</f>
        <v/>
      </c>
      <c r="Q283" s="49">
        <f>IF(OR(A283="",D283=""),0,MAX(0,NETWORKDAYS(MAX(D283,DATE(Einstellungen!$C$3,6,1)),MIN(J283,DATE(Einstellungen!$C$3,7,0)),Einstellungen!$F$13:$F$32)))</f>
        <v/>
      </c>
      <c r="R283" s="49">
        <f>IF(OR(A283="",D283=""),0,MAX(0,NETWORKDAYS(MAX(D283,DATE(Einstellungen!$C$3,7,1)),MIN(J283,DATE(Einstellungen!$C$3,8,0)),Einstellungen!$F$13:$F$32)))</f>
        <v/>
      </c>
      <c r="S283" s="49">
        <f>IF(OR(A283="",D283=""),0,MAX(0,NETWORKDAYS(MAX(D283,DATE(Einstellungen!$C$3,8,1)),MIN(J283,DATE(Einstellungen!$C$3,9,0)),Einstellungen!$F$13:$F$32)))</f>
        <v/>
      </c>
      <c r="T283" s="49">
        <f>IF(OR(A283="",D283=""),0,MAX(0,NETWORKDAYS(MAX(D283,DATE(Einstellungen!$C$3,9,1)),MIN(J283,DATE(Einstellungen!$C$3,10,0)),Einstellungen!$F$13:$F$32)))</f>
        <v/>
      </c>
      <c r="U283" s="49">
        <f>IF(OR(A283="",D283=""),0,MAX(0,NETWORKDAYS(MAX(D283,DATE(Einstellungen!$C$3,10,1)),MIN(J283,DATE(Einstellungen!$C$3,11,0)),Einstellungen!$F$13:$F$32)))</f>
        <v/>
      </c>
      <c r="V283" s="49">
        <f>IF(OR(A283="",D283=""),0,MAX(0,NETWORKDAYS(MAX(D283,DATE(Einstellungen!$C$3,11,1)),MIN(J283,DATE(Einstellungen!$C$3,12,0)),Einstellungen!$F$13:$F$32)))</f>
        <v/>
      </c>
      <c r="W283" s="49">
        <f>IF(OR(A283="",D283=""),0,MAX(0,NETWORKDAYS(MAX(D283,DATE(Einstellungen!$C$3,12,1)),MIN(J283,DATE(Einstellungen!$C$3,13,0)),Einstellungen!$F$13:$F$32)))</f>
        <v/>
      </c>
      <c r="X283" s="50">
        <f>L283*K283</f>
        <v/>
      </c>
      <c r="Y283" s="50">
        <f>M283*K283</f>
        <v/>
      </c>
      <c r="Z283" s="50">
        <f>N283*K283</f>
        <v/>
      </c>
      <c r="AA283" s="50">
        <f>O283*K283</f>
        <v/>
      </c>
      <c r="AB283" s="50">
        <f>P283*K283</f>
        <v/>
      </c>
      <c r="AC283" s="50">
        <f>Q283*K283</f>
        <v/>
      </c>
      <c r="AD283" s="50">
        <f>R283*K283</f>
        <v/>
      </c>
      <c r="AE283" s="50">
        <f>S283*K283</f>
        <v/>
      </c>
      <c r="AF283" s="50">
        <f>T283*K283</f>
        <v/>
      </c>
      <c r="AG283" s="50">
        <f>U283*K283</f>
        <v/>
      </c>
      <c r="AH283" s="50">
        <f>V283*K283</f>
        <v/>
      </c>
      <c r="AI283" s="50">
        <f>W283*K283</f>
        <v/>
      </c>
    </row>
    <row r="284">
      <c r="A284" s="25" t="n"/>
      <c r="B284" s="45">
        <f>IF(A284="","",IFERROR(INDEX(Mitarbeiter!$B$6:$B$205,MATCH($A284,Mitarbeiter!$A$6:$A$205,0)),"?"))</f>
        <v/>
      </c>
      <c r="C284" s="46" t="n"/>
      <c r="D284" s="26" t="n"/>
      <c r="E284" s="26" t="n"/>
      <c r="F284" s="24">
        <f>IF(A284="","",SUM(L284:W284))</f>
        <v/>
      </c>
      <c r="G284" s="36">
        <f>IF(A284="","",SUM(X284:AI284))</f>
        <v/>
      </c>
      <c r="H284" s="8">
        <f>IF(A284="","",IF(ISNA(MATCH(A284,Mitarbeiter!$A$6:$A$205,0)),"Pers.-Nr. unbekannt",IF(D284="","Von fehlt",IF(AND(C284&lt;&gt;Einstellungen!$C$4,C284&lt;&gt;Einstellungen!$C$5),"Objekt fehlt",IF(J284&lt;D284,"Bis vor Von",IF(D284&lt;INDEX(Mitarbeiter!$C$6:$C$205,MATCH($A284,Mitarbeiter!$A$6:$A$205,0)),"vor Eintritt",IF(AND(INDEX(Mitarbeiter!$D$6:$D$205,MATCH($A284,Mitarbeiter!$A$6:$A$205,0))&lt;&gt;"",D284&gt;INDEX(Mitarbeiter!$D$6:$D$205,MATCH($A284,Mitarbeiter!$A$6:$A$205,0))),"nach Austritt",IF(E284="","offen","ok"))))))))</f>
        <v/>
      </c>
      <c r="J284" s="47">
        <f>IF(A284="","",IF(E284="",Einstellungen!$C$9,E284))</f>
        <v/>
      </c>
      <c r="K284" s="48">
        <f>IF(A284="",0,IFERROR(INDEX(Mitarbeiter!$F$6:$F$205,MATCH($A284,Mitarbeiter!$A$6:$A$205,0)),0))</f>
        <v/>
      </c>
      <c r="L284" s="49">
        <f>IF(OR(A284="",D284=""),0,MAX(0,NETWORKDAYS(MAX(D284,DATE(Einstellungen!$C$3,1,1)),MIN(J284,DATE(Einstellungen!$C$3,2,0)),Einstellungen!$F$13:$F$32)))</f>
        <v/>
      </c>
      <c r="M284" s="49">
        <f>IF(OR(A284="",D284=""),0,MAX(0,NETWORKDAYS(MAX(D284,DATE(Einstellungen!$C$3,2,1)),MIN(J284,DATE(Einstellungen!$C$3,3,0)),Einstellungen!$F$13:$F$32)))</f>
        <v/>
      </c>
      <c r="N284" s="49">
        <f>IF(OR(A284="",D284=""),0,MAX(0,NETWORKDAYS(MAX(D284,DATE(Einstellungen!$C$3,3,1)),MIN(J284,DATE(Einstellungen!$C$3,4,0)),Einstellungen!$F$13:$F$32)))</f>
        <v/>
      </c>
      <c r="O284" s="49">
        <f>IF(OR(A284="",D284=""),0,MAX(0,NETWORKDAYS(MAX(D284,DATE(Einstellungen!$C$3,4,1)),MIN(J284,DATE(Einstellungen!$C$3,5,0)),Einstellungen!$F$13:$F$32)))</f>
        <v/>
      </c>
      <c r="P284" s="49">
        <f>IF(OR(A284="",D284=""),0,MAX(0,NETWORKDAYS(MAX(D284,DATE(Einstellungen!$C$3,5,1)),MIN(J284,DATE(Einstellungen!$C$3,6,0)),Einstellungen!$F$13:$F$32)))</f>
        <v/>
      </c>
      <c r="Q284" s="49">
        <f>IF(OR(A284="",D284=""),0,MAX(0,NETWORKDAYS(MAX(D284,DATE(Einstellungen!$C$3,6,1)),MIN(J284,DATE(Einstellungen!$C$3,7,0)),Einstellungen!$F$13:$F$32)))</f>
        <v/>
      </c>
      <c r="R284" s="49">
        <f>IF(OR(A284="",D284=""),0,MAX(0,NETWORKDAYS(MAX(D284,DATE(Einstellungen!$C$3,7,1)),MIN(J284,DATE(Einstellungen!$C$3,8,0)),Einstellungen!$F$13:$F$32)))</f>
        <v/>
      </c>
      <c r="S284" s="49">
        <f>IF(OR(A284="",D284=""),0,MAX(0,NETWORKDAYS(MAX(D284,DATE(Einstellungen!$C$3,8,1)),MIN(J284,DATE(Einstellungen!$C$3,9,0)),Einstellungen!$F$13:$F$32)))</f>
        <v/>
      </c>
      <c r="T284" s="49">
        <f>IF(OR(A284="",D284=""),0,MAX(0,NETWORKDAYS(MAX(D284,DATE(Einstellungen!$C$3,9,1)),MIN(J284,DATE(Einstellungen!$C$3,10,0)),Einstellungen!$F$13:$F$32)))</f>
        <v/>
      </c>
      <c r="U284" s="49">
        <f>IF(OR(A284="",D284=""),0,MAX(0,NETWORKDAYS(MAX(D284,DATE(Einstellungen!$C$3,10,1)),MIN(J284,DATE(Einstellungen!$C$3,11,0)),Einstellungen!$F$13:$F$32)))</f>
        <v/>
      </c>
      <c r="V284" s="49">
        <f>IF(OR(A284="",D284=""),0,MAX(0,NETWORKDAYS(MAX(D284,DATE(Einstellungen!$C$3,11,1)),MIN(J284,DATE(Einstellungen!$C$3,12,0)),Einstellungen!$F$13:$F$32)))</f>
        <v/>
      </c>
      <c r="W284" s="49">
        <f>IF(OR(A284="",D284=""),0,MAX(0,NETWORKDAYS(MAX(D284,DATE(Einstellungen!$C$3,12,1)),MIN(J284,DATE(Einstellungen!$C$3,13,0)),Einstellungen!$F$13:$F$32)))</f>
        <v/>
      </c>
      <c r="X284" s="50">
        <f>L284*K284</f>
        <v/>
      </c>
      <c r="Y284" s="50">
        <f>M284*K284</f>
        <v/>
      </c>
      <c r="Z284" s="50">
        <f>N284*K284</f>
        <v/>
      </c>
      <c r="AA284" s="50">
        <f>O284*K284</f>
        <v/>
      </c>
      <c r="AB284" s="50">
        <f>P284*K284</f>
        <v/>
      </c>
      <c r="AC284" s="50">
        <f>Q284*K284</f>
        <v/>
      </c>
      <c r="AD284" s="50">
        <f>R284*K284</f>
        <v/>
      </c>
      <c r="AE284" s="50">
        <f>S284*K284</f>
        <v/>
      </c>
      <c r="AF284" s="50">
        <f>T284*K284</f>
        <v/>
      </c>
      <c r="AG284" s="50">
        <f>U284*K284</f>
        <v/>
      </c>
      <c r="AH284" s="50">
        <f>V284*K284</f>
        <v/>
      </c>
      <c r="AI284" s="50">
        <f>W284*K284</f>
        <v/>
      </c>
    </row>
    <row r="285">
      <c r="A285" s="25" t="n"/>
      <c r="B285" s="45">
        <f>IF(A285="","",IFERROR(INDEX(Mitarbeiter!$B$6:$B$205,MATCH($A285,Mitarbeiter!$A$6:$A$205,0)),"?"))</f>
        <v/>
      </c>
      <c r="C285" s="46" t="n"/>
      <c r="D285" s="26" t="n"/>
      <c r="E285" s="26" t="n"/>
      <c r="F285" s="24">
        <f>IF(A285="","",SUM(L285:W285))</f>
        <v/>
      </c>
      <c r="G285" s="36">
        <f>IF(A285="","",SUM(X285:AI285))</f>
        <v/>
      </c>
      <c r="H285" s="8">
        <f>IF(A285="","",IF(ISNA(MATCH(A285,Mitarbeiter!$A$6:$A$205,0)),"Pers.-Nr. unbekannt",IF(D285="","Von fehlt",IF(AND(C285&lt;&gt;Einstellungen!$C$4,C285&lt;&gt;Einstellungen!$C$5),"Objekt fehlt",IF(J285&lt;D285,"Bis vor Von",IF(D285&lt;INDEX(Mitarbeiter!$C$6:$C$205,MATCH($A285,Mitarbeiter!$A$6:$A$205,0)),"vor Eintritt",IF(AND(INDEX(Mitarbeiter!$D$6:$D$205,MATCH($A285,Mitarbeiter!$A$6:$A$205,0))&lt;&gt;"",D285&gt;INDEX(Mitarbeiter!$D$6:$D$205,MATCH($A285,Mitarbeiter!$A$6:$A$205,0))),"nach Austritt",IF(E285="","offen","ok"))))))))</f>
        <v/>
      </c>
      <c r="J285" s="47">
        <f>IF(A285="","",IF(E285="",Einstellungen!$C$9,E285))</f>
        <v/>
      </c>
      <c r="K285" s="48">
        <f>IF(A285="",0,IFERROR(INDEX(Mitarbeiter!$F$6:$F$205,MATCH($A285,Mitarbeiter!$A$6:$A$205,0)),0))</f>
        <v/>
      </c>
      <c r="L285" s="49">
        <f>IF(OR(A285="",D285=""),0,MAX(0,NETWORKDAYS(MAX(D285,DATE(Einstellungen!$C$3,1,1)),MIN(J285,DATE(Einstellungen!$C$3,2,0)),Einstellungen!$F$13:$F$32)))</f>
        <v/>
      </c>
      <c r="M285" s="49">
        <f>IF(OR(A285="",D285=""),0,MAX(0,NETWORKDAYS(MAX(D285,DATE(Einstellungen!$C$3,2,1)),MIN(J285,DATE(Einstellungen!$C$3,3,0)),Einstellungen!$F$13:$F$32)))</f>
        <v/>
      </c>
      <c r="N285" s="49">
        <f>IF(OR(A285="",D285=""),0,MAX(0,NETWORKDAYS(MAX(D285,DATE(Einstellungen!$C$3,3,1)),MIN(J285,DATE(Einstellungen!$C$3,4,0)),Einstellungen!$F$13:$F$32)))</f>
        <v/>
      </c>
      <c r="O285" s="49">
        <f>IF(OR(A285="",D285=""),0,MAX(0,NETWORKDAYS(MAX(D285,DATE(Einstellungen!$C$3,4,1)),MIN(J285,DATE(Einstellungen!$C$3,5,0)),Einstellungen!$F$13:$F$32)))</f>
        <v/>
      </c>
      <c r="P285" s="49">
        <f>IF(OR(A285="",D285=""),0,MAX(0,NETWORKDAYS(MAX(D285,DATE(Einstellungen!$C$3,5,1)),MIN(J285,DATE(Einstellungen!$C$3,6,0)),Einstellungen!$F$13:$F$32)))</f>
        <v/>
      </c>
      <c r="Q285" s="49">
        <f>IF(OR(A285="",D285=""),0,MAX(0,NETWORKDAYS(MAX(D285,DATE(Einstellungen!$C$3,6,1)),MIN(J285,DATE(Einstellungen!$C$3,7,0)),Einstellungen!$F$13:$F$32)))</f>
        <v/>
      </c>
      <c r="R285" s="49">
        <f>IF(OR(A285="",D285=""),0,MAX(0,NETWORKDAYS(MAX(D285,DATE(Einstellungen!$C$3,7,1)),MIN(J285,DATE(Einstellungen!$C$3,8,0)),Einstellungen!$F$13:$F$32)))</f>
        <v/>
      </c>
      <c r="S285" s="49">
        <f>IF(OR(A285="",D285=""),0,MAX(0,NETWORKDAYS(MAX(D285,DATE(Einstellungen!$C$3,8,1)),MIN(J285,DATE(Einstellungen!$C$3,9,0)),Einstellungen!$F$13:$F$32)))</f>
        <v/>
      </c>
      <c r="T285" s="49">
        <f>IF(OR(A285="",D285=""),0,MAX(0,NETWORKDAYS(MAX(D285,DATE(Einstellungen!$C$3,9,1)),MIN(J285,DATE(Einstellungen!$C$3,10,0)),Einstellungen!$F$13:$F$32)))</f>
        <v/>
      </c>
      <c r="U285" s="49">
        <f>IF(OR(A285="",D285=""),0,MAX(0,NETWORKDAYS(MAX(D285,DATE(Einstellungen!$C$3,10,1)),MIN(J285,DATE(Einstellungen!$C$3,11,0)),Einstellungen!$F$13:$F$32)))</f>
        <v/>
      </c>
      <c r="V285" s="49">
        <f>IF(OR(A285="",D285=""),0,MAX(0,NETWORKDAYS(MAX(D285,DATE(Einstellungen!$C$3,11,1)),MIN(J285,DATE(Einstellungen!$C$3,12,0)),Einstellungen!$F$13:$F$32)))</f>
        <v/>
      </c>
      <c r="W285" s="49">
        <f>IF(OR(A285="",D285=""),0,MAX(0,NETWORKDAYS(MAX(D285,DATE(Einstellungen!$C$3,12,1)),MIN(J285,DATE(Einstellungen!$C$3,13,0)),Einstellungen!$F$13:$F$32)))</f>
        <v/>
      </c>
      <c r="X285" s="50">
        <f>L285*K285</f>
        <v/>
      </c>
      <c r="Y285" s="50">
        <f>M285*K285</f>
        <v/>
      </c>
      <c r="Z285" s="50">
        <f>N285*K285</f>
        <v/>
      </c>
      <c r="AA285" s="50">
        <f>O285*K285</f>
        <v/>
      </c>
      <c r="AB285" s="50">
        <f>P285*K285</f>
        <v/>
      </c>
      <c r="AC285" s="50">
        <f>Q285*K285</f>
        <v/>
      </c>
      <c r="AD285" s="50">
        <f>R285*K285</f>
        <v/>
      </c>
      <c r="AE285" s="50">
        <f>S285*K285</f>
        <v/>
      </c>
      <c r="AF285" s="50">
        <f>T285*K285</f>
        <v/>
      </c>
      <c r="AG285" s="50">
        <f>U285*K285</f>
        <v/>
      </c>
      <c r="AH285" s="50">
        <f>V285*K285</f>
        <v/>
      </c>
      <c r="AI285" s="50">
        <f>W285*K285</f>
        <v/>
      </c>
    </row>
    <row r="286">
      <c r="A286" s="25" t="n"/>
      <c r="B286" s="45">
        <f>IF(A286="","",IFERROR(INDEX(Mitarbeiter!$B$6:$B$205,MATCH($A286,Mitarbeiter!$A$6:$A$205,0)),"?"))</f>
        <v/>
      </c>
      <c r="C286" s="46" t="n"/>
      <c r="D286" s="26" t="n"/>
      <c r="E286" s="26" t="n"/>
      <c r="F286" s="24">
        <f>IF(A286="","",SUM(L286:W286))</f>
        <v/>
      </c>
      <c r="G286" s="36">
        <f>IF(A286="","",SUM(X286:AI286))</f>
        <v/>
      </c>
      <c r="H286" s="8">
        <f>IF(A286="","",IF(ISNA(MATCH(A286,Mitarbeiter!$A$6:$A$205,0)),"Pers.-Nr. unbekannt",IF(D286="","Von fehlt",IF(AND(C286&lt;&gt;Einstellungen!$C$4,C286&lt;&gt;Einstellungen!$C$5),"Objekt fehlt",IF(J286&lt;D286,"Bis vor Von",IF(D286&lt;INDEX(Mitarbeiter!$C$6:$C$205,MATCH($A286,Mitarbeiter!$A$6:$A$205,0)),"vor Eintritt",IF(AND(INDEX(Mitarbeiter!$D$6:$D$205,MATCH($A286,Mitarbeiter!$A$6:$A$205,0))&lt;&gt;"",D286&gt;INDEX(Mitarbeiter!$D$6:$D$205,MATCH($A286,Mitarbeiter!$A$6:$A$205,0))),"nach Austritt",IF(E286="","offen","ok"))))))))</f>
        <v/>
      </c>
      <c r="J286" s="47">
        <f>IF(A286="","",IF(E286="",Einstellungen!$C$9,E286))</f>
        <v/>
      </c>
      <c r="K286" s="48">
        <f>IF(A286="",0,IFERROR(INDEX(Mitarbeiter!$F$6:$F$205,MATCH($A286,Mitarbeiter!$A$6:$A$205,0)),0))</f>
        <v/>
      </c>
      <c r="L286" s="49">
        <f>IF(OR(A286="",D286=""),0,MAX(0,NETWORKDAYS(MAX(D286,DATE(Einstellungen!$C$3,1,1)),MIN(J286,DATE(Einstellungen!$C$3,2,0)),Einstellungen!$F$13:$F$32)))</f>
        <v/>
      </c>
      <c r="M286" s="49">
        <f>IF(OR(A286="",D286=""),0,MAX(0,NETWORKDAYS(MAX(D286,DATE(Einstellungen!$C$3,2,1)),MIN(J286,DATE(Einstellungen!$C$3,3,0)),Einstellungen!$F$13:$F$32)))</f>
        <v/>
      </c>
      <c r="N286" s="49">
        <f>IF(OR(A286="",D286=""),0,MAX(0,NETWORKDAYS(MAX(D286,DATE(Einstellungen!$C$3,3,1)),MIN(J286,DATE(Einstellungen!$C$3,4,0)),Einstellungen!$F$13:$F$32)))</f>
        <v/>
      </c>
      <c r="O286" s="49">
        <f>IF(OR(A286="",D286=""),0,MAX(0,NETWORKDAYS(MAX(D286,DATE(Einstellungen!$C$3,4,1)),MIN(J286,DATE(Einstellungen!$C$3,5,0)),Einstellungen!$F$13:$F$32)))</f>
        <v/>
      </c>
      <c r="P286" s="49">
        <f>IF(OR(A286="",D286=""),0,MAX(0,NETWORKDAYS(MAX(D286,DATE(Einstellungen!$C$3,5,1)),MIN(J286,DATE(Einstellungen!$C$3,6,0)),Einstellungen!$F$13:$F$32)))</f>
        <v/>
      </c>
      <c r="Q286" s="49">
        <f>IF(OR(A286="",D286=""),0,MAX(0,NETWORKDAYS(MAX(D286,DATE(Einstellungen!$C$3,6,1)),MIN(J286,DATE(Einstellungen!$C$3,7,0)),Einstellungen!$F$13:$F$32)))</f>
        <v/>
      </c>
      <c r="R286" s="49">
        <f>IF(OR(A286="",D286=""),0,MAX(0,NETWORKDAYS(MAX(D286,DATE(Einstellungen!$C$3,7,1)),MIN(J286,DATE(Einstellungen!$C$3,8,0)),Einstellungen!$F$13:$F$32)))</f>
        <v/>
      </c>
      <c r="S286" s="49">
        <f>IF(OR(A286="",D286=""),0,MAX(0,NETWORKDAYS(MAX(D286,DATE(Einstellungen!$C$3,8,1)),MIN(J286,DATE(Einstellungen!$C$3,9,0)),Einstellungen!$F$13:$F$32)))</f>
        <v/>
      </c>
      <c r="T286" s="49">
        <f>IF(OR(A286="",D286=""),0,MAX(0,NETWORKDAYS(MAX(D286,DATE(Einstellungen!$C$3,9,1)),MIN(J286,DATE(Einstellungen!$C$3,10,0)),Einstellungen!$F$13:$F$32)))</f>
        <v/>
      </c>
      <c r="U286" s="49">
        <f>IF(OR(A286="",D286=""),0,MAX(0,NETWORKDAYS(MAX(D286,DATE(Einstellungen!$C$3,10,1)),MIN(J286,DATE(Einstellungen!$C$3,11,0)),Einstellungen!$F$13:$F$32)))</f>
        <v/>
      </c>
      <c r="V286" s="49">
        <f>IF(OR(A286="",D286=""),0,MAX(0,NETWORKDAYS(MAX(D286,DATE(Einstellungen!$C$3,11,1)),MIN(J286,DATE(Einstellungen!$C$3,12,0)),Einstellungen!$F$13:$F$32)))</f>
        <v/>
      </c>
      <c r="W286" s="49">
        <f>IF(OR(A286="",D286=""),0,MAX(0,NETWORKDAYS(MAX(D286,DATE(Einstellungen!$C$3,12,1)),MIN(J286,DATE(Einstellungen!$C$3,13,0)),Einstellungen!$F$13:$F$32)))</f>
        <v/>
      </c>
      <c r="X286" s="50">
        <f>L286*K286</f>
        <v/>
      </c>
      <c r="Y286" s="50">
        <f>M286*K286</f>
        <v/>
      </c>
      <c r="Z286" s="50">
        <f>N286*K286</f>
        <v/>
      </c>
      <c r="AA286" s="50">
        <f>O286*K286</f>
        <v/>
      </c>
      <c r="AB286" s="50">
        <f>P286*K286</f>
        <v/>
      </c>
      <c r="AC286" s="50">
        <f>Q286*K286</f>
        <v/>
      </c>
      <c r="AD286" s="50">
        <f>R286*K286</f>
        <v/>
      </c>
      <c r="AE286" s="50">
        <f>S286*K286</f>
        <v/>
      </c>
      <c r="AF286" s="50">
        <f>T286*K286</f>
        <v/>
      </c>
      <c r="AG286" s="50">
        <f>U286*K286</f>
        <v/>
      </c>
      <c r="AH286" s="50">
        <f>V286*K286</f>
        <v/>
      </c>
      <c r="AI286" s="50">
        <f>W286*K286</f>
        <v/>
      </c>
    </row>
    <row r="287">
      <c r="A287" s="25" t="n"/>
      <c r="B287" s="45">
        <f>IF(A287="","",IFERROR(INDEX(Mitarbeiter!$B$6:$B$205,MATCH($A287,Mitarbeiter!$A$6:$A$205,0)),"?"))</f>
        <v/>
      </c>
      <c r="C287" s="46" t="n"/>
      <c r="D287" s="26" t="n"/>
      <c r="E287" s="26" t="n"/>
      <c r="F287" s="24">
        <f>IF(A287="","",SUM(L287:W287))</f>
        <v/>
      </c>
      <c r="G287" s="36">
        <f>IF(A287="","",SUM(X287:AI287))</f>
        <v/>
      </c>
      <c r="H287" s="8">
        <f>IF(A287="","",IF(ISNA(MATCH(A287,Mitarbeiter!$A$6:$A$205,0)),"Pers.-Nr. unbekannt",IF(D287="","Von fehlt",IF(AND(C287&lt;&gt;Einstellungen!$C$4,C287&lt;&gt;Einstellungen!$C$5),"Objekt fehlt",IF(J287&lt;D287,"Bis vor Von",IF(D287&lt;INDEX(Mitarbeiter!$C$6:$C$205,MATCH($A287,Mitarbeiter!$A$6:$A$205,0)),"vor Eintritt",IF(AND(INDEX(Mitarbeiter!$D$6:$D$205,MATCH($A287,Mitarbeiter!$A$6:$A$205,0))&lt;&gt;"",D287&gt;INDEX(Mitarbeiter!$D$6:$D$205,MATCH($A287,Mitarbeiter!$A$6:$A$205,0))),"nach Austritt",IF(E287="","offen","ok"))))))))</f>
        <v/>
      </c>
      <c r="J287" s="47">
        <f>IF(A287="","",IF(E287="",Einstellungen!$C$9,E287))</f>
        <v/>
      </c>
      <c r="K287" s="48">
        <f>IF(A287="",0,IFERROR(INDEX(Mitarbeiter!$F$6:$F$205,MATCH($A287,Mitarbeiter!$A$6:$A$205,0)),0))</f>
        <v/>
      </c>
      <c r="L287" s="49">
        <f>IF(OR(A287="",D287=""),0,MAX(0,NETWORKDAYS(MAX(D287,DATE(Einstellungen!$C$3,1,1)),MIN(J287,DATE(Einstellungen!$C$3,2,0)),Einstellungen!$F$13:$F$32)))</f>
        <v/>
      </c>
      <c r="M287" s="49">
        <f>IF(OR(A287="",D287=""),0,MAX(0,NETWORKDAYS(MAX(D287,DATE(Einstellungen!$C$3,2,1)),MIN(J287,DATE(Einstellungen!$C$3,3,0)),Einstellungen!$F$13:$F$32)))</f>
        <v/>
      </c>
      <c r="N287" s="49">
        <f>IF(OR(A287="",D287=""),0,MAX(0,NETWORKDAYS(MAX(D287,DATE(Einstellungen!$C$3,3,1)),MIN(J287,DATE(Einstellungen!$C$3,4,0)),Einstellungen!$F$13:$F$32)))</f>
        <v/>
      </c>
      <c r="O287" s="49">
        <f>IF(OR(A287="",D287=""),0,MAX(0,NETWORKDAYS(MAX(D287,DATE(Einstellungen!$C$3,4,1)),MIN(J287,DATE(Einstellungen!$C$3,5,0)),Einstellungen!$F$13:$F$32)))</f>
        <v/>
      </c>
      <c r="P287" s="49">
        <f>IF(OR(A287="",D287=""),0,MAX(0,NETWORKDAYS(MAX(D287,DATE(Einstellungen!$C$3,5,1)),MIN(J287,DATE(Einstellungen!$C$3,6,0)),Einstellungen!$F$13:$F$32)))</f>
        <v/>
      </c>
      <c r="Q287" s="49">
        <f>IF(OR(A287="",D287=""),0,MAX(0,NETWORKDAYS(MAX(D287,DATE(Einstellungen!$C$3,6,1)),MIN(J287,DATE(Einstellungen!$C$3,7,0)),Einstellungen!$F$13:$F$32)))</f>
        <v/>
      </c>
      <c r="R287" s="49">
        <f>IF(OR(A287="",D287=""),0,MAX(0,NETWORKDAYS(MAX(D287,DATE(Einstellungen!$C$3,7,1)),MIN(J287,DATE(Einstellungen!$C$3,8,0)),Einstellungen!$F$13:$F$32)))</f>
        <v/>
      </c>
      <c r="S287" s="49">
        <f>IF(OR(A287="",D287=""),0,MAX(0,NETWORKDAYS(MAX(D287,DATE(Einstellungen!$C$3,8,1)),MIN(J287,DATE(Einstellungen!$C$3,9,0)),Einstellungen!$F$13:$F$32)))</f>
        <v/>
      </c>
      <c r="T287" s="49">
        <f>IF(OR(A287="",D287=""),0,MAX(0,NETWORKDAYS(MAX(D287,DATE(Einstellungen!$C$3,9,1)),MIN(J287,DATE(Einstellungen!$C$3,10,0)),Einstellungen!$F$13:$F$32)))</f>
        <v/>
      </c>
      <c r="U287" s="49">
        <f>IF(OR(A287="",D287=""),0,MAX(0,NETWORKDAYS(MAX(D287,DATE(Einstellungen!$C$3,10,1)),MIN(J287,DATE(Einstellungen!$C$3,11,0)),Einstellungen!$F$13:$F$32)))</f>
        <v/>
      </c>
      <c r="V287" s="49">
        <f>IF(OR(A287="",D287=""),0,MAX(0,NETWORKDAYS(MAX(D287,DATE(Einstellungen!$C$3,11,1)),MIN(J287,DATE(Einstellungen!$C$3,12,0)),Einstellungen!$F$13:$F$32)))</f>
        <v/>
      </c>
      <c r="W287" s="49">
        <f>IF(OR(A287="",D287=""),0,MAX(0,NETWORKDAYS(MAX(D287,DATE(Einstellungen!$C$3,12,1)),MIN(J287,DATE(Einstellungen!$C$3,13,0)),Einstellungen!$F$13:$F$32)))</f>
        <v/>
      </c>
      <c r="X287" s="50">
        <f>L287*K287</f>
        <v/>
      </c>
      <c r="Y287" s="50">
        <f>M287*K287</f>
        <v/>
      </c>
      <c r="Z287" s="50">
        <f>N287*K287</f>
        <v/>
      </c>
      <c r="AA287" s="50">
        <f>O287*K287</f>
        <v/>
      </c>
      <c r="AB287" s="50">
        <f>P287*K287</f>
        <v/>
      </c>
      <c r="AC287" s="50">
        <f>Q287*K287</f>
        <v/>
      </c>
      <c r="AD287" s="50">
        <f>R287*K287</f>
        <v/>
      </c>
      <c r="AE287" s="50">
        <f>S287*K287</f>
        <v/>
      </c>
      <c r="AF287" s="50">
        <f>T287*K287</f>
        <v/>
      </c>
      <c r="AG287" s="50">
        <f>U287*K287</f>
        <v/>
      </c>
      <c r="AH287" s="50">
        <f>V287*K287</f>
        <v/>
      </c>
      <c r="AI287" s="50">
        <f>W287*K287</f>
        <v/>
      </c>
    </row>
    <row r="288">
      <c r="A288" s="25" t="n"/>
      <c r="B288" s="45">
        <f>IF(A288="","",IFERROR(INDEX(Mitarbeiter!$B$6:$B$205,MATCH($A288,Mitarbeiter!$A$6:$A$205,0)),"?"))</f>
        <v/>
      </c>
      <c r="C288" s="46" t="n"/>
      <c r="D288" s="26" t="n"/>
      <c r="E288" s="26" t="n"/>
      <c r="F288" s="24">
        <f>IF(A288="","",SUM(L288:W288))</f>
        <v/>
      </c>
      <c r="G288" s="36">
        <f>IF(A288="","",SUM(X288:AI288))</f>
        <v/>
      </c>
      <c r="H288" s="8">
        <f>IF(A288="","",IF(ISNA(MATCH(A288,Mitarbeiter!$A$6:$A$205,0)),"Pers.-Nr. unbekannt",IF(D288="","Von fehlt",IF(AND(C288&lt;&gt;Einstellungen!$C$4,C288&lt;&gt;Einstellungen!$C$5),"Objekt fehlt",IF(J288&lt;D288,"Bis vor Von",IF(D288&lt;INDEX(Mitarbeiter!$C$6:$C$205,MATCH($A288,Mitarbeiter!$A$6:$A$205,0)),"vor Eintritt",IF(AND(INDEX(Mitarbeiter!$D$6:$D$205,MATCH($A288,Mitarbeiter!$A$6:$A$205,0))&lt;&gt;"",D288&gt;INDEX(Mitarbeiter!$D$6:$D$205,MATCH($A288,Mitarbeiter!$A$6:$A$205,0))),"nach Austritt",IF(E288="","offen","ok"))))))))</f>
        <v/>
      </c>
      <c r="J288" s="47">
        <f>IF(A288="","",IF(E288="",Einstellungen!$C$9,E288))</f>
        <v/>
      </c>
      <c r="K288" s="48">
        <f>IF(A288="",0,IFERROR(INDEX(Mitarbeiter!$F$6:$F$205,MATCH($A288,Mitarbeiter!$A$6:$A$205,0)),0))</f>
        <v/>
      </c>
      <c r="L288" s="49">
        <f>IF(OR(A288="",D288=""),0,MAX(0,NETWORKDAYS(MAX(D288,DATE(Einstellungen!$C$3,1,1)),MIN(J288,DATE(Einstellungen!$C$3,2,0)),Einstellungen!$F$13:$F$32)))</f>
        <v/>
      </c>
      <c r="M288" s="49">
        <f>IF(OR(A288="",D288=""),0,MAX(0,NETWORKDAYS(MAX(D288,DATE(Einstellungen!$C$3,2,1)),MIN(J288,DATE(Einstellungen!$C$3,3,0)),Einstellungen!$F$13:$F$32)))</f>
        <v/>
      </c>
      <c r="N288" s="49">
        <f>IF(OR(A288="",D288=""),0,MAX(0,NETWORKDAYS(MAX(D288,DATE(Einstellungen!$C$3,3,1)),MIN(J288,DATE(Einstellungen!$C$3,4,0)),Einstellungen!$F$13:$F$32)))</f>
        <v/>
      </c>
      <c r="O288" s="49">
        <f>IF(OR(A288="",D288=""),0,MAX(0,NETWORKDAYS(MAX(D288,DATE(Einstellungen!$C$3,4,1)),MIN(J288,DATE(Einstellungen!$C$3,5,0)),Einstellungen!$F$13:$F$32)))</f>
        <v/>
      </c>
      <c r="P288" s="49">
        <f>IF(OR(A288="",D288=""),0,MAX(0,NETWORKDAYS(MAX(D288,DATE(Einstellungen!$C$3,5,1)),MIN(J288,DATE(Einstellungen!$C$3,6,0)),Einstellungen!$F$13:$F$32)))</f>
        <v/>
      </c>
      <c r="Q288" s="49">
        <f>IF(OR(A288="",D288=""),0,MAX(0,NETWORKDAYS(MAX(D288,DATE(Einstellungen!$C$3,6,1)),MIN(J288,DATE(Einstellungen!$C$3,7,0)),Einstellungen!$F$13:$F$32)))</f>
        <v/>
      </c>
      <c r="R288" s="49">
        <f>IF(OR(A288="",D288=""),0,MAX(0,NETWORKDAYS(MAX(D288,DATE(Einstellungen!$C$3,7,1)),MIN(J288,DATE(Einstellungen!$C$3,8,0)),Einstellungen!$F$13:$F$32)))</f>
        <v/>
      </c>
      <c r="S288" s="49">
        <f>IF(OR(A288="",D288=""),0,MAX(0,NETWORKDAYS(MAX(D288,DATE(Einstellungen!$C$3,8,1)),MIN(J288,DATE(Einstellungen!$C$3,9,0)),Einstellungen!$F$13:$F$32)))</f>
        <v/>
      </c>
      <c r="T288" s="49">
        <f>IF(OR(A288="",D288=""),0,MAX(0,NETWORKDAYS(MAX(D288,DATE(Einstellungen!$C$3,9,1)),MIN(J288,DATE(Einstellungen!$C$3,10,0)),Einstellungen!$F$13:$F$32)))</f>
        <v/>
      </c>
      <c r="U288" s="49">
        <f>IF(OR(A288="",D288=""),0,MAX(0,NETWORKDAYS(MAX(D288,DATE(Einstellungen!$C$3,10,1)),MIN(J288,DATE(Einstellungen!$C$3,11,0)),Einstellungen!$F$13:$F$32)))</f>
        <v/>
      </c>
      <c r="V288" s="49">
        <f>IF(OR(A288="",D288=""),0,MAX(0,NETWORKDAYS(MAX(D288,DATE(Einstellungen!$C$3,11,1)),MIN(J288,DATE(Einstellungen!$C$3,12,0)),Einstellungen!$F$13:$F$32)))</f>
        <v/>
      </c>
      <c r="W288" s="49">
        <f>IF(OR(A288="",D288=""),0,MAX(0,NETWORKDAYS(MAX(D288,DATE(Einstellungen!$C$3,12,1)),MIN(J288,DATE(Einstellungen!$C$3,13,0)),Einstellungen!$F$13:$F$32)))</f>
        <v/>
      </c>
      <c r="X288" s="50">
        <f>L288*K288</f>
        <v/>
      </c>
      <c r="Y288" s="50">
        <f>M288*K288</f>
        <v/>
      </c>
      <c r="Z288" s="50">
        <f>N288*K288</f>
        <v/>
      </c>
      <c r="AA288" s="50">
        <f>O288*K288</f>
        <v/>
      </c>
      <c r="AB288" s="50">
        <f>P288*K288</f>
        <v/>
      </c>
      <c r="AC288" s="50">
        <f>Q288*K288</f>
        <v/>
      </c>
      <c r="AD288" s="50">
        <f>R288*K288</f>
        <v/>
      </c>
      <c r="AE288" s="50">
        <f>S288*K288</f>
        <v/>
      </c>
      <c r="AF288" s="50">
        <f>T288*K288</f>
        <v/>
      </c>
      <c r="AG288" s="50">
        <f>U288*K288</f>
        <v/>
      </c>
      <c r="AH288" s="50">
        <f>V288*K288</f>
        <v/>
      </c>
      <c r="AI288" s="50">
        <f>W288*K288</f>
        <v/>
      </c>
    </row>
    <row r="289">
      <c r="A289" s="25" t="n"/>
      <c r="B289" s="45">
        <f>IF(A289="","",IFERROR(INDEX(Mitarbeiter!$B$6:$B$205,MATCH($A289,Mitarbeiter!$A$6:$A$205,0)),"?"))</f>
        <v/>
      </c>
      <c r="C289" s="46" t="n"/>
      <c r="D289" s="26" t="n"/>
      <c r="E289" s="26" t="n"/>
      <c r="F289" s="24">
        <f>IF(A289="","",SUM(L289:W289))</f>
        <v/>
      </c>
      <c r="G289" s="36">
        <f>IF(A289="","",SUM(X289:AI289))</f>
        <v/>
      </c>
      <c r="H289" s="8">
        <f>IF(A289="","",IF(ISNA(MATCH(A289,Mitarbeiter!$A$6:$A$205,0)),"Pers.-Nr. unbekannt",IF(D289="","Von fehlt",IF(AND(C289&lt;&gt;Einstellungen!$C$4,C289&lt;&gt;Einstellungen!$C$5),"Objekt fehlt",IF(J289&lt;D289,"Bis vor Von",IF(D289&lt;INDEX(Mitarbeiter!$C$6:$C$205,MATCH($A289,Mitarbeiter!$A$6:$A$205,0)),"vor Eintritt",IF(AND(INDEX(Mitarbeiter!$D$6:$D$205,MATCH($A289,Mitarbeiter!$A$6:$A$205,0))&lt;&gt;"",D289&gt;INDEX(Mitarbeiter!$D$6:$D$205,MATCH($A289,Mitarbeiter!$A$6:$A$205,0))),"nach Austritt",IF(E289="","offen","ok"))))))))</f>
        <v/>
      </c>
      <c r="J289" s="47">
        <f>IF(A289="","",IF(E289="",Einstellungen!$C$9,E289))</f>
        <v/>
      </c>
      <c r="K289" s="48">
        <f>IF(A289="",0,IFERROR(INDEX(Mitarbeiter!$F$6:$F$205,MATCH($A289,Mitarbeiter!$A$6:$A$205,0)),0))</f>
        <v/>
      </c>
      <c r="L289" s="49">
        <f>IF(OR(A289="",D289=""),0,MAX(0,NETWORKDAYS(MAX(D289,DATE(Einstellungen!$C$3,1,1)),MIN(J289,DATE(Einstellungen!$C$3,2,0)),Einstellungen!$F$13:$F$32)))</f>
        <v/>
      </c>
      <c r="M289" s="49">
        <f>IF(OR(A289="",D289=""),0,MAX(0,NETWORKDAYS(MAX(D289,DATE(Einstellungen!$C$3,2,1)),MIN(J289,DATE(Einstellungen!$C$3,3,0)),Einstellungen!$F$13:$F$32)))</f>
        <v/>
      </c>
      <c r="N289" s="49">
        <f>IF(OR(A289="",D289=""),0,MAX(0,NETWORKDAYS(MAX(D289,DATE(Einstellungen!$C$3,3,1)),MIN(J289,DATE(Einstellungen!$C$3,4,0)),Einstellungen!$F$13:$F$32)))</f>
        <v/>
      </c>
      <c r="O289" s="49">
        <f>IF(OR(A289="",D289=""),0,MAX(0,NETWORKDAYS(MAX(D289,DATE(Einstellungen!$C$3,4,1)),MIN(J289,DATE(Einstellungen!$C$3,5,0)),Einstellungen!$F$13:$F$32)))</f>
        <v/>
      </c>
      <c r="P289" s="49">
        <f>IF(OR(A289="",D289=""),0,MAX(0,NETWORKDAYS(MAX(D289,DATE(Einstellungen!$C$3,5,1)),MIN(J289,DATE(Einstellungen!$C$3,6,0)),Einstellungen!$F$13:$F$32)))</f>
        <v/>
      </c>
      <c r="Q289" s="49">
        <f>IF(OR(A289="",D289=""),0,MAX(0,NETWORKDAYS(MAX(D289,DATE(Einstellungen!$C$3,6,1)),MIN(J289,DATE(Einstellungen!$C$3,7,0)),Einstellungen!$F$13:$F$32)))</f>
        <v/>
      </c>
      <c r="R289" s="49">
        <f>IF(OR(A289="",D289=""),0,MAX(0,NETWORKDAYS(MAX(D289,DATE(Einstellungen!$C$3,7,1)),MIN(J289,DATE(Einstellungen!$C$3,8,0)),Einstellungen!$F$13:$F$32)))</f>
        <v/>
      </c>
      <c r="S289" s="49">
        <f>IF(OR(A289="",D289=""),0,MAX(0,NETWORKDAYS(MAX(D289,DATE(Einstellungen!$C$3,8,1)),MIN(J289,DATE(Einstellungen!$C$3,9,0)),Einstellungen!$F$13:$F$32)))</f>
        <v/>
      </c>
      <c r="T289" s="49">
        <f>IF(OR(A289="",D289=""),0,MAX(0,NETWORKDAYS(MAX(D289,DATE(Einstellungen!$C$3,9,1)),MIN(J289,DATE(Einstellungen!$C$3,10,0)),Einstellungen!$F$13:$F$32)))</f>
        <v/>
      </c>
      <c r="U289" s="49">
        <f>IF(OR(A289="",D289=""),0,MAX(0,NETWORKDAYS(MAX(D289,DATE(Einstellungen!$C$3,10,1)),MIN(J289,DATE(Einstellungen!$C$3,11,0)),Einstellungen!$F$13:$F$32)))</f>
        <v/>
      </c>
      <c r="V289" s="49">
        <f>IF(OR(A289="",D289=""),0,MAX(0,NETWORKDAYS(MAX(D289,DATE(Einstellungen!$C$3,11,1)),MIN(J289,DATE(Einstellungen!$C$3,12,0)),Einstellungen!$F$13:$F$32)))</f>
        <v/>
      </c>
      <c r="W289" s="49">
        <f>IF(OR(A289="",D289=""),0,MAX(0,NETWORKDAYS(MAX(D289,DATE(Einstellungen!$C$3,12,1)),MIN(J289,DATE(Einstellungen!$C$3,13,0)),Einstellungen!$F$13:$F$32)))</f>
        <v/>
      </c>
      <c r="X289" s="50">
        <f>L289*K289</f>
        <v/>
      </c>
      <c r="Y289" s="50">
        <f>M289*K289</f>
        <v/>
      </c>
      <c r="Z289" s="50">
        <f>N289*K289</f>
        <v/>
      </c>
      <c r="AA289" s="50">
        <f>O289*K289</f>
        <v/>
      </c>
      <c r="AB289" s="50">
        <f>P289*K289</f>
        <v/>
      </c>
      <c r="AC289" s="50">
        <f>Q289*K289</f>
        <v/>
      </c>
      <c r="AD289" s="50">
        <f>R289*K289</f>
        <v/>
      </c>
      <c r="AE289" s="50">
        <f>S289*K289</f>
        <v/>
      </c>
      <c r="AF289" s="50">
        <f>T289*K289</f>
        <v/>
      </c>
      <c r="AG289" s="50">
        <f>U289*K289</f>
        <v/>
      </c>
      <c r="AH289" s="50">
        <f>V289*K289</f>
        <v/>
      </c>
      <c r="AI289" s="50">
        <f>W289*K289</f>
        <v/>
      </c>
    </row>
    <row r="290">
      <c r="A290" s="25" t="n"/>
      <c r="B290" s="45">
        <f>IF(A290="","",IFERROR(INDEX(Mitarbeiter!$B$6:$B$205,MATCH($A290,Mitarbeiter!$A$6:$A$205,0)),"?"))</f>
        <v/>
      </c>
      <c r="C290" s="46" t="n"/>
      <c r="D290" s="26" t="n"/>
      <c r="E290" s="26" t="n"/>
      <c r="F290" s="24">
        <f>IF(A290="","",SUM(L290:W290))</f>
        <v/>
      </c>
      <c r="G290" s="36">
        <f>IF(A290="","",SUM(X290:AI290))</f>
        <v/>
      </c>
      <c r="H290" s="8">
        <f>IF(A290="","",IF(ISNA(MATCH(A290,Mitarbeiter!$A$6:$A$205,0)),"Pers.-Nr. unbekannt",IF(D290="","Von fehlt",IF(AND(C290&lt;&gt;Einstellungen!$C$4,C290&lt;&gt;Einstellungen!$C$5),"Objekt fehlt",IF(J290&lt;D290,"Bis vor Von",IF(D290&lt;INDEX(Mitarbeiter!$C$6:$C$205,MATCH($A290,Mitarbeiter!$A$6:$A$205,0)),"vor Eintritt",IF(AND(INDEX(Mitarbeiter!$D$6:$D$205,MATCH($A290,Mitarbeiter!$A$6:$A$205,0))&lt;&gt;"",D290&gt;INDEX(Mitarbeiter!$D$6:$D$205,MATCH($A290,Mitarbeiter!$A$6:$A$205,0))),"nach Austritt",IF(E290="","offen","ok"))))))))</f>
        <v/>
      </c>
      <c r="J290" s="47">
        <f>IF(A290="","",IF(E290="",Einstellungen!$C$9,E290))</f>
        <v/>
      </c>
      <c r="K290" s="48">
        <f>IF(A290="",0,IFERROR(INDEX(Mitarbeiter!$F$6:$F$205,MATCH($A290,Mitarbeiter!$A$6:$A$205,0)),0))</f>
        <v/>
      </c>
      <c r="L290" s="49">
        <f>IF(OR(A290="",D290=""),0,MAX(0,NETWORKDAYS(MAX(D290,DATE(Einstellungen!$C$3,1,1)),MIN(J290,DATE(Einstellungen!$C$3,2,0)),Einstellungen!$F$13:$F$32)))</f>
        <v/>
      </c>
      <c r="M290" s="49">
        <f>IF(OR(A290="",D290=""),0,MAX(0,NETWORKDAYS(MAX(D290,DATE(Einstellungen!$C$3,2,1)),MIN(J290,DATE(Einstellungen!$C$3,3,0)),Einstellungen!$F$13:$F$32)))</f>
        <v/>
      </c>
      <c r="N290" s="49">
        <f>IF(OR(A290="",D290=""),0,MAX(0,NETWORKDAYS(MAX(D290,DATE(Einstellungen!$C$3,3,1)),MIN(J290,DATE(Einstellungen!$C$3,4,0)),Einstellungen!$F$13:$F$32)))</f>
        <v/>
      </c>
      <c r="O290" s="49">
        <f>IF(OR(A290="",D290=""),0,MAX(0,NETWORKDAYS(MAX(D290,DATE(Einstellungen!$C$3,4,1)),MIN(J290,DATE(Einstellungen!$C$3,5,0)),Einstellungen!$F$13:$F$32)))</f>
        <v/>
      </c>
      <c r="P290" s="49">
        <f>IF(OR(A290="",D290=""),0,MAX(0,NETWORKDAYS(MAX(D290,DATE(Einstellungen!$C$3,5,1)),MIN(J290,DATE(Einstellungen!$C$3,6,0)),Einstellungen!$F$13:$F$32)))</f>
        <v/>
      </c>
      <c r="Q290" s="49">
        <f>IF(OR(A290="",D290=""),0,MAX(0,NETWORKDAYS(MAX(D290,DATE(Einstellungen!$C$3,6,1)),MIN(J290,DATE(Einstellungen!$C$3,7,0)),Einstellungen!$F$13:$F$32)))</f>
        <v/>
      </c>
      <c r="R290" s="49">
        <f>IF(OR(A290="",D290=""),0,MAX(0,NETWORKDAYS(MAX(D290,DATE(Einstellungen!$C$3,7,1)),MIN(J290,DATE(Einstellungen!$C$3,8,0)),Einstellungen!$F$13:$F$32)))</f>
        <v/>
      </c>
      <c r="S290" s="49">
        <f>IF(OR(A290="",D290=""),0,MAX(0,NETWORKDAYS(MAX(D290,DATE(Einstellungen!$C$3,8,1)),MIN(J290,DATE(Einstellungen!$C$3,9,0)),Einstellungen!$F$13:$F$32)))</f>
        <v/>
      </c>
      <c r="T290" s="49">
        <f>IF(OR(A290="",D290=""),0,MAX(0,NETWORKDAYS(MAX(D290,DATE(Einstellungen!$C$3,9,1)),MIN(J290,DATE(Einstellungen!$C$3,10,0)),Einstellungen!$F$13:$F$32)))</f>
        <v/>
      </c>
      <c r="U290" s="49">
        <f>IF(OR(A290="",D290=""),0,MAX(0,NETWORKDAYS(MAX(D290,DATE(Einstellungen!$C$3,10,1)),MIN(J290,DATE(Einstellungen!$C$3,11,0)),Einstellungen!$F$13:$F$32)))</f>
        <v/>
      </c>
      <c r="V290" s="49">
        <f>IF(OR(A290="",D290=""),0,MAX(0,NETWORKDAYS(MAX(D290,DATE(Einstellungen!$C$3,11,1)),MIN(J290,DATE(Einstellungen!$C$3,12,0)),Einstellungen!$F$13:$F$32)))</f>
        <v/>
      </c>
      <c r="W290" s="49">
        <f>IF(OR(A290="",D290=""),0,MAX(0,NETWORKDAYS(MAX(D290,DATE(Einstellungen!$C$3,12,1)),MIN(J290,DATE(Einstellungen!$C$3,13,0)),Einstellungen!$F$13:$F$32)))</f>
        <v/>
      </c>
      <c r="X290" s="50">
        <f>L290*K290</f>
        <v/>
      </c>
      <c r="Y290" s="50">
        <f>M290*K290</f>
        <v/>
      </c>
      <c r="Z290" s="50">
        <f>N290*K290</f>
        <v/>
      </c>
      <c r="AA290" s="50">
        <f>O290*K290</f>
        <v/>
      </c>
      <c r="AB290" s="50">
        <f>P290*K290</f>
        <v/>
      </c>
      <c r="AC290" s="50">
        <f>Q290*K290</f>
        <v/>
      </c>
      <c r="AD290" s="50">
        <f>R290*K290</f>
        <v/>
      </c>
      <c r="AE290" s="50">
        <f>S290*K290</f>
        <v/>
      </c>
      <c r="AF290" s="50">
        <f>T290*K290</f>
        <v/>
      </c>
      <c r="AG290" s="50">
        <f>U290*K290</f>
        <v/>
      </c>
      <c r="AH290" s="50">
        <f>V290*K290</f>
        <v/>
      </c>
      <c r="AI290" s="50">
        <f>W290*K290</f>
        <v/>
      </c>
    </row>
    <row r="291">
      <c r="A291" s="25" t="n"/>
      <c r="B291" s="45">
        <f>IF(A291="","",IFERROR(INDEX(Mitarbeiter!$B$6:$B$205,MATCH($A291,Mitarbeiter!$A$6:$A$205,0)),"?"))</f>
        <v/>
      </c>
      <c r="C291" s="46" t="n"/>
      <c r="D291" s="26" t="n"/>
      <c r="E291" s="26" t="n"/>
      <c r="F291" s="24">
        <f>IF(A291="","",SUM(L291:W291))</f>
        <v/>
      </c>
      <c r="G291" s="36">
        <f>IF(A291="","",SUM(X291:AI291))</f>
        <v/>
      </c>
      <c r="H291" s="8">
        <f>IF(A291="","",IF(ISNA(MATCH(A291,Mitarbeiter!$A$6:$A$205,0)),"Pers.-Nr. unbekannt",IF(D291="","Von fehlt",IF(AND(C291&lt;&gt;Einstellungen!$C$4,C291&lt;&gt;Einstellungen!$C$5),"Objekt fehlt",IF(J291&lt;D291,"Bis vor Von",IF(D291&lt;INDEX(Mitarbeiter!$C$6:$C$205,MATCH($A291,Mitarbeiter!$A$6:$A$205,0)),"vor Eintritt",IF(AND(INDEX(Mitarbeiter!$D$6:$D$205,MATCH($A291,Mitarbeiter!$A$6:$A$205,0))&lt;&gt;"",D291&gt;INDEX(Mitarbeiter!$D$6:$D$205,MATCH($A291,Mitarbeiter!$A$6:$A$205,0))),"nach Austritt",IF(E291="","offen","ok"))))))))</f>
        <v/>
      </c>
      <c r="J291" s="47">
        <f>IF(A291="","",IF(E291="",Einstellungen!$C$9,E291))</f>
        <v/>
      </c>
      <c r="K291" s="48">
        <f>IF(A291="",0,IFERROR(INDEX(Mitarbeiter!$F$6:$F$205,MATCH($A291,Mitarbeiter!$A$6:$A$205,0)),0))</f>
        <v/>
      </c>
      <c r="L291" s="49">
        <f>IF(OR(A291="",D291=""),0,MAX(0,NETWORKDAYS(MAX(D291,DATE(Einstellungen!$C$3,1,1)),MIN(J291,DATE(Einstellungen!$C$3,2,0)),Einstellungen!$F$13:$F$32)))</f>
        <v/>
      </c>
      <c r="M291" s="49">
        <f>IF(OR(A291="",D291=""),0,MAX(0,NETWORKDAYS(MAX(D291,DATE(Einstellungen!$C$3,2,1)),MIN(J291,DATE(Einstellungen!$C$3,3,0)),Einstellungen!$F$13:$F$32)))</f>
        <v/>
      </c>
      <c r="N291" s="49">
        <f>IF(OR(A291="",D291=""),0,MAX(0,NETWORKDAYS(MAX(D291,DATE(Einstellungen!$C$3,3,1)),MIN(J291,DATE(Einstellungen!$C$3,4,0)),Einstellungen!$F$13:$F$32)))</f>
        <v/>
      </c>
      <c r="O291" s="49">
        <f>IF(OR(A291="",D291=""),0,MAX(0,NETWORKDAYS(MAX(D291,DATE(Einstellungen!$C$3,4,1)),MIN(J291,DATE(Einstellungen!$C$3,5,0)),Einstellungen!$F$13:$F$32)))</f>
        <v/>
      </c>
      <c r="P291" s="49">
        <f>IF(OR(A291="",D291=""),0,MAX(0,NETWORKDAYS(MAX(D291,DATE(Einstellungen!$C$3,5,1)),MIN(J291,DATE(Einstellungen!$C$3,6,0)),Einstellungen!$F$13:$F$32)))</f>
        <v/>
      </c>
      <c r="Q291" s="49">
        <f>IF(OR(A291="",D291=""),0,MAX(0,NETWORKDAYS(MAX(D291,DATE(Einstellungen!$C$3,6,1)),MIN(J291,DATE(Einstellungen!$C$3,7,0)),Einstellungen!$F$13:$F$32)))</f>
        <v/>
      </c>
      <c r="R291" s="49">
        <f>IF(OR(A291="",D291=""),0,MAX(0,NETWORKDAYS(MAX(D291,DATE(Einstellungen!$C$3,7,1)),MIN(J291,DATE(Einstellungen!$C$3,8,0)),Einstellungen!$F$13:$F$32)))</f>
        <v/>
      </c>
      <c r="S291" s="49">
        <f>IF(OR(A291="",D291=""),0,MAX(0,NETWORKDAYS(MAX(D291,DATE(Einstellungen!$C$3,8,1)),MIN(J291,DATE(Einstellungen!$C$3,9,0)),Einstellungen!$F$13:$F$32)))</f>
        <v/>
      </c>
      <c r="T291" s="49">
        <f>IF(OR(A291="",D291=""),0,MAX(0,NETWORKDAYS(MAX(D291,DATE(Einstellungen!$C$3,9,1)),MIN(J291,DATE(Einstellungen!$C$3,10,0)),Einstellungen!$F$13:$F$32)))</f>
        <v/>
      </c>
      <c r="U291" s="49">
        <f>IF(OR(A291="",D291=""),0,MAX(0,NETWORKDAYS(MAX(D291,DATE(Einstellungen!$C$3,10,1)),MIN(J291,DATE(Einstellungen!$C$3,11,0)),Einstellungen!$F$13:$F$32)))</f>
        <v/>
      </c>
      <c r="V291" s="49">
        <f>IF(OR(A291="",D291=""),0,MAX(0,NETWORKDAYS(MAX(D291,DATE(Einstellungen!$C$3,11,1)),MIN(J291,DATE(Einstellungen!$C$3,12,0)),Einstellungen!$F$13:$F$32)))</f>
        <v/>
      </c>
      <c r="W291" s="49">
        <f>IF(OR(A291="",D291=""),0,MAX(0,NETWORKDAYS(MAX(D291,DATE(Einstellungen!$C$3,12,1)),MIN(J291,DATE(Einstellungen!$C$3,13,0)),Einstellungen!$F$13:$F$32)))</f>
        <v/>
      </c>
      <c r="X291" s="50">
        <f>L291*K291</f>
        <v/>
      </c>
      <c r="Y291" s="50">
        <f>M291*K291</f>
        <v/>
      </c>
      <c r="Z291" s="50">
        <f>N291*K291</f>
        <v/>
      </c>
      <c r="AA291" s="50">
        <f>O291*K291</f>
        <v/>
      </c>
      <c r="AB291" s="50">
        <f>P291*K291</f>
        <v/>
      </c>
      <c r="AC291" s="50">
        <f>Q291*K291</f>
        <v/>
      </c>
      <c r="AD291" s="50">
        <f>R291*K291</f>
        <v/>
      </c>
      <c r="AE291" s="50">
        <f>S291*K291</f>
        <v/>
      </c>
      <c r="AF291" s="50">
        <f>T291*K291</f>
        <v/>
      </c>
      <c r="AG291" s="50">
        <f>U291*K291</f>
        <v/>
      </c>
      <c r="AH291" s="50">
        <f>V291*K291</f>
        <v/>
      </c>
      <c r="AI291" s="50">
        <f>W291*K291</f>
        <v/>
      </c>
    </row>
    <row r="292">
      <c r="A292" s="25" t="n"/>
      <c r="B292" s="45">
        <f>IF(A292="","",IFERROR(INDEX(Mitarbeiter!$B$6:$B$205,MATCH($A292,Mitarbeiter!$A$6:$A$205,0)),"?"))</f>
        <v/>
      </c>
      <c r="C292" s="46" t="n"/>
      <c r="D292" s="26" t="n"/>
      <c r="E292" s="26" t="n"/>
      <c r="F292" s="24">
        <f>IF(A292="","",SUM(L292:W292))</f>
        <v/>
      </c>
      <c r="G292" s="36">
        <f>IF(A292="","",SUM(X292:AI292))</f>
        <v/>
      </c>
      <c r="H292" s="8">
        <f>IF(A292="","",IF(ISNA(MATCH(A292,Mitarbeiter!$A$6:$A$205,0)),"Pers.-Nr. unbekannt",IF(D292="","Von fehlt",IF(AND(C292&lt;&gt;Einstellungen!$C$4,C292&lt;&gt;Einstellungen!$C$5),"Objekt fehlt",IF(J292&lt;D292,"Bis vor Von",IF(D292&lt;INDEX(Mitarbeiter!$C$6:$C$205,MATCH($A292,Mitarbeiter!$A$6:$A$205,0)),"vor Eintritt",IF(AND(INDEX(Mitarbeiter!$D$6:$D$205,MATCH($A292,Mitarbeiter!$A$6:$A$205,0))&lt;&gt;"",D292&gt;INDEX(Mitarbeiter!$D$6:$D$205,MATCH($A292,Mitarbeiter!$A$6:$A$205,0))),"nach Austritt",IF(E292="","offen","ok"))))))))</f>
        <v/>
      </c>
      <c r="J292" s="47">
        <f>IF(A292="","",IF(E292="",Einstellungen!$C$9,E292))</f>
        <v/>
      </c>
      <c r="K292" s="48">
        <f>IF(A292="",0,IFERROR(INDEX(Mitarbeiter!$F$6:$F$205,MATCH($A292,Mitarbeiter!$A$6:$A$205,0)),0))</f>
        <v/>
      </c>
      <c r="L292" s="49">
        <f>IF(OR(A292="",D292=""),0,MAX(0,NETWORKDAYS(MAX(D292,DATE(Einstellungen!$C$3,1,1)),MIN(J292,DATE(Einstellungen!$C$3,2,0)),Einstellungen!$F$13:$F$32)))</f>
        <v/>
      </c>
      <c r="M292" s="49">
        <f>IF(OR(A292="",D292=""),0,MAX(0,NETWORKDAYS(MAX(D292,DATE(Einstellungen!$C$3,2,1)),MIN(J292,DATE(Einstellungen!$C$3,3,0)),Einstellungen!$F$13:$F$32)))</f>
        <v/>
      </c>
      <c r="N292" s="49">
        <f>IF(OR(A292="",D292=""),0,MAX(0,NETWORKDAYS(MAX(D292,DATE(Einstellungen!$C$3,3,1)),MIN(J292,DATE(Einstellungen!$C$3,4,0)),Einstellungen!$F$13:$F$32)))</f>
        <v/>
      </c>
      <c r="O292" s="49">
        <f>IF(OR(A292="",D292=""),0,MAX(0,NETWORKDAYS(MAX(D292,DATE(Einstellungen!$C$3,4,1)),MIN(J292,DATE(Einstellungen!$C$3,5,0)),Einstellungen!$F$13:$F$32)))</f>
        <v/>
      </c>
      <c r="P292" s="49">
        <f>IF(OR(A292="",D292=""),0,MAX(0,NETWORKDAYS(MAX(D292,DATE(Einstellungen!$C$3,5,1)),MIN(J292,DATE(Einstellungen!$C$3,6,0)),Einstellungen!$F$13:$F$32)))</f>
        <v/>
      </c>
      <c r="Q292" s="49">
        <f>IF(OR(A292="",D292=""),0,MAX(0,NETWORKDAYS(MAX(D292,DATE(Einstellungen!$C$3,6,1)),MIN(J292,DATE(Einstellungen!$C$3,7,0)),Einstellungen!$F$13:$F$32)))</f>
        <v/>
      </c>
      <c r="R292" s="49">
        <f>IF(OR(A292="",D292=""),0,MAX(0,NETWORKDAYS(MAX(D292,DATE(Einstellungen!$C$3,7,1)),MIN(J292,DATE(Einstellungen!$C$3,8,0)),Einstellungen!$F$13:$F$32)))</f>
        <v/>
      </c>
      <c r="S292" s="49">
        <f>IF(OR(A292="",D292=""),0,MAX(0,NETWORKDAYS(MAX(D292,DATE(Einstellungen!$C$3,8,1)),MIN(J292,DATE(Einstellungen!$C$3,9,0)),Einstellungen!$F$13:$F$32)))</f>
        <v/>
      </c>
      <c r="T292" s="49">
        <f>IF(OR(A292="",D292=""),0,MAX(0,NETWORKDAYS(MAX(D292,DATE(Einstellungen!$C$3,9,1)),MIN(J292,DATE(Einstellungen!$C$3,10,0)),Einstellungen!$F$13:$F$32)))</f>
        <v/>
      </c>
      <c r="U292" s="49">
        <f>IF(OR(A292="",D292=""),0,MAX(0,NETWORKDAYS(MAX(D292,DATE(Einstellungen!$C$3,10,1)),MIN(J292,DATE(Einstellungen!$C$3,11,0)),Einstellungen!$F$13:$F$32)))</f>
        <v/>
      </c>
      <c r="V292" s="49">
        <f>IF(OR(A292="",D292=""),0,MAX(0,NETWORKDAYS(MAX(D292,DATE(Einstellungen!$C$3,11,1)),MIN(J292,DATE(Einstellungen!$C$3,12,0)),Einstellungen!$F$13:$F$32)))</f>
        <v/>
      </c>
      <c r="W292" s="49">
        <f>IF(OR(A292="",D292=""),0,MAX(0,NETWORKDAYS(MAX(D292,DATE(Einstellungen!$C$3,12,1)),MIN(J292,DATE(Einstellungen!$C$3,13,0)),Einstellungen!$F$13:$F$32)))</f>
        <v/>
      </c>
      <c r="X292" s="50">
        <f>L292*K292</f>
        <v/>
      </c>
      <c r="Y292" s="50">
        <f>M292*K292</f>
        <v/>
      </c>
      <c r="Z292" s="50">
        <f>N292*K292</f>
        <v/>
      </c>
      <c r="AA292" s="50">
        <f>O292*K292</f>
        <v/>
      </c>
      <c r="AB292" s="50">
        <f>P292*K292</f>
        <v/>
      </c>
      <c r="AC292" s="50">
        <f>Q292*K292</f>
        <v/>
      </c>
      <c r="AD292" s="50">
        <f>R292*K292</f>
        <v/>
      </c>
      <c r="AE292" s="50">
        <f>S292*K292</f>
        <v/>
      </c>
      <c r="AF292" s="50">
        <f>T292*K292</f>
        <v/>
      </c>
      <c r="AG292" s="50">
        <f>U292*K292</f>
        <v/>
      </c>
      <c r="AH292" s="50">
        <f>V292*K292</f>
        <v/>
      </c>
      <c r="AI292" s="50">
        <f>W292*K292</f>
        <v/>
      </c>
    </row>
    <row r="293">
      <c r="A293" s="25" t="n"/>
      <c r="B293" s="45">
        <f>IF(A293="","",IFERROR(INDEX(Mitarbeiter!$B$6:$B$205,MATCH($A293,Mitarbeiter!$A$6:$A$205,0)),"?"))</f>
        <v/>
      </c>
      <c r="C293" s="46" t="n"/>
      <c r="D293" s="26" t="n"/>
      <c r="E293" s="26" t="n"/>
      <c r="F293" s="24">
        <f>IF(A293="","",SUM(L293:W293))</f>
        <v/>
      </c>
      <c r="G293" s="36">
        <f>IF(A293="","",SUM(X293:AI293))</f>
        <v/>
      </c>
      <c r="H293" s="8">
        <f>IF(A293="","",IF(ISNA(MATCH(A293,Mitarbeiter!$A$6:$A$205,0)),"Pers.-Nr. unbekannt",IF(D293="","Von fehlt",IF(AND(C293&lt;&gt;Einstellungen!$C$4,C293&lt;&gt;Einstellungen!$C$5),"Objekt fehlt",IF(J293&lt;D293,"Bis vor Von",IF(D293&lt;INDEX(Mitarbeiter!$C$6:$C$205,MATCH($A293,Mitarbeiter!$A$6:$A$205,0)),"vor Eintritt",IF(AND(INDEX(Mitarbeiter!$D$6:$D$205,MATCH($A293,Mitarbeiter!$A$6:$A$205,0))&lt;&gt;"",D293&gt;INDEX(Mitarbeiter!$D$6:$D$205,MATCH($A293,Mitarbeiter!$A$6:$A$205,0))),"nach Austritt",IF(E293="","offen","ok"))))))))</f>
        <v/>
      </c>
      <c r="J293" s="47">
        <f>IF(A293="","",IF(E293="",Einstellungen!$C$9,E293))</f>
        <v/>
      </c>
      <c r="K293" s="48">
        <f>IF(A293="",0,IFERROR(INDEX(Mitarbeiter!$F$6:$F$205,MATCH($A293,Mitarbeiter!$A$6:$A$205,0)),0))</f>
        <v/>
      </c>
      <c r="L293" s="49">
        <f>IF(OR(A293="",D293=""),0,MAX(0,NETWORKDAYS(MAX(D293,DATE(Einstellungen!$C$3,1,1)),MIN(J293,DATE(Einstellungen!$C$3,2,0)),Einstellungen!$F$13:$F$32)))</f>
        <v/>
      </c>
      <c r="M293" s="49">
        <f>IF(OR(A293="",D293=""),0,MAX(0,NETWORKDAYS(MAX(D293,DATE(Einstellungen!$C$3,2,1)),MIN(J293,DATE(Einstellungen!$C$3,3,0)),Einstellungen!$F$13:$F$32)))</f>
        <v/>
      </c>
      <c r="N293" s="49">
        <f>IF(OR(A293="",D293=""),0,MAX(0,NETWORKDAYS(MAX(D293,DATE(Einstellungen!$C$3,3,1)),MIN(J293,DATE(Einstellungen!$C$3,4,0)),Einstellungen!$F$13:$F$32)))</f>
        <v/>
      </c>
      <c r="O293" s="49">
        <f>IF(OR(A293="",D293=""),0,MAX(0,NETWORKDAYS(MAX(D293,DATE(Einstellungen!$C$3,4,1)),MIN(J293,DATE(Einstellungen!$C$3,5,0)),Einstellungen!$F$13:$F$32)))</f>
        <v/>
      </c>
      <c r="P293" s="49">
        <f>IF(OR(A293="",D293=""),0,MAX(0,NETWORKDAYS(MAX(D293,DATE(Einstellungen!$C$3,5,1)),MIN(J293,DATE(Einstellungen!$C$3,6,0)),Einstellungen!$F$13:$F$32)))</f>
        <v/>
      </c>
      <c r="Q293" s="49">
        <f>IF(OR(A293="",D293=""),0,MAX(0,NETWORKDAYS(MAX(D293,DATE(Einstellungen!$C$3,6,1)),MIN(J293,DATE(Einstellungen!$C$3,7,0)),Einstellungen!$F$13:$F$32)))</f>
        <v/>
      </c>
      <c r="R293" s="49">
        <f>IF(OR(A293="",D293=""),0,MAX(0,NETWORKDAYS(MAX(D293,DATE(Einstellungen!$C$3,7,1)),MIN(J293,DATE(Einstellungen!$C$3,8,0)),Einstellungen!$F$13:$F$32)))</f>
        <v/>
      </c>
      <c r="S293" s="49">
        <f>IF(OR(A293="",D293=""),0,MAX(0,NETWORKDAYS(MAX(D293,DATE(Einstellungen!$C$3,8,1)),MIN(J293,DATE(Einstellungen!$C$3,9,0)),Einstellungen!$F$13:$F$32)))</f>
        <v/>
      </c>
      <c r="T293" s="49">
        <f>IF(OR(A293="",D293=""),0,MAX(0,NETWORKDAYS(MAX(D293,DATE(Einstellungen!$C$3,9,1)),MIN(J293,DATE(Einstellungen!$C$3,10,0)),Einstellungen!$F$13:$F$32)))</f>
        <v/>
      </c>
      <c r="U293" s="49">
        <f>IF(OR(A293="",D293=""),0,MAX(0,NETWORKDAYS(MAX(D293,DATE(Einstellungen!$C$3,10,1)),MIN(J293,DATE(Einstellungen!$C$3,11,0)),Einstellungen!$F$13:$F$32)))</f>
        <v/>
      </c>
      <c r="V293" s="49">
        <f>IF(OR(A293="",D293=""),0,MAX(0,NETWORKDAYS(MAX(D293,DATE(Einstellungen!$C$3,11,1)),MIN(J293,DATE(Einstellungen!$C$3,12,0)),Einstellungen!$F$13:$F$32)))</f>
        <v/>
      </c>
      <c r="W293" s="49">
        <f>IF(OR(A293="",D293=""),0,MAX(0,NETWORKDAYS(MAX(D293,DATE(Einstellungen!$C$3,12,1)),MIN(J293,DATE(Einstellungen!$C$3,13,0)),Einstellungen!$F$13:$F$32)))</f>
        <v/>
      </c>
      <c r="X293" s="50">
        <f>L293*K293</f>
        <v/>
      </c>
      <c r="Y293" s="50">
        <f>M293*K293</f>
        <v/>
      </c>
      <c r="Z293" s="50">
        <f>N293*K293</f>
        <v/>
      </c>
      <c r="AA293" s="50">
        <f>O293*K293</f>
        <v/>
      </c>
      <c r="AB293" s="50">
        <f>P293*K293</f>
        <v/>
      </c>
      <c r="AC293" s="50">
        <f>Q293*K293</f>
        <v/>
      </c>
      <c r="AD293" s="50">
        <f>R293*K293</f>
        <v/>
      </c>
      <c r="AE293" s="50">
        <f>S293*K293</f>
        <v/>
      </c>
      <c r="AF293" s="50">
        <f>T293*K293</f>
        <v/>
      </c>
      <c r="AG293" s="50">
        <f>U293*K293</f>
        <v/>
      </c>
      <c r="AH293" s="50">
        <f>V293*K293</f>
        <v/>
      </c>
      <c r="AI293" s="50">
        <f>W293*K293</f>
        <v/>
      </c>
    </row>
    <row r="294">
      <c r="A294" s="25" t="n"/>
      <c r="B294" s="45">
        <f>IF(A294="","",IFERROR(INDEX(Mitarbeiter!$B$6:$B$205,MATCH($A294,Mitarbeiter!$A$6:$A$205,0)),"?"))</f>
        <v/>
      </c>
      <c r="C294" s="46" t="n"/>
      <c r="D294" s="26" t="n"/>
      <c r="E294" s="26" t="n"/>
      <c r="F294" s="24">
        <f>IF(A294="","",SUM(L294:W294))</f>
        <v/>
      </c>
      <c r="G294" s="36">
        <f>IF(A294="","",SUM(X294:AI294))</f>
        <v/>
      </c>
      <c r="H294" s="8">
        <f>IF(A294="","",IF(ISNA(MATCH(A294,Mitarbeiter!$A$6:$A$205,0)),"Pers.-Nr. unbekannt",IF(D294="","Von fehlt",IF(AND(C294&lt;&gt;Einstellungen!$C$4,C294&lt;&gt;Einstellungen!$C$5),"Objekt fehlt",IF(J294&lt;D294,"Bis vor Von",IF(D294&lt;INDEX(Mitarbeiter!$C$6:$C$205,MATCH($A294,Mitarbeiter!$A$6:$A$205,0)),"vor Eintritt",IF(AND(INDEX(Mitarbeiter!$D$6:$D$205,MATCH($A294,Mitarbeiter!$A$6:$A$205,0))&lt;&gt;"",D294&gt;INDEX(Mitarbeiter!$D$6:$D$205,MATCH($A294,Mitarbeiter!$A$6:$A$205,0))),"nach Austritt",IF(E294="","offen","ok"))))))))</f>
        <v/>
      </c>
      <c r="J294" s="47">
        <f>IF(A294="","",IF(E294="",Einstellungen!$C$9,E294))</f>
        <v/>
      </c>
      <c r="K294" s="48">
        <f>IF(A294="",0,IFERROR(INDEX(Mitarbeiter!$F$6:$F$205,MATCH($A294,Mitarbeiter!$A$6:$A$205,0)),0))</f>
        <v/>
      </c>
      <c r="L294" s="49">
        <f>IF(OR(A294="",D294=""),0,MAX(0,NETWORKDAYS(MAX(D294,DATE(Einstellungen!$C$3,1,1)),MIN(J294,DATE(Einstellungen!$C$3,2,0)),Einstellungen!$F$13:$F$32)))</f>
        <v/>
      </c>
      <c r="M294" s="49">
        <f>IF(OR(A294="",D294=""),0,MAX(0,NETWORKDAYS(MAX(D294,DATE(Einstellungen!$C$3,2,1)),MIN(J294,DATE(Einstellungen!$C$3,3,0)),Einstellungen!$F$13:$F$32)))</f>
        <v/>
      </c>
      <c r="N294" s="49">
        <f>IF(OR(A294="",D294=""),0,MAX(0,NETWORKDAYS(MAX(D294,DATE(Einstellungen!$C$3,3,1)),MIN(J294,DATE(Einstellungen!$C$3,4,0)),Einstellungen!$F$13:$F$32)))</f>
        <v/>
      </c>
      <c r="O294" s="49">
        <f>IF(OR(A294="",D294=""),0,MAX(0,NETWORKDAYS(MAX(D294,DATE(Einstellungen!$C$3,4,1)),MIN(J294,DATE(Einstellungen!$C$3,5,0)),Einstellungen!$F$13:$F$32)))</f>
        <v/>
      </c>
      <c r="P294" s="49">
        <f>IF(OR(A294="",D294=""),0,MAX(0,NETWORKDAYS(MAX(D294,DATE(Einstellungen!$C$3,5,1)),MIN(J294,DATE(Einstellungen!$C$3,6,0)),Einstellungen!$F$13:$F$32)))</f>
        <v/>
      </c>
      <c r="Q294" s="49">
        <f>IF(OR(A294="",D294=""),0,MAX(0,NETWORKDAYS(MAX(D294,DATE(Einstellungen!$C$3,6,1)),MIN(J294,DATE(Einstellungen!$C$3,7,0)),Einstellungen!$F$13:$F$32)))</f>
        <v/>
      </c>
      <c r="R294" s="49">
        <f>IF(OR(A294="",D294=""),0,MAX(0,NETWORKDAYS(MAX(D294,DATE(Einstellungen!$C$3,7,1)),MIN(J294,DATE(Einstellungen!$C$3,8,0)),Einstellungen!$F$13:$F$32)))</f>
        <v/>
      </c>
      <c r="S294" s="49">
        <f>IF(OR(A294="",D294=""),0,MAX(0,NETWORKDAYS(MAX(D294,DATE(Einstellungen!$C$3,8,1)),MIN(J294,DATE(Einstellungen!$C$3,9,0)),Einstellungen!$F$13:$F$32)))</f>
        <v/>
      </c>
      <c r="T294" s="49">
        <f>IF(OR(A294="",D294=""),0,MAX(0,NETWORKDAYS(MAX(D294,DATE(Einstellungen!$C$3,9,1)),MIN(J294,DATE(Einstellungen!$C$3,10,0)),Einstellungen!$F$13:$F$32)))</f>
        <v/>
      </c>
      <c r="U294" s="49">
        <f>IF(OR(A294="",D294=""),0,MAX(0,NETWORKDAYS(MAX(D294,DATE(Einstellungen!$C$3,10,1)),MIN(J294,DATE(Einstellungen!$C$3,11,0)),Einstellungen!$F$13:$F$32)))</f>
        <v/>
      </c>
      <c r="V294" s="49">
        <f>IF(OR(A294="",D294=""),0,MAX(0,NETWORKDAYS(MAX(D294,DATE(Einstellungen!$C$3,11,1)),MIN(J294,DATE(Einstellungen!$C$3,12,0)),Einstellungen!$F$13:$F$32)))</f>
        <v/>
      </c>
      <c r="W294" s="49">
        <f>IF(OR(A294="",D294=""),0,MAX(0,NETWORKDAYS(MAX(D294,DATE(Einstellungen!$C$3,12,1)),MIN(J294,DATE(Einstellungen!$C$3,13,0)),Einstellungen!$F$13:$F$32)))</f>
        <v/>
      </c>
      <c r="X294" s="50">
        <f>L294*K294</f>
        <v/>
      </c>
      <c r="Y294" s="50">
        <f>M294*K294</f>
        <v/>
      </c>
      <c r="Z294" s="50">
        <f>N294*K294</f>
        <v/>
      </c>
      <c r="AA294" s="50">
        <f>O294*K294</f>
        <v/>
      </c>
      <c r="AB294" s="50">
        <f>P294*K294</f>
        <v/>
      </c>
      <c r="AC294" s="50">
        <f>Q294*K294</f>
        <v/>
      </c>
      <c r="AD294" s="50">
        <f>R294*K294</f>
        <v/>
      </c>
      <c r="AE294" s="50">
        <f>S294*K294</f>
        <v/>
      </c>
      <c r="AF294" s="50">
        <f>T294*K294</f>
        <v/>
      </c>
      <c r="AG294" s="50">
        <f>U294*K294</f>
        <v/>
      </c>
      <c r="AH294" s="50">
        <f>V294*K294</f>
        <v/>
      </c>
      <c r="AI294" s="50">
        <f>W294*K294</f>
        <v/>
      </c>
    </row>
    <row r="295">
      <c r="A295" s="25" t="n"/>
      <c r="B295" s="45">
        <f>IF(A295="","",IFERROR(INDEX(Mitarbeiter!$B$6:$B$205,MATCH($A295,Mitarbeiter!$A$6:$A$205,0)),"?"))</f>
        <v/>
      </c>
      <c r="C295" s="46" t="n"/>
      <c r="D295" s="26" t="n"/>
      <c r="E295" s="26" t="n"/>
      <c r="F295" s="24">
        <f>IF(A295="","",SUM(L295:W295))</f>
        <v/>
      </c>
      <c r="G295" s="36">
        <f>IF(A295="","",SUM(X295:AI295))</f>
        <v/>
      </c>
      <c r="H295" s="8">
        <f>IF(A295="","",IF(ISNA(MATCH(A295,Mitarbeiter!$A$6:$A$205,0)),"Pers.-Nr. unbekannt",IF(D295="","Von fehlt",IF(AND(C295&lt;&gt;Einstellungen!$C$4,C295&lt;&gt;Einstellungen!$C$5),"Objekt fehlt",IF(J295&lt;D295,"Bis vor Von",IF(D295&lt;INDEX(Mitarbeiter!$C$6:$C$205,MATCH($A295,Mitarbeiter!$A$6:$A$205,0)),"vor Eintritt",IF(AND(INDEX(Mitarbeiter!$D$6:$D$205,MATCH($A295,Mitarbeiter!$A$6:$A$205,0))&lt;&gt;"",D295&gt;INDEX(Mitarbeiter!$D$6:$D$205,MATCH($A295,Mitarbeiter!$A$6:$A$205,0))),"nach Austritt",IF(E295="","offen","ok"))))))))</f>
        <v/>
      </c>
      <c r="J295" s="47">
        <f>IF(A295="","",IF(E295="",Einstellungen!$C$9,E295))</f>
        <v/>
      </c>
      <c r="K295" s="48">
        <f>IF(A295="",0,IFERROR(INDEX(Mitarbeiter!$F$6:$F$205,MATCH($A295,Mitarbeiter!$A$6:$A$205,0)),0))</f>
        <v/>
      </c>
      <c r="L295" s="49">
        <f>IF(OR(A295="",D295=""),0,MAX(0,NETWORKDAYS(MAX(D295,DATE(Einstellungen!$C$3,1,1)),MIN(J295,DATE(Einstellungen!$C$3,2,0)),Einstellungen!$F$13:$F$32)))</f>
        <v/>
      </c>
      <c r="M295" s="49">
        <f>IF(OR(A295="",D295=""),0,MAX(0,NETWORKDAYS(MAX(D295,DATE(Einstellungen!$C$3,2,1)),MIN(J295,DATE(Einstellungen!$C$3,3,0)),Einstellungen!$F$13:$F$32)))</f>
        <v/>
      </c>
      <c r="N295" s="49">
        <f>IF(OR(A295="",D295=""),0,MAX(0,NETWORKDAYS(MAX(D295,DATE(Einstellungen!$C$3,3,1)),MIN(J295,DATE(Einstellungen!$C$3,4,0)),Einstellungen!$F$13:$F$32)))</f>
        <v/>
      </c>
      <c r="O295" s="49">
        <f>IF(OR(A295="",D295=""),0,MAX(0,NETWORKDAYS(MAX(D295,DATE(Einstellungen!$C$3,4,1)),MIN(J295,DATE(Einstellungen!$C$3,5,0)),Einstellungen!$F$13:$F$32)))</f>
        <v/>
      </c>
      <c r="P295" s="49">
        <f>IF(OR(A295="",D295=""),0,MAX(0,NETWORKDAYS(MAX(D295,DATE(Einstellungen!$C$3,5,1)),MIN(J295,DATE(Einstellungen!$C$3,6,0)),Einstellungen!$F$13:$F$32)))</f>
        <v/>
      </c>
      <c r="Q295" s="49">
        <f>IF(OR(A295="",D295=""),0,MAX(0,NETWORKDAYS(MAX(D295,DATE(Einstellungen!$C$3,6,1)),MIN(J295,DATE(Einstellungen!$C$3,7,0)),Einstellungen!$F$13:$F$32)))</f>
        <v/>
      </c>
      <c r="R295" s="49">
        <f>IF(OR(A295="",D295=""),0,MAX(0,NETWORKDAYS(MAX(D295,DATE(Einstellungen!$C$3,7,1)),MIN(J295,DATE(Einstellungen!$C$3,8,0)),Einstellungen!$F$13:$F$32)))</f>
        <v/>
      </c>
      <c r="S295" s="49">
        <f>IF(OR(A295="",D295=""),0,MAX(0,NETWORKDAYS(MAX(D295,DATE(Einstellungen!$C$3,8,1)),MIN(J295,DATE(Einstellungen!$C$3,9,0)),Einstellungen!$F$13:$F$32)))</f>
        <v/>
      </c>
      <c r="T295" s="49">
        <f>IF(OR(A295="",D295=""),0,MAX(0,NETWORKDAYS(MAX(D295,DATE(Einstellungen!$C$3,9,1)),MIN(J295,DATE(Einstellungen!$C$3,10,0)),Einstellungen!$F$13:$F$32)))</f>
        <v/>
      </c>
      <c r="U295" s="49">
        <f>IF(OR(A295="",D295=""),0,MAX(0,NETWORKDAYS(MAX(D295,DATE(Einstellungen!$C$3,10,1)),MIN(J295,DATE(Einstellungen!$C$3,11,0)),Einstellungen!$F$13:$F$32)))</f>
        <v/>
      </c>
      <c r="V295" s="49">
        <f>IF(OR(A295="",D295=""),0,MAX(0,NETWORKDAYS(MAX(D295,DATE(Einstellungen!$C$3,11,1)),MIN(J295,DATE(Einstellungen!$C$3,12,0)),Einstellungen!$F$13:$F$32)))</f>
        <v/>
      </c>
      <c r="W295" s="49">
        <f>IF(OR(A295="",D295=""),0,MAX(0,NETWORKDAYS(MAX(D295,DATE(Einstellungen!$C$3,12,1)),MIN(J295,DATE(Einstellungen!$C$3,13,0)),Einstellungen!$F$13:$F$32)))</f>
        <v/>
      </c>
      <c r="X295" s="50">
        <f>L295*K295</f>
        <v/>
      </c>
      <c r="Y295" s="50">
        <f>M295*K295</f>
        <v/>
      </c>
      <c r="Z295" s="50">
        <f>N295*K295</f>
        <v/>
      </c>
      <c r="AA295" s="50">
        <f>O295*K295</f>
        <v/>
      </c>
      <c r="AB295" s="50">
        <f>P295*K295</f>
        <v/>
      </c>
      <c r="AC295" s="50">
        <f>Q295*K295</f>
        <v/>
      </c>
      <c r="AD295" s="50">
        <f>R295*K295</f>
        <v/>
      </c>
      <c r="AE295" s="50">
        <f>S295*K295</f>
        <v/>
      </c>
      <c r="AF295" s="50">
        <f>T295*K295</f>
        <v/>
      </c>
      <c r="AG295" s="50">
        <f>U295*K295</f>
        <v/>
      </c>
      <c r="AH295" s="50">
        <f>V295*K295</f>
        <v/>
      </c>
      <c r="AI295" s="50">
        <f>W295*K295</f>
        <v/>
      </c>
    </row>
    <row r="296">
      <c r="A296" s="25" t="n"/>
      <c r="B296" s="45">
        <f>IF(A296="","",IFERROR(INDEX(Mitarbeiter!$B$6:$B$205,MATCH($A296,Mitarbeiter!$A$6:$A$205,0)),"?"))</f>
        <v/>
      </c>
      <c r="C296" s="46" t="n"/>
      <c r="D296" s="26" t="n"/>
      <c r="E296" s="26" t="n"/>
      <c r="F296" s="24">
        <f>IF(A296="","",SUM(L296:W296))</f>
        <v/>
      </c>
      <c r="G296" s="36">
        <f>IF(A296="","",SUM(X296:AI296))</f>
        <v/>
      </c>
      <c r="H296" s="8">
        <f>IF(A296="","",IF(ISNA(MATCH(A296,Mitarbeiter!$A$6:$A$205,0)),"Pers.-Nr. unbekannt",IF(D296="","Von fehlt",IF(AND(C296&lt;&gt;Einstellungen!$C$4,C296&lt;&gt;Einstellungen!$C$5),"Objekt fehlt",IF(J296&lt;D296,"Bis vor Von",IF(D296&lt;INDEX(Mitarbeiter!$C$6:$C$205,MATCH($A296,Mitarbeiter!$A$6:$A$205,0)),"vor Eintritt",IF(AND(INDEX(Mitarbeiter!$D$6:$D$205,MATCH($A296,Mitarbeiter!$A$6:$A$205,0))&lt;&gt;"",D296&gt;INDEX(Mitarbeiter!$D$6:$D$205,MATCH($A296,Mitarbeiter!$A$6:$A$205,0))),"nach Austritt",IF(E296="","offen","ok"))))))))</f>
        <v/>
      </c>
      <c r="J296" s="47">
        <f>IF(A296="","",IF(E296="",Einstellungen!$C$9,E296))</f>
        <v/>
      </c>
      <c r="K296" s="48">
        <f>IF(A296="",0,IFERROR(INDEX(Mitarbeiter!$F$6:$F$205,MATCH($A296,Mitarbeiter!$A$6:$A$205,0)),0))</f>
        <v/>
      </c>
      <c r="L296" s="49">
        <f>IF(OR(A296="",D296=""),0,MAX(0,NETWORKDAYS(MAX(D296,DATE(Einstellungen!$C$3,1,1)),MIN(J296,DATE(Einstellungen!$C$3,2,0)),Einstellungen!$F$13:$F$32)))</f>
        <v/>
      </c>
      <c r="M296" s="49">
        <f>IF(OR(A296="",D296=""),0,MAX(0,NETWORKDAYS(MAX(D296,DATE(Einstellungen!$C$3,2,1)),MIN(J296,DATE(Einstellungen!$C$3,3,0)),Einstellungen!$F$13:$F$32)))</f>
        <v/>
      </c>
      <c r="N296" s="49">
        <f>IF(OR(A296="",D296=""),0,MAX(0,NETWORKDAYS(MAX(D296,DATE(Einstellungen!$C$3,3,1)),MIN(J296,DATE(Einstellungen!$C$3,4,0)),Einstellungen!$F$13:$F$32)))</f>
        <v/>
      </c>
      <c r="O296" s="49">
        <f>IF(OR(A296="",D296=""),0,MAX(0,NETWORKDAYS(MAX(D296,DATE(Einstellungen!$C$3,4,1)),MIN(J296,DATE(Einstellungen!$C$3,5,0)),Einstellungen!$F$13:$F$32)))</f>
        <v/>
      </c>
      <c r="P296" s="49">
        <f>IF(OR(A296="",D296=""),0,MAX(0,NETWORKDAYS(MAX(D296,DATE(Einstellungen!$C$3,5,1)),MIN(J296,DATE(Einstellungen!$C$3,6,0)),Einstellungen!$F$13:$F$32)))</f>
        <v/>
      </c>
      <c r="Q296" s="49">
        <f>IF(OR(A296="",D296=""),0,MAX(0,NETWORKDAYS(MAX(D296,DATE(Einstellungen!$C$3,6,1)),MIN(J296,DATE(Einstellungen!$C$3,7,0)),Einstellungen!$F$13:$F$32)))</f>
        <v/>
      </c>
      <c r="R296" s="49">
        <f>IF(OR(A296="",D296=""),0,MAX(0,NETWORKDAYS(MAX(D296,DATE(Einstellungen!$C$3,7,1)),MIN(J296,DATE(Einstellungen!$C$3,8,0)),Einstellungen!$F$13:$F$32)))</f>
        <v/>
      </c>
      <c r="S296" s="49">
        <f>IF(OR(A296="",D296=""),0,MAX(0,NETWORKDAYS(MAX(D296,DATE(Einstellungen!$C$3,8,1)),MIN(J296,DATE(Einstellungen!$C$3,9,0)),Einstellungen!$F$13:$F$32)))</f>
        <v/>
      </c>
      <c r="T296" s="49">
        <f>IF(OR(A296="",D296=""),0,MAX(0,NETWORKDAYS(MAX(D296,DATE(Einstellungen!$C$3,9,1)),MIN(J296,DATE(Einstellungen!$C$3,10,0)),Einstellungen!$F$13:$F$32)))</f>
        <v/>
      </c>
      <c r="U296" s="49">
        <f>IF(OR(A296="",D296=""),0,MAX(0,NETWORKDAYS(MAX(D296,DATE(Einstellungen!$C$3,10,1)),MIN(J296,DATE(Einstellungen!$C$3,11,0)),Einstellungen!$F$13:$F$32)))</f>
        <v/>
      </c>
      <c r="V296" s="49">
        <f>IF(OR(A296="",D296=""),0,MAX(0,NETWORKDAYS(MAX(D296,DATE(Einstellungen!$C$3,11,1)),MIN(J296,DATE(Einstellungen!$C$3,12,0)),Einstellungen!$F$13:$F$32)))</f>
        <v/>
      </c>
      <c r="W296" s="49">
        <f>IF(OR(A296="",D296=""),0,MAX(0,NETWORKDAYS(MAX(D296,DATE(Einstellungen!$C$3,12,1)),MIN(J296,DATE(Einstellungen!$C$3,13,0)),Einstellungen!$F$13:$F$32)))</f>
        <v/>
      </c>
      <c r="X296" s="50">
        <f>L296*K296</f>
        <v/>
      </c>
      <c r="Y296" s="50">
        <f>M296*K296</f>
        <v/>
      </c>
      <c r="Z296" s="50">
        <f>N296*K296</f>
        <v/>
      </c>
      <c r="AA296" s="50">
        <f>O296*K296</f>
        <v/>
      </c>
      <c r="AB296" s="50">
        <f>P296*K296</f>
        <v/>
      </c>
      <c r="AC296" s="50">
        <f>Q296*K296</f>
        <v/>
      </c>
      <c r="AD296" s="50">
        <f>R296*K296</f>
        <v/>
      </c>
      <c r="AE296" s="50">
        <f>S296*K296</f>
        <v/>
      </c>
      <c r="AF296" s="50">
        <f>T296*K296</f>
        <v/>
      </c>
      <c r="AG296" s="50">
        <f>U296*K296</f>
        <v/>
      </c>
      <c r="AH296" s="50">
        <f>V296*K296</f>
        <v/>
      </c>
      <c r="AI296" s="50">
        <f>W296*K296</f>
        <v/>
      </c>
    </row>
    <row r="297">
      <c r="A297" s="25" t="n"/>
      <c r="B297" s="45">
        <f>IF(A297="","",IFERROR(INDEX(Mitarbeiter!$B$6:$B$205,MATCH($A297,Mitarbeiter!$A$6:$A$205,0)),"?"))</f>
        <v/>
      </c>
      <c r="C297" s="46" t="n"/>
      <c r="D297" s="26" t="n"/>
      <c r="E297" s="26" t="n"/>
      <c r="F297" s="24">
        <f>IF(A297="","",SUM(L297:W297))</f>
        <v/>
      </c>
      <c r="G297" s="36">
        <f>IF(A297="","",SUM(X297:AI297))</f>
        <v/>
      </c>
      <c r="H297" s="8">
        <f>IF(A297="","",IF(ISNA(MATCH(A297,Mitarbeiter!$A$6:$A$205,0)),"Pers.-Nr. unbekannt",IF(D297="","Von fehlt",IF(AND(C297&lt;&gt;Einstellungen!$C$4,C297&lt;&gt;Einstellungen!$C$5),"Objekt fehlt",IF(J297&lt;D297,"Bis vor Von",IF(D297&lt;INDEX(Mitarbeiter!$C$6:$C$205,MATCH($A297,Mitarbeiter!$A$6:$A$205,0)),"vor Eintritt",IF(AND(INDEX(Mitarbeiter!$D$6:$D$205,MATCH($A297,Mitarbeiter!$A$6:$A$205,0))&lt;&gt;"",D297&gt;INDEX(Mitarbeiter!$D$6:$D$205,MATCH($A297,Mitarbeiter!$A$6:$A$205,0))),"nach Austritt",IF(E297="","offen","ok"))))))))</f>
        <v/>
      </c>
      <c r="J297" s="47">
        <f>IF(A297="","",IF(E297="",Einstellungen!$C$9,E297))</f>
        <v/>
      </c>
      <c r="K297" s="48">
        <f>IF(A297="",0,IFERROR(INDEX(Mitarbeiter!$F$6:$F$205,MATCH($A297,Mitarbeiter!$A$6:$A$205,0)),0))</f>
        <v/>
      </c>
      <c r="L297" s="49">
        <f>IF(OR(A297="",D297=""),0,MAX(0,NETWORKDAYS(MAX(D297,DATE(Einstellungen!$C$3,1,1)),MIN(J297,DATE(Einstellungen!$C$3,2,0)),Einstellungen!$F$13:$F$32)))</f>
        <v/>
      </c>
      <c r="M297" s="49">
        <f>IF(OR(A297="",D297=""),0,MAX(0,NETWORKDAYS(MAX(D297,DATE(Einstellungen!$C$3,2,1)),MIN(J297,DATE(Einstellungen!$C$3,3,0)),Einstellungen!$F$13:$F$32)))</f>
        <v/>
      </c>
      <c r="N297" s="49">
        <f>IF(OR(A297="",D297=""),0,MAX(0,NETWORKDAYS(MAX(D297,DATE(Einstellungen!$C$3,3,1)),MIN(J297,DATE(Einstellungen!$C$3,4,0)),Einstellungen!$F$13:$F$32)))</f>
        <v/>
      </c>
      <c r="O297" s="49">
        <f>IF(OR(A297="",D297=""),0,MAX(0,NETWORKDAYS(MAX(D297,DATE(Einstellungen!$C$3,4,1)),MIN(J297,DATE(Einstellungen!$C$3,5,0)),Einstellungen!$F$13:$F$32)))</f>
        <v/>
      </c>
      <c r="P297" s="49">
        <f>IF(OR(A297="",D297=""),0,MAX(0,NETWORKDAYS(MAX(D297,DATE(Einstellungen!$C$3,5,1)),MIN(J297,DATE(Einstellungen!$C$3,6,0)),Einstellungen!$F$13:$F$32)))</f>
        <v/>
      </c>
      <c r="Q297" s="49">
        <f>IF(OR(A297="",D297=""),0,MAX(0,NETWORKDAYS(MAX(D297,DATE(Einstellungen!$C$3,6,1)),MIN(J297,DATE(Einstellungen!$C$3,7,0)),Einstellungen!$F$13:$F$32)))</f>
        <v/>
      </c>
      <c r="R297" s="49">
        <f>IF(OR(A297="",D297=""),0,MAX(0,NETWORKDAYS(MAX(D297,DATE(Einstellungen!$C$3,7,1)),MIN(J297,DATE(Einstellungen!$C$3,8,0)),Einstellungen!$F$13:$F$32)))</f>
        <v/>
      </c>
      <c r="S297" s="49">
        <f>IF(OR(A297="",D297=""),0,MAX(0,NETWORKDAYS(MAX(D297,DATE(Einstellungen!$C$3,8,1)),MIN(J297,DATE(Einstellungen!$C$3,9,0)),Einstellungen!$F$13:$F$32)))</f>
        <v/>
      </c>
      <c r="T297" s="49">
        <f>IF(OR(A297="",D297=""),0,MAX(0,NETWORKDAYS(MAX(D297,DATE(Einstellungen!$C$3,9,1)),MIN(J297,DATE(Einstellungen!$C$3,10,0)),Einstellungen!$F$13:$F$32)))</f>
        <v/>
      </c>
      <c r="U297" s="49">
        <f>IF(OR(A297="",D297=""),0,MAX(0,NETWORKDAYS(MAX(D297,DATE(Einstellungen!$C$3,10,1)),MIN(J297,DATE(Einstellungen!$C$3,11,0)),Einstellungen!$F$13:$F$32)))</f>
        <v/>
      </c>
      <c r="V297" s="49">
        <f>IF(OR(A297="",D297=""),0,MAX(0,NETWORKDAYS(MAX(D297,DATE(Einstellungen!$C$3,11,1)),MIN(J297,DATE(Einstellungen!$C$3,12,0)),Einstellungen!$F$13:$F$32)))</f>
        <v/>
      </c>
      <c r="W297" s="49">
        <f>IF(OR(A297="",D297=""),0,MAX(0,NETWORKDAYS(MAX(D297,DATE(Einstellungen!$C$3,12,1)),MIN(J297,DATE(Einstellungen!$C$3,13,0)),Einstellungen!$F$13:$F$32)))</f>
        <v/>
      </c>
      <c r="X297" s="50">
        <f>L297*K297</f>
        <v/>
      </c>
      <c r="Y297" s="50">
        <f>M297*K297</f>
        <v/>
      </c>
      <c r="Z297" s="50">
        <f>N297*K297</f>
        <v/>
      </c>
      <c r="AA297" s="50">
        <f>O297*K297</f>
        <v/>
      </c>
      <c r="AB297" s="50">
        <f>P297*K297</f>
        <v/>
      </c>
      <c r="AC297" s="50">
        <f>Q297*K297</f>
        <v/>
      </c>
      <c r="AD297" s="50">
        <f>R297*K297</f>
        <v/>
      </c>
      <c r="AE297" s="50">
        <f>S297*K297</f>
        <v/>
      </c>
      <c r="AF297" s="50">
        <f>T297*K297</f>
        <v/>
      </c>
      <c r="AG297" s="50">
        <f>U297*K297</f>
        <v/>
      </c>
      <c r="AH297" s="50">
        <f>V297*K297</f>
        <v/>
      </c>
      <c r="AI297" s="50">
        <f>W297*K297</f>
        <v/>
      </c>
    </row>
    <row r="298">
      <c r="A298" s="25" t="n"/>
      <c r="B298" s="45">
        <f>IF(A298="","",IFERROR(INDEX(Mitarbeiter!$B$6:$B$205,MATCH($A298,Mitarbeiter!$A$6:$A$205,0)),"?"))</f>
        <v/>
      </c>
      <c r="C298" s="46" t="n"/>
      <c r="D298" s="26" t="n"/>
      <c r="E298" s="26" t="n"/>
      <c r="F298" s="24">
        <f>IF(A298="","",SUM(L298:W298))</f>
        <v/>
      </c>
      <c r="G298" s="36">
        <f>IF(A298="","",SUM(X298:AI298))</f>
        <v/>
      </c>
      <c r="H298" s="8">
        <f>IF(A298="","",IF(ISNA(MATCH(A298,Mitarbeiter!$A$6:$A$205,0)),"Pers.-Nr. unbekannt",IF(D298="","Von fehlt",IF(AND(C298&lt;&gt;Einstellungen!$C$4,C298&lt;&gt;Einstellungen!$C$5),"Objekt fehlt",IF(J298&lt;D298,"Bis vor Von",IF(D298&lt;INDEX(Mitarbeiter!$C$6:$C$205,MATCH($A298,Mitarbeiter!$A$6:$A$205,0)),"vor Eintritt",IF(AND(INDEX(Mitarbeiter!$D$6:$D$205,MATCH($A298,Mitarbeiter!$A$6:$A$205,0))&lt;&gt;"",D298&gt;INDEX(Mitarbeiter!$D$6:$D$205,MATCH($A298,Mitarbeiter!$A$6:$A$205,0))),"nach Austritt",IF(E298="","offen","ok"))))))))</f>
        <v/>
      </c>
      <c r="J298" s="47">
        <f>IF(A298="","",IF(E298="",Einstellungen!$C$9,E298))</f>
        <v/>
      </c>
      <c r="K298" s="48">
        <f>IF(A298="",0,IFERROR(INDEX(Mitarbeiter!$F$6:$F$205,MATCH($A298,Mitarbeiter!$A$6:$A$205,0)),0))</f>
        <v/>
      </c>
      <c r="L298" s="49">
        <f>IF(OR(A298="",D298=""),0,MAX(0,NETWORKDAYS(MAX(D298,DATE(Einstellungen!$C$3,1,1)),MIN(J298,DATE(Einstellungen!$C$3,2,0)),Einstellungen!$F$13:$F$32)))</f>
        <v/>
      </c>
      <c r="M298" s="49">
        <f>IF(OR(A298="",D298=""),0,MAX(0,NETWORKDAYS(MAX(D298,DATE(Einstellungen!$C$3,2,1)),MIN(J298,DATE(Einstellungen!$C$3,3,0)),Einstellungen!$F$13:$F$32)))</f>
        <v/>
      </c>
      <c r="N298" s="49">
        <f>IF(OR(A298="",D298=""),0,MAX(0,NETWORKDAYS(MAX(D298,DATE(Einstellungen!$C$3,3,1)),MIN(J298,DATE(Einstellungen!$C$3,4,0)),Einstellungen!$F$13:$F$32)))</f>
        <v/>
      </c>
      <c r="O298" s="49">
        <f>IF(OR(A298="",D298=""),0,MAX(0,NETWORKDAYS(MAX(D298,DATE(Einstellungen!$C$3,4,1)),MIN(J298,DATE(Einstellungen!$C$3,5,0)),Einstellungen!$F$13:$F$32)))</f>
        <v/>
      </c>
      <c r="P298" s="49">
        <f>IF(OR(A298="",D298=""),0,MAX(0,NETWORKDAYS(MAX(D298,DATE(Einstellungen!$C$3,5,1)),MIN(J298,DATE(Einstellungen!$C$3,6,0)),Einstellungen!$F$13:$F$32)))</f>
        <v/>
      </c>
      <c r="Q298" s="49">
        <f>IF(OR(A298="",D298=""),0,MAX(0,NETWORKDAYS(MAX(D298,DATE(Einstellungen!$C$3,6,1)),MIN(J298,DATE(Einstellungen!$C$3,7,0)),Einstellungen!$F$13:$F$32)))</f>
        <v/>
      </c>
      <c r="R298" s="49">
        <f>IF(OR(A298="",D298=""),0,MAX(0,NETWORKDAYS(MAX(D298,DATE(Einstellungen!$C$3,7,1)),MIN(J298,DATE(Einstellungen!$C$3,8,0)),Einstellungen!$F$13:$F$32)))</f>
        <v/>
      </c>
      <c r="S298" s="49">
        <f>IF(OR(A298="",D298=""),0,MAX(0,NETWORKDAYS(MAX(D298,DATE(Einstellungen!$C$3,8,1)),MIN(J298,DATE(Einstellungen!$C$3,9,0)),Einstellungen!$F$13:$F$32)))</f>
        <v/>
      </c>
      <c r="T298" s="49">
        <f>IF(OR(A298="",D298=""),0,MAX(0,NETWORKDAYS(MAX(D298,DATE(Einstellungen!$C$3,9,1)),MIN(J298,DATE(Einstellungen!$C$3,10,0)),Einstellungen!$F$13:$F$32)))</f>
        <v/>
      </c>
      <c r="U298" s="49">
        <f>IF(OR(A298="",D298=""),0,MAX(0,NETWORKDAYS(MAX(D298,DATE(Einstellungen!$C$3,10,1)),MIN(J298,DATE(Einstellungen!$C$3,11,0)),Einstellungen!$F$13:$F$32)))</f>
        <v/>
      </c>
      <c r="V298" s="49">
        <f>IF(OR(A298="",D298=""),0,MAX(0,NETWORKDAYS(MAX(D298,DATE(Einstellungen!$C$3,11,1)),MIN(J298,DATE(Einstellungen!$C$3,12,0)),Einstellungen!$F$13:$F$32)))</f>
        <v/>
      </c>
      <c r="W298" s="49">
        <f>IF(OR(A298="",D298=""),0,MAX(0,NETWORKDAYS(MAX(D298,DATE(Einstellungen!$C$3,12,1)),MIN(J298,DATE(Einstellungen!$C$3,13,0)),Einstellungen!$F$13:$F$32)))</f>
        <v/>
      </c>
      <c r="X298" s="50">
        <f>L298*K298</f>
        <v/>
      </c>
      <c r="Y298" s="50">
        <f>M298*K298</f>
        <v/>
      </c>
      <c r="Z298" s="50">
        <f>N298*K298</f>
        <v/>
      </c>
      <c r="AA298" s="50">
        <f>O298*K298</f>
        <v/>
      </c>
      <c r="AB298" s="50">
        <f>P298*K298</f>
        <v/>
      </c>
      <c r="AC298" s="50">
        <f>Q298*K298</f>
        <v/>
      </c>
      <c r="AD298" s="50">
        <f>R298*K298</f>
        <v/>
      </c>
      <c r="AE298" s="50">
        <f>S298*K298</f>
        <v/>
      </c>
      <c r="AF298" s="50">
        <f>T298*K298</f>
        <v/>
      </c>
      <c r="AG298" s="50">
        <f>U298*K298</f>
        <v/>
      </c>
      <c r="AH298" s="50">
        <f>V298*K298</f>
        <v/>
      </c>
      <c r="AI298" s="50">
        <f>W298*K298</f>
        <v/>
      </c>
    </row>
    <row r="299">
      <c r="A299" s="25" t="n"/>
      <c r="B299" s="45">
        <f>IF(A299="","",IFERROR(INDEX(Mitarbeiter!$B$6:$B$205,MATCH($A299,Mitarbeiter!$A$6:$A$205,0)),"?"))</f>
        <v/>
      </c>
      <c r="C299" s="46" t="n"/>
      <c r="D299" s="26" t="n"/>
      <c r="E299" s="26" t="n"/>
      <c r="F299" s="24">
        <f>IF(A299="","",SUM(L299:W299))</f>
        <v/>
      </c>
      <c r="G299" s="36">
        <f>IF(A299="","",SUM(X299:AI299))</f>
        <v/>
      </c>
      <c r="H299" s="8">
        <f>IF(A299="","",IF(ISNA(MATCH(A299,Mitarbeiter!$A$6:$A$205,0)),"Pers.-Nr. unbekannt",IF(D299="","Von fehlt",IF(AND(C299&lt;&gt;Einstellungen!$C$4,C299&lt;&gt;Einstellungen!$C$5),"Objekt fehlt",IF(J299&lt;D299,"Bis vor Von",IF(D299&lt;INDEX(Mitarbeiter!$C$6:$C$205,MATCH($A299,Mitarbeiter!$A$6:$A$205,0)),"vor Eintritt",IF(AND(INDEX(Mitarbeiter!$D$6:$D$205,MATCH($A299,Mitarbeiter!$A$6:$A$205,0))&lt;&gt;"",D299&gt;INDEX(Mitarbeiter!$D$6:$D$205,MATCH($A299,Mitarbeiter!$A$6:$A$205,0))),"nach Austritt",IF(E299="","offen","ok"))))))))</f>
        <v/>
      </c>
      <c r="J299" s="47">
        <f>IF(A299="","",IF(E299="",Einstellungen!$C$9,E299))</f>
        <v/>
      </c>
      <c r="K299" s="48">
        <f>IF(A299="",0,IFERROR(INDEX(Mitarbeiter!$F$6:$F$205,MATCH($A299,Mitarbeiter!$A$6:$A$205,0)),0))</f>
        <v/>
      </c>
      <c r="L299" s="49">
        <f>IF(OR(A299="",D299=""),0,MAX(0,NETWORKDAYS(MAX(D299,DATE(Einstellungen!$C$3,1,1)),MIN(J299,DATE(Einstellungen!$C$3,2,0)),Einstellungen!$F$13:$F$32)))</f>
        <v/>
      </c>
      <c r="M299" s="49">
        <f>IF(OR(A299="",D299=""),0,MAX(0,NETWORKDAYS(MAX(D299,DATE(Einstellungen!$C$3,2,1)),MIN(J299,DATE(Einstellungen!$C$3,3,0)),Einstellungen!$F$13:$F$32)))</f>
        <v/>
      </c>
      <c r="N299" s="49">
        <f>IF(OR(A299="",D299=""),0,MAX(0,NETWORKDAYS(MAX(D299,DATE(Einstellungen!$C$3,3,1)),MIN(J299,DATE(Einstellungen!$C$3,4,0)),Einstellungen!$F$13:$F$32)))</f>
        <v/>
      </c>
      <c r="O299" s="49">
        <f>IF(OR(A299="",D299=""),0,MAX(0,NETWORKDAYS(MAX(D299,DATE(Einstellungen!$C$3,4,1)),MIN(J299,DATE(Einstellungen!$C$3,5,0)),Einstellungen!$F$13:$F$32)))</f>
        <v/>
      </c>
      <c r="P299" s="49">
        <f>IF(OR(A299="",D299=""),0,MAX(0,NETWORKDAYS(MAX(D299,DATE(Einstellungen!$C$3,5,1)),MIN(J299,DATE(Einstellungen!$C$3,6,0)),Einstellungen!$F$13:$F$32)))</f>
        <v/>
      </c>
      <c r="Q299" s="49">
        <f>IF(OR(A299="",D299=""),0,MAX(0,NETWORKDAYS(MAX(D299,DATE(Einstellungen!$C$3,6,1)),MIN(J299,DATE(Einstellungen!$C$3,7,0)),Einstellungen!$F$13:$F$32)))</f>
        <v/>
      </c>
      <c r="R299" s="49">
        <f>IF(OR(A299="",D299=""),0,MAX(0,NETWORKDAYS(MAX(D299,DATE(Einstellungen!$C$3,7,1)),MIN(J299,DATE(Einstellungen!$C$3,8,0)),Einstellungen!$F$13:$F$32)))</f>
        <v/>
      </c>
      <c r="S299" s="49">
        <f>IF(OR(A299="",D299=""),0,MAX(0,NETWORKDAYS(MAX(D299,DATE(Einstellungen!$C$3,8,1)),MIN(J299,DATE(Einstellungen!$C$3,9,0)),Einstellungen!$F$13:$F$32)))</f>
        <v/>
      </c>
      <c r="T299" s="49">
        <f>IF(OR(A299="",D299=""),0,MAX(0,NETWORKDAYS(MAX(D299,DATE(Einstellungen!$C$3,9,1)),MIN(J299,DATE(Einstellungen!$C$3,10,0)),Einstellungen!$F$13:$F$32)))</f>
        <v/>
      </c>
      <c r="U299" s="49">
        <f>IF(OR(A299="",D299=""),0,MAX(0,NETWORKDAYS(MAX(D299,DATE(Einstellungen!$C$3,10,1)),MIN(J299,DATE(Einstellungen!$C$3,11,0)),Einstellungen!$F$13:$F$32)))</f>
        <v/>
      </c>
      <c r="V299" s="49">
        <f>IF(OR(A299="",D299=""),0,MAX(0,NETWORKDAYS(MAX(D299,DATE(Einstellungen!$C$3,11,1)),MIN(J299,DATE(Einstellungen!$C$3,12,0)),Einstellungen!$F$13:$F$32)))</f>
        <v/>
      </c>
      <c r="W299" s="49">
        <f>IF(OR(A299="",D299=""),0,MAX(0,NETWORKDAYS(MAX(D299,DATE(Einstellungen!$C$3,12,1)),MIN(J299,DATE(Einstellungen!$C$3,13,0)),Einstellungen!$F$13:$F$32)))</f>
        <v/>
      </c>
      <c r="X299" s="50">
        <f>L299*K299</f>
        <v/>
      </c>
      <c r="Y299" s="50">
        <f>M299*K299</f>
        <v/>
      </c>
      <c r="Z299" s="50">
        <f>N299*K299</f>
        <v/>
      </c>
      <c r="AA299" s="50">
        <f>O299*K299</f>
        <v/>
      </c>
      <c r="AB299" s="50">
        <f>P299*K299</f>
        <v/>
      </c>
      <c r="AC299" s="50">
        <f>Q299*K299</f>
        <v/>
      </c>
      <c r="AD299" s="50">
        <f>R299*K299</f>
        <v/>
      </c>
      <c r="AE299" s="50">
        <f>S299*K299</f>
        <v/>
      </c>
      <c r="AF299" s="50">
        <f>T299*K299</f>
        <v/>
      </c>
      <c r="AG299" s="50">
        <f>U299*K299</f>
        <v/>
      </c>
      <c r="AH299" s="50">
        <f>V299*K299</f>
        <v/>
      </c>
      <c r="AI299" s="50">
        <f>W299*K299</f>
        <v/>
      </c>
    </row>
    <row r="300">
      <c r="A300" s="25" t="n"/>
      <c r="B300" s="45">
        <f>IF(A300="","",IFERROR(INDEX(Mitarbeiter!$B$6:$B$205,MATCH($A300,Mitarbeiter!$A$6:$A$205,0)),"?"))</f>
        <v/>
      </c>
      <c r="C300" s="46" t="n"/>
      <c r="D300" s="26" t="n"/>
      <c r="E300" s="26" t="n"/>
      <c r="F300" s="24">
        <f>IF(A300="","",SUM(L300:W300))</f>
        <v/>
      </c>
      <c r="G300" s="36">
        <f>IF(A300="","",SUM(X300:AI300))</f>
        <v/>
      </c>
      <c r="H300" s="8">
        <f>IF(A300="","",IF(ISNA(MATCH(A300,Mitarbeiter!$A$6:$A$205,0)),"Pers.-Nr. unbekannt",IF(D300="","Von fehlt",IF(AND(C300&lt;&gt;Einstellungen!$C$4,C300&lt;&gt;Einstellungen!$C$5),"Objekt fehlt",IF(J300&lt;D300,"Bis vor Von",IF(D300&lt;INDEX(Mitarbeiter!$C$6:$C$205,MATCH($A300,Mitarbeiter!$A$6:$A$205,0)),"vor Eintritt",IF(AND(INDEX(Mitarbeiter!$D$6:$D$205,MATCH($A300,Mitarbeiter!$A$6:$A$205,0))&lt;&gt;"",D300&gt;INDEX(Mitarbeiter!$D$6:$D$205,MATCH($A300,Mitarbeiter!$A$6:$A$205,0))),"nach Austritt",IF(E300="","offen","ok"))))))))</f>
        <v/>
      </c>
      <c r="J300" s="47">
        <f>IF(A300="","",IF(E300="",Einstellungen!$C$9,E300))</f>
        <v/>
      </c>
      <c r="K300" s="48">
        <f>IF(A300="",0,IFERROR(INDEX(Mitarbeiter!$F$6:$F$205,MATCH($A300,Mitarbeiter!$A$6:$A$205,0)),0))</f>
        <v/>
      </c>
      <c r="L300" s="49">
        <f>IF(OR(A300="",D300=""),0,MAX(0,NETWORKDAYS(MAX(D300,DATE(Einstellungen!$C$3,1,1)),MIN(J300,DATE(Einstellungen!$C$3,2,0)),Einstellungen!$F$13:$F$32)))</f>
        <v/>
      </c>
      <c r="M300" s="49">
        <f>IF(OR(A300="",D300=""),0,MAX(0,NETWORKDAYS(MAX(D300,DATE(Einstellungen!$C$3,2,1)),MIN(J300,DATE(Einstellungen!$C$3,3,0)),Einstellungen!$F$13:$F$32)))</f>
        <v/>
      </c>
      <c r="N300" s="49">
        <f>IF(OR(A300="",D300=""),0,MAX(0,NETWORKDAYS(MAX(D300,DATE(Einstellungen!$C$3,3,1)),MIN(J300,DATE(Einstellungen!$C$3,4,0)),Einstellungen!$F$13:$F$32)))</f>
        <v/>
      </c>
      <c r="O300" s="49">
        <f>IF(OR(A300="",D300=""),0,MAX(0,NETWORKDAYS(MAX(D300,DATE(Einstellungen!$C$3,4,1)),MIN(J300,DATE(Einstellungen!$C$3,5,0)),Einstellungen!$F$13:$F$32)))</f>
        <v/>
      </c>
      <c r="P300" s="49">
        <f>IF(OR(A300="",D300=""),0,MAX(0,NETWORKDAYS(MAX(D300,DATE(Einstellungen!$C$3,5,1)),MIN(J300,DATE(Einstellungen!$C$3,6,0)),Einstellungen!$F$13:$F$32)))</f>
        <v/>
      </c>
      <c r="Q300" s="49">
        <f>IF(OR(A300="",D300=""),0,MAX(0,NETWORKDAYS(MAX(D300,DATE(Einstellungen!$C$3,6,1)),MIN(J300,DATE(Einstellungen!$C$3,7,0)),Einstellungen!$F$13:$F$32)))</f>
        <v/>
      </c>
      <c r="R300" s="49">
        <f>IF(OR(A300="",D300=""),0,MAX(0,NETWORKDAYS(MAX(D300,DATE(Einstellungen!$C$3,7,1)),MIN(J300,DATE(Einstellungen!$C$3,8,0)),Einstellungen!$F$13:$F$32)))</f>
        <v/>
      </c>
      <c r="S300" s="49">
        <f>IF(OR(A300="",D300=""),0,MAX(0,NETWORKDAYS(MAX(D300,DATE(Einstellungen!$C$3,8,1)),MIN(J300,DATE(Einstellungen!$C$3,9,0)),Einstellungen!$F$13:$F$32)))</f>
        <v/>
      </c>
      <c r="T300" s="49">
        <f>IF(OR(A300="",D300=""),0,MAX(0,NETWORKDAYS(MAX(D300,DATE(Einstellungen!$C$3,9,1)),MIN(J300,DATE(Einstellungen!$C$3,10,0)),Einstellungen!$F$13:$F$32)))</f>
        <v/>
      </c>
      <c r="U300" s="49">
        <f>IF(OR(A300="",D300=""),0,MAX(0,NETWORKDAYS(MAX(D300,DATE(Einstellungen!$C$3,10,1)),MIN(J300,DATE(Einstellungen!$C$3,11,0)),Einstellungen!$F$13:$F$32)))</f>
        <v/>
      </c>
      <c r="V300" s="49">
        <f>IF(OR(A300="",D300=""),0,MAX(0,NETWORKDAYS(MAX(D300,DATE(Einstellungen!$C$3,11,1)),MIN(J300,DATE(Einstellungen!$C$3,12,0)),Einstellungen!$F$13:$F$32)))</f>
        <v/>
      </c>
      <c r="W300" s="49">
        <f>IF(OR(A300="",D300=""),0,MAX(0,NETWORKDAYS(MAX(D300,DATE(Einstellungen!$C$3,12,1)),MIN(J300,DATE(Einstellungen!$C$3,13,0)),Einstellungen!$F$13:$F$32)))</f>
        <v/>
      </c>
      <c r="X300" s="50">
        <f>L300*K300</f>
        <v/>
      </c>
      <c r="Y300" s="50">
        <f>M300*K300</f>
        <v/>
      </c>
      <c r="Z300" s="50">
        <f>N300*K300</f>
        <v/>
      </c>
      <c r="AA300" s="50">
        <f>O300*K300</f>
        <v/>
      </c>
      <c r="AB300" s="50">
        <f>P300*K300</f>
        <v/>
      </c>
      <c r="AC300" s="50">
        <f>Q300*K300</f>
        <v/>
      </c>
      <c r="AD300" s="50">
        <f>R300*K300</f>
        <v/>
      </c>
      <c r="AE300" s="50">
        <f>S300*K300</f>
        <v/>
      </c>
      <c r="AF300" s="50">
        <f>T300*K300</f>
        <v/>
      </c>
      <c r="AG300" s="50">
        <f>U300*K300</f>
        <v/>
      </c>
      <c r="AH300" s="50">
        <f>V300*K300</f>
        <v/>
      </c>
      <c r="AI300" s="50">
        <f>W300*K300</f>
        <v/>
      </c>
    </row>
    <row r="301">
      <c r="A301" s="25" t="n"/>
      <c r="B301" s="45">
        <f>IF(A301="","",IFERROR(INDEX(Mitarbeiter!$B$6:$B$205,MATCH($A301,Mitarbeiter!$A$6:$A$205,0)),"?"))</f>
        <v/>
      </c>
      <c r="C301" s="46" t="n"/>
      <c r="D301" s="26" t="n"/>
      <c r="E301" s="26" t="n"/>
      <c r="F301" s="24">
        <f>IF(A301="","",SUM(L301:W301))</f>
        <v/>
      </c>
      <c r="G301" s="36">
        <f>IF(A301="","",SUM(X301:AI301))</f>
        <v/>
      </c>
      <c r="H301" s="8">
        <f>IF(A301="","",IF(ISNA(MATCH(A301,Mitarbeiter!$A$6:$A$205,0)),"Pers.-Nr. unbekannt",IF(D301="","Von fehlt",IF(AND(C301&lt;&gt;Einstellungen!$C$4,C301&lt;&gt;Einstellungen!$C$5),"Objekt fehlt",IF(J301&lt;D301,"Bis vor Von",IF(D301&lt;INDEX(Mitarbeiter!$C$6:$C$205,MATCH($A301,Mitarbeiter!$A$6:$A$205,0)),"vor Eintritt",IF(AND(INDEX(Mitarbeiter!$D$6:$D$205,MATCH($A301,Mitarbeiter!$A$6:$A$205,0))&lt;&gt;"",D301&gt;INDEX(Mitarbeiter!$D$6:$D$205,MATCH($A301,Mitarbeiter!$A$6:$A$205,0))),"nach Austritt",IF(E301="","offen","ok"))))))))</f>
        <v/>
      </c>
      <c r="J301" s="47">
        <f>IF(A301="","",IF(E301="",Einstellungen!$C$9,E301))</f>
        <v/>
      </c>
      <c r="K301" s="48">
        <f>IF(A301="",0,IFERROR(INDEX(Mitarbeiter!$F$6:$F$205,MATCH($A301,Mitarbeiter!$A$6:$A$205,0)),0))</f>
        <v/>
      </c>
      <c r="L301" s="49">
        <f>IF(OR(A301="",D301=""),0,MAX(0,NETWORKDAYS(MAX(D301,DATE(Einstellungen!$C$3,1,1)),MIN(J301,DATE(Einstellungen!$C$3,2,0)),Einstellungen!$F$13:$F$32)))</f>
        <v/>
      </c>
      <c r="M301" s="49">
        <f>IF(OR(A301="",D301=""),0,MAX(0,NETWORKDAYS(MAX(D301,DATE(Einstellungen!$C$3,2,1)),MIN(J301,DATE(Einstellungen!$C$3,3,0)),Einstellungen!$F$13:$F$32)))</f>
        <v/>
      </c>
      <c r="N301" s="49">
        <f>IF(OR(A301="",D301=""),0,MAX(0,NETWORKDAYS(MAX(D301,DATE(Einstellungen!$C$3,3,1)),MIN(J301,DATE(Einstellungen!$C$3,4,0)),Einstellungen!$F$13:$F$32)))</f>
        <v/>
      </c>
      <c r="O301" s="49">
        <f>IF(OR(A301="",D301=""),0,MAX(0,NETWORKDAYS(MAX(D301,DATE(Einstellungen!$C$3,4,1)),MIN(J301,DATE(Einstellungen!$C$3,5,0)),Einstellungen!$F$13:$F$32)))</f>
        <v/>
      </c>
      <c r="P301" s="49">
        <f>IF(OR(A301="",D301=""),0,MAX(0,NETWORKDAYS(MAX(D301,DATE(Einstellungen!$C$3,5,1)),MIN(J301,DATE(Einstellungen!$C$3,6,0)),Einstellungen!$F$13:$F$32)))</f>
        <v/>
      </c>
      <c r="Q301" s="49">
        <f>IF(OR(A301="",D301=""),0,MAX(0,NETWORKDAYS(MAX(D301,DATE(Einstellungen!$C$3,6,1)),MIN(J301,DATE(Einstellungen!$C$3,7,0)),Einstellungen!$F$13:$F$32)))</f>
        <v/>
      </c>
      <c r="R301" s="49">
        <f>IF(OR(A301="",D301=""),0,MAX(0,NETWORKDAYS(MAX(D301,DATE(Einstellungen!$C$3,7,1)),MIN(J301,DATE(Einstellungen!$C$3,8,0)),Einstellungen!$F$13:$F$32)))</f>
        <v/>
      </c>
      <c r="S301" s="49">
        <f>IF(OR(A301="",D301=""),0,MAX(0,NETWORKDAYS(MAX(D301,DATE(Einstellungen!$C$3,8,1)),MIN(J301,DATE(Einstellungen!$C$3,9,0)),Einstellungen!$F$13:$F$32)))</f>
        <v/>
      </c>
      <c r="T301" s="49">
        <f>IF(OR(A301="",D301=""),0,MAX(0,NETWORKDAYS(MAX(D301,DATE(Einstellungen!$C$3,9,1)),MIN(J301,DATE(Einstellungen!$C$3,10,0)),Einstellungen!$F$13:$F$32)))</f>
        <v/>
      </c>
      <c r="U301" s="49">
        <f>IF(OR(A301="",D301=""),0,MAX(0,NETWORKDAYS(MAX(D301,DATE(Einstellungen!$C$3,10,1)),MIN(J301,DATE(Einstellungen!$C$3,11,0)),Einstellungen!$F$13:$F$32)))</f>
        <v/>
      </c>
      <c r="V301" s="49">
        <f>IF(OR(A301="",D301=""),0,MAX(0,NETWORKDAYS(MAX(D301,DATE(Einstellungen!$C$3,11,1)),MIN(J301,DATE(Einstellungen!$C$3,12,0)),Einstellungen!$F$13:$F$32)))</f>
        <v/>
      </c>
      <c r="W301" s="49">
        <f>IF(OR(A301="",D301=""),0,MAX(0,NETWORKDAYS(MAX(D301,DATE(Einstellungen!$C$3,12,1)),MIN(J301,DATE(Einstellungen!$C$3,13,0)),Einstellungen!$F$13:$F$32)))</f>
        <v/>
      </c>
      <c r="X301" s="50">
        <f>L301*K301</f>
        <v/>
      </c>
      <c r="Y301" s="50">
        <f>M301*K301</f>
        <v/>
      </c>
      <c r="Z301" s="50">
        <f>N301*K301</f>
        <v/>
      </c>
      <c r="AA301" s="50">
        <f>O301*K301</f>
        <v/>
      </c>
      <c r="AB301" s="50">
        <f>P301*K301</f>
        <v/>
      </c>
      <c r="AC301" s="50">
        <f>Q301*K301</f>
        <v/>
      </c>
      <c r="AD301" s="50">
        <f>R301*K301</f>
        <v/>
      </c>
      <c r="AE301" s="50">
        <f>S301*K301</f>
        <v/>
      </c>
      <c r="AF301" s="50">
        <f>T301*K301</f>
        <v/>
      </c>
      <c r="AG301" s="50">
        <f>U301*K301</f>
        <v/>
      </c>
      <c r="AH301" s="50">
        <f>V301*K301</f>
        <v/>
      </c>
      <c r="AI301" s="50">
        <f>W301*K301</f>
        <v/>
      </c>
    </row>
    <row r="302">
      <c r="A302" s="25" t="n"/>
      <c r="B302" s="45">
        <f>IF(A302="","",IFERROR(INDEX(Mitarbeiter!$B$6:$B$205,MATCH($A302,Mitarbeiter!$A$6:$A$205,0)),"?"))</f>
        <v/>
      </c>
      <c r="C302" s="46" t="n"/>
      <c r="D302" s="26" t="n"/>
      <c r="E302" s="26" t="n"/>
      <c r="F302" s="24">
        <f>IF(A302="","",SUM(L302:W302))</f>
        <v/>
      </c>
      <c r="G302" s="36">
        <f>IF(A302="","",SUM(X302:AI302))</f>
        <v/>
      </c>
      <c r="H302" s="8">
        <f>IF(A302="","",IF(ISNA(MATCH(A302,Mitarbeiter!$A$6:$A$205,0)),"Pers.-Nr. unbekannt",IF(D302="","Von fehlt",IF(AND(C302&lt;&gt;Einstellungen!$C$4,C302&lt;&gt;Einstellungen!$C$5),"Objekt fehlt",IF(J302&lt;D302,"Bis vor Von",IF(D302&lt;INDEX(Mitarbeiter!$C$6:$C$205,MATCH($A302,Mitarbeiter!$A$6:$A$205,0)),"vor Eintritt",IF(AND(INDEX(Mitarbeiter!$D$6:$D$205,MATCH($A302,Mitarbeiter!$A$6:$A$205,0))&lt;&gt;"",D302&gt;INDEX(Mitarbeiter!$D$6:$D$205,MATCH($A302,Mitarbeiter!$A$6:$A$205,0))),"nach Austritt",IF(E302="","offen","ok"))))))))</f>
        <v/>
      </c>
      <c r="J302" s="47">
        <f>IF(A302="","",IF(E302="",Einstellungen!$C$9,E302))</f>
        <v/>
      </c>
      <c r="K302" s="48">
        <f>IF(A302="",0,IFERROR(INDEX(Mitarbeiter!$F$6:$F$205,MATCH($A302,Mitarbeiter!$A$6:$A$205,0)),0))</f>
        <v/>
      </c>
      <c r="L302" s="49">
        <f>IF(OR(A302="",D302=""),0,MAX(0,NETWORKDAYS(MAX(D302,DATE(Einstellungen!$C$3,1,1)),MIN(J302,DATE(Einstellungen!$C$3,2,0)),Einstellungen!$F$13:$F$32)))</f>
        <v/>
      </c>
      <c r="M302" s="49">
        <f>IF(OR(A302="",D302=""),0,MAX(0,NETWORKDAYS(MAX(D302,DATE(Einstellungen!$C$3,2,1)),MIN(J302,DATE(Einstellungen!$C$3,3,0)),Einstellungen!$F$13:$F$32)))</f>
        <v/>
      </c>
      <c r="N302" s="49">
        <f>IF(OR(A302="",D302=""),0,MAX(0,NETWORKDAYS(MAX(D302,DATE(Einstellungen!$C$3,3,1)),MIN(J302,DATE(Einstellungen!$C$3,4,0)),Einstellungen!$F$13:$F$32)))</f>
        <v/>
      </c>
      <c r="O302" s="49">
        <f>IF(OR(A302="",D302=""),0,MAX(0,NETWORKDAYS(MAX(D302,DATE(Einstellungen!$C$3,4,1)),MIN(J302,DATE(Einstellungen!$C$3,5,0)),Einstellungen!$F$13:$F$32)))</f>
        <v/>
      </c>
      <c r="P302" s="49">
        <f>IF(OR(A302="",D302=""),0,MAX(0,NETWORKDAYS(MAX(D302,DATE(Einstellungen!$C$3,5,1)),MIN(J302,DATE(Einstellungen!$C$3,6,0)),Einstellungen!$F$13:$F$32)))</f>
        <v/>
      </c>
      <c r="Q302" s="49">
        <f>IF(OR(A302="",D302=""),0,MAX(0,NETWORKDAYS(MAX(D302,DATE(Einstellungen!$C$3,6,1)),MIN(J302,DATE(Einstellungen!$C$3,7,0)),Einstellungen!$F$13:$F$32)))</f>
        <v/>
      </c>
      <c r="R302" s="49">
        <f>IF(OR(A302="",D302=""),0,MAX(0,NETWORKDAYS(MAX(D302,DATE(Einstellungen!$C$3,7,1)),MIN(J302,DATE(Einstellungen!$C$3,8,0)),Einstellungen!$F$13:$F$32)))</f>
        <v/>
      </c>
      <c r="S302" s="49">
        <f>IF(OR(A302="",D302=""),0,MAX(0,NETWORKDAYS(MAX(D302,DATE(Einstellungen!$C$3,8,1)),MIN(J302,DATE(Einstellungen!$C$3,9,0)),Einstellungen!$F$13:$F$32)))</f>
        <v/>
      </c>
      <c r="T302" s="49">
        <f>IF(OR(A302="",D302=""),0,MAX(0,NETWORKDAYS(MAX(D302,DATE(Einstellungen!$C$3,9,1)),MIN(J302,DATE(Einstellungen!$C$3,10,0)),Einstellungen!$F$13:$F$32)))</f>
        <v/>
      </c>
      <c r="U302" s="49">
        <f>IF(OR(A302="",D302=""),0,MAX(0,NETWORKDAYS(MAX(D302,DATE(Einstellungen!$C$3,10,1)),MIN(J302,DATE(Einstellungen!$C$3,11,0)),Einstellungen!$F$13:$F$32)))</f>
        <v/>
      </c>
      <c r="V302" s="49">
        <f>IF(OR(A302="",D302=""),0,MAX(0,NETWORKDAYS(MAX(D302,DATE(Einstellungen!$C$3,11,1)),MIN(J302,DATE(Einstellungen!$C$3,12,0)),Einstellungen!$F$13:$F$32)))</f>
        <v/>
      </c>
      <c r="W302" s="49">
        <f>IF(OR(A302="",D302=""),0,MAX(0,NETWORKDAYS(MAX(D302,DATE(Einstellungen!$C$3,12,1)),MIN(J302,DATE(Einstellungen!$C$3,13,0)),Einstellungen!$F$13:$F$32)))</f>
        <v/>
      </c>
      <c r="X302" s="50">
        <f>L302*K302</f>
        <v/>
      </c>
      <c r="Y302" s="50">
        <f>M302*K302</f>
        <v/>
      </c>
      <c r="Z302" s="50">
        <f>N302*K302</f>
        <v/>
      </c>
      <c r="AA302" s="50">
        <f>O302*K302</f>
        <v/>
      </c>
      <c r="AB302" s="50">
        <f>P302*K302</f>
        <v/>
      </c>
      <c r="AC302" s="50">
        <f>Q302*K302</f>
        <v/>
      </c>
      <c r="AD302" s="50">
        <f>R302*K302</f>
        <v/>
      </c>
      <c r="AE302" s="50">
        <f>S302*K302</f>
        <v/>
      </c>
      <c r="AF302" s="50">
        <f>T302*K302</f>
        <v/>
      </c>
      <c r="AG302" s="50">
        <f>U302*K302</f>
        <v/>
      </c>
      <c r="AH302" s="50">
        <f>V302*K302</f>
        <v/>
      </c>
      <c r="AI302" s="50">
        <f>W302*K302</f>
        <v/>
      </c>
    </row>
    <row r="303">
      <c r="A303" s="25" t="n"/>
      <c r="B303" s="45">
        <f>IF(A303="","",IFERROR(INDEX(Mitarbeiter!$B$6:$B$205,MATCH($A303,Mitarbeiter!$A$6:$A$205,0)),"?"))</f>
        <v/>
      </c>
      <c r="C303" s="46" t="n"/>
      <c r="D303" s="26" t="n"/>
      <c r="E303" s="26" t="n"/>
      <c r="F303" s="24">
        <f>IF(A303="","",SUM(L303:W303))</f>
        <v/>
      </c>
      <c r="G303" s="36">
        <f>IF(A303="","",SUM(X303:AI303))</f>
        <v/>
      </c>
      <c r="H303" s="8">
        <f>IF(A303="","",IF(ISNA(MATCH(A303,Mitarbeiter!$A$6:$A$205,0)),"Pers.-Nr. unbekannt",IF(D303="","Von fehlt",IF(AND(C303&lt;&gt;Einstellungen!$C$4,C303&lt;&gt;Einstellungen!$C$5),"Objekt fehlt",IF(J303&lt;D303,"Bis vor Von",IF(D303&lt;INDEX(Mitarbeiter!$C$6:$C$205,MATCH($A303,Mitarbeiter!$A$6:$A$205,0)),"vor Eintritt",IF(AND(INDEX(Mitarbeiter!$D$6:$D$205,MATCH($A303,Mitarbeiter!$A$6:$A$205,0))&lt;&gt;"",D303&gt;INDEX(Mitarbeiter!$D$6:$D$205,MATCH($A303,Mitarbeiter!$A$6:$A$205,0))),"nach Austritt",IF(E303="","offen","ok"))))))))</f>
        <v/>
      </c>
      <c r="J303" s="47">
        <f>IF(A303="","",IF(E303="",Einstellungen!$C$9,E303))</f>
        <v/>
      </c>
      <c r="K303" s="48">
        <f>IF(A303="",0,IFERROR(INDEX(Mitarbeiter!$F$6:$F$205,MATCH($A303,Mitarbeiter!$A$6:$A$205,0)),0))</f>
        <v/>
      </c>
      <c r="L303" s="49">
        <f>IF(OR(A303="",D303=""),0,MAX(0,NETWORKDAYS(MAX(D303,DATE(Einstellungen!$C$3,1,1)),MIN(J303,DATE(Einstellungen!$C$3,2,0)),Einstellungen!$F$13:$F$32)))</f>
        <v/>
      </c>
      <c r="M303" s="49">
        <f>IF(OR(A303="",D303=""),0,MAX(0,NETWORKDAYS(MAX(D303,DATE(Einstellungen!$C$3,2,1)),MIN(J303,DATE(Einstellungen!$C$3,3,0)),Einstellungen!$F$13:$F$32)))</f>
        <v/>
      </c>
      <c r="N303" s="49">
        <f>IF(OR(A303="",D303=""),0,MAX(0,NETWORKDAYS(MAX(D303,DATE(Einstellungen!$C$3,3,1)),MIN(J303,DATE(Einstellungen!$C$3,4,0)),Einstellungen!$F$13:$F$32)))</f>
        <v/>
      </c>
      <c r="O303" s="49">
        <f>IF(OR(A303="",D303=""),0,MAX(0,NETWORKDAYS(MAX(D303,DATE(Einstellungen!$C$3,4,1)),MIN(J303,DATE(Einstellungen!$C$3,5,0)),Einstellungen!$F$13:$F$32)))</f>
        <v/>
      </c>
      <c r="P303" s="49">
        <f>IF(OR(A303="",D303=""),0,MAX(0,NETWORKDAYS(MAX(D303,DATE(Einstellungen!$C$3,5,1)),MIN(J303,DATE(Einstellungen!$C$3,6,0)),Einstellungen!$F$13:$F$32)))</f>
        <v/>
      </c>
      <c r="Q303" s="49">
        <f>IF(OR(A303="",D303=""),0,MAX(0,NETWORKDAYS(MAX(D303,DATE(Einstellungen!$C$3,6,1)),MIN(J303,DATE(Einstellungen!$C$3,7,0)),Einstellungen!$F$13:$F$32)))</f>
        <v/>
      </c>
      <c r="R303" s="49">
        <f>IF(OR(A303="",D303=""),0,MAX(0,NETWORKDAYS(MAX(D303,DATE(Einstellungen!$C$3,7,1)),MIN(J303,DATE(Einstellungen!$C$3,8,0)),Einstellungen!$F$13:$F$32)))</f>
        <v/>
      </c>
      <c r="S303" s="49">
        <f>IF(OR(A303="",D303=""),0,MAX(0,NETWORKDAYS(MAX(D303,DATE(Einstellungen!$C$3,8,1)),MIN(J303,DATE(Einstellungen!$C$3,9,0)),Einstellungen!$F$13:$F$32)))</f>
        <v/>
      </c>
      <c r="T303" s="49">
        <f>IF(OR(A303="",D303=""),0,MAX(0,NETWORKDAYS(MAX(D303,DATE(Einstellungen!$C$3,9,1)),MIN(J303,DATE(Einstellungen!$C$3,10,0)),Einstellungen!$F$13:$F$32)))</f>
        <v/>
      </c>
      <c r="U303" s="49">
        <f>IF(OR(A303="",D303=""),0,MAX(0,NETWORKDAYS(MAX(D303,DATE(Einstellungen!$C$3,10,1)),MIN(J303,DATE(Einstellungen!$C$3,11,0)),Einstellungen!$F$13:$F$32)))</f>
        <v/>
      </c>
      <c r="V303" s="49">
        <f>IF(OR(A303="",D303=""),0,MAX(0,NETWORKDAYS(MAX(D303,DATE(Einstellungen!$C$3,11,1)),MIN(J303,DATE(Einstellungen!$C$3,12,0)),Einstellungen!$F$13:$F$32)))</f>
        <v/>
      </c>
      <c r="W303" s="49">
        <f>IF(OR(A303="",D303=""),0,MAX(0,NETWORKDAYS(MAX(D303,DATE(Einstellungen!$C$3,12,1)),MIN(J303,DATE(Einstellungen!$C$3,13,0)),Einstellungen!$F$13:$F$32)))</f>
        <v/>
      </c>
      <c r="X303" s="50">
        <f>L303*K303</f>
        <v/>
      </c>
      <c r="Y303" s="50">
        <f>M303*K303</f>
        <v/>
      </c>
      <c r="Z303" s="50">
        <f>N303*K303</f>
        <v/>
      </c>
      <c r="AA303" s="50">
        <f>O303*K303</f>
        <v/>
      </c>
      <c r="AB303" s="50">
        <f>P303*K303</f>
        <v/>
      </c>
      <c r="AC303" s="50">
        <f>Q303*K303</f>
        <v/>
      </c>
      <c r="AD303" s="50">
        <f>R303*K303</f>
        <v/>
      </c>
      <c r="AE303" s="50">
        <f>S303*K303</f>
        <v/>
      </c>
      <c r="AF303" s="50">
        <f>T303*K303</f>
        <v/>
      </c>
      <c r="AG303" s="50">
        <f>U303*K303</f>
        <v/>
      </c>
      <c r="AH303" s="50">
        <f>V303*K303</f>
        <v/>
      </c>
      <c r="AI303" s="50">
        <f>W303*K303</f>
        <v/>
      </c>
    </row>
    <row r="304">
      <c r="A304" s="25" t="n"/>
      <c r="B304" s="45">
        <f>IF(A304="","",IFERROR(INDEX(Mitarbeiter!$B$6:$B$205,MATCH($A304,Mitarbeiter!$A$6:$A$205,0)),"?"))</f>
        <v/>
      </c>
      <c r="C304" s="46" t="n"/>
      <c r="D304" s="26" t="n"/>
      <c r="E304" s="26" t="n"/>
      <c r="F304" s="24">
        <f>IF(A304="","",SUM(L304:W304))</f>
        <v/>
      </c>
      <c r="G304" s="36">
        <f>IF(A304="","",SUM(X304:AI304))</f>
        <v/>
      </c>
      <c r="H304" s="8">
        <f>IF(A304="","",IF(ISNA(MATCH(A304,Mitarbeiter!$A$6:$A$205,0)),"Pers.-Nr. unbekannt",IF(D304="","Von fehlt",IF(AND(C304&lt;&gt;Einstellungen!$C$4,C304&lt;&gt;Einstellungen!$C$5),"Objekt fehlt",IF(J304&lt;D304,"Bis vor Von",IF(D304&lt;INDEX(Mitarbeiter!$C$6:$C$205,MATCH($A304,Mitarbeiter!$A$6:$A$205,0)),"vor Eintritt",IF(AND(INDEX(Mitarbeiter!$D$6:$D$205,MATCH($A304,Mitarbeiter!$A$6:$A$205,0))&lt;&gt;"",D304&gt;INDEX(Mitarbeiter!$D$6:$D$205,MATCH($A304,Mitarbeiter!$A$6:$A$205,0))),"nach Austritt",IF(E304="","offen","ok"))))))))</f>
        <v/>
      </c>
      <c r="J304" s="47">
        <f>IF(A304="","",IF(E304="",Einstellungen!$C$9,E304))</f>
        <v/>
      </c>
      <c r="K304" s="48">
        <f>IF(A304="",0,IFERROR(INDEX(Mitarbeiter!$F$6:$F$205,MATCH($A304,Mitarbeiter!$A$6:$A$205,0)),0))</f>
        <v/>
      </c>
      <c r="L304" s="49">
        <f>IF(OR(A304="",D304=""),0,MAX(0,NETWORKDAYS(MAX(D304,DATE(Einstellungen!$C$3,1,1)),MIN(J304,DATE(Einstellungen!$C$3,2,0)),Einstellungen!$F$13:$F$32)))</f>
        <v/>
      </c>
      <c r="M304" s="49">
        <f>IF(OR(A304="",D304=""),0,MAX(0,NETWORKDAYS(MAX(D304,DATE(Einstellungen!$C$3,2,1)),MIN(J304,DATE(Einstellungen!$C$3,3,0)),Einstellungen!$F$13:$F$32)))</f>
        <v/>
      </c>
      <c r="N304" s="49">
        <f>IF(OR(A304="",D304=""),0,MAX(0,NETWORKDAYS(MAX(D304,DATE(Einstellungen!$C$3,3,1)),MIN(J304,DATE(Einstellungen!$C$3,4,0)),Einstellungen!$F$13:$F$32)))</f>
        <v/>
      </c>
      <c r="O304" s="49">
        <f>IF(OR(A304="",D304=""),0,MAX(0,NETWORKDAYS(MAX(D304,DATE(Einstellungen!$C$3,4,1)),MIN(J304,DATE(Einstellungen!$C$3,5,0)),Einstellungen!$F$13:$F$32)))</f>
        <v/>
      </c>
      <c r="P304" s="49">
        <f>IF(OR(A304="",D304=""),0,MAX(0,NETWORKDAYS(MAX(D304,DATE(Einstellungen!$C$3,5,1)),MIN(J304,DATE(Einstellungen!$C$3,6,0)),Einstellungen!$F$13:$F$32)))</f>
        <v/>
      </c>
      <c r="Q304" s="49">
        <f>IF(OR(A304="",D304=""),0,MAX(0,NETWORKDAYS(MAX(D304,DATE(Einstellungen!$C$3,6,1)),MIN(J304,DATE(Einstellungen!$C$3,7,0)),Einstellungen!$F$13:$F$32)))</f>
        <v/>
      </c>
      <c r="R304" s="49">
        <f>IF(OR(A304="",D304=""),0,MAX(0,NETWORKDAYS(MAX(D304,DATE(Einstellungen!$C$3,7,1)),MIN(J304,DATE(Einstellungen!$C$3,8,0)),Einstellungen!$F$13:$F$32)))</f>
        <v/>
      </c>
      <c r="S304" s="49">
        <f>IF(OR(A304="",D304=""),0,MAX(0,NETWORKDAYS(MAX(D304,DATE(Einstellungen!$C$3,8,1)),MIN(J304,DATE(Einstellungen!$C$3,9,0)),Einstellungen!$F$13:$F$32)))</f>
        <v/>
      </c>
      <c r="T304" s="49">
        <f>IF(OR(A304="",D304=""),0,MAX(0,NETWORKDAYS(MAX(D304,DATE(Einstellungen!$C$3,9,1)),MIN(J304,DATE(Einstellungen!$C$3,10,0)),Einstellungen!$F$13:$F$32)))</f>
        <v/>
      </c>
      <c r="U304" s="49">
        <f>IF(OR(A304="",D304=""),0,MAX(0,NETWORKDAYS(MAX(D304,DATE(Einstellungen!$C$3,10,1)),MIN(J304,DATE(Einstellungen!$C$3,11,0)),Einstellungen!$F$13:$F$32)))</f>
        <v/>
      </c>
      <c r="V304" s="49">
        <f>IF(OR(A304="",D304=""),0,MAX(0,NETWORKDAYS(MAX(D304,DATE(Einstellungen!$C$3,11,1)),MIN(J304,DATE(Einstellungen!$C$3,12,0)),Einstellungen!$F$13:$F$32)))</f>
        <v/>
      </c>
      <c r="W304" s="49">
        <f>IF(OR(A304="",D304=""),0,MAX(0,NETWORKDAYS(MAX(D304,DATE(Einstellungen!$C$3,12,1)),MIN(J304,DATE(Einstellungen!$C$3,13,0)),Einstellungen!$F$13:$F$32)))</f>
        <v/>
      </c>
      <c r="X304" s="50">
        <f>L304*K304</f>
        <v/>
      </c>
      <c r="Y304" s="50">
        <f>M304*K304</f>
        <v/>
      </c>
      <c r="Z304" s="50">
        <f>N304*K304</f>
        <v/>
      </c>
      <c r="AA304" s="50">
        <f>O304*K304</f>
        <v/>
      </c>
      <c r="AB304" s="50">
        <f>P304*K304</f>
        <v/>
      </c>
      <c r="AC304" s="50">
        <f>Q304*K304</f>
        <v/>
      </c>
      <c r="AD304" s="50">
        <f>R304*K304</f>
        <v/>
      </c>
      <c r="AE304" s="50">
        <f>S304*K304</f>
        <v/>
      </c>
      <c r="AF304" s="50">
        <f>T304*K304</f>
        <v/>
      </c>
      <c r="AG304" s="50">
        <f>U304*K304</f>
        <v/>
      </c>
      <c r="AH304" s="50">
        <f>V304*K304</f>
        <v/>
      </c>
      <c r="AI304" s="50">
        <f>W304*K304</f>
        <v/>
      </c>
    </row>
    <row r="305">
      <c r="A305" s="25" t="n"/>
      <c r="B305" s="45">
        <f>IF(A305="","",IFERROR(INDEX(Mitarbeiter!$B$6:$B$205,MATCH($A305,Mitarbeiter!$A$6:$A$205,0)),"?"))</f>
        <v/>
      </c>
      <c r="C305" s="46" t="n"/>
      <c r="D305" s="26" t="n"/>
      <c r="E305" s="26" t="n"/>
      <c r="F305" s="24">
        <f>IF(A305="","",SUM(L305:W305))</f>
        <v/>
      </c>
      <c r="G305" s="36">
        <f>IF(A305="","",SUM(X305:AI305))</f>
        <v/>
      </c>
      <c r="H305" s="8">
        <f>IF(A305="","",IF(ISNA(MATCH(A305,Mitarbeiter!$A$6:$A$205,0)),"Pers.-Nr. unbekannt",IF(D305="","Von fehlt",IF(AND(C305&lt;&gt;Einstellungen!$C$4,C305&lt;&gt;Einstellungen!$C$5),"Objekt fehlt",IF(J305&lt;D305,"Bis vor Von",IF(D305&lt;INDEX(Mitarbeiter!$C$6:$C$205,MATCH($A305,Mitarbeiter!$A$6:$A$205,0)),"vor Eintritt",IF(AND(INDEX(Mitarbeiter!$D$6:$D$205,MATCH($A305,Mitarbeiter!$A$6:$A$205,0))&lt;&gt;"",D305&gt;INDEX(Mitarbeiter!$D$6:$D$205,MATCH($A305,Mitarbeiter!$A$6:$A$205,0))),"nach Austritt",IF(E305="","offen","ok"))))))))</f>
        <v/>
      </c>
      <c r="J305" s="47">
        <f>IF(A305="","",IF(E305="",Einstellungen!$C$9,E305))</f>
        <v/>
      </c>
      <c r="K305" s="48">
        <f>IF(A305="",0,IFERROR(INDEX(Mitarbeiter!$F$6:$F$205,MATCH($A305,Mitarbeiter!$A$6:$A$205,0)),0))</f>
        <v/>
      </c>
      <c r="L305" s="49">
        <f>IF(OR(A305="",D305=""),0,MAX(0,NETWORKDAYS(MAX(D305,DATE(Einstellungen!$C$3,1,1)),MIN(J305,DATE(Einstellungen!$C$3,2,0)),Einstellungen!$F$13:$F$32)))</f>
        <v/>
      </c>
      <c r="M305" s="49">
        <f>IF(OR(A305="",D305=""),0,MAX(0,NETWORKDAYS(MAX(D305,DATE(Einstellungen!$C$3,2,1)),MIN(J305,DATE(Einstellungen!$C$3,3,0)),Einstellungen!$F$13:$F$32)))</f>
        <v/>
      </c>
      <c r="N305" s="49">
        <f>IF(OR(A305="",D305=""),0,MAX(0,NETWORKDAYS(MAX(D305,DATE(Einstellungen!$C$3,3,1)),MIN(J305,DATE(Einstellungen!$C$3,4,0)),Einstellungen!$F$13:$F$32)))</f>
        <v/>
      </c>
      <c r="O305" s="49">
        <f>IF(OR(A305="",D305=""),0,MAX(0,NETWORKDAYS(MAX(D305,DATE(Einstellungen!$C$3,4,1)),MIN(J305,DATE(Einstellungen!$C$3,5,0)),Einstellungen!$F$13:$F$32)))</f>
        <v/>
      </c>
      <c r="P305" s="49">
        <f>IF(OR(A305="",D305=""),0,MAX(0,NETWORKDAYS(MAX(D305,DATE(Einstellungen!$C$3,5,1)),MIN(J305,DATE(Einstellungen!$C$3,6,0)),Einstellungen!$F$13:$F$32)))</f>
        <v/>
      </c>
      <c r="Q305" s="49">
        <f>IF(OR(A305="",D305=""),0,MAX(0,NETWORKDAYS(MAX(D305,DATE(Einstellungen!$C$3,6,1)),MIN(J305,DATE(Einstellungen!$C$3,7,0)),Einstellungen!$F$13:$F$32)))</f>
        <v/>
      </c>
      <c r="R305" s="49">
        <f>IF(OR(A305="",D305=""),0,MAX(0,NETWORKDAYS(MAX(D305,DATE(Einstellungen!$C$3,7,1)),MIN(J305,DATE(Einstellungen!$C$3,8,0)),Einstellungen!$F$13:$F$32)))</f>
        <v/>
      </c>
      <c r="S305" s="49">
        <f>IF(OR(A305="",D305=""),0,MAX(0,NETWORKDAYS(MAX(D305,DATE(Einstellungen!$C$3,8,1)),MIN(J305,DATE(Einstellungen!$C$3,9,0)),Einstellungen!$F$13:$F$32)))</f>
        <v/>
      </c>
      <c r="T305" s="49">
        <f>IF(OR(A305="",D305=""),0,MAX(0,NETWORKDAYS(MAX(D305,DATE(Einstellungen!$C$3,9,1)),MIN(J305,DATE(Einstellungen!$C$3,10,0)),Einstellungen!$F$13:$F$32)))</f>
        <v/>
      </c>
      <c r="U305" s="49">
        <f>IF(OR(A305="",D305=""),0,MAX(0,NETWORKDAYS(MAX(D305,DATE(Einstellungen!$C$3,10,1)),MIN(J305,DATE(Einstellungen!$C$3,11,0)),Einstellungen!$F$13:$F$32)))</f>
        <v/>
      </c>
      <c r="V305" s="49">
        <f>IF(OR(A305="",D305=""),0,MAX(0,NETWORKDAYS(MAX(D305,DATE(Einstellungen!$C$3,11,1)),MIN(J305,DATE(Einstellungen!$C$3,12,0)),Einstellungen!$F$13:$F$32)))</f>
        <v/>
      </c>
      <c r="W305" s="49">
        <f>IF(OR(A305="",D305=""),0,MAX(0,NETWORKDAYS(MAX(D305,DATE(Einstellungen!$C$3,12,1)),MIN(J305,DATE(Einstellungen!$C$3,13,0)),Einstellungen!$F$13:$F$32)))</f>
        <v/>
      </c>
      <c r="X305" s="50">
        <f>L305*K305</f>
        <v/>
      </c>
      <c r="Y305" s="50">
        <f>M305*K305</f>
        <v/>
      </c>
      <c r="Z305" s="50">
        <f>N305*K305</f>
        <v/>
      </c>
      <c r="AA305" s="50">
        <f>O305*K305</f>
        <v/>
      </c>
      <c r="AB305" s="50">
        <f>P305*K305</f>
        <v/>
      </c>
      <c r="AC305" s="50">
        <f>Q305*K305</f>
        <v/>
      </c>
      <c r="AD305" s="50">
        <f>R305*K305</f>
        <v/>
      </c>
      <c r="AE305" s="50">
        <f>S305*K305</f>
        <v/>
      </c>
      <c r="AF305" s="50">
        <f>T305*K305</f>
        <v/>
      </c>
      <c r="AG305" s="50">
        <f>U305*K305</f>
        <v/>
      </c>
      <c r="AH305" s="50">
        <f>V305*K305</f>
        <v/>
      </c>
      <c r="AI305" s="50">
        <f>W305*K305</f>
        <v/>
      </c>
    </row>
    <row r="306">
      <c r="A306" s="25" t="n"/>
      <c r="B306" s="45">
        <f>IF(A306="","",IFERROR(INDEX(Mitarbeiter!$B$6:$B$205,MATCH($A306,Mitarbeiter!$A$6:$A$205,0)),"?"))</f>
        <v/>
      </c>
      <c r="C306" s="46" t="n"/>
      <c r="D306" s="26" t="n"/>
      <c r="E306" s="26" t="n"/>
      <c r="F306" s="24">
        <f>IF(A306="","",SUM(L306:W306))</f>
        <v/>
      </c>
      <c r="G306" s="36">
        <f>IF(A306="","",SUM(X306:AI306))</f>
        <v/>
      </c>
      <c r="H306" s="8">
        <f>IF(A306="","",IF(ISNA(MATCH(A306,Mitarbeiter!$A$6:$A$205,0)),"Pers.-Nr. unbekannt",IF(D306="","Von fehlt",IF(AND(C306&lt;&gt;Einstellungen!$C$4,C306&lt;&gt;Einstellungen!$C$5),"Objekt fehlt",IF(J306&lt;D306,"Bis vor Von",IF(D306&lt;INDEX(Mitarbeiter!$C$6:$C$205,MATCH($A306,Mitarbeiter!$A$6:$A$205,0)),"vor Eintritt",IF(AND(INDEX(Mitarbeiter!$D$6:$D$205,MATCH($A306,Mitarbeiter!$A$6:$A$205,0))&lt;&gt;"",D306&gt;INDEX(Mitarbeiter!$D$6:$D$205,MATCH($A306,Mitarbeiter!$A$6:$A$205,0))),"nach Austritt",IF(E306="","offen","ok"))))))))</f>
        <v/>
      </c>
      <c r="J306" s="47">
        <f>IF(A306="","",IF(E306="",Einstellungen!$C$9,E306))</f>
        <v/>
      </c>
      <c r="K306" s="48">
        <f>IF(A306="",0,IFERROR(INDEX(Mitarbeiter!$F$6:$F$205,MATCH($A306,Mitarbeiter!$A$6:$A$205,0)),0))</f>
        <v/>
      </c>
      <c r="L306" s="49">
        <f>IF(OR(A306="",D306=""),0,MAX(0,NETWORKDAYS(MAX(D306,DATE(Einstellungen!$C$3,1,1)),MIN(J306,DATE(Einstellungen!$C$3,2,0)),Einstellungen!$F$13:$F$32)))</f>
        <v/>
      </c>
      <c r="M306" s="49">
        <f>IF(OR(A306="",D306=""),0,MAX(0,NETWORKDAYS(MAX(D306,DATE(Einstellungen!$C$3,2,1)),MIN(J306,DATE(Einstellungen!$C$3,3,0)),Einstellungen!$F$13:$F$32)))</f>
        <v/>
      </c>
      <c r="N306" s="49">
        <f>IF(OR(A306="",D306=""),0,MAX(0,NETWORKDAYS(MAX(D306,DATE(Einstellungen!$C$3,3,1)),MIN(J306,DATE(Einstellungen!$C$3,4,0)),Einstellungen!$F$13:$F$32)))</f>
        <v/>
      </c>
      <c r="O306" s="49">
        <f>IF(OR(A306="",D306=""),0,MAX(0,NETWORKDAYS(MAX(D306,DATE(Einstellungen!$C$3,4,1)),MIN(J306,DATE(Einstellungen!$C$3,5,0)),Einstellungen!$F$13:$F$32)))</f>
        <v/>
      </c>
      <c r="P306" s="49">
        <f>IF(OR(A306="",D306=""),0,MAX(0,NETWORKDAYS(MAX(D306,DATE(Einstellungen!$C$3,5,1)),MIN(J306,DATE(Einstellungen!$C$3,6,0)),Einstellungen!$F$13:$F$32)))</f>
        <v/>
      </c>
      <c r="Q306" s="49">
        <f>IF(OR(A306="",D306=""),0,MAX(0,NETWORKDAYS(MAX(D306,DATE(Einstellungen!$C$3,6,1)),MIN(J306,DATE(Einstellungen!$C$3,7,0)),Einstellungen!$F$13:$F$32)))</f>
        <v/>
      </c>
      <c r="R306" s="49">
        <f>IF(OR(A306="",D306=""),0,MAX(0,NETWORKDAYS(MAX(D306,DATE(Einstellungen!$C$3,7,1)),MIN(J306,DATE(Einstellungen!$C$3,8,0)),Einstellungen!$F$13:$F$32)))</f>
        <v/>
      </c>
      <c r="S306" s="49">
        <f>IF(OR(A306="",D306=""),0,MAX(0,NETWORKDAYS(MAX(D306,DATE(Einstellungen!$C$3,8,1)),MIN(J306,DATE(Einstellungen!$C$3,9,0)),Einstellungen!$F$13:$F$32)))</f>
        <v/>
      </c>
      <c r="T306" s="49">
        <f>IF(OR(A306="",D306=""),0,MAX(0,NETWORKDAYS(MAX(D306,DATE(Einstellungen!$C$3,9,1)),MIN(J306,DATE(Einstellungen!$C$3,10,0)),Einstellungen!$F$13:$F$32)))</f>
        <v/>
      </c>
      <c r="U306" s="49">
        <f>IF(OR(A306="",D306=""),0,MAX(0,NETWORKDAYS(MAX(D306,DATE(Einstellungen!$C$3,10,1)),MIN(J306,DATE(Einstellungen!$C$3,11,0)),Einstellungen!$F$13:$F$32)))</f>
        <v/>
      </c>
      <c r="V306" s="49">
        <f>IF(OR(A306="",D306=""),0,MAX(0,NETWORKDAYS(MAX(D306,DATE(Einstellungen!$C$3,11,1)),MIN(J306,DATE(Einstellungen!$C$3,12,0)),Einstellungen!$F$13:$F$32)))</f>
        <v/>
      </c>
      <c r="W306" s="49">
        <f>IF(OR(A306="",D306=""),0,MAX(0,NETWORKDAYS(MAX(D306,DATE(Einstellungen!$C$3,12,1)),MIN(J306,DATE(Einstellungen!$C$3,13,0)),Einstellungen!$F$13:$F$32)))</f>
        <v/>
      </c>
      <c r="X306" s="50">
        <f>L306*K306</f>
        <v/>
      </c>
      <c r="Y306" s="50">
        <f>M306*K306</f>
        <v/>
      </c>
      <c r="Z306" s="50">
        <f>N306*K306</f>
        <v/>
      </c>
      <c r="AA306" s="50">
        <f>O306*K306</f>
        <v/>
      </c>
      <c r="AB306" s="50">
        <f>P306*K306</f>
        <v/>
      </c>
      <c r="AC306" s="50">
        <f>Q306*K306</f>
        <v/>
      </c>
      <c r="AD306" s="50">
        <f>R306*K306</f>
        <v/>
      </c>
      <c r="AE306" s="50">
        <f>S306*K306</f>
        <v/>
      </c>
      <c r="AF306" s="50">
        <f>T306*K306</f>
        <v/>
      </c>
      <c r="AG306" s="50">
        <f>U306*K306</f>
        <v/>
      </c>
      <c r="AH306" s="50">
        <f>V306*K306</f>
        <v/>
      </c>
      <c r="AI306" s="50">
        <f>W306*K306</f>
        <v/>
      </c>
    </row>
    <row r="307">
      <c r="A307" s="25" t="n"/>
      <c r="B307" s="45">
        <f>IF(A307="","",IFERROR(INDEX(Mitarbeiter!$B$6:$B$205,MATCH($A307,Mitarbeiter!$A$6:$A$205,0)),"?"))</f>
        <v/>
      </c>
      <c r="C307" s="46" t="n"/>
      <c r="D307" s="26" t="n"/>
      <c r="E307" s="26" t="n"/>
      <c r="F307" s="24">
        <f>IF(A307="","",SUM(L307:W307))</f>
        <v/>
      </c>
      <c r="G307" s="36">
        <f>IF(A307="","",SUM(X307:AI307))</f>
        <v/>
      </c>
      <c r="H307" s="8">
        <f>IF(A307="","",IF(ISNA(MATCH(A307,Mitarbeiter!$A$6:$A$205,0)),"Pers.-Nr. unbekannt",IF(D307="","Von fehlt",IF(AND(C307&lt;&gt;Einstellungen!$C$4,C307&lt;&gt;Einstellungen!$C$5),"Objekt fehlt",IF(J307&lt;D307,"Bis vor Von",IF(D307&lt;INDEX(Mitarbeiter!$C$6:$C$205,MATCH($A307,Mitarbeiter!$A$6:$A$205,0)),"vor Eintritt",IF(AND(INDEX(Mitarbeiter!$D$6:$D$205,MATCH($A307,Mitarbeiter!$A$6:$A$205,0))&lt;&gt;"",D307&gt;INDEX(Mitarbeiter!$D$6:$D$205,MATCH($A307,Mitarbeiter!$A$6:$A$205,0))),"nach Austritt",IF(E307="","offen","ok"))))))))</f>
        <v/>
      </c>
      <c r="J307" s="47">
        <f>IF(A307="","",IF(E307="",Einstellungen!$C$9,E307))</f>
        <v/>
      </c>
      <c r="K307" s="48">
        <f>IF(A307="",0,IFERROR(INDEX(Mitarbeiter!$F$6:$F$205,MATCH($A307,Mitarbeiter!$A$6:$A$205,0)),0))</f>
        <v/>
      </c>
      <c r="L307" s="49">
        <f>IF(OR(A307="",D307=""),0,MAX(0,NETWORKDAYS(MAX(D307,DATE(Einstellungen!$C$3,1,1)),MIN(J307,DATE(Einstellungen!$C$3,2,0)),Einstellungen!$F$13:$F$32)))</f>
        <v/>
      </c>
      <c r="M307" s="49">
        <f>IF(OR(A307="",D307=""),0,MAX(0,NETWORKDAYS(MAX(D307,DATE(Einstellungen!$C$3,2,1)),MIN(J307,DATE(Einstellungen!$C$3,3,0)),Einstellungen!$F$13:$F$32)))</f>
        <v/>
      </c>
      <c r="N307" s="49">
        <f>IF(OR(A307="",D307=""),0,MAX(0,NETWORKDAYS(MAX(D307,DATE(Einstellungen!$C$3,3,1)),MIN(J307,DATE(Einstellungen!$C$3,4,0)),Einstellungen!$F$13:$F$32)))</f>
        <v/>
      </c>
      <c r="O307" s="49">
        <f>IF(OR(A307="",D307=""),0,MAX(0,NETWORKDAYS(MAX(D307,DATE(Einstellungen!$C$3,4,1)),MIN(J307,DATE(Einstellungen!$C$3,5,0)),Einstellungen!$F$13:$F$32)))</f>
        <v/>
      </c>
      <c r="P307" s="49">
        <f>IF(OR(A307="",D307=""),0,MAX(0,NETWORKDAYS(MAX(D307,DATE(Einstellungen!$C$3,5,1)),MIN(J307,DATE(Einstellungen!$C$3,6,0)),Einstellungen!$F$13:$F$32)))</f>
        <v/>
      </c>
      <c r="Q307" s="49">
        <f>IF(OR(A307="",D307=""),0,MAX(0,NETWORKDAYS(MAX(D307,DATE(Einstellungen!$C$3,6,1)),MIN(J307,DATE(Einstellungen!$C$3,7,0)),Einstellungen!$F$13:$F$32)))</f>
        <v/>
      </c>
      <c r="R307" s="49">
        <f>IF(OR(A307="",D307=""),0,MAX(0,NETWORKDAYS(MAX(D307,DATE(Einstellungen!$C$3,7,1)),MIN(J307,DATE(Einstellungen!$C$3,8,0)),Einstellungen!$F$13:$F$32)))</f>
        <v/>
      </c>
      <c r="S307" s="49">
        <f>IF(OR(A307="",D307=""),0,MAX(0,NETWORKDAYS(MAX(D307,DATE(Einstellungen!$C$3,8,1)),MIN(J307,DATE(Einstellungen!$C$3,9,0)),Einstellungen!$F$13:$F$32)))</f>
        <v/>
      </c>
      <c r="T307" s="49">
        <f>IF(OR(A307="",D307=""),0,MAX(0,NETWORKDAYS(MAX(D307,DATE(Einstellungen!$C$3,9,1)),MIN(J307,DATE(Einstellungen!$C$3,10,0)),Einstellungen!$F$13:$F$32)))</f>
        <v/>
      </c>
      <c r="U307" s="49">
        <f>IF(OR(A307="",D307=""),0,MAX(0,NETWORKDAYS(MAX(D307,DATE(Einstellungen!$C$3,10,1)),MIN(J307,DATE(Einstellungen!$C$3,11,0)),Einstellungen!$F$13:$F$32)))</f>
        <v/>
      </c>
      <c r="V307" s="49">
        <f>IF(OR(A307="",D307=""),0,MAX(0,NETWORKDAYS(MAX(D307,DATE(Einstellungen!$C$3,11,1)),MIN(J307,DATE(Einstellungen!$C$3,12,0)),Einstellungen!$F$13:$F$32)))</f>
        <v/>
      </c>
      <c r="W307" s="49">
        <f>IF(OR(A307="",D307=""),0,MAX(0,NETWORKDAYS(MAX(D307,DATE(Einstellungen!$C$3,12,1)),MIN(J307,DATE(Einstellungen!$C$3,13,0)),Einstellungen!$F$13:$F$32)))</f>
        <v/>
      </c>
      <c r="X307" s="50">
        <f>L307*K307</f>
        <v/>
      </c>
      <c r="Y307" s="50">
        <f>M307*K307</f>
        <v/>
      </c>
      <c r="Z307" s="50">
        <f>N307*K307</f>
        <v/>
      </c>
      <c r="AA307" s="50">
        <f>O307*K307</f>
        <v/>
      </c>
      <c r="AB307" s="50">
        <f>P307*K307</f>
        <v/>
      </c>
      <c r="AC307" s="50">
        <f>Q307*K307</f>
        <v/>
      </c>
      <c r="AD307" s="50">
        <f>R307*K307</f>
        <v/>
      </c>
      <c r="AE307" s="50">
        <f>S307*K307</f>
        <v/>
      </c>
      <c r="AF307" s="50">
        <f>T307*K307</f>
        <v/>
      </c>
      <c r="AG307" s="50">
        <f>U307*K307</f>
        <v/>
      </c>
      <c r="AH307" s="50">
        <f>V307*K307</f>
        <v/>
      </c>
      <c r="AI307" s="50">
        <f>W307*K307</f>
        <v/>
      </c>
    </row>
    <row r="308">
      <c r="A308" s="25" t="n"/>
      <c r="B308" s="45">
        <f>IF(A308="","",IFERROR(INDEX(Mitarbeiter!$B$6:$B$205,MATCH($A308,Mitarbeiter!$A$6:$A$205,0)),"?"))</f>
        <v/>
      </c>
      <c r="C308" s="46" t="n"/>
      <c r="D308" s="26" t="n"/>
      <c r="E308" s="26" t="n"/>
      <c r="F308" s="24">
        <f>IF(A308="","",SUM(L308:W308))</f>
        <v/>
      </c>
      <c r="G308" s="36">
        <f>IF(A308="","",SUM(X308:AI308))</f>
        <v/>
      </c>
      <c r="H308" s="8">
        <f>IF(A308="","",IF(ISNA(MATCH(A308,Mitarbeiter!$A$6:$A$205,0)),"Pers.-Nr. unbekannt",IF(D308="","Von fehlt",IF(AND(C308&lt;&gt;Einstellungen!$C$4,C308&lt;&gt;Einstellungen!$C$5),"Objekt fehlt",IF(J308&lt;D308,"Bis vor Von",IF(D308&lt;INDEX(Mitarbeiter!$C$6:$C$205,MATCH($A308,Mitarbeiter!$A$6:$A$205,0)),"vor Eintritt",IF(AND(INDEX(Mitarbeiter!$D$6:$D$205,MATCH($A308,Mitarbeiter!$A$6:$A$205,0))&lt;&gt;"",D308&gt;INDEX(Mitarbeiter!$D$6:$D$205,MATCH($A308,Mitarbeiter!$A$6:$A$205,0))),"nach Austritt",IF(E308="","offen","ok"))))))))</f>
        <v/>
      </c>
      <c r="J308" s="47">
        <f>IF(A308="","",IF(E308="",Einstellungen!$C$9,E308))</f>
        <v/>
      </c>
      <c r="K308" s="48">
        <f>IF(A308="",0,IFERROR(INDEX(Mitarbeiter!$F$6:$F$205,MATCH($A308,Mitarbeiter!$A$6:$A$205,0)),0))</f>
        <v/>
      </c>
      <c r="L308" s="49">
        <f>IF(OR(A308="",D308=""),0,MAX(0,NETWORKDAYS(MAX(D308,DATE(Einstellungen!$C$3,1,1)),MIN(J308,DATE(Einstellungen!$C$3,2,0)),Einstellungen!$F$13:$F$32)))</f>
        <v/>
      </c>
      <c r="M308" s="49">
        <f>IF(OR(A308="",D308=""),0,MAX(0,NETWORKDAYS(MAX(D308,DATE(Einstellungen!$C$3,2,1)),MIN(J308,DATE(Einstellungen!$C$3,3,0)),Einstellungen!$F$13:$F$32)))</f>
        <v/>
      </c>
      <c r="N308" s="49">
        <f>IF(OR(A308="",D308=""),0,MAX(0,NETWORKDAYS(MAX(D308,DATE(Einstellungen!$C$3,3,1)),MIN(J308,DATE(Einstellungen!$C$3,4,0)),Einstellungen!$F$13:$F$32)))</f>
        <v/>
      </c>
      <c r="O308" s="49">
        <f>IF(OR(A308="",D308=""),0,MAX(0,NETWORKDAYS(MAX(D308,DATE(Einstellungen!$C$3,4,1)),MIN(J308,DATE(Einstellungen!$C$3,5,0)),Einstellungen!$F$13:$F$32)))</f>
        <v/>
      </c>
      <c r="P308" s="49">
        <f>IF(OR(A308="",D308=""),0,MAX(0,NETWORKDAYS(MAX(D308,DATE(Einstellungen!$C$3,5,1)),MIN(J308,DATE(Einstellungen!$C$3,6,0)),Einstellungen!$F$13:$F$32)))</f>
        <v/>
      </c>
      <c r="Q308" s="49">
        <f>IF(OR(A308="",D308=""),0,MAX(0,NETWORKDAYS(MAX(D308,DATE(Einstellungen!$C$3,6,1)),MIN(J308,DATE(Einstellungen!$C$3,7,0)),Einstellungen!$F$13:$F$32)))</f>
        <v/>
      </c>
      <c r="R308" s="49">
        <f>IF(OR(A308="",D308=""),0,MAX(0,NETWORKDAYS(MAX(D308,DATE(Einstellungen!$C$3,7,1)),MIN(J308,DATE(Einstellungen!$C$3,8,0)),Einstellungen!$F$13:$F$32)))</f>
        <v/>
      </c>
      <c r="S308" s="49">
        <f>IF(OR(A308="",D308=""),0,MAX(0,NETWORKDAYS(MAX(D308,DATE(Einstellungen!$C$3,8,1)),MIN(J308,DATE(Einstellungen!$C$3,9,0)),Einstellungen!$F$13:$F$32)))</f>
        <v/>
      </c>
      <c r="T308" s="49">
        <f>IF(OR(A308="",D308=""),0,MAX(0,NETWORKDAYS(MAX(D308,DATE(Einstellungen!$C$3,9,1)),MIN(J308,DATE(Einstellungen!$C$3,10,0)),Einstellungen!$F$13:$F$32)))</f>
        <v/>
      </c>
      <c r="U308" s="49">
        <f>IF(OR(A308="",D308=""),0,MAX(0,NETWORKDAYS(MAX(D308,DATE(Einstellungen!$C$3,10,1)),MIN(J308,DATE(Einstellungen!$C$3,11,0)),Einstellungen!$F$13:$F$32)))</f>
        <v/>
      </c>
      <c r="V308" s="49">
        <f>IF(OR(A308="",D308=""),0,MAX(0,NETWORKDAYS(MAX(D308,DATE(Einstellungen!$C$3,11,1)),MIN(J308,DATE(Einstellungen!$C$3,12,0)),Einstellungen!$F$13:$F$32)))</f>
        <v/>
      </c>
      <c r="W308" s="49">
        <f>IF(OR(A308="",D308=""),0,MAX(0,NETWORKDAYS(MAX(D308,DATE(Einstellungen!$C$3,12,1)),MIN(J308,DATE(Einstellungen!$C$3,13,0)),Einstellungen!$F$13:$F$32)))</f>
        <v/>
      </c>
      <c r="X308" s="50">
        <f>L308*K308</f>
        <v/>
      </c>
      <c r="Y308" s="50">
        <f>M308*K308</f>
        <v/>
      </c>
      <c r="Z308" s="50">
        <f>N308*K308</f>
        <v/>
      </c>
      <c r="AA308" s="50">
        <f>O308*K308</f>
        <v/>
      </c>
      <c r="AB308" s="50">
        <f>P308*K308</f>
        <v/>
      </c>
      <c r="AC308" s="50">
        <f>Q308*K308</f>
        <v/>
      </c>
      <c r="AD308" s="50">
        <f>R308*K308</f>
        <v/>
      </c>
      <c r="AE308" s="50">
        <f>S308*K308</f>
        <v/>
      </c>
      <c r="AF308" s="50">
        <f>T308*K308</f>
        <v/>
      </c>
      <c r="AG308" s="50">
        <f>U308*K308</f>
        <v/>
      </c>
      <c r="AH308" s="50">
        <f>V308*K308</f>
        <v/>
      </c>
      <c r="AI308" s="50">
        <f>W308*K308</f>
        <v/>
      </c>
    </row>
    <row r="309">
      <c r="A309" s="25" t="n"/>
      <c r="B309" s="45">
        <f>IF(A309="","",IFERROR(INDEX(Mitarbeiter!$B$6:$B$205,MATCH($A309,Mitarbeiter!$A$6:$A$205,0)),"?"))</f>
        <v/>
      </c>
      <c r="C309" s="46" t="n"/>
      <c r="D309" s="26" t="n"/>
      <c r="E309" s="26" t="n"/>
      <c r="F309" s="24">
        <f>IF(A309="","",SUM(L309:W309))</f>
        <v/>
      </c>
      <c r="G309" s="36">
        <f>IF(A309="","",SUM(X309:AI309))</f>
        <v/>
      </c>
      <c r="H309" s="8">
        <f>IF(A309="","",IF(ISNA(MATCH(A309,Mitarbeiter!$A$6:$A$205,0)),"Pers.-Nr. unbekannt",IF(D309="","Von fehlt",IF(AND(C309&lt;&gt;Einstellungen!$C$4,C309&lt;&gt;Einstellungen!$C$5),"Objekt fehlt",IF(J309&lt;D309,"Bis vor Von",IF(D309&lt;INDEX(Mitarbeiter!$C$6:$C$205,MATCH($A309,Mitarbeiter!$A$6:$A$205,0)),"vor Eintritt",IF(AND(INDEX(Mitarbeiter!$D$6:$D$205,MATCH($A309,Mitarbeiter!$A$6:$A$205,0))&lt;&gt;"",D309&gt;INDEX(Mitarbeiter!$D$6:$D$205,MATCH($A309,Mitarbeiter!$A$6:$A$205,0))),"nach Austritt",IF(E309="","offen","ok"))))))))</f>
        <v/>
      </c>
      <c r="J309" s="47">
        <f>IF(A309="","",IF(E309="",Einstellungen!$C$9,E309))</f>
        <v/>
      </c>
      <c r="K309" s="48">
        <f>IF(A309="",0,IFERROR(INDEX(Mitarbeiter!$F$6:$F$205,MATCH($A309,Mitarbeiter!$A$6:$A$205,0)),0))</f>
        <v/>
      </c>
      <c r="L309" s="49">
        <f>IF(OR(A309="",D309=""),0,MAX(0,NETWORKDAYS(MAX(D309,DATE(Einstellungen!$C$3,1,1)),MIN(J309,DATE(Einstellungen!$C$3,2,0)),Einstellungen!$F$13:$F$32)))</f>
        <v/>
      </c>
      <c r="M309" s="49">
        <f>IF(OR(A309="",D309=""),0,MAX(0,NETWORKDAYS(MAX(D309,DATE(Einstellungen!$C$3,2,1)),MIN(J309,DATE(Einstellungen!$C$3,3,0)),Einstellungen!$F$13:$F$32)))</f>
        <v/>
      </c>
      <c r="N309" s="49">
        <f>IF(OR(A309="",D309=""),0,MAX(0,NETWORKDAYS(MAX(D309,DATE(Einstellungen!$C$3,3,1)),MIN(J309,DATE(Einstellungen!$C$3,4,0)),Einstellungen!$F$13:$F$32)))</f>
        <v/>
      </c>
      <c r="O309" s="49">
        <f>IF(OR(A309="",D309=""),0,MAX(0,NETWORKDAYS(MAX(D309,DATE(Einstellungen!$C$3,4,1)),MIN(J309,DATE(Einstellungen!$C$3,5,0)),Einstellungen!$F$13:$F$32)))</f>
        <v/>
      </c>
      <c r="P309" s="49">
        <f>IF(OR(A309="",D309=""),0,MAX(0,NETWORKDAYS(MAX(D309,DATE(Einstellungen!$C$3,5,1)),MIN(J309,DATE(Einstellungen!$C$3,6,0)),Einstellungen!$F$13:$F$32)))</f>
        <v/>
      </c>
      <c r="Q309" s="49">
        <f>IF(OR(A309="",D309=""),0,MAX(0,NETWORKDAYS(MAX(D309,DATE(Einstellungen!$C$3,6,1)),MIN(J309,DATE(Einstellungen!$C$3,7,0)),Einstellungen!$F$13:$F$32)))</f>
        <v/>
      </c>
      <c r="R309" s="49">
        <f>IF(OR(A309="",D309=""),0,MAX(0,NETWORKDAYS(MAX(D309,DATE(Einstellungen!$C$3,7,1)),MIN(J309,DATE(Einstellungen!$C$3,8,0)),Einstellungen!$F$13:$F$32)))</f>
        <v/>
      </c>
      <c r="S309" s="49">
        <f>IF(OR(A309="",D309=""),0,MAX(0,NETWORKDAYS(MAX(D309,DATE(Einstellungen!$C$3,8,1)),MIN(J309,DATE(Einstellungen!$C$3,9,0)),Einstellungen!$F$13:$F$32)))</f>
        <v/>
      </c>
      <c r="T309" s="49">
        <f>IF(OR(A309="",D309=""),0,MAX(0,NETWORKDAYS(MAX(D309,DATE(Einstellungen!$C$3,9,1)),MIN(J309,DATE(Einstellungen!$C$3,10,0)),Einstellungen!$F$13:$F$32)))</f>
        <v/>
      </c>
      <c r="U309" s="49">
        <f>IF(OR(A309="",D309=""),0,MAX(0,NETWORKDAYS(MAX(D309,DATE(Einstellungen!$C$3,10,1)),MIN(J309,DATE(Einstellungen!$C$3,11,0)),Einstellungen!$F$13:$F$32)))</f>
        <v/>
      </c>
      <c r="V309" s="49">
        <f>IF(OR(A309="",D309=""),0,MAX(0,NETWORKDAYS(MAX(D309,DATE(Einstellungen!$C$3,11,1)),MIN(J309,DATE(Einstellungen!$C$3,12,0)),Einstellungen!$F$13:$F$32)))</f>
        <v/>
      </c>
      <c r="W309" s="49">
        <f>IF(OR(A309="",D309=""),0,MAX(0,NETWORKDAYS(MAX(D309,DATE(Einstellungen!$C$3,12,1)),MIN(J309,DATE(Einstellungen!$C$3,13,0)),Einstellungen!$F$13:$F$32)))</f>
        <v/>
      </c>
      <c r="X309" s="50">
        <f>L309*K309</f>
        <v/>
      </c>
      <c r="Y309" s="50">
        <f>M309*K309</f>
        <v/>
      </c>
      <c r="Z309" s="50">
        <f>N309*K309</f>
        <v/>
      </c>
      <c r="AA309" s="50">
        <f>O309*K309</f>
        <v/>
      </c>
      <c r="AB309" s="50">
        <f>P309*K309</f>
        <v/>
      </c>
      <c r="AC309" s="50">
        <f>Q309*K309</f>
        <v/>
      </c>
      <c r="AD309" s="50">
        <f>R309*K309</f>
        <v/>
      </c>
      <c r="AE309" s="50">
        <f>S309*K309</f>
        <v/>
      </c>
      <c r="AF309" s="50">
        <f>T309*K309</f>
        <v/>
      </c>
      <c r="AG309" s="50">
        <f>U309*K309</f>
        <v/>
      </c>
      <c r="AH309" s="50">
        <f>V309*K309</f>
        <v/>
      </c>
      <c r="AI309" s="50">
        <f>W309*K309</f>
        <v/>
      </c>
    </row>
    <row r="310">
      <c r="A310" s="25" t="n"/>
      <c r="B310" s="45">
        <f>IF(A310="","",IFERROR(INDEX(Mitarbeiter!$B$6:$B$205,MATCH($A310,Mitarbeiter!$A$6:$A$205,0)),"?"))</f>
        <v/>
      </c>
      <c r="C310" s="46" t="n"/>
      <c r="D310" s="26" t="n"/>
      <c r="E310" s="26" t="n"/>
      <c r="F310" s="24">
        <f>IF(A310="","",SUM(L310:W310))</f>
        <v/>
      </c>
      <c r="G310" s="36">
        <f>IF(A310="","",SUM(X310:AI310))</f>
        <v/>
      </c>
      <c r="H310" s="8">
        <f>IF(A310="","",IF(ISNA(MATCH(A310,Mitarbeiter!$A$6:$A$205,0)),"Pers.-Nr. unbekannt",IF(D310="","Von fehlt",IF(AND(C310&lt;&gt;Einstellungen!$C$4,C310&lt;&gt;Einstellungen!$C$5),"Objekt fehlt",IF(J310&lt;D310,"Bis vor Von",IF(D310&lt;INDEX(Mitarbeiter!$C$6:$C$205,MATCH($A310,Mitarbeiter!$A$6:$A$205,0)),"vor Eintritt",IF(AND(INDEX(Mitarbeiter!$D$6:$D$205,MATCH($A310,Mitarbeiter!$A$6:$A$205,0))&lt;&gt;"",D310&gt;INDEX(Mitarbeiter!$D$6:$D$205,MATCH($A310,Mitarbeiter!$A$6:$A$205,0))),"nach Austritt",IF(E310="","offen","ok"))))))))</f>
        <v/>
      </c>
      <c r="J310" s="47">
        <f>IF(A310="","",IF(E310="",Einstellungen!$C$9,E310))</f>
        <v/>
      </c>
      <c r="K310" s="48">
        <f>IF(A310="",0,IFERROR(INDEX(Mitarbeiter!$F$6:$F$205,MATCH($A310,Mitarbeiter!$A$6:$A$205,0)),0))</f>
        <v/>
      </c>
      <c r="L310" s="49">
        <f>IF(OR(A310="",D310=""),0,MAX(0,NETWORKDAYS(MAX(D310,DATE(Einstellungen!$C$3,1,1)),MIN(J310,DATE(Einstellungen!$C$3,2,0)),Einstellungen!$F$13:$F$32)))</f>
        <v/>
      </c>
      <c r="M310" s="49">
        <f>IF(OR(A310="",D310=""),0,MAX(0,NETWORKDAYS(MAX(D310,DATE(Einstellungen!$C$3,2,1)),MIN(J310,DATE(Einstellungen!$C$3,3,0)),Einstellungen!$F$13:$F$32)))</f>
        <v/>
      </c>
      <c r="N310" s="49">
        <f>IF(OR(A310="",D310=""),0,MAX(0,NETWORKDAYS(MAX(D310,DATE(Einstellungen!$C$3,3,1)),MIN(J310,DATE(Einstellungen!$C$3,4,0)),Einstellungen!$F$13:$F$32)))</f>
        <v/>
      </c>
      <c r="O310" s="49">
        <f>IF(OR(A310="",D310=""),0,MAX(0,NETWORKDAYS(MAX(D310,DATE(Einstellungen!$C$3,4,1)),MIN(J310,DATE(Einstellungen!$C$3,5,0)),Einstellungen!$F$13:$F$32)))</f>
        <v/>
      </c>
      <c r="P310" s="49">
        <f>IF(OR(A310="",D310=""),0,MAX(0,NETWORKDAYS(MAX(D310,DATE(Einstellungen!$C$3,5,1)),MIN(J310,DATE(Einstellungen!$C$3,6,0)),Einstellungen!$F$13:$F$32)))</f>
        <v/>
      </c>
      <c r="Q310" s="49">
        <f>IF(OR(A310="",D310=""),0,MAX(0,NETWORKDAYS(MAX(D310,DATE(Einstellungen!$C$3,6,1)),MIN(J310,DATE(Einstellungen!$C$3,7,0)),Einstellungen!$F$13:$F$32)))</f>
        <v/>
      </c>
      <c r="R310" s="49">
        <f>IF(OR(A310="",D310=""),0,MAX(0,NETWORKDAYS(MAX(D310,DATE(Einstellungen!$C$3,7,1)),MIN(J310,DATE(Einstellungen!$C$3,8,0)),Einstellungen!$F$13:$F$32)))</f>
        <v/>
      </c>
      <c r="S310" s="49">
        <f>IF(OR(A310="",D310=""),0,MAX(0,NETWORKDAYS(MAX(D310,DATE(Einstellungen!$C$3,8,1)),MIN(J310,DATE(Einstellungen!$C$3,9,0)),Einstellungen!$F$13:$F$32)))</f>
        <v/>
      </c>
      <c r="T310" s="49">
        <f>IF(OR(A310="",D310=""),0,MAX(0,NETWORKDAYS(MAX(D310,DATE(Einstellungen!$C$3,9,1)),MIN(J310,DATE(Einstellungen!$C$3,10,0)),Einstellungen!$F$13:$F$32)))</f>
        <v/>
      </c>
      <c r="U310" s="49">
        <f>IF(OR(A310="",D310=""),0,MAX(0,NETWORKDAYS(MAX(D310,DATE(Einstellungen!$C$3,10,1)),MIN(J310,DATE(Einstellungen!$C$3,11,0)),Einstellungen!$F$13:$F$32)))</f>
        <v/>
      </c>
      <c r="V310" s="49">
        <f>IF(OR(A310="",D310=""),0,MAX(0,NETWORKDAYS(MAX(D310,DATE(Einstellungen!$C$3,11,1)),MIN(J310,DATE(Einstellungen!$C$3,12,0)),Einstellungen!$F$13:$F$32)))</f>
        <v/>
      </c>
      <c r="W310" s="49">
        <f>IF(OR(A310="",D310=""),0,MAX(0,NETWORKDAYS(MAX(D310,DATE(Einstellungen!$C$3,12,1)),MIN(J310,DATE(Einstellungen!$C$3,13,0)),Einstellungen!$F$13:$F$32)))</f>
        <v/>
      </c>
      <c r="X310" s="50">
        <f>L310*K310</f>
        <v/>
      </c>
      <c r="Y310" s="50">
        <f>M310*K310</f>
        <v/>
      </c>
      <c r="Z310" s="50">
        <f>N310*K310</f>
        <v/>
      </c>
      <c r="AA310" s="50">
        <f>O310*K310</f>
        <v/>
      </c>
      <c r="AB310" s="50">
        <f>P310*K310</f>
        <v/>
      </c>
      <c r="AC310" s="50">
        <f>Q310*K310</f>
        <v/>
      </c>
      <c r="AD310" s="50">
        <f>R310*K310</f>
        <v/>
      </c>
      <c r="AE310" s="50">
        <f>S310*K310</f>
        <v/>
      </c>
      <c r="AF310" s="50">
        <f>T310*K310</f>
        <v/>
      </c>
      <c r="AG310" s="50">
        <f>U310*K310</f>
        <v/>
      </c>
      <c r="AH310" s="50">
        <f>V310*K310</f>
        <v/>
      </c>
      <c r="AI310" s="50">
        <f>W310*K310</f>
        <v/>
      </c>
    </row>
    <row r="311">
      <c r="A311" s="25" t="n"/>
      <c r="B311" s="45">
        <f>IF(A311="","",IFERROR(INDEX(Mitarbeiter!$B$6:$B$205,MATCH($A311,Mitarbeiter!$A$6:$A$205,0)),"?"))</f>
        <v/>
      </c>
      <c r="C311" s="46" t="n"/>
      <c r="D311" s="26" t="n"/>
      <c r="E311" s="26" t="n"/>
      <c r="F311" s="24">
        <f>IF(A311="","",SUM(L311:W311))</f>
        <v/>
      </c>
      <c r="G311" s="36">
        <f>IF(A311="","",SUM(X311:AI311))</f>
        <v/>
      </c>
      <c r="H311" s="8">
        <f>IF(A311="","",IF(ISNA(MATCH(A311,Mitarbeiter!$A$6:$A$205,0)),"Pers.-Nr. unbekannt",IF(D311="","Von fehlt",IF(AND(C311&lt;&gt;Einstellungen!$C$4,C311&lt;&gt;Einstellungen!$C$5),"Objekt fehlt",IF(J311&lt;D311,"Bis vor Von",IF(D311&lt;INDEX(Mitarbeiter!$C$6:$C$205,MATCH($A311,Mitarbeiter!$A$6:$A$205,0)),"vor Eintritt",IF(AND(INDEX(Mitarbeiter!$D$6:$D$205,MATCH($A311,Mitarbeiter!$A$6:$A$205,0))&lt;&gt;"",D311&gt;INDEX(Mitarbeiter!$D$6:$D$205,MATCH($A311,Mitarbeiter!$A$6:$A$205,0))),"nach Austritt",IF(E311="","offen","ok"))))))))</f>
        <v/>
      </c>
      <c r="J311" s="47">
        <f>IF(A311="","",IF(E311="",Einstellungen!$C$9,E311))</f>
        <v/>
      </c>
      <c r="K311" s="48">
        <f>IF(A311="",0,IFERROR(INDEX(Mitarbeiter!$F$6:$F$205,MATCH($A311,Mitarbeiter!$A$6:$A$205,0)),0))</f>
        <v/>
      </c>
      <c r="L311" s="49">
        <f>IF(OR(A311="",D311=""),0,MAX(0,NETWORKDAYS(MAX(D311,DATE(Einstellungen!$C$3,1,1)),MIN(J311,DATE(Einstellungen!$C$3,2,0)),Einstellungen!$F$13:$F$32)))</f>
        <v/>
      </c>
      <c r="M311" s="49">
        <f>IF(OR(A311="",D311=""),0,MAX(0,NETWORKDAYS(MAX(D311,DATE(Einstellungen!$C$3,2,1)),MIN(J311,DATE(Einstellungen!$C$3,3,0)),Einstellungen!$F$13:$F$32)))</f>
        <v/>
      </c>
      <c r="N311" s="49">
        <f>IF(OR(A311="",D311=""),0,MAX(0,NETWORKDAYS(MAX(D311,DATE(Einstellungen!$C$3,3,1)),MIN(J311,DATE(Einstellungen!$C$3,4,0)),Einstellungen!$F$13:$F$32)))</f>
        <v/>
      </c>
      <c r="O311" s="49">
        <f>IF(OR(A311="",D311=""),0,MAX(0,NETWORKDAYS(MAX(D311,DATE(Einstellungen!$C$3,4,1)),MIN(J311,DATE(Einstellungen!$C$3,5,0)),Einstellungen!$F$13:$F$32)))</f>
        <v/>
      </c>
      <c r="P311" s="49">
        <f>IF(OR(A311="",D311=""),0,MAX(0,NETWORKDAYS(MAX(D311,DATE(Einstellungen!$C$3,5,1)),MIN(J311,DATE(Einstellungen!$C$3,6,0)),Einstellungen!$F$13:$F$32)))</f>
        <v/>
      </c>
      <c r="Q311" s="49">
        <f>IF(OR(A311="",D311=""),0,MAX(0,NETWORKDAYS(MAX(D311,DATE(Einstellungen!$C$3,6,1)),MIN(J311,DATE(Einstellungen!$C$3,7,0)),Einstellungen!$F$13:$F$32)))</f>
        <v/>
      </c>
      <c r="R311" s="49">
        <f>IF(OR(A311="",D311=""),0,MAX(0,NETWORKDAYS(MAX(D311,DATE(Einstellungen!$C$3,7,1)),MIN(J311,DATE(Einstellungen!$C$3,8,0)),Einstellungen!$F$13:$F$32)))</f>
        <v/>
      </c>
      <c r="S311" s="49">
        <f>IF(OR(A311="",D311=""),0,MAX(0,NETWORKDAYS(MAX(D311,DATE(Einstellungen!$C$3,8,1)),MIN(J311,DATE(Einstellungen!$C$3,9,0)),Einstellungen!$F$13:$F$32)))</f>
        <v/>
      </c>
      <c r="T311" s="49">
        <f>IF(OR(A311="",D311=""),0,MAX(0,NETWORKDAYS(MAX(D311,DATE(Einstellungen!$C$3,9,1)),MIN(J311,DATE(Einstellungen!$C$3,10,0)),Einstellungen!$F$13:$F$32)))</f>
        <v/>
      </c>
      <c r="U311" s="49">
        <f>IF(OR(A311="",D311=""),0,MAX(0,NETWORKDAYS(MAX(D311,DATE(Einstellungen!$C$3,10,1)),MIN(J311,DATE(Einstellungen!$C$3,11,0)),Einstellungen!$F$13:$F$32)))</f>
        <v/>
      </c>
      <c r="V311" s="49">
        <f>IF(OR(A311="",D311=""),0,MAX(0,NETWORKDAYS(MAX(D311,DATE(Einstellungen!$C$3,11,1)),MIN(J311,DATE(Einstellungen!$C$3,12,0)),Einstellungen!$F$13:$F$32)))</f>
        <v/>
      </c>
      <c r="W311" s="49">
        <f>IF(OR(A311="",D311=""),0,MAX(0,NETWORKDAYS(MAX(D311,DATE(Einstellungen!$C$3,12,1)),MIN(J311,DATE(Einstellungen!$C$3,13,0)),Einstellungen!$F$13:$F$32)))</f>
        <v/>
      </c>
      <c r="X311" s="50">
        <f>L311*K311</f>
        <v/>
      </c>
      <c r="Y311" s="50">
        <f>M311*K311</f>
        <v/>
      </c>
      <c r="Z311" s="50">
        <f>N311*K311</f>
        <v/>
      </c>
      <c r="AA311" s="50">
        <f>O311*K311</f>
        <v/>
      </c>
      <c r="AB311" s="50">
        <f>P311*K311</f>
        <v/>
      </c>
      <c r="AC311" s="50">
        <f>Q311*K311</f>
        <v/>
      </c>
      <c r="AD311" s="50">
        <f>R311*K311</f>
        <v/>
      </c>
      <c r="AE311" s="50">
        <f>S311*K311</f>
        <v/>
      </c>
      <c r="AF311" s="50">
        <f>T311*K311</f>
        <v/>
      </c>
      <c r="AG311" s="50">
        <f>U311*K311</f>
        <v/>
      </c>
      <c r="AH311" s="50">
        <f>V311*K311</f>
        <v/>
      </c>
      <c r="AI311" s="50">
        <f>W311*K311</f>
        <v/>
      </c>
    </row>
    <row r="312">
      <c r="A312" s="25" t="n"/>
      <c r="B312" s="45">
        <f>IF(A312="","",IFERROR(INDEX(Mitarbeiter!$B$6:$B$205,MATCH($A312,Mitarbeiter!$A$6:$A$205,0)),"?"))</f>
        <v/>
      </c>
      <c r="C312" s="46" t="n"/>
      <c r="D312" s="26" t="n"/>
      <c r="E312" s="26" t="n"/>
      <c r="F312" s="24">
        <f>IF(A312="","",SUM(L312:W312))</f>
        <v/>
      </c>
      <c r="G312" s="36">
        <f>IF(A312="","",SUM(X312:AI312))</f>
        <v/>
      </c>
      <c r="H312" s="8">
        <f>IF(A312="","",IF(ISNA(MATCH(A312,Mitarbeiter!$A$6:$A$205,0)),"Pers.-Nr. unbekannt",IF(D312="","Von fehlt",IF(AND(C312&lt;&gt;Einstellungen!$C$4,C312&lt;&gt;Einstellungen!$C$5),"Objekt fehlt",IF(J312&lt;D312,"Bis vor Von",IF(D312&lt;INDEX(Mitarbeiter!$C$6:$C$205,MATCH($A312,Mitarbeiter!$A$6:$A$205,0)),"vor Eintritt",IF(AND(INDEX(Mitarbeiter!$D$6:$D$205,MATCH($A312,Mitarbeiter!$A$6:$A$205,0))&lt;&gt;"",D312&gt;INDEX(Mitarbeiter!$D$6:$D$205,MATCH($A312,Mitarbeiter!$A$6:$A$205,0))),"nach Austritt",IF(E312="","offen","ok"))))))))</f>
        <v/>
      </c>
      <c r="J312" s="47">
        <f>IF(A312="","",IF(E312="",Einstellungen!$C$9,E312))</f>
        <v/>
      </c>
      <c r="K312" s="48">
        <f>IF(A312="",0,IFERROR(INDEX(Mitarbeiter!$F$6:$F$205,MATCH($A312,Mitarbeiter!$A$6:$A$205,0)),0))</f>
        <v/>
      </c>
      <c r="L312" s="49">
        <f>IF(OR(A312="",D312=""),0,MAX(0,NETWORKDAYS(MAX(D312,DATE(Einstellungen!$C$3,1,1)),MIN(J312,DATE(Einstellungen!$C$3,2,0)),Einstellungen!$F$13:$F$32)))</f>
        <v/>
      </c>
      <c r="M312" s="49">
        <f>IF(OR(A312="",D312=""),0,MAX(0,NETWORKDAYS(MAX(D312,DATE(Einstellungen!$C$3,2,1)),MIN(J312,DATE(Einstellungen!$C$3,3,0)),Einstellungen!$F$13:$F$32)))</f>
        <v/>
      </c>
      <c r="N312" s="49">
        <f>IF(OR(A312="",D312=""),0,MAX(0,NETWORKDAYS(MAX(D312,DATE(Einstellungen!$C$3,3,1)),MIN(J312,DATE(Einstellungen!$C$3,4,0)),Einstellungen!$F$13:$F$32)))</f>
        <v/>
      </c>
      <c r="O312" s="49">
        <f>IF(OR(A312="",D312=""),0,MAX(0,NETWORKDAYS(MAX(D312,DATE(Einstellungen!$C$3,4,1)),MIN(J312,DATE(Einstellungen!$C$3,5,0)),Einstellungen!$F$13:$F$32)))</f>
        <v/>
      </c>
      <c r="P312" s="49">
        <f>IF(OR(A312="",D312=""),0,MAX(0,NETWORKDAYS(MAX(D312,DATE(Einstellungen!$C$3,5,1)),MIN(J312,DATE(Einstellungen!$C$3,6,0)),Einstellungen!$F$13:$F$32)))</f>
        <v/>
      </c>
      <c r="Q312" s="49">
        <f>IF(OR(A312="",D312=""),0,MAX(0,NETWORKDAYS(MAX(D312,DATE(Einstellungen!$C$3,6,1)),MIN(J312,DATE(Einstellungen!$C$3,7,0)),Einstellungen!$F$13:$F$32)))</f>
        <v/>
      </c>
      <c r="R312" s="49">
        <f>IF(OR(A312="",D312=""),0,MAX(0,NETWORKDAYS(MAX(D312,DATE(Einstellungen!$C$3,7,1)),MIN(J312,DATE(Einstellungen!$C$3,8,0)),Einstellungen!$F$13:$F$32)))</f>
        <v/>
      </c>
      <c r="S312" s="49">
        <f>IF(OR(A312="",D312=""),0,MAX(0,NETWORKDAYS(MAX(D312,DATE(Einstellungen!$C$3,8,1)),MIN(J312,DATE(Einstellungen!$C$3,9,0)),Einstellungen!$F$13:$F$32)))</f>
        <v/>
      </c>
      <c r="T312" s="49">
        <f>IF(OR(A312="",D312=""),0,MAX(0,NETWORKDAYS(MAX(D312,DATE(Einstellungen!$C$3,9,1)),MIN(J312,DATE(Einstellungen!$C$3,10,0)),Einstellungen!$F$13:$F$32)))</f>
        <v/>
      </c>
      <c r="U312" s="49">
        <f>IF(OR(A312="",D312=""),0,MAX(0,NETWORKDAYS(MAX(D312,DATE(Einstellungen!$C$3,10,1)),MIN(J312,DATE(Einstellungen!$C$3,11,0)),Einstellungen!$F$13:$F$32)))</f>
        <v/>
      </c>
      <c r="V312" s="49">
        <f>IF(OR(A312="",D312=""),0,MAX(0,NETWORKDAYS(MAX(D312,DATE(Einstellungen!$C$3,11,1)),MIN(J312,DATE(Einstellungen!$C$3,12,0)),Einstellungen!$F$13:$F$32)))</f>
        <v/>
      </c>
      <c r="W312" s="49">
        <f>IF(OR(A312="",D312=""),0,MAX(0,NETWORKDAYS(MAX(D312,DATE(Einstellungen!$C$3,12,1)),MIN(J312,DATE(Einstellungen!$C$3,13,0)),Einstellungen!$F$13:$F$32)))</f>
        <v/>
      </c>
      <c r="X312" s="50">
        <f>L312*K312</f>
        <v/>
      </c>
      <c r="Y312" s="50">
        <f>M312*K312</f>
        <v/>
      </c>
      <c r="Z312" s="50">
        <f>N312*K312</f>
        <v/>
      </c>
      <c r="AA312" s="50">
        <f>O312*K312</f>
        <v/>
      </c>
      <c r="AB312" s="50">
        <f>P312*K312</f>
        <v/>
      </c>
      <c r="AC312" s="50">
        <f>Q312*K312</f>
        <v/>
      </c>
      <c r="AD312" s="50">
        <f>R312*K312</f>
        <v/>
      </c>
      <c r="AE312" s="50">
        <f>S312*K312</f>
        <v/>
      </c>
      <c r="AF312" s="50">
        <f>T312*K312</f>
        <v/>
      </c>
      <c r="AG312" s="50">
        <f>U312*K312</f>
        <v/>
      </c>
      <c r="AH312" s="50">
        <f>V312*K312</f>
        <v/>
      </c>
      <c r="AI312" s="50">
        <f>W312*K312</f>
        <v/>
      </c>
    </row>
    <row r="313">
      <c r="A313" s="25" t="n"/>
      <c r="B313" s="45">
        <f>IF(A313="","",IFERROR(INDEX(Mitarbeiter!$B$6:$B$205,MATCH($A313,Mitarbeiter!$A$6:$A$205,0)),"?"))</f>
        <v/>
      </c>
      <c r="C313" s="46" t="n"/>
      <c r="D313" s="26" t="n"/>
      <c r="E313" s="26" t="n"/>
      <c r="F313" s="24">
        <f>IF(A313="","",SUM(L313:W313))</f>
        <v/>
      </c>
      <c r="G313" s="36">
        <f>IF(A313="","",SUM(X313:AI313))</f>
        <v/>
      </c>
      <c r="H313" s="8">
        <f>IF(A313="","",IF(ISNA(MATCH(A313,Mitarbeiter!$A$6:$A$205,0)),"Pers.-Nr. unbekannt",IF(D313="","Von fehlt",IF(AND(C313&lt;&gt;Einstellungen!$C$4,C313&lt;&gt;Einstellungen!$C$5),"Objekt fehlt",IF(J313&lt;D313,"Bis vor Von",IF(D313&lt;INDEX(Mitarbeiter!$C$6:$C$205,MATCH($A313,Mitarbeiter!$A$6:$A$205,0)),"vor Eintritt",IF(AND(INDEX(Mitarbeiter!$D$6:$D$205,MATCH($A313,Mitarbeiter!$A$6:$A$205,0))&lt;&gt;"",D313&gt;INDEX(Mitarbeiter!$D$6:$D$205,MATCH($A313,Mitarbeiter!$A$6:$A$205,0))),"nach Austritt",IF(E313="","offen","ok"))))))))</f>
        <v/>
      </c>
      <c r="J313" s="47">
        <f>IF(A313="","",IF(E313="",Einstellungen!$C$9,E313))</f>
        <v/>
      </c>
      <c r="K313" s="48">
        <f>IF(A313="",0,IFERROR(INDEX(Mitarbeiter!$F$6:$F$205,MATCH($A313,Mitarbeiter!$A$6:$A$205,0)),0))</f>
        <v/>
      </c>
      <c r="L313" s="49">
        <f>IF(OR(A313="",D313=""),0,MAX(0,NETWORKDAYS(MAX(D313,DATE(Einstellungen!$C$3,1,1)),MIN(J313,DATE(Einstellungen!$C$3,2,0)),Einstellungen!$F$13:$F$32)))</f>
        <v/>
      </c>
      <c r="M313" s="49">
        <f>IF(OR(A313="",D313=""),0,MAX(0,NETWORKDAYS(MAX(D313,DATE(Einstellungen!$C$3,2,1)),MIN(J313,DATE(Einstellungen!$C$3,3,0)),Einstellungen!$F$13:$F$32)))</f>
        <v/>
      </c>
      <c r="N313" s="49">
        <f>IF(OR(A313="",D313=""),0,MAX(0,NETWORKDAYS(MAX(D313,DATE(Einstellungen!$C$3,3,1)),MIN(J313,DATE(Einstellungen!$C$3,4,0)),Einstellungen!$F$13:$F$32)))</f>
        <v/>
      </c>
      <c r="O313" s="49">
        <f>IF(OR(A313="",D313=""),0,MAX(0,NETWORKDAYS(MAX(D313,DATE(Einstellungen!$C$3,4,1)),MIN(J313,DATE(Einstellungen!$C$3,5,0)),Einstellungen!$F$13:$F$32)))</f>
        <v/>
      </c>
      <c r="P313" s="49">
        <f>IF(OR(A313="",D313=""),0,MAX(0,NETWORKDAYS(MAX(D313,DATE(Einstellungen!$C$3,5,1)),MIN(J313,DATE(Einstellungen!$C$3,6,0)),Einstellungen!$F$13:$F$32)))</f>
        <v/>
      </c>
      <c r="Q313" s="49">
        <f>IF(OR(A313="",D313=""),0,MAX(0,NETWORKDAYS(MAX(D313,DATE(Einstellungen!$C$3,6,1)),MIN(J313,DATE(Einstellungen!$C$3,7,0)),Einstellungen!$F$13:$F$32)))</f>
        <v/>
      </c>
      <c r="R313" s="49">
        <f>IF(OR(A313="",D313=""),0,MAX(0,NETWORKDAYS(MAX(D313,DATE(Einstellungen!$C$3,7,1)),MIN(J313,DATE(Einstellungen!$C$3,8,0)),Einstellungen!$F$13:$F$32)))</f>
        <v/>
      </c>
      <c r="S313" s="49">
        <f>IF(OR(A313="",D313=""),0,MAX(0,NETWORKDAYS(MAX(D313,DATE(Einstellungen!$C$3,8,1)),MIN(J313,DATE(Einstellungen!$C$3,9,0)),Einstellungen!$F$13:$F$32)))</f>
        <v/>
      </c>
      <c r="T313" s="49">
        <f>IF(OR(A313="",D313=""),0,MAX(0,NETWORKDAYS(MAX(D313,DATE(Einstellungen!$C$3,9,1)),MIN(J313,DATE(Einstellungen!$C$3,10,0)),Einstellungen!$F$13:$F$32)))</f>
        <v/>
      </c>
      <c r="U313" s="49">
        <f>IF(OR(A313="",D313=""),0,MAX(0,NETWORKDAYS(MAX(D313,DATE(Einstellungen!$C$3,10,1)),MIN(J313,DATE(Einstellungen!$C$3,11,0)),Einstellungen!$F$13:$F$32)))</f>
        <v/>
      </c>
      <c r="V313" s="49">
        <f>IF(OR(A313="",D313=""),0,MAX(0,NETWORKDAYS(MAX(D313,DATE(Einstellungen!$C$3,11,1)),MIN(J313,DATE(Einstellungen!$C$3,12,0)),Einstellungen!$F$13:$F$32)))</f>
        <v/>
      </c>
      <c r="W313" s="49">
        <f>IF(OR(A313="",D313=""),0,MAX(0,NETWORKDAYS(MAX(D313,DATE(Einstellungen!$C$3,12,1)),MIN(J313,DATE(Einstellungen!$C$3,13,0)),Einstellungen!$F$13:$F$32)))</f>
        <v/>
      </c>
      <c r="X313" s="50">
        <f>L313*K313</f>
        <v/>
      </c>
      <c r="Y313" s="50">
        <f>M313*K313</f>
        <v/>
      </c>
      <c r="Z313" s="50">
        <f>N313*K313</f>
        <v/>
      </c>
      <c r="AA313" s="50">
        <f>O313*K313</f>
        <v/>
      </c>
      <c r="AB313" s="50">
        <f>P313*K313</f>
        <v/>
      </c>
      <c r="AC313" s="50">
        <f>Q313*K313</f>
        <v/>
      </c>
      <c r="AD313" s="50">
        <f>R313*K313</f>
        <v/>
      </c>
      <c r="AE313" s="50">
        <f>S313*K313</f>
        <v/>
      </c>
      <c r="AF313" s="50">
        <f>T313*K313</f>
        <v/>
      </c>
      <c r="AG313" s="50">
        <f>U313*K313</f>
        <v/>
      </c>
      <c r="AH313" s="50">
        <f>V313*K313</f>
        <v/>
      </c>
      <c r="AI313" s="50">
        <f>W313*K313</f>
        <v/>
      </c>
    </row>
    <row r="314">
      <c r="A314" s="25" t="n"/>
      <c r="B314" s="45">
        <f>IF(A314="","",IFERROR(INDEX(Mitarbeiter!$B$6:$B$205,MATCH($A314,Mitarbeiter!$A$6:$A$205,0)),"?"))</f>
        <v/>
      </c>
      <c r="C314" s="46" t="n"/>
      <c r="D314" s="26" t="n"/>
      <c r="E314" s="26" t="n"/>
      <c r="F314" s="24">
        <f>IF(A314="","",SUM(L314:W314))</f>
        <v/>
      </c>
      <c r="G314" s="36">
        <f>IF(A314="","",SUM(X314:AI314))</f>
        <v/>
      </c>
      <c r="H314" s="8">
        <f>IF(A314="","",IF(ISNA(MATCH(A314,Mitarbeiter!$A$6:$A$205,0)),"Pers.-Nr. unbekannt",IF(D314="","Von fehlt",IF(AND(C314&lt;&gt;Einstellungen!$C$4,C314&lt;&gt;Einstellungen!$C$5),"Objekt fehlt",IF(J314&lt;D314,"Bis vor Von",IF(D314&lt;INDEX(Mitarbeiter!$C$6:$C$205,MATCH($A314,Mitarbeiter!$A$6:$A$205,0)),"vor Eintritt",IF(AND(INDEX(Mitarbeiter!$D$6:$D$205,MATCH($A314,Mitarbeiter!$A$6:$A$205,0))&lt;&gt;"",D314&gt;INDEX(Mitarbeiter!$D$6:$D$205,MATCH($A314,Mitarbeiter!$A$6:$A$205,0))),"nach Austritt",IF(E314="","offen","ok"))))))))</f>
        <v/>
      </c>
      <c r="J314" s="47">
        <f>IF(A314="","",IF(E314="",Einstellungen!$C$9,E314))</f>
        <v/>
      </c>
      <c r="K314" s="48">
        <f>IF(A314="",0,IFERROR(INDEX(Mitarbeiter!$F$6:$F$205,MATCH($A314,Mitarbeiter!$A$6:$A$205,0)),0))</f>
        <v/>
      </c>
      <c r="L314" s="49">
        <f>IF(OR(A314="",D314=""),0,MAX(0,NETWORKDAYS(MAX(D314,DATE(Einstellungen!$C$3,1,1)),MIN(J314,DATE(Einstellungen!$C$3,2,0)),Einstellungen!$F$13:$F$32)))</f>
        <v/>
      </c>
      <c r="M314" s="49">
        <f>IF(OR(A314="",D314=""),0,MAX(0,NETWORKDAYS(MAX(D314,DATE(Einstellungen!$C$3,2,1)),MIN(J314,DATE(Einstellungen!$C$3,3,0)),Einstellungen!$F$13:$F$32)))</f>
        <v/>
      </c>
      <c r="N314" s="49">
        <f>IF(OR(A314="",D314=""),0,MAX(0,NETWORKDAYS(MAX(D314,DATE(Einstellungen!$C$3,3,1)),MIN(J314,DATE(Einstellungen!$C$3,4,0)),Einstellungen!$F$13:$F$32)))</f>
        <v/>
      </c>
      <c r="O314" s="49">
        <f>IF(OR(A314="",D314=""),0,MAX(0,NETWORKDAYS(MAX(D314,DATE(Einstellungen!$C$3,4,1)),MIN(J314,DATE(Einstellungen!$C$3,5,0)),Einstellungen!$F$13:$F$32)))</f>
        <v/>
      </c>
      <c r="P314" s="49">
        <f>IF(OR(A314="",D314=""),0,MAX(0,NETWORKDAYS(MAX(D314,DATE(Einstellungen!$C$3,5,1)),MIN(J314,DATE(Einstellungen!$C$3,6,0)),Einstellungen!$F$13:$F$32)))</f>
        <v/>
      </c>
      <c r="Q314" s="49">
        <f>IF(OR(A314="",D314=""),0,MAX(0,NETWORKDAYS(MAX(D314,DATE(Einstellungen!$C$3,6,1)),MIN(J314,DATE(Einstellungen!$C$3,7,0)),Einstellungen!$F$13:$F$32)))</f>
        <v/>
      </c>
      <c r="R314" s="49">
        <f>IF(OR(A314="",D314=""),0,MAX(0,NETWORKDAYS(MAX(D314,DATE(Einstellungen!$C$3,7,1)),MIN(J314,DATE(Einstellungen!$C$3,8,0)),Einstellungen!$F$13:$F$32)))</f>
        <v/>
      </c>
      <c r="S314" s="49">
        <f>IF(OR(A314="",D314=""),0,MAX(0,NETWORKDAYS(MAX(D314,DATE(Einstellungen!$C$3,8,1)),MIN(J314,DATE(Einstellungen!$C$3,9,0)),Einstellungen!$F$13:$F$32)))</f>
        <v/>
      </c>
      <c r="T314" s="49">
        <f>IF(OR(A314="",D314=""),0,MAX(0,NETWORKDAYS(MAX(D314,DATE(Einstellungen!$C$3,9,1)),MIN(J314,DATE(Einstellungen!$C$3,10,0)),Einstellungen!$F$13:$F$32)))</f>
        <v/>
      </c>
      <c r="U314" s="49">
        <f>IF(OR(A314="",D314=""),0,MAX(0,NETWORKDAYS(MAX(D314,DATE(Einstellungen!$C$3,10,1)),MIN(J314,DATE(Einstellungen!$C$3,11,0)),Einstellungen!$F$13:$F$32)))</f>
        <v/>
      </c>
      <c r="V314" s="49">
        <f>IF(OR(A314="",D314=""),0,MAX(0,NETWORKDAYS(MAX(D314,DATE(Einstellungen!$C$3,11,1)),MIN(J314,DATE(Einstellungen!$C$3,12,0)),Einstellungen!$F$13:$F$32)))</f>
        <v/>
      </c>
      <c r="W314" s="49">
        <f>IF(OR(A314="",D314=""),0,MAX(0,NETWORKDAYS(MAX(D314,DATE(Einstellungen!$C$3,12,1)),MIN(J314,DATE(Einstellungen!$C$3,13,0)),Einstellungen!$F$13:$F$32)))</f>
        <v/>
      </c>
      <c r="X314" s="50">
        <f>L314*K314</f>
        <v/>
      </c>
      <c r="Y314" s="50">
        <f>M314*K314</f>
        <v/>
      </c>
      <c r="Z314" s="50">
        <f>N314*K314</f>
        <v/>
      </c>
      <c r="AA314" s="50">
        <f>O314*K314</f>
        <v/>
      </c>
      <c r="AB314" s="50">
        <f>P314*K314</f>
        <v/>
      </c>
      <c r="AC314" s="50">
        <f>Q314*K314</f>
        <v/>
      </c>
      <c r="AD314" s="50">
        <f>R314*K314</f>
        <v/>
      </c>
      <c r="AE314" s="50">
        <f>S314*K314</f>
        <v/>
      </c>
      <c r="AF314" s="50">
        <f>T314*K314</f>
        <v/>
      </c>
      <c r="AG314" s="50">
        <f>U314*K314</f>
        <v/>
      </c>
      <c r="AH314" s="50">
        <f>V314*K314</f>
        <v/>
      </c>
      <c r="AI314" s="50">
        <f>W314*K314</f>
        <v/>
      </c>
    </row>
    <row r="315">
      <c r="A315" s="25" t="n"/>
      <c r="B315" s="45">
        <f>IF(A315="","",IFERROR(INDEX(Mitarbeiter!$B$6:$B$205,MATCH($A315,Mitarbeiter!$A$6:$A$205,0)),"?"))</f>
        <v/>
      </c>
      <c r="C315" s="46" t="n"/>
      <c r="D315" s="26" t="n"/>
      <c r="E315" s="26" t="n"/>
      <c r="F315" s="24">
        <f>IF(A315="","",SUM(L315:W315))</f>
        <v/>
      </c>
      <c r="G315" s="36">
        <f>IF(A315="","",SUM(X315:AI315))</f>
        <v/>
      </c>
      <c r="H315" s="8">
        <f>IF(A315="","",IF(ISNA(MATCH(A315,Mitarbeiter!$A$6:$A$205,0)),"Pers.-Nr. unbekannt",IF(D315="","Von fehlt",IF(AND(C315&lt;&gt;Einstellungen!$C$4,C315&lt;&gt;Einstellungen!$C$5),"Objekt fehlt",IF(J315&lt;D315,"Bis vor Von",IF(D315&lt;INDEX(Mitarbeiter!$C$6:$C$205,MATCH($A315,Mitarbeiter!$A$6:$A$205,0)),"vor Eintritt",IF(AND(INDEX(Mitarbeiter!$D$6:$D$205,MATCH($A315,Mitarbeiter!$A$6:$A$205,0))&lt;&gt;"",D315&gt;INDEX(Mitarbeiter!$D$6:$D$205,MATCH($A315,Mitarbeiter!$A$6:$A$205,0))),"nach Austritt",IF(E315="","offen","ok"))))))))</f>
        <v/>
      </c>
      <c r="J315" s="47">
        <f>IF(A315="","",IF(E315="",Einstellungen!$C$9,E315))</f>
        <v/>
      </c>
      <c r="K315" s="48">
        <f>IF(A315="",0,IFERROR(INDEX(Mitarbeiter!$F$6:$F$205,MATCH($A315,Mitarbeiter!$A$6:$A$205,0)),0))</f>
        <v/>
      </c>
      <c r="L315" s="49">
        <f>IF(OR(A315="",D315=""),0,MAX(0,NETWORKDAYS(MAX(D315,DATE(Einstellungen!$C$3,1,1)),MIN(J315,DATE(Einstellungen!$C$3,2,0)),Einstellungen!$F$13:$F$32)))</f>
        <v/>
      </c>
      <c r="M315" s="49">
        <f>IF(OR(A315="",D315=""),0,MAX(0,NETWORKDAYS(MAX(D315,DATE(Einstellungen!$C$3,2,1)),MIN(J315,DATE(Einstellungen!$C$3,3,0)),Einstellungen!$F$13:$F$32)))</f>
        <v/>
      </c>
      <c r="N315" s="49">
        <f>IF(OR(A315="",D315=""),0,MAX(0,NETWORKDAYS(MAX(D315,DATE(Einstellungen!$C$3,3,1)),MIN(J315,DATE(Einstellungen!$C$3,4,0)),Einstellungen!$F$13:$F$32)))</f>
        <v/>
      </c>
      <c r="O315" s="49">
        <f>IF(OR(A315="",D315=""),0,MAX(0,NETWORKDAYS(MAX(D315,DATE(Einstellungen!$C$3,4,1)),MIN(J315,DATE(Einstellungen!$C$3,5,0)),Einstellungen!$F$13:$F$32)))</f>
        <v/>
      </c>
      <c r="P315" s="49">
        <f>IF(OR(A315="",D315=""),0,MAX(0,NETWORKDAYS(MAX(D315,DATE(Einstellungen!$C$3,5,1)),MIN(J315,DATE(Einstellungen!$C$3,6,0)),Einstellungen!$F$13:$F$32)))</f>
        <v/>
      </c>
      <c r="Q315" s="49">
        <f>IF(OR(A315="",D315=""),0,MAX(0,NETWORKDAYS(MAX(D315,DATE(Einstellungen!$C$3,6,1)),MIN(J315,DATE(Einstellungen!$C$3,7,0)),Einstellungen!$F$13:$F$32)))</f>
        <v/>
      </c>
      <c r="R315" s="49">
        <f>IF(OR(A315="",D315=""),0,MAX(0,NETWORKDAYS(MAX(D315,DATE(Einstellungen!$C$3,7,1)),MIN(J315,DATE(Einstellungen!$C$3,8,0)),Einstellungen!$F$13:$F$32)))</f>
        <v/>
      </c>
      <c r="S315" s="49">
        <f>IF(OR(A315="",D315=""),0,MAX(0,NETWORKDAYS(MAX(D315,DATE(Einstellungen!$C$3,8,1)),MIN(J315,DATE(Einstellungen!$C$3,9,0)),Einstellungen!$F$13:$F$32)))</f>
        <v/>
      </c>
      <c r="T315" s="49">
        <f>IF(OR(A315="",D315=""),0,MAX(0,NETWORKDAYS(MAX(D315,DATE(Einstellungen!$C$3,9,1)),MIN(J315,DATE(Einstellungen!$C$3,10,0)),Einstellungen!$F$13:$F$32)))</f>
        <v/>
      </c>
      <c r="U315" s="49">
        <f>IF(OR(A315="",D315=""),0,MAX(0,NETWORKDAYS(MAX(D315,DATE(Einstellungen!$C$3,10,1)),MIN(J315,DATE(Einstellungen!$C$3,11,0)),Einstellungen!$F$13:$F$32)))</f>
        <v/>
      </c>
      <c r="V315" s="49">
        <f>IF(OR(A315="",D315=""),0,MAX(0,NETWORKDAYS(MAX(D315,DATE(Einstellungen!$C$3,11,1)),MIN(J315,DATE(Einstellungen!$C$3,12,0)),Einstellungen!$F$13:$F$32)))</f>
        <v/>
      </c>
      <c r="W315" s="49">
        <f>IF(OR(A315="",D315=""),0,MAX(0,NETWORKDAYS(MAX(D315,DATE(Einstellungen!$C$3,12,1)),MIN(J315,DATE(Einstellungen!$C$3,13,0)),Einstellungen!$F$13:$F$32)))</f>
        <v/>
      </c>
      <c r="X315" s="50">
        <f>L315*K315</f>
        <v/>
      </c>
      <c r="Y315" s="50">
        <f>M315*K315</f>
        <v/>
      </c>
      <c r="Z315" s="50">
        <f>N315*K315</f>
        <v/>
      </c>
      <c r="AA315" s="50">
        <f>O315*K315</f>
        <v/>
      </c>
      <c r="AB315" s="50">
        <f>P315*K315</f>
        <v/>
      </c>
      <c r="AC315" s="50">
        <f>Q315*K315</f>
        <v/>
      </c>
      <c r="AD315" s="50">
        <f>R315*K315</f>
        <v/>
      </c>
      <c r="AE315" s="50">
        <f>S315*K315</f>
        <v/>
      </c>
      <c r="AF315" s="50">
        <f>T315*K315</f>
        <v/>
      </c>
      <c r="AG315" s="50">
        <f>U315*K315</f>
        <v/>
      </c>
      <c r="AH315" s="50">
        <f>V315*K315</f>
        <v/>
      </c>
      <c r="AI315" s="50">
        <f>W315*K315</f>
        <v/>
      </c>
    </row>
    <row r="316">
      <c r="A316" s="25" t="n"/>
      <c r="B316" s="45">
        <f>IF(A316="","",IFERROR(INDEX(Mitarbeiter!$B$6:$B$205,MATCH($A316,Mitarbeiter!$A$6:$A$205,0)),"?"))</f>
        <v/>
      </c>
      <c r="C316" s="46" t="n"/>
      <c r="D316" s="26" t="n"/>
      <c r="E316" s="26" t="n"/>
      <c r="F316" s="24">
        <f>IF(A316="","",SUM(L316:W316))</f>
        <v/>
      </c>
      <c r="G316" s="36">
        <f>IF(A316="","",SUM(X316:AI316))</f>
        <v/>
      </c>
      <c r="H316" s="8">
        <f>IF(A316="","",IF(ISNA(MATCH(A316,Mitarbeiter!$A$6:$A$205,0)),"Pers.-Nr. unbekannt",IF(D316="","Von fehlt",IF(AND(C316&lt;&gt;Einstellungen!$C$4,C316&lt;&gt;Einstellungen!$C$5),"Objekt fehlt",IF(J316&lt;D316,"Bis vor Von",IF(D316&lt;INDEX(Mitarbeiter!$C$6:$C$205,MATCH($A316,Mitarbeiter!$A$6:$A$205,0)),"vor Eintritt",IF(AND(INDEX(Mitarbeiter!$D$6:$D$205,MATCH($A316,Mitarbeiter!$A$6:$A$205,0))&lt;&gt;"",D316&gt;INDEX(Mitarbeiter!$D$6:$D$205,MATCH($A316,Mitarbeiter!$A$6:$A$205,0))),"nach Austritt",IF(E316="","offen","ok"))))))))</f>
        <v/>
      </c>
      <c r="J316" s="47">
        <f>IF(A316="","",IF(E316="",Einstellungen!$C$9,E316))</f>
        <v/>
      </c>
      <c r="K316" s="48">
        <f>IF(A316="",0,IFERROR(INDEX(Mitarbeiter!$F$6:$F$205,MATCH($A316,Mitarbeiter!$A$6:$A$205,0)),0))</f>
        <v/>
      </c>
      <c r="L316" s="49">
        <f>IF(OR(A316="",D316=""),0,MAX(0,NETWORKDAYS(MAX(D316,DATE(Einstellungen!$C$3,1,1)),MIN(J316,DATE(Einstellungen!$C$3,2,0)),Einstellungen!$F$13:$F$32)))</f>
        <v/>
      </c>
      <c r="M316" s="49">
        <f>IF(OR(A316="",D316=""),0,MAX(0,NETWORKDAYS(MAX(D316,DATE(Einstellungen!$C$3,2,1)),MIN(J316,DATE(Einstellungen!$C$3,3,0)),Einstellungen!$F$13:$F$32)))</f>
        <v/>
      </c>
      <c r="N316" s="49">
        <f>IF(OR(A316="",D316=""),0,MAX(0,NETWORKDAYS(MAX(D316,DATE(Einstellungen!$C$3,3,1)),MIN(J316,DATE(Einstellungen!$C$3,4,0)),Einstellungen!$F$13:$F$32)))</f>
        <v/>
      </c>
      <c r="O316" s="49">
        <f>IF(OR(A316="",D316=""),0,MAX(0,NETWORKDAYS(MAX(D316,DATE(Einstellungen!$C$3,4,1)),MIN(J316,DATE(Einstellungen!$C$3,5,0)),Einstellungen!$F$13:$F$32)))</f>
        <v/>
      </c>
      <c r="P316" s="49">
        <f>IF(OR(A316="",D316=""),0,MAX(0,NETWORKDAYS(MAX(D316,DATE(Einstellungen!$C$3,5,1)),MIN(J316,DATE(Einstellungen!$C$3,6,0)),Einstellungen!$F$13:$F$32)))</f>
        <v/>
      </c>
      <c r="Q316" s="49">
        <f>IF(OR(A316="",D316=""),0,MAX(0,NETWORKDAYS(MAX(D316,DATE(Einstellungen!$C$3,6,1)),MIN(J316,DATE(Einstellungen!$C$3,7,0)),Einstellungen!$F$13:$F$32)))</f>
        <v/>
      </c>
      <c r="R316" s="49">
        <f>IF(OR(A316="",D316=""),0,MAX(0,NETWORKDAYS(MAX(D316,DATE(Einstellungen!$C$3,7,1)),MIN(J316,DATE(Einstellungen!$C$3,8,0)),Einstellungen!$F$13:$F$32)))</f>
        <v/>
      </c>
      <c r="S316" s="49">
        <f>IF(OR(A316="",D316=""),0,MAX(0,NETWORKDAYS(MAX(D316,DATE(Einstellungen!$C$3,8,1)),MIN(J316,DATE(Einstellungen!$C$3,9,0)),Einstellungen!$F$13:$F$32)))</f>
        <v/>
      </c>
      <c r="T316" s="49">
        <f>IF(OR(A316="",D316=""),0,MAX(0,NETWORKDAYS(MAX(D316,DATE(Einstellungen!$C$3,9,1)),MIN(J316,DATE(Einstellungen!$C$3,10,0)),Einstellungen!$F$13:$F$32)))</f>
        <v/>
      </c>
      <c r="U316" s="49">
        <f>IF(OR(A316="",D316=""),0,MAX(0,NETWORKDAYS(MAX(D316,DATE(Einstellungen!$C$3,10,1)),MIN(J316,DATE(Einstellungen!$C$3,11,0)),Einstellungen!$F$13:$F$32)))</f>
        <v/>
      </c>
      <c r="V316" s="49">
        <f>IF(OR(A316="",D316=""),0,MAX(0,NETWORKDAYS(MAX(D316,DATE(Einstellungen!$C$3,11,1)),MIN(J316,DATE(Einstellungen!$C$3,12,0)),Einstellungen!$F$13:$F$32)))</f>
        <v/>
      </c>
      <c r="W316" s="49">
        <f>IF(OR(A316="",D316=""),0,MAX(0,NETWORKDAYS(MAX(D316,DATE(Einstellungen!$C$3,12,1)),MIN(J316,DATE(Einstellungen!$C$3,13,0)),Einstellungen!$F$13:$F$32)))</f>
        <v/>
      </c>
      <c r="X316" s="50">
        <f>L316*K316</f>
        <v/>
      </c>
      <c r="Y316" s="50">
        <f>M316*K316</f>
        <v/>
      </c>
      <c r="Z316" s="50">
        <f>N316*K316</f>
        <v/>
      </c>
      <c r="AA316" s="50">
        <f>O316*K316</f>
        <v/>
      </c>
      <c r="AB316" s="50">
        <f>P316*K316</f>
        <v/>
      </c>
      <c r="AC316" s="50">
        <f>Q316*K316</f>
        <v/>
      </c>
      <c r="AD316" s="50">
        <f>R316*K316</f>
        <v/>
      </c>
      <c r="AE316" s="50">
        <f>S316*K316</f>
        <v/>
      </c>
      <c r="AF316" s="50">
        <f>T316*K316</f>
        <v/>
      </c>
      <c r="AG316" s="50">
        <f>U316*K316</f>
        <v/>
      </c>
      <c r="AH316" s="50">
        <f>V316*K316</f>
        <v/>
      </c>
      <c r="AI316" s="50">
        <f>W316*K316</f>
        <v/>
      </c>
    </row>
    <row r="317">
      <c r="A317" s="25" t="n"/>
      <c r="B317" s="45">
        <f>IF(A317="","",IFERROR(INDEX(Mitarbeiter!$B$6:$B$205,MATCH($A317,Mitarbeiter!$A$6:$A$205,0)),"?"))</f>
        <v/>
      </c>
      <c r="C317" s="46" t="n"/>
      <c r="D317" s="26" t="n"/>
      <c r="E317" s="26" t="n"/>
      <c r="F317" s="24">
        <f>IF(A317="","",SUM(L317:W317))</f>
        <v/>
      </c>
      <c r="G317" s="36">
        <f>IF(A317="","",SUM(X317:AI317))</f>
        <v/>
      </c>
      <c r="H317" s="8">
        <f>IF(A317="","",IF(ISNA(MATCH(A317,Mitarbeiter!$A$6:$A$205,0)),"Pers.-Nr. unbekannt",IF(D317="","Von fehlt",IF(AND(C317&lt;&gt;Einstellungen!$C$4,C317&lt;&gt;Einstellungen!$C$5),"Objekt fehlt",IF(J317&lt;D317,"Bis vor Von",IF(D317&lt;INDEX(Mitarbeiter!$C$6:$C$205,MATCH($A317,Mitarbeiter!$A$6:$A$205,0)),"vor Eintritt",IF(AND(INDEX(Mitarbeiter!$D$6:$D$205,MATCH($A317,Mitarbeiter!$A$6:$A$205,0))&lt;&gt;"",D317&gt;INDEX(Mitarbeiter!$D$6:$D$205,MATCH($A317,Mitarbeiter!$A$6:$A$205,0))),"nach Austritt",IF(E317="","offen","ok"))))))))</f>
        <v/>
      </c>
      <c r="J317" s="47">
        <f>IF(A317="","",IF(E317="",Einstellungen!$C$9,E317))</f>
        <v/>
      </c>
      <c r="K317" s="48">
        <f>IF(A317="",0,IFERROR(INDEX(Mitarbeiter!$F$6:$F$205,MATCH($A317,Mitarbeiter!$A$6:$A$205,0)),0))</f>
        <v/>
      </c>
      <c r="L317" s="49">
        <f>IF(OR(A317="",D317=""),0,MAX(0,NETWORKDAYS(MAX(D317,DATE(Einstellungen!$C$3,1,1)),MIN(J317,DATE(Einstellungen!$C$3,2,0)),Einstellungen!$F$13:$F$32)))</f>
        <v/>
      </c>
      <c r="M317" s="49">
        <f>IF(OR(A317="",D317=""),0,MAX(0,NETWORKDAYS(MAX(D317,DATE(Einstellungen!$C$3,2,1)),MIN(J317,DATE(Einstellungen!$C$3,3,0)),Einstellungen!$F$13:$F$32)))</f>
        <v/>
      </c>
      <c r="N317" s="49">
        <f>IF(OR(A317="",D317=""),0,MAX(0,NETWORKDAYS(MAX(D317,DATE(Einstellungen!$C$3,3,1)),MIN(J317,DATE(Einstellungen!$C$3,4,0)),Einstellungen!$F$13:$F$32)))</f>
        <v/>
      </c>
      <c r="O317" s="49">
        <f>IF(OR(A317="",D317=""),0,MAX(0,NETWORKDAYS(MAX(D317,DATE(Einstellungen!$C$3,4,1)),MIN(J317,DATE(Einstellungen!$C$3,5,0)),Einstellungen!$F$13:$F$32)))</f>
        <v/>
      </c>
      <c r="P317" s="49">
        <f>IF(OR(A317="",D317=""),0,MAX(0,NETWORKDAYS(MAX(D317,DATE(Einstellungen!$C$3,5,1)),MIN(J317,DATE(Einstellungen!$C$3,6,0)),Einstellungen!$F$13:$F$32)))</f>
        <v/>
      </c>
      <c r="Q317" s="49">
        <f>IF(OR(A317="",D317=""),0,MAX(0,NETWORKDAYS(MAX(D317,DATE(Einstellungen!$C$3,6,1)),MIN(J317,DATE(Einstellungen!$C$3,7,0)),Einstellungen!$F$13:$F$32)))</f>
        <v/>
      </c>
      <c r="R317" s="49">
        <f>IF(OR(A317="",D317=""),0,MAX(0,NETWORKDAYS(MAX(D317,DATE(Einstellungen!$C$3,7,1)),MIN(J317,DATE(Einstellungen!$C$3,8,0)),Einstellungen!$F$13:$F$32)))</f>
        <v/>
      </c>
      <c r="S317" s="49">
        <f>IF(OR(A317="",D317=""),0,MAX(0,NETWORKDAYS(MAX(D317,DATE(Einstellungen!$C$3,8,1)),MIN(J317,DATE(Einstellungen!$C$3,9,0)),Einstellungen!$F$13:$F$32)))</f>
        <v/>
      </c>
      <c r="T317" s="49">
        <f>IF(OR(A317="",D317=""),0,MAX(0,NETWORKDAYS(MAX(D317,DATE(Einstellungen!$C$3,9,1)),MIN(J317,DATE(Einstellungen!$C$3,10,0)),Einstellungen!$F$13:$F$32)))</f>
        <v/>
      </c>
      <c r="U317" s="49">
        <f>IF(OR(A317="",D317=""),0,MAX(0,NETWORKDAYS(MAX(D317,DATE(Einstellungen!$C$3,10,1)),MIN(J317,DATE(Einstellungen!$C$3,11,0)),Einstellungen!$F$13:$F$32)))</f>
        <v/>
      </c>
      <c r="V317" s="49">
        <f>IF(OR(A317="",D317=""),0,MAX(0,NETWORKDAYS(MAX(D317,DATE(Einstellungen!$C$3,11,1)),MIN(J317,DATE(Einstellungen!$C$3,12,0)),Einstellungen!$F$13:$F$32)))</f>
        <v/>
      </c>
      <c r="W317" s="49">
        <f>IF(OR(A317="",D317=""),0,MAX(0,NETWORKDAYS(MAX(D317,DATE(Einstellungen!$C$3,12,1)),MIN(J317,DATE(Einstellungen!$C$3,13,0)),Einstellungen!$F$13:$F$32)))</f>
        <v/>
      </c>
      <c r="X317" s="50">
        <f>L317*K317</f>
        <v/>
      </c>
      <c r="Y317" s="50">
        <f>M317*K317</f>
        <v/>
      </c>
      <c r="Z317" s="50">
        <f>N317*K317</f>
        <v/>
      </c>
      <c r="AA317" s="50">
        <f>O317*K317</f>
        <v/>
      </c>
      <c r="AB317" s="50">
        <f>P317*K317</f>
        <v/>
      </c>
      <c r="AC317" s="50">
        <f>Q317*K317</f>
        <v/>
      </c>
      <c r="AD317" s="50">
        <f>R317*K317</f>
        <v/>
      </c>
      <c r="AE317" s="50">
        <f>S317*K317</f>
        <v/>
      </c>
      <c r="AF317" s="50">
        <f>T317*K317</f>
        <v/>
      </c>
      <c r="AG317" s="50">
        <f>U317*K317</f>
        <v/>
      </c>
      <c r="AH317" s="50">
        <f>V317*K317</f>
        <v/>
      </c>
      <c r="AI317" s="50">
        <f>W317*K317</f>
        <v/>
      </c>
    </row>
    <row r="318">
      <c r="A318" s="25" t="n"/>
      <c r="B318" s="45">
        <f>IF(A318="","",IFERROR(INDEX(Mitarbeiter!$B$6:$B$205,MATCH($A318,Mitarbeiter!$A$6:$A$205,0)),"?"))</f>
        <v/>
      </c>
      <c r="C318" s="46" t="n"/>
      <c r="D318" s="26" t="n"/>
      <c r="E318" s="26" t="n"/>
      <c r="F318" s="24">
        <f>IF(A318="","",SUM(L318:W318))</f>
        <v/>
      </c>
      <c r="G318" s="36">
        <f>IF(A318="","",SUM(X318:AI318))</f>
        <v/>
      </c>
      <c r="H318" s="8">
        <f>IF(A318="","",IF(ISNA(MATCH(A318,Mitarbeiter!$A$6:$A$205,0)),"Pers.-Nr. unbekannt",IF(D318="","Von fehlt",IF(AND(C318&lt;&gt;Einstellungen!$C$4,C318&lt;&gt;Einstellungen!$C$5),"Objekt fehlt",IF(J318&lt;D318,"Bis vor Von",IF(D318&lt;INDEX(Mitarbeiter!$C$6:$C$205,MATCH($A318,Mitarbeiter!$A$6:$A$205,0)),"vor Eintritt",IF(AND(INDEX(Mitarbeiter!$D$6:$D$205,MATCH($A318,Mitarbeiter!$A$6:$A$205,0))&lt;&gt;"",D318&gt;INDEX(Mitarbeiter!$D$6:$D$205,MATCH($A318,Mitarbeiter!$A$6:$A$205,0))),"nach Austritt",IF(E318="","offen","ok"))))))))</f>
        <v/>
      </c>
      <c r="J318" s="47">
        <f>IF(A318="","",IF(E318="",Einstellungen!$C$9,E318))</f>
        <v/>
      </c>
      <c r="K318" s="48">
        <f>IF(A318="",0,IFERROR(INDEX(Mitarbeiter!$F$6:$F$205,MATCH($A318,Mitarbeiter!$A$6:$A$205,0)),0))</f>
        <v/>
      </c>
      <c r="L318" s="49">
        <f>IF(OR(A318="",D318=""),0,MAX(0,NETWORKDAYS(MAX(D318,DATE(Einstellungen!$C$3,1,1)),MIN(J318,DATE(Einstellungen!$C$3,2,0)),Einstellungen!$F$13:$F$32)))</f>
        <v/>
      </c>
      <c r="M318" s="49">
        <f>IF(OR(A318="",D318=""),0,MAX(0,NETWORKDAYS(MAX(D318,DATE(Einstellungen!$C$3,2,1)),MIN(J318,DATE(Einstellungen!$C$3,3,0)),Einstellungen!$F$13:$F$32)))</f>
        <v/>
      </c>
      <c r="N318" s="49">
        <f>IF(OR(A318="",D318=""),0,MAX(0,NETWORKDAYS(MAX(D318,DATE(Einstellungen!$C$3,3,1)),MIN(J318,DATE(Einstellungen!$C$3,4,0)),Einstellungen!$F$13:$F$32)))</f>
        <v/>
      </c>
      <c r="O318" s="49">
        <f>IF(OR(A318="",D318=""),0,MAX(0,NETWORKDAYS(MAX(D318,DATE(Einstellungen!$C$3,4,1)),MIN(J318,DATE(Einstellungen!$C$3,5,0)),Einstellungen!$F$13:$F$32)))</f>
        <v/>
      </c>
      <c r="P318" s="49">
        <f>IF(OR(A318="",D318=""),0,MAX(0,NETWORKDAYS(MAX(D318,DATE(Einstellungen!$C$3,5,1)),MIN(J318,DATE(Einstellungen!$C$3,6,0)),Einstellungen!$F$13:$F$32)))</f>
        <v/>
      </c>
      <c r="Q318" s="49">
        <f>IF(OR(A318="",D318=""),0,MAX(0,NETWORKDAYS(MAX(D318,DATE(Einstellungen!$C$3,6,1)),MIN(J318,DATE(Einstellungen!$C$3,7,0)),Einstellungen!$F$13:$F$32)))</f>
        <v/>
      </c>
      <c r="R318" s="49">
        <f>IF(OR(A318="",D318=""),0,MAX(0,NETWORKDAYS(MAX(D318,DATE(Einstellungen!$C$3,7,1)),MIN(J318,DATE(Einstellungen!$C$3,8,0)),Einstellungen!$F$13:$F$32)))</f>
        <v/>
      </c>
      <c r="S318" s="49">
        <f>IF(OR(A318="",D318=""),0,MAX(0,NETWORKDAYS(MAX(D318,DATE(Einstellungen!$C$3,8,1)),MIN(J318,DATE(Einstellungen!$C$3,9,0)),Einstellungen!$F$13:$F$32)))</f>
        <v/>
      </c>
      <c r="T318" s="49">
        <f>IF(OR(A318="",D318=""),0,MAX(0,NETWORKDAYS(MAX(D318,DATE(Einstellungen!$C$3,9,1)),MIN(J318,DATE(Einstellungen!$C$3,10,0)),Einstellungen!$F$13:$F$32)))</f>
        <v/>
      </c>
      <c r="U318" s="49">
        <f>IF(OR(A318="",D318=""),0,MAX(0,NETWORKDAYS(MAX(D318,DATE(Einstellungen!$C$3,10,1)),MIN(J318,DATE(Einstellungen!$C$3,11,0)),Einstellungen!$F$13:$F$32)))</f>
        <v/>
      </c>
      <c r="V318" s="49">
        <f>IF(OR(A318="",D318=""),0,MAX(0,NETWORKDAYS(MAX(D318,DATE(Einstellungen!$C$3,11,1)),MIN(J318,DATE(Einstellungen!$C$3,12,0)),Einstellungen!$F$13:$F$32)))</f>
        <v/>
      </c>
      <c r="W318" s="49">
        <f>IF(OR(A318="",D318=""),0,MAX(0,NETWORKDAYS(MAX(D318,DATE(Einstellungen!$C$3,12,1)),MIN(J318,DATE(Einstellungen!$C$3,13,0)),Einstellungen!$F$13:$F$32)))</f>
        <v/>
      </c>
      <c r="X318" s="50">
        <f>L318*K318</f>
        <v/>
      </c>
      <c r="Y318" s="50">
        <f>M318*K318</f>
        <v/>
      </c>
      <c r="Z318" s="50">
        <f>N318*K318</f>
        <v/>
      </c>
      <c r="AA318" s="50">
        <f>O318*K318</f>
        <v/>
      </c>
      <c r="AB318" s="50">
        <f>P318*K318</f>
        <v/>
      </c>
      <c r="AC318" s="50">
        <f>Q318*K318</f>
        <v/>
      </c>
      <c r="AD318" s="50">
        <f>R318*K318</f>
        <v/>
      </c>
      <c r="AE318" s="50">
        <f>S318*K318</f>
        <v/>
      </c>
      <c r="AF318" s="50">
        <f>T318*K318</f>
        <v/>
      </c>
      <c r="AG318" s="50">
        <f>U318*K318</f>
        <v/>
      </c>
      <c r="AH318" s="50">
        <f>V318*K318</f>
        <v/>
      </c>
      <c r="AI318" s="50">
        <f>W318*K318</f>
        <v/>
      </c>
    </row>
    <row r="319">
      <c r="A319" s="25" t="n"/>
      <c r="B319" s="45">
        <f>IF(A319="","",IFERROR(INDEX(Mitarbeiter!$B$6:$B$205,MATCH($A319,Mitarbeiter!$A$6:$A$205,0)),"?"))</f>
        <v/>
      </c>
      <c r="C319" s="46" t="n"/>
      <c r="D319" s="26" t="n"/>
      <c r="E319" s="26" t="n"/>
      <c r="F319" s="24">
        <f>IF(A319="","",SUM(L319:W319))</f>
        <v/>
      </c>
      <c r="G319" s="36">
        <f>IF(A319="","",SUM(X319:AI319))</f>
        <v/>
      </c>
      <c r="H319" s="8">
        <f>IF(A319="","",IF(ISNA(MATCH(A319,Mitarbeiter!$A$6:$A$205,0)),"Pers.-Nr. unbekannt",IF(D319="","Von fehlt",IF(AND(C319&lt;&gt;Einstellungen!$C$4,C319&lt;&gt;Einstellungen!$C$5),"Objekt fehlt",IF(J319&lt;D319,"Bis vor Von",IF(D319&lt;INDEX(Mitarbeiter!$C$6:$C$205,MATCH($A319,Mitarbeiter!$A$6:$A$205,0)),"vor Eintritt",IF(AND(INDEX(Mitarbeiter!$D$6:$D$205,MATCH($A319,Mitarbeiter!$A$6:$A$205,0))&lt;&gt;"",D319&gt;INDEX(Mitarbeiter!$D$6:$D$205,MATCH($A319,Mitarbeiter!$A$6:$A$205,0))),"nach Austritt",IF(E319="","offen","ok"))))))))</f>
        <v/>
      </c>
      <c r="J319" s="47">
        <f>IF(A319="","",IF(E319="",Einstellungen!$C$9,E319))</f>
        <v/>
      </c>
      <c r="K319" s="48">
        <f>IF(A319="",0,IFERROR(INDEX(Mitarbeiter!$F$6:$F$205,MATCH($A319,Mitarbeiter!$A$6:$A$205,0)),0))</f>
        <v/>
      </c>
      <c r="L319" s="49">
        <f>IF(OR(A319="",D319=""),0,MAX(0,NETWORKDAYS(MAX(D319,DATE(Einstellungen!$C$3,1,1)),MIN(J319,DATE(Einstellungen!$C$3,2,0)),Einstellungen!$F$13:$F$32)))</f>
        <v/>
      </c>
      <c r="M319" s="49">
        <f>IF(OR(A319="",D319=""),0,MAX(0,NETWORKDAYS(MAX(D319,DATE(Einstellungen!$C$3,2,1)),MIN(J319,DATE(Einstellungen!$C$3,3,0)),Einstellungen!$F$13:$F$32)))</f>
        <v/>
      </c>
      <c r="N319" s="49">
        <f>IF(OR(A319="",D319=""),0,MAX(0,NETWORKDAYS(MAX(D319,DATE(Einstellungen!$C$3,3,1)),MIN(J319,DATE(Einstellungen!$C$3,4,0)),Einstellungen!$F$13:$F$32)))</f>
        <v/>
      </c>
      <c r="O319" s="49">
        <f>IF(OR(A319="",D319=""),0,MAX(0,NETWORKDAYS(MAX(D319,DATE(Einstellungen!$C$3,4,1)),MIN(J319,DATE(Einstellungen!$C$3,5,0)),Einstellungen!$F$13:$F$32)))</f>
        <v/>
      </c>
      <c r="P319" s="49">
        <f>IF(OR(A319="",D319=""),0,MAX(0,NETWORKDAYS(MAX(D319,DATE(Einstellungen!$C$3,5,1)),MIN(J319,DATE(Einstellungen!$C$3,6,0)),Einstellungen!$F$13:$F$32)))</f>
        <v/>
      </c>
      <c r="Q319" s="49">
        <f>IF(OR(A319="",D319=""),0,MAX(0,NETWORKDAYS(MAX(D319,DATE(Einstellungen!$C$3,6,1)),MIN(J319,DATE(Einstellungen!$C$3,7,0)),Einstellungen!$F$13:$F$32)))</f>
        <v/>
      </c>
      <c r="R319" s="49">
        <f>IF(OR(A319="",D319=""),0,MAX(0,NETWORKDAYS(MAX(D319,DATE(Einstellungen!$C$3,7,1)),MIN(J319,DATE(Einstellungen!$C$3,8,0)),Einstellungen!$F$13:$F$32)))</f>
        <v/>
      </c>
      <c r="S319" s="49">
        <f>IF(OR(A319="",D319=""),0,MAX(0,NETWORKDAYS(MAX(D319,DATE(Einstellungen!$C$3,8,1)),MIN(J319,DATE(Einstellungen!$C$3,9,0)),Einstellungen!$F$13:$F$32)))</f>
        <v/>
      </c>
      <c r="T319" s="49">
        <f>IF(OR(A319="",D319=""),0,MAX(0,NETWORKDAYS(MAX(D319,DATE(Einstellungen!$C$3,9,1)),MIN(J319,DATE(Einstellungen!$C$3,10,0)),Einstellungen!$F$13:$F$32)))</f>
        <v/>
      </c>
      <c r="U319" s="49">
        <f>IF(OR(A319="",D319=""),0,MAX(0,NETWORKDAYS(MAX(D319,DATE(Einstellungen!$C$3,10,1)),MIN(J319,DATE(Einstellungen!$C$3,11,0)),Einstellungen!$F$13:$F$32)))</f>
        <v/>
      </c>
      <c r="V319" s="49">
        <f>IF(OR(A319="",D319=""),0,MAX(0,NETWORKDAYS(MAX(D319,DATE(Einstellungen!$C$3,11,1)),MIN(J319,DATE(Einstellungen!$C$3,12,0)),Einstellungen!$F$13:$F$32)))</f>
        <v/>
      </c>
      <c r="W319" s="49">
        <f>IF(OR(A319="",D319=""),0,MAX(0,NETWORKDAYS(MAX(D319,DATE(Einstellungen!$C$3,12,1)),MIN(J319,DATE(Einstellungen!$C$3,13,0)),Einstellungen!$F$13:$F$32)))</f>
        <v/>
      </c>
      <c r="X319" s="50">
        <f>L319*K319</f>
        <v/>
      </c>
      <c r="Y319" s="50">
        <f>M319*K319</f>
        <v/>
      </c>
      <c r="Z319" s="50">
        <f>N319*K319</f>
        <v/>
      </c>
      <c r="AA319" s="50">
        <f>O319*K319</f>
        <v/>
      </c>
      <c r="AB319" s="50">
        <f>P319*K319</f>
        <v/>
      </c>
      <c r="AC319" s="50">
        <f>Q319*K319</f>
        <v/>
      </c>
      <c r="AD319" s="50">
        <f>R319*K319</f>
        <v/>
      </c>
      <c r="AE319" s="50">
        <f>S319*K319</f>
        <v/>
      </c>
      <c r="AF319" s="50">
        <f>T319*K319</f>
        <v/>
      </c>
      <c r="AG319" s="50">
        <f>U319*K319</f>
        <v/>
      </c>
      <c r="AH319" s="50">
        <f>V319*K319</f>
        <v/>
      </c>
      <c r="AI319" s="50">
        <f>W319*K319</f>
        <v/>
      </c>
    </row>
    <row r="320">
      <c r="A320" s="25" t="n"/>
      <c r="B320" s="45">
        <f>IF(A320="","",IFERROR(INDEX(Mitarbeiter!$B$6:$B$205,MATCH($A320,Mitarbeiter!$A$6:$A$205,0)),"?"))</f>
        <v/>
      </c>
      <c r="C320" s="46" t="n"/>
      <c r="D320" s="26" t="n"/>
      <c r="E320" s="26" t="n"/>
      <c r="F320" s="24">
        <f>IF(A320="","",SUM(L320:W320))</f>
        <v/>
      </c>
      <c r="G320" s="36">
        <f>IF(A320="","",SUM(X320:AI320))</f>
        <v/>
      </c>
      <c r="H320" s="8">
        <f>IF(A320="","",IF(ISNA(MATCH(A320,Mitarbeiter!$A$6:$A$205,0)),"Pers.-Nr. unbekannt",IF(D320="","Von fehlt",IF(AND(C320&lt;&gt;Einstellungen!$C$4,C320&lt;&gt;Einstellungen!$C$5),"Objekt fehlt",IF(J320&lt;D320,"Bis vor Von",IF(D320&lt;INDEX(Mitarbeiter!$C$6:$C$205,MATCH($A320,Mitarbeiter!$A$6:$A$205,0)),"vor Eintritt",IF(AND(INDEX(Mitarbeiter!$D$6:$D$205,MATCH($A320,Mitarbeiter!$A$6:$A$205,0))&lt;&gt;"",D320&gt;INDEX(Mitarbeiter!$D$6:$D$205,MATCH($A320,Mitarbeiter!$A$6:$A$205,0))),"nach Austritt",IF(E320="","offen","ok"))))))))</f>
        <v/>
      </c>
      <c r="J320" s="47">
        <f>IF(A320="","",IF(E320="",Einstellungen!$C$9,E320))</f>
        <v/>
      </c>
      <c r="K320" s="48">
        <f>IF(A320="",0,IFERROR(INDEX(Mitarbeiter!$F$6:$F$205,MATCH($A320,Mitarbeiter!$A$6:$A$205,0)),0))</f>
        <v/>
      </c>
      <c r="L320" s="49">
        <f>IF(OR(A320="",D320=""),0,MAX(0,NETWORKDAYS(MAX(D320,DATE(Einstellungen!$C$3,1,1)),MIN(J320,DATE(Einstellungen!$C$3,2,0)),Einstellungen!$F$13:$F$32)))</f>
        <v/>
      </c>
      <c r="M320" s="49">
        <f>IF(OR(A320="",D320=""),0,MAX(0,NETWORKDAYS(MAX(D320,DATE(Einstellungen!$C$3,2,1)),MIN(J320,DATE(Einstellungen!$C$3,3,0)),Einstellungen!$F$13:$F$32)))</f>
        <v/>
      </c>
      <c r="N320" s="49">
        <f>IF(OR(A320="",D320=""),0,MAX(0,NETWORKDAYS(MAX(D320,DATE(Einstellungen!$C$3,3,1)),MIN(J320,DATE(Einstellungen!$C$3,4,0)),Einstellungen!$F$13:$F$32)))</f>
        <v/>
      </c>
      <c r="O320" s="49">
        <f>IF(OR(A320="",D320=""),0,MAX(0,NETWORKDAYS(MAX(D320,DATE(Einstellungen!$C$3,4,1)),MIN(J320,DATE(Einstellungen!$C$3,5,0)),Einstellungen!$F$13:$F$32)))</f>
        <v/>
      </c>
      <c r="P320" s="49">
        <f>IF(OR(A320="",D320=""),0,MAX(0,NETWORKDAYS(MAX(D320,DATE(Einstellungen!$C$3,5,1)),MIN(J320,DATE(Einstellungen!$C$3,6,0)),Einstellungen!$F$13:$F$32)))</f>
        <v/>
      </c>
      <c r="Q320" s="49">
        <f>IF(OR(A320="",D320=""),0,MAX(0,NETWORKDAYS(MAX(D320,DATE(Einstellungen!$C$3,6,1)),MIN(J320,DATE(Einstellungen!$C$3,7,0)),Einstellungen!$F$13:$F$32)))</f>
        <v/>
      </c>
      <c r="R320" s="49">
        <f>IF(OR(A320="",D320=""),0,MAX(0,NETWORKDAYS(MAX(D320,DATE(Einstellungen!$C$3,7,1)),MIN(J320,DATE(Einstellungen!$C$3,8,0)),Einstellungen!$F$13:$F$32)))</f>
        <v/>
      </c>
      <c r="S320" s="49">
        <f>IF(OR(A320="",D320=""),0,MAX(0,NETWORKDAYS(MAX(D320,DATE(Einstellungen!$C$3,8,1)),MIN(J320,DATE(Einstellungen!$C$3,9,0)),Einstellungen!$F$13:$F$32)))</f>
        <v/>
      </c>
      <c r="T320" s="49">
        <f>IF(OR(A320="",D320=""),0,MAX(0,NETWORKDAYS(MAX(D320,DATE(Einstellungen!$C$3,9,1)),MIN(J320,DATE(Einstellungen!$C$3,10,0)),Einstellungen!$F$13:$F$32)))</f>
        <v/>
      </c>
      <c r="U320" s="49">
        <f>IF(OR(A320="",D320=""),0,MAX(0,NETWORKDAYS(MAX(D320,DATE(Einstellungen!$C$3,10,1)),MIN(J320,DATE(Einstellungen!$C$3,11,0)),Einstellungen!$F$13:$F$32)))</f>
        <v/>
      </c>
      <c r="V320" s="49">
        <f>IF(OR(A320="",D320=""),0,MAX(0,NETWORKDAYS(MAX(D320,DATE(Einstellungen!$C$3,11,1)),MIN(J320,DATE(Einstellungen!$C$3,12,0)),Einstellungen!$F$13:$F$32)))</f>
        <v/>
      </c>
      <c r="W320" s="49">
        <f>IF(OR(A320="",D320=""),0,MAX(0,NETWORKDAYS(MAX(D320,DATE(Einstellungen!$C$3,12,1)),MIN(J320,DATE(Einstellungen!$C$3,13,0)),Einstellungen!$F$13:$F$32)))</f>
        <v/>
      </c>
      <c r="X320" s="50">
        <f>L320*K320</f>
        <v/>
      </c>
      <c r="Y320" s="50">
        <f>M320*K320</f>
        <v/>
      </c>
      <c r="Z320" s="50">
        <f>N320*K320</f>
        <v/>
      </c>
      <c r="AA320" s="50">
        <f>O320*K320</f>
        <v/>
      </c>
      <c r="AB320" s="50">
        <f>P320*K320</f>
        <v/>
      </c>
      <c r="AC320" s="50">
        <f>Q320*K320</f>
        <v/>
      </c>
      <c r="AD320" s="50">
        <f>R320*K320</f>
        <v/>
      </c>
      <c r="AE320" s="50">
        <f>S320*K320</f>
        <v/>
      </c>
      <c r="AF320" s="50">
        <f>T320*K320</f>
        <v/>
      </c>
      <c r="AG320" s="50">
        <f>U320*K320</f>
        <v/>
      </c>
      <c r="AH320" s="50">
        <f>V320*K320</f>
        <v/>
      </c>
      <c r="AI320" s="50">
        <f>W320*K320</f>
        <v/>
      </c>
    </row>
    <row r="321">
      <c r="A321" s="25" t="n"/>
      <c r="B321" s="45">
        <f>IF(A321="","",IFERROR(INDEX(Mitarbeiter!$B$6:$B$205,MATCH($A321,Mitarbeiter!$A$6:$A$205,0)),"?"))</f>
        <v/>
      </c>
      <c r="C321" s="46" t="n"/>
      <c r="D321" s="26" t="n"/>
      <c r="E321" s="26" t="n"/>
      <c r="F321" s="24">
        <f>IF(A321="","",SUM(L321:W321))</f>
        <v/>
      </c>
      <c r="G321" s="36">
        <f>IF(A321="","",SUM(X321:AI321))</f>
        <v/>
      </c>
      <c r="H321" s="8">
        <f>IF(A321="","",IF(ISNA(MATCH(A321,Mitarbeiter!$A$6:$A$205,0)),"Pers.-Nr. unbekannt",IF(D321="","Von fehlt",IF(AND(C321&lt;&gt;Einstellungen!$C$4,C321&lt;&gt;Einstellungen!$C$5),"Objekt fehlt",IF(J321&lt;D321,"Bis vor Von",IF(D321&lt;INDEX(Mitarbeiter!$C$6:$C$205,MATCH($A321,Mitarbeiter!$A$6:$A$205,0)),"vor Eintritt",IF(AND(INDEX(Mitarbeiter!$D$6:$D$205,MATCH($A321,Mitarbeiter!$A$6:$A$205,0))&lt;&gt;"",D321&gt;INDEX(Mitarbeiter!$D$6:$D$205,MATCH($A321,Mitarbeiter!$A$6:$A$205,0))),"nach Austritt",IF(E321="","offen","ok"))))))))</f>
        <v/>
      </c>
      <c r="J321" s="47">
        <f>IF(A321="","",IF(E321="",Einstellungen!$C$9,E321))</f>
        <v/>
      </c>
      <c r="K321" s="48">
        <f>IF(A321="",0,IFERROR(INDEX(Mitarbeiter!$F$6:$F$205,MATCH($A321,Mitarbeiter!$A$6:$A$205,0)),0))</f>
        <v/>
      </c>
      <c r="L321" s="49">
        <f>IF(OR(A321="",D321=""),0,MAX(0,NETWORKDAYS(MAX(D321,DATE(Einstellungen!$C$3,1,1)),MIN(J321,DATE(Einstellungen!$C$3,2,0)),Einstellungen!$F$13:$F$32)))</f>
        <v/>
      </c>
      <c r="M321" s="49">
        <f>IF(OR(A321="",D321=""),0,MAX(0,NETWORKDAYS(MAX(D321,DATE(Einstellungen!$C$3,2,1)),MIN(J321,DATE(Einstellungen!$C$3,3,0)),Einstellungen!$F$13:$F$32)))</f>
        <v/>
      </c>
      <c r="N321" s="49">
        <f>IF(OR(A321="",D321=""),0,MAX(0,NETWORKDAYS(MAX(D321,DATE(Einstellungen!$C$3,3,1)),MIN(J321,DATE(Einstellungen!$C$3,4,0)),Einstellungen!$F$13:$F$32)))</f>
        <v/>
      </c>
      <c r="O321" s="49">
        <f>IF(OR(A321="",D321=""),0,MAX(0,NETWORKDAYS(MAX(D321,DATE(Einstellungen!$C$3,4,1)),MIN(J321,DATE(Einstellungen!$C$3,5,0)),Einstellungen!$F$13:$F$32)))</f>
        <v/>
      </c>
      <c r="P321" s="49">
        <f>IF(OR(A321="",D321=""),0,MAX(0,NETWORKDAYS(MAX(D321,DATE(Einstellungen!$C$3,5,1)),MIN(J321,DATE(Einstellungen!$C$3,6,0)),Einstellungen!$F$13:$F$32)))</f>
        <v/>
      </c>
      <c r="Q321" s="49">
        <f>IF(OR(A321="",D321=""),0,MAX(0,NETWORKDAYS(MAX(D321,DATE(Einstellungen!$C$3,6,1)),MIN(J321,DATE(Einstellungen!$C$3,7,0)),Einstellungen!$F$13:$F$32)))</f>
        <v/>
      </c>
      <c r="R321" s="49">
        <f>IF(OR(A321="",D321=""),0,MAX(0,NETWORKDAYS(MAX(D321,DATE(Einstellungen!$C$3,7,1)),MIN(J321,DATE(Einstellungen!$C$3,8,0)),Einstellungen!$F$13:$F$32)))</f>
        <v/>
      </c>
      <c r="S321" s="49">
        <f>IF(OR(A321="",D321=""),0,MAX(0,NETWORKDAYS(MAX(D321,DATE(Einstellungen!$C$3,8,1)),MIN(J321,DATE(Einstellungen!$C$3,9,0)),Einstellungen!$F$13:$F$32)))</f>
        <v/>
      </c>
      <c r="T321" s="49">
        <f>IF(OR(A321="",D321=""),0,MAX(0,NETWORKDAYS(MAX(D321,DATE(Einstellungen!$C$3,9,1)),MIN(J321,DATE(Einstellungen!$C$3,10,0)),Einstellungen!$F$13:$F$32)))</f>
        <v/>
      </c>
      <c r="U321" s="49">
        <f>IF(OR(A321="",D321=""),0,MAX(0,NETWORKDAYS(MAX(D321,DATE(Einstellungen!$C$3,10,1)),MIN(J321,DATE(Einstellungen!$C$3,11,0)),Einstellungen!$F$13:$F$32)))</f>
        <v/>
      </c>
      <c r="V321" s="49">
        <f>IF(OR(A321="",D321=""),0,MAX(0,NETWORKDAYS(MAX(D321,DATE(Einstellungen!$C$3,11,1)),MIN(J321,DATE(Einstellungen!$C$3,12,0)),Einstellungen!$F$13:$F$32)))</f>
        <v/>
      </c>
      <c r="W321" s="49">
        <f>IF(OR(A321="",D321=""),0,MAX(0,NETWORKDAYS(MAX(D321,DATE(Einstellungen!$C$3,12,1)),MIN(J321,DATE(Einstellungen!$C$3,13,0)),Einstellungen!$F$13:$F$32)))</f>
        <v/>
      </c>
      <c r="X321" s="50">
        <f>L321*K321</f>
        <v/>
      </c>
      <c r="Y321" s="50">
        <f>M321*K321</f>
        <v/>
      </c>
      <c r="Z321" s="50">
        <f>N321*K321</f>
        <v/>
      </c>
      <c r="AA321" s="50">
        <f>O321*K321</f>
        <v/>
      </c>
      <c r="AB321" s="50">
        <f>P321*K321</f>
        <v/>
      </c>
      <c r="AC321" s="50">
        <f>Q321*K321</f>
        <v/>
      </c>
      <c r="AD321" s="50">
        <f>R321*K321</f>
        <v/>
      </c>
      <c r="AE321" s="50">
        <f>S321*K321</f>
        <v/>
      </c>
      <c r="AF321" s="50">
        <f>T321*K321</f>
        <v/>
      </c>
      <c r="AG321" s="50">
        <f>U321*K321</f>
        <v/>
      </c>
      <c r="AH321" s="50">
        <f>V321*K321</f>
        <v/>
      </c>
      <c r="AI321" s="50">
        <f>W321*K321</f>
        <v/>
      </c>
    </row>
    <row r="322">
      <c r="A322" s="25" t="n"/>
      <c r="B322" s="45">
        <f>IF(A322="","",IFERROR(INDEX(Mitarbeiter!$B$6:$B$205,MATCH($A322,Mitarbeiter!$A$6:$A$205,0)),"?"))</f>
        <v/>
      </c>
      <c r="C322" s="46" t="n"/>
      <c r="D322" s="26" t="n"/>
      <c r="E322" s="26" t="n"/>
      <c r="F322" s="24">
        <f>IF(A322="","",SUM(L322:W322))</f>
        <v/>
      </c>
      <c r="G322" s="36">
        <f>IF(A322="","",SUM(X322:AI322))</f>
        <v/>
      </c>
      <c r="H322" s="8">
        <f>IF(A322="","",IF(ISNA(MATCH(A322,Mitarbeiter!$A$6:$A$205,0)),"Pers.-Nr. unbekannt",IF(D322="","Von fehlt",IF(AND(C322&lt;&gt;Einstellungen!$C$4,C322&lt;&gt;Einstellungen!$C$5),"Objekt fehlt",IF(J322&lt;D322,"Bis vor Von",IF(D322&lt;INDEX(Mitarbeiter!$C$6:$C$205,MATCH($A322,Mitarbeiter!$A$6:$A$205,0)),"vor Eintritt",IF(AND(INDEX(Mitarbeiter!$D$6:$D$205,MATCH($A322,Mitarbeiter!$A$6:$A$205,0))&lt;&gt;"",D322&gt;INDEX(Mitarbeiter!$D$6:$D$205,MATCH($A322,Mitarbeiter!$A$6:$A$205,0))),"nach Austritt",IF(E322="","offen","ok"))))))))</f>
        <v/>
      </c>
      <c r="J322" s="47">
        <f>IF(A322="","",IF(E322="",Einstellungen!$C$9,E322))</f>
        <v/>
      </c>
      <c r="K322" s="48">
        <f>IF(A322="",0,IFERROR(INDEX(Mitarbeiter!$F$6:$F$205,MATCH($A322,Mitarbeiter!$A$6:$A$205,0)),0))</f>
        <v/>
      </c>
      <c r="L322" s="49">
        <f>IF(OR(A322="",D322=""),0,MAX(0,NETWORKDAYS(MAX(D322,DATE(Einstellungen!$C$3,1,1)),MIN(J322,DATE(Einstellungen!$C$3,2,0)),Einstellungen!$F$13:$F$32)))</f>
        <v/>
      </c>
      <c r="M322" s="49">
        <f>IF(OR(A322="",D322=""),0,MAX(0,NETWORKDAYS(MAX(D322,DATE(Einstellungen!$C$3,2,1)),MIN(J322,DATE(Einstellungen!$C$3,3,0)),Einstellungen!$F$13:$F$32)))</f>
        <v/>
      </c>
      <c r="N322" s="49">
        <f>IF(OR(A322="",D322=""),0,MAX(0,NETWORKDAYS(MAX(D322,DATE(Einstellungen!$C$3,3,1)),MIN(J322,DATE(Einstellungen!$C$3,4,0)),Einstellungen!$F$13:$F$32)))</f>
        <v/>
      </c>
      <c r="O322" s="49">
        <f>IF(OR(A322="",D322=""),0,MAX(0,NETWORKDAYS(MAX(D322,DATE(Einstellungen!$C$3,4,1)),MIN(J322,DATE(Einstellungen!$C$3,5,0)),Einstellungen!$F$13:$F$32)))</f>
        <v/>
      </c>
      <c r="P322" s="49">
        <f>IF(OR(A322="",D322=""),0,MAX(0,NETWORKDAYS(MAX(D322,DATE(Einstellungen!$C$3,5,1)),MIN(J322,DATE(Einstellungen!$C$3,6,0)),Einstellungen!$F$13:$F$32)))</f>
        <v/>
      </c>
      <c r="Q322" s="49">
        <f>IF(OR(A322="",D322=""),0,MAX(0,NETWORKDAYS(MAX(D322,DATE(Einstellungen!$C$3,6,1)),MIN(J322,DATE(Einstellungen!$C$3,7,0)),Einstellungen!$F$13:$F$32)))</f>
        <v/>
      </c>
      <c r="R322" s="49">
        <f>IF(OR(A322="",D322=""),0,MAX(0,NETWORKDAYS(MAX(D322,DATE(Einstellungen!$C$3,7,1)),MIN(J322,DATE(Einstellungen!$C$3,8,0)),Einstellungen!$F$13:$F$32)))</f>
        <v/>
      </c>
      <c r="S322" s="49">
        <f>IF(OR(A322="",D322=""),0,MAX(0,NETWORKDAYS(MAX(D322,DATE(Einstellungen!$C$3,8,1)),MIN(J322,DATE(Einstellungen!$C$3,9,0)),Einstellungen!$F$13:$F$32)))</f>
        <v/>
      </c>
      <c r="T322" s="49">
        <f>IF(OR(A322="",D322=""),0,MAX(0,NETWORKDAYS(MAX(D322,DATE(Einstellungen!$C$3,9,1)),MIN(J322,DATE(Einstellungen!$C$3,10,0)),Einstellungen!$F$13:$F$32)))</f>
        <v/>
      </c>
      <c r="U322" s="49">
        <f>IF(OR(A322="",D322=""),0,MAX(0,NETWORKDAYS(MAX(D322,DATE(Einstellungen!$C$3,10,1)),MIN(J322,DATE(Einstellungen!$C$3,11,0)),Einstellungen!$F$13:$F$32)))</f>
        <v/>
      </c>
      <c r="V322" s="49">
        <f>IF(OR(A322="",D322=""),0,MAX(0,NETWORKDAYS(MAX(D322,DATE(Einstellungen!$C$3,11,1)),MIN(J322,DATE(Einstellungen!$C$3,12,0)),Einstellungen!$F$13:$F$32)))</f>
        <v/>
      </c>
      <c r="W322" s="49">
        <f>IF(OR(A322="",D322=""),0,MAX(0,NETWORKDAYS(MAX(D322,DATE(Einstellungen!$C$3,12,1)),MIN(J322,DATE(Einstellungen!$C$3,13,0)),Einstellungen!$F$13:$F$32)))</f>
        <v/>
      </c>
      <c r="X322" s="50">
        <f>L322*K322</f>
        <v/>
      </c>
      <c r="Y322" s="50">
        <f>M322*K322</f>
        <v/>
      </c>
      <c r="Z322" s="50">
        <f>N322*K322</f>
        <v/>
      </c>
      <c r="AA322" s="50">
        <f>O322*K322</f>
        <v/>
      </c>
      <c r="AB322" s="50">
        <f>P322*K322</f>
        <v/>
      </c>
      <c r="AC322" s="50">
        <f>Q322*K322</f>
        <v/>
      </c>
      <c r="AD322" s="50">
        <f>R322*K322</f>
        <v/>
      </c>
      <c r="AE322" s="50">
        <f>S322*K322</f>
        <v/>
      </c>
      <c r="AF322" s="50">
        <f>T322*K322</f>
        <v/>
      </c>
      <c r="AG322" s="50">
        <f>U322*K322</f>
        <v/>
      </c>
      <c r="AH322" s="50">
        <f>V322*K322</f>
        <v/>
      </c>
      <c r="AI322" s="50">
        <f>W322*K322</f>
        <v/>
      </c>
    </row>
    <row r="323">
      <c r="A323" s="25" t="n"/>
      <c r="B323" s="45">
        <f>IF(A323="","",IFERROR(INDEX(Mitarbeiter!$B$6:$B$205,MATCH($A323,Mitarbeiter!$A$6:$A$205,0)),"?"))</f>
        <v/>
      </c>
      <c r="C323" s="46" t="n"/>
      <c r="D323" s="26" t="n"/>
      <c r="E323" s="26" t="n"/>
      <c r="F323" s="24">
        <f>IF(A323="","",SUM(L323:W323))</f>
        <v/>
      </c>
      <c r="G323" s="36">
        <f>IF(A323="","",SUM(X323:AI323))</f>
        <v/>
      </c>
      <c r="H323" s="8">
        <f>IF(A323="","",IF(ISNA(MATCH(A323,Mitarbeiter!$A$6:$A$205,0)),"Pers.-Nr. unbekannt",IF(D323="","Von fehlt",IF(AND(C323&lt;&gt;Einstellungen!$C$4,C323&lt;&gt;Einstellungen!$C$5),"Objekt fehlt",IF(J323&lt;D323,"Bis vor Von",IF(D323&lt;INDEX(Mitarbeiter!$C$6:$C$205,MATCH($A323,Mitarbeiter!$A$6:$A$205,0)),"vor Eintritt",IF(AND(INDEX(Mitarbeiter!$D$6:$D$205,MATCH($A323,Mitarbeiter!$A$6:$A$205,0))&lt;&gt;"",D323&gt;INDEX(Mitarbeiter!$D$6:$D$205,MATCH($A323,Mitarbeiter!$A$6:$A$205,0))),"nach Austritt",IF(E323="","offen","ok"))))))))</f>
        <v/>
      </c>
      <c r="J323" s="47">
        <f>IF(A323="","",IF(E323="",Einstellungen!$C$9,E323))</f>
        <v/>
      </c>
      <c r="K323" s="48">
        <f>IF(A323="",0,IFERROR(INDEX(Mitarbeiter!$F$6:$F$205,MATCH($A323,Mitarbeiter!$A$6:$A$205,0)),0))</f>
        <v/>
      </c>
      <c r="L323" s="49">
        <f>IF(OR(A323="",D323=""),0,MAX(0,NETWORKDAYS(MAX(D323,DATE(Einstellungen!$C$3,1,1)),MIN(J323,DATE(Einstellungen!$C$3,2,0)),Einstellungen!$F$13:$F$32)))</f>
        <v/>
      </c>
      <c r="M323" s="49">
        <f>IF(OR(A323="",D323=""),0,MAX(0,NETWORKDAYS(MAX(D323,DATE(Einstellungen!$C$3,2,1)),MIN(J323,DATE(Einstellungen!$C$3,3,0)),Einstellungen!$F$13:$F$32)))</f>
        <v/>
      </c>
      <c r="N323" s="49">
        <f>IF(OR(A323="",D323=""),0,MAX(0,NETWORKDAYS(MAX(D323,DATE(Einstellungen!$C$3,3,1)),MIN(J323,DATE(Einstellungen!$C$3,4,0)),Einstellungen!$F$13:$F$32)))</f>
        <v/>
      </c>
      <c r="O323" s="49">
        <f>IF(OR(A323="",D323=""),0,MAX(0,NETWORKDAYS(MAX(D323,DATE(Einstellungen!$C$3,4,1)),MIN(J323,DATE(Einstellungen!$C$3,5,0)),Einstellungen!$F$13:$F$32)))</f>
        <v/>
      </c>
      <c r="P323" s="49">
        <f>IF(OR(A323="",D323=""),0,MAX(0,NETWORKDAYS(MAX(D323,DATE(Einstellungen!$C$3,5,1)),MIN(J323,DATE(Einstellungen!$C$3,6,0)),Einstellungen!$F$13:$F$32)))</f>
        <v/>
      </c>
      <c r="Q323" s="49">
        <f>IF(OR(A323="",D323=""),0,MAX(0,NETWORKDAYS(MAX(D323,DATE(Einstellungen!$C$3,6,1)),MIN(J323,DATE(Einstellungen!$C$3,7,0)),Einstellungen!$F$13:$F$32)))</f>
        <v/>
      </c>
      <c r="R323" s="49">
        <f>IF(OR(A323="",D323=""),0,MAX(0,NETWORKDAYS(MAX(D323,DATE(Einstellungen!$C$3,7,1)),MIN(J323,DATE(Einstellungen!$C$3,8,0)),Einstellungen!$F$13:$F$32)))</f>
        <v/>
      </c>
      <c r="S323" s="49">
        <f>IF(OR(A323="",D323=""),0,MAX(0,NETWORKDAYS(MAX(D323,DATE(Einstellungen!$C$3,8,1)),MIN(J323,DATE(Einstellungen!$C$3,9,0)),Einstellungen!$F$13:$F$32)))</f>
        <v/>
      </c>
      <c r="T323" s="49">
        <f>IF(OR(A323="",D323=""),0,MAX(0,NETWORKDAYS(MAX(D323,DATE(Einstellungen!$C$3,9,1)),MIN(J323,DATE(Einstellungen!$C$3,10,0)),Einstellungen!$F$13:$F$32)))</f>
        <v/>
      </c>
      <c r="U323" s="49">
        <f>IF(OR(A323="",D323=""),0,MAX(0,NETWORKDAYS(MAX(D323,DATE(Einstellungen!$C$3,10,1)),MIN(J323,DATE(Einstellungen!$C$3,11,0)),Einstellungen!$F$13:$F$32)))</f>
        <v/>
      </c>
      <c r="V323" s="49">
        <f>IF(OR(A323="",D323=""),0,MAX(0,NETWORKDAYS(MAX(D323,DATE(Einstellungen!$C$3,11,1)),MIN(J323,DATE(Einstellungen!$C$3,12,0)),Einstellungen!$F$13:$F$32)))</f>
        <v/>
      </c>
      <c r="W323" s="49">
        <f>IF(OR(A323="",D323=""),0,MAX(0,NETWORKDAYS(MAX(D323,DATE(Einstellungen!$C$3,12,1)),MIN(J323,DATE(Einstellungen!$C$3,13,0)),Einstellungen!$F$13:$F$32)))</f>
        <v/>
      </c>
      <c r="X323" s="50">
        <f>L323*K323</f>
        <v/>
      </c>
      <c r="Y323" s="50">
        <f>M323*K323</f>
        <v/>
      </c>
      <c r="Z323" s="50">
        <f>N323*K323</f>
        <v/>
      </c>
      <c r="AA323" s="50">
        <f>O323*K323</f>
        <v/>
      </c>
      <c r="AB323" s="50">
        <f>P323*K323</f>
        <v/>
      </c>
      <c r="AC323" s="50">
        <f>Q323*K323</f>
        <v/>
      </c>
      <c r="AD323" s="50">
        <f>R323*K323</f>
        <v/>
      </c>
      <c r="AE323" s="50">
        <f>S323*K323</f>
        <v/>
      </c>
      <c r="AF323" s="50">
        <f>T323*K323</f>
        <v/>
      </c>
      <c r="AG323" s="50">
        <f>U323*K323</f>
        <v/>
      </c>
      <c r="AH323" s="50">
        <f>V323*K323</f>
        <v/>
      </c>
      <c r="AI323" s="50">
        <f>W323*K323</f>
        <v/>
      </c>
    </row>
    <row r="324">
      <c r="A324" s="25" t="n"/>
      <c r="B324" s="45">
        <f>IF(A324="","",IFERROR(INDEX(Mitarbeiter!$B$6:$B$205,MATCH($A324,Mitarbeiter!$A$6:$A$205,0)),"?"))</f>
        <v/>
      </c>
      <c r="C324" s="46" t="n"/>
      <c r="D324" s="26" t="n"/>
      <c r="E324" s="26" t="n"/>
      <c r="F324" s="24">
        <f>IF(A324="","",SUM(L324:W324))</f>
        <v/>
      </c>
      <c r="G324" s="36">
        <f>IF(A324="","",SUM(X324:AI324))</f>
        <v/>
      </c>
      <c r="H324" s="8">
        <f>IF(A324="","",IF(ISNA(MATCH(A324,Mitarbeiter!$A$6:$A$205,0)),"Pers.-Nr. unbekannt",IF(D324="","Von fehlt",IF(AND(C324&lt;&gt;Einstellungen!$C$4,C324&lt;&gt;Einstellungen!$C$5),"Objekt fehlt",IF(J324&lt;D324,"Bis vor Von",IF(D324&lt;INDEX(Mitarbeiter!$C$6:$C$205,MATCH($A324,Mitarbeiter!$A$6:$A$205,0)),"vor Eintritt",IF(AND(INDEX(Mitarbeiter!$D$6:$D$205,MATCH($A324,Mitarbeiter!$A$6:$A$205,0))&lt;&gt;"",D324&gt;INDEX(Mitarbeiter!$D$6:$D$205,MATCH($A324,Mitarbeiter!$A$6:$A$205,0))),"nach Austritt",IF(E324="","offen","ok"))))))))</f>
        <v/>
      </c>
      <c r="J324" s="47">
        <f>IF(A324="","",IF(E324="",Einstellungen!$C$9,E324))</f>
        <v/>
      </c>
      <c r="K324" s="48">
        <f>IF(A324="",0,IFERROR(INDEX(Mitarbeiter!$F$6:$F$205,MATCH($A324,Mitarbeiter!$A$6:$A$205,0)),0))</f>
        <v/>
      </c>
      <c r="L324" s="49">
        <f>IF(OR(A324="",D324=""),0,MAX(0,NETWORKDAYS(MAX(D324,DATE(Einstellungen!$C$3,1,1)),MIN(J324,DATE(Einstellungen!$C$3,2,0)),Einstellungen!$F$13:$F$32)))</f>
        <v/>
      </c>
      <c r="M324" s="49">
        <f>IF(OR(A324="",D324=""),0,MAX(0,NETWORKDAYS(MAX(D324,DATE(Einstellungen!$C$3,2,1)),MIN(J324,DATE(Einstellungen!$C$3,3,0)),Einstellungen!$F$13:$F$32)))</f>
        <v/>
      </c>
      <c r="N324" s="49">
        <f>IF(OR(A324="",D324=""),0,MAX(0,NETWORKDAYS(MAX(D324,DATE(Einstellungen!$C$3,3,1)),MIN(J324,DATE(Einstellungen!$C$3,4,0)),Einstellungen!$F$13:$F$32)))</f>
        <v/>
      </c>
      <c r="O324" s="49">
        <f>IF(OR(A324="",D324=""),0,MAX(0,NETWORKDAYS(MAX(D324,DATE(Einstellungen!$C$3,4,1)),MIN(J324,DATE(Einstellungen!$C$3,5,0)),Einstellungen!$F$13:$F$32)))</f>
        <v/>
      </c>
      <c r="P324" s="49">
        <f>IF(OR(A324="",D324=""),0,MAX(0,NETWORKDAYS(MAX(D324,DATE(Einstellungen!$C$3,5,1)),MIN(J324,DATE(Einstellungen!$C$3,6,0)),Einstellungen!$F$13:$F$32)))</f>
        <v/>
      </c>
      <c r="Q324" s="49">
        <f>IF(OR(A324="",D324=""),0,MAX(0,NETWORKDAYS(MAX(D324,DATE(Einstellungen!$C$3,6,1)),MIN(J324,DATE(Einstellungen!$C$3,7,0)),Einstellungen!$F$13:$F$32)))</f>
        <v/>
      </c>
      <c r="R324" s="49">
        <f>IF(OR(A324="",D324=""),0,MAX(0,NETWORKDAYS(MAX(D324,DATE(Einstellungen!$C$3,7,1)),MIN(J324,DATE(Einstellungen!$C$3,8,0)),Einstellungen!$F$13:$F$32)))</f>
        <v/>
      </c>
      <c r="S324" s="49">
        <f>IF(OR(A324="",D324=""),0,MAX(0,NETWORKDAYS(MAX(D324,DATE(Einstellungen!$C$3,8,1)),MIN(J324,DATE(Einstellungen!$C$3,9,0)),Einstellungen!$F$13:$F$32)))</f>
        <v/>
      </c>
      <c r="T324" s="49">
        <f>IF(OR(A324="",D324=""),0,MAX(0,NETWORKDAYS(MAX(D324,DATE(Einstellungen!$C$3,9,1)),MIN(J324,DATE(Einstellungen!$C$3,10,0)),Einstellungen!$F$13:$F$32)))</f>
        <v/>
      </c>
      <c r="U324" s="49">
        <f>IF(OR(A324="",D324=""),0,MAX(0,NETWORKDAYS(MAX(D324,DATE(Einstellungen!$C$3,10,1)),MIN(J324,DATE(Einstellungen!$C$3,11,0)),Einstellungen!$F$13:$F$32)))</f>
        <v/>
      </c>
      <c r="V324" s="49">
        <f>IF(OR(A324="",D324=""),0,MAX(0,NETWORKDAYS(MAX(D324,DATE(Einstellungen!$C$3,11,1)),MIN(J324,DATE(Einstellungen!$C$3,12,0)),Einstellungen!$F$13:$F$32)))</f>
        <v/>
      </c>
      <c r="W324" s="49">
        <f>IF(OR(A324="",D324=""),0,MAX(0,NETWORKDAYS(MAX(D324,DATE(Einstellungen!$C$3,12,1)),MIN(J324,DATE(Einstellungen!$C$3,13,0)),Einstellungen!$F$13:$F$32)))</f>
        <v/>
      </c>
      <c r="X324" s="50">
        <f>L324*K324</f>
        <v/>
      </c>
      <c r="Y324" s="50">
        <f>M324*K324</f>
        <v/>
      </c>
      <c r="Z324" s="50">
        <f>N324*K324</f>
        <v/>
      </c>
      <c r="AA324" s="50">
        <f>O324*K324</f>
        <v/>
      </c>
      <c r="AB324" s="50">
        <f>P324*K324</f>
        <v/>
      </c>
      <c r="AC324" s="50">
        <f>Q324*K324</f>
        <v/>
      </c>
      <c r="AD324" s="50">
        <f>R324*K324</f>
        <v/>
      </c>
      <c r="AE324" s="50">
        <f>S324*K324</f>
        <v/>
      </c>
      <c r="AF324" s="50">
        <f>T324*K324</f>
        <v/>
      </c>
      <c r="AG324" s="50">
        <f>U324*K324</f>
        <v/>
      </c>
      <c r="AH324" s="50">
        <f>V324*K324</f>
        <v/>
      </c>
      <c r="AI324" s="50">
        <f>W324*K324</f>
        <v/>
      </c>
    </row>
    <row r="325">
      <c r="A325" s="25" t="n"/>
      <c r="B325" s="45">
        <f>IF(A325="","",IFERROR(INDEX(Mitarbeiter!$B$6:$B$205,MATCH($A325,Mitarbeiter!$A$6:$A$205,0)),"?"))</f>
        <v/>
      </c>
      <c r="C325" s="46" t="n"/>
      <c r="D325" s="26" t="n"/>
      <c r="E325" s="26" t="n"/>
      <c r="F325" s="24">
        <f>IF(A325="","",SUM(L325:W325))</f>
        <v/>
      </c>
      <c r="G325" s="36">
        <f>IF(A325="","",SUM(X325:AI325))</f>
        <v/>
      </c>
      <c r="H325" s="8">
        <f>IF(A325="","",IF(ISNA(MATCH(A325,Mitarbeiter!$A$6:$A$205,0)),"Pers.-Nr. unbekannt",IF(D325="","Von fehlt",IF(AND(C325&lt;&gt;Einstellungen!$C$4,C325&lt;&gt;Einstellungen!$C$5),"Objekt fehlt",IF(J325&lt;D325,"Bis vor Von",IF(D325&lt;INDEX(Mitarbeiter!$C$6:$C$205,MATCH($A325,Mitarbeiter!$A$6:$A$205,0)),"vor Eintritt",IF(AND(INDEX(Mitarbeiter!$D$6:$D$205,MATCH($A325,Mitarbeiter!$A$6:$A$205,0))&lt;&gt;"",D325&gt;INDEX(Mitarbeiter!$D$6:$D$205,MATCH($A325,Mitarbeiter!$A$6:$A$205,0))),"nach Austritt",IF(E325="","offen","ok"))))))))</f>
        <v/>
      </c>
      <c r="J325" s="47">
        <f>IF(A325="","",IF(E325="",Einstellungen!$C$9,E325))</f>
        <v/>
      </c>
      <c r="K325" s="48">
        <f>IF(A325="",0,IFERROR(INDEX(Mitarbeiter!$F$6:$F$205,MATCH($A325,Mitarbeiter!$A$6:$A$205,0)),0))</f>
        <v/>
      </c>
      <c r="L325" s="49">
        <f>IF(OR(A325="",D325=""),0,MAX(0,NETWORKDAYS(MAX(D325,DATE(Einstellungen!$C$3,1,1)),MIN(J325,DATE(Einstellungen!$C$3,2,0)),Einstellungen!$F$13:$F$32)))</f>
        <v/>
      </c>
      <c r="M325" s="49">
        <f>IF(OR(A325="",D325=""),0,MAX(0,NETWORKDAYS(MAX(D325,DATE(Einstellungen!$C$3,2,1)),MIN(J325,DATE(Einstellungen!$C$3,3,0)),Einstellungen!$F$13:$F$32)))</f>
        <v/>
      </c>
      <c r="N325" s="49">
        <f>IF(OR(A325="",D325=""),0,MAX(0,NETWORKDAYS(MAX(D325,DATE(Einstellungen!$C$3,3,1)),MIN(J325,DATE(Einstellungen!$C$3,4,0)),Einstellungen!$F$13:$F$32)))</f>
        <v/>
      </c>
      <c r="O325" s="49">
        <f>IF(OR(A325="",D325=""),0,MAX(0,NETWORKDAYS(MAX(D325,DATE(Einstellungen!$C$3,4,1)),MIN(J325,DATE(Einstellungen!$C$3,5,0)),Einstellungen!$F$13:$F$32)))</f>
        <v/>
      </c>
      <c r="P325" s="49">
        <f>IF(OR(A325="",D325=""),0,MAX(0,NETWORKDAYS(MAX(D325,DATE(Einstellungen!$C$3,5,1)),MIN(J325,DATE(Einstellungen!$C$3,6,0)),Einstellungen!$F$13:$F$32)))</f>
        <v/>
      </c>
      <c r="Q325" s="49">
        <f>IF(OR(A325="",D325=""),0,MAX(0,NETWORKDAYS(MAX(D325,DATE(Einstellungen!$C$3,6,1)),MIN(J325,DATE(Einstellungen!$C$3,7,0)),Einstellungen!$F$13:$F$32)))</f>
        <v/>
      </c>
      <c r="R325" s="49">
        <f>IF(OR(A325="",D325=""),0,MAX(0,NETWORKDAYS(MAX(D325,DATE(Einstellungen!$C$3,7,1)),MIN(J325,DATE(Einstellungen!$C$3,8,0)),Einstellungen!$F$13:$F$32)))</f>
        <v/>
      </c>
      <c r="S325" s="49">
        <f>IF(OR(A325="",D325=""),0,MAX(0,NETWORKDAYS(MAX(D325,DATE(Einstellungen!$C$3,8,1)),MIN(J325,DATE(Einstellungen!$C$3,9,0)),Einstellungen!$F$13:$F$32)))</f>
        <v/>
      </c>
      <c r="T325" s="49">
        <f>IF(OR(A325="",D325=""),0,MAX(0,NETWORKDAYS(MAX(D325,DATE(Einstellungen!$C$3,9,1)),MIN(J325,DATE(Einstellungen!$C$3,10,0)),Einstellungen!$F$13:$F$32)))</f>
        <v/>
      </c>
      <c r="U325" s="49">
        <f>IF(OR(A325="",D325=""),0,MAX(0,NETWORKDAYS(MAX(D325,DATE(Einstellungen!$C$3,10,1)),MIN(J325,DATE(Einstellungen!$C$3,11,0)),Einstellungen!$F$13:$F$32)))</f>
        <v/>
      </c>
      <c r="V325" s="49">
        <f>IF(OR(A325="",D325=""),0,MAX(0,NETWORKDAYS(MAX(D325,DATE(Einstellungen!$C$3,11,1)),MIN(J325,DATE(Einstellungen!$C$3,12,0)),Einstellungen!$F$13:$F$32)))</f>
        <v/>
      </c>
      <c r="W325" s="49">
        <f>IF(OR(A325="",D325=""),0,MAX(0,NETWORKDAYS(MAX(D325,DATE(Einstellungen!$C$3,12,1)),MIN(J325,DATE(Einstellungen!$C$3,13,0)),Einstellungen!$F$13:$F$32)))</f>
        <v/>
      </c>
      <c r="X325" s="50">
        <f>L325*K325</f>
        <v/>
      </c>
      <c r="Y325" s="50">
        <f>M325*K325</f>
        <v/>
      </c>
      <c r="Z325" s="50">
        <f>N325*K325</f>
        <v/>
      </c>
      <c r="AA325" s="50">
        <f>O325*K325</f>
        <v/>
      </c>
      <c r="AB325" s="50">
        <f>P325*K325</f>
        <v/>
      </c>
      <c r="AC325" s="50">
        <f>Q325*K325</f>
        <v/>
      </c>
      <c r="AD325" s="50">
        <f>R325*K325</f>
        <v/>
      </c>
      <c r="AE325" s="50">
        <f>S325*K325</f>
        <v/>
      </c>
      <c r="AF325" s="50">
        <f>T325*K325</f>
        <v/>
      </c>
      <c r="AG325" s="50">
        <f>U325*K325</f>
        <v/>
      </c>
      <c r="AH325" s="50">
        <f>V325*K325</f>
        <v/>
      </c>
      <c r="AI325" s="50">
        <f>W325*K325</f>
        <v/>
      </c>
    </row>
    <row r="326">
      <c r="A326" s="25" t="n"/>
      <c r="B326" s="45">
        <f>IF(A326="","",IFERROR(INDEX(Mitarbeiter!$B$6:$B$205,MATCH($A326,Mitarbeiter!$A$6:$A$205,0)),"?"))</f>
        <v/>
      </c>
      <c r="C326" s="46" t="n"/>
      <c r="D326" s="26" t="n"/>
      <c r="E326" s="26" t="n"/>
      <c r="F326" s="24">
        <f>IF(A326="","",SUM(L326:W326))</f>
        <v/>
      </c>
      <c r="G326" s="36">
        <f>IF(A326="","",SUM(X326:AI326))</f>
        <v/>
      </c>
      <c r="H326" s="8">
        <f>IF(A326="","",IF(ISNA(MATCH(A326,Mitarbeiter!$A$6:$A$205,0)),"Pers.-Nr. unbekannt",IF(D326="","Von fehlt",IF(AND(C326&lt;&gt;Einstellungen!$C$4,C326&lt;&gt;Einstellungen!$C$5),"Objekt fehlt",IF(J326&lt;D326,"Bis vor Von",IF(D326&lt;INDEX(Mitarbeiter!$C$6:$C$205,MATCH($A326,Mitarbeiter!$A$6:$A$205,0)),"vor Eintritt",IF(AND(INDEX(Mitarbeiter!$D$6:$D$205,MATCH($A326,Mitarbeiter!$A$6:$A$205,0))&lt;&gt;"",D326&gt;INDEX(Mitarbeiter!$D$6:$D$205,MATCH($A326,Mitarbeiter!$A$6:$A$205,0))),"nach Austritt",IF(E326="","offen","ok"))))))))</f>
        <v/>
      </c>
      <c r="J326" s="47">
        <f>IF(A326="","",IF(E326="",Einstellungen!$C$9,E326))</f>
        <v/>
      </c>
      <c r="K326" s="48">
        <f>IF(A326="",0,IFERROR(INDEX(Mitarbeiter!$F$6:$F$205,MATCH($A326,Mitarbeiter!$A$6:$A$205,0)),0))</f>
        <v/>
      </c>
      <c r="L326" s="49">
        <f>IF(OR(A326="",D326=""),0,MAX(0,NETWORKDAYS(MAX(D326,DATE(Einstellungen!$C$3,1,1)),MIN(J326,DATE(Einstellungen!$C$3,2,0)),Einstellungen!$F$13:$F$32)))</f>
        <v/>
      </c>
      <c r="M326" s="49">
        <f>IF(OR(A326="",D326=""),0,MAX(0,NETWORKDAYS(MAX(D326,DATE(Einstellungen!$C$3,2,1)),MIN(J326,DATE(Einstellungen!$C$3,3,0)),Einstellungen!$F$13:$F$32)))</f>
        <v/>
      </c>
      <c r="N326" s="49">
        <f>IF(OR(A326="",D326=""),0,MAX(0,NETWORKDAYS(MAX(D326,DATE(Einstellungen!$C$3,3,1)),MIN(J326,DATE(Einstellungen!$C$3,4,0)),Einstellungen!$F$13:$F$32)))</f>
        <v/>
      </c>
      <c r="O326" s="49">
        <f>IF(OR(A326="",D326=""),0,MAX(0,NETWORKDAYS(MAX(D326,DATE(Einstellungen!$C$3,4,1)),MIN(J326,DATE(Einstellungen!$C$3,5,0)),Einstellungen!$F$13:$F$32)))</f>
        <v/>
      </c>
      <c r="P326" s="49">
        <f>IF(OR(A326="",D326=""),0,MAX(0,NETWORKDAYS(MAX(D326,DATE(Einstellungen!$C$3,5,1)),MIN(J326,DATE(Einstellungen!$C$3,6,0)),Einstellungen!$F$13:$F$32)))</f>
        <v/>
      </c>
      <c r="Q326" s="49">
        <f>IF(OR(A326="",D326=""),0,MAX(0,NETWORKDAYS(MAX(D326,DATE(Einstellungen!$C$3,6,1)),MIN(J326,DATE(Einstellungen!$C$3,7,0)),Einstellungen!$F$13:$F$32)))</f>
        <v/>
      </c>
      <c r="R326" s="49">
        <f>IF(OR(A326="",D326=""),0,MAX(0,NETWORKDAYS(MAX(D326,DATE(Einstellungen!$C$3,7,1)),MIN(J326,DATE(Einstellungen!$C$3,8,0)),Einstellungen!$F$13:$F$32)))</f>
        <v/>
      </c>
      <c r="S326" s="49">
        <f>IF(OR(A326="",D326=""),0,MAX(0,NETWORKDAYS(MAX(D326,DATE(Einstellungen!$C$3,8,1)),MIN(J326,DATE(Einstellungen!$C$3,9,0)),Einstellungen!$F$13:$F$32)))</f>
        <v/>
      </c>
      <c r="T326" s="49">
        <f>IF(OR(A326="",D326=""),0,MAX(0,NETWORKDAYS(MAX(D326,DATE(Einstellungen!$C$3,9,1)),MIN(J326,DATE(Einstellungen!$C$3,10,0)),Einstellungen!$F$13:$F$32)))</f>
        <v/>
      </c>
      <c r="U326" s="49">
        <f>IF(OR(A326="",D326=""),0,MAX(0,NETWORKDAYS(MAX(D326,DATE(Einstellungen!$C$3,10,1)),MIN(J326,DATE(Einstellungen!$C$3,11,0)),Einstellungen!$F$13:$F$32)))</f>
        <v/>
      </c>
      <c r="V326" s="49">
        <f>IF(OR(A326="",D326=""),0,MAX(0,NETWORKDAYS(MAX(D326,DATE(Einstellungen!$C$3,11,1)),MIN(J326,DATE(Einstellungen!$C$3,12,0)),Einstellungen!$F$13:$F$32)))</f>
        <v/>
      </c>
      <c r="W326" s="49">
        <f>IF(OR(A326="",D326=""),0,MAX(0,NETWORKDAYS(MAX(D326,DATE(Einstellungen!$C$3,12,1)),MIN(J326,DATE(Einstellungen!$C$3,13,0)),Einstellungen!$F$13:$F$32)))</f>
        <v/>
      </c>
      <c r="X326" s="50">
        <f>L326*K326</f>
        <v/>
      </c>
      <c r="Y326" s="50">
        <f>M326*K326</f>
        <v/>
      </c>
      <c r="Z326" s="50">
        <f>N326*K326</f>
        <v/>
      </c>
      <c r="AA326" s="50">
        <f>O326*K326</f>
        <v/>
      </c>
      <c r="AB326" s="50">
        <f>P326*K326</f>
        <v/>
      </c>
      <c r="AC326" s="50">
        <f>Q326*K326</f>
        <v/>
      </c>
      <c r="AD326" s="50">
        <f>R326*K326</f>
        <v/>
      </c>
      <c r="AE326" s="50">
        <f>S326*K326</f>
        <v/>
      </c>
      <c r="AF326" s="50">
        <f>T326*K326</f>
        <v/>
      </c>
      <c r="AG326" s="50">
        <f>U326*K326</f>
        <v/>
      </c>
      <c r="AH326" s="50">
        <f>V326*K326</f>
        <v/>
      </c>
      <c r="AI326" s="50">
        <f>W326*K326</f>
        <v/>
      </c>
    </row>
    <row r="327">
      <c r="A327" s="25" t="n"/>
      <c r="B327" s="45">
        <f>IF(A327="","",IFERROR(INDEX(Mitarbeiter!$B$6:$B$205,MATCH($A327,Mitarbeiter!$A$6:$A$205,0)),"?"))</f>
        <v/>
      </c>
      <c r="C327" s="46" t="n"/>
      <c r="D327" s="26" t="n"/>
      <c r="E327" s="26" t="n"/>
      <c r="F327" s="24">
        <f>IF(A327="","",SUM(L327:W327))</f>
        <v/>
      </c>
      <c r="G327" s="36">
        <f>IF(A327="","",SUM(X327:AI327))</f>
        <v/>
      </c>
      <c r="H327" s="8">
        <f>IF(A327="","",IF(ISNA(MATCH(A327,Mitarbeiter!$A$6:$A$205,0)),"Pers.-Nr. unbekannt",IF(D327="","Von fehlt",IF(AND(C327&lt;&gt;Einstellungen!$C$4,C327&lt;&gt;Einstellungen!$C$5),"Objekt fehlt",IF(J327&lt;D327,"Bis vor Von",IF(D327&lt;INDEX(Mitarbeiter!$C$6:$C$205,MATCH($A327,Mitarbeiter!$A$6:$A$205,0)),"vor Eintritt",IF(AND(INDEX(Mitarbeiter!$D$6:$D$205,MATCH($A327,Mitarbeiter!$A$6:$A$205,0))&lt;&gt;"",D327&gt;INDEX(Mitarbeiter!$D$6:$D$205,MATCH($A327,Mitarbeiter!$A$6:$A$205,0))),"nach Austritt",IF(E327="","offen","ok"))))))))</f>
        <v/>
      </c>
      <c r="J327" s="47">
        <f>IF(A327="","",IF(E327="",Einstellungen!$C$9,E327))</f>
        <v/>
      </c>
      <c r="K327" s="48">
        <f>IF(A327="",0,IFERROR(INDEX(Mitarbeiter!$F$6:$F$205,MATCH($A327,Mitarbeiter!$A$6:$A$205,0)),0))</f>
        <v/>
      </c>
      <c r="L327" s="49">
        <f>IF(OR(A327="",D327=""),0,MAX(0,NETWORKDAYS(MAX(D327,DATE(Einstellungen!$C$3,1,1)),MIN(J327,DATE(Einstellungen!$C$3,2,0)),Einstellungen!$F$13:$F$32)))</f>
        <v/>
      </c>
      <c r="M327" s="49">
        <f>IF(OR(A327="",D327=""),0,MAX(0,NETWORKDAYS(MAX(D327,DATE(Einstellungen!$C$3,2,1)),MIN(J327,DATE(Einstellungen!$C$3,3,0)),Einstellungen!$F$13:$F$32)))</f>
        <v/>
      </c>
      <c r="N327" s="49">
        <f>IF(OR(A327="",D327=""),0,MAX(0,NETWORKDAYS(MAX(D327,DATE(Einstellungen!$C$3,3,1)),MIN(J327,DATE(Einstellungen!$C$3,4,0)),Einstellungen!$F$13:$F$32)))</f>
        <v/>
      </c>
      <c r="O327" s="49">
        <f>IF(OR(A327="",D327=""),0,MAX(0,NETWORKDAYS(MAX(D327,DATE(Einstellungen!$C$3,4,1)),MIN(J327,DATE(Einstellungen!$C$3,5,0)),Einstellungen!$F$13:$F$32)))</f>
        <v/>
      </c>
      <c r="P327" s="49">
        <f>IF(OR(A327="",D327=""),0,MAX(0,NETWORKDAYS(MAX(D327,DATE(Einstellungen!$C$3,5,1)),MIN(J327,DATE(Einstellungen!$C$3,6,0)),Einstellungen!$F$13:$F$32)))</f>
        <v/>
      </c>
      <c r="Q327" s="49">
        <f>IF(OR(A327="",D327=""),0,MAX(0,NETWORKDAYS(MAX(D327,DATE(Einstellungen!$C$3,6,1)),MIN(J327,DATE(Einstellungen!$C$3,7,0)),Einstellungen!$F$13:$F$32)))</f>
        <v/>
      </c>
      <c r="R327" s="49">
        <f>IF(OR(A327="",D327=""),0,MAX(0,NETWORKDAYS(MAX(D327,DATE(Einstellungen!$C$3,7,1)),MIN(J327,DATE(Einstellungen!$C$3,8,0)),Einstellungen!$F$13:$F$32)))</f>
        <v/>
      </c>
      <c r="S327" s="49">
        <f>IF(OR(A327="",D327=""),0,MAX(0,NETWORKDAYS(MAX(D327,DATE(Einstellungen!$C$3,8,1)),MIN(J327,DATE(Einstellungen!$C$3,9,0)),Einstellungen!$F$13:$F$32)))</f>
        <v/>
      </c>
      <c r="T327" s="49">
        <f>IF(OR(A327="",D327=""),0,MAX(0,NETWORKDAYS(MAX(D327,DATE(Einstellungen!$C$3,9,1)),MIN(J327,DATE(Einstellungen!$C$3,10,0)),Einstellungen!$F$13:$F$32)))</f>
        <v/>
      </c>
      <c r="U327" s="49">
        <f>IF(OR(A327="",D327=""),0,MAX(0,NETWORKDAYS(MAX(D327,DATE(Einstellungen!$C$3,10,1)),MIN(J327,DATE(Einstellungen!$C$3,11,0)),Einstellungen!$F$13:$F$32)))</f>
        <v/>
      </c>
      <c r="V327" s="49">
        <f>IF(OR(A327="",D327=""),0,MAX(0,NETWORKDAYS(MAX(D327,DATE(Einstellungen!$C$3,11,1)),MIN(J327,DATE(Einstellungen!$C$3,12,0)),Einstellungen!$F$13:$F$32)))</f>
        <v/>
      </c>
      <c r="W327" s="49">
        <f>IF(OR(A327="",D327=""),0,MAX(0,NETWORKDAYS(MAX(D327,DATE(Einstellungen!$C$3,12,1)),MIN(J327,DATE(Einstellungen!$C$3,13,0)),Einstellungen!$F$13:$F$32)))</f>
        <v/>
      </c>
      <c r="X327" s="50">
        <f>L327*K327</f>
        <v/>
      </c>
      <c r="Y327" s="50">
        <f>M327*K327</f>
        <v/>
      </c>
      <c r="Z327" s="50">
        <f>N327*K327</f>
        <v/>
      </c>
      <c r="AA327" s="50">
        <f>O327*K327</f>
        <v/>
      </c>
      <c r="AB327" s="50">
        <f>P327*K327</f>
        <v/>
      </c>
      <c r="AC327" s="50">
        <f>Q327*K327</f>
        <v/>
      </c>
      <c r="AD327" s="50">
        <f>R327*K327</f>
        <v/>
      </c>
      <c r="AE327" s="50">
        <f>S327*K327</f>
        <v/>
      </c>
      <c r="AF327" s="50">
        <f>T327*K327</f>
        <v/>
      </c>
      <c r="AG327" s="50">
        <f>U327*K327</f>
        <v/>
      </c>
      <c r="AH327" s="50">
        <f>V327*K327</f>
        <v/>
      </c>
      <c r="AI327" s="50">
        <f>W327*K327</f>
        <v/>
      </c>
    </row>
    <row r="328">
      <c r="A328" s="25" t="n"/>
      <c r="B328" s="45">
        <f>IF(A328="","",IFERROR(INDEX(Mitarbeiter!$B$6:$B$205,MATCH($A328,Mitarbeiter!$A$6:$A$205,0)),"?"))</f>
        <v/>
      </c>
      <c r="C328" s="46" t="n"/>
      <c r="D328" s="26" t="n"/>
      <c r="E328" s="26" t="n"/>
      <c r="F328" s="24">
        <f>IF(A328="","",SUM(L328:W328))</f>
        <v/>
      </c>
      <c r="G328" s="36">
        <f>IF(A328="","",SUM(X328:AI328))</f>
        <v/>
      </c>
      <c r="H328" s="8">
        <f>IF(A328="","",IF(ISNA(MATCH(A328,Mitarbeiter!$A$6:$A$205,0)),"Pers.-Nr. unbekannt",IF(D328="","Von fehlt",IF(AND(C328&lt;&gt;Einstellungen!$C$4,C328&lt;&gt;Einstellungen!$C$5),"Objekt fehlt",IF(J328&lt;D328,"Bis vor Von",IF(D328&lt;INDEX(Mitarbeiter!$C$6:$C$205,MATCH($A328,Mitarbeiter!$A$6:$A$205,0)),"vor Eintritt",IF(AND(INDEX(Mitarbeiter!$D$6:$D$205,MATCH($A328,Mitarbeiter!$A$6:$A$205,0))&lt;&gt;"",D328&gt;INDEX(Mitarbeiter!$D$6:$D$205,MATCH($A328,Mitarbeiter!$A$6:$A$205,0))),"nach Austritt",IF(E328="","offen","ok"))))))))</f>
        <v/>
      </c>
      <c r="J328" s="47">
        <f>IF(A328="","",IF(E328="",Einstellungen!$C$9,E328))</f>
        <v/>
      </c>
      <c r="K328" s="48">
        <f>IF(A328="",0,IFERROR(INDEX(Mitarbeiter!$F$6:$F$205,MATCH($A328,Mitarbeiter!$A$6:$A$205,0)),0))</f>
        <v/>
      </c>
      <c r="L328" s="49">
        <f>IF(OR(A328="",D328=""),0,MAX(0,NETWORKDAYS(MAX(D328,DATE(Einstellungen!$C$3,1,1)),MIN(J328,DATE(Einstellungen!$C$3,2,0)),Einstellungen!$F$13:$F$32)))</f>
        <v/>
      </c>
      <c r="M328" s="49">
        <f>IF(OR(A328="",D328=""),0,MAX(0,NETWORKDAYS(MAX(D328,DATE(Einstellungen!$C$3,2,1)),MIN(J328,DATE(Einstellungen!$C$3,3,0)),Einstellungen!$F$13:$F$32)))</f>
        <v/>
      </c>
      <c r="N328" s="49">
        <f>IF(OR(A328="",D328=""),0,MAX(0,NETWORKDAYS(MAX(D328,DATE(Einstellungen!$C$3,3,1)),MIN(J328,DATE(Einstellungen!$C$3,4,0)),Einstellungen!$F$13:$F$32)))</f>
        <v/>
      </c>
      <c r="O328" s="49">
        <f>IF(OR(A328="",D328=""),0,MAX(0,NETWORKDAYS(MAX(D328,DATE(Einstellungen!$C$3,4,1)),MIN(J328,DATE(Einstellungen!$C$3,5,0)),Einstellungen!$F$13:$F$32)))</f>
        <v/>
      </c>
      <c r="P328" s="49">
        <f>IF(OR(A328="",D328=""),0,MAX(0,NETWORKDAYS(MAX(D328,DATE(Einstellungen!$C$3,5,1)),MIN(J328,DATE(Einstellungen!$C$3,6,0)),Einstellungen!$F$13:$F$32)))</f>
        <v/>
      </c>
      <c r="Q328" s="49">
        <f>IF(OR(A328="",D328=""),0,MAX(0,NETWORKDAYS(MAX(D328,DATE(Einstellungen!$C$3,6,1)),MIN(J328,DATE(Einstellungen!$C$3,7,0)),Einstellungen!$F$13:$F$32)))</f>
        <v/>
      </c>
      <c r="R328" s="49">
        <f>IF(OR(A328="",D328=""),0,MAX(0,NETWORKDAYS(MAX(D328,DATE(Einstellungen!$C$3,7,1)),MIN(J328,DATE(Einstellungen!$C$3,8,0)),Einstellungen!$F$13:$F$32)))</f>
        <v/>
      </c>
      <c r="S328" s="49">
        <f>IF(OR(A328="",D328=""),0,MAX(0,NETWORKDAYS(MAX(D328,DATE(Einstellungen!$C$3,8,1)),MIN(J328,DATE(Einstellungen!$C$3,9,0)),Einstellungen!$F$13:$F$32)))</f>
        <v/>
      </c>
      <c r="T328" s="49">
        <f>IF(OR(A328="",D328=""),0,MAX(0,NETWORKDAYS(MAX(D328,DATE(Einstellungen!$C$3,9,1)),MIN(J328,DATE(Einstellungen!$C$3,10,0)),Einstellungen!$F$13:$F$32)))</f>
        <v/>
      </c>
      <c r="U328" s="49">
        <f>IF(OR(A328="",D328=""),0,MAX(0,NETWORKDAYS(MAX(D328,DATE(Einstellungen!$C$3,10,1)),MIN(J328,DATE(Einstellungen!$C$3,11,0)),Einstellungen!$F$13:$F$32)))</f>
        <v/>
      </c>
      <c r="V328" s="49">
        <f>IF(OR(A328="",D328=""),0,MAX(0,NETWORKDAYS(MAX(D328,DATE(Einstellungen!$C$3,11,1)),MIN(J328,DATE(Einstellungen!$C$3,12,0)),Einstellungen!$F$13:$F$32)))</f>
        <v/>
      </c>
      <c r="W328" s="49">
        <f>IF(OR(A328="",D328=""),0,MAX(0,NETWORKDAYS(MAX(D328,DATE(Einstellungen!$C$3,12,1)),MIN(J328,DATE(Einstellungen!$C$3,13,0)),Einstellungen!$F$13:$F$32)))</f>
        <v/>
      </c>
      <c r="X328" s="50">
        <f>L328*K328</f>
        <v/>
      </c>
      <c r="Y328" s="50">
        <f>M328*K328</f>
        <v/>
      </c>
      <c r="Z328" s="50">
        <f>N328*K328</f>
        <v/>
      </c>
      <c r="AA328" s="50">
        <f>O328*K328</f>
        <v/>
      </c>
      <c r="AB328" s="50">
        <f>P328*K328</f>
        <v/>
      </c>
      <c r="AC328" s="50">
        <f>Q328*K328</f>
        <v/>
      </c>
      <c r="AD328" s="50">
        <f>R328*K328</f>
        <v/>
      </c>
      <c r="AE328" s="50">
        <f>S328*K328</f>
        <v/>
      </c>
      <c r="AF328" s="50">
        <f>T328*K328</f>
        <v/>
      </c>
      <c r="AG328" s="50">
        <f>U328*K328</f>
        <v/>
      </c>
      <c r="AH328" s="50">
        <f>V328*K328</f>
        <v/>
      </c>
      <c r="AI328" s="50">
        <f>W328*K328</f>
        <v/>
      </c>
    </row>
    <row r="329">
      <c r="A329" s="25" t="n"/>
      <c r="B329" s="45">
        <f>IF(A329="","",IFERROR(INDEX(Mitarbeiter!$B$6:$B$205,MATCH($A329,Mitarbeiter!$A$6:$A$205,0)),"?"))</f>
        <v/>
      </c>
      <c r="C329" s="46" t="n"/>
      <c r="D329" s="26" t="n"/>
      <c r="E329" s="26" t="n"/>
      <c r="F329" s="24">
        <f>IF(A329="","",SUM(L329:W329))</f>
        <v/>
      </c>
      <c r="G329" s="36">
        <f>IF(A329="","",SUM(X329:AI329))</f>
        <v/>
      </c>
      <c r="H329" s="8">
        <f>IF(A329="","",IF(ISNA(MATCH(A329,Mitarbeiter!$A$6:$A$205,0)),"Pers.-Nr. unbekannt",IF(D329="","Von fehlt",IF(AND(C329&lt;&gt;Einstellungen!$C$4,C329&lt;&gt;Einstellungen!$C$5),"Objekt fehlt",IF(J329&lt;D329,"Bis vor Von",IF(D329&lt;INDEX(Mitarbeiter!$C$6:$C$205,MATCH($A329,Mitarbeiter!$A$6:$A$205,0)),"vor Eintritt",IF(AND(INDEX(Mitarbeiter!$D$6:$D$205,MATCH($A329,Mitarbeiter!$A$6:$A$205,0))&lt;&gt;"",D329&gt;INDEX(Mitarbeiter!$D$6:$D$205,MATCH($A329,Mitarbeiter!$A$6:$A$205,0))),"nach Austritt",IF(E329="","offen","ok"))))))))</f>
        <v/>
      </c>
      <c r="J329" s="47">
        <f>IF(A329="","",IF(E329="",Einstellungen!$C$9,E329))</f>
        <v/>
      </c>
      <c r="K329" s="48">
        <f>IF(A329="",0,IFERROR(INDEX(Mitarbeiter!$F$6:$F$205,MATCH($A329,Mitarbeiter!$A$6:$A$205,0)),0))</f>
        <v/>
      </c>
      <c r="L329" s="49">
        <f>IF(OR(A329="",D329=""),0,MAX(0,NETWORKDAYS(MAX(D329,DATE(Einstellungen!$C$3,1,1)),MIN(J329,DATE(Einstellungen!$C$3,2,0)),Einstellungen!$F$13:$F$32)))</f>
        <v/>
      </c>
      <c r="M329" s="49">
        <f>IF(OR(A329="",D329=""),0,MAX(0,NETWORKDAYS(MAX(D329,DATE(Einstellungen!$C$3,2,1)),MIN(J329,DATE(Einstellungen!$C$3,3,0)),Einstellungen!$F$13:$F$32)))</f>
        <v/>
      </c>
      <c r="N329" s="49">
        <f>IF(OR(A329="",D329=""),0,MAX(0,NETWORKDAYS(MAX(D329,DATE(Einstellungen!$C$3,3,1)),MIN(J329,DATE(Einstellungen!$C$3,4,0)),Einstellungen!$F$13:$F$32)))</f>
        <v/>
      </c>
      <c r="O329" s="49">
        <f>IF(OR(A329="",D329=""),0,MAX(0,NETWORKDAYS(MAX(D329,DATE(Einstellungen!$C$3,4,1)),MIN(J329,DATE(Einstellungen!$C$3,5,0)),Einstellungen!$F$13:$F$32)))</f>
        <v/>
      </c>
      <c r="P329" s="49">
        <f>IF(OR(A329="",D329=""),0,MAX(0,NETWORKDAYS(MAX(D329,DATE(Einstellungen!$C$3,5,1)),MIN(J329,DATE(Einstellungen!$C$3,6,0)),Einstellungen!$F$13:$F$32)))</f>
        <v/>
      </c>
      <c r="Q329" s="49">
        <f>IF(OR(A329="",D329=""),0,MAX(0,NETWORKDAYS(MAX(D329,DATE(Einstellungen!$C$3,6,1)),MIN(J329,DATE(Einstellungen!$C$3,7,0)),Einstellungen!$F$13:$F$32)))</f>
        <v/>
      </c>
      <c r="R329" s="49">
        <f>IF(OR(A329="",D329=""),0,MAX(0,NETWORKDAYS(MAX(D329,DATE(Einstellungen!$C$3,7,1)),MIN(J329,DATE(Einstellungen!$C$3,8,0)),Einstellungen!$F$13:$F$32)))</f>
        <v/>
      </c>
      <c r="S329" s="49">
        <f>IF(OR(A329="",D329=""),0,MAX(0,NETWORKDAYS(MAX(D329,DATE(Einstellungen!$C$3,8,1)),MIN(J329,DATE(Einstellungen!$C$3,9,0)),Einstellungen!$F$13:$F$32)))</f>
        <v/>
      </c>
      <c r="T329" s="49">
        <f>IF(OR(A329="",D329=""),0,MAX(0,NETWORKDAYS(MAX(D329,DATE(Einstellungen!$C$3,9,1)),MIN(J329,DATE(Einstellungen!$C$3,10,0)),Einstellungen!$F$13:$F$32)))</f>
        <v/>
      </c>
      <c r="U329" s="49">
        <f>IF(OR(A329="",D329=""),0,MAX(0,NETWORKDAYS(MAX(D329,DATE(Einstellungen!$C$3,10,1)),MIN(J329,DATE(Einstellungen!$C$3,11,0)),Einstellungen!$F$13:$F$32)))</f>
        <v/>
      </c>
      <c r="V329" s="49">
        <f>IF(OR(A329="",D329=""),0,MAX(0,NETWORKDAYS(MAX(D329,DATE(Einstellungen!$C$3,11,1)),MIN(J329,DATE(Einstellungen!$C$3,12,0)),Einstellungen!$F$13:$F$32)))</f>
        <v/>
      </c>
      <c r="W329" s="49">
        <f>IF(OR(A329="",D329=""),0,MAX(0,NETWORKDAYS(MAX(D329,DATE(Einstellungen!$C$3,12,1)),MIN(J329,DATE(Einstellungen!$C$3,13,0)),Einstellungen!$F$13:$F$32)))</f>
        <v/>
      </c>
      <c r="X329" s="50">
        <f>L329*K329</f>
        <v/>
      </c>
      <c r="Y329" s="50">
        <f>M329*K329</f>
        <v/>
      </c>
      <c r="Z329" s="50">
        <f>N329*K329</f>
        <v/>
      </c>
      <c r="AA329" s="50">
        <f>O329*K329</f>
        <v/>
      </c>
      <c r="AB329" s="50">
        <f>P329*K329</f>
        <v/>
      </c>
      <c r="AC329" s="50">
        <f>Q329*K329</f>
        <v/>
      </c>
      <c r="AD329" s="50">
        <f>R329*K329</f>
        <v/>
      </c>
      <c r="AE329" s="50">
        <f>S329*K329</f>
        <v/>
      </c>
      <c r="AF329" s="50">
        <f>T329*K329</f>
        <v/>
      </c>
      <c r="AG329" s="50">
        <f>U329*K329</f>
        <v/>
      </c>
      <c r="AH329" s="50">
        <f>V329*K329</f>
        <v/>
      </c>
      <c r="AI329" s="50">
        <f>W329*K329</f>
        <v/>
      </c>
    </row>
    <row r="330">
      <c r="A330" s="25" t="n"/>
      <c r="B330" s="45">
        <f>IF(A330="","",IFERROR(INDEX(Mitarbeiter!$B$6:$B$205,MATCH($A330,Mitarbeiter!$A$6:$A$205,0)),"?"))</f>
        <v/>
      </c>
      <c r="C330" s="46" t="n"/>
      <c r="D330" s="26" t="n"/>
      <c r="E330" s="26" t="n"/>
      <c r="F330" s="24">
        <f>IF(A330="","",SUM(L330:W330))</f>
        <v/>
      </c>
      <c r="G330" s="36">
        <f>IF(A330="","",SUM(X330:AI330))</f>
        <v/>
      </c>
      <c r="H330" s="8">
        <f>IF(A330="","",IF(ISNA(MATCH(A330,Mitarbeiter!$A$6:$A$205,0)),"Pers.-Nr. unbekannt",IF(D330="","Von fehlt",IF(AND(C330&lt;&gt;Einstellungen!$C$4,C330&lt;&gt;Einstellungen!$C$5),"Objekt fehlt",IF(J330&lt;D330,"Bis vor Von",IF(D330&lt;INDEX(Mitarbeiter!$C$6:$C$205,MATCH($A330,Mitarbeiter!$A$6:$A$205,0)),"vor Eintritt",IF(AND(INDEX(Mitarbeiter!$D$6:$D$205,MATCH($A330,Mitarbeiter!$A$6:$A$205,0))&lt;&gt;"",D330&gt;INDEX(Mitarbeiter!$D$6:$D$205,MATCH($A330,Mitarbeiter!$A$6:$A$205,0))),"nach Austritt",IF(E330="","offen","ok"))))))))</f>
        <v/>
      </c>
      <c r="J330" s="47">
        <f>IF(A330="","",IF(E330="",Einstellungen!$C$9,E330))</f>
        <v/>
      </c>
      <c r="K330" s="48">
        <f>IF(A330="",0,IFERROR(INDEX(Mitarbeiter!$F$6:$F$205,MATCH($A330,Mitarbeiter!$A$6:$A$205,0)),0))</f>
        <v/>
      </c>
      <c r="L330" s="49">
        <f>IF(OR(A330="",D330=""),0,MAX(0,NETWORKDAYS(MAX(D330,DATE(Einstellungen!$C$3,1,1)),MIN(J330,DATE(Einstellungen!$C$3,2,0)),Einstellungen!$F$13:$F$32)))</f>
        <v/>
      </c>
      <c r="M330" s="49">
        <f>IF(OR(A330="",D330=""),0,MAX(0,NETWORKDAYS(MAX(D330,DATE(Einstellungen!$C$3,2,1)),MIN(J330,DATE(Einstellungen!$C$3,3,0)),Einstellungen!$F$13:$F$32)))</f>
        <v/>
      </c>
      <c r="N330" s="49">
        <f>IF(OR(A330="",D330=""),0,MAX(0,NETWORKDAYS(MAX(D330,DATE(Einstellungen!$C$3,3,1)),MIN(J330,DATE(Einstellungen!$C$3,4,0)),Einstellungen!$F$13:$F$32)))</f>
        <v/>
      </c>
      <c r="O330" s="49">
        <f>IF(OR(A330="",D330=""),0,MAX(0,NETWORKDAYS(MAX(D330,DATE(Einstellungen!$C$3,4,1)),MIN(J330,DATE(Einstellungen!$C$3,5,0)),Einstellungen!$F$13:$F$32)))</f>
        <v/>
      </c>
      <c r="P330" s="49">
        <f>IF(OR(A330="",D330=""),0,MAX(0,NETWORKDAYS(MAX(D330,DATE(Einstellungen!$C$3,5,1)),MIN(J330,DATE(Einstellungen!$C$3,6,0)),Einstellungen!$F$13:$F$32)))</f>
        <v/>
      </c>
      <c r="Q330" s="49">
        <f>IF(OR(A330="",D330=""),0,MAX(0,NETWORKDAYS(MAX(D330,DATE(Einstellungen!$C$3,6,1)),MIN(J330,DATE(Einstellungen!$C$3,7,0)),Einstellungen!$F$13:$F$32)))</f>
        <v/>
      </c>
      <c r="R330" s="49">
        <f>IF(OR(A330="",D330=""),0,MAX(0,NETWORKDAYS(MAX(D330,DATE(Einstellungen!$C$3,7,1)),MIN(J330,DATE(Einstellungen!$C$3,8,0)),Einstellungen!$F$13:$F$32)))</f>
        <v/>
      </c>
      <c r="S330" s="49">
        <f>IF(OR(A330="",D330=""),0,MAX(0,NETWORKDAYS(MAX(D330,DATE(Einstellungen!$C$3,8,1)),MIN(J330,DATE(Einstellungen!$C$3,9,0)),Einstellungen!$F$13:$F$32)))</f>
        <v/>
      </c>
      <c r="T330" s="49">
        <f>IF(OR(A330="",D330=""),0,MAX(0,NETWORKDAYS(MAX(D330,DATE(Einstellungen!$C$3,9,1)),MIN(J330,DATE(Einstellungen!$C$3,10,0)),Einstellungen!$F$13:$F$32)))</f>
        <v/>
      </c>
      <c r="U330" s="49">
        <f>IF(OR(A330="",D330=""),0,MAX(0,NETWORKDAYS(MAX(D330,DATE(Einstellungen!$C$3,10,1)),MIN(J330,DATE(Einstellungen!$C$3,11,0)),Einstellungen!$F$13:$F$32)))</f>
        <v/>
      </c>
      <c r="V330" s="49">
        <f>IF(OR(A330="",D330=""),0,MAX(0,NETWORKDAYS(MAX(D330,DATE(Einstellungen!$C$3,11,1)),MIN(J330,DATE(Einstellungen!$C$3,12,0)),Einstellungen!$F$13:$F$32)))</f>
        <v/>
      </c>
      <c r="W330" s="49">
        <f>IF(OR(A330="",D330=""),0,MAX(0,NETWORKDAYS(MAX(D330,DATE(Einstellungen!$C$3,12,1)),MIN(J330,DATE(Einstellungen!$C$3,13,0)),Einstellungen!$F$13:$F$32)))</f>
        <v/>
      </c>
      <c r="X330" s="50">
        <f>L330*K330</f>
        <v/>
      </c>
      <c r="Y330" s="50">
        <f>M330*K330</f>
        <v/>
      </c>
      <c r="Z330" s="50">
        <f>N330*K330</f>
        <v/>
      </c>
      <c r="AA330" s="50">
        <f>O330*K330</f>
        <v/>
      </c>
      <c r="AB330" s="50">
        <f>P330*K330</f>
        <v/>
      </c>
      <c r="AC330" s="50">
        <f>Q330*K330</f>
        <v/>
      </c>
      <c r="AD330" s="50">
        <f>R330*K330</f>
        <v/>
      </c>
      <c r="AE330" s="50">
        <f>S330*K330</f>
        <v/>
      </c>
      <c r="AF330" s="50">
        <f>T330*K330</f>
        <v/>
      </c>
      <c r="AG330" s="50">
        <f>U330*K330</f>
        <v/>
      </c>
      <c r="AH330" s="50">
        <f>V330*K330</f>
        <v/>
      </c>
      <c r="AI330" s="50">
        <f>W330*K330</f>
        <v/>
      </c>
    </row>
    <row r="331">
      <c r="A331" s="25" t="n"/>
      <c r="B331" s="45">
        <f>IF(A331="","",IFERROR(INDEX(Mitarbeiter!$B$6:$B$205,MATCH($A331,Mitarbeiter!$A$6:$A$205,0)),"?"))</f>
        <v/>
      </c>
      <c r="C331" s="46" t="n"/>
      <c r="D331" s="26" t="n"/>
      <c r="E331" s="26" t="n"/>
      <c r="F331" s="24">
        <f>IF(A331="","",SUM(L331:W331))</f>
        <v/>
      </c>
      <c r="G331" s="36">
        <f>IF(A331="","",SUM(X331:AI331))</f>
        <v/>
      </c>
      <c r="H331" s="8">
        <f>IF(A331="","",IF(ISNA(MATCH(A331,Mitarbeiter!$A$6:$A$205,0)),"Pers.-Nr. unbekannt",IF(D331="","Von fehlt",IF(AND(C331&lt;&gt;Einstellungen!$C$4,C331&lt;&gt;Einstellungen!$C$5),"Objekt fehlt",IF(J331&lt;D331,"Bis vor Von",IF(D331&lt;INDEX(Mitarbeiter!$C$6:$C$205,MATCH($A331,Mitarbeiter!$A$6:$A$205,0)),"vor Eintritt",IF(AND(INDEX(Mitarbeiter!$D$6:$D$205,MATCH($A331,Mitarbeiter!$A$6:$A$205,0))&lt;&gt;"",D331&gt;INDEX(Mitarbeiter!$D$6:$D$205,MATCH($A331,Mitarbeiter!$A$6:$A$205,0))),"nach Austritt",IF(E331="","offen","ok"))))))))</f>
        <v/>
      </c>
      <c r="J331" s="47">
        <f>IF(A331="","",IF(E331="",Einstellungen!$C$9,E331))</f>
        <v/>
      </c>
      <c r="K331" s="48">
        <f>IF(A331="",0,IFERROR(INDEX(Mitarbeiter!$F$6:$F$205,MATCH($A331,Mitarbeiter!$A$6:$A$205,0)),0))</f>
        <v/>
      </c>
      <c r="L331" s="49">
        <f>IF(OR(A331="",D331=""),0,MAX(0,NETWORKDAYS(MAX(D331,DATE(Einstellungen!$C$3,1,1)),MIN(J331,DATE(Einstellungen!$C$3,2,0)),Einstellungen!$F$13:$F$32)))</f>
        <v/>
      </c>
      <c r="M331" s="49">
        <f>IF(OR(A331="",D331=""),0,MAX(0,NETWORKDAYS(MAX(D331,DATE(Einstellungen!$C$3,2,1)),MIN(J331,DATE(Einstellungen!$C$3,3,0)),Einstellungen!$F$13:$F$32)))</f>
        <v/>
      </c>
      <c r="N331" s="49">
        <f>IF(OR(A331="",D331=""),0,MAX(0,NETWORKDAYS(MAX(D331,DATE(Einstellungen!$C$3,3,1)),MIN(J331,DATE(Einstellungen!$C$3,4,0)),Einstellungen!$F$13:$F$32)))</f>
        <v/>
      </c>
      <c r="O331" s="49">
        <f>IF(OR(A331="",D331=""),0,MAX(0,NETWORKDAYS(MAX(D331,DATE(Einstellungen!$C$3,4,1)),MIN(J331,DATE(Einstellungen!$C$3,5,0)),Einstellungen!$F$13:$F$32)))</f>
        <v/>
      </c>
      <c r="P331" s="49">
        <f>IF(OR(A331="",D331=""),0,MAX(0,NETWORKDAYS(MAX(D331,DATE(Einstellungen!$C$3,5,1)),MIN(J331,DATE(Einstellungen!$C$3,6,0)),Einstellungen!$F$13:$F$32)))</f>
        <v/>
      </c>
      <c r="Q331" s="49">
        <f>IF(OR(A331="",D331=""),0,MAX(0,NETWORKDAYS(MAX(D331,DATE(Einstellungen!$C$3,6,1)),MIN(J331,DATE(Einstellungen!$C$3,7,0)),Einstellungen!$F$13:$F$32)))</f>
        <v/>
      </c>
      <c r="R331" s="49">
        <f>IF(OR(A331="",D331=""),0,MAX(0,NETWORKDAYS(MAX(D331,DATE(Einstellungen!$C$3,7,1)),MIN(J331,DATE(Einstellungen!$C$3,8,0)),Einstellungen!$F$13:$F$32)))</f>
        <v/>
      </c>
      <c r="S331" s="49">
        <f>IF(OR(A331="",D331=""),0,MAX(0,NETWORKDAYS(MAX(D331,DATE(Einstellungen!$C$3,8,1)),MIN(J331,DATE(Einstellungen!$C$3,9,0)),Einstellungen!$F$13:$F$32)))</f>
        <v/>
      </c>
      <c r="T331" s="49">
        <f>IF(OR(A331="",D331=""),0,MAX(0,NETWORKDAYS(MAX(D331,DATE(Einstellungen!$C$3,9,1)),MIN(J331,DATE(Einstellungen!$C$3,10,0)),Einstellungen!$F$13:$F$32)))</f>
        <v/>
      </c>
      <c r="U331" s="49">
        <f>IF(OR(A331="",D331=""),0,MAX(0,NETWORKDAYS(MAX(D331,DATE(Einstellungen!$C$3,10,1)),MIN(J331,DATE(Einstellungen!$C$3,11,0)),Einstellungen!$F$13:$F$32)))</f>
        <v/>
      </c>
      <c r="V331" s="49">
        <f>IF(OR(A331="",D331=""),0,MAX(0,NETWORKDAYS(MAX(D331,DATE(Einstellungen!$C$3,11,1)),MIN(J331,DATE(Einstellungen!$C$3,12,0)),Einstellungen!$F$13:$F$32)))</f>
        <v/>
      </c>
      <c r="W331" s="49">
        <f>IF(OR(A331="",D331=""),0,MAX(0,NETWORKDAYS(MAX(D331,DATE(Einstellungen!$C$3,12,1)),MIN(J331,DATE(Einstellungen!$C$3,13,0)),Einstellungen!$F$13:$F$32)))</f>
        <v/>
      </c>
      <c r="X331" s="50">
        <f>L331*K331</f>
        <v/>
      </c>
      <c r="Y331" s="50">
        <f>M331*K331</f>
        <v/>
      </c>
      <c r="Z331" s="50">
        <f>N331*K331</f>
        <v/>
      </c>
      <c r="AA331" s="50">
        <f>O331*K331</f>
        <v/>
      </c>
      <c r="AB331" s="50">
        <f>P331*K331</f>
        <v/>
      </c>
      <c r="AC331" s="50">
        <f>Q331*K331</f>
        <v/>
      </c>
      <c r="AD331" s="50">
        <f>R331*K331</f>
        <v/>
      </c>
      <c r="AE331" s="50">
        <f>S331*K331</f>
        <v/>
      </c>
      <c r="AF331" s="50">
        <f>T331*K331</f>
        <v/>
      </c>
      <c r="AG331" s="50">
        <f>U331*K331</f>
        <v/>
      </c>
      <c r="AH331" s="50">
        <f>V331*K331</f>
        <v/>
      </c>
      <c r="AI331" s="50">
        <f>W331*K331</f>
        <v/>
      </c>
    </row>
    <row r="332">
      <c r="A332" s="25" t="n"/>
      <c r="B332" s="45">
        <f>IF(A332="","",IFERROR(INDEX(Mitarbeiter!$B$6:$B$205,MATCH($A332,Mitarbeiter!$A$6:$A$205,0)),"?"))</f>
        <v/>
      </c>
      <c r="C332" s="46" t="n"/>
      <c r="D332" s="26" t="n"/>
      <c r="E332" s="26" t="n"/>
      <c r="F332" s="24">
        <f>IF(A332="","",SUM(L332:W332))</f>
        <v/>
      </c>
      <c r="G332" s="36">
        <f>IF(A332="","",SUM(X332:AI332))</f>
        <v/>
      </c>
      <c r="H332" s="8">
        <f>IF(A332="","",IF(ISNA(MATCH(A332,Mitarbeiter!$A$6:$A$205,0)),"Pers.-Nr. unbekannt",IF(D332="","Von fehlt",IF(AND(C332&lt;&gt;Einstellungen!$C$4,C332&lt;&gt;Einstellungen!$C$5),"Objekt fehlt",IF(J332&lt;D332,"Bis vor Von",IF(D332&lt;INDEX(Mitarbeiter!$C$6:$C$205,MATCH($A332,Mitarbeiter!$A$6:$A$205,0)),"vor Eintritt",IF(AND(INDEX(Mitarbeiter!$D$6:$D$205,MATCH($A332,Mitarbeiter!$A$6:$A$205,0))&lt;&gt;"",D332&gt;INDEX(Mitarbeiter!$D$6:$D$205,MATCH($A332,Mitarbeiter!$A$6:$A$205,0))),"nach Austritt",IF(E332="","offen","ok"))))))))</f>
        <v/>
      </c>
      <c r="J332" s="47">
        <f>IF(A332="","",IF(E332="",Einstellungen!$C$9,E332))</f>
        <v/>
      </c>
      <c r="K332" s="48">
        <f>IF(A332="",0,IFERROR(INDEX(Mitarbeiter!$F$6:$F$205,MATCH($A332,Mitarbeiter!$A$6:$A$205,0)),0))</f>
        <v/>
      </c>
      <c r="L332" s="49">
        <f>IF(OR(A332="",D332=""),0,MAX(0,NETWORKDAYS(MAX(D332,DATE(Einstellungen!$C$3,1,1)),MIN(J332,DATE(Einstellungen!$C$3,2,0)),Einstellungen!$F$13:$F$32)))</f>
        <v/>
      </c>
      <c r="M332" s="49">
        <f>IF(OR(A332="",D332=""),0,MAX(0,NETWORKDAYS(MAX(D332,DATE(Einstellungen!$C$3,2,1)),MIN(J332,DATE(Einstellungen!$C$3,3,0)),Einstellungen!$F$13:$F$32)))</f>
        <v/>
      </c>
      <c r="N332" s="49">
        <f>IF(OR(A332="",D332=""),0,MAX(0,NETWORKDAYS(MAX(D332,DATE(Einstellungen!$C$3,3,1)),MIN(J332,DATE(Einstellungen!$C$3,4,0)),Einstellungen!$F$13:$F$32)))</f>
        <v/>
      </c>
      <c r="O332" s="49">
        <f>IF(OR(A332="",D332=""),0,MAX(0,NETWORKDAYS(MAX(D332,DATE(Einstellungen!$C$3,4,1)),MIN(J332,DATE(Einstellungen!$C$3,5,0)),Einstellungen!$F$13:$F$32)))</f>
        <v/>
      </c>
      <c r="P332" s="49">
        <f>IF(OR(A332="",D332=""),0,MAX(0,NETWORKDAYS(MAX(D332,DATE(Einstellungen!$C$3,5,1)),MIN(J332,DATE(Einstellungen!$C$3,6,0)),Einstellungen!$F$13:$F$32)))</f>
        <v/>
      </c>
      <c r="Q332" s="49">
        <f>IF(OR(A332="",D332=""),0,MAX(0,NETWORKDAYS(MAX(D332,DATE(Einstellungen!$C$3,6,1)),MIN(J332,DATE(Einstellungen!$C$3,7,0)),Einstellungen!$F$13:$F$32)))</f>
        <v/>
      </c>
      <c r="R332" s="49">
        <f>IF(OR(A332="",D332=""),0,MAX(0,NETWORKDAYS(MAX(D332,DATE(Einstellungen!$C$3,7,1)),MIN(J332,DATE(Einstellungen!$C$3,8,0)),Einstellungen!$F$13:$F$32)))</f>
        <v/>
      </c>
      <c r="S332" s="49">
        <f>IF(OR(A332="",D332=""),0,MAX(0,NETWORKDAYS(MAX(D332,DATE(Einstellungen!$C$3,8,1)),MIN(J332,DATE(Einstellungen!$C$3,9,0)),Einstellungen!$F$13:$F$32)))</f>
        <v/>
      </c>
      <c r="T332" s="49">
        <f>IF(OR(A332="",D332=""),0,MAX(0,NETWORKDAYS(MAX(D332,DATE(Einstellungen!$C$3,9,1)),MIN(J332,DATE(Einstellungen!$C$3,10,0)),Einstellungen!$F$13:$F$32)))</f>
        <v/>
      </c>
      <c r="U332" s="49">
        <f>IF(OR(A332="",D332=""),0,MAX(0,NETWORKDAYS(MAX(D332,DATE(Einstellungen!$C$3,10,1)),MIN(J332,DATE(Einstellungen!$C$3,11,0)),Einstellungen!$F$13:$F$32)))</f>
        <v/>
      </c>
      <c r="V332" s="49">
        <f>IF(OR(A332="",D332=""),0,MAX(0,NETWORKDAYS(MAX(D332,DATE(Einstellungen!$C$3,11,1)),MIN(J332,DATE(Einstellungen!$C$3,12,0)),Einstellungen!$F$13:$F$32)))</f>
        <v/>
      </c>
      <c r="W332" s="49">
        <f>IF(OR(A332="",D332=""),0,MAX(0,NETWORKDAYS(MAX(D332,DATE(Einstellungen!$C$3,12,1)),MIN(J332,DATE(Einstellungen!$C$3,13,0)),Einstellungen!$F$13:$F$32)))</f>
        <v/>
      </c>
      <c r="X332" s="50">
        <f>L332*K332</f>
        <v/>
      </c>
      <c r="Y332" s="50">
        <f>M332*K332</f>
        <v/>
      </c>
      <c r="Z332" s="50">
        <f>N332*K332</f>
        <v/>
      </c>
      <c r="AA332" s="50">
        <f>O332*K332</f>
        <v/>
      </c>
      <c r="AB332" s="50">
        <f>P332*K332</f>
        <v/>
      </c>
      <c r="AC332" s="50">
        <f>Q332*K332</f>
        <v/>
      </c>
      <c r="AD332" s="50">
        <f>R332*K332</f>
        <v/>
      </c>
      <c r="AE332" s="50">
        <f>S332*K332</f>
        <v/>
      </c>
      <c r="AF332" s="50">
        <f>T332*K332</f>
        <v/>
      </c>
      <c r="AG332" s="50">
        <f>U332*K332</f>
        <v/>
      </c>
      <c r="AH332" s="50">
        <f>V332*K332</f>
        <v/>
      </c>
      <c r="AI332" s="50">
        <f>W332*K332</f>
        <v/>
      </c>
    </row>
    <row r="333">
      <c r="A333" s="25" t="n"/>
      <c r="B333" s="45">
        <f>IF(A333="","",IFERROR(INDEX(Mitarbeiter!$B$6:$B$205,MATCH($A333,Mitarbeiter!$A$6:$A$205,0)),"?"))</f>
        <v/>
      </c>
      <c r="C333" s="46" t="n"/>
      <c r="D333" s="26" t="n"/>
      <c r="E333" s="26" t="n"/>
      <c r="F333" s="24">
        <f>IF(A333="","",SUM(L333:W333))</f>
        <v/>
      </c>
      <c r="G333" s="36">
        <f>IF(A333="","",SUM(X333:AI333))</f>
        <v/>
      </c>
      <c r="H333" s="8">
        <f>IF(A333="","",IF(ISNA(MATCH(A333,Mitarbeiter!$A$6:$A$205,0)),"Pers.-Nr. unbekannt",IF(D333="","Von fehlt",IF(AND(C333&lt;&gt;Einstellungen!$C$4,C333&lt;&gt;Einstellungen!$C$5),"Objekt fehlt",IF(J333&lt;D333,"Bis vor Von",IF(D333&lt;INDEX(Mitarbeiter!$C$6:$C$205,MATCH($A333,Mitarbeiter!$A$6:$A$205,0)),"vor Eintritt",IF(AND(INDEX(Mitarbeiter!$D$6:$D$205,MATCH($A333,Mitarbeiter!$A$6:$A$205,0))&lt;&gt;"",D333&gt;INDEX(Mitarbeiter!$D$6:$D$205,MATCH($A333,Mitarbeiter!$A$6:$A$205,0))),"nach Austritt",IF(E333="","offen","ok"))))))))</f>
        <v/>
      </c>
      <c r="J333" s="47">
        <f>IF(A333="","",IF(E333="",Einstellungen!$C$9,E333))</f>
        <v/>
      </c>
      <c r="K333" s="48">
        <f>IF(A333="",0,IFERROR(INDEX(Mitarbeiter!$F$6:$F$205,MATCH($A333,Mitarbeiter!$A$6:$A$205,0)),0))</f>
        <v/>
      </c>
      <c r="L333" s="49">
        <f>IF(OR(A333="",D333=""),0,MAX(0,NETWORKDAYS(MAX(D333,DATE(Einstellungen!$C$3,1,1)),MIN(J333,DATE(Einstellungen!$C$3,2,0)),Einstellungen!$F$13:$F$32)))</f>
        <v/>
      </c>
      <c r="M333" s="49">
        <f>IF(OR(A333="",D333=""),0,MAX(0,NETWORKDAYS(MAX(D333,DATE(Einstellungen!$C$3,2,1)),MIN(J333,DATE(Einstellungen!$C$3,3,0)),Einstellungen!$F$13:$F$32)))</f>
        <v/>
      </c>
      <c r="N333" s="49">
        <f>IF(OR(A333="",D333=""),0,MAX(0,NETWORKDAYS(MAX(D333,DATE(Einstellungen!$C$3,3,1)),MIN(J333,DATE(Einstellungen!$C$3,4,0)),Einstellungen!$F$13:$F$32)))</f>
        <v/>
      </c>
      <c r="O333" s="49">
        <f>IF(OR(A333="",D333=""),0,MAX(0,NETWORKDAYS(MAX(D333,DATE(Einstellungen!$C$3,4,1)),MIN(J333,DATE(Einstellungen!$C$3,5,0)),Einstellungen!$F$13:$F$32)))</f>
        <v/>
      </c>
      <c r="P333" s="49">
        <f>IF(OR(A333="",D333=""),0,MAX(0,NETWORKDAYS(MAX(D333,DATE(Einstellungen!$C$3,5,1)),MIN(J333,DATE(Einstellungen!$C$3,6,0)),Einstellungen!$F$13:$F$32)))</f>
        <v/>
      </c>
      <c r="Q333" s="49">
        <f>IF(OR(A333="",D333=""),0,MAX(0,NETWORKDAYS(MAX(D333,DATE(Einstellungen!$C$3,6,1)),MIN(J333,DATE(Einstellungen!$C$3,7,0)),Einstellungen!$F$13:$F$32)))</f>
        <v/>
      </c>
      <c r="R333" s="49">
        <f>IF(OR(A333="",D333=""),0,MAX(0,NETWORKDAYS(MAX(D333,DATE(Einstellungen!$C$3,7,1)),MIN(J333,DATE(Einstellungen!$C$3,8,0)),Einstellungen!$F$13:$F$32)))</f>
        <v/>
      </c>
      <c r="S333" s="49">
        <f>IF(OR(A333="",D333=""),0,MAX(0,NETWORKDAYS(MAX(D333,DATE(Einstellungen!$C$3,8,1)),MIN(J333,DATE(Einstellungen!$C$3,9,0)),Einstellungen!$F$13:$F$32)))</f>
        <v/>
      </c>
      <c r="T333" s="49">
        <f>IF(OR(A333="",D333=""),0,MAX(0,NETWORKDAYS(MAX(D333,DATE(Einstellungen!$C$3,9,1)),MIN(J333,DATE(Einstellungen!$C$3,10,0)),Einstellungen!$F$13:$F$32)))</f>
        <v/>
      </c>
      <c r="U333" s="49">
        <f>IF(OR(A333="",D333=""),0,MAX(0,NETWORKDAYS(MAX(D333,DATE(Einstellungen!$C$3,10,1)),MIN(J333,DATE(Einstellungen!$C$3,11,0)),Einstellungen!$F$13:$F$32)))</f>
        <v/>
      </c>
      <c r="V333" s="49">
        <f>IF(OR(A333="",D333=""),0,MAX(0,NETWORKDAYS(MAX(D333,DATE(Einstellungen!$C$3,11,1)),MIN(J333,DATE(Einstellungen!$C$3,12,0)),Einstellungen!$F$13:$F$32)))</f>
        <v/>
      </c>
      <c r="W333" s="49">
        <f>IF(OR(A333="",D333=""),0,MAX(0,NETWORKDAYS(MAX(D333,DATE(Einstellungen!$C$3,12,1)),MIN(J333,DATE(Einstellungen!$C$3,13,0)),Einstellungen!$F$13:$F$32)))</f>
        <v/>
      </c>
      <c r="X333" s="50">
        <f>L333*K333</f>
        <v/>
      </c>
      <c r="Y333" s="50">
        <f>M333*K333</f>
        <v/>
      </c>
      <c r="Z333" s="50">
        <f>N333*K333</f>
        <v/>
      </c>
      <c r="AA333" s="50">
        <f>O333*K333</f>
        <v/>
      </c>
      <c r="AB333" s="50">
        <f>P333*K333</f>
        <v/>
      </c>
      <c r="AC333" s="50">
        <f>Q333*K333</f>
        <v/>
      </c>
      <c r="AD333" s="50">
        <f>R333*K333</f>
        <v/>
      </c>
      <c r="AE333" s="50">
        <f>S333*K333</f>
        <v/>
      </c>
      <c r="AF333" s="50">
        <f>T333*K333</f>
        <v/>
      </c>
      <c r="AG333" s="50">
        <f>U333*K333</f>
        <v/>
      </c>
      <c r="AH333" s="50">
        <f>V333*K333</f>
        <v/>
      </c>
      <c r="AI333" s="50">
        <f>W333*K333</f>
        <v/>
      </c>
    </row>
    <row r="334">
      <c r="A334" s="25" t="n"/>
      <c r="B334" s="45">
        <f>IF(A334="","",IFERROR(INDEX(Mitarbeiter!$B$6:$B$205,MATCH($A334,Mitarbeiter!$A$6:$A$205,0)),"?"))</f>
        <v/>
      </c>
      <c r="C334" s="46" t="n"/>
      <c r="D334" s="26" t="n"/>
      <c r="E334" s="26" t="n"/>
      <c r="F334" s="24">
        <f>IF(A334="","",SUM(L334:W334))</f>
        <v/>
      </c>
      <c r="G334" s="36">
        <f>IF(A334="","",SUM(X334:AI334))</f>
        <v/>
      </c>
      <c r="H334" s="8">
        <f>IF(A334="","",IF(ISNA(MATCH(A334,Mitarbeiter!$A$6:$A$205,0)),"Pers.-Nr. unbekannt",IF(D334="","Von fehlt",IF(AND(C334&lt;&gt;Einstellungen!$C$4,C334&lt;&gt;Einstellungen!$C$5),"Objekt fehlt",IF(J334&lt;D334,"Bis vor Von",IF(D334&lt;INDEX(Mitarbeiter!$C$6:$C$205,MATCH($A334,Mitarbeiter!$A$6:$A$205,0)),"vor Eintritt",IF(AND(INDEX(Mitarbeiter!$D$6:$D$205,MATCH($A334,Mitarbeiter!$A$6:$A$205,0))&lt;&gt;"",D334&gt;INDEX(Mitarbeiter!$D$6:$D$205,MATCH($A334,Mitarbeiter!$A$6:$A$205,0))),"nach Austritt",IF(E334="","offen","ok"))))))))</f>
        <v/>
      </c>
      <c r="J334" s="47">
        <f>IF(A334="","",IF(E334="",Einstellungen!$C$9,E334))</f>
        <v/>
      </c>
      <c r="K334" s="48">
        <f>IF(A334="",0,IFERROR(INDEX(Mitarbeiter!$F$6:$F$205,MATCH($A334,Mitarbeiter!$A$6:$A$205,0)),0))</f>
        <v/>
      </c>
      <c r="L334" s="49">
        <f>IF(OR(A334="",D334=""),0,MAX(0,NETWORKDAYS(MAX(D334,DATE(Einstellungen!$C$3,1,1)),MIN(J334,DATE(Einstellungen!$C$3,2,0)),Einstellungen!$F$13:$F$32)))</f>
        <v/>
      </c>
      <c r="M334" s="49">
        <f>IF(OR(A334="",D334=""),0,MAX(0,NETWORKDAYS(MAX(D334,DATE(Einstellungen!$C$3,2,1)),MIN(J334,DATE(Einstellungen!$C$3,3,0)),Einstellungen!$F$13:$F$32)))</f>
        <v/>
      </c>
      <c r="N334" s="49">
        <f>IF(OR(A334="",D334=""),0,MAX(0,NETWORKDAYS(MAX(D334,DATE(Einstellungen!$C$3,3,1)),MIN(J334,DATE(Einstellungen!$C$3,4,0)),Einstellungen!$F$13:$F$32)))</f>
        <v/>
      </c>
      <c r="O334" s="49">
        <f>IF(OR(A334="",D334=""),0,MAX(0,NETWORKDAYS(MAX(D334,DATE(Einstellungen!$C$3,4,1)),MIN(J334,DATE(Einstellungen!$C$3,5,0)),Einstellungen!$F$13:$F$32)))</f>
        <v/>
      </c>
      <c r="P334" s="49">
        <f>IF(OR(A334="",D334=""),0,MAX(0,NETWORKDAYS(MAX(D334,DATE(Einstellungen!$C$3,5,1)),MIN(J334,DATE(Einstellungen!$C$3,6,0)),Einstellungen!$F$13:$F$32)))</f>
        <v/>
      </c>
      <c r="Q334" s="49">
        <f>IF(OR(A334="",D334=""),0,MAX(0,NETWORKDAYS(MAX(D334,DATE(Einstellungen!$C$3,6,1)),MIN(J334,DATE(Einstellungen!$C$3,7,0)),Einstellungen!$F$13:$F$32)))</f>
        <v/>
      </c>
      <c r="R334" s="49">
        <f>IF(OR(A334="",D334=""),0,MAX(0,NETWORKDAYS(MAX(D334,DATE(Einstellungen!$C$3,7,1)),MIN(J334,DATE(Einstellungen!$C$3,8,0)),Einstellungen!$F$13:$F$32)))</f>
        <v/>
      </c>
      <c r="S334" s="49">
        <f>IF(OR(A334="",D334=""),0,MAX(0,NETWORKDAYS(MAX(D334,DATE(Einstellungen!$C$3,8,1)),MIN(J334,DATE(Einstellungen!$C$3,9,0)),Einstellungen!$F$13:$F$32)))</f>
        <v/>
      </c>
      <c r="T334" s="49">
        <f>IF(OR(A334="",D334=""),0,MAX(0,NETWORKDAYS(MAX(D334,DATE(Einstellungen!$C$3,9,1)),MIN(J334,DATE(Einstellungen!$C$3,10,0)),Einstellungen!$F$13:$F$32)))</f>
        <v/>
      </c>
      <c r="U334" s="49">
        <f>IF(OR(A334="",D334=""),0,MAX(0,NETWORKDAYS(MAX(D334,DATE(Einstellungen!$C$3,10,1)),MIN(J334,DATE(Einstellungen!$C$3,11,0)),Einstellungen!$F$13:$F$32)))</f>
        <v/>
      </c>
      <c r="V334" s="49">
        <f>IF(OR(A334="",D334=""),0,MAX(0,NETWORKDAYS(MAX(D334,DATE(Einstellungen!$C$3,11,1)),MIN(J334,DATE(Einstellungen!$C$3,12,0)),Einstellungen!$F$13:$F$32)))</f>
        <v/>
      </c>
      <c r="W334" s="49">
        <f>IF(OR(A334="",D334=""),0,MAX(0,NETWORKDAYS(MAX(D334,DATE(Einstellungen!$C$3,12,1)),MIN(J334,DATE(Einstellungen!$C$3,13,0)),Einstellungen!$F$13:$F$32)))</f>
        <v/>
      </c>
      <c r="X334" s="50">
        <f>L334*K334</f>
        <v/>
      </c>
      <c r="Y334" s="50">
        <f>M334*K334</f>
        <v/>
      </c>
      <c r="Z334" s="50">
        <f>N334*K334</f>
        <v/>
      </c>
      <c r="AA334" s="50">
        <f>O334*K334</f>
        <v/>
      </c>
      <c r="AB334" s="50">
        <f>P334*K334</f>
        <v/>
      </c>
      <c r="AC334" s="50">
        <f>Q334*K334</f>
        <v/>
      </c>
      <c r="AD334" s="50">
        <f>R334*K334</f>
        <v/>
      </c>
      <c r="AE334" s="50">
        <f>S334*K334</f>
        <v/>
      </c>
      <c r="AF334" s="50">
        <f>T334*K334</f>
        <v/>
      </c>
      <c r="AG334" s="50">
        <f>U334*K334</f>
        <v/>
      </c>
      <c r="AH334" s="50">
        <f>V334*K334</f>
        <v/>
      </c>
      <c r="AI334" s="50">
        <f>W334*K334</f>
        <v/>
      </c>
    </row>
    <row r="335">
      <c r="A335" s="25" t="n"/>
      <c r="B335" s="45">
        <f>IF(A335="","",IFERROR(INDEX(Mitarbeiter!$B$6:$B$205,MATCH($A335,Mitarbeiter!$A$6:$A$205,0)),"?"))</f>
        <v/>
      </c>
      <c r="C335" s="46" t="n"/>
      <c r="D335" s="26" t="n"/>
      <c r="E335" s="26" t="n"/>
      <c r="F335" s="24">
        <f>IF(A335="","",SUM(L335:W335))</f>
        <v/>
      </c>
      <c r="G335" s="36">
        <f>IF(A335="","",SUM(X335:AI335))</f>
        <v/>
      </c>
      <c r="H335" s="8">
        <f>IF(A335="","",IF(ISNA(MATCH(A335,Mitarbeiter!$A$6:$A$205,0)),"Pers.-Nr. unbekannt",IF(D335="","Von fehlt",IF(AND(C335&lt;&gt;Einstellungen!$C$4,C335&lt;&gt;Einstellungen!$C$5),"Objekt fehlt",IF(J335&lt;D335,"Bis vor Von",IF(D335&lt;INDEX(Mitarbeiter!$C$6:$C$205,MATCH($A335,Mitarbeiter!$A$6:$A$205,0)),"vor Eintritt",IF(AND(INDEX(Mitarbeiter!$D$6:$D$205,MATCH($A335,Mitarbeiter!$A$6:$A$205,0))&lt;&gt;"",D335&gt;INDEX(Mitarbeiter!$D$6:$D$205,MATCH($A335,Mitarbeiter!$A$6:$A$205,0))),"nach Austritt",IF(E335="","offen","ok"))))))))</f>
        <v/>
      </c>
      <c r="J335" s="47">
        <f>IF(A335="","",IF(E335="",Einstellungen!$C$9,E335))</f>
        <v/>
      </c>
      <c r="K335" s="48">
        <f>IF(A335="",0,IFERROR(INDEX(Mitarbeiter!$F$6:$F$205,MATCH($A335,Mitarbeiter!$A$6:$A$205,0)),0))</f>
        <v/>
      </c>
      <c r="L335" s="49">
        <f>IF(OR(A335="",D335=""),0,MAX(0,NETWORKDAYS(MAX(D335,DATE(Einstellungen!$C$3,1,1)),MIN(J335,DATE(Einstellungen!$C$3,2,0)),Einstellungen!$F$13:$F$32)))</f>
        <v/>
      </c>
      <c r="M335" s="49">
        <f>IF(OR(A335="",D335=""),0,MAX(0,NETWORKDAYS(MAX(D335,DATE(Einstellungen!$C$3,2,1)),MIN(J335,DATE(Einstellungen!$C$3,3,0)),Einstellungen!$F$13:$F$32)))</f>
        <v/>
      </c>
      <c r="N335" s="49">
        <f>IF(OR(A335="",D335=""),0,MAX(0,NETWORKDAYS(MAX(D335,DATE(Einstellungen!$C$3,3,1)),MIN(J335,DATE(Einstellungen!$C$3,4,0)),Einstellungen!$F$13:$F$32)))</f>
        <v/>
      </c>
      <c r="O335" s="49">
        <f>IF(OR(A335="",D335=""),0,MAX(0,NETWORKDAYS(MAX(D335,DATE(Einstellungen!$C$3,4,1)),MIN(J335,DATE(Einstellungen!$C$3,5,0)),Einstellungen!$F$13:$F$32)))</f>
        <v/>
      </c>
      <c r="P335" s="49">
        <f>IF(OR(A335="",D335=""),0,MAX(0,NETWORKDAYS(MAX(D335,DATE(Einstellungen!$C$3,5,1)),MIN(J335,DATE(Einstellungen!$C$3,6,0)),Einstellungen!$F$13:$F$32)))</f>
        <v/>
      </c>
      <c r="Q335" s="49">
        <f>IF(OR(A335="",D335=""),0,MAX(0,NETWORKDAYS(MAX(D335,DATE(Einstellungen!$C$3,6,1)),MIN(J335,DATE(Einstellungen!$C$3,7,0)),Einstellungen!$F$13:$F$32)))</f>
        <v/>
      </c>
      <c r="R335" s="49">
        <f>IF(OR(A335="",D335=""),0,MAX(0,NETWORKDAYS(MAX(D335,DATE(Einstellungen!$C$3,7,1)),MIN(J335,DATE(Einstellungen!$C$3,8,0)),Einstellungen!$F$13:$F$32)))</f>
        <v/>
      </c>
      <c r="S335" s="49">
        <f>IF(OR(A335="",D335=""),0,MAX(0,NETWORKDAYS(MAX(D335,DATE(Einstellungen!$C$3,8,1)),MIN(J335,DATE(Einstellungen!$C$3,9,0)),Einstellungen!$F$13:$F$32)))</f>
        <v/>
      </c>
      <c r="T335" s="49">
        <f>IF(OR(A335="",D335=""),0,MAX(0,NETWORKDAYS(MAX(D335,DATE(Einstellungen!$C$3,9,1)),MIN(J335,DATE(Einstellungen!$C$3,10,0)),Einstellungen!$F$13:$F$32)))</f>
        <v/>
      </c>
      <c r="U335" s="49">
        <f>IF(OR(A335="",D335=""),0,MAX(0,NETWORKDAYS(MAX(D335,DATE(Einstellungen!$C$3,10,1)),MIN(J335,DATE(Einstellungen!$C$3,11,0)),Einstellungen!$F$13:$F$32)))</f>
        <v/>
      </c>
      <c r="V335" s="49">
        <f>IF(OR(A335="",D335=""),0,MAX(0,NETWORKDAYS(MAX(D335,DATE(Einstellungen!$C$3,11,1)),MIN(J335,DATE(Einstellungen!$C$3,12,0)),Einstellungen!$F$13:$F$32)))</f>
        <v/>
      </c>
      <c r="W335" s="49">
        <f>IF(OR(A335="",D335=""),0,MAX(0,NETWORKDAYS(MAX(D335,DATE(Einstellungen!$C$3,12,1)),MIN(J335,DATE(Einstellungen!$C$3,13,0)),Einstellungen!$F$13:$F$32)))</f>
        <v/>
      </c>
      <c r="X335" s="50">
        <f>L335*K335</f>
        <v/>
      </c>
      <c r="Y335" s="50">
        <f>M335*K335</f>
        <v/>
      </c>
      <c r="Z335" s="50">
        <f>N335*K335</f>
        <v/>
      </c>
      <c r="AA335" s="50">
        <f>O335*K335</f>
        <v/>
      </c>
      <c r="AB335" s="50">
        <f>P335*K335</f>
        <v/>
      </c>
      <c r="AC335" s="50">
        <f>Q335*K335</f>
        <v/>
      </c>
      <c r="AD335" s="50">
        <f>R335*K335</f>
        <v/>
      </c>
      <c r="AE335" s="50">
        <f>S335*K335</f>
        <v/>
      </c>
      <c r="AF335" s="50">
        <f>T335*K335</f>
        <v/>
      </c>
      <c r="AG335" s="50">
        <f>U335*K335</f>
        <v/>
      </c>
      <c r="AH335" s="50">
        <f>V335*K335</f>
        <v/>
      </c>
      <c r="AI335" s="50">
        <f>W335*K335</f>
        <v/>
      </c>
    </row>
    <row r="336">
      <c r="A336" s="25" t="n"/>
      <c r="B336" s="45">
        <f>IF(A336="","",IFERROR(INDEX(Mitarbeiter!$B$6:$B$205,MATCH($A336,Mitarbeiter!$A$6:$A$205,0)),"?"))</f>
        <v/>
      </c>
      <c r="C336" s="46" t="n"/>
      <c r="D336" s="26" t="n"/>
      <c r="E336" s="26" t="n"/>
      <c r="F336" s="24">
        <f>IF(A336="","",SUM(L336:W336))</f>
        <v/>
      </c>
      <c r="G336" s="36">
        <f>IF(A336="","",SUM(X336:AI336))</f>
        <v/>
      </c>
      <c r="H336" s="8">
        <f>IF(A336="","",IF(ISNA(MATCH(A336,Mitarbeiter!$A$6:$A$205,0)),"Pers.-Nr. unbekannt",IF(D336="","Von fehlt",IF(AND(C336&lt;&gt;Einstellungen!$C$4,C336&lt;&gt;Einstellungen!$C$5),"Objekt fehlt",IF(J336&lt;D336,"Bis vor Von",IF(D336&lt;INDEX(Mitarbeiter!$C$6:$C$205,MATCH($A336,Mitarbeiter!$A$6:$A$205,0)),"vor Eintritt",IF(AND(INDEX(Mitarbeiter!$D$6:$D$205,MATCH($A336,Mitarbeiter!$A$6:$A$205,0))&lt;&gt;"",D336&gt;INDEX(Mitarbeiter!$D$6:$D$205,MATCH($A336,Mitarbeiter!$A$6:$A$205,0))),"nach Austritt",IF(E336="","offen","ok"))))))))</f>
        <v/>
      </c>
      <c r="J336" s="47">
        <f>IF(A336="","",IF(E336="",Einstellungen!$C$9,E336))</f>
        <v/>
      </c>
      <c r="K336" s="48">
        <f>IF(A336="",0,IFERROR(INDEX(Mitarbeiter!$F$6:$F$205,MATCH($A336,Mitarbeiter!$A$6:$A$205,0)),0))</f>
        <v/>
      </c>
      <c r="L336" s="49">
        <f>IF(OR(A336="",D336=""),0,MAX(0,NETWORKDAYS(MAX(D336,DATE(Einstellungen!$C$3,1,1)),MIN(J336,DATE(Einstellungen!$C$3,2,0)),Einstellungen!$F$13:$F$32)))</f>
        <v/>
      </c>
      <c r="M336" s="49">
        <f>IF(OR(A336="",D336=""),0,MAX(0,NETWORKDAYS(MAX(D336,DATE(Einstellungen!$C$3,2,1)),MIN(J336,DATE(Einstellungen!$C$3,3,0)),Einstellungen!$F$13:$F$32)))</f>
        <v/>
      </c>
      <c r="N336" s="49">
        <f>IF(OR(A336="",D336=""),0,MAX(0,NETWORKDAYS(MAX(D336,DATE(Einstellungen!$C$3,3,1)),MIN(J336,DATE(Einstellungen!$C$3,4,0)),Einstellungen!$F$13:$F$32)))</f>
        <v/>
      </c>
      <c r="O336" s="49">
        <f>IF(OR(A336="",D336=""),0,MAX(0,NETWORKDAYS(MAX(D336,DATE(Einstellungen!$C$3,4,1)),MIN(J336,DATE(Einstellungen!$C$3,5,0)),Einstellungen!$F$13:$F$32)))</f>
        <v/>
      </c>
      <c r="P336" s="49">
        <f>IF(OR(A336="",D336=""),0,MAX(0,NETWORKDAYS(MAX(D336,DATE(Einstellungen!$C$3,5,1)),MIN(J336,DATE(Einstellungen!$C$3,6,0)),Einstellungen!$F$13:$F$32)))</f>
        <v/>
      </c>
      <c r="Q336" s="49">
        <f>IF(OR(A336="",D336=""),0,MAX(0,NETWORKDAYS(MAX(D336,DATE(Einstellungen!$C$3,6,1)),MIN(J336,DATE(Einstellungen!$C$3,7,0)),Einstellungen!$F$13:$F$32)))</f>
        <v/>
      </c>
      <c r="R336" s="49">
        <f>IF(OR(A336="",D336=""),0,MAX(0,NETWORKDAYS(MAX(D336,DATE(Einstellungen!$C$3,7,1)),MIN(J336,DATE(Einstellungen!$C$3,8,0)),Einstellungen!$F$13:$F$32)))</f>
        <v/>
      </c>
      <c r="S336" s="49">
        <f>IF(OR(A336="",D336=""),0,MAX(0,NETWORKDAYS(MAX(D336,DATE(Einstellungen!$C$3,8,1)),MIN(J336,DATE(Einstellungen!$C$3,9,0)),Einstellungen!$F$13:$F$32)))</f>
        <v/>
      </c>
      <c r="T336" s="49">
        <f>IF(OR(A336="",D336=""),0,MAX(0,NETWORKDAYS(MAX(D336,DATE(Einstellungen!$C$3,9,1)),MIN(J336,DATE(Einstellungen!$C$3,10,0)),Einstellungen!$F$13:$F$32)))</f>
        <v/>
      </c>
      <c r="U336" s="49">
        <f>IF(OR(A336="",D336=""),0,MAX(0,NETWORKDAYS(MAX(D336,DATE(Einstellungen!$C$3,10,1)),MIN(J336,DATE(Einstellungen!$C$3,11,0)),Einstellungen!$F$13:$F$32)))</f>
        <v/>
      </c>
      <c r="V336" s="49">
        <f>IF(OR(A336="",D336=""),0,MAX(0,NETWORKDAYS(MAX(D336,DATE(Einstellungen!$C$3,11,1)),MIN(J336,DATE(Einstellungen!$C$3,12,0)),Einstellungen!$F$13:$F$32)))</f>
        <v/>
      </c>
      <c r="W336" s="49">
        <f>IF(OR(A336="",D336=""),0,MAX(0,NETWORKDAYS(MAX(D336,DATE(Einstellungen!$C$3,12,1)),MIN(J336,DATE(Einstellungen!$C$3,13,0)),Einstellungen!$F$13:$F$32)))</f>
        <v/>
      </c>
      <c r="X336" s="50">
        <f>L336*K336</f>
        <v/>
      </c>
      <c r="Y336" s="50">
        <f>M336*K336</f>
        <v/>
      </c>
      <c r="Z336" s="50">
        <f>N336*K336</f>
        <v/>
      </c>
      <c r="AA336" s="50">
        <f>O336*K336</f>
        <v/>
      </c>
      <c r="AB336" s="50">
        <f>P336*K336</f>
        <v/>
      </c>
      <c r="AC336" s="50">
        <f>Q336*K336</f>
        <v/>
      </c>
      <c r="AD336" s="50">
        <f>R336*K336</f>
        <v/>
      </c>
      <c r="AE336" s="50">
        <f>S336*K336</f>
        <v/>
      </c>
      <c r="AF336" s="50">
        <f>T336*K336</f>
        <v/>
      </c>
      <c r="AG336" s="50">
        <f>U336*K336</f>
        <v/>
      </c>
      <c r="AH336" s="50">
        <f>V336*K336</f>
        <v/>
      </c>
      <c r="AI336" s="50">
        <f>W336*K336</f>
        <v/>
      </c>
    </row>
    <row r="337">
      <c r="A337" s="25" t="n"/>
      <c r="B337" s="45">
        <f>IF(A337="","",IFERROR(INDEX(Mitarbeiter!$B$6:$B$205,MATCH($A337,Mitarbeiter!$A$6:$A$205,0)),"?"))</f>
        <v/>
      </c>
      <c r="C337" s="46" t="n"/>
      <c r="D337" s="26" t="n"/>
      <c r="E337" s="26" t="n"/>
      <c r="F337" s="24">
        <f>IF(A337="","",SUM(L337:W337))</f>
        <v/>
      </c>
      <c r="G337" s="36">
        <f>IF(A337="","",SUM(X337:AI337))</f>
        <v/>
      </c>
      <c r="H337" s="8">
        <f>IF(A337="","",IF(ISNA(MATCH(A337,Mitarbeiter!$A$6:$A$205,0)),"Pers.-Nr. unbekannt",IF(D337="","Von fehlt",IF(AND(C337&lt;&gt;Einstellungen!$C$4,C337&lt;&gt;Einstellungen!$C$5),"Objekt fehlt",IF(J337&lt;D337,"Bis vor Von",IF(D337&lt;INDEX(Mitarbeiter!$C$6:$C$205,MATCH($A337,Mitarbeiter!$A$6:$A$205,0)),"vor Eintritt",IF(AND(INDEX(Mitarbeiter!$D$6:$D$205,MATCH($A337,Mitarbeiter!$A$6:$A$205,0))&lt;&gt;"",D337&gt;INDEX(Mitarbeiter!$D$6:$D$205,MATCH($A337,Mitarbeiter!$A$6:$A$205,0))),"nach Austritt",IF(E337="","offen","ok"))))))))</f>
        <v/>
      </c>
      <c r="J337" s="47">
        <f>IF(A337="","",IF(E337="",Einstellungen!$C$9,E337))</f>
        <v/>
      </c>
      <c r="K337" s="48">
        <f>IF(A337="",0,IFERROR(INDEX(Mitarbeiter!$F$6:$F$205,MATCH($A337,Mitarbeiter!$A$6:$A$205,0)),0))</f>
        <v/>
      </c>
      <c r="L337" s="49">
        <f>IF(OR(A337="",D337=""),0,MAX(0,NETWORKDAYS(MAX(D337,DATE(Einstellungen!$C$3,1,1)),MIN(J337,DATE(Einstellungen!$C$3,2,0)),Einstellungen!$F$13:$F$32)))</f>
        <v/>
      </c>
      <c r="M337" s="49">
        <f>IF(OR(A337="",D337=""),0,MAX(0,NETWORKDAYS(MAX(D337,DATE(Einstellungen!$C$3,2,1)),MIN(J337,DATE(Einstellungen!$C$3,3,0)),Einstellungen!$F$13:$F$32)))</f>
        <v/>
      </c>
      <c r="N337" s="49">
        <f>IF(OR(A337="",D337=""),0,MAX(0,NETWORKDAYS(MAX(D337,DATE(Einstellungen!$C$3,3,1)),MIN(J337,DATE(Einstellungen!$C$3,4,0)),Einstellungen!$F$13:$F$32)))</f>
        <v/>
      </c>
      <c r="O337" s="49">
        <f>IF(OR(A337="",D337=""),0,MAX(0,NETWORKDAYS(MAX(D337,DATE(Einstellungen!$C$3,4,1)),MIN(J337,DATE(Einstellungen!$C$3,5,0)),Einstellungen!$F$13:$F$32)))</f>
        <v/>
      </c>
      <c r="P337" s="49">
        <f>IF(OR(A337="",D337=""),0,MAX(0,NETWORKDAYS(MAX(D337,DATE(Einstellungen!$C$3,5,1)),MIN(J337,DATE(Einstellungen!$C$3,6,0)),Einstellungen!$F$13:$F$32)))</f>
        <v/>
      </c>
      <c r="Q337" s="49">
        <f>IF(OR(A337="",D337=""),0,MAX(0,NETWORKDAYS(MAX(D337,DATE(Einstellungen!$C$3,6,1)),MIN(J337,DATE(Einstellungen!$C$3,7,0)),Einstellungen!$F$13:$F$32)))</f>
        <v/>
      </c>
      <c r="R337" s="49">
        <f>IF(OR(A337="",D337=""),0,MAX(0,NETWORKDAYS(MAX(D337,DATE(Einstellungen!$C$3,7,1)),MIN(J337,DATE(Einstellungen!$C$3,8,0)),Einstellungen!$F$13:$F$32)))</f>
        <v/>
      </c>
      <c r="S337" s="49">
        <f>IF(OR(A337="",D337=""),0,MAX(0,NETWORKDAYS(MAX(D337,DATE(Einstellungen!$C$3,8,1)),MIN(J337,DATE(Einstellungen!$C$3,9,0)),Einstellungen!$F$13:$F$32)))</f>
        <v/>
      </c>
      <c r="T337" s="49">
        <f>IF(OR(A337="",D337=""),0,MAX(0,NETWORKDAYS(MAX(D337,DATE(Einstellungen!$C$3,9,1)),MIN(J337,DATE(Einstellungen!$C$3,10,0)),Einstellungen!$F$13:$F$32)))</f>
        <v/>
      </c>
      <c r="U337" s="49">
        <f>IF(OR(A337="",D337=""),0,MAX(0,NETWORKDAYS(MAX(D337,DATE(Einstellungen!$C$3,10,1)),MIN(J337,DATE(Einstellungen!$C$3,11,0)),Einstellungen!$F$13:$F$32)))</f>
        <v/>
      </c>
      <c r="V337" s="49">
        <f>IF(OR(A337="",D337=""),0,MAX(0,NETWORKDAYS(MAX(D337,DATE(Einstellungen!$C$3,11,1)),MIN(J337,DATE(Einstellungen!$C$3,12,0)),Einstellungen!$F$13:$F$32)))</f>
        <v/>
      </c>
      <c r="W337" s="49">
        <f>IF(OR(A337="",D337=""),0,MAX(0,NETWORKDAYS(MAX(D337,DATE(Einstellungen!$C$3,12,1)),MIN(J337,DATE(Einstellungen!$C$3,13,0)),Einstellungen!$F$13:$F$32)))</f>
        <v/>
      </c>
      <c r="X337" s="50">
        <f>L337*K337</f>
        <v/>
      </c>
      <c r="Y337" s="50">
        <f>M337*K337</f>
        <v/>
      </c>
      <c r="Z337" s="50">
        <f>N337*K337</f>
        <v/>
      </c>
      <c r="AA337" s="50">
        <f>O337*K337</f>
        <v/>
      </c>
      <c r="AB337" s="50">
        <f>P337*K337</f>
        <v/>
      </c>
      <c r="AC337" s="50">
        <f>Q337*K337</f>
        <v/>
      </c>
      <c r="AD337" s="50">
        <f>R337*K337</f>
        <v/>
      </c>
      <c r="AE337" s="50">
        <f>S337*K337</f>
        <v/>
      </c>
      <c r="AF337" s="50">
        <f>T337*K337</f>
        <v/>
      </c>
      <c r="AG337" s="50">
        <f>U337*K337</f>
        <v/>
      </c>
      <c r="AH337" s="50">
        <f>V337*K337</f>
        <v/>
      </c>
      <c r="AI337" s="50">
        <f>W337*K337</f>
        <v/>
      </c>
    </row>
    <row r="338">
      <c r="A338" s="25" t="n"/>
      <c r="B338" s="45">
        <f>IF(A338="","",IFERROR(INDEX(Mitarbeiter!$B$6:$B$205,MATCH($A338,Mitarbeiter!$A$6:$A$205,0)),"?"))</f>
        <v/>
      </c>
      <c r="C338" s="46" t="n"/>
      <c r="D338" s="26" t="n"/>
      <c r="E338" s="26" t="n"/>
      <c r="F338" s="24">
        <f>IF(A338="","",SUM(L338:W338))</f>
        <v/>
      </c>
      <c r="G338" s="36">
        <f>IF(A338="","",SUM(X338:AI338))</f>
        <v/>
      </c>
      <c r="H338" s="8">
        <f>IF(A338="","",IF(ISNA(MATCH(A338,Mitarbeiter!$A$6:$A$205,0)),"Pers.-Nr. unbekannt",IF(D338="","Von fehlt",IF(AND(C338&lt;&gt;Einstellungen!$C$4,C338&lt;&gt;Einstellungen!$C$5),"Objekt fehlt",IF(J338&lt;D338,"Bis vor Von",IF(D338&lt;INDEX(Mitarbeiter!$C$6:$C$205,MATCH($A338,Mitarbeiter!$A$6:$A$205,0)),"vor Eintritt",IF(AND(INDEX(Mitarbeiter!$D$6:$D$205,MATCH($A338,Mitarbeiter!$A$6:$A$205,0))&lt;&gt;"",D338&gt;INDEX(Mitarbeiter!$D$6:$D$205,MATCH($A338,Mitarbeiter!$A$6:$A$205,0))),"nach Austritt",IF(E338="","offen","ok"))))))))</f>
        <v/>
      </c>
      <c r="J338" s="47">
        <f>IF(A338="","",IF(E338="",Einstellungen!$C$9,E338))</f>
        <v/>
      </c>
      <c r="K338" s="48">
        <f>IF(A338="",0,IFERROR(INDEX(Mitarbeiter!$F$6:$F$205,MATCH($A338,Mitarbeiter!$A$6:$A$205,0)),0))</f>
        <v/>
      </c>
      <c r="L338" s="49">
        <f>IF(OR(A338="",D338=""),0,MAX(0,NETWORKDAYS(MAX(D338,DATE(Einstellungen!$C$3,1,1)),MIN(J338,DATE(Einstellungen!$C$3,2,0)),Einstellungen!$F$13:$F$32)))</f>
        <v/>
      </c>
      <c r="M338" s="49">
        <f>IF(OR(A338="",D338=""),0,MAX(0,NETWORKDAYS(MAX(D338,DATE(Einstellungen!$C$3,2,1)),MIN(J338,DATE(Einstellungen!$C$3,3,0)),Einstellungen!$F$13:$F$32)))</f>
        <v/>
      </c>
      <c r="N338" s="49">
        <f>IF(OR(A338="",D338=""),0,MAX(0,NETWORKDAYS(MAX(D338,DATE(Einstellungen!$C$3,3,1)),MIN(J338,DATE(Einstellungen!$C$3,4,0)),Einstellungen!$F$13:$F$32)))</f>
        <v/>
      </c>
      <c r="O338" s="49">
        <f>IF(OR(A338="",D338=""),0,MAX(0,NETWORKDAYS(MAX(D338,DATE(Einstellungen!$C$3,4,1)),MIN(J338,DATE(Einstellungen!$C$3,5,0)),Einstellungen!$F$13:$F$32)))</f>
        <v/>
      </c>
      <c r="P338" s="49">
        <f>IF(OR(A338="",D338=""),0,MAX(0,NETWORKDAYS(MAX(D338,DATE(Einstellungen!$C$3,5,1)),MIN(J338,DATE(Einstellungen!$C$3,6,0)),Einstellungen!$F$13:$F$32)))</f>
        <v/>
      </c>
      <c r="Q338" s="49">
        <f>IF(OR(A338="",D338=""),0,MAX(0,NETWORKDAYS(MAX(D338,DATE(Einstellungen!$C$3,6,1)),MIN(J338,DATE(Einstellungen!$C$3,7,0)),Einstellungen!$F$13:$F$32)))</f>
        <v/>
      </c>
      <c r="R338" s="49">
        <f>IF(OR(A338="",D338=""),0,MAX(0,NETWORKDAYS(MAX(D338,DATE(Einstellungen!$C$3,7,1)),MIN(J338,DATE(Einstellungen!$C$3,8,0)),Einstellungen!$F$13:$F$32)))</f>
        <v/>
      </c>
      <c r="S338" s="49">
        <f>IF(OR(A338="",D338=""),0,MAX(0,NETWORKDAYS(MAX(D338,DATE(Einstellungen!$C$3,8,1)),MIN(J338,DATE(Einstellungen!$C$3,9,0)),Einstellungen!$F$13:$F$32)))</f>
        <v/>
      </c>
      <c r="T338" s="49">
        <f>IF(OR(A338="",D338=""),0,MAX(0,NETWORKDAYS(MAX(D338,DATE(Einstellungen!$C$3,9,1)),MIN(J338,DATE(Einstellungen!$C$3,10,0)),Einstellungen!$F$13:$F$32)))</f>
        <v/>
      </c>
      <c r="U338" s="49">
        <f>IF(OR(A338="",D338=""),0,MAX(0,NETWORKDAYS(MAX(D338,DATE(Einstellungen!$C$3,10,1)),MIN(J338,DATE(Einstellungen!$C$3,11,0)),Einstellungen!$F$13:$F$32)))</f>
        <v/>
      </c>
      <c r="V338" s="49">
        <f>IF(OR(A338="",D338=""),0,MAX(0,NETWORKDAYS(MAX(D338,DATE(Einstellungen!$C$3,11,1)),MIN(J338,DATE(Einstellungen!$C$3,12,0)),Einstellungen!$F$13:$F$32)))</f>
        <v/>
      </c>
      <c r="W338" s="49">
        <f>IF(OR(A338="",D338=""),0,MAX(0,NETWORKDAYS(MAX(D338,DATE(Einstellungen!$C$3,12,1)),MIN(J338,DATE(Einstellungen!$C$3,13,0)),Einstellungen!$F$13:$F$32)))</f>
        <v/>
      </c>
      <c r="X338" s="50">
        <f>L338*K338</f>
        <v/>
      </c>
      <c r="Y338" s="50">
        <f>M338*K338</f>
        <v/>
      </c>
      <c r="Z338" s="50">
        <f>N338*K338</f>
        <v/>
      </c>
      <c r="AA338" s="50">
        <f>O338*K338</f>
        <v/>
      </c>
      <c r="AB338" s="50">
        <f>P338*K338</f>
        <v/>
      </c>
      <c r="AC338" s="50">
        <f>Q338*K338</f>
        <v/>
      </c>
      <c r="AD338" s="50">
        <f>R338*K338</f>
        <v/>
      </c>
      <c r="AE338" s="50">
        <f>S338*K338</f>
        <v/>
      </c>
      <c r="AF338" s="50">
        <f>T338*K338</f>
        <v/>
      </c>
      <c r="AG338" s="50">
        <f>U338*K338</f>
        <v/>
      </c>
      <c r="AH338" s="50">
        <f>V338*K338</f>
        <v/>
      </c>
      <c r="AI338" s="50">
        <f>W338*K338</f>
        <v/>
      </c>
    </row>
    <row r="339">
      <c r="A339" s="25" t="n"/>
      <c r="B339" s="45">
        <f>IF(A339="","",IFERROR(INDEX(Mitarbeiter!$B$6:$B$205,MATCH($A339,Mitarbeiter!$A$6:$A$205,0)),"?"))</f>
        <v/>
      </c>
      <c r="C339" s="46" t="n"/>
      <c r="D339" s="26" t="n"/>
      <c r="E339" s="26" t="n"/>
      <c r="F339" s="24">
        <f>IF(A339="","",SUM(L339:W339))</f>
        <v/>
      </c>
      <c r="G339" s="36">
        <f>IF(A339="","",SUM(X339:AI339))</f>
        <v/>
      </c>
      <c r="H339" s="8">
        <f>IF(A339="","",IF(ISNA(MATCH(A339,Mitarbeiter!$A$6:$A$205,0)),"Pers.-Nr. unbekannt",IF(D339="","Von fehlt",IF(AND(C339&lt;&gt;Einstellungen!$C$4,C339&lt;&gt;Einstellungen!$C$5),"Objekt fehlt",IF(J339&lt;D339,"Bis vor Von",IF(D339&lt;INDEX(Mitarbeiter!$C$6:$C$205,MATCH($A339,Mitarbeiter!$A$6:$A$205,0)),"vor Eintritt",IF(AND(INDEX(Mitarbeiter!$D$6:$D$205,MATCH($A339,Mitarbeiter!$A$6:$A$205,0))&lt;&gt;"",D339&gt;INDEX(Mitarbeiter!$D$6:$D$205,MATCH($A339,Mitarbeiter!$A$6:$A$205,0))),"nach Austritt",IF(E339="","offen","ok"))))))))</f>
        <v/>
      </c>
      <c r="J339" s="47">
        <f>IF(A339="","",IF(E339="",Einstellungen!$C$9,E339))</f>
        <v/>
      </c>
      <c r="K339" s="48">
        <f>IF(A339="",0,IFERROR(INDEX(Mitarbeiter!$F$6:$F$205,MATCH($A339,Mitarbeiter!$A$6:$A$205,0)),0))</f>
        <v/>
      </c>
      <c r="L339" s="49">
        <f>IF(OR(A339="",D339=""),0,MAX(0,NETWORKDAYS(MAX(D339,DATE(Einstellungen!$C$3,1,1)),MIN(J339,DATE(Einstellungen!$C$3,2,0)),Einstellungen!$F$13:$F$32)))</f>
        <v/>
      </c>
      <c r="M339" s="49">
        <f>IF(OR(A339="",D339=""),0,MAX(0,NETWORKDAYS(MAX(D339,DATE(Einstellungen!$C$3,2,1)),MIN(J339,DATE(Einstellungen!$C$3,3,0)),Einstellungen!$F$13:$F$32)))</f>
        <v/>
      </c>
      <c r="N339" s="49">
        <f>IF(OR(A339="",D339=""),0,MAX(0,NETWORKDAYS(MAX(D339,DATE(Einstellungen!$C$3,3,1)),MIN(J339,DATE(Einstellungen!$C$3,4,0)),Einstellungen!$F$13:$F$32)))</f>
        <v/>
      </c>
      <c r="O339" s="49">
        <f>IF(OR(A339="",D339=""),0,MAX(0,NETWORKDAYS(MAX(D339,DATE(Einstellungen!$C$3,4,1)),MIN(J339,DATE(Einstellungen!$C$3,5,0)),Einstellungen!$F$13:$F$32)))</f>
        <v/>
      </c>
      <c r="P339" s="49">
        <f>IF(OR(A339="",D339=""),0,MAX(0,NETWORKDAYS(MAX(D339,DATE(Einstellungen!$C$3,5,1)),MIN(J339,DATE(Einstellungen!$C$3,6,0)),Einstellungen!$F$13:$F$32)))</f>
        <v/>
      </c>
      <c r="Q339" s="49">
        <f>IF(OR(A339="",D339=""),0,MAX(0,NETWORKDAYS(MAX(D339,DATE(Einstellungen!$C$3,6,1)),MIN(J339,DATE(Einstellungen!$C$3,7,0)),Einstellungen!$F$13:$F$32)))</f>
        <v/>
      </c>
      <c r="R339" s="49">
        <f>IF(OR(A339="",D339=""),0,MAX(0,NETWORKDAYS(MAX(D339,DATE(Einstellungen!$C$3,7,1)),MIN(J339,DATE(Einstellungen!$C$3,8,0)),Einstellungen!$F$13:$F$32)))</f>
        <v/>
      </c>
      <c r="S339" s="49">
        <f>IF(OR(A339="",D339=""),0,MAX(0,NETWORKDAYS(MAX(D339,DATE(Einstellungen!$C$3,8,1)),MIN(J339,DATE(Einstellungen!$C$3,9,0)),Einstellungen!$F$13:$F$32)))</f>
        <v/>
      </c>
      <c r="T339" s="49">
        <f>IF(OR(A339="",D339=""),0,MAX(0,NETWORKDAYS(MAX(D339,DATE(Einstellungen!$C$3,9,1)),MIN(J339,DATE(Einstellungen!$C$3,10,0)),Einstellungen!$F$13:$F$32)))</f>
        <v/>
      </c>
      <c r="U339" s="49">
        <f>IF(OR(A339="",D339=""),0,MAX(0,NETWORKDAYS(MAX(D339,DATE(Einstellungen!$C$3,10,1)),MIN(J339,DATE(Einstellungen!$C$3,11,0)),Einstellungen!$F$13:$F$32)))</f>
        <v/>
      </c>
      <c r="V339" s="49">
        <f>IF(OR(A339="",D339=""),0,MAX(0,NETWORKDAYS(MAX(D339,DATE(Einstellungen!$C$3,11,1)),MIN(J339,DATE(Einstellungen!$C$3,12,0)),Einstellungen!$F$13:$F$32)))</f>
        <v/>
      </c>
      <c r="W339" s="49">
        <f>IF(OR(A339="",D339=""),0,MAX(0,NETWORKDAYS(MAX(D339,DATE(Einstellungen!$C$3,12,1)),MIN(J339,DATE(Einstellungen!$C$3,13,0)),Einstellungen!$F$13:$F$32)))</f>
        <v/>
      </c>
      <c r="X339" s="50">
        <f>L339*K339</f>
        <v/>
      </c>
      <c r="Y339" s="50">
        <f>M339*K339</f>
        <v/>
      </c>
      <c r="Z339" s="50">
        <f>N339*K339</f>
        <v/>
      </c>
      <c r="AA339" s="50">
        <f>O339*K339</f>
        <v/>
      </c>
      <c r="AB339" s="50">
        <f>P339*K339</f>
        <v/>
      </c>
      <c r="AC339" s="50">
        <f>Q339*K339</f>
        <v/>
      </c>
      <c r="AD339" s="50">
        <f>R339*K339</f>
        <v/>
      </c>
      <c r="AE339" s="50">
        <f>S339*K339</f>
        <v/>
      </c>
      <c r="AF339" s="50">
        <f>T339*K339</f>
        <v/>
      </c>
      <c r="AG339" s="50">
        <f>U339*K339</f>
        <v/>
      </c>
      <c r="AH339" s="50">
        <f>V339*K339</f>
        <v/>
      </c>
      <c r="AI339" s="50">
        <f>W339*K339</f>
        <v/>
      </c>
    </row>
    <row r="340">
      <c r="A340" s="25" t="n"/>
      <c r="B340" s="45">
        <f>IF(A340="","",IFERROR(INDEX(Mitarbeiter!$B$6:$B$205,MATCH($A340,Mitarbeiter!$A$6:$A$205,0)),"?"))</f>
        <v/>
      </c>
      <c r="C340" s="46" t="n"/>
      <c r="D340" s="26" t="n"/>
      <c r="E340" s="26" t="n"/>
      <c r="F340" s="24">
        <f>IF(A340="","",SUM(L340:W340))</f>
        <v/>
      </c>
      <c r="G340" s="36">
        <f>IF(A340="","",SUM(X340:AI340))</f>
        <v/>
      </c>
      <c r="H340" s="8">
        <f>IF(A340="","",IF(ISNA(MATCH(A340,Mitarbeiter!$A$6:$A$205,0)),"Pers.-Nr. unbekannt",IF(D340="","Von fehlt",IF(AND(C340&lt;&gt;Einstellungen!$C$4,C340&lt;&gt;Einstellungen!$C$5),"Objekt fehlt",IF(J340&lt;D340,"Bis vor Von",IF(D340&lt;INDEX(Mitarbeiter!$C$6:$C$205,MATCH($A340,Mitarbeiter!$A$6:$A$205,0)),"vor Eintritt",IF(AND(INDEX(Mitarbeiter!$D$6:$D$205,MATCH($A340,Mitarbeiter!$A$6:$A$205,0))&lt;&gt;"",D340&gt;INDEX(Mitarbeiter!$D$6:$D$205,MATCH($A340,Mitarbeiter!$A$6:$A$205,0))),"nach Austritt",IF(E340="","offen","ok"))))))))</f>
        <v/>
      </c>
      <c r="J340" s="47">
        <f>IF(A340="","",IF(E340="",Einstellungen!$C$9,E340))</f>
        <v/>
      </c>
      <c r="K340" s="48">
        <f>IF(A340="",0,IFERROR(INDEX(Mitarbeiter!$F$6:$F$205,MATCH($A340,Mitarbeiter!$A$6:$A$205,0)),0))</f>
        <v/>
      </c>
      <c r="L340" s="49">
        <f>IF(OR(A340="",D340=""),0,MAX(0,NETWORKDAYS(MAX(D340,DATE(Einstellungen!$C$3,1,1)),MIN(J340,DATE(Einstellungen!$C$3,2,0)),Einstellungen!$F$13:$F$32)))</f>
        <v/>
      </c>
      <c r="M340" s="49">
        <f>IF(OR(A340="",D340=""),0,MAX(0,NETWORKDAYS(MAX(D340,DATE(Einstellungen!$C$3,2,1)),MIN(J340,DATE(Einstellungen!$C$3,3,0)),Einstellungen!$F$13:$F$32)))</f>
        <v/>
      </c>
      <c r="N340" s="49">
        <f>IF(OR(A340="",D340=""),0,MAX(0,NETWORKDAYS(MAX(D340,DATE(Einstellungen!$C$3,3,1)),MIN(J340,DATE(Einstellungen!$C$3,4,0)),Einstellungen!$F$13:$F$32)))</f>
        <v/>
      </c>
      <c r="O340" s="49">
        <f>IF(OR(A340="",D340=""),0,MAX(0,NETWORKDAYS(MAX(D340,DATE(Einstellungen!$C$3,4,1)),MIN(J340,DATE(Einstellungen!$C$3,5,0)),Einstellungen!$F$13:$F$32)))</f>
        <v/>
      </c>
      <c r="P340" s="49">
        <f>IF(OR(A340="",D340=""),0,MAX(0,NETWORKDAYS(MAX(D340,DATE(Einstellungen!$C$3,5,1)),MIN(J340,DATE(Einstellungen!$C$3,6,0)),Einstellungen!$F$13:$F$32)))</f>
        <v/>
      </c>
      <c r="Q340" s="49">
        <f>IF(OR(A340="",D340=""),0,MAX(0,NETWORKDAYS(MAX(D340,DATE(Einstellungen!$C$3,6,1)),MIN(J340,DATE(Einstellungen!$C$3,7,0)),Einstellungen!$F$13:$F$32)))</f>
        <v/>
      </c>
      <c r="R340" s="49">
        <f>IF(OR(A340="",D340=""),0,MAX(0,NETWORKDAYS(MAX(D340,DATE(Einstellungen!$C$3,7,1)),MIN(J340,DATE(Einstellungen!$C$3,8,0)),Einstellungen!$F$13:$F$32)))</f>
        <v/>
      </c>
      <c r="S340" s="49">
        <f>IF(OR(A340="",D340=""),0,MAX(0,NETWORKDAYS(MAX(D340,DATE(Einstellungen!$C$3,8,1)),MIN(J340,DATE(Einstellungen!$C$3,9,0)),Einstellungen!$F$13:$F$32)))</f>
        <v/>
      </c>
      <c r="T340" s="49">
        <f>IF(OR(A340="",D340=""),0,MAX(0,NETWORKDAYS(MAX(D340,DATE(Einstellungen!$C$3,9,1)),MIN(J340,DATE(Einstellungen!$C$3,10,0)),Einstellungen!$F$13:$F$32)))</f>
        <v/>
      </c>
      <c r="U340" s="49">
        <f>IF(OR(A340="",D340=""),0,MAX(0,NETWORKDAYS(MAX(D340,DATE(Einstellungen!$C$3,10,1)),MIN(J340,DATE(Einstellungen!$C$3,11,0)),Einstellungen!$F$13:$F$32)))</f>
        <v/>
      </c>
      <c r="V340" s="49">
        <f>IF(OR(A340="",D340=""),0,MAX(0,NETWORKDAYS(MAX(D340,DATE(Einstellungen!$C$3,11,1)),MIN(J340,DATE(Einstellungen!$C$3,12,0)),Einstellungen!$F$13:$F$32)))</f>
        <v/>
      </c>
      <c r="W340" s="49">
        <f>IF(OR(A340="",D340=""),0,MAX(0,NETWORKDAYS(MAX(D340,DATE(Einstellungen!$C$3,12,1)),MIN(J340,DATE(Einstellungen!$C$3,13,0)),Einstellungen!$F$13:$F$32)))</f>
        <v/>
      </c>
      <c r="X340" s="50">
        <f>L340*K340</f>
        <v/>
      </c>
      <c r="Y340" s="50">
        <f>M340*K340</f>
        <v/>
      </c>
      <c r="Z340" s="50">
        <f>N340*K340</f>
        <v/>
      </c>
      <c r="AA340" s="50">
        <f>O340*K340</f>
        <v/>
      </c>
      <c r="AB340" s="50">
        <f>P340*K340</f>
        <v/>
      </c>
      <c r="AC340" s="50">
        <f>Q340*K340</f>
        <v/>
      </c>
      <c r="AD340" s="50">
        <f>R340*K340</f>
        <v/>
      </c>
      <c r="AE340" s="50">
        <f>S340*K340</f>
        <v/>
      </c>
      <c r="AF340" s="50">
        <f>T340*K340</f>
        <v/>
      </c>
      <c r="AG340" s="50">
        <f>U340*K340</f>
        <v/>
      </c>
      <c r="AH340" s="50">
        <f>V340*K340</f>
        <v/>
      </c>
      <c r="AI340" s="50">
        <f>W340*K340</f>
        <v/>
      </c>
    </row>
    <row r="341">
      <c r="A341" s="25" t="n"/>
      <c r="B341" s="45">
        <f>IF(A341="","",IFERROR(INDEX(Mitarbeiter!$B$6:$B$205,MATCH($A341,Mitarbeiter!$A$6:$A$205,0)),"?"))</f>
        <v/>
      </c>
      <c r="C341" s="46" t="n"/>
      <c r="D341" s="26" t="n"/>
      <c r="E341" s="26" t="n"/>
      <c r="F341" s="24">
        <f>IF(A341="","",SUM(L341:W341))</f>
        <v/>
      </c>
      <c r="G341" s="36">
        <f>IF(A341="","",SUM(X341:AI341))</f>
        <v/>
      </c>
      <c r="H341" s="8">
        <f>IF(A341="","",IF(ISNA(MATCH(A341,Mitarbeiter!$A$6:$A$205,0)),"Pers.-Nr. unbekannt",IF(D341="","Von fehlt",IF(AND(C341&lt;&gt;Einstellungen!$C$4,C341&lt;&gt;Einstellungen!$C$5),"Objekt fehlt",IF(J341&lt;D341,"Bis vor Von",IF(D341&lt;INDEX(Mitarbeiter!$C$6:$C$205,MATCH($A341,Mitarbeiter!$A$6:$A$205,0)),"vor Eintritt",IF(AND(INDEX(Mitarbeiter!$D$6:$D$205,MATCH($A341,Mitarbeiter!$A$6:$A$205,0))&lt;&gt;"",D341&gt;INDEX(Mitarbeiter!$D$6:$D$205,MATCH($A341,Mitarbeiter!$A$6:$A$205,0))),"nach Austritt",IF(E341="","offen","ok"))))))))</f>
        <v/>
      </c>
      <c r="J341" s="47">
        <f>IF(A341="","",IF(E341="",Einstellungen!$C$9,E341))</f>
        <v/>
      </c>
      <c r="K341" s="48">
        <f>IF(A341="",0,IFERROR(INDEX(Mitarbeiter!$F$6:$F$205,MATCH($A341,Mitarbeiter!$A$6:$A$205,0)),0))</f>
        <v/>
      </c>
      <c r="L341" s="49">
        <f>IF(OR(A341="",D341=""),0,MAX(0,NETWORKDAYS(MAX(D341,DATE(Einstellungen!$C$3,1,1)),MIN(J341,DATE(Einstellungen!$C$3,2,0)),Einstellungen!$F$13:$F$32)))</f>
        <v/>
      </c>
      <c r="M341" s="49">
        <f>IF(OR(A341="",D341=""),0,MAX(0,NETWORKDAYS(MAX(D341,DATE(Einstellungen!$C$3,2,1)),MIN(J341,DATE(Einstellungen!$C$3,3,0)),Einstellungen!$F$13:$F$32)))</f>
        <v/>
      </c>
      <c r="N341" s="49">
        <f>IF(OR(A341="",D341=""),0,MAX(0,NETWORKDAYS(MAX(D341,DATE(Einstellungen!$C$3,3,1)),MIN(J341,DATE(Einstellungen!$C$3,4,0)),Einstellungen!$F$13:$F$32)))</f>
        <v/>
      </c>
      <c r="O341" s="49">
        <f>IF(OR(A341="",D341=""),0,MAX(0,NETWORKDAYS(MAX(D341,DATE(Einstellungen!$C$3,4,1)),MIN(J341,DATE(Einstellungen!$C$3,5,0)),Einstellungen!$F$13:$F$32)))</f>
        <v/>
      </c>
      <c r="P341" s="49">
        <f>IF(OR(A341="",D341=""),0,MAX(0,NETWORKDAYS(MAX(D341,DATE(Einstellungen!$C$3,5,1)),MIN(J341,DATE(Einstellungen!$C$3,6,0)),Einstellungen!$F$13:$F$32)))</f>
        <v/>
      </c>
      <c r="Q341" s="49">
        <f>IF(OR(A341="",D341=""),0,MAX(0,NETWORKDAYS(MAX(D341,DATE(Einstellungen!$C$3,6,1)),MIN(J341,DATE(Einstellungen!$C$3,7,0)),Einstellungen!$F$13:$F$32)))</f>
        <v/>
      </c>
      <c r="R341" s="49">
        <f>IF(OR(A341="",D341=""),0,MAX(0,NETWORKDAYS(MAX(D341,DATE(Einstellungen!$C$3,7,1)),MIN(J341,DATE(Einstellungen!$C$3,8,0)),Einstellungen!$F$13:$F$32)))</f>
        <v/>
      </c>
      <c r="S341" s="49">
        <f>IF(OR(A341="",D341=""),0,MAX(0,NETWORKDAYS(MAX(D341,DATE(Einstellungen!$C$3,8,1)),MIN(J341,DATE(Einstellungen!$C$3,9,0)),Einstellungen!$F$13:$F$32)))</f>
        <v/>
      </c>
      <c r="T341" s="49">
        <f>IF(OR(A341="",D341=""),0,MAX(0,NETWORKDAYS(MAX(D341,DATE(Einstellungen!$C$3,9,1)),MIN(J341,DATE(Einstellungen!$C$3,10,0)),Einstellungen!$F$13:$F$32)))</f>
        <v/>
      </c>
      <c r="U341" s="49">
        <f>IF(OR(A341="",D341=""),0,MAX(0,NETWORKDAYS(MAX(D341,DATE(Einstellungen!$C$3,10,1)),MIN(J341,DATE(Einstellungen!$C$3,11,0)),Einstellungen!$F$13:$F$32)))</f>
        <v/>
      </c>
      <c r="V341" s="49">
        <f>IF(OR(A341="",D341=""),0,MAX(0,NETWORKDAYS(MAX(D341,DATE(Einstellungen!$C$3,11,1)),MIN(J341,DATE(Einstellungen!$C$3,12,0)),Einstellungen!$F$13:$F$32)))</f>
        <v/>
      </c>
      <c r="W341" s="49">
        <f>IF(OR(A341="",D341=""),0,MAX(0,NETWORKDAYS(MAX(D341,DATE(Einstellungen!$C$3,12,1)),MIN(J341,DATE(Einstellungen!$C$3,13,0)),Einstellungen!$F$13:$F$32)))</f>
        <v/>
      </c>
      <c r="X341" s="50">
        <f>L341*K341</f>
        <v/>
      </c>
      <c r="Y341" s="50">
        <f>M341*K341</f>
        <v/>
      </c>
      <c r="Z341" s="50">
        <f>N341*K341</f>
        <v/>
      </c>
      <c r="AA341" s="50">
        <f>O341*K341</f>
        <v/>
      </c>
      <c r="AB341" s="50">
        <f>P341*K341</f>
        <v/>
      </c>
      <c r="AC341" s="50">
        <f>Q341*K341</f>
        <v/>
      </c>
      <c r="AD341" s="50">
        <f>R341*K341</f>
        <v/>
      </c>
      <c r="AE341" s="50">
        <f>S341*K341</f>
        <v/>
      </c>
      <c r="AF341" s="50">
        <f>T341*K341</f>
        <v/>
      </c>
      <c r="AG341" s="50">
        <f>U341*K341</f>
        <v/>
      </c>
      <c r="AH341" s="50">
        <f>V341*K341</f>
        <v/>
      </c>
      <c r="AI341" s="50">
        <f>W341*K341</f>
        <v/>
      </c>
    </row>
    <row r="342">
      <c r="A342" s="25" t="n"/>
      <c r="B342" s="45">
        <f>IF(A342="","",IFERROR(INDEX(Mitarbeiter!$B$6:$B$205,MATCH($A342,Mitarbeiter!$A$6:$A$205,0)),"?"))</f>
        <v/>
      </c>
      <c r="C342" s="46" t="n"/>
      <c r="D342" s="26" t="n"/>
      <c r="E342" s="26" t="n"/>
      <c r="F342" s="24">
        <f>IF(A342="","",SUM(L342:W342))</f>
        <v/>
      </c>
      <c r="G342" s="36">
        <f>IF(A342="","",SUM(X342:AI342))</f>
        <v/>
      </c>
      <c r="H342" s="8">
        <f>IF(A342="","",IF(ISNA(MATCH(A342,Mitarbeiter!$A$6:$A$205,0)),"Pers.-Nr. unbekannt",IF(D342="","Von fehlt",IF(AND(C342&lt;&gt;Einstellungen!$C$4,C342&lt;&gt;Einstellungen!$C$5),"Objekt fehlt",IF(J342&lt;D342,"Bis vor Von",IF(D342&lt;INDEX(Mitarbeiter!$C$6:$C$205,MATCH($A342,Mitarbeiter!$A$6:$A$205,0)),"vor Eintritt",IF(AND(INDEX(Mitarbeiter!$D$6:$D$205,MATCH($A342,Mitarbeiter!$A$6:$A$205,0))&lt;&gt;"",D342&gt;INDEX(Mitarbeiter!$D$6:$D$205,MATCH($A342,Mitarbeiter!$A$6:$A$205,0))),"nach Austritt",IF(E342="","offen","ok"))))))))</f>
        <v/>
      </c>
      <c r="J342" s="47">
        <f>IF(A342="","",IF(E342="",Einstellungen!$C$9,E342))</f>
        <v/>
      </c>
      <c r="K342" s="48">
        <f>IF(A342="",0,IFERROR(INDEX(Mitarbeiter!$F$6:$F$205,MATCH($A342,Mitarbeiter!$A$6:$A$205,0)),0))</f>
        <v/>
      </c>
      <c r="L342" s="49">
        <f>IF(OR(A342="",D342=""),0,MAX(0,NETWORKDAYS(MAX(D342,DATE(Einstellungen!$C$3,1,1)),MIN(J342,DATE(Einstellungen!$C$3,2,0)),Einstellungen!$F$13:$F$32)))</f>
        <v/>
      </c>
      <c r="M342" s="49">
        <f>IF(OR(A342="",D342=""),0,MAX(0,NETWORKDAYS(MAX(D342,DATE(Einstellungen!$C$3,2,1)),MIN(J342,DATE(Einstellungen!$C$3,3,0)),Einstellungen!$F$13:$F$32)))</f>
        <v/>
      </c>
      <c r="N342" s="49">
        <f>IF(OR(A342="",D342=""),0,MAX(0,NETWORKDAYS(MAX(D342,DATE(Einstellungen!$C$3,3,1)),MIN(J342,DATE(Einstellungen!$C$3,4,0)),Einstellungen!$F$13:$F$32)))</f>
        <v/>
      </c>
      <c r="O342" s="49">
        <f>IF(OR(A342="",D342=""),0,MAX(0,NETWORKDAYS(MAX(D342,DATE(Einstellungen!$C$3,4,1)),MIN(J342,DATE(Einstellungen!$C$3,5,0)),Einstellungen!$F$13:$F$32)))</f>
        <v/>
      </c>
      <c r="P342" s="49">
        <f>IF(OR(A342="",D342=""),0,MAX(0,NETWORKDAYS(MAX(D342,DATE(Einstellungen!$C$3,5,1)),MIN(J342,DATE(Einstellungen!$C$3,6,0)),Einstellungen!$F$13:$F$32)))</f>
        <v/>
      </c>
      <c r="Q342" s="49">
        <f>IF(OR(A342="",D342=""),0,MAX(0,NETWORKDAYS(MAX(D342,DATE(Einstellungen!$C$3,6,1)),MIN(J342,DATE(Einstellungen!$C$3,7,0)),Einstellungen!$F$13:$F$32)))</f>
        <v/>
      </c>
      <c r="R342" s="49">
        <f>IF(OR(A342="",D342=""),0,MAX(0,NETWORKDAYS(MAX(D342,DATE(Einstellungen!$C$3,7,1)),MIN(J342,DATE(Einstellungen!$C$3,8,0)),Einstellungen!$F$13:$F$32)))</f>
        <v/>
      </c>
      <c r="S342" s="49">
        <f>IF(OR(A342="",D342=""),0,MAX(0,NETWORKDAYS(MAX(D342,DATE(Einstellungen!$C$3,8,1)),MIN(J342,DATE(Einstellungen!$C$3,9,0)),Einstellungen!$F$13:$F$32)))</f>
        <v/>
      </c>
      <c r="T342" s="49">
        <f>IF(OR(A342="",D342=""),0,MAX(0,NETWORKDAYS(MAX(D342,DATE(Einstellungen!$C$3,9,1)),MIN(J342,DATE(Einstellungen!$C$3,10,0)),Einstellungen!$F$13:$F$32)))</f>
        <v/>
      </c>
      <c r="U342" s="49">
        <f>IF(OR(A342="",D342=""),0,MAX(0,NETWORKDAYS(MAX(D342,DATE(Einstellungen!$C$3,10,1)),MIN(J342,DATE(Einstellungen!$C$3,11,0)),Einstellungen!$F$13:$F$32)))</f>
        <v/>
      </c>
      <c r="V342" s="49">
        <f>IF(OR(A342="",D342=""),0,MAX(0,NETWORKDAYS(MAX(D342,DATE(Einstellungen!$C$3,11,1)),MIN(J342,DATE(Einstellungen!$C$3,12,0)),Einstellungen!$F$13:$F$32)))</f>
        <v/>
      </c>
      <c r="W342" s="49">
        <f>IF(OR(A342="",D342=""),0,MAX(0,NETWORKDAYS(MAX(D342,DATE(Einstellungen!$C$3,12,1)),MIN(J342,DATE(Einstellungen!$C$3,13,0)),Einstellungen!$F$13:$F$32)))</f>
        <v/>
      </c>
      <c r="X342" s="50">
        <f>L342*K342</f>
        <v/>
      </c>
      <c r="Y342" s="50">
        <f>M342*K342</f>
        <v/>
      </c>
      <c r="Z342" s="50">
        <f>N342*K342</f>
        <v/>
      </c>
      <c r="AA342" s="50">
        <f>O342*K342</f>
        <v/>
      </c>
      <c r="AB342" s="50">
        <f>P342*K342</f>
        <v/>
      </c>
      <c r="AC342" s="50">
        <f>Q342*K342</f>
        <v/>
      </c>
      <c r="AD342" s="50">
        <f>R342*K342</f>
        <v/>
      </c>
      <c r="AE342" s="50">
        <f>S342*K342</f>
        <v/>
      </c>
      <c r="AF342" s="50">
        <f>T342*K342</f>
        <v/>
      </c>
      <c r="AG342" s="50">
        <f>U342*K342</f>
        <v/>
      </c>
      <c r="AH342" s="50">
        <f>V342*K342</f>
        <v/>
      </c>
      <c r="AI342" s="50">
        <f>W342*K342</f>
        <v/>
      </c>
    </row>
    <row r="343">
      <c r="A343" s="25" t="n"/>
      <c r="B343" s="45">
        <f>IF(A343="","",IFERROR(INDEX(Mitarbeiter!$B$6:$B$205,MATCH($A343,Mitarbeiter!$A$6:$A$205,0)),"?"))</f>
        <v/>
      </c>
      <c r="C343" s="46" t="n"/>
      <c r="D343" s="26" t="n"/>
      <c r="E343" s="26" t="n"/>
      <c r="F343" s="24">
        <f>IF(A343="","",SUM(L343:W343))</f>
        <v/>
      </c>
      <c r="G343" s="36">
        <f>IF(A343="","",SUM(X343:AI343))</f>
        <v/>
      </c>
      <c r="H343" s="8">
        <f>IF(A343="","",IF(ISNA(MATCH(A343,Mitarbeiter!$A$6:$A$205,0)),"Pers.-Nr. unbekannt",IF(D343="","Von fehlt",IF(AND(C343&lt;&gt;Einstellungen!$C$4,C343&lt;&gt;Einstellungen!$C$5),"Objekt fehlt",IF(J343&lt;D343,"Bis vor Von",IF(D343&lt;INDEX(Mitarbeiter!$C$6:$C$205,MATCH($A343,Mitarbeiter!$A$6:$A$205,0)),"vor Eintritt",IF(AND(INDEX(Mitarbeiter!$D$6:$D$205,MATCH($A343,Mitarbeiter!$A$6:$A$205,0))&lt;&gt;"",D343&gt;INDEX(Mitarbeiter!$D$6:$D$205,MATCH($A343,Mitarbeiter!$A$6:$A$205,0))),"nach Austritt",IF(E343="","offen","ok"))))))))</f>
        <v/>
      </c>
      <c r="J343" s="47">
        <f>IF(A343="","",IF(E343="",Einstellungen!$C$9,E343))</f>
        <v/>
      </c>
      <c r="K343" s="48">
        <f>IF(A343="",0,IFERROR(INDEX(Mitarbeiter!$F$6:$F$205,MATCH($A343,Mitarbeiter!$A$6:$A$205,0)),0))</f>
        <v/>
      </c>
      <c r="L343" s="49">
        <f>IF(OR(A343="",D343=""),0,MAX(0,NETWORKDAYS(MAX(D343,DATE(Einstellungen!$C$3,1,1)),MIN(J343,DATE(Einstellungen!$C$3,2,0)),Einstellungen!$F$13:$F$32)))</f>
        <v/>
      </c>
      <c r="M343" s="49">
        <f>IF(OR(A343="",D343=""),0,MAX(0,NETWORKDAYS(MAX(D343,DATE(Einstellungen!$C$3,2,1)),MIN(J343,DATE(Einstellungen!$C$3,3,0)),Einstellungen!$F$13:$F$32)))</f>
        <v/>
      </c>
      <c r="N343" s="49">
        <f>IF(OR(A343="",D343=""),0,MAX(0,NETWORKDAYS(MAX(D343,DATE(Einstellungen!$C$3,3,1)),MIN(J343,DATE(Einstellungen!$C$3,4,0)),Einstellungen!$F$13:$F$32)))</f>
        <v/>
      </c>
      <c r="O343" s="49">
        <f>IF(OR(A343="",D343=""),0,MAX(0,NETWORKDAYS(MAX(D343,DATE(Einstellungen!$C$3,4,1)),MIN(J343,DATE(Einstellungen!$C$3,5,0)),Einstellungen!$F$13:$F$32)))</f>
        <v/>
      </c>
      <c r="P343" s="49">
        <f>IF(OR(A343="",D343=""),0,MAX(0,NETWORKDAYS(MAX(D343,DATE(Einstellungen!$C$3,5,1)),MIN(J343,DATE(Einstellungen!$C$3,6,0)),Einstellungen!$F$13:$F$32)))</f>
        <v/>
      </c>
      <c r="Q343" s="49">
        <f>IF(OR(A343="",D343=""),0,MAX(0,NETWORKDAYS(MAX(D343,DATE(Einstellungen!$C$3,6,1)),MIN(J343,DATE(Einstellungen!$C$3,7,0)),Einstellungen!$F$13:$F$32)))</f>
        <v/>
      </c>
      <c r="R343" s="49">
        <f>IF(OR(A343="",D343=""),0,MAX(0,NETWORKDAYS(MAX(D343,DATE(Einstellungen!$C$3,7,1)),MIN(J343,DATE(Einstellungen!$C$3,8,0)),Einstellungen!$F$13:$F$32)))</f>
        <v/>
      </c>
      <c r="S343" s="49">
        <f>IF(OR(A343="",D343=""),0,MAX(0,NETWORKDAYS(MAX(D343,DATE(Einstellungen!$C$3,8,1)),MIN(J343,DATE(Einstellungen!$C$3,9,0)),Einstellungen!$F$13:$F$32)))</f>
        <v/>
      </c>
      <c r="T343" s="49">
        <f>IF(OR(A343="",D343=""),0,MAX(0,NETWORKDAYS(MAX(D343,DATE(Einstellungen!$C$3,9,1)),MIN(J343,DATE(Einstellungen!$C$3,10,0)),Einstellungen!$F$13:$F$32)))</f>
        <v/>
      </c>
      <c r="U343" s="49">
        <f>IF(OR(A343="",D343=""),0,MAX(0,NETWORKDAYS(MAX(D343,DATE(Einstellungen!$C$3,10,1)),MIN(J343,DATE(Einstellungen!$C$3,11,0)),Einstellungen!$F$13:$F$32)))</f>
        <v/>
      </c>
      <c r="V343" s="49">
        <f>IF(OR(A343="",D343=""),0,MAX(0,NETWORKDAYS(MAX(D343,DATE(Einstellungen!$C$3,11,1)),MIN(J343,DATE(Einstellungen!$C$3,12,0)),Einstellungen!$F$13:$F$32)))</f>
        <v/>
      </c>
      <c r="W343" s="49">
        <f>IF(OR(A343="",D343=""),0,MAX(0,NETWORKDAYS(MAX(D343,DATE(Einstellungen!$C$3,12,1)),MIN(J343,DATE(Einstellungen!$C$3,13,0)),Einstellungen!$F$13:$F$32)))</f>
        <v/>
      </c>
      <c r="X343" s="50">
        <f>L343*K343</f>
        <v/>
      </c>
      <c r="Y343" s="50">
        <f>M343*K343</f>
        <v/>
      </c>
      <c r="Z343" s="50">
        <f>N343*K343</f>
        <v/>
      </c>
      <c r="AA343" s="50">
        <f>O343*K343</f>
        <v/>
      </c>
      <c r="AB343" s="50">
        <f>P343*K343</f>
        <v/>
      </c>
      <c r="AC343" s="50">
        <f>Q343*K343</f>
        <v/>
      </c>
      <c r="AD343" s="50">
        <f>R343*K343</f>
        <v/>
      </c>
      <c r="AE343" s="50">
        <f>S343*K343</f>
        <v/>
      </c>
      <c r="AF343" s="50">
        <f>T343*K343</f>
        <v/>
      </c>
      <c r="AG343" s="50">
        <f>U343*K343</f>
        <v/>
      </c>
      <c r="AH343" s="50">
        <f>V343*K343</f>
        <v/>
      </c>
      <c r="AI343" s="50">
        <f>W343*K343</f>
        <v/>
      </c>
    </row>
    <row r="344">
      <c r="A344" s="25" t="n"/>
      <c r="B344" s="45">
        <f>IF(A344="","",IFERROR(INDEX(Mitarbeiter!$B$6:$B$205,MATCH($A344,Mitarbeiter!$A$6:$A$205,0)),"?"))</f>
        <v/>
      </c>
      <c r="C344" s="46" t="n"/>
      <c r="D344" s="26" t="n"/>
      <c r="E344" s="26" t="n"/>
      <c r="F344" s="24">
        <f>IF(A344="","",SUM(L344:W344))</f>
        <v/>
      </c>
      <c r="G344" s="36">
        <f>IF(A344="","",SUM(X344:AI344))</f>
        <v/>
      </c>
      <c r="H344" s="8">
        <f>IF(A344="","",IF(ISNA(MATCH(A344,Mitarbeiter!$A$6:$A$205,0)),"Pers.-Nr. unbekannt",IF(D344="","Von fehlt",IF(AND(C344&lt;&gt;Einstellungen!$C$4,C344&lt;&gt;Einstellungen!$C$5),"Objekt fehlt",IF(J344&lt;D344,"Bis vor Von",IF(D344&lt;INDEX(Mitarbeiter!$C$6:$C$205,MATCH($A344,Mitarbeiter!$A$6:$A$205,0)),"vor Eintritt",IF(AND(INDEX(Mitarbeiter!$D$6:$D$205,MATCH($A344,Mitarbeiter!$A$6:$A$205,0))&lt;&gt;"",D344&gt;INDEX(Mitarbeiter!$D$6:$D$205,MATCH($A344,Mitarbeiter!$A$6:$A$205,0))),"nach Austritt",IF(E344="","offen","ok"))))))))</f>
        <v/>
      </c>
      <c r="J344" s="47">
        <f>IF(A344="","",IF(E344="",Einstellungen!$C$9,E344))</f>
        <v/>
      </c>
      <c r="K344" s="48">
        <f>IF(A344="",0,IFERROR(INDEX(Mitarbeiter!$F$6:$F$205,MATCH($A344,Mitarbeiter!$A$6:$A$205,0)),0))</f>
        <v/>
      </c>
      <c r="L344" s="49">
        <f>IF(OR(A344="",D344=""),0,MAX(0,NETWORKDAYS(MAX(D344,DATE(Einstellungen!$C$3,1,1)),MIN(J344,DATE(Einstellungen!$C$3,2,0)),Einstellungen!$F$13:$F$32)))</f>
        <v/>
      </c>
      <c r="M344" s="49">
        <f>IF(OR(A344="",D344=""),0,MAX(0,NETWORKDAYS(MAX(D344,DATE(Einstellungen!$C$3,2,1)),MIN(J344,DATE(Einstellungen!$C$3,3,0)),Einstellungen!$F$13:$F$32)))</f>
        <v/>
      </c>
      <c r="N344" s="49">
        <f>IF(OR(A344="",D344=""),0,MAX(0,NETWORKDAYS(MAX(D344,DATE(Einstellungen!$C$3,3,1)),MIN(J344,DATE(Einstellungen!$C$3,4,0)),Einstellungen!$F$13:$F$32)))</f>
        <v/>
      </c>
      <c r="O344" s="49">
        <f>IF(OR(A344="",D344=""),0,MAX(0,NETWORKDAYS(MAX(D344,DATE(Einstellungen!$C$3,4,1)),MIN(J344,DATE(Einstellungen!$C$3,5,0)),Einstellungen!$F$13:$F$32)))</f>
        <v/>
      </c>
      <c r="P344" s="49">
        <f>IF(OR(A344="",D344=""),0,MAX(0,NETWORKDAYS(MAX(D344,DATE(Einstellungen!$C$3,5,1)),MIN(J344,DATE(Einstellungen!$C$3,6,0)),Einstellungen!$F$13:$F$32)))</f>
        <v/>
      </c>
      <c r="Q344" s="49">
        <f>IF(OR(A344="",D344=""),0,MAX(0,NETWORKDAYS(MAX(D344,DATE(Einstellungen!$C$3,6,1)),MIN(J344,DATE(Einstellungen!$C$3,7,0)),Einstellungen!$F$13:$F$32)))</f>
        <v/>
      </c>
      <c r="R344" s="49">
        <f>IF(OR(A344="",D344=""),0,MAX(0,NETWORKDAYS(MAX(D344,DATE(Einstellungen!$C$3,7,1)),MIN(J344,DATE(Einstellungen!$C$3,8,0)),Einstellungen!$F$13:$F$32)))</f>
        <v/>
      </c>
      <c r="S344" s="49">
        <f>IF(OR(A344="",D344=""),0,MAX(0,NETWORKDAYS(MAX(D344,DATE(Einstellungen!$C$3,8,1)),MIN(J344,DATE(Einstellungen!$C$3,9,0)),Einstellungen!$F$13:$F$32)))</f>
        <v/>
      </c>
      <c r="T344" s="49">
        <f>IF(OR(A344="",D344=""),0,MAX(0,NETWORKDAYS(MAX(D344,DATE(Einstellungen!$C$3,9,1)),MIN(J344,DATE(Einstellungen!$C$3,10,0)),Einstellungen!$F$13:$F$32)))</f>
        <v/>
      </c>
      <c r="U344" s="49">
        <f>IF(OR(A344="",D344=""),0,MAX(0,NETWORKDAYS(MAX(D344,DATE(Einstellungen!$C$3,10,1)),MIN(J344,DATE(Einstellungen!$C$3,11,0)),Einstellungen!$F$13:$F$32)))</f>
        <v/>
      </c>
      <c r="V344" s="49">
        <f>IF(OR(A344="",D344=""),0,MAX(0,NETWORKDAYS(MAX(D344,DATE(Einstellungen!$C$3,11,1)),MIN(J344,DATE(Einstellungen!$C$3,12,0)),Einstellungen!$F$13:$F$32)))</f>
        <v/>
      </c>
      <c r="W344" s="49">
        <f>IF(OR(A344="",D344=""),0,MAX(0,NETWORKDAYS(MAX(D344,DATE(Einstellungen!$C$3,12,1)),MIN(J344,DATE(Einstellungen!$C$3,13,0)),Einstellungen!$F$13:$F$32)))</f>
        <v/>
      </c>
      <c r="X344" s="50">
        <f>L344*K344</f>
        <v/>
      </c>
      <c r="Y344" s="50">
        <f>M344*K344</f>
        <v/>
      </c>
      <c r="Z344" s="50">
        <f>N344*K344</f>
        <v/>
      </c>
      <c r="AA344" s="50">
        <f>O344*K344</f>
        <v/>
      </c>
      <c r="AB344" s="50">
        <f>P344*K344</f>
        <v/>
      </c>
      <c r="AC344" s="50">
        <f>Q344*K344</f>
        <v/>
      </c>
      <c r="AD344" s="50">
        <f>R344*K344</f>
        <v/>
      </c>
      <c r="AE344" s="50">
        <f>S344*K344</f>
        <v/>
      </c>
      <c r="AF344" s="50">
        <f>T344*K344</f>
        <v/>
      </c>
      <c r="AG344" s="50">
        <f>U344*K344</f>
        <v/>
      </c>
      <c r="AH344" s="50">
        <f>V344*K344</f>
        <v/>
      </c>
      <c r="AI344" s="50">
        <f>W344*K344</f>
        <v/>
      </c>
    </row>
    <row r="345">
      <c r="A345" s="25" t="n"/>
      <c r="B345" s="45">
        <f>IF(A345="","",IFERROR(INDEX(Mitarbeiter!$B$6:$B$205,MATCH($A345,Mitarbeiter!$A$6:$A$205,0)),"?"))</f>
        <v/>
      </c>
      <c r="C345" s="46" t="n"/>
      <c r="D345" s="26" t="n"/>
      <c r="E345" s="26" t="n"/>
      <c r="F345" s="24">
        <f>IF(A345="","",SUM(L345:W345))</f>
        <v/>
      </c>
      <c r="G345" s="36">
        <f>IF(A345="","",SUM(X345:AI345))</f>
        <v/>
      </c>
      <c r="H345" s="8">
        <f>IF(A345="","",IF(ISNA(MATCH(A345,Mitarbeiter!$A$6:$A$205,0)),"Pers.-Nr. unbekannt",IF(D345="","Von fehlt",IF(AND(C345&lt;&gt;Einstellungen!$C$4,C345&lt;&gt;Einstellungen!$C$5),"Objekt fehlt",IF(J345&lt;D345,"Bis vor Von",IF(D345&lt;INDEX(Mitarbeiter!$C$6:$C$205,MATCH($A345,Mitarbeiter!$A$6:$A$205,0)),"vor Eintritt",IF(AND(INDEX(Mitarbeiter!$D$6:$D$205,MATCH($A345,Mitarbeiter!$A$6:$A$205,0))&lt;&gt;"",D345&gt;INDEX(Mitarbeiter!$D$6:$D$205,MATCH($A345,Mitarbeiter!$A$6:$A$205,0))),"nach Austritt",IF(E345="","offen","ok"))))))))</f>
        <v/>
      </c>
      <c r="J345" s="47">
        <f>IF(A345="","",IF(E345="",Einstellungen!$C$9,E345))</f>
        <v/>
      </c>
      <c r="K345" s="48">
        <f>IF(A345="",0,IFERROR(INDEX(Mitarbeiter!$F$6:$F$205,MATCH($A345,Mitarbeiter!$A$6:$A$205,0)),0))</f>
        <v/>
      </c>
      <c r="L345" s="49">
        <f>IF(OR(A345="",D345=""),0,MAX(0,NETWORKDAYS(MAX(D345,DATE(Einstellungen!$C$3,1,1)),MIN(J345,DATE(Einstellungen!$C$3,2,0)),Einstellungen!$F$13:$F$32)))</f>
        <v/>
      </c>
      <c r="M345" s="49">
        <f>IF(OR(A345="",D345=""),0,MAX(0,NETWORKDAYS(MAX(D345,DATE(Einstellungen!$C$3,2,1)),MIN(J345,DATE(Einstellungen!$C$3,3,0)),Einstellungen!$F$13:$F$32)))</f>
        <v/>
      </c>
      <c r="N345" s="49">
        <f>IF(OR(A345="",D345=""),0,MAX(0,NETWORKDAYS(MAX(D345,DATE(Einstellungen!$C$3,3,1)),MIN(J345,DATE(Einstellungen!$C$3,4,0)),Einstellungen!$F$13:$F$32)))</f>
        <v/>
      </c>
      <c r="O345" s="49">
        <f>IF(OR(A345="",D345=""),0,MAX(0,NETWORKDAYS(MAX(D345,DATE(Einstellungen!$C$3,4,1)),MIN(J345,DATE(Einstellungen!$C$3,5,0)),Einstellungen!$F$13:$F$32)))</f>
        <v/>
      </c>
      <c r="P345" s="49">
        <f>IF(OR(A345="",D345=""),0,MAX(0,NETWORKDAYS(MAX(D345,DATE(Einstellungen!$C$3,5,1)),MIN(J345,DATE(Einstellungen!$C$3,6,0)),Einstellungen!$F$13:$F$32)))</f>
        <v/>
      </c>
      <c r="Q345" s="49">
        <f>IF(OR(A345="",D345=""),0,MAX(0,NETWORKDAYS(MAX(D345,DATE(Einstellungen!$C$3,6,1)),MIN(J345,DATE(Einstellungen!$C$3,7,0)),Einstellungen!$F$13:$F$32)))</f>
        <v/>
      </c>
      <c r="R345" s="49">
        <f>IF(OR(A345="",D345=""),0,MAX(0,NETWORKDAYS(MAX(D345,DATE(Einstellungen!$C$3,7,1)),MIN(J345,DATE(Einstellungen!$C$3,8,0)),Einstellungen!$F$13:$F$32)))</f>
        <v/>
      </c>
      <c r="S345" s="49">
        <f>IF(OR(A345="",D345=""),0,MAX(0,NETWORKDAYS(MAX(D345,DATE(Einstellungen!$C$3,8,1)),MIN(J345,DATE(Einstellungen!$C$3,9,0)),Einstellungen!$F$13:$F$32)))</f>
        <v/>
      </c>
      <c r="T345" s="49">
        <f>IF(OR(A345="",D345=""),0,MAX(0,NETWORKDAYS(MAX(D345,DATE(Einstellungen!$C$3,9,1)),MIN(J345,DATE(Einstellungen!$C$3,10,0)),Einstellungen!$F$13:$F$32)))</f>
        <v/>
      </c>
      <c r="U345" s="49">
        <f>IF(OR(A345="",D345=""),0,MAX(0,NETWORKDAYS(MAX(D345,DATE(Einstellungen!$C$3,10,1)),MIN(J345,DATE(Einstellungen!$C$3,11,0)),Einstellungen!$F$13:$F$32)))</f>
        <v/>
      </c>
      <c r="V345" s="49">
        <f>IF(OR(A345="",D345=""),0,MAX(0,NETWORKDAYS(MAX(D345,DATE(Einstellungen!$C$3,11,1)),MIN(J345,DATE(Einstellungen!$C$3,12,0)),Einstellungen!$F$13:$F$32)))</f>
        <v/>
      </c>
      <c r="W345" s="49">
        <f>IF(OR(A345="",D345=""),0,MAX(0,NETWORKDAYS(MAX(D345,DATE(Einstellungen!$C$3,12,1)),MIN(J345,DATE(Einstellungen!$C$3,13,0)),Einstellungen!$F$13:$F$32)))</f>
        <v/>
      </c>
      <c r="X345" s="50">
        <f>L345*K345</f>
        <v/>
      </c>
      <c r="Y345" s="50">
        <f>M345*K345</f>
        <v/>
      </c>
      <c r="Z345" s="50">
        <f>N345*K345</f>
        <v/>
      </c>
      <c r="AA345" s="50">
        <f>O345*K345</f>
        <v/>
      </c>
      <c r="AB345" s="50">
        <f>P345*K345</f>
        <v/>
      </c>
      <c r="AC345" s="50">
        <f>Q345*K345</f>
        <v/>
      </c>
      <c r="AD345" s="50">
        <f>R345*K345</f>
        <v/>
      </c>
      <c r="AE345" s="50">
        <f>S345*K345</f>
        <v/>
      </c>
      <c r="AF345" s="50">
        <f>T345*K345</f>
        <v/>
      </c>
      <c r="AG345" s="50">
        <f>U345*K345</f>
        <v/>
      </c>
      <c r="AH345" s="50">
        <f>V345*K345</f>
        <v/>
      </c>
      <c r="AI345" s="50">
        <f>W345*K345</f>
        <v/>
      </c>
    </row>
    <row r="346">
      <c r="A346" s="25" t="n"/>
      <c r="B346" s="45">
        <f>IF(A346="","",IFERROR(INDEX(Mitarbeiter!$B$6:$B$205,MATCH($A346,Mitarbeiter!$A$6:$A$205,0)),"?"))</f>
        <v/>
      </c>
      <c r="C346" s="46" t="n"/>
      <c r="D346" s="26" t="n"/>
      <c r="E346" s="26" t="n"/>
      <c r="F346" s="24">
        <f>IF(A346="","",SUM(L346:W346))</f>
        <v/>
      </c>
      <c r="G346" s="36">
        <f>IF(A346="","",SUM(X346:AI346))</f>
        <v/>
      </c>
      <c r="H346" s="8">
        <f>IF(A346="","",IF(ISNA(MATCH(A346,Mitarbeiter!$A$6:$A$205,0)),"Pers.-Nr. unbekannt",IF(D346="","Von fehlt",IF(AND(C346&lt;&gt;Einstellungen!$C$4,C346&lt;&gt;Einstellungen!$C$5),"Objekt fehlt",IF(J346&lt;D346,"Bis vor Von",IF(D346&lt;INDEX(Mitarbeiter!$C$6:$C$205,MATCH($A346,Mitarbeiter!$A$6:$A$205,0)),"vor Eintritt",IF(AND(INDEX(Mitarbeiter!$D$6:$D$205,MATCH($A346,Mitarbeiter!$A$6:$A$205,0))&lt;&gt;"",D346&gt;INDEX(Mitarbeiter!$D$6:$D$205,MATCH($A346,Mitarbeiter!$A$6:$A$205,0))),"nach Austritt",IF(E346="","offen","ok"))))))))</f>
        <v/>
      </c>
      <c r="J346" s="47">
        <f>IF(A346="","",IF(E346="",Einstellungen!$C$9,E346))</f>
        <v/>
      </c>
      <c r="K346" s="48">
        <f>IF(A346="",0,IFERROR(INDEX(Mitarbeiter!$F$6:$F$205,MATCH($A346,Mitarbeiter!$A$6:$A$205,0)),0))</f>
        <v/>
      </c>
      <c r="L346" s="49">
        <f>IF(OR(A346="",D346=""),0,MAX(0,NETWORKDAYS(MAX(D346,DATE(Einstellungen!$C$3,1,1)),MIN(J346,DATE(Einstellungen!$C$3,2,0)),Einstellungen!$F$13:$F$32)))</f>
        <v/>
      </c>
      <c r="M346" s="49">
        <f>IF(OR(A346="",D346=""),0,MAX(0,NETWORKDAYS(MAX(D346,DATE(Einstellungen!$C$3,2,1)),MIN(J346,DATE(Einstellungen!$C$3,3,0)),Einstellungen!$F$13:$F$32)))</f>
        <v/>
      </c>
      <c r="N346" s="49">
        <f>IF(OR(A346="",D346=""),0,MAX(0,NETWORKDAYS(MAX(D346,DATE(Einstellungen!$C$3,3,1)),MIN(J346,DATE(Einstellungen!$C$3,4,0)),Einstellungen!$F$13:$F$32)))</f>
        <v/>
      </c>
      <c r="O346" s="49">
        <f>IF(OR(A346="",D346=""),0,MAX(0,NETWORKDAYS(MAX(D346,DATE(Einstellungen!$C$3,4,1)),MIN(J346,DATE(Einstellungen!$C$3,5,0)),Einstellungen!$F$13:$F$32)))</f>
        <v/>
      </c>
      <c r="P346" s="49">
        <f>IF(OR(A346="",D346=""),0,MAX(0,NETWORKDAYS(MAX(D346,DATE(Einstellungen!$C$3,5,1)),MIN(J346,DATE(Einstellungen!$C$3,6,0)),Einstellungen!$F$13:$F$32)))</f>
        <v/>
      </c>
      <c r="Q346" s="49">
        <f>IF(OR(A346="",D346=""),0,MAX(0,NETWORKDAYS(MAX(D346,DATE(Einstellungen!$C$3,6,1)),MIN(J346,DATE(Einstellungen!$C$3,7,0)),Einstellungen!$F$13:$F$32)))</f>
        <v/>
      </c>
      <c r="R346" s="49">
        <f>IF(OR(A346="",D346=""),0,MAX(0,NETWORKDAYS(MAX(D346,DATE(Einstellungen!$C$3,7,1)),MIN(J346,DATE(Einstellungen!$C$3,8,0)),Einstellungen!$F$13:$F$32)))</f>
        <v/>
      </c>
      <c r="S346" s="49">
        <f>IF(OR(A346="",D346=""),0,MAX(0,NETWORKDAYS(MAX(D346,DATE(Einstellungen!$C$3,8,1)),MIN(J346,DATE(Einstellungen!$C$3,9,0)),Einstellungen!$F$13:$F$32)))</f>
        <v/>
      </c>
      <c r="T346" s="49">
        <f>IF(OR(A346="",D346=""),0,MAX(0,NETWORKDAYS(MAX(D346,DATE(Einstellungen!$C$3,9,1)),MIN(J346,DATE(Einstellungen!$C$3,10,0)),Einstellungen!$F$13:$F$32)))</f>
        <v/>
      </c>
      <c r="U346" s="49">
        <f>IF(OR(A346="",D346=""),0,MAX(0,NETWORKDAYS(MAX(D346,DATE(Einstellungen!$C$3,10,1)),MIN(J346,DATE(Einstellungen!$C$3,11,0)),Einstellungen!$F$13:$F$32)))</f>
        <v/>
      </c>
      <c r="V346" s="49">
        <f>IF(OR(A346="",D346=""),0,MAX(0,NETWORKDAYS(MAX(D346,DATE(Einstellungen!$C$3,11,1)),MIN(J346,DATE(Einstellungen!$C$3,12,0)),Einstellungen!$F$13:$F$32)))</f>
        <v/>
      </c>
      <c r="W346" s="49">
        <f>IF(OR(A346="",D346=""),0,MAX(0,NETWORKDAYS(MAX(D346,DATE(Einstellungen!$C$3,12,1)),MIN(J346,DATE(Einstellungen!$C$3,13,0)),Einstellungen!$F$13:$F$32)))</f>
        <v/>
      </c>
      <c r="X346" s="50">
        <f>L346*K346</f>
        <v/>
      </c>
      <c r="Y346" s="50">
        <f>M346*K346</f>
        <v/>
      </c>
      <c r="Z346" s="50">
        <f>N346*K346</f>
        <v/>
      </c>
      <c r="AA346" s="50">
        <f>O346*K346</f>
        <v/>
      </c>
      <c r="AB346" s="50">
        <f>P346*K346</f>
        <v/>
      </c>
      <c r="AC346" s="50">
        <f>Q346*K346</f>
        <v/>
      </c>
      <c r="AD346" s="50">
        <f>R346*K346</f>
        <v/>
      </c>
      <c r="AE346" s="50">
        <f>S346*K346</f>
        <v/>
      </c>
      <c r="AF346" s="50">
        <f>T346*K346</f>
        <v/>
      </c>
      <c r="AG346" s="50">
        <f>U346*K346</f>
        <v/>
      </c>
      <c r="AH346" s="50">
        <f>V346*K346</f>
        <v/>
      </c>
      <c r="AI346" s="50">
        <f>W346*K346</f>
        <v/>
      </c>
    </row>
    <row r="347">
      <c r="A347" s="25" t="n"/>
      <c r="B347" s="45">
        <f>IF(A347="","",IFERROR(INDEX(Mitarbeiter!$B$6:$B$205,MATCH($A347,Mitarbeiter!$A$6:$A$205,0)),"?"))</f>
        <v/>
      </c>
      <c r="C347" s="46" t="n"/>
      <c r="D347" s="26" t="n"/>
      <c r="E347" s="26" t="n"/>
      <c r="F347" s="24">
        <f>IF(A347="","",SUM(L347:W347))</f>
        <v/>
      </c>
      <c r="G347" s="36">
        <f>IF(A347="","",SUM(X347:AI347))</f>
        <v/>
      </c>
      <c r="H347" s="8">
        <f>IF(A347="","",IF(ISNA(MATCH(A347,Mitarbeiter!$A$6:$A$205,0)),"Pers.-Nr. unbekannt",IF(D347="","Von fehlt",IF(AND(C347&lt;&gt;Einstellungen!$C$4,C347&lt;&gt;Einstellungen!$C$5),"Objekt fehlt",IF(J347&lt;D347,"Bis vor Von",IF(D347&lt;INDEX(Mitarbeiter!$C$6:$C$205,MATCH($A347,Mitarbeiter!$A$6:$A$205,0)),"vor Eintritt",IF(AND(INDEX(Mitarbeiter!$D$6:$D$205,MATCH($A347,Mitarbeiter!$A$6:$A$205,0))&lt;&gt;"",D347&gt;INDEX(Mitarbeiter!$D$6:$D$205,MATCH($A347,Mitarbeiter!$A$6:$A$205,0))),"nach Austritt",IF(E347="","offen","ok"))))))))</f>
        <v/>
      </c>
      <c r="J347" s="47">
        <f>IF(A347="","",IF(E347="",Einstellungen!$C$9,E347))</f>
        <v/>
      </c>
      <c r="K347" s="48">
        <f>IF(A347="",0,IFERROR(INDEX(Mitarbeiter!$F$6:$F$205,MATCH($A347,Mitarbeiter!$A$6:$A$205,0)),0))</f>
        <v/>
      </c>
      <c r="L347" s="49">
        <f>IF(OR(A347="",D347=""),0,MAX(0,NETWORKDAYS(MAX(D347,DATE(Einstellungen!$C$3,1,1)),MIN(J347,DATE(Einstellungen!$C$3,2,0)),Einstellungen!$F$13:$F$32)))</f>
        <v/>
      </c>
      <c r="M347" s="49">
        <f>IF(OR(A347="",D347=""),0,MAX(0,NETWORKDAYS(MAX(D347,DATE(Einstellungen!$C$3,2,1)),MIN(J347,DATE(Einstellungen!$C$3,3,0)),Einstellungen!$F$13:$F$32)))</f>
        <v/>
      </c>
      <c r="N347" s="49">
        <f>IF(OR(A347="",D347=""),0,MAX(0,NETWORKDAYS(MAX(D347,DATE(Einstellungen!$C$3,3,1)),MIN(J347,DATE(Einstellungen!$C$3,4,0)),Einstellungen!$F$13:$F$32)))</f>
        <v/>
      </c>
      <c r="O347" s="49">
        <f>IF(OR(A347="",D347=""),0,MAX(0,NETWORKDAYS(MAX(D347,DATE(Einstellungen!$C$3,4,1)),MIN(J347,DATE(Einstellungen!$C$3,5,0)),Einstellungen!$F$13:$F$32)))</f>
        <v/>
      </c>
      <c r="P347" s="49">
        <f>IF(OR(A347="",D347=""),0,MAX(0,NETWORKDAYS(MAX(D347,DATE(Einstellungen!$C$3,5,1)),MIN(J347,DATE(Einstellungen!$C$3,6,0)),Einstellungen!$F$13:$F$32)))</f>
        <v/>
      </c>
      <c r="Q347" s="49">
        <f>IF(OR(A347="",D347=""),0,MAX(0,NETWORKDAYS(MAX(D347,DATE(Einstellungen!$C$3,6,1)),MIN(J347,DATE(Einstellungen!$C$3,7,0)),Einstellungen!$F$13:$F$32)))</f>
        <v/>
      </c>
      <c r="R347" s="49">
        <f>IF(OR(A347="",D347=""),0,MAX(0,NETWORKDAYS(MAX(D347,DATE(Einstellungen!$C$3,7,1)),MIN(J347,DATE(Einstellungen!$C$3,8,0)),Einstellungen!$F$13:$F$32)))</f>
        <v/>
      </c>
      <c r="S347" s="49">
        <f>IF(OR(A347="",D347=""),0,MAX(0,NETWORKDAYS(MAX(D347,DATE(Einstellungen!$C$3,8,1)),MIN(J347,DATE(Einstellungen!$C$3,9,0)),Einstellungen!$F$13:$F$32)))</f>
        <v/>
      </c>
      <c r="T347" s="49">
        <f>IF(OR(A347="",D347=""),0,MAX(0,NETWORKDAYS(MAX(D347,DATE(Einstellungen!$C$3,9,1)),MIN(J347,DATE(Einstellungen!$C$3,10,0)),Einstellungen!$F$13:$F$32)))</f>
        <v/>
      </c>
      <c r="U347" s="49">
        <f>IF(OR(A347="",D347=""),0,MAX(0,NETWORKDAYS(MAX(D347,DATE(Einstellungen!$C$3,10,1)),MIN(J347,DATE(Einstellungen!$C$3,11,0)),Einstellungen!$F$13:$F$32)))</f>
        <v/>
      </c>
      <c r="V347" s="49">
        <f>IF(OR(A347="",D347=""),0,MAX(0,NETWORKDAYS(MAX(D347,DATE(Einstellungen!$C$3,11,1)),MIN(J347,DATE(Einstellungen!$C$3,12,0)),Einstellungen!$F$13:$F$32)))</f>
        <v/>
      </c>
      <c r="W347" s="49">
        <f>IF(OR(A347="",D347=""),0,MAX(0,NETWORKDAYS(MAX(D347,DATE(Einstellungen!$C$3,12,1)),MIN(J347,DATE(Einstellungen!$C$3,13,0)),Einstellungen!$F$13:$F$32)))</f>
        <v/>
      </c>
      <c r="X347" s="50">
        <f>L347*K347</f>
        <v/>
      </c>
      <c r="Y347" s="50">
        <f>M347*K347</f>
        <v/>
      </c>
      <c r="Z347" s="50">
        <f>N347*K347</f>
        <v/>
      </c>
      <c r="AA347" s="50">
        <f>O347*K347</f>
        <v/>
      </c>
      <c r="AB347" s="50">
        <f>P347*K347</f>
        <v/>
      </c>
      <c r="AC347" s="50">
        <f>Q347*K347</f>
        <v/>
      </c>
      <c r="AD347" s="50">
        <f>R347*K347</f>
        <v/>
      </c>
      <c r="AE347" s="50">
        <f>S347*K347</f>
        <v/>
      </c>
      <c r="AF347" s="50">
        <f>T347*K347</f>
        <v/>
      </c>
      <c r="AG347" s="50">
        <f>U347*K347</f>
        <v/>
      </c>
      <c r="AH347" s="50">
        <f>V347*K347</f>
        <v/>
      </c>
      <c r="AI347" s="50">
        <f>W347*K347</f>
        <v/>
      </c>
    </row>
    <row r="348">
      <c r="A348" s="25" t="n"/>
      <c r="B348" s="45">
        <f>IF(A348="","",IFERROR(INDEX(Mitarbeiter!$B$6:$B$205,MATCH($A348,Mitarbeiter!$A$6:$A$205,0)),"?"))</f>
        <v/>
      </c>
      <c r="C348" s="46" t="n"/>
      <c r="D348" s="26" t="n"/>
      <c r="E348" s="26" t="n"/>
      <c r="F348" s="24">
        <f>IF(A348="","",SUM(L348:W348))</f>
        <v/>
      </c>
      <c r="G348" s="36">
        <f>IF(A348="","",SUM(X348:AI348))</f>
        <v/>
      </c>
      <c r="H348" s="8">
        <f>IF(A348="","",IF(ISNA(MATCH(A348,Mitarbeiter!$A$6:$A$205,0)),"Pers.-Nr. unbekannt",IF(D348="","Von fehlt",IF(AND(C348&lt;&gt;Einstellungen!$C$4,C348&lt;&gt;Einstellungen!$C$5),"Objekt fehlt",IF(J348&lt;D348,"Bis vor Von",IF(D348&lt;INDEX(Mitarbeiter!$C$6:$C$205,MATCH($A348,Mitarbeiter!$A$6:$A$205,0)),"vor Eintritt",IF(AND(INDEX(Mitarbeiter!$D$6:$D$205,MATCH($A348,Mitarbeiter!$A$6:$A$205,0))&lt;&gt;"",D348&gt;INDEX(Mitarbeiter!$D$6:$D$205,MATCH($A348,Mitarbeiter!$A$6:$A$205,0))),"nach Austritt",IF(E348="","offen","ok"))))))))</f>
        <v/>
      </c>
      <c r="J348" s="47">
        <f>IF(A348="","",IF(E348="",Einstellungen!$C$9,E348))</f>
        <v/>
      </c>
      <c r="K348" s="48">
        <f>IF(A348="",0,IFERROR(INDEX(Mitarbeiter!$F$6:$F$205,MATCH($A348,Mitarbeiter!$A$6:$A$205,0)),0))</f>
        <v/>
      </c>
      <c r="L348" s="49">
        <f>IF(OR(A348="",D348=""),0,MAX(0,NETWORKDAYS(MAX(D348,DATE(Einstellungen!$C$3,1,1)),MIN(J348,DATE(Einstellungen!$C$3,2,0)),Einstellungen!$F$13:$F$32)))</f>
        <v/>
      </c>
      <c r="M348" s="49">
        <f>IF(OR(A348="",D348=""),0,MAX(0,NETWORKDAYS(MAX(D348,DATE(Einstellungen!$C$3,2,1)),MIN(J348,DATE(Einstellungen!$C$3,3,0)),Einstellungen!$F$13:$F$32)))</f>
        <v/>
      </c>
      <c r="N348" s="49">
        <f>IF(OR(A348="",D348=""),0,MAX(0,NETWORKDAYS(MAX(D348,DATE(Einstellungen!$C$3,3,1)),MIN(J348,DATE(Einstellungen!$C$3,4,0)),Einstellungen!$F$13:$F$32)))</f>
        <v/>
      </c>
      <c r="O348" s="49">
        <f>IF(OR(A348="",D348=""),0,MAX(0,NETWORKDAYS(MAX(D348,DATE(Einstellungen!$C$3,4,1)),MIN(J348,DATE(Einstellungen!$C$3,5,0)),Einstellungen!$F$13:$F$32)))</f>
        <v/>
      </c>
      <c r="P348" s="49">
        <f>IF(OR(A348="",D348=""),0,MAX(0,NETWORKDAYS(MAX(D348,DATE(Einstellungen!$C$3,5,1)),MIN(J348,DATE(Einstellungen!$C$3,6,0)),Einstellungen!$F$13:$F$32)))</f>
        <v/>
      </c>
      <c r="Q348" s="49">
        <f>IF(OR(A348="",D348=""),0,MAX(0,NETWORKDAYS(MAX(D348,DATE(Einstellungen!$C$3,6,1)),MIN(J348,DATE(Einstellungen!$C$3,7,0)),Einstellungen!$F$13:$F$32)))</f>
        <v/>
      </c>
      <c r="R348" s="49">
        <f>IF(OR(A348="",D348=""),0,MAX(0,NETWORKDAYS(MAX(D348,DATE(Einstellungen!$C$3,7,1)),MIN(J348,DATE(Einstellungen!$C$3,8,0)),Einstellungen!$F$13:$F$32)))</f>
        <v/>
      </c>
      <c r="S348" s="49">
        <f>IF(OR(A348="",D348=""),0,MAX(0,NETWORKDAYS(MAX(D348,DATE(Einstellungen!$C$3,8,1)),MIN(J348,DATE(Einstellungen!$C$3,9,0)),Einstellungen!$F$13:$F$32)))</f>
        <v/>
      </c>
      <c r="T348" s="49">
        <f>IF(OR(A348="",D348=""),0,MAX(0,NETWORKDAYS(MAX(D348,DATE(Einstellungen!$C$3,9,1)),MIN(J348,DATE(Einstellungen!$C$3,10,0)),Einstellungen!$F$13:$F$32)))</f>
        <v/>
      </c>
      <c r="U348" s="49">
        <f>IF(OR(A348="",D348=""),0,MAX(0,NETWORKDAYS(MAX(D348,DATE(Einstellungen!$C$3,10,1)),MIN(J348,DATE(Einstellungen!$C$3,11,0)),Einstellungen!$F$13:$F$32)))</f>
        <v/>
      </c>
      <c r="V348" s="49">
        <f>IF(OR(A348="",D348=""),0,MAX(0,NETWORKDAYS(MAX(D348,DATE(Einstellungen!$C$3,11,1)),MIN(J348,DATE(Einstellungen!$C$3,12,0)),Einstellungen!$F$13:$F$32)))</f>
        <v/>
      </c>
      <c r="W348" s="49">
        <f>IF(OR(A348="",D348=""),0,MAX(0,NETWORKDAYS(MAX(D348,DATE(Einstellungen!$C$3,12,1)),MIN(J348,DATE(Einstellungen!$C$3,13,0)),Einstellungen!$F$13:$F$32)))</f>
        <v/>
      </c>
      <c r="X348" s="50">
        <f>L348*K348</f>
        <v/>
      </c>
      <c r="Y348" s="50">
        <f>M348*K348</f>
        <v/>
      </c>
      <c r="Z348" s="50">
        <f>N348*K348</f>
        <v/>
      </c>
      <c r="AA348" s="50">
        <f>O348*K348</f>
        <v/>
      </c>
      <c r="AB348" s="50">
        <f>P348*K348</f>
        <v/>
      </c>
      <c r="AC348" s="50">
        <f>Q348*K348</f>
        <v/>
      </c>
      <c r="AD348" s="50">
        <f>R348*K348</f>
        <v/>
      </c>
      <c r="AE348" s="50">
        <f>S348*K348</f>
        <v/>
      </c>
      <c r="AF348" s="50">
        <f>T348*K348</f>
        <v/>
      </c>
      <c r="AG348" s="50">
        <f>U348*K348</f>
        <v/>
      </c>
      <c r="AH348" s="50">
        <f>V348*K348</f>
        <v/>
      </c>
      <c r="AI348" s="50">
        <f>W348*K348</f>
        <v/>
      </c>
    </row>
    <row r="349">
      <c r="A349" s="25" t="n"/>
      <c r="B349" s="45">
        <f>IF(A349="","",IFERROR(INDEX(Mitarbeiter!$B$6:$B$205,MATCH($A349,Mitarbeiter!$A$6:$A$205,0)),"?"))</f>
        <v/>
      </c>
      <c r="C349" s="46" t="n"/>
      <c r="D349" s="26" t="n"/>
      <c r="E349" s="26" t="n"/>
      <c r="F349" s="24">
        <f>IF(A349="","",SUM(L349:W349))</f>
        <v/>
      </c>
      <c r="G349" s="36">
        <f>IF(A349="","",SUM(X349:AI349))</f>
        <v/>
      </c>
      <c r="H349" s="8">
        <f>IF(A349="","",IF(ISNA(MATCH(A349,Mitarbeiter!$A$6:$A$205,0)),"Pers.-Nr. unbekannt",IF(D349="","Von fehlt",IF(AND(C349&lt;&gt;Einstellungen!$C$4,C349&lt;&gt;Einstellungen!$C$5),"Objekt fehlt",IF(J349&lt;D349,"Bis vor Von",IF(D349&lt;INDEX(Mitarbeiter!$C$6:$C$205,MATCH($A349,Mitarbeiter!$A$6:$A$205,0)),"vor Eintritt",IF(AND(INDEX(Mitarbeiter!$D$6:$D$205,MATCH($A349,Mitarbeiter!$A$6:$A$205,0))&lt;&gt;"",D349&gt;INDEX(Mitarbeiter!$D$6:$D$205,MATCH($A349,Mitarbeiter!$A$6:$A$205,0))),"nach Austritt",IF(E349="","offen","ok"))))))))</f>
        <v/>
      </c>
      <c r="J349" s="47">
        <f>IF(A349="","",IF(E349="",Einstellungen!$C$9,E349))</f>
        <v/>
      </c>
      <c r="K349" s="48">
        <f>IF(A349="",0,IFERROR(INDEX(Mitarbeiter!$F$6:$F$205,MATCH($A349,Mitarbeiter!$A$6:$A$205,0)),0))</f>
        <v/>
      </c>
      <c r="L349" s="49">
        <f>IF(OR(A349="",D349=""),0,MAX(0,NETWORKDAYS(MAX(D349,DATE(Einstellungen!$C$3,1,1)),MIN(J349,DATE(Einstellungen!$C$3,2,0)),Einstellungen!$F$13:$F$32)))</f>
        <v/>
      </c>
      <c r="M349" s="49">
        <f>IF(OR(A349="",D349=""),0,MAX(0,NETWORKDAYS(MAX(D349,DATE(Einstellungen!$C$3,2,1)),MIN(J349,DATE(Einstellungen!$C$3,3,0)),Einstellungen!$F$13:$F$32)))</f>
        <v/>
      </c>
      <c r="N349" s="49">
        <f>IF(OR(A349="",D349=""),0,MAX(0,NETWORKDAYS(MAX(D349,DATE(Einstellungen!$C$3,3,1)),MIN(J349,DATE(Einstellungen!$C$3,4,0)),Einstellungen!$F$13:$F$32)))</f>
        <v/>
      </c>
      <c r="O349" s="49">
        <f>IF(OR(A349="",D349=""),0,MAX(0,NETWORKDAYS(MAX(D349,DATE(Einstellungen!$C$3,4,1)),MIN(J349,DATE(Einstellungen!$C$3,5,0)),Einstellungen!$F$13:$F$32)))</f>
        <v/>
      </c>
      <c r="P349" s="49">
        <f>IF(OR(A349="",D349=""),0,MAX(0,NETWORKDAYS(MAX(D349,DATE(Einstellungen!$C$3,5,1)),MIN(J349,DATE(Einstellungen!$C$3,6,0)),Einstellungen!$F$13:$F$32)))</f>
        <v/>
      </c>
      <c r="Q349" s="49">
        <f>IF(OR(A349="",D349=""),0,MAX(0,NETWORKDAYS(MAX(D349,DATE(Einstellungen!$C$3,6,1)),MIN(J349,DATE(Einstellungen!$C$3,7,0)),Einstellungen!$F$13:$F$32)))</f>
        <v/>
      </c>
      <c r="R349" s="49">
        <f>IF(OR(A349="",D349=""),0,MAX(0,NETWORKDAYS(MAX(D349,DATE(Einstellungen!$C$3,7,1)),MIN(J349,DATE(Einstellungen!$C$3,8,0)),Einstellungen!$F$13:$F$32)))</f>
        <v/>
      </c>
      <c r="S349" s="49">
        <f>IF(OR(A349="",D349=""),0,MAX(0,NETWORKDAYS(MAX(D349,DATE(Einstellungen!$C$3,8,1)),MIN(J349,DATE(Einstellungen!$C$3,9,0)),Einstellungen!$F$13:$F$32)))</f>
        <v/>
      </c>
      <c r="T349" s="49">
        <f>IF(OR(A349="",D349=""),0,MAX(0,NETWORKDAYS(MAX(D349,DATE(Einstellungen!$C$3,9,1)),MIN(J349,DATE(Einstellungen!$C$3,10,0)),Einstellungen!$F$13:$F$32)))</f>
        <v/>
      </c>
      <c r="U349" s="49">
        <f>IF(OR(A349="",D349=""),0,MAX(0,NETWORKDAYS(MAX(D349,DATE(Einstellungen!$C$3,10,1)),MIN(J349,DATE(Einstellungen!$C$3,11,0)),Einstellungen!$F$13:$F$32)))</f>
        <v/>
      </c>
      <c r="V349" s="49">
        <f>IF(OR(A349="",D349=""),0,MAX(0,NETWORKDAYS(MAX(D349,DATE(Einstellungen!$C$3,11,1)),MIN(J349,DATE(Einstellungen!$C$3,12,0)),Einstellungen!$F$13:$F$32)))</f>
        <v/>
      </c>
      <c r="W349" s="49">
        <f>IF(OR(A349="",D349=""),0,MAX(0,NETWORKDAYS(MAX(D349,DATE(Einstellungen!$C$3,12,1)),MIN(J349,DATE(Einstellungen!$C$3,13,0)),Einstellungen!$F$13:$F$32)))</f>
        <v/>
      </c>
      <c r="X349" s="50">
        <f>L349*K349</f>
        <v/>
      </c>
      <c r="Y349" s="50">
        <f>M349*K349</f>
        <v/>
      </c>
      <c r="Z349" s="50">
        <f>N349*K349</f>
        <v/>
      </c>
      <c r="AA349" s="50">
        <f>O349*K349</f>
        <v/>
      </c>
      <c r="AB349" s="50">
        <f>P349*K349</f>
        <v/>
      </c>
      <c r="AC349" s="50">
        <f>Q349*K349</f>
        <v/>
      </c>
      <c r="AD349" s="50">
        <f>R349*K349</f>
        <v/>
      </c>
      <c r="AE349" s="50">
        <f>S349*K349</f>
        <v/>
      </c>
      <c r="AF349" s="50">
        <f>T349*K349</f>
        <v/>
      </c>
      <c r="AG349" s="50">
        <f>U349*K349</f>
        <v/>
      </c>
      <c r="AH349" s="50">
        <f>V349*K349</f>
        <v/>
      </c>
      <c r="AI349" s="50">
        <f>W349*K349</f>
        <v/>
      </c>
    </row>
    <row r="350">
      <c r="A350" s="25" t="n"/>
      <c r="B350" s="45">
        <f>IF(A350="","",IFERROR(INDEX(Mitarbeiter!$B$6:$B$205,MATCH($A350,Mitarbeiter!$A$6:$A$205,0)),"?"))</f>
        <v/>
      </c>
      <c r="C350" s="46" t="n"/>
      <c r="D350" s="26" t="n"/>
      <c r="E350" s="26" t="n"/>
      <c r="F350" s="24">
        <f>IF(A350="","",SUM(L350:W350))</f>
        <v/>
      </c>
      <c r="G350" s="36">
        <f>IF(A350="","",SUM(X350:AI350))</f>
        <v/>
      </c>
      <c r="H350" s="8">
        <f>IF(A350="","",IF(ISNA(MATCH(A350,Mitarbeiter!$A$6:$A$205,0)),"Pers.-Nr. unbekannt",IF(D350="","Von fehlt",IF(AND(C350&lt;&gt;Einstellungen!$C$4,C350&lt;&gt;Einstellungen!$C$5),"Objekt fehlt",IF(J350&lt;D350,"Bis vor Von",IF(D350&lt;INDEX(Mitarbeiter!$C$6:$C$205,MATCH($A350,Mitarbeiter!$A$6:$A$205,0)),"vor Eintritt",IF(AND(INDEX(Mitarbeiter!$D$6:$D$205,MATCH($A350,Mitarbeiter!$A$6:$A$205,0))&lt;&gt;"",D350&gt;INDEX(Mitarbeiter!$D$6:$D$205,MATCH($A350,Mitarbeiter!$A$6:$A$205,0))),"nach Austritt",IF(E350="","offen","ok"))))))))</f>
        <v/>
      </c>
      <c r="J350" s="47">
        <f>IF(A350="","",IF(E350="",Einstellungen!$C$9,E350))</f>
        <v/>
      </c>
      <c r="K350" s="48">
        <f>IF(A350="",0,IFERROR(INDEX(Mitarbeiter!$F$6:$F$205,MATCH($A350,Mitarbeiter!$A$6:$A$205,0)),0))</f>
        <v/>
      </c>
      <c r="L350" s="49">
        <f>IF(OR(A350="",D350=""),0,MAX(0,NETWORKDAYS(MAX(D350,DATE(Einstellungen!$C$3,1,1)),MIN(J350,DATE(Einstellungen!$C$3,2,0)),Einstellungen!$F$13:$F$32)))</f>
        <v/>
      </c>
      <c r="M350" s="49">
        <f>IF(OR(A350="",D350=""),0,MAX(0,NETWORKDAYS(MAX(D350,DATE(Einstellungen!$C$3,2,1)),MIN(J350,DATE(Einstellungen!$C$3,3,0)),Einstellungen!$F$13:$F$32)))</f>
        <v/>
      </c>
      <c r="N350" s="49">
        <f>IF(OR(A350="",D350=""),0,MAX(0,NETWORKDAYS(MAX(D350,DATE(Einstellungen!$C$3,3,1)),MIN(J350,DATE(Einstellungen!$C$3,4,0)),Einstellungen!$F$13:$F$32)))</f>
        <v/>
      </c>
      <c r="O350" s="49">
        <f>IF(OR(A350="",D350=""),0,MAX(0,NETWORKDAYS(MAX(D350,DATE(Einstellungen!$C$3,4,1)),MIN(J350,DATE(Einstellungen!$C$3,5,0)),Einstellungen!$F$13:$F$32)))</f>
        <v/>
      </c>
      <c r="P350" s="49">
        <f>IF(OR(A350="",D350=""),0,MAX(0,NETWORKDAYS(MAX(D350,DATE(Einstellungen!$C$3,5,1)),MIN(J350,DATE(Einstellungen!$C$3,6,0)),Einstellungen!$F$13:$F$32)))</f>
        <v/>
      </c>
      <c r="Q350" s="49">
        <f>IF(OR(A350="",D350=""),0,MAX(0,NETWORKDAYS(MAX(D350,DATE(Einstellungen!$C$3,6,1)),MIN(J350,DATE(Einstellungen!$C$3,7,0)),Einstellungen!$F$13:$F$32)))</f>
        <v/>
      </c>
      <c r="R350" s="49">
        <f>IF(OR(A350="",D350=""),0,MAX(0,NETWORKDAYS(MAX(D350,DATE(Einstellungen!$C$3,7,1)),MIN(J350,DATE(Einstellungen!$C$3,8,0)),Einstellungen!$F$13:$F$32)))</f>
        <v/>
      </c>
      <c r="S350" s="49">
        <f>IF(OR(A350="",D350=""),0,MAX(0,NETWORKDAYS(MAX(D350,DATE(Einstellungen!$C$3,8,1)),MIN(J350,DATE(Einstellungen!$C$3,9,0)),Einstellungen!$F$13:$F$32)))</f>
        <v/>
      </c>
      <c r="T350" s="49">
        <f>IF(OR(A350="",D350=""),0,MAX(0,NETWORKDAYS(MAX(D350,DATE(Einstellungen!$C$3,9,1)),MIN(J350,DATE(Einstellungen!$C$3,10,0)),Einstellungen!$F$13:$F$32)))</f>
        <v/>
      </c>
      <c r="U350" s="49">
        <f>IF(OR(A350="",D350=""),0,MAX(0,NETWORKDAYS(MAX(D350,DATE(Einstellungen!$C$3,10,1)),MIN(J350,DATE(Einstellungen!$C$3,11,0)),Einstellungen!$F$13:$F$32)))</f>
        <v/>
      </c>
      <c r="V350" s="49">
        <f>IF(OR(A350="",D350=""),0,MAX(0,NETWORKDAYS(MAX(D350,DATE(Einstellungen!$C$3,11,1)),MIN(J350,DATE(Einstellungen!$C$3,12,0)),Einstellungen!$F$13:$F$32)))</f>
        <v/>
      </c>
      <c r="W350" s="49">
        <f>IF(OR(A350="",D350=""),0,MAX(0,NETWORKDAYS(MAX(D350,DATE(Einstellungen!$C$3,12,1)),MIN(J350,DATE(Einstellungen!$C$3,13,0)),Einstellungen!$F$13:$F$32)))</f>
        <v/>
      </c>
      <c r="X350" s="50">
        <f>L350*K350</f>
        <v/>
      </c>
      <c r="Y350" s="50">
        <f>M350*K350</f>
        <v/>
      </c>
      <c r="Z350" s="50">
        <f>N350*K350</f>
        <v/>
      </c>
      <c r="AA350" s="50">
        <f>O350*K350</f>
        <v/>
      </c>
      <c r="AB350" s="50">
        <f>P350*K350</f>
        <v/>
      </c>
      <c r="AC350" s="50">
        <f>Q350*K350</f>
        <v/>
      </c>
      <c r="AD350" s="50">
        <f>R350*K350</f>
        <v/>
      </c>
      <c r="AE350" s="50">
        <f>S350*K350</f>
        <v/>
      </c>
      <c r="AF350" s="50">
        <f>T350*K350</f>
        <v/>
      </c>
      <c r="AG350" s="50">
        <f>U350*K350</f>
        <v/>
      </c>
      <c r="AH350" s="50">
        <f>V350*K350</f>
        <v/>
      </c>
      <c r="AI350" s="50">
        <f>W350*K350</f>
        <v/>
      </c>
    </row>
    <row r="351">
      <c r="A351" s="25" t="n"/>
      <c r="B351" s="45">
        <f>IF(A351="","",IFERROR(INDEX(Mitarbeiter!$B$6:$B$205,MATCH($A351,Mitarbeiter!$A$6:$A$205,0)),"?"))</f>
        <v/>
      </c>
      <c r="C351" s="46" t="n"/>
      <c r="D351" s="26" t="n"/>
      <c r="E351" s="26" t="n"/>
      <c r="F351" s="24">
        <f>IF(A351="","",SUM(L351:W351))</f>
        <v/>
      </c>
      <c r="G351" s="36">
        <f>IF(A351="","",SUM(X351:AI351))</f>
        <v/>
      </c>
      <c r="H351" s="8">
        <f>IF(A351="","",IF(ISNA(MATCH(A351,Mitarbeiter!$A$6:$A$205,0)),"Pers.-Nr. unbekannt",IF(D351="","Von fehlt",IF(AND(C351&lt;&gt;Einstellungen!$C$4,C351&lt;&gt;Einstellungen!$C$5),"Objekt fehlt",IF(J351&lt;D351,"Bis vor Von",IF(D351&lt;INDEX(Mitarbeiter!$C$6:$C$205,MATCH($A351,Mitarbeiter!$A$6:$A$205,0)),"vor Eintritt",IF(AND(INDEX(Mitarbeiter!$D$6:$D$205,MATCH($A351,Mitarbeiter!$A$6:$A$205,0))&lt;&gt;"",D351&gt;INDEX(Mitarbeiter!$D$6:$D$205,MATCH($A351,Mitarbeiter!$A$6:$A$205,0))),"nach Austritt",IF(E351="","offen","ok"))))))))</f>
        <v/>
      </c>
      <c r="J351" s="47">
        <f>IF(A351="","",IF(E351="",Einstellungen!$C$9,E351))</f>
        <v/>
      </c>
      <c r="K351" s="48">
        <f>IF(A351="",0,IFERROR(INDEX(Mitarbeiter!$F$6:$F$205,MATCH($A351,Mitarbeiter!$A$6:$A$205,0)),0))</f>
        <v/>
      </c>
      <c r="L351" s="49">
        <f>IF(OR(A351="",D351=""),0,MAX(0,NETWORKDAYS(MAX(D351,DATE(Einstellungen!$C$3,1,1)),MIN(J351,DATE(Einstellungen!$C$3,2,0)),Einstellungen!$F$13:$F$32)))</f>
        <v/>
      </c>
      <c r="M351" s="49">
        <f>IF(OR(A351="",D351=""),0,MAX(0,NETWORKDAYS(MAX(D351,DATE(Einstellungen!$C$3,2,1)),MIN(J351,DATE(Einstellungen!$C$3,3,0)),Einstellungen!$F$13:$F$32)))</f>
        <v/>
      </c>
      <c r="N351" s="49">
        <f>IF(OR(A351="",D351=""),0,MAX(0,NETWORKDAYS(MAX(D351,DATE(Einstellungen!$C$3,3,1)),MIN(J351,DATE(Einstellungen!$C$3,4,0)),Einstellungen!$F$13:$F$32)))</f>
        <v/>
      </c>
      <c r="O351" s="49">
        <f>IF(OR(A351="",D351=""),0,MAX(0,NETWORKDAYS(MAX(D351,DATE(Einstellungen!$C$3,4,1)),MIN(J351,DATE(Einstellungen!$C$3,5,0)),Einstellungen!$F$13:$F$32)))</f>
        <v/>
      </c>
      <c r="P351" s="49">
        <f>IF(OR(A351="",D351=""),0,MAX(0,NETWORKDAYS(MAX(D351,DATE(Einstellungen!$C$3,5,1)),MIN(J351,DATE(Einstellungen!$C$3,6,0)),Einstellungen!$F$13:$F$32)))</f>
        <v/>
      </c>
      <c r="Q351" s="49">
        <f>IF(OR(A351="",D351=""),0,MAX(0,NETWORKDAYS(MAX(D351,DATE(Einstellungen!$C$3,6,1)),MIN(J351,DATE(Einstellungen!$C$3,7,0)),Einstellungen!$F$13:$F$32)))</f>
        <v/>
      </c>
      <c r="R351" s="49">
        <f>IF(OR(A351="",D351=""),0,MAX(0,NETWORKDAYS(MAX(D351,DATE(Einstellungen!$C$3,7,1)),MIN(J351,DATE(Einstellungen!$C$3,8,0)),Einstellungen!$F$13:$F$32)))</f>
        <v/>
      </c>
      <c r="S351" s="49">
        <f>IF(OR(A351="",D351=""),0,MAX(0,NETWORKDAYS(MAX(D351,DATE(Einstellungen!$C$3,8,1)),MIN(J351,DATE(Einstellungen!$C$3,9,0)),Einstellungen!$F$13:$F$32)))</f>
        <v/>
      </c>
      <c r="T351" s="49">
        <f>IF(OR(A351="",D351=""),0,MAX(0,NETWORKDAYS(MAX(D351,DATE(Einstellungen!$C$3,9,1)),MIN(J351,DATE(Einstellungen!$C$3,10,0)),Einstellungen!$F$13:$F$32)))</f>
        <v/>
      </c>
      <c r="U351" s="49">
        <f>IF(OR(A351="",D351=""),0,MAX(0,NETWORKDAYS(MAX(D351,DATE(Einstellungen!$C$3,10,1)),MIN(J351,DATE(Einstellungen!$C$3,11,0)),Einstellungen!$F$13:$F$32)))</f>
        <v/>
      </c>
      <c r="V351" s="49">
        <f>IF(OR(A351="",D351=""),0,MAX(0,NETWORKDAYS(MAX(D351,DATE(Einstellungen!$C$3,11,1)),MIN(J351,DATE(Einstellungen!$C$3,12,0)),Einstellungen!$F$13:$F$32)))</f>
        <v/>
      </c>
      <c r="W351" s="49">
        <f>IF(OR(A351="",D351=""),0,MAX(0,NETWORKDAYS(MAX(D351,DATE(Einstellungen!$C$3,12,1)),MIN(J351,DATE(Einstellungen!$C$3,13,0)),Einstellungen!$F$13:$F$32)))</f>
        <v/>
      </c>
      <c r="X351" s="50">
        <f>L351*K351</f>
        <v/>
      </c>
      <c r="Y351" s="50">
        <f>M351*K351</f>
        <v/>
      </c>
      <c r="Z351" s="50">
        <f>N351*K351</f>
        <v/>
      </c>
      <c r="AA351" s="50">
        <f>O351*K351</f>
        <v/>
      </c>
      <c r="AB351" s="50">
        <f>P351*K351</f>
        <v/>
      </c>
      <c r="AC351" s="50">
        <f>Q351*K351</f>
        <v/>
      </c>
      <c r="AD351" s="50">
        <f>R351*K351</f>
        <v/>
      </c>
      <c r="AE351" s="50">
        <f>S351*K351</f>
        <v/>
      </c>
      <c r="AF351" s="50">
        <f>T351*K351</f>
        <v/>
      </c>
      <c r="AG351" s="50">
        <f>U351*K351</f>
        <v/>
      </c>
      <c r="AH351" s="50">
        <f>V351*K351</f>
        <v/>
      </c>
      <c r="AI351" s="50">
        <f>W351*K351</f>
        <v/>
      </c>
    </row>
    <row r="352">
      <c r="A352" s="25" t="n"/>
      <c r="B352" s="45">
        <f>IF(A352="","",IFERROR(INDEX(Mitarbeiter!$B$6:$B$205,MATCH($A352,Mitarbeiter!$A$6:$A$205,0)),"?"))</f>
        <v/>
      </c>
      <c r="C352" s="46" t="n"/>
      <c r="D352" s="26" t="n"/>
      <c r="E352" s="26" t="n"/>
      <c r="F352" s="24">
        <f>IF(A352="","",SUM(L352:W352))</f>
        <v/>
      </c>
      <c r="G352" s="36">
        <f>IF(A352="","",SUM(X352:AI352))</f>
        <v/>
      </c>
      <c r="H352" s="8">
        <f>IF(A352="","",IF(ISNA(MATCH(A352,Mitarbeiter!$A$6:$A$205,0)),"Pers.-Nr. unbekannt",IF(D352="","Von fehlt",IF(AND(C352&lt;&gt;Einstellungen!$C$4,C352&lt;&gt;Einstellungen!$C$5),"Objekt fehlt",IF(J352&lt;D352,"Bis vor Von",IF(D352&lt;INDEX(Mitarbeiter!$C$6:$C$205,MATCH($A352,Mitarbeiter!$A$6:$A$205,0)),"vor Eintritt",IF(AND(INDEX(Mitarbeiter!$D$6:$D$205,MATCH($A352,Mitarbeiter!$A$6:$A$205,0))&lt;&gt;"",D352&gt;INDEX(Mitarbeiter!$D$6:$D$205,MATCH($A352,Mitarbeiter!$A$6:$A$205,0))),"nach Austritt",IF(E352="","offen","ok"))))))))</f>
        <v/>
      </c>
      <c r="J352" s="47">
        <f>IF(A352="","",IF(E352="",Einstellungen!$C$9,E352))</f>
        <v/>
      </c>
      <c r="K352" s="48">
        <f>IF(A352="",0,IFERROR(INDEX(Mitarbeiter!$F$6:$F$205,MATCH($A352,Mitarbeiter!$A$6:$A$205,0)),0))</f>
        <v/>
      </c>
      <c r="L352" s="49">
        <f>IF(OR(A352="",D352=""),0,MAX(0,NETWORKDAYS(MAX(D352,DATE(Einstellungen!$C$3,1,1)),MIN(J352,DATE(Einstellungen!$C$3,2,0)),Einstellungen!$F$13:$F$32)))</f>
        <v/>
      </c>
      <c r="M352" s="49">
        <f>IF(OR(A352="",D352=""),0,MAX(0,NETWORKDAYS(MAX(D352,DATE(Einstellungen!$C$3,2,1)),MIN(J352,DATE(Einstellungen!$C$3,3,0)),Einstellungen!$F$13:$F$32)))</f>
        <v/>
      </c>
      <c r="N352" s="49">
        <f>IF(OR(A352="",D352=""),0,MAX(0,NETWORKDAYS(MAX(D352,DATE(Einstellungen!$C$3,3,1)),MIN(J352,DATE(Einstellungen!$C$3,4,0)),Einstellungen!$F$13:$F$32)))</f>
        <v/>
      </c>
      <c r="O352" s="49">
        <f>IF(OR(A352="",D352=""),0,MAX(0,NETWORKDAYS(MAX(D352,DATE(Einstellungen!$C$3,4,1)),MIN(J352,DATE(Einstellungen!$C$3,5,0)),Einstellungen!$F$13:$F$32)))</f>
        <v/>
      </c>
      <c r="P352" s="49">
        <f>IF(OR(A352="",D352=""),0,MAX(0,NETWORKDAYS(MAX(D352,DATE(Einstellungen!$C$3,5,1)),MIN(J352,DATE(Einstellungen!$C$3,6,0)),Einstellungen!$F$13:$F$32)))</f>
        <v/>
      </c>
      <c r="Q352" s="49">
        <f>IF(OR(A352="",D352=""),0,MAX(0,NETWORKDAYS(MAX(D352,DATE(Einstellungen!$C$3,6,1)),MIN(J352,DATE(Einstellungen!$C$3,7,0)),Einstellungen!$F$13:$F$32)))</f>
        <v/>
      </c>
      <c r="R352" s="49">
        <f>IF(OR(A352="",D352=""),0,MAX(0,NETWORKDAYS(MAX(D352,DATE(Einstellungen!$C$3,7,1)),MIN(J352,DATE(Einstellungen!$C$3,8,0)),Einstellungen!$F$13:$F$32)))</f>
        <v/>
      </c>
      <c r="S352" s="49">
        <f>IF(OR(A352="",D352=""),0,MAX(0,NETWORKDAYS(MAX(D352,DATE(Einstellungen!$C$3,8,1)),MIN(J352,DATE(Einstellungen!$C$3,9,0)),Einstellungen!$F$13:$F$32)))</f>
        <v/>
      </c>
      <c r="T352" s="49">
        <f>IF(OR(A352="",D352=""),0,MAX(0,NETWORKDAYS(MAX(D352,DATE(Einstellungen!$C$3,9,1)),MIN(J352,DATE(Einstellungen!$C$3,10,0)),Einstellungen!$F$13:$F$32)))</f>
        <v/>
      </c>
      <c r="U352" s="49">
        <f>IF(OR(A352="",D352=""),0,MAX(0,NETWORKDAYS(MAX(D352,DATE(Einstellungen!$C$3,10,1)),MIN(J352,DATE(Einstellungen!$C$3,11,0)),Einstellungen!$F$13:$F$32)))</f>
        <v/>
      </c>
      <c r="V352" s="49">
        <f>IF(OR(A352="",D352=""),0,MAX(0,NETWORKDAYS(MAX(D352,DATE(Einstellungen!$C$3,11,1)),MIN(J352,DATE(Einstellungen!$C$3,12,0)),Einstellungen!$F$13:$F$32)))</f>
        <v/>
      </c>
      <c r="W352" s="49">
        <f>IF(OR(A352="",D352=""),0,MAX(0,NETWORKDAYS(MAX(D352,DATE(Einstellungen!$C$3,12,1)),MIN(J352,DATE(Einstellungen!$C$3,13,0)),Einstellungen!$F$13:$F$32)))</f>
        <v/>
      </c>
      <c r="X352" s="50">
        <f>L352*K352</f>
        <v/>
      </c>
      <c r="Y352" s="50">
        <f>M352*K352</f>
        <v/>
      </c>
      <c r="Z352" s="50">
        <f>N352*K352</f>
        <v/>
      </c>
      <c r="AA352" s="50">
        <f>O352*K352</f>
        <v/>
      </c>
      <c r="AB352" s="50">
        <f>P352*K352</f>
        <v/>
      </c>
      <c r="AC352" s="50">
        <f>Q352*K352</f>
        <v/>
      </c>
      <c r="AD352" s="50">
        <f>R352*K352</f>
        <v/>
      </c>
      <c r="AE352" s="50">
        <f>S352*K352</f>
        <v/>
      </c>
      <c r="AF352" s="50">
        <f>T352*K352</f>
        <v/>
      </c>
      <c r="AG352" s="50">
        <f>U352*K352</f>
        <v/>
      </c>
      <c r="AH352" s="50">
        <f>V352*K352</f>
        <v/>
      </c>
      <c r="AI352" s="50">
        <f>W352*K352</f>
        <v/>
      </c>
    </row>
    <row r="353">
      <c r="A353" s="25" t="n"/>
      <c r="B353" s="45">
        <f>IF(A353="","",IFERROR(INDEX(Mitarbeiter!$B$6:$B$205,MATCH($A353,Mitarbeiter!$A$6:$A$205,0)),"?"))</f>
        <v/>
      </c>
      <c r="C353" s="46" t="n"/>
      <c r="D353" s="26" t="n"/>
      <c r="E353" s="26" t="n"/>
      <c r="F353" s="24">
        <f>IF(A353="","",SUM(L353:W353))</f>
        <v/>
      </c>
      <c r="G353" s="36">
        <f>IF(A353="","",SUM(X353:AI353))</f>
        <v/>
      </c>
      <c r="H353" s="8">
        <f>IF(A353="","",IF(ISNA(MATCH(A353,Mitarbeiter!$A$6:$A$205,0)),"Pers.-Nr. unbekannt",IF(D353="","Von fehlt",IF(AND(C353&lt;&gt;Einstellungen!$C$4,C353&lt;&gt;Einstellungen!$C$5),"Objekt fehlt",IF(J353&lt;D353,"Bis vor Von",IF(D353&lt;INDEX(Mitarbeiter!$C$6:$C$205,MATCH($A353,Mitarbeiter!$A$6:$A$205,0)),"vor Eintritt",IF(AND(INDEX(Mitarbeiter!$D$6:$D$205,MATCH($A353,Mitarbeiter!$A$6:$A$205,0))&lt;&gt;"",D353&gt;INDEX(Mitarbeiter!$D$6:$D$205,MATCH($A353,Mitarbeiter!$A$6:$A$205,0))),"nach Austritt",IF(E353="","offen","ok"))))))))</f>
        <v/>
      </c>
      <c r="J353" s="47">
        <f>IF(A353="","",IF(E353="",Einstellungen!$C$9,E353))</f>
        <v/>
      </c>
      <c r="K353" s="48">
        <f>IF(A353="",0,IFERROR(INDEX(Mitarbeiter!$F$6:$F$205,MATCH($A353,Mitarbeiter!$A$6:$A$205,0)),0))</f>
        <v/>
      </c>
      <c r="L353" s="49">
        <f>IF(OR(A353="",D353=""),0,MAX(0,NETWORKDAYS(MAX(D353,DATE(Einstellungen!$C$3,1,1)),MIN(J353,DATE(Einstellungen!$C$3,2,0)),Einstellungen!$F$13:$F$32)))</f>
        <v/>
      </c>
      <c r="M353" s="49">
        <f>IF(OR(A353="",D353=""),0,MAX(0,NETWORKDAYS(MAX(D353,DATE(Einstellungen!$C$3,2,1)),MIN(J353,DATE(Einstellungen!$C$3,3,0)),Einstellungen!$F$13:$F$32)))</f>
        <v/>
      </c>
      <c r="N353" s="49">
        <f>IF(OR(A353="",D353=""),0,MAX(0,NETWORKDAYS(MAX(D353,DATE(Einstellungen!$C$3,3,1)),MIN(J353,DATE(Einstellungen!$C$3,4,0)),Einstellungen!$F$13:$F$32)))</f>
        <v/>
      </c>
      <c r="O353" s="49">
        <f>IF(OR(A353="",D353=""),0,MAX(0,NETWORKDAYS(MAX(D353,DATE(Einstellungen!$C$3,4,1)),MIN(J353,DATE(Einstellungen!$C$3,5,0)),Einstellungen!$F$13:$F$32)))</f>
        <v/>
      </c>
      <c r="P353" s="49">
        <f>IF(OR(A353="",D353=""),0,MAX(0,NETWORKDAYS(MAX(D353,DATE(Einstellungen!$C$3,5,1)),MIN(J353,DATE(Einstellungen!$C$3,6,0)),Einstellungen!$F$13:$F$32)))</f>
        <v/>
      </c>
      <c r="Q353" s="49">
        <f>IF(OR(A353="",D353=""),0,MAX(0,NETWORKDAYS(MAX(D353,DATE(Einstellungen!$C$3,6,1)),MIN(J353,DATE(Einstellungen!$C$3,7,0)),Einstellungen!$F$13:$F$32)))</f>
        <v/>
      </c>
      <c r="R353" s="49">
        <f>IF(OR(A353="",D353=""),0,MAX(0,NETWORKDAYS(MAX(D353,DATE(Einstellungen!$C$3,7,1)),MIN(J353,DATE(Einstellungen!$C$3,8,0)),Einstellungen!$F$13:$F$32)))</f>
        <v/>
      </c>
      <c r="S353" s="49">
        <f>IF(OR(A353="",D353=""),0,MAX(0,NETWORKDAYS(MAX(D353,DATE(Einstellungen!$C$3,8,1)),MIN(J353,DATE(Einstellungen!$C$3,9,0)),Einstellungen!$F$13:$F$32)))</f>
        <v/>
      </c>
      <c r="T353" s="49">
        <f>IF(OR(A353="",D353=""),0,MAX(0,NETWORKDAYS(MAX(D353,DATE(Einstellungen!$C$3,9,1)),MIN(J353,DATE(Einstellungen!$C$3,10,0)),Einstellungen!$F$13:$F$32)))</f>
        <v/>
      </c>
      <c r="U353" s="49">
        <f>IF(OR(A353="",D353=""),0,MAX(0,NETWORKDAYS(MAX(D353,DATE(Einstellungen!$C$3,10,1)),MIN(J353,DATE(Einstellungen!$C$3,11,0)),Einstellungen!$F$13:$F$32)))</f>
        <v/>
      </c>
      <c r="V353" s="49">
        <f>IF(OR(A353="",D353=""),0,MAX(0,NETWORKDAYS(MAX(D353,DATE(Einstellungen!$C$3,11,1)),MIN(J353,DATE(Einstellungen!$C$3,12,0)),Einstellungen!$F$13:$F$32)))</f>
        <v/>
      </c>
      <c r="W353" s="49">
        <f>IF(OR(A353="",D353=""),0,MAX(0,NETWORKDAYS(MAX(D353,DATE(Einstellungen!$C$3,12,1)),MIN(J353,DATE(Einstellungen!$C$3,13,0)),Einstellungen!$F$13:$F$32)))</f>
        <v/>
      </c>
      <c r="X353" s="50">
        <f>L353*K353</f>
        <v/>
      </c>
      <c r="Y353" s="50">
        <f>M353*K353</f>
        <v/>
      </c>
      <c r="Z353" s="50">
        <f>N353*K353</f>
        <v/>
      </c>
      <c r="AA353" s="50">
        <f>O353*K353</f>
        <v/>
      </c>
      <c r="AB353" s="50">
        <f>P353*K353</f>
        <v/>
      </c>
      <c r="AC353" s="50">
        <f>Q353*K353</f>
        <v/>
      </c>
      <c r="AD353" s="50">
        <f>R353*K353</f>
        <v/>
      </c>
      <c r="AE353" s="50">
        <f>S353*K353</f>
        <v/>
      </c>
      <c r="AF353" s="50">
        <f>T353*K353</f>
        <v/>
      </c>
      <c r="AG353" s="50">
        <f>U353*K353</f>
        <v/>
      </c>
      <c r="AH353" s="50">
        <f>V353*K353</f>
        <v/>
      </c>
      <c r="AI353" s="50">
        <f>W353*K353</f>
        <v/>
      </c>
    </row>
    <row r="354">
      <c r="A354" s="25" t="n"/>
      <c r="B354" s="45">
        <f>IF(A354="","",IFERROR(INDEX(Mitarbeiter!$B$6:$B$205,MATCH($A354,Mitarbeiter!$A$6:$A$205,0)),"?"))</f>
        <v/>
      </c>
      <c r="C354" s="46" t="n"/>
      <c r="D354" s="26" t="n"/>
      <c r="E354" s="26" t="n"/>
      <c r="F354" s="24">
        <f>IF(A354="","",SUM(L354:W354))</f>
        <v/>
      </c>
      <c r="G354" s="36">
        <f>IF(A354="","",SUM(X354:AI354))</f>
        <v/>
      </c>
      <c r="H354" s="8">
        <f>IF(A354="","",IF(ISNA(MATCH(A354,Mitarbeiter!$A$6:$A$205,0)),"Pers.-Nr. unbekannt",IF(D354="","Von fehlt",IF(AND(C354&lt;&gt;Einstellungen!$C$4,C354&lt;&gt;Einstellungen!$C$5),"Objekt fehlt",IF(J354&lt;D354,"Bis vor Von",IF(D354&lt;INDEX(Mitarbeiter!$C$6:$C$205,MATCH($A354,Mitarbeiter!$A$6:$A$205,0)),"vor Eintritt",IF(AND(INDEX(Mitarbeiter!$D$6:$D$205,MATCH($A354,Mitarbeiter!$A$6:$A$205,0))&lt;&gt;"",D354&gt;INDEX(Mitarbeiter!$D$6:$D$205,MATCH($A354,Mitarbeiter!$A$6:$A$205,0))),"nach Austritt",IF(E354="","offen","ok"))))))))</f>
        <v/>
      </c>
      <c r="J354" s="47">
        <f>IF(A354="","",IF(E354="",Einstellungen!$C$9,E354))</f>
        <v/>
      </c>
      <c r="K354" s="48">
        <f>IF(A354="",0,IFERROR(INDEX(Mitarbeiter!$F$6:$F$205,MATCH($A354,Mitarbeiter!$A$6:$A$205,0)),0))</f>
        <v/>
      </c>
      <c r="L354" s="49">
        <f>IF(OR(A354="",D354=""),0,MAX(0,NETWORKDAYS(MAX(D354,DATE(Einstellungen!$C$3,1,1)),MIN(J354,DATE(Einstellungen!$C$3,2,0)),Einstellungen!$F$13:$F$32)))</f>
        <v/>
      </c>
      <c r="M354" s="49">
        <f>IF(OR(A354="",D354=""),0,MAX(0,NETWORKDAYS(MAX(D354,DATE(Einstellungen!$C$3,2,1)),MIN(J354,DATE(Einstellungen!$C$3,3,0)),Einstellungen!$F$13:$F$32)))</f>
        <v/>
      </c>
      <c r="N354" s="49">
        <f>IF(OR(A354="",D354=""),0,MAX(0,NETWORKDAYS(MAX(D354,DATE(Einstellungen!$C$3,3,1)),MIN(J354,DATE(Einstellungen!$C$3,4,0)),Einstellungen!$F$13:$F$32)))</f>
        <v/>
      </c>
      <c r="O354" s="49">
        <f>IF(OR(A354="",D354=""),0,MAX(0,NETWORKDAYS(MAX(D354,DATE(Einstellungen!$C$3,4,1)),MIN(J354,DATE(Einstellungen!$C$3,5,0)),Einstellungen!$F$13:$F$32)))</f>
        <v/>
      </c>
      <c r="P354" s="49">
        <f>IF(OR(A354="",D354=""),0,MAX(0,NETWORKDAYS(MAX(D354,DATE(Einstellungen!$C$3,5,1)),MIN(J354,DATE(Einstellungen!$C$3,6,0)),Einstellungen!$F$13:$F$32)))</f>
        <v/>
      </c>
      <c r="Q354" s="49">
        <f>IF(OR(A354="",D354=""),0,MAX(0,NETWORKDAYS(MAX(D354,DATE(Einstellungen!$C$3,6,1)),MIN(J354,DATE(Einstellungen!$C$3,7,0)),Einstellungen!$F$13:$F$32)))</f>
        <v/>
      </c>
      <c r="R354" s="49">
        <f>IF(OR(A354="",D354=""),0,MAX(0,NETWORKDAYS(MAX(D354,DATE(Einstellungen!$C$3,7,1)),MIN(J354,DATE(Einstellungen!$C$3,8,0)),Einstellungen!$F$13:$F$32)))</f>
        <v/>
      </c>
      <c r="S354" s="49">
        <f>IF(OR(A354="",D354=""),0,MAX(0,NETWORKDAYS(MAX(D354,DATE(Einstellungen!$C$3,8,1)),MIN(J354,DATE(Einstellungen!$C$3,9,0)),Einstellungen!$F$13:$F$32)))</f>
        <v/>
      </c>
      <c r="T354" s="49">
        <f>IF(OR(A354="",D354=""),0,MAX(0,NETWORKDAYS(MAX(D354,DATE(Einstellungen!$C$3,9,1)),MIN(J354,DATE(Einstellungen!$C$3,10,0)),Einstellungen!$F$13:$F$32)))</f>
        <v/>
      </c>
      <c r="U354" s="49">
        <f>IF(OR(A354="",D354=""),0,MAX(0,NETWORKDAYS(MAX(D354,DATE(Einstellungen!$C$3,10,1)),MIN(J354,DATE(Einstellungen!$C$3,11,0)),Einstellungen!$F$13:$F$32)))</f>
        <v/>
      </c>
      <c r="V354" s="49">
        <f>IF(OR(A354="",D354=""),0,MAX(0,NETWORKDAYS(MAX(D354,DATE(Einstellungen!$C$3,11,1)),MIN(J354,DATE(Einstellungen!$C$3,12,0)),Einstellungen!$F$13:$F$32)))</f>
        <v/>
      </c>
      <c r="W354" s="49">
        <f>IF(OR(A354="",D354=""),0,MAX(0,NETWORKDAYS(MAX(D354,DATE(Einstellungen!$C$3,12,1)),MIN(J354,DATE(Einstellungen!$C$3,13,0)),Einstellungen!$F$13:$F$32)))</f>
        <v/>
      </c>
      <c r="X354" s="50">
        <f>L354*K354</f>
        <v/>
      </c>
      <c r="Y354" s="50">
        <f>M354*K354</f>
        <v/>
      </c>
      <c r="Z354" s="50">
        <f>N354*K354</f>
        <v/>
      </c>
      <c r="AA354" s="50">
        <f>O354*K354</f>
        <v/>
      </c>
      <c r="AB354" s="50">
        <f>P354*K354</f>
        <v/>
      </c>
      <c r="AC354" s="50">
        <f>Q354*K354</f>
        <v/>
      </c>
      <c r="AD354" s="50">
        <f>R354*K354</f>
        <v/>
      </c>
      <c r="AE354" s="50">
        <f>S354*K354</f>
        <v/>
      </c>
      <c r="AF354" s="50">
        <f>T354*K354</f>
        <v/>
      </c>
      <c r="AG354" s="50">
        <f>U354*K354</f>
        <v/>
      </c>
      <c r="AH354" s="50">
        <f>V354*K354</f>
        <v/>
      </c>
      <c r="AI354" s="50">
        <f>W354*K354</f>
        <v/>
      </c>
    </row>
    <row r="355">
      <c r="A355" s="25" t="n"/>
      <c r="B355" s="45">
        <f>IF(A355="","",IFERROR(INDEX(Mitarbeiter!$B$6:$B$205,MATCH($A355,Mitarbeiter!$A$6:$A$205,0)),"?"))</f>
        <v/>
      </c>
      <c r="C355" s="46" t="n"/>
      <c r="D355" s="26" t="n"/>
      <c r="E355" s="26" t="n"/>
      <c r="F355" s="24">
        <f>IF(A355="","",SUM(L355:W355))</f>
        <v/>
      </c>
      <c r="G355" s="36">
        <f>IF(A355="","",SUM(X355:AI355))</f>
        <v/>
      </c>
      <c r="H355" s="8">
        <f>IF(A355="","",IF(ISNA(MATCH(A355,Mitarbeiter!$A$6:$A$205,0)),"Pers.-Nr. unbekannt",IF(D355="","Von fehlt",IF(AND(C355&lt;&gt;Einstellungen!$C$4,C355&lt;&gt;Einstellungen!$C$5),"Objekt fehlt",IF(J355&lt;D355,"Bis vor Von",IF(D355&lt;INDEX(Mitarbeiter!$C$6:$C$205,MATCH($A355,Mitarbeiter!$A$6:$A$205,0)),"vor Eintritt",IF(AND(INDEX(Mitarbeiter!$D$6:$D$205,MATCH($A355,Mitarbeiter!$A$6:$A$205,0))&lt;&gt;"",D355&gt;INDEX(Mitarbeiter!$D$6:$D$205,MATCH($A355,Mitarbeiter!$A$6:$A$205,0))),"nach Austritt",IF(E355="","offen","ok"))))))))</f>
        <v/>
      </c>
      <c r="J355" s="47">
        <f>IF(A355="","",IF(E355="",Einstellungen!$C$9,E355))</f>
        <v/>
      </c>
      <c r="K355" s="48">
        <f>IF(A355="",0,IFERROR(INDEX(Mitarbeiter!$F$6:$F$205,MATCH($A355,Mitarbeiter!$A$6:$A$205,0)),0))</f>
        <v/>
      </c>
      <c r="L355" s="49">
        <f>IF(OR(A355="",D355=""),0,MAX(0,NETWORKDAYS(MAX(D355,DATE(Einstellungen!$C$3,1,1)),MIN(J355,DATE(Einstellungen!$C$3,2,0)),Einstellungen!$F$13:$F$32)))</f>
        <v/>
      </c>
      <c r="M355" s="49">
        <f>IF(OR(A355="",D355=""),0,MAX(0,NETWORKDAYS(MAX(D355,DATE(Einstellungen!$C$3,2,1)),MIN(J355,DATE(Einstellungen!$C$3,3,0)),Einstellungen!$F$13:$F$32)))</f>
        <v/>
      </c>
      <c r="N355" s="49">
        <f>IF(OR(A355="",D355=""),0,MAX(0,NETWORKDAYS(MAX(D355,DATE(Einstellungen!$C$3,3,1)),MIN(J355,DATE(Einstellungen!$C$3,4,0)),Einstellungen!$F$13:$F$32)))</f>
        <v/>
      </c>
      <c r="O355" s="49">
        <f>IF(OR(A355="",D355=""),0,MAX(0,NETWORKDAYS(MAX(D355,DATE(Einstellungen!$C$3,4,1)),MIN(J355,DATE(Einstellungen!$C$3,5,0)),Einstellungen!$F$13:$F$32)))</f>
        <v/>
      </c>
      <c r="P355" s="49">
        <f>IF(OR(A355="",D355=""),0,MAX(0,NETWORKDAYS(MAX(D355,DATE(Einstellungen!$C$3,5,1)),MIN(J355,DATE(Einstellungen!$C$3,6,0)),Einstellungen!$F$13:$F$32)))</f>
        <v/>
      </c>
      <c r="Q355" s="49">
        <f>IF(OR(A355="",D355=""),0,MAX(0,NETWORKDAYS(MAX(D355,DATE(Einstellungen!$C$3,6,1)),MIN(J355,DATE(Einstellungen!$C$3,7,0)),Einstellungen!$F$13:$F$32)))</f>
        <v/>
      </c>
      <c r="R355" s="49">
        <f>IF(OR(A355="",D355=""),0,MAX(0,NETWORKDAYS(MAX(D355,DATE(Einstellungen!$C$3,7,1)),MIN(J355,DATE(Einstellungen!$C$3,8,0)),Einstellungen!$F$13:$F$32)))</f>
        <v/>
      </c>
      <c r="S355" s="49">
        <f>IF(OR(A355="",D355=""),0,MAX(0,NETWORKDAYS(MAX(D355,DATE(Einstellungen!$C$3,8,1)),MIN(J355,DATE(Einstellungen!$C$3,9,0)),Einstellungen!$F$13:$F$32)))</f>
        <v/>
      </c>
      <c r="T355" s="49">
        <f>IF(OR(A355="",D355=""),0,MAX(0,NETWORKDAYS(MAX(D355,DATE(Einstellungen!$C$3,9,1)),MIN(J355,DATE(Einstellungen!$C$3,10,0)),Einstellungen!$F$13:$F$32)))</f>
        <v/>
      </c>
      <c r="U355" s="49">
        <f>IF(OR(A355="",D355=""),0,MAX(0,NETWORKDAYS(MAX(D355,DATE(Einstellungen!$C$3,10,1)),MIN(J355,DATE(Einstellungen!$C$3,11,0)),Einstellungen!$F$13:$F$32)))</f>
        <v/>
      </c>
      <c r="V355" s="49">
        <f>IF(OR(A355="",D355=""),0,MAX(0,NETWORKDAYS(MAX(D355,DATE(Einstellungen!$C$3,11,1)),MIN(J355,DATE(Einstellungen!$C$3,12,0)),Einstellungen!$F$13:$F$32)))</f>
        <v/>
      </c>
      <c r="W355" s="49">
        <f>IF(OR(A355="",D355=""),0,MAX(0,NETWORKDAYS(MAX(D355,DATE(Einstellungen!$C$3,12,1)),MIN(J355,DATE(Einstellungen!$C$3,13,0)),Einstellungen!$F$13:$F$32)))</f>
        <v/>
      </c>
      <c r="X355" s="50">
        <f>L355*K355</f>
        <v/>
      </c>
      <c r="Y355" s="50">
        <f>M355*K355</f>
        <v/>
      </c>
      <c r="Z355" s="50">
        <f>N355*K355</f>
        <v/>
      </c>
      <c r="AA355" s="50">
        <f>O355*K355</f>
        <v/>
      </c>
      <c r="AB355" s="50">
        <f>P355*K355</f>
        <v/>
      </c>
      <c r="AC355" s="50">
        <f>Q355*K355</f>
        <v/>
      </c>
      <c r="AD355" s="50">
        <f>R355*K355</f>
        <v/>
      </c>
      <c r="AE355" s="50">
        <f>S355*K355</f>
        <v/>
      </c>
      <c r="AF355" s="50">
        <f>T355*K355</f>
        <v/>
      </c>
      <c r="AG355" s="50">
        <f>U355*K355</f>
        <v/>
      </c>
      <c r="AH355" s="50">
        <f>V355*K355</f>
        <v/>
      </c>
      <c r="AI355" s="50">
        <f>W355*K355</f>
        <v/>
      </c>
    </row>
    <row r="356">
      <c r="A356" s="25" t="n"/>
      <c r="B356" s="45">
        <f>IF(A356="","",IFERROR(INDEX(Mitarbeiter!$B$6:$B$205,MATCH($A356,Mitarbeiter!$A$6:$A$205,0)),"?"))</f>
        <v/>
      </c>
      <c r="C356" s="46" t="n"/>
      <c r="D356" s="26" t="n"/>
      <c r="E356" s="26" t="n"/>
      <c r="F356" s="24">
        <f>IF(A356="","",SUM(L356:W356))</f>
        <v/>
      </c>
      <c r="G356" s="36">
        <f>IF(A356="","",SUM(X356:AI356))</f>
        <v/>
      </c>
      <c r="H356" s="8">
        <f>IF(A356="","",IF(ISNA(MATCH(A356,Mitarbeiter!$A$6:$A$205,0)),"Pers.-Nr. unbekannt",IF(D356="","Von fehlt",IF(AND(C356&lt;&gt;Einstellungen!$C$4,C356&lt;&gt;Einstellungen!$C$5),"Objekt fehlt",IF(J356&lt;D356,"Bis vor Von",IF(D356&lt;INDEX(Mitarbeiter!$C$6:$C$205,MATCH($A356,Mitarbeiter!$A$6:$A$205,0)),"vor Eintritt",IF(AND(INDEX(Mitarbeiter!$D$6:$D$205,MATCH($A356,Mitarbeiter!$A$6:$A$205,0))&lt;&gt;"",D356&gt;INDEX(Mitarbeiter!$D$6:$D$205,MATCH($A356,Mitarbeiter!$A$6:$A$205,0))),"nach Austritt",IF(E356="","offen","ok"))))))))</f>
        <v/>
      </c>
      <c r="J356" s="47">
        <f>IF(A356="","",IF(E356="",Einstellungen!$C$9,E356))</f>
        <v/>
      </c>
      <c r="K356" s="48">
        <f>IF(A356="",0,IFERROR(INDEX(Mitarbeiter!$F$6:$F$205,MATCH($A356,Mitarbeiter!$A$6:$A$205,0)),0))</f>
        <v/>
      </c>
      <c r="L356" s="49">
        <f>IF(OR(A356="",D356=""),0,MAX(0,NETWORKDAYS(MAX(D356,DATE(Einstellungen!$C$3,1,1)),MIN(J356,DATE(Einstellungen!$C$3,2,0)),Einstellungen!$F$13:$F$32)))</f>
        <v/>
      </c>
      <c r="M356" s="49">
        <f>IF(OR(A356="",D356=""),0,MAX(0,NETWORKDAYS(MAX(D356,DATE(Einstellungen!$C$3,2,1)),MIN(J356,DATE(Einstellungen!$C$3,3,0)),Einstellungen!$F$13:$F$32)))</f>
        <v/>
      </c>
      <c r="N356" s="49">
        <f>IF(OR(A356="",D356=""),0,MAX(0,NETWORKDAYS(MAX(D356,DATE(Einstellungen!$C$3,3,1)),MIN(J356,DATE(Einstellungen!$C$3,4,0)),Einstellungen!$F$13:$F$32)))</f>
        <v/>
      </c>
      <c r="O356" s="49">
        <f>IF(OR(A356="",D356=""),0,MAX(0,NETWORKDAYS(MAX(D356,DATE(Einstellungen!$C$3,4,1)),MIN(J356,DATE(Einstellungen!$C$3,5,0)),Einstellungen!$F$13:$F$32)))</f>
        <v/>
      </c>
      <c r="P356" s="49">
        <f>IF(OR(A356="",D356=""),0,MAX(0,NETWORKDAYS(MAX(D356,DATE(Einstellungen!$C$3,5,1)),MIN(J356,DATE(Einstellungen!$C$3,6,0)),Einstellungen!$F$13:$F$32)))</f>
        <v/>
      </c>
      <c r="Q356" s="49">
        <f>IF(OR(A356="",D356=""),0,MAX(0,NETWORKDAYS(MAX(D356,DATE(Einstellungen!$C$3,6,1)),MIN(J356,DATE(Einstellungen!$C$3,7,0)),Einstellungen!$F$13:$F$32)))</f>
        <v/>
      </c>
      <c r="R356" s="49">
        <f>IF(OR(A356="",D356=""),0,MAX(0,NETWORKDAYS(MAX(D356,DATE(Einstellungen!$C$3,7,1)),MIN(J356,DATE(Einstellungen!$C$3,8,0)),Einstellungen!$F$13:$F$32)))</f>
        <v/>
      </c>
      <c r="S356" s="49">
        <f>IF(OR(A356="",D356=""),0,MAX(0,NETWORKDAYS(MAX(D356,DATE(Einstellungen!$C$3,8,1)),MIN(J356,DATE(Einstellungen!$C$3,9,0)),Einstellungen!$F$13:$F$32)))</f>
        <v/>
      </c>
      <c r="T356" s="49">
        <f>IF(OR(A356="",D356=""),0,MAX(0,NETWORKDAYS(MAX(D356,DATE(Einstellungen!$C$3,9,1)),MIN(J356,DATE(Einstellungen!$C$3,10,0)),Einstellungen!$F$13:$F$32)))</f>
        <v/>
      </c>
      <c r="U356" s="49">
        <f>IF(OR(A356="",D356=""),0,MAX(0,NETWORKDAYS(MAX(D356,DATE(Einstellungen!$C$3,10,1)),MIN(J356,DATE(Einstellungen!$C$3,11,0)),Einstellungen!$F$13:$F$32)))</f>
        <v/>
      </c>
      <c r="V356" s="49">
        <f>IF(OR(A356="",D356=""),0,MAX(0,NETWORKDAYS(MAX(D356,DATE(Einstellungen!$C$3,11,1)),MIN(J356,DATE(Einstellungen!$C$3,12,0)),Einstellungen!$F$13:$F$32)))</f>
        <v/>
      </c>
      <c r="W356" s="49">
        <f>IF(OR(A356="",D356=""),0,MAX(0,NETWORKDAYS(MAX(D356,DATE(Einstellungen!$C$3,12,1)),MIN(J356,DATE(Einstellungen!$C$3,13,0)),Einstellungen!$F$13:$F$32)))</f>
        <v/>
      </c>
      <c r="X356" s="50">
        <f>L356*K356</f>
        <v/>
      </c>
      <c r="Y356" s="50">
        <f>M356*K356</f>
        <v/>
      </c>
      <c r="Z356" s="50">
        <f>N356*K356</f>
        <v/>
      </c>
      <c r="AA356" s="50">
        <f>O356*K356</f>
        <v/>
      </c>
      <c r="AB356" s="50">
        <f>P356*K356</f>
        <v/>
      </c>
      <c r="AC356" s="50">
        <f>Q356*K356</f>
        <v/>
      </c>
      <c r="AD356" s="50">
        <f>R356*K356</f>
        <v/>
      </c>
      <c r="AE356" s="50">
        <f>S356*K356</f>
        <v/>
      </c>
      <c r="AF356" s="50">
        <f>T356*K356</f>
        <v/>
      </c>
      <c r="AG356" s="50">
        <f>U356*K356</f>
        <v/>
      </c>
      <c r="AH356" s="50">
        <f>V356*K356</f>
        <v/>
      </c>
      <c r="AI356" s="50">
        <f>W356*K356</f>
        <v/>
      </c>
    </row>
    <row r="357">
      <c r="A357" s="25" t="n"/>
      <c r="B357" s="45">
        <f>IF(A357="","",IFERROR(INDEX(Mitarbeiter!$B$6:$B$205,MATCH($A357,Mitarbeiter!$A$6:$A$205,0)),"?"))</f>
        <v/>
      </c>
      <c r="C357" s="46" t="n"/>
      <c r="D357" s="26" t="n"/>
      <c r="E357" s="26" t="n"/>
      <c r="F357" s="24">
        <f>IF(A357="","",SUM(L357:W357))</f>
        <v/>
      </c>
      <c r="G357" s="36">
        <f>IF(A357="","",SUM(X357:AI357))</f>
        <v/>
      </c>
      <c r="H357" s="8">
        <f>IF(A357="","",IF(ISNA(MATCH(A357,Mitarbeiter!$A$6:$A$205,0)),"Pers.-Nr. unbekannt",IF(D357="","Von fehlt",IF(AND(C357&lt;&gt;Einstellungen!$C$4,C357&lt;&gt;Einstellungen!$C$5),"Objekt fehlt",IF(J357&lt;D357,"Bis vor Von",IF(D357&lt;INDEX(Mitarbeiter!$C$6:$C$205,MATCH($A357,Mitarbeiter!$A$6:$A$205,0)),"vor Eintritt",IF(AND(INDEX(Mitarbeiter!$D$6:$D$205,MATCH($A357,Mitarbeiter!$A$6:$A$205,0))&lt;&gt;"",D357&gt;INDEX(Mitarbeiter!$D$6:$D$205,MATCH($A357,Mitarbeiter!$A$6:$A$205,0))),"nach Austritt",IF(E357="","offen","ok"))))))))</f>
        <v/>
      </c>
      <c r="J357" s="47">
        <f>IF(A357="","",IF(E357="",Einstellungen!$C$9,E357))</f>
        <v/>
      </c>
      <c r="K357" s="48">
        <f>IF(A357="",0,IFERROR(INDEX(Mitarbeiter!$F$6:$F$205,MATCH($A357,Mitarbeiter!$A$6:$A$205,0)),0))</f>
        <v/>
      </c>
      <c r="L357" s="49">
        <f>IF(OR(A357="",D357=""),0,MAX(0,NETWORKDAYS(MAX(D357,DATE(Einstellungen!$C$3,1,1)),MIN(J357,DATE(Einstellungen!$C$3,2,0)),Einstellungen!$F$13:$F$32)))</f>
        <v/>
      </c>
      <c r="M357" s="49">
        <f>IF(OR(A357="",D357=""),0,MAX(0,NETWORKDAYS(MAX(D357,DATE(Einstellungen!$C$3,2,1)),MIN(J357,DATE(Einstellungen!$C$3,3,0)),Einstellungen!$F$13:$F$32)))</f>
        <v/>
      </c>
      <c r="N357" s="49">
        <f>IF(OR(A357="",D357=""),0,MAX(0,NETWORKDAYS(MAX(D357,DATE(Einstellungen!$C$3,3,1)),MIN(J357,DATE(Einstellungen!$C$3,4,0)),Einstellungen!$F$13:$F$32)))</f>
        <v/>
      </c>
      <c r="O357" s="49">
        <f>IF(OR(A357="",D357=""),0,MAX(0,NETWORKDAYS(MAX(D357,DATE(Einstellungen!$C$3,4,1)),MIN(J357,DATE(Einstellungen!$C$3,5,0)),Einstellungen!$F$13:$F$32)))</f>
        <v/>
      </c>
      <c r="P357" s="49">
        <f>IF(OR(A357="",D357=""),0,MAX(0,NETWORKDAYS(MAX(D357,DATE(Einstellungen!$C$3,5,1)),MIN(J357,DATE(Einstellungen!$C$3,6,0)),Einstellungen!$F$13:$F$32)))</f>
        <v/>
      </c>
      <c r="Q357" s="49">
        <f>IF(OR(A357="",D357=""),0,MAX(0,NETWORKDAYS(MAX(D357,DATE(Einstellungen!$C$3,6,1)),MIN(J357,DATE(Einstellungen!$C$3,7,0)),Einstellungen!$F$13:$F$32)))</f>
        <v/>
      </c>
      <c r="R357" s="49">
        <f>IF(OR(A357="",D357=""),0,MAX(0,NETWORKDAYS(MAX(D357,DATE(Einstellungen!$C$3,7,1)),MIN(J357,DATE(Einstellungen!$C$3,8,0)),Einstellungen!$F$13:$F$32)))</f>
        <v/>
      </c>
      <c r="S357" s="49">
        <f>IF(OR(A357="",D357=""),0,MAX(0,NETWORKDAYS(MAX(D357,DATE(Einstellungen!$C$3,8,1)),MIN(J357,DATE(Einstellungen!$C$3,9,0)),Einstellungen!$F$13:$F$32)))</f>
        <v/>
      </c>
      <c r="T357" s="49">
        <f>IF(OR(A357="",D357=""),0,MAX(0,NETWORKDAYS(MAX(D357,DATE(Einstellungen!$C$3,9,1)),MIN(J357,DATE(Einstellungen!$C$3,10,0)),Einstellungen!$F$13:$F$32)))</f>
        <v/>
      </c>
      <c r="U357" s="49">
        <f>IF(OR(A357="",D357=""),0,MAX(0,NETWORKDAYS(MAX(D357,DATE(Einstellungen!$C$3,10,1)),MIN(J357,DATE(Einstellungen!$C$3,11,0)),Einstellungen!$F$13:$F$32)))</f>
        <v/>
      </c>
      <c r="V357" s="49">
        <f>IF(OR(A357="",D357=""),0,MAX(0,NETWORKDAYS(MAX(D357,DATE(Einstellungen!$C$3,11,1)),MIN(J357,DATE(Einstellungen!$C$3,12,0)),Einstellungen!$F$13:$F$32)))</f>
        <v/>
      </c>
      <c r="W357" s="49">
        <f>IF(OR(A357="",D357=""),0,MAX(0,NETWORKDAYS(MAX(D357,DATE(Einstellungen!$C$3,12,1)),MIN(J357,DATE(Einstellungen!$C$3,13,0)),Einstellungen!$F$13:$F$32)))</f>
        <v/>
      </c>
      <c r="X357" s="50">
        <f>L357*K357</f>
        <v/>
      </c>
      <c r="Y357" s="50">
        <f>M357*K357</f>
        <v/>
      </c>
      <c r="Z357" s="50">
        <f>N357*K357</f>
        <v/>
      </c>
      <c r="AA357" s="50">
        <f>O357*K357</f>
        <v/>
      </c>
      <c r="AB357" s="50">
        <f>P357*K357</f>
        <v/>
      </c>
      <c r="AC357" s="50">
        <f>Q357*K357</f>
        <v/>
      </c>
      <c r="AD357" s="50">
        <f>R357*K357</f>
        <v/>
      </c>
      <c r="AE357" s="50">
        <f>S357*K357</f>
        <v/>
      </c>
      <c r="AF357" s="50">
        <f>T357*K357</f>
        <v/>
      </c>
      <c r="AG357" s="50">
        <f>U357*K357</f>
        <v/>
      </c>
      <c r="AH357" s="50">
        <f>V357*K357</f>
        <v/>
      </c>
      <c r="AI357" s="50">
        <f>W357*K357</f>
        <v/>
      </c>
    </row>
    <row r="358">
      <c r="A358" s="25" t="n"/>
      <c r="B358" s="45">
        <f>IF(A358="","",IFERROR(INDEX(Mitarbeiter!$B$6:$B$205,MATCH($A358,Mitarbeiter!$A$6:$A$205,0)),"?"))</f>
        <v/>
      </c>
      <c r="C358" s="46" t="n"/>
      <c r="D358" s="26" t="n"/>
      <c r="E358" s="26" t="n"/>
      <c r="F358" s="24">
        <f>IF(A358="","",SUM(L358:W358))</f>
        <v/>
      </c>
      <c r="G358" s="36">
        <f>IF(A358="","",SUM(X358:AI358))</f>
        <v/>
      </c>
      <c r="H358" s="8">
        <f>IF(A358="","",IF(ISNA(MATCH(A358,Mitarbeiter!$A$6:$A$205,0)),"Pers.-Nr. unbekannt",IF(D358="","Von fehlt",IF(AND(C358&lt;&gt;Einstellungen!$C$4,C358&lt;&gt;Einstellungen!$C$5),"Objekt fehlt",IF(J358&lt;D358,"Bis vor Von",IF(D358&lt;INDEX(Mitarbeiter!$C$6:$C$205,MATCH($A358,Mitarbeiter!$A$6:$A$205,0)),"vor Eintritt",IF(AND(INDEX(Mitarbeiter!$D$6:$D$205,MATCH($A358,Mitarbeiter!$A$6:$A$205,0))&lt;&gt;"",D358&gt;INDEX(Mitarbeiter!$D$6:$D$205,MATCH($A358,Mitarbeiter!$A$6:$A$205,0))),"nach Austritt",IF(E358="","offen","ok"))))))))</f>
        <v/>
      </c>
      <c r="J358" s="47">
        <f>IF(A358="","",IF(E358="",Einstellungen!$C$9,E358))</f>
        <v/>
      </c>
      <c r="K358" s="48">
        <f>IF(A358="",0,IFERROR(INDEX(Mitarbeiter!$F$6:$F$205,MATCH($A358,Mitarbeiter!$A$6:$A$205,0)),0))</f>
        <v/>
      </c>
      <c r="L358" s="49">
        <f>IF(OR(A358="",D358=""),0,MAX(0,NETWORKDAYS(MAX(D358,DATE(Einstellungen!$C$3,1,1)),MIN(J358,DATE(Einstellungen!$C$3,2,0)),Einstellungen!$F$13:$F$32)))</f>
        <v/>
      </c>
      <c r="M358" s="49">
        <f>IF(OR(A358="",D358=""),0,MAX(0,NETWORKDAYS(MAX(D358,DATE(Einstellungen!$C$3,2,1)),MIN(J358,DATE(Einstellungen!$C$3,3,0)),Einstellungen!$F$13:$F$32)))</f>
        <v/>
      </c>
      <c r="N358" s="49">
        <f>IF(OR(A358="",D358=""),0,MAX(0,NETWORKDAYS(MAX(D358,DATE(Einstellungen!$C$3,3,1)),MIN(J358,DATE(Einstellungen!$C$3,4,0)),Einstellungen!$F$13:$F$32)))</f>
        <v/>
      </c>
      <c r="O358" s="49">
        <f>IF(OR(A358="",D358=""),0,MAX(0,NETWORKDAYS(MAX(D358,DATE(Einstellungen!$C$3,4,1)),MIN(J358,DATE(Einstellungen!$C$3,5,0)),Einstellungen!$F$13:$F$32)))</f>
        <v/>
      </c>
      <c r="P358" s="49">
        <f>IF(OR(A358="",D358=""),0,MAX(0,NETWORKDAYS(MAX(D358,DATE(Einstellungen!$C$3,5,1)),MIN(J358,DATE(Einstellungen!$C$3,6,0)),Einstellungen!$F$13:$F$32)))</f>
        <v/>
      </c>
      <c r="Q358" s="49">
        <f>IF(OR(A358="",D358=""),0,MAX(0,NETWORKDAYS(MAX(D358,DATE(Einstellungen!$C$3,6,1)),MIN(J358,DATE(Einstellungen!$C$3,7,0)),Einstellungen!$F$13:$F$32)))</f>
        <v/>
      </c>
      <c r="R358" s="49">
        <f>IF(OR(A358="",D358=""),0,MAX(0,NETWORKDAYS(MAX(D358,DATE(Einstellungen!$C$3,7,1)),MIN(J358,DATE(Einstellungen!$C$3,8,0)),Einstellungen!$F$13:$F$32)))</f>
        <v/>
      </c>
      <c r="S358" s="49">
        <f>IF(OR(A358="",D358=""),0,MAX(0,NETWORKDAYS(MAX(D358,DATE(Einstellungen!$C$3,8,1)),MIN(J358,DATE(Einstellungen!$C$3,9,0)),Einstellungen!$F$13:$F$32)))</f>
        <v/>
      </c>
      <c r="T358" s="49">
        <f>IF(OR(A358="",D358=""),0,MAX(0,NETWORKDAYS(MAX(D358,DATE(Einstellungen!$C$3,9,1)),MIN(J358,DATE(Einstellungen!$C$3,10,0)),Einstellungen!$F$13:$F$32)))</f>
        <v/>
      </c>
      <c r="U358" s="49">
        <f>IF(OR(A358="",D358=""),0,MAX(0,NETWORKDAYS(MAX(D358,DATE(Einstellungen!$C$3,10,1)),MIN(J358,DATE(Einstellungen!$C$3,11,0)),Einstellungen!$F$13:$F$32)))</f>
        <v/>
      </c>
      <c r="V358" s="49">
        <f>IF(OR(A358="",D358=""),0,MAX(0,NETWORKDAYS(MAX(D358,DATE(Einstellungen!$C$3,11,1)),MIN(J358,DATE(Einstellungen!$C$3,12,0)),Einstellungen!$F$13:$F$32)))</f>
        <v/>
      </c>
      <c r="W358" s="49">
        <f>IF(OR(A358="",D358=""),0,MAX(0,NETWORKDAYS(MAX(D358,DATE(Einstellungen!$C$3,12,1)),MIN(J358,DATE(Einstellungen!$C$3,13,0)),Einstellungen!$F$13:$F$32)))</f>
        <v/>
      </c>
      <c r="X358" s="50">
        <f>L358*K358</f>
        <v/>
      </c>
      <c r="Y358" s="50">
        <f>M358*K358</f>
        <v/>
      </c>
      <c r="Z358" s="50">
        <f>N358*K358</f>
        <v/>
      </c>
      <c r="AA358" s="50">
        <f>O358*K358</f>
        <v/>
      </c>
      <c r="AB358" s="50">
        <f>P358*K358</f>
        <v/>
      </c>
      <c r="AC358" s="50">
        <f>Q358*K358</f>
        <v/>
      </c>
      <c r="AD358" s="50">
        <f>R358*K358</f>
        <v/>
      </c>
      <c r="AE358" s="50">
        <f>S358*K358</f>
        <v/>
      </c>
      <c r="AF358" s="50">
        <f>T358*K358</f>
        <v/>
      </c>
      <c r="AG358" s="50">
        <f>U358*K358</f>
        <v/>
      </c>
      <c r="AH358" s="50">
        <f>V358*K358</f>
        <v/>
      </c>
      <c r="AI358" s="50">
        <f>W358*K358</f>
        <v/>
      </c>
    </row>
    <row r="359">
      <c r="A359" s="25" t="n"/>
      <c r="B359" s="45">
        <f>IF(A359="","",IFERROR(INDEX(Mitarbeiter!$B$6:$B$205,MATCH($A359,Mitarbeiter!$A$6:$A$205,0)),"?"))</f>
        <v/>
      </c>
      <c r="C359" s="46" t="n"/>
      <c r="D359" s="26" t="n"/>
      <c r="E359" s="26" t="n"/>
      <c r="F359" s="24">
        <f>IF(A359="","",SUM(L359:W359))</f>
        <v/>
      </c>
      <c r="G359" s="36">
        <f>IF(A359="","",SUM(X359:AI359))</f>
        <v/>
      </c>
      <c r="H359" s="8">
        <f>IF(A359="","",IF(ISNA(MATCH(A359,Mitarbeiter!$A$6:$A$205,0)),"Pers.-Nr. unbekannt",IF(D359="","Von fehlt",IF(AND(C359&lt;&gt;Einstellungen!$C$4,C359&lt;&gt;Einstellungen!$C$5),"Objekt fehlt",IF(J359&lt;D359,"Bis vor Von",IF(D359&lt;INDEX(Mitarbeiter!$C$6:$C$205,MATCH($A359,Mitarbeiter!$A$6:$A$205,0)),"vor Eintritt",IF(AND(INDEX(Mitarbeiter!$D$6:$D$205,MATCH($A359,Mitarbeiter!$A$6:$A$205,0))&lt;&gt;"",D359&gt;INDEX(Mitarbeiter!$D$6:$D$205,MATCH($A359,Mitarbeiter!$A$6:$A$205,0))),"nach Austritt",IF(E359="","offen","ok"))))))))</f>
        <v/>
      </c>
      <c r="J359" s="47">
        <f>IF(A359="","",IF(E359="",Einstellungen!$C$9,E359))</f>
        <v/>
      </c>
      <c r="K359" s="48">
        <f>IF(A359="",0,IFERROR(INDEX(Mitarbeiter!$F$6:$F$205,MATCH($A359,Mitarbeiter!$A$6:$A$205,0)),0))</f>
        <v/>
      </c>
      <c r="L359" s="49">
        <f>IF(OR(A359="",D359=""),0,MAX(0,NETWORKDAYS(MAX(D359,DATE(Einstellungen!$C$3,1,1)),MIN(J359,DATE(Einstellungen!$C$3,2,0)),Einstellungen!$F$13:$F$32)))</f>
        <v/>
      </c>
      <c r="M359" s="49">
        <f>IF(OR(A359="",D359=""),0,MAX(0,NETWORKDAYS(MAX(D359,DATE(Einstellungen!$C$3,2,1)),MIN(J359,DATE(Einstellungen!$C$3,3,0)),Einstellungen!$F$13:$F$32)))</f>
        <v/>
      </c>
      <c r="N359" s="49">
        <f>IF(OR(A359="",D359=""),0,MAX(0,NETWORKDAYS(MAX(D359,DATE(Einstellungen!$C$3,3,1)),MIN(J359,DATE(Einstellungen!$C$3,4,0)),Einstellungen!$F$13:$F$32)))</f>
        <v/>
      </c>
      <c r="O359" s="49">
        <f>IF(OR(A359="",D359=""),0,MAX(0,NETWORKDAYS(MAX(D359,DATE(Einstellungen!$C$3,4,1)),MIN(J359,DATE(Einstellungen!$C$3,5,0)),Einstellungen!$F$13:$F$32)))</f>
        <v/>
      </c>
      <c r="P359" s="49">
        <f>IF(OR(A359="",D359=""),0,MAX(0,NETWORKDAYS(MAX(D359,DATE(Einstellungen!$C$3,5,1)),MIN(J359,DATE(Einstellungen!$C$3,6,0)),Einstellungen!$F$13:$F$32)))</f>
        <v/>
      </c>
      <c r="Q359" s="49">
        <f>IF(OR(A359="",D359=""),0,MAX(0,NETWORKDAYS(MAX(D359,DATE(Einstellungen!$C$3,6,1)),MIN(J359,DATE(Einstellungen!$C$3,7,0)),Einstellungen!$F$13:$F$32)))</f>
        <v/>
      </c>
      <c r="R359" s="49">
        <f>IF(OR(A359="",D359=""),0,MAX(0,NETWORKDAYS(MAX(D359,DATE(Einstellungen!$C$3,7,1)),MIN(J359,DATE(Einstellungen!$C$3,8,0)),Einstellungen!$F$13:$F$32)))</f>
        <v/>
      </c>
      <c r="S359" s="49">
        <f>IF(OR(A359="",D359=""),0,MAX(0,NETWORKDAYS(MAX(D359,DATE(Einstellungen!$C$3,8,1)),MIN(J359,DATE(Einstellungen!$C$3,9,0)),Einstellungen!$F$13:$F$32)))</f>
        <v/>
      </c>
      <c r="T359" s="49">
        <f>IF(OR(A359="",D359=""),0,MAX(0,NETWORKDAYS(MAX(D359,DATE(Einstellungen!$C$3,9,1)),MIN(J359,DATE(Einstellungen!$C$3,10,0)),Einstellungen!$F$13:$F$32)))</f>
        <v/>
      </c>
      <c r="U359" s="49">
        <f>IF(OR(A359="",D359=""),0,MAX(0,NETWORKDAYS(MAX(D359,DATE(Einstellungen!$C$3,10,1)),MIN(J359,DATE(Einstellungen!$C$3,11,0)),Einstellungen!$F$13:$F$32)))</f>
        <v/>
      </c>
      <c r="V359" s="49">
        <f>IF(OR(A359="",D359=""),0,MAX(0,NETWORKDAYS(MAX(D359,DATE(Einstellungen!$C$3,11,1)),MIN(J359,DATE(Einstellungen!$C$3,12,0)),Einstellungen!$F$13:$F$32)))</f>
        <v/>
      </c>
      <c r="W359" s="49">
        <f>IF(OR(A359="",D359=""),0,MAX(0,NETWORKDAYS(MAX(D359,DATE(Einstellungen!$C$3,12,1)),MIN(J359,DATE(Einstellungen!$C$3,13,0)),Einstellungen!$F$13:$F$32)))</f>
        <v/>
      </c>
      <c r="X359" s="50">
        <f>L359*K359</f>
        <v/>
      </c>
      <c r="Y359" s="50">
        <f>M359*K359</f>
        <v/>
      </c>
      <c r="Z359" s="50">
        <f>N359*K359</f>
        <v/>
      </c>
      <c r="AA359" s="50">
        <f>O359*K359</f>
        <v/>
      </c>
      <c r="AB359" s="50">
        <f>P359*K359</f>
        <v/>
      </c>
      <c r="AC359" s="50">
        <f>Q359*K359</f>
        <v/>
      </c>
      <c r="AD359" s="50">
        <f>R359*K359</f>
        <v/>
      </c>
      <c r="AE359" s="50">
        <f>S359*K359</f>
        <v/>
      </c>
      <c r="AF359" s="50">
        <f>T359*K359</f>
        <v/>
      </c>
      <c r="AG359" s="50">
        <f>U359*K359</f>
        <v/>
      </c>
      <c r="AH359" s="50">
        <f>V359*K359</f>
        <v/>
      </c>
      <c r="AI359" s="50">
        <f>W359*K359</f>
        <v/>
      </c>
    </row>
    <row r="360">
      <c r="A360" s="25" t="n"/>
      <c r="B360" s="45">
        <f>IF(A360="","",IFERROR(INDEX(Mitarbeiter!$B$6:$B$205,MATCH($A360,Mitarbeiter!$A$6:$A$205,0)),"?"))</f>
        <v/>
      </c>
      <c r="C360" s="46" t="n"/>
      <c r="D360" s="26" t="n"/>
      <c r="E360" s="26" t="n"/>
      <c r="F360" s="24">
        <f>IF(A360="","",SUM(L360:W360))</f>
        <v/>
      </c>
      <c r="G360" s="36">
        <f>IF(A360="","",SUM(X360:AI360))</f>
        <v/>
      </c>
      <c r="H360" s="8">
        <f>IF(A360="","",IF(ISNA(MATCH(A360,Mitarbeiter!$A$6:$A$205,0)),"Pers.-Nr. unbekannt",IF(D360="","Von fehlt",IF(AND(C360&lt;&gt;Einstellungen!$C$4,C360&lt;&gt;Einstellungen!$C$5),"Objekt fehlt",IF(J360&lt;D360,"Bis vor Von",IF(D360&lt;INDEX(Mitarbeiter!$C$6:$C$205,MATCH($A360,Mitarbeiter!$A$6:$A$205,0)),"vor Eintritt",IF(AND(INDEX(Mitarbeiter!$D$6:$D$205,MATCH($A360,Mitarbeiter!$A$6:$A$205,0))&lt;&gt;"",D360&gt;INDEX(Mitarbeiter!$D$6:$D$205,MATCH($A360,Mitarbeiter!$A$6:$A$205,0))),"nach Austritt",IF(E360="","offen","ok"))))))))</f>
        <v/>
      </c>
      <c r="J360" s="47">
        <f>IF(A360="","",IF(E360="",Einstellungen!$C$9,E360))</f>
        <v/>
      </c>
      <c r="K360" s="48">
        <f>IF(A360="",0,IFERROR(INDEX(Mitarbeiter!$F$6:$F$205,MATCH($A360,Mitarbeiter!$A$6:$A$205,0)),0))</f>
        <v/>
      </c>
      <c r="L360" s="49">
        <f>IF(OR(A360="",D360=""),0,MAX(0,NETWORKDAYS(MAX(D360,DATE(Einstellungen!$C$3,1,1)),MIN(J360,DATE(Einstellungen!$C$3,2,0)),Einstellungen!$F$13:$F$32)))</f>
        <v/>
      </c>
      <c r="M360" s="49">
        <f>IF(OR(A360="",D360=""),0,MAX(0,NETWORKDAYS(MAX(D360,DATE(Einstellungen!$C$3,2,1)),MIN(J360,DATE(Einstellungen!$C$3,3,0)),Einstellungen!$F$13:$F$32)))</f>
        <v/>
      </c>
      <c r="N360" s="49">
        <f>IF(OR(A360="",D360=""),0,MAX(0,NETWORKDAYS(MAX(D360,DATE(Einstellungen!$C$3,3,1)),MIN(J360,DATE(Einstellungen!$C$3,4,0)),Einstellungen!$F$13:$F$32)))</f>
        <v/>
      </c>
      <c r="O360" s="49">
        <f>IF(OR(A360="",D360=""),0,MAX(0,NETWORKDAYS(MAX(D360,DATE(Einstellungen!$C$3,4,1)),MIN(J360,DATE(Einstellungen!$C$3,5,0)),Einstellungen!$F$13:$F$32)))</f>
        <v/>
      </c>
      <c r="P360" s="49">
        <f>IF(OR(A360="",D360=""),0,MAX(0,NETWORKDAYS(MAX(D360,DATE(Einstellungen!$C$3,5,1)),MIN(J360,DATE(Einstellungen!$C$3,6,0)),Einstellungen!$F$13:$F$32)))</f>
        <v/>
      </c>
      <c r="Q360" s="49">
        <f>IF(OR(A360="",D360=""),0,MAX(0,NETWORKDAYS(MAX(D360,DATE(Einstellungen!$C$3,6,1)),MIN(J360,DATE(Einstellungen!$C$3,7,0)),Einstellungen!$F$13:$F$32)))</f>
        <v/>
      </c>
      <c r="R360" s="49">
        <f>IF(OR(A360="",D360=""),0,MAX(0,NETWORKDAYS(MAX(D360,DATE(Einstellungen!$C$3,7,1)),MIN(J360,DATE(Einstellungen!$C$3,8,0)),Einstellungen!$F$13:$F$32)))</f>
        <v/>
      </c>
      <c r="S360" s="49">
        <f>IF(OR(A360="",D360=""),0,MAX(0,NETWORKDAYS(MAX(D360,DATE(Einstellungen!$C$3,8,1)),MIN(J360,DATE(Einstellungen!$C$3,9,0)),Einstellungen!$F$13:$F$32)))</f>
        <v/>
      </c>
      <c r="T360" s="49">
        <f>IF(OR(A360="",D360=""),0,MAX(0,NETWORKDAYS(MAX(D360,DATE(Einstellungen!$C$3,9,1)),MIN(J360,DATE(Einstellungen!$C$3,10,0)),Einstellungen!$F$13:$F$32)))</f>
        <v/>
      </c>
      <c r="U360" s="49">
        <f>IF(OR(A360="",D360=""),0,MAX(0,NETWORKDAYS(MAX(D360,DATE(Einstellungen!$C$3,10,1)),MIN(J360,DATE(Einstellungen!$C$3,11,0)),Einstellungen!$F$13:$F$32)))</f>
        <v/>
      </c>
      <c r="V360" s="49">
        <f>IF(OR(A360="",D360=""),0,MAX(0,NETWORKDAYS(MAX(D360,DATE(Einstellungen!$C$3,11,1)),MIN(J360,DATE(Einstellungen!$C$3,12,0)),Einstellungen!$F$13:$F$32)))</f>
        <v/>
      </c>
      <c r="W360" s="49">
        <f>IF(OR(A360="",D360=""),0,MAX(0,NETWORKDAYS(MAX(D360,DATE(Einstellungen!$C$3,12,1)),MIN(J360,DATE(Einstellungen!$C$3,13,0)),Einstellungen!$F$13:$F$32)))</f>
        <v/>
      </c>
      <c r="X360" s="50">
        <f>L360*K360</f>
        <v/>
      </c>
      <c r="Y360" s="50">
        <f>M360*K360</f>
        <v/>
      </c>
      <c r="Z360" s="50">
        <f>N360*K360</f>
        <v/>
      </c>
      <c r="AA360" s="50">
        <f>O360*K360</f>
        <v/>
      </c>
      <c r="AB360" s="50">
        <f>P360*K360</f>
        <v/>
      </c>
      <c r="AC360" s="50">
        <f>Q360*K360</f>
        <v/>
      </c>
      <c r="AD360" s="50">
        <f>R360*K360</f>
        <v/>
      </c>
      <c r="AE360" s="50">
        <f>S360*K360</f>
        <v/>
      </c>
      <c r="AF360" s="50">
        <f>T360*K360</f>
        <v/>
      </c>
      <c r="AG360" s="50">
        <f>U360*K360</f>
        <v/>
      </c>
      <c r="AH360" s="50">
        <f>V360*K360</f>
        <v/>
      </c>
      <c r="AI360" s="50">
        <f>W360*K360</f>
        <v/>
      </c>
    </row>
    <row r="361">
      <c r="A361" s="25" t="n"/>
      <c r="B361" s="45">
        <f>IF(A361="","",IFERROR(INDEX(Mitarbeiter!$B$6:$B$205,MATCH($A361,Mitarbeiter!$A$6:$A$205,0)),"?"))</f>
        <v/>
      </c>
      <c r="C361" s="46" t="n"/>
      <c r="D361" s="26" t="n"/>
      <c r="E361" s="26" t="n"/>
      <c r="F361" s="24">
        <f>IF(A361="","",SUM(L361:W361))</f>
        <v/>
      </c>
      <c r="G361" s="36">
        <f>IF(A361="","",SUM(X361:AI361))</f>
        <v/>
      </c>
      <c r="H361" s="8">
        <f>IF(A361="","",IF(ISNA(MATCH(A361,Mitarbeiter!$A$6:$A$205,0)),"Pers.-Nr. unbekannt",IF(D361="","Von fehlt",IF(AND(C361&lt;&gt;Einstellungen!$C$4,C361&lt;&gt;Einstellungen!$C$5),"Objekt fehlt",IF(J361&lt;D361,"Bis vor Von",IF(D361&lt;INDEX(Mitarbeiter!$C$6:$C$205,MATCH($A361,Mitarbeiter!$A$6:$A$205,0)),"vor Eintritt",IF(AND(INDEX(Mitarbeiter!$D$6:$D$205,MATCH($A361,Mitarbeiter!$A$6:$A$205,0))&lt;&gt;"",D361&gt;INDEX(Mitarbeiter!$D$6:$D$205,MATCH($A361,Mitarbeiter!$A$6:$A$205,0))),"nach Austritt",IF(E361="","offen","ok"))))))))</f>
        <v/>
      </c>
      <c r="J361" s="47">
        <f>IF(A361="","",IF(E361="",Einstellungen!$C$9,E361))</f>
        <v/>
      </c>
      <c r="K361" s="48">
        <f>IF(A361="",0,IFERROR(INDEX(Mitarbeiter!$F$6:$F$205,MATCH($A361,Mitarbeiter!$A$6:$A$205,0)),0))</f>
        <v/>
      </c>
      <c r="L361" s="49">
        <f>IF(OR(A361="",D361=""),0,MAX(0,NETWORKDAYS(MAX(D361,DATE(Einstellungen!$C$3,1,1)),MIN(J361,DATE(Einstellungen!$C$3,2,0)),Einstellungen!$F$13:$F$32)))</f>
        <v/>
      </c>
      <c r="M361" s="49">
        <f>IF(OR(A361="",D361=""),0,MAX(0,NETWORKDAYS(MAX(D361,DATE(Einstellungen!$C$3,2,1)),MIN(J361,DATE(Einstellungen!$C$3,3,0)),Einstellungen!$F$13:$F$32)))</f>
        <v/>
      </c>
      <c r="N361" s="49">
        <f>IF(OR(A361="",D361=""),0,MAX(0,NETWORKDAYS(MAX(D361,DATE(Einstellungen!$C$3,3,1)),MIN(J361,DATE(Einstellungen!$C$3,4,0)),Einstellungen!$F$13:$F$32)))</f>
        <v/>
      </c>
      <c r="O361" s="49">
        <f>IF(OR(A361="",D361=""),0,MAX(0,NETWORKDAYS(MAX(D361,DATE(Einstellungen!$C$3,4,1)),MIN(J361,DATE(Einstellungen!$C$3,5,0)),Einstellungen!$F$13:$F$32)))</f>
        <v/>
      </c>
      <c r="P361" s="49">
        <f>IF(OR(A361="",D361=""),0,MAX(0,NETWORKDAYS(MAX(D361,DATE(Einstellungen!$C$3,5,1)),MIN(J361,DATE(Einstellungen!$C$3,6,0)),Einstellungen!$F$13:$F$32)))</f>
        <v/>
      </c>
      <c r="Q361" s="49">
        <f>IF(OR(A361="",D361=""),0,MAX(0,NETWORKDAYS(MAX(D361,DATE(Einstellungen!$C$3,6,1)),MIN(J361,DATE(Einstellungen!$C$3,7,0)),Einstellungen!$F$13:$F$32)))</f>
        <v/>
      </c>
      <c r="R361" s="49">
        <f>IF(OR(A361="",D361=""),0,MAX(0,NETWORKDAYS(MAX(D361,DATE(Einstellungen!$C$3,7,1)),MIN(J361,DATE(Einstellungen!$C$3,8,0)),Einstellungen!$F$13:$F$32)))</f>
        <v/>
      </c>
      <c r="S361" s="49">
        <f>IF(OR(A361="",D361=""),0,MAX(0,NETWORKDAYS(MAX(D361,DATE(Einstellungen!$C$3,8,1)),MIN(J361,DATE(Einstellungen!$C$3,9,0)),Einstellungen!$F$13:$F$32)))</f>
        <v/>
      </c>
      <c r="T361" s="49">
        <f>IF(OR(A361="",D361=""),0,MAX(0,NETWORKDAYS(MAX(D361,DATE(Einstellungen!$C$3,9,1)),MIN(J361,DATE(Einstellungen!$C$3,10,0)),Einstellungen!$F$13:$F$32)))</f>
        <v/>
      </c>
      <c r="U361" s="49">
        <f>IF(OR(A361="",D361=""),0,MAX(0,NETWORKDAYS(MAX(D361,DATE(Einstellungen!$C$3,10,1)),MIN(J361,DATE(Einstellungen!$C$3,11,0)),Einstellungen!$F$13:$F$32)))</f>
        <v/>
      </c>
      <c r="V361" s="49">
        <f>IF(OR(A361="",D361=""),0,MAX(0,NETWORKDAYS(MAX(D361,DATE(Einstellungen!$C$3,11,1)),MIN(J361,DATE(Einstellungen!$C$3,12,0)),Einstellungen!$F$13:$F$32)))</f>
        <v/>
      </c>
      <c r="W361" s="49">
        <f>IF(OR(A361="",D361=""),0,MAX(0,NETWORKDAYS(MAX(D361,DATE(Einstellungen!$C$3,12,1)),MIN(J361,DATE(Einstellungen!$C$3,13,0)),Einstellungen!$F$13:$F$32)))</f>
        <v/>
      </c>
      <c r="X361" s="50">
        <f>L361*K361</f>
        <v/>
      </c>
      <c r="Y361" s="50">
        <f>M361*K361</f>
        <v/>
      </c>
      <c r="Z361" s="50">
        <f>N361*K361</f>
        <v/>
      </c>
      <c r="AA361" s="50">
        <f>O361*K361</f>
        <v/>
      </c>
      <c r="AB361" s="50">
        <f>P361*K361</f>
        <v/>
      </c>
      <c r="AC361" s="50">
        <f>Q361*K361</f>
        <v/>
      </c>
      <c r="AD361" s="50">
        <f>R361*K361</f>
        <v/>
      </c>
      <c r="AE361" s="50">
        <f>S361*K361</f>
        <v/>
      </c>
      <c r="AF361" s="50">
        <f>T361*K361</f>
        <v/>
      </c>
      <c r="AG361" s="50">
        <f>U361*K361</f>
        <v/>
      </c>
      <c r="AH361" s="50">
        <f>V361*K361</f>
        <v/>
      </c>
      <c r="AI361" s="50">
        <f>W361*K361</f>
        <v/>
      </c>
    </row>
    <row r="362">
      <c r="A362" s="25" t="n"/>
      <c r="B362" s="45">
        <f>IF(A362="","",IFERROR(INDEX(Mitarbeiter!$B$6:$B$205,MATCH($A362,Mitarbeiter!$A$6:$A$205,0)),"?"))</f>
        <v/>
      </c>
      <c r="C362" s="46" t="n"/>
      <c r="D362" s="26" t="n"/>
      <c r="E362" s="26" t="n"/>
      <c r="F362" s="24">
        <f>IF(A362="","",SUM(L362:W362))</f>
        <v/>
      </c>
      <c r="G362" s="36">
        <f>IF(A362="","",SUM(X362:AI362))</f>
        <v/>
      </c>
      <c r="H362" s="8">
        <f>IF(A362="","",IF(ISNA(MATCH(A362,Mitarbeiter!$A$6:$A$205,0)),"Pers.-Nr. unbekannt",IF(D362="","Von fehlt",IF(AND(C362&lt;&gt;Einstellungen!$C$4,C362&lt;&gt;Einstellungen!$C$5),"Objekt fehlt",IF(J362&lt;D362,"Bis vor Von",IF(D362&lt;INDEX(Mitarbeiter!$C$6:$C$205,MATCH($A362,Mitarbeiter!$A$6:$A$205,0)),"vor Eintritt",IF(AND(INDEX(Mitarbeiter!$D$6:$D$205,MATCH($A362,Mitarbeiter!$A$6:$A$205,0))&lt;&gt;"",D362&gt;INDEX(Mitarbeiter!$D$6:$D$205,MATCH($A362,Mitarbeiter!$A$6:$A$205,0))),"nach Austritt",IF(E362="","offen","ok"))))))))</f>
        <v/>
      </c>
      <c r="J362" s="47">
        <f>IF(A362="","",IF(E362="",Einstellungen!$C$9,E362))</f>
        <v/>
      </c>
      <c r="K362" s="48">
        <f>IF(A362="",0,IFERROR(INDEX(Mitarbeiter!$F$6:$F$205,MATCH($A362,Mitarbeiter!$A$6:$A$205,0)),0))</f>
        <v/>
      </c>
      <c r="L362" s="49">
        <f>IF(OR(A362="",D362=""),0,MAX(0,NETWORKDAYS(MAX(D362,DATE(Einstellungen!$C$3,1,1)),MIN(J362,DATE(Einstellungen!$C$3,2,0)),Einstellungen!$F$13:$F$32)))</f>
        <v/>
      </c>
      <c r="M362" s="49">
        <f>IF(OR(A362="",D362=""),0,MAX(0,NETWORKDAYS(MAX(D362,DATE(Einstellungen!$C$3,2,1)),MIN(J362,DATE(Einstellungen!$C$3,3,0)),Einstellungen!$F$13:$F$32)))</f>
        <v/>
      </c>
      <c r="N362" s="49">
        <f>IF(OR(A362="",D362=""),0,MAX(0,NETWORKDAYS(MAX(D362,DATE(Einstellungen!$C$3,3,1)),MIN(J362,DATE(Einstellungen!$C$3,4,0)),Einstellungen!$F$13:$F$32)))</f>
        <v/>
      </c>
      <c r="O362" s="49">
        <f>IF(OR(A362="",D362=""),0,MAX(0,NETWORKDAYS(MAX(D362,DATE(Einstellungen!$C$3,4,1)),MIN(J362,DATE(Einstellungen!$C$3,5,0)),Einstellungen!$F$13:$F$32)))</f>
        <v/>
      </c>
      <c r="P362" s="49">
        <f>IF(OR(A362="",D362=""),0,MAX(0,NETWORKDAYS(MAX(D362,DATE(Einstellungen!$C$3,5,1)),MIN(J362,DATE(Einstellungen!$C$3,6,0)),Einstellungen!$F$13:$F$32)))</f>
        <v/>
      </c>
      <c r="Q362" s="49">
        <f>IF(OR(A362="",D362=""),0,MAX(0,NETWORKDAYS(MAX(D362,DATE(Einstellungen!$C$3,6,1)),MIN(J362,DATE(Einstellungen!$C$3,7,0)),Einstellungen!$F$13:$F$32)))</f>
        <v/>
      </c>
      <c r="R362" s="49">
        <f>IF(OR(A362="",D362=""),0,MAX(0,NETWORKDAYS(MAX(D362,DATE(Einstellungen!$C$3,7,1)),MIN(J362,DATE(Einstellungen!$C$3,8,0)),Einstellungen!$F$13:$F$32)))</f>
        <v/>
      </c>
      <c r="S362" s="49">
        <f>IF(OR(A362="",D362=""),0,MAX(0,NETWORKDAYS(MAX(D362,DATE(Einstellungen!$C$3,8,1)),MIN(J362,DATE(Einstellungen!$C$3,9,0)),Einstellungen!$F$13:$F$32)))</f>
        <v/>
      </c>
      <c r="T362" s="49">
        <f>IF(OR(A362="",D362=""),0,MAX(0,NETWORKDAYS(MAX(D362,DATE(Einstellungen!$C$3,9,1)),MIN(J362,DATE(Einstellungen!$C$3,10,0)),Einstellungen!$F$13:$F$32)))</f>
        <v/>
      </c>
      <c r="U362" s="49">
        <f>IF(OR(A362="",D362=""),0,MAX(0,NETWORKDAYS(MAX(D362,DATE(Einstellungen!$C$3,10,1)),MIN(J362,DATE(Einstellungen!$C$3,11,0)),Einstellungen!$F$13:$F$32)))</f>
        <v/>
      </c>
      <c r="V362" s="49">
        <f>IF(OR(A362="",D362=""),0,MAX(0,NETWORKDAYS(MAX(D362,DATE(Einstellungen!$C$3,11,1)),MIN(J362,DATE(Einstellungen!$C$3,12,0)),Einstellungen!$F$13:$F$32)))</f>
        <v/>
      </c>
      <c r="W362" s="49">
        <f>IF(OR(A362="",D362=""),0,MAX(0,NETWORKDAYS(MAX(D362,DATE(Einstellungen!$C$3,12,1)),MIN(J362,DATE(Einstellungen!$C$3,13,0)),Einstellungen!$F$13:$F$32)))</f>
        <v/>
      </c>
      <c r="X362" s="50">
        <f>L362*K362</f>
        <v/>
      </c>
      <c r="Y362" s="50">
        <f>M362*K362</f>
        <v/>
      </c>
      <c r="Z362" s="50">
        <f>N362*K362</f>
        <v/>
      </c>
      <c r="AA362" s="50">
        <f>O362*K362</f>
        <v/>
      </c>
      <c r="AB362" s="50">
        <f>P362*K362</f>
        <v/>
      </c>
      <c r="AC362" s="50">
        <f>Q362*K362</f>
        <v/>
      </c>
      <c r="AD362" s="50">
        <f>R362*K362</f>
        <v/>
      </c>
      <c r="AE362" s="50">
        <f>S362*K362</f>
        <v/>
      </c>
      <c r="AF362" s="50">
        <f>T362*K362</f>
        <v/>
      </c>
      <c r="AG362" s="50">
        <f>U362*K362</f>
        <v/>
      </c>
      <c r="AH362" s="50">
        <f>V362*K362</f>
        <v/>
      </c>
      <c r="AI362" s="50">
        <f>W362*K362</f>
        <v/>
      </c>
    </row>
    <row r="363">
      <c r="A363" s="25" t="n"/>
      <c r="B363" s="45">
        <f>IF(A363="","",IFERROR(INDEX(Mitarbeiter!$B$6:$B$205,MATCH($A363,Mitarbeiter!$A$6:$A$205,0)),"?"))</f>
        <v/>
      </c>
      <c r="C363" s="46" t="n"/>
      <c r="D363" s="26" t="n"/>
      <c r="E363" s="26" t="n"/>
      <c r="F363" s="24">
        <f>IF(A363="","",SUM(L363:W363))</f>
        <v/>
      </c>
      <c r="G363" s="36">
        <f>IF(A363="","",SUM(X363:AI363))</f>
        <v/>
      </c>
      <c r="H363" s="8">
        <f>IF(A363="","",IF(ISNA(MATCH(A363,Mitarbeiter!$A$6:$A$205,0)),"Pers.-Nr. unbekannt",IF(D363="","Von fehlt",IF(AND(C363&lt;&gt;Einstellungen!$C$4,C363&lt;&gt;Einstellungen!$C$5),"Objekt fehlt",IF(J363&lt;D363,"Bis vor Von",IF(D363&lt;INDEX(Mitarbeiter!$C$6:$C$205,MATCH($A363,Mitarbeiter!$A$6:$A$205,0)),"vor Eintritt",IF(AND(INDEX(Mitarbeiter!$D$6:$D$205,MATCH($A363,Mitarbeiter!$A$6:$A$205,0))&lt;&gt;"",D363&gt;INDEX(Mitarbeiter!$D$6:$D$205,MATCH($A363,Mitarbeiter!$A$6:$A$205,0))),"nach Austritt",IF(E363="","offen","ok"))))))))</f>
        <v/>
      </c>
      <c r="J363" s="47">
        <f>IF(A363="","",IF(E363="",Einstellungen!$C$9,E363))</f>
        <v/>
      </c>
      <c r="K363" s="48">
        <f>IF(A363="",0,IFERROR(INDEX(Mitarbeiter!$F$6:$F$205,MATCH($A363,Mitarbeiter!$A$6:$A$205,0)),0))</f>
        <v/>
      </c>
      <c r="L363" s="49">
        <f>IF(OR(A363="",D363=""),0,MAX(0,NETWORKDAYS(MAX(D363,DATE(Einstellungen!$C$3,1,1)),MIN(J363,DATE(Einstellungen!$C$3,2,0)),Einstellungen!$F$13:$F$32)))</f>
        <v/>
      </c>
      <c r="M363" s="49">
        <f>IF(OR(A363="",D363=""),0,MAX(0,NETWORKDAYS(MAX(D363,DATE(Einstellungen!$C$3,2,1)),MIN(J363,DATE(Einstellungen!$C$3,3,0)),Einstellungen!$F$13:$F$32)))</f>
        <v/>
      </c>
      <c r="N363" s="49">
        <f>IF(OR(A363="",D363=""),0,MAX(0,NETWORKDAYS(MAX(D363,DATE(Einstellungen!$C$3,3,1)),MIN(J363,DATE(Einstellungen!$C$3,4,0)),Einstellungen!$F$13:$F$32)))</f>
        <v/>
      </c>
      <c r="O363" s="49">
        <f>IF(OR(A363="",D363=""),0,MAX(0,NETWORKDAYS(MAX(D363,DATE(Einstellungen!$C$3,4,1)),MIN(J363,DATE(Einstellungen!$C$3,5,0)),Einstellungen!$F$13:$F$32)))</f>
        <v/>
      </c>
      <c r="P363" s="49">
        <f>IF(OR(A363="",D363=""),0,MAX(0,NETWORKDAYS(MAX(D363,DATE(Einstellungen!$C$3,5,1)),MIN(J363,DATE(Einstellungen!$C$3,6,0)),Einstellungen!$F$13:$F$32)))</f>
        <v/>
      </c>
      <c r="Q363" s="49">
        <f>IF(OR(A363="",D363=""),0,MAX(0,NETWORKDAYS(MAX(D363,DATE(Einstellungen!$C$3,6,1)),MIN(J363,DATE(Einstellungen!$C$3,7,0)),Einstellungen!$F$13:$F$32)))</f>
        <v/>
      </c>
      <c r="R363" s="49">
        <f>IF(OR(A363="",D363=""),0,MAX(0,NETWORKDAYS(MAX(D363,DATE(Einstellungen!$C$3,7,1)),MIN(J363,DATE(Einstellungen!$C$3,8,0)),Einstellungen!$F$13:$F$32)))</f>
        <v/>
      </c>
      <c r="S363" s="49">
        <f>IF(OR(A363="",D363=""),0,MAX(0,NETWORKDAYS(MAX(D363,DATE(Einstellungen!$C$3,8,1)),MIN(J363,DATE(Einstellungen!$C$3,9,0)),Einstellungen!$F$13:$F$32)))</f>
        <v/>
      </c>
      <c r="T363" s="49">
        <f>IF(OR(A363="",D363=""),0,MAX(0,NETWORKDAYS(MAX(D363,DATE(Einstellungen!$C$3,9,1)),MIN(J363,DATE(Einstellungen!$C$3,10,0)),Einstellungen!$F$13:$F$32)))</f>
        <v/>
      </c>
      <c r="U363" s="49">
        <f>IF(OR(A363="",D363=""),0,MAX(0,NETWORKDAYS(MAX(D363,DATE(Einstellungen!$C$3,10,1)),MIN(J363,DATE(Einstellungen!$C$3,11,0)),Einstellungen!$F$13:$F$32)))</f>
        <v/>
      </c>
      <c r="V363" s="49">
        <f>IF(OR(A363="",D363=""),0,MAX(0,NETWORKDAYS(MAX(D363,DATE(Einstellungen!$C$3,11,1)),MIN(J363,DATE(Einstellungen!$C$3,12,0)),Einstellungen!$F$13:$F$32)))</f>
        <v/>
      </c>
      <c r="W363" s="49">
        <f>IF(OR(A363="",D363=""),0,MAX(0,NETWORKDAYS(MAX(D363,DATE(Einstellungen!$C$3,12,1)),MIN(J363,DATE(Einstellungen!$C$3,13,0)),Einstellungen!$F$13:$F$32)))</f>
        <v/>
      </c>
      <c r="X363" s="50">
        <f>L363*K363</f>
        <v/>
      </c>
      <c r="Y363" s="50">
        <f>M363*K363</f>
        <v/>
      </c>
      <c r="Z363" s="50">
        <f>N363*K363</f>
        <v/>
      </c>
      <c r="AA363" s="50">
        <f>O363*K363</f>
        <v/>
      </c>
      <c r="AB363" s="50">
        <f>P363*K363</f>
        <v/>
      </c>
      <c r="AC363" s="50">
        <f>Q363*K363</f>
        <v/>
      </c>
      <c r="AD363" s="50">
        <f>R363*K363</f>
        <v/>
      </c>
      <c r="AE363" s="50">
        <f>S363*K363</f>
        <v/>
      </c>
      <c r="AF363" s="50">
        <f>T363*K363</f>
        <v/>
      </c>
      <c r="AG363" s="50">
        <f>U363*K363</f>
        <v/>
      </c>
      <c r="AH363" s="50">
        <f>V363*K363</f>
        <v/>
      </c>
      <c r="AI363" s="50">
        <f>W363*K363</f>
        <v/>
      </c>
    </row>
    <row r="364">
      <c r="A364" s="25" t="n"/>
      <c r="B364" s="45">
        <f>IF(A364="","",IFERROR(INDEX(Mitarbeiter!$B$6:$B$205,MATCH($A364,Mitarbeiter!$A$6:$A$205,0)),"?"))</f>
        <v/>
      </c>
      <c r="C364" s="46" t="n"/>
      <c r="D364" s="26" t="n"/>
      <c r="E364" s="26" t="n"/>
      <c r="F364" s="24">
        <f>IF(A364="","",SUM(L364:W364))</f>
        <v/>
      </c>
      <c r="G364" s="36">
        <f>IF(A364="","",SUM(X364:AI364))</f>
        <v/>
      </c>
      <c r="H364" s="8">
        <f>IF(A364="","",IF(ISNA(MATCH(A364,Mitarbeiter!$A$6:$A$205,0)),"Pers.-Nr. unbekannt",IF(D364="","Von fehlt",IF(AND(C364&lt;&gt;Einstellungen!$C$4,C364&lt;&gt;Einstellungen!$C$5),"Objekt fehlt",IF(J364&lt;D364,"Bis vor Von",IF(D364&lt;INDEX(Mitarbeiter!$C$6:$C$205,MATCH($A364,Mitarbeiter!$A$6:$A$205,0)),"vor Eintritt",IF(AND(INDEX(Mitarbeiter!$D$6:$D$205,MATCH($A364,Mitarbeiter!$A$6:$A$205,0))&lt;&gt;"",D364&gt;INDEX(Mitarbeiter!$D$6:$D$205,MATCH($A364,Mitarbeiter!$A$6:$A$205,0))),"nach Austritt",IF(E364="","offen","ok"))))))))</f>
        <v/>
      </c>
      <c r="J364" s="47">
        <f>IF(A364="","",IF(E364="",Einstellungen!$C$9,E364))</f>
        <v/>
      </c>
      <c r="K364" s="48">
        <f>IF(A364="",0,IFERROR(INDEX(Mitarbeiter!$F$6:$F$205,MATCH($A364,Mitarbeiter!$A$6:$A$205,0)),0))</f>
        <v/>
      </c>
      <c r="L364" s="49">
        <f>IF(OR(A364="",D364=""),0,MAX(0,NETWORKDAYS(MAX(D364,DATE(Einstellungen!$C$3,1,1)),MIN(J364,DATE(Einstellungen!$C$3,2,0)),Einstellungen!$F$13:$F$32)))</f>
        <v/>
      </c>
      <c r="M364" s="49">
        <f>IF(OR(A364="",D364=""),0,MAX(0,NETWORKDAYS(MAX(D364,DATE(Einstellungen!$C$3,2,1)),MIN(J364,DATE(Einstellungen!$C$3,3,0)),Einstellungen!$F$13:$F$32)))</f>
        <v/>
      </c>
      <c r="N364" s="49">
        <f>IF(OR(A364="",D364=""),0,MAX(0,NETWORKDAYS(MAX(D364,DATE(Einstellungen!$C$3,3,1)),MIN(J364,DATE(Einstellungen!$C$3,4,0)),Einstellungen!$F$13:$F$32)))</f>
        <v/>
      </c>
      <c r="O364" s="49">
        <f>IF(OR(A364="",D364=""),0,MAX(0,NETWORKDAYS(MAX(D364,DATE(Einstellungen!$C$3,4,1)),MIN(J364,DATE(Einstellungen!$C$3,5,0)),Einstellungen!$F$13:$F$32)))</f>
        <v/>
      </c>
      <c r="P364" s="49">
        <f>IF(OR(A364="",D364=""),0,MAX(0,NETWORKDAYS(MAX(D364,DATE(Einstellungen!$C$3,5,1)),MIN(J364,DATE(Einstellungen!$C$3,6,0)),Einstellungen!$F$13:$F$32)))</f>
        <v/>
      </c>
      <c r="Q364" s="49">
        <f>IF(OR(A364="",D364=""),0,MAX(0,NETWORKDAYS(MAX(D364,DATE(Einstellungen!$C$3,6,1)),MIN(J364,DATE(Einstellungen!$C$3,7,0)),Einstellungen!$F$13:$F$32)))</f>
        <v/>
      </c>
      <c r="R364" s="49">
        <f>IF(OR(A364="",D364=""),0,MAX(0,NETWORKDAYS(MAX(D364,DATE(Einstellungen!$C$3,7,1)),MIN(J364,DATE(Einstellungen!$C$3,8,0)),Einstellungen!$F$13:$F$32)))</f>
        <v/>
      </c>
      <c r="S364" s="49">
        <f>IF(OR(A364="",D364=""),0,MAX(0,NETWORKDAYS(MAX(D364,DATE(Einstellungen!$C$3,8,1)),MIN(J364,DATE(Einstellungen!$C$3,9,0)),Einstellungen!$F$13:$F$32)))</f>
        <v/>
      </c>
      <c r="T364" s="49">
        <f>IF(OR(A364="",D364=""),0,MAX(0,NETWORKDAYS(MAX(D364,DATE(Einstellungen!$C$3,9,1)),MIN(J364,DATE(Einstellungen!$C$3,10,0)),Einstellungen!$F$13:$F$32)))</f>
        <v/>
      </c>
      <c r="U364" s="49">
        <f>IF(OR(A364="",D364=""),0,MAX(0,NETWORKDAYS(MAX(D364,DATE(Einstellungen!$C$3,10,1)),MIN(J364,DATE(Einstellungen!$C$3,11,0)),Einstellungen!$F$13:$F$32)))</f>
        <v/>
      </c>
      <c r="V364" s="49">
        <f>IF(OR(A364="",D364=""),0,MAX(0,NETWORKDAYS(MAX(D364,DATE(Einstellungen!$C$3,11,1)),MIN(J364,DATE(Einstellungen!$C$3,12,0)),Einstellungen!$F$13:$F$32)))</f>
        <v/>
      </c>
      <c r="W364" s="49">
        <f>IF(OR(A364="",D364=""),0,MAX(0,NETWORKDAYS(MAX(D364,DATE(Einstellungen!$C$3,12,1)),MIN(J364,DATE(Einstellungen!$C$3,13,0)),Einstellungen!$F$13:$F$32)))</f>
        <v/>
      </c>
      <c r="X364" s="50">
        <f>L364*K364</f>
        <v/>
      </c>
      <c r="Y364" s="50">
        <f>M364*K364</f>
        <v/>
      </c>
      <c r="Z364" s="50">
        <f>N364*K364</f>
        <v/>
      </c>
      <c r="AA364" s="50">
        <f>O364*K364</f>
        <v/>
      </c>
      <c r="AB364" s="50">
        <f>P364*K364</f>
        <v/>
      </c>
      <c r="AC364" s="50">
        <f>Q364*K364</f>
        <v/>
      </c>
      <c r="AD364" s="50">
        <f>R364*K364</f>
        <v/>
      </c>
      <c r="AE364" s="50">
        <f>S364*K364</f>
        <v/>
      </c>
      <c r="AF364" s="50">
        <f>T364*K364</f>
        <v/>
      </c>
      <c r="AG364" s="50">
        <f>U364*K364</f>
        <v/>
      </c>
      <c r="AH364" s="50">
        <f>V364*K364</f>
        <v/>
      </c>
      <c r="AI364" s="50">
        <f>W364*K364</f>
        <v/>
      </c>
    </row>
    <row r="365">
      <c r="A365" s="25" t="n"/>
      <c r="B365" s="45">
        <f>IF(A365="","",IFERROR(INDEX(Mitarbeiter!$B$6:$B$205,MATCH($A365,Mitarbeiter!$A$6:$A$205,0)),"?"))</f>
        <v/>
      </c>
      <c r="C365" s="46" t="n"/>
      <c r="D365" s="26" t="n"/>
      <c r="E365" s="26" t="n"/>
      <c r="F365" s="24">
        <f>IF(A365="","",SUM(L365:W365))</f>
        <v/>
      </c>
      <c r="G365" s="36">
        <f>IF(A365="","",SUM(X365:AI365))</f>
        <v/>
      </c>
      <c r="H365" s="8">
        <f>IF(A365="","",IF(ISNA(MATCH(A365,Mitarbeiter!$A$6:$A$205,0)),"Pers.-Nr. unbekannt",IF(D365="","Von fehlt",IF(AND(C365&lt;&gt;Einstellungen!$C$4,C365&lt;&gt;Einstellungen!$C$5),"Objekt fehlt",IF(J365&lt;D365,"Bis vor Von",IF(D365&lt;INDEX(Mitarbeiter!$C$6:$C$205,MATCH($A365,Mitarbeiter!$A$6:$A$205,0)),"vor Eintritt",IF(AND(INDEX(Mitarbeiter!$D$6:$D$205,MATCH($A365,Mitarbeiter!$A$6:$A$205,0))&lt;&gt;"",D365&gt;INDEX(Mitarbeiter!$D$6:$D$205,MATCH($A365,Mitarbeiter!$A$6:$A$205,0))),"nach Austritt",IF(E365="","offen","ok"))))))))</f>
        <v/>
      </c>
      <c r="J365" s="47">
        <f>IF(A365="","",IF(E365="",Einstellungen!$C$9,E365))</f>
        <v/>
      </c>
      <c r="K365" s="48">
        <f>IF(A365="",0,IFERROR(INDEX(Mitarbeiter!$F$6:$F$205,MATCH($A365,Mitarbeiter!$A$6:$A$205,0)),0))</f>
        <v/>
      </c>
      <c r="L365" s="49">
        <f>IF(OR(A365="",D365=""),0,MAX(0,NETWORKDAYS(MAX(D365,DATE(Einstellungen!$C$3,1,1)),MIN(J365,DATE(Einstellungen!$C$3,2,0)),Einstellungen!$F$13:$F$32)))</f>
        <v/>
      </c>
      <c r="M365" s="49">
        <f>IF(OR(A365="",D365=""),0,MAX(0,NETWORKDAYS(MAX(D365,DATE(Einstellungen!$C$3,2,1)),MIN(J365,DATE(Einstellungen!$C$3,3,0)),Einstellungen!$F$13:$F$32)))</f>
        <v/>
      </c>
      <c r="N365" s="49">
        <f>IF(OR(A365="",D365=""),0,MAX(0,NETWORKDAYS(MAX(D365,DATE(Einstellungen!$C$3,3,1)),MIN(J365,DATE(Einstellungen!$C$3,4,0)),Einstellungen!$F$13:$F$32)))</f>
        <v/>
      </c>
      <c r="O365" s="49">
        <f>IF(OR(A365="",D365=""),0,MAX(0,NETWORKDAYS(MAX(D365,DATE(Einstellungen!$C$3,4,1)),MIN(J365,DATE(Einstellungen!$C$3,5,0)),Einstellungen!$F$13:$F$32)))</f>
        <v/>
      </c>
      <c r="P365" s="49">
        <f>IF(OR(A365="",D365=""),0,MAX(0,NETWORKDAYS(MAX(D365,DATE(Einstellungen!$C$3,5,1)),MIN(J365,DATE(Einstellungen!$C$3,6,0)),Einstellungen!$F$13:$F$32)))</f>
        <v/>
      </c>
      <c r="Q365" s="49">
        <f>IF(OR(A365="",D365=""),0,MAX(0,NETWORKDAYS(MAX(D365,DATE(Einstellungen!$C$3,6,1)),MIN(J365,DATE(Einstellungen!$C$3,7,0)),Einstellungen!$F$13:$F$32)))</f>
        <v/>
      </c>
      <c r="R365" s="49">
        <f>IF(OR(A365="",D365=""),0,MAX(0,NETWORKDAYS(MAX(D365,DATE(Einstellungen!$C$3,7,1)),MIN(J365,DATE(Einstellungen!$C$3,8,0)),Einstellungen!$F$13:$F$32)))</f>
        <v/>
      </c>
      <c r="S365" s="49">
        <f>IF(OR(A365="",D365=""),0,MAX(0,NETWORKDAYS(MAX(D365,DATE(Einstellungen!$C$3,8,1)),MIN(J365,DATE(Einstellungen!$C$3,9,0)),Einstellungen!$F$13:$F$32)))</f>
        <v/>
      </c>
      <c r="T365" s="49">
        <f>IF(OR(A365="",D365=""),0,MAX(0,NETWORKDAYS(MAX(D365,DATE(Einstellungen!$C$3,9,1)),MIN(J365,DATE(Einstellungen!$C$3,10,0)),Einstellungen!$F$13:$F$32)))</f>
        <v/>
      </c>
      <c r="U365" s="49">
        <f>IF(OR(A365="",D365=""),0,MAX(0,NETWORKDAYS(MAX(D365,DATE(Einstellungen!$C$3,10,1)),MIN(J365,DATE(Einstellungen!$C$3,11,0)),Einstellungen!$F$13:$F$32)))</f>
        <v/>
      </c>
      <c r="V365" s="49">
        <f>IF(OR(A365="",D365=""),0,MAX(0,NETWORKDAYS(MAX(D365,DATE(Einstellungen!$C$3,11,1)),MIN(J365,DATE(Einstellungen!$C$3,12,0)),Einstellungen!$F$13:$F$32)))</f>
        <v/>
      </c>
      <c r="W365" s="49">
        <f>IF(OR(A365="",D365=""),0,MAX(0,NETWORKDAYS(MAX(D365,DATE(Einstellungen!$C$3,12,1)),MIN(J365,DATE(Einstellungen!$C$3,13,0)),Einstellungen!$F$13:$F$32)))</f>
        <v/>
      </c>
      <c r="X365" s="50">
        <f>L365*K365</f>
        <v/>
      </c>
      <c r="Y365" s="50">
        <f>M365*K365</f>
        <v/>
      </c>
      <c r="Z365" s="50">
        <f>N365*K365</f>
        <v/>
      </c>
      <c r="AA365" s="50">
        <f>O365*K365</f>
        <v/>
      </c>
      <c r="AB365" s="50">
        <f>P365*K365</f>
        <v/>
      </c>
      <c r="AC365" s="50">
        <f>Q365*K365</f>
        <v/>
      </c>
      <c r="AD365" s="50">
        <f>R365*K365</f>
        <v/>
      </c>
      <c r="AE365" s="50">
        <f>S365*K365</f>
        <v/>
      </c>
      <c r="AF365" s="50">
        <f>T365*K365</f>
        <v/>
      </c>
      <c r="AG365" s="50">
        <f>U365*K365</f>
        <v/>
      </c>
      <c r="AH365" s="50">
        <f>V365*K365</f>
        <v/>
      </c>
      <c r="AI365" s="50">
        <f>W365*K365</f>
        <v/>
      </c>
    </row>
    <row r="366">
      <c r="A366" s="25" t="n"/>
      <c r="B366" s="45">
        <f>IF(A366="","",IFERROR(INDEX(Mitarbeiter!$B$6:$B$205,MATCH($A366,Mitarbeiter!$A$6:$A$205,0)),"?"))</f>
        <v/>
      </c>
      <c r="C366" s="46" t="n"/>
      <c r="D366" s="26" t="n"/>
      <c r="E366" s="26" t="n"/>
      <c r="F366" s="24">
        <f>IF(A366="","",SUM(L366:W366))</f>
        <v/>
      </c>
      <c r="G366" s="36">
        <f>IF(A366="","",SUM(X366:AI366))</f>
        <v/>
      </c>
      <c r="H366" s="8">
        <f>IF(A366="","",IF(ISNA(MATCH(A366,Mitarbeiter!$A$6:$A$205,0)),"Pers.-Nr. unbekannt",IF(D366="","Von fehlt",IF(AND(C366&lt;&gt;Einstellungen!$C$4,C366&lt;&gt;Einstellungen!$C$5),"Objekt fehlt",IF(J366&lt;D366,"Bis vor Von",IF(D366&lt;INDEX(Mitarbeiter!$C$6:$C$205,MATCH($A366,Mitarbeiter!$A$6:$A$205,0)),"vor Eintritt",IF(AND(INDEX(Mitarbeiter!$D$6:$D$205,MATCH($A366,Mitarbeiter!$A$6:$A$205,0))&lt;&gt;"",D366&gt;INDEX(Mitarbeiter!$D$6:$D$205,MATCH($A366,Mitarbeiter!$A$6:$A$205,0))),"nach Austritt",IF(E366="","offen","ok"))))))))</f>
        <v/>
      </c>
      <c r="J366" s="47">
        <f>IF(A366="","",IF(E366="",Einstellungen!$C$9,E366))</f>
        <v/>
      </c>
      <c r="K366" s="48">
        <f>IF(A366="",0,IFERROR(INDEX(Mitarbeiter!$F$6:$F$205,MATCH($A366,Mitarbeiter!$A$6:$A$205,0)),0))</f>
        <v/>
      </c>
      <c r="L366" s="49">
        <f>IF(OR(A366="",D366=""),0,MAX(0,NETWORKDAYS(MAX(D366,DATE(Einstellungen!$C$3,1,1)),MIN(J366,DATE(Einstellungen!$C$3,2,0)),Einstellungen!$F$13:$F$32)))</f>
        <v/>
      </c>
      <c r="M366" s="49">
        <f>IF(OR(A366="",D366=""),0,MAX(0,NETWORKDAYS(MAX(D366,DATE(Einstellungen!$C$3,2,1)),MIN(J366,DATE(Einstellungen!$C$3,3,0)),Einstellungen!$F$13:$F$32)))</f>
        <v/>
      </c>
      <c r="N366" s="49">
        <f>IF(OR(A366="",D366=""),0,MAX(0,NETWORKDAYS(MAX(D366,DATE(Einstellungen!$C$3,3,1)),MIN(J366,DATE(Einstellungen!$C$3,4,0)),Einstellungen!$F$13:$F$32)))</f>
        <v/>
      </c>
      <c r="O366" s="49">
        <f>IF(OR(A366="",D366=""),0,MAX(0,NETWORKDAYS(MAX(D366,DATE(Einstellungen!$C$3,4,1)),MIN(J366,DATE(Einstellungen!$C$3,5,0)),Einstellungen!$F$13:$F$32)))</f>
        <v/>
      </c>
      <c r="P366" s="49">
        <f>IF(OR(A366="",D366=""),0,MAX(0,NETWORKDAYS(MAX(D366,DATE(Einstellungen!$C$3,5,1)),MIN(J366,DATE(Einstellungen!$C$3,6,0)),Einstellungen!$F$13:$F$32)))</f>
        <v/>
      </c>
      <c r="Q366" s="49">
        <f>IF(OR(A366="",D366=""),0,MAX(0,NETWORKDAYS(MAX(D366,DATE(Einstellungen!$C$3,6,1)),MIN(J366,DATE(Einstellungen!$C$3,7,0)),Einstellungen!$F$13:$F$32)))</f>
        <v/>
      </c>
      <c r="R366" s="49">
        <f>IF(OR(A366="",D366=""),0,MAX(0,NETWORKDAYS(MAX(D366,DATE(Einstellungen!$C$3,7,1)),MIN(J366,DATE(Einstellungen!$C$3,8,0)),Einstellungen!$F$13:$F$32)))</f>
        <v/>
      </c>
      <c r="S366" s="49">
        <f>IF(OR(A366="",D366=""),0,MAX(0,NETWORKDAYS(MAX(D366,DATE(Einstellungen!$C$3,8,1)),MIN(J366,DATE(Einstellungen!$C$3,9,0)),Einstellungen!$F$13:$F$32)))</f>
        <v/>
      </c>
      <c r="T366" s="49">
        <f>IF(OR(A366="",D366=""),0,MAX(0,NETWORKDAYS(MAX(D366,DATE(Einstellungen!$C$3,9,1)),MIN(J366,DATE(Einstellungen!$C$3,10,0)),Einstellungen!$F$13:$F$32)))</f>
        <v/>
      </c>
      <c r="U366" s="49">
        <f>IF(OR(A366="",D366=""),0,MAX(0,NETWORKDAYS(MAX(D366,DATE(Einstellungen!$C$3,10,1)),MIN(J366,DATE(Einstellungen!$C$3,11,0)),Einstellungen!$F$13:$F$32)))</f>
        <v/>
      </c>
      <c r="V366" s="49">
        <f>IF(OR(A366="",D366=""),0,MAX(0,NETWORKDAYS(MAX(D366,DATE(Einstellungen!$C$3,11,1)),MIN(J366,DATE(Einstellungen!$C$3,12,0)),Einstellungen!$F$13:$F$32)))</f>
        <v/>
      </c>
      <c r="W366" s="49">
        <f>IF(OR(A366="",D366=""),0,MAX(0,NETWORKDAYS(MAX(D366,DATE(Einstellungen!$C$3,12,1)),MIN(J366,DATE(Einstellungen!$C$3,13,0)),Einstellungen!$F$13:$F$32)))</f>
        <v/>
      </c>
      <c r="X366" s="50">
        <f>L366*K366</f>
        <v/>
      </c>
      <c r="Y366" s="50">
        <f>M366*K366</f>
        <v/>
      </c>
      <c r="Z366" s="50">
        <f>N366*K366</f>
        <v/>
      </c>
      <c r="AA366" s="50">
        <f>O366*K366</f>
        <v/>
      </c>
      <c r="AB366" s="50">
        <f>P366*K366</f>
        <v/>
      </c>
      <c r="AC366" s="50">
        <f>Q366*K366</f>
        <v/>
      </c>
      <c r="AD366" s="50">
        <f>R366*K366</f>
        <v/>
      </c>
      <c r="AE366" s="50">
        <f>S366*K366</f>
        <v/>
      </c>
      <c r="AF366" s="50">
        <f>T366*K366</f>
        <v/>
      </c>
      <c r="AG366" s="50">
        <f>U366*K366</f>
        <v/>
      </c>
      <c r="AH366" s="50">
        <f>V366*K366</f>
        <v/>
      </c>
      <c r="AI366" s="50">
        <f>W366*K366</f>
        <v/>
      </c>
    </row>
    <row r="367">
      <c r="A367" s="25" t="n"/>
      <c r="B367" s="45">
        <f>IF(A367="","",IFERROR(INDEX(Mitarbeiter!$B$6:$B$205,MATCH($A367,Mitarbeiter!$A$6:$A$205,0)),"?"))</f>
        <v/>
      </c>
      <c r="C367" s="46" t="n"/>
      <c r="D367" s="26" t="n"/>
      <c r="E367" s="26" t="n"/>
      <c r="F367" s="24">
        <f>IF(A367="","",SUM(L367:W367))</f>
        <v/>
      </c>
      <c r="G367" s="36">
        <f>IF(A367="","",SUM(X367:AI367))</f>
        <v/>
      </c>
      <c r="H367" s="8">
        <f>IF(A367="","",IF(ISNA(MATCH(A367,Mitarbeiter!$A$6:$A$205,0)),"Pers.-Nr. unbekannt",IF(D367="","Von fehlt",IF(AND(C367&lt;&gt;Einstellungen!$C$4,C367&lt;&gt;Einstellungen!$C$5),"Objekt fehlt",IF(J367&lt;D367,"Bis vor Von",IF(D367&lt;INDEX(Mitarbeiter!$C$6:$C$205,MATCH($A367,Mitarbeiter!$A$6:$A$205,0)),"vor Eintritt",IF(AND(INDEX(Mitarbeiter!$D$6:$D$205,MATCH($A367,Mitarbeiter!$A$6:$A$205,0))&lt;&gt;"",D367&gt;INDEX(Mitarbeiter!$D$6:$D$205,MATCH($A367,Mitarbeiter!$A$6:$A$205,0))),"nach Austritt",IF(E367="","offen","ok"))))))))</f>
        <v/>
      </c>
      <c r="J367" s="47">
        <f>IF(A367="","",IF(E367="",Einstellungen!$C$9,E367))</f>
        <v/>
      </c>
      <c r="K367" s="48">
        <f>IF(A367="",0,IFERROR(INDEX(Mitarbeiter!$F$6:$F$205,MATCH($A367,Mitarbeiter!$A$6:$A$205,0)),0))</f>
        <v/>
      </c>
      <c r="L367" s="49">
        <f>IF(OR(A367="",D367=""),0,MAX(0,NETWORKDAYS(MAX(D367,DATE(Einstellungen!$C$3,1,1)),MIN(J367,DATE(Einstellungen!$C$3,2,0)),Einstellungen!$F$13:$F$32)))</f>
        <v/>
      </c>
      <c r="M367" s="49">
        <f>IF(OR(A367="",D367=""),0,MAX(0,NETWORKDAYS(MAX(D367,DATE(Einstellungen!$C$3,2,1)),MIN(J367,DATE(Einstellungen!$C$3,3,0)),Einstellungen!$F$13:$F$32)))</f>
        <v/>
      </c>
      <c r="N367" s="49">
        <f>IF(OR(A367="",D367=""),0,MAX(0,NETWORKDAYS(MAX(D367,DATE(Einstellungen!$C$3,3,1)),MIN(J367,DATE(Einstellungen!$C$3,4,0)),Einstellungen!$F$13:$F$32)))</f>
        <v/>
      </c>
      <c r="O367" s="49">
        <f>IF(OR(A367="",D367=""),0,MAX(0,NETWORKDAYS(MAX(D367,DATE(Einstellungen!$C$3,4,1)),MIN(J367,DATE(Einstellungen!$C$3,5,0)),Einstellungen!$F$13:$F$32)))</f>
        <v/>
      </c>
      <c r="P367" s="49">
        <f>IF(OR(A367="",D367=""),0,MAX(0,NETWORKDAYS(MAX(D367,DATE(Einstellungen!$C$3,5,1)),MIN(J367,DATE(Einstellungen!$C$3,6,0)),Einstellungen!$F$13:$F$32)))</f>
        <v/>
      </c>
      <c r="Q367" s="49">
        <f>IF(OR(A367="",D367=""),0,MAX(0,NETWORKDAYS(MAX(D367,DATE(Einstellungen!$C$3,6,1)),MIN(J367,DATE(Einstellungen!$C$3,7,0)),Einstellungen!$F$13:$F$32)))</f>
        <v/>
      </c>
      <c r="R367" s="49">
        <f>IF(OR(A367="",D367=""),0,MAX(0,NETWORKDAYS(MAX(D367,DATE(Einstellungen!$C$3,7,1)),MIN(J367,DATE(Einstellungen!$C$3,8,0)),Einstellungen!$F$13:$F$32)))</f>
        <v/>
      </c>
      <c r="S367" s="49">
        <f>IF(OR(A367="",D367=""),0,MAX(0,NETWORKDAYS(MAX(D367,DATE(Einstellungen!$C$3,8,1)),MIN(J367,DATE(Einstellungen!$C$3,9,0)),Einstellungen!$F$13:$F$32)))</f>
        <v/>
      </c>
      <c r="T367" s="49">
        <f>IF(OR(A367="",D367=""),0,MAX(0,NETWORKDAYS(MAX(D367,DATE(Einstellungen!$C$3,9,1)),MIN(J367,DATE(Einstellungen!$C$3,10,0)),Einstellungen!$F$13:$F$32)))</f>
        <v/>
      </c>
      <c r="U367" s="49">
        <f>IF(OR(A367="",D367=""),0,MAX(0,NETWORKDAYS(MAX(D367,DATE(Einstellungen!$C$3,10,1)),MIN(J367,DATE(Einstellungen!$C$3,11,0)),Einstellungen!$F$13:$F$32)))</f>
        <v/>
      </c>
      <c r="V367" s="49">
        <f>IF(OR(A367="",D367=""),0,MAX(0,NETWORKDAYS(MAX(D367,DATE(Einstellungen!$C$3,11,1)),MIN(J367,DATE(Einstellungen!$C$3,12,0)),Einstellungen!$F$13:$F$32)))</f>
        <v/>
      </c>
      <c r="W367" s="49">
        <f>IF(OR(A367="",D367=""),0,MAX(0,NETWORKDAYS(MAX(D367,DATE(Einstellungen!$C$3,12,1)),MIN(J367,DATE(Einstellungen!$C$3,13,0)),Einstellungen!$F$13:$F$32)))</f>
        <v/>
      </c>
      <c r="X367" s="50">
        <f>L367*K367</f>
        <v/>
      </c>
      <c r="Y367" s="50">
        <f>M367*K367</f>
        <v/>
      </c>
      <c r="Z367" s="50">
        <f>N367*K367</f>
        <v/>
      </c>
      <c r="AA367" s="50">
        <f>O367*K367</f>
        <v/>
      </c>
      <c r="AB367" s="50">
        <f>P367*K367</f>
        <v/>
      </c>
      <c r="AC367" s="50">
        <f>Q367*K367</f>
        <v/>
      </c>
      <c r="AD367" s="50">
        <f>R367*K367</f>
        <v/>
      </c>
      <c r="AE367" s="50">
        <f>S367*K367</f>
        <v/>
      </c>
      <c r="AF367" s="50">
        <f>T367*K367</f>
        <v/>
      </c>
      <c r="AG367" s="50">
        <f>U367*K367</f>
        <v/>
      </c>
      <c r="AH367" s="50">
        <f>V367*K367</f>
        <v/>
      </c>
      <c r="AI367" s="50">
        <f>W367*K367</f>
        <v/>
      </c>
    </row>
    <row r="368">
      <c r="A368" s="25" t="n"/>
      <c r="B368" s="45">
        <f>IF(A368="","",IFERROR(INDEX(Mitarbeiter!$B$6:$B$205,MATCH($A368,Mitarbeiter!$A$6:$A$205,0)),"?"))</f>
        <v/>
      </c>
      <c r="C368" s="46" t="n"/>
      <c r="D368" s="26" t="n"/>
      <c r="E368" s="26" t="n"/>
      <c r="F368" s="24">
        <f>IF(A368="","",SUM(L368:W368))</f>
        <v/>
      </c>
      <c r="G368" s="36">
        <f>IF(A368="","",SUM(X368:AI368))</f>
        <v/>
      </c>
      <c r="H368" s="8">
        <f>IF(A368="","",IF(ISNA(MATCH(A368,Mitarbeiter!$A$6:$A$205,0)),"Pers.-Nr. unbekannt",IF(D368="","Von fehlt",IF(AND(C368&lt;&gt;Einstellungen!$C$4,C368&lt;&gt;Einstellungen!$C$5),"Objekt fehlt",IF(J368&lt;D368,"Bis vor Von",IF(D368&lt;INDEX(Mitarbeiter!$C$6:$C$205,MATCH($A368,Mitarbeiter!$A$6:$A$205,0)),"vor Eintritt",IF(AND(INDEX(Mitarbeiter!$D$6:$D$205,MATCH($A368,Mitarbeiter!$A$6:$A$205,0))&lt;&gt;"",D368&gt;INDEX(Mitarbeiter!$D$6:$D$205,MATCH($A368,Mitarbeiter!$A$6:$A$205,0))),"nach Austritt",IF(E368="","offen","ok"))))))))</f>
        <v/>
      </c>
      <c r="J368" s="47">
        <f>IF(A368="","",IF(E368="",Einstellungen!$C$9,E368))</f>
        <v/>
      </c>
      <c r="K368" s="48">
        <f>IF(A368="",0,IFERROR(INDEX(Mitarbeiter!$F$6:$F$205,MATCH($A368,Mitarbeiter!$A$6:$A$205,0)),0))</f>
        <v/>
      </c>
      <c r="L368" s="49">
        <f>IF(OR(A368="",D368=""),0,MAX(0,NETWORKDAYS(MAX(D368,DATE(Einstellungen!$C$3,1,1)),MIN(J368,DATE(Einstellungen!$C$3,2,0)),Einstellungen!$F$13:$F$32)))</f>
        <v/>
      </c>
      <c r="M368" s="49">
        <f>IF(OR(A368="",D368=""),0,MAX(0,NETWORKDAYS(MAX(D368,DATE(Einstellungen!$C$3,2,1)),MIN(J368,DATE(Einstellungen!$C$3,3,0)),Einstellungen!$F$13:$F$32)))</f>
        <v/>
      </c>
      <c r="N368" s="49">
        <f>IF(OR(A368="",D368=""),0,MAX(0,NETWORKDAYS(MAX(D368,DATE(Einstellungen!$C$3,3,1)),MIN(J368,DATE(Einstellungen!$C$3,4,0)),Einstellungen!$F$13:$F$32)))</f>
        <v/>
      </c>
      <c r="O368" s="49">
        <f>IF(OR(A368="",D368=""),0,MAX(0,NETWORKDAYS(MAX(D368,DATE(Einstellungen!$C$3,4,1)),MIN(J368,DATE(Einstellungen!$C$3,5,0)),Einstellungen!$F$13:$F$32)))</f>
        <v/>
      </c>
      <c r="P368" s="49">
        <f>IF(OR(A368="",D368=""),0,MAX(0,NETWORKDAYS(MAX(D368,DATE(Einstellungen!$C$3,5,1)),MIN(J368,DATE(Einstellungen!$C$3,6,0)),Einstellungen!$F$13:$F$32)))</f>
        <v/>
      </c>
      <c r="Q368" s="49">
        <f>IF(OR(A368="",D368=""),0,MAX(0,NETWORKDAYS(MAX(D368,DATE(Einstellungen!$C$3,6,1)),MIN(J368,DATE(Einstellungen!$C$3,7,0)),Einstellungen!$F$13:$F$32)))</f>
        <v/>
      </c>
      <c r="R368" s="49">
        <f>IF(OR(A368="",D368=""),0,MAX(0,NETWORKDAYS(MAX(D368,DATE(Einstellungen!$C$3,7,1)),MIN(J368,DATE(Einstellungen!$C$3,8,0)),Einstellungen!$F$13:$F$32)))</f>
        <v/>
      </c>
      <c r="S368" s="49">
        <f>IF(OR(A368="",D368=""),0,MAX(0,NETWORKDAYS(MAX(D368,DATE(Einstellungen!$C$3,8,1)),MIN(J368,DATE(Einstellungen!$C$3,9,0)),Einstellungen!$F$13:$F$32)))</f>
        <v/>
      </c>
      <c r="T368" s="49">
        <f>IF(OR(A368="",D368=""),0,MAX(0,NETWORKDAYS(MAX(D368,DATE(Einstellungen!$C$3,9,1)),MIN(J368,DATE(Einstellungen!$C$3,10,0)),Einstellungen!$F$13:$F$32)))</f>
        <v/>
      </c>
      <c r="U368" s="49">
        <f>IF(OR(A368="",D368=""),0,MAX(0,NETWORKDAYS(MAX(D368,DATE(Einstellungen!$C$3,10,1)),MIN(J368,DATE(Einstellungen!$C$3,11,0)),Einstellungen!$F$13:$F$32)))</f>
        <v/>
      </c>
      <c r="V368" s="49">
        <f>IF(OR(A368="",D368=""),0,MAX(0,NETWORKDAYS(MAX(D368,DATE(Einstellungen!$C$3,11,1)),MIN(J368,DATE(Einstellungen!$C$3,12,0)),Einstellungen!$F$13:$F$32)))</f>
        <v/>
      </c>
      <c r="W368" s="49">
        <f>IF(OR(A368="",D368=""),0,MAX(0,NETWORKDAYS(MAX(D368,DATE(Einstellungen!$C$3,12,1)),MIN(J368,DATE(Einstellungen!$C$3,13,0)),Einstellungen!$F$13:$F$32)))</f>
        <v/>
      </c>
      <c r="X368" s="50">
        <f>L368*K368</f>
        <v/>
      </c>
      <c r="Y368" s="50">
        <f>M368*K368</f>
        <v/>
      </c>
      <c r="Z368" s="50">
        <f>N368*K368</f>
        <v/>
      </c>
      <c r="AA368" s="50">
        <f>O368*K368</f>
        <v/>
      </c>
      <c r="AB368" s="50">
        <f>P368*K368</f>
        <v/>
      </c>
      <c r="AC368" s="50">
        <f>Q368*K368</f>
        <v/>
      </c>
      <c r="AD368" s="50">
        <f>R368*K368</f>
        <v/>
      </c>
      <c r="AE368" s="50">
        <f>S368*K368</f>
        <v/>
      </c>
      <c r="AF368" s="50">
        <f>T368*K368</f>
        <v/>
      </c>
      <c r="AG368" s="50">
        <f>U368*K368</f>
        <v/>
      </c>
      <c r="AH368" s="50">
        <f>V368*K368</f>
        <v/>
      </c>
      <c r="AI368" s="50">
        <f>W368*K368</f>
        <v/>
      </c>
    </row>
    <row r="369">
      <c r="A369" s="25" t="n"/>
      <c r="B369" s="45">
        <f>IF(A369="","",IFERROR(INDEX(Mitarbeiter!$B$6:$B$205,MATCH($A369,Mitarbeiter!$A$6:$A$205,0)),"?"))</f>
        <v/>
      </c>
      <c r="C369" s="46" t="n"/>
      <c r="D369" s="26" t="n"/>
      <c r="E369" s="26" t="n"/>
      <c r="F369" s="24">
        <f>IF(A369="","",SUM(L369:W369))</f>
        <v/>
      </c>
      <c r="G369" s="36">
        <f>IF(A369="","",SUM(X369:AI369))</f>
        <v/>
      </c>
      <c r="H369" s="8">
        <f>IF(A369="","",IF(ISNA(MATCH(A369,Mitarbeiter!$A$6:$A$205,0)),"Pers.-Nr. unbekannt",IF(D369="","Von fehlt",IF(AND(C369&lt;&gt;Einstellungen!$C$4,C369&lt;&gt;Einstellungen!$C$5),"Objekt fehlt",IF(J369&lt;D369,"Bis vor Von",IF(D369&lt;INDEX(Mitarbeiter!$C$6:$C$205,MATCH($A369,Mitarbeiter!$A$6:$A$205,0)),"vor Eintritt",IF(AND(INDEX(Mitarbeiter!$D$6:$D$205,MATCH($A369,Mitarbeiter!$A$6:$A$205,0))&lt;&gt;"",D369&gt;INDEX(Mitarbeiter!$D$6:$D$205,MATCH($A369,Mitarbeiter!$A$6:$A$205,0))),"nach Austritt",IF(E369="","offen","ok"))))))))</f>
        <v/>
      </c>
      <c r="J369" s="47">
        <f>IF(A369="","",IF(E369="",Einstellungen!$C$9,E369))</f>
        <v/>
      </c>
      <c r="K369" s="48">
        <f>IF(A369="",0,IFERROR(INDEX(Mitarbeiter!$F$6:$F$205,MATCH($A369,Mitarbeiter!$A$6:$A$205,0)),0))</f>
        <v/>
      </c>
      <c r="L369" s="49">
        <f>IF(OR(A369="",D369=""),0,MAX(0,NETWORKDAYS(MAX(D369,DATE(Einstellungen!$C$3,1,1)),MIN(J369,DATE(Einstellungen!$C$3,2,0)),Einstellungen!$F$13:$F$32)))</f>
        <v/>
      </c>
      <c r="M369" s="49">
        <f>IF(OR(A369="",D369=""),0,MAX(0,NETWORKDAYS(MAX(D369,DATE(Einstellungen!$C$3,2,1)),MIN(J369,DATE(Einstellungen!$C$3,3,0)),Einstellungen!$F$13:$F$32)))</f>
        <v/>
      </c>
      <c r="N369" s="49">
        <f>IF(OR(A369="",D369=""),0,MAX(0,NETWORKDAYS(MAX(D369,DATE(Einstellungen!$C$3,3,1)),MIN(J369,DATE(Einstellungen!$C$3,4,0)),Einstellungen!$F$13:$F$32)))</f>
        <v/>
      </c>
      <c r="O369" s="49">
        <f>IF(OR(A369="",D369=""),0,MAX(0,NETWORKDAYS(MAX(D369,DATE(Einstellungen!$C$3,4,1)),MIN(J369,DATE(Einstellungen!$C$3,5,0)),Einstellungen!$F$13:$F$32)))</f>
        <v/>
      </c>
      <c r="P369" s="49">
        <f>IF(OR(A369="",D369=""),0,MAX(0,NETWORKDAYS(MAX(D369,DATE(Einstellungen!$C$3,5,1)),MIN(J369,DATE(Einstellungen!$C$3,6,0)),Einstellungen!$F$13:$F$32)))</f>
        <v/>
      </c>
      <c r="Q369" s="49">
        <f>IF(OR(A369="",D369=""),0,MAX(0,NETWORKDAYS(MAX(D369,DATE(Einstellungen!$C$3,6,1)),MIN(J369,DATE(Einstellungen!$C$3,7,0)),Einstellungen!$F$13:$F$32)))</f>
        <v/>
      </c>
      <c r="R369" s="49">
        <f>IF(OR(A369="",D369=""),0,MAX(0,NETWORKDAYS(MAX(D369,DATE(Einstellungen!$C$3,7,1)),MIN(J369,DATE(Einstellungen!$C$3,8,0)),Einstellungen!$F$13:$F$32)))</f>
        <v/>
      </c>
      <c r="S369" s="49">
        <f>IF(OR(A369="",D369=""),0,MAX(0,NETWORKDAYS(MAX(D369,DATE(Einstellungen!$C$3,8,1)),MIN(J369,DATE(Einstellungen!$C$3,9,0)),Einstellungen!$F$13:$F$32)))</f>
        <v/>
      </c>
      <c r="T369" s="49">
        <f>IF(OR(A369="",D369=""),0,MAX(0,NETWORKDAYS(MAX(D369,DATE(Einstellungen!$C$3,9,1)),MIN(J369,DATE(Einstellungen!$C$3,10,0)),Einstellungen!$F$13:$F$32)))</f>
        <v/>
      </c>
      <c r="U369" s="49">
        <f>IF(OR(A369="",D369=""),0,MAX(0,NETWORKDAYS(MAX(D369,DATE(Einstellungen!$C$3,10,1)),MIN(J369,DATE(Einstellungen!$C$3,11,0)),Einstellungen!$F$13:$F$32)))</f>
        <v/>
      </c>
      <c r="V369" s="49">
        <f>IF(OR(A369="",D369=""),0,MAX(0,NETWORKDAYS(MAX(D369,DATE(Einstellungen!$C$3,11,1)),MIN(J369,DATE(Einstellungen!$C$3,12,0)),Einstellungen!$F$13:$F$32)))</f>
        <v/>
      </c>
      <c r="W369" s="49">
        <f>IF(OR(A369="",D369=""),0,MAX(0,NETWORKDAYS(MAX(D369,DATE(Einstellungen!$C$3,12,1)),MIN(J369,DATE(Einstellungen!$C$3,13,0)),Einstellungen!$F$13:$F$32)))</f>
        <v/>
      </c>
      <c r="X369" s="50">
        <f>L369*K369</f>
        <v/>
      </c>
      <c r="Y369" s="50">
        <f>M369*K369</f>
        <v/>
      </c>
      <c r="Z369" s="50">
        <f>N369*K369</f>
        <v/>
      </c>
      <c r="AA369" s="50">
        <f>O369*K369</f>
        <v/>
      </c>
      <c r="AB369" s="50">
        <f>P369*K369</f>
        <v/>
      </c>
      <c r="AC369" s="50">
        <f>Q369*K369</f>
        <v/>
      </c>
      <c r="AD369" s="50">
        <f>R369*K369</f>
        <v/>
      </c>
      <c r="AE369" s="50">
        <f>S369*K369</f>
        <v/>
      </c>
      <c r="AF369" s="50">
        <f>T369*K369</f>
        <v/>
      </c>
      <c r="AG369" s="50">
        <f>U369*K369</f>
        <v/>
      </c>
      <c r="AH369" s="50">
        <f>V369*K369</f>
        <v/>
      </c>
      <c r="AI369" s="50">
        <f>W369*K369</f>
        <v/>
      </c>
    </row>
    <row r="370">
      <c r="A370" s="25" t="n"/>
      <c r="B370" s="45">
        <f>IF(A370="","",IFERROR(INDEX(Mitarbeiter!$B$6:$B$205,MATCH($A370,Mitarbeiter!$A$6:$A$205,0)),"?"))</f>
        <v/>
      </c>
      <c r="C370" s="46" t="n"/>
      <c r="D370" s="26" t="n"/>
      <c r="E370" s="26" t="n"/>
      <c r="F370" s="24">
        <f>IF(A370="","",SUM(L370:W370))</f>
        <v/>
      </c>
      <c r="G370" s="36">
        <f>IF(A370="","",SUM(X370:AI370))</f>
        <v/>
      </c>
      <c r="H370" s="8">
        <f>IF(A370="","",IF(ISNA(MATCH(A370,Mitarbeiter!$A$6:$A$205,0)),"Pers.-Nr. unbekannt",IF(D370="","Von fehlt",IF(AND(C370&lt;&gt;Einstellungen!$C$4,C370&lt;&gt;Einstellungen!$C$5),"Objekt fehlt",IF(J370&lt;D370,"Bis vor Von",IF(D370&lt;INDEX(Mitarbeiter!$C$6:$C$205,MATCH($A370,Mitarbeiter!$A$6:$A$205,0)),"vor Eintritt",IF(AND(INDEX(Mitarbeiter!$D$6:$D$205,MATCH($A370,Mitarbeiter!$A$6:$A$205,0))&lt;&gt;"",D370&gt;INDEX(Mitarbeiter!$D$6:$D$205,MATCH($A370,Mitarbeiter!$A$6:$A$205,0))),"nach Austritt",IF(E370="","offen","ok"))))))))</f>
        <v/>
      </c>
      <c r="J370" s="47">
        <f>IF(A370="","",IF(E370="",Einstellungen!$C$9,E370))</f>
        <v/>
      </c>
      <c r="K370" s="48">
        <f>IF(A370="",0,IFERROR(INDEX(Mitarbeiter!$F$6:$F$205,MATCH($A370,Mitarbeiter!$A$6:$A$205,0)),0))</f>
        <v/>
      </c>
      <c r="L370" s="49">
        <f>IF(OR(A370="",D370=""),0,MAX(0,NETWORKDAYS(MAX(D370,DATE(Einstellungen!$C$3,1,1)),MIN(J370,DATE(Einstellungen!$C$3,2,0)),Einstellungen!$F$13:$F$32)))</f>
        <v/>
      </c>
      <c r="M370" s="49">
        <f>IF(OR(A370="",D370=""),0,MAX(0,NETWORKDAYS(MAX(D370,DATE(Einstellungen!$C$3,2,1)),MIN(J370,DATE(Einstellungen!$C$3,3,0)),Einstellungen!$F$13:$F$32)))</f>
        <v/>
      </c>
      <c r="N370" s="49">
        <f>IF(OR(A370="",D370=""),0,MAX(0,NETWORKDAYS(MAX(D370,DATE(Einstellungen!$C$3,3,1)),MIN(J370,DATE(Einstellungen!$C$3,4,0)),Einstellungen!$F$13:$F$32)))</f>
        <v/>
      </c>
      <c r="O370" s="49">
        <f>IF(OR(A370="",D370=""),0,MAX(0,NETWORKDAYS(MAX(D370,DATE(Einstellungen!$C$3,4,1)),MIN(J370,DATE(Einstellungen!$C$3,5,0)),Einstellungen!$F$13:$F$32)))</f>
        <v/>
      </c>
      <c r="P370" s="49">
        <f>IF(OR(A370="",D370=""),0,MAX(0,NETWORKDAYS(MAX(D370,DATE(Einstellungen!$C$3,5,1)),MIN(J370,DATE(Einstellungen!$C$3,6,0)),Einstellungen!$F$13:$F$32)))</f>
        <v/>
      </c>
      <c r="Q370" s="49">
        <f>IF(OR(A370="",D370=""),0,MAX(0,NETWORKDAYS(MAX(D370,DATE(Einstellungen!$C$3,6,1)),MIN(J370,DATE(Einstellungen!$C$3,7,0)),Einstellungen!$F$13:$F$32)))</f>
        <v/>
      </c>
      <c r="R370" s="49">
        <f>IF(OR(A370="",D370=""),0,MAX(0,NETWORKDAYS(MAX(D370,DATE(Einstellungen!$C$3,7,1)),MIN(J370,DATE(Einstellungen!$C$3,8,0)),Einstellungen!$F$13:$F$32)))</f>
        <v/>
      </c>
      <c r="S370" s="49">
        <f>IF(OR(A370="",D370=""),0,MAX(0,NETWORKDAYS(MAX(D370,DATE(Einstellungen!$C$3,8,1)),MIN(J370,DATE(Einstellungen!$C$3,9,0)),Einstellungen!$F$13:$F$32)))</f>
        <v/>
      </c>
      <c r="T370" s="49">
        <f>IF(OR(A370="",D370=""),0,MAX(0,NETWORKDAYS(MAX(D370,DATE(Einstellungen!$C$3,9,1)),MIN(J370,DATE(Einstellungen!$C$3,10,0)),Einstellungen!$F$13:$F$32)))</f>
        <v/>
      </c>
      <c r="U370" s="49">
        <f>IF(OR(A370="",D370=""),0,MAX(0,NETWORKDAYS(MAX(D370,DATE(Einstellungen!$C$3,10,1)),MIN(J370,DATE(Einstellungen!$C$3,11,0)),Einstellungen!$F$13:$F$32)))</f>
        <v/>
      </c>
      <c r="V370" s="49">
        <f>IF(OR(A370="",D370=""),0,MAX(0,NETWORKDAYS(MAX(D370,DATE(Einstellungen!$C$3,11,1)),MIN(J370,DATE(Einstellungen!$C$3,12,0)),Einstellungen!$F$13:$F$32)))</f>
        <v/>
      </c>
      <c r="W370" s="49">
        <f>IF(OR(A370="",D370=""),0,MAX(0,NETWORKDAYS(MAX(D370,DATE(Einstellungen!$C$3,12,1)),MIN(J370,DATE(Einstellungen!$C$3,13,0)),Einstellungen!$F$13:$F$32)))</f>
        <v/>
      </c>
      <c r="X370" s="50">
        <f>L370*K370</f>
        <v/>
      </c>
      <c r="Y370" s="50">
        <f>M370*K370</f>
        <v/>
      </c>
      <c r="Z370" s="50">
        <f>N370*K370</f>
        <v/>
      </c>
      <c r="AA370" s="50">
        <f>O370*K370</f>
        <v/>
      </c>
      <c r="AB370" s="50">
        <f>P370*K370</f>
        <v/>
      </c>
      <c r="AC370" s="50">
        <f>Q370*K370</f>
        <v/>
      </c>
      <c r="AD370" s="50">
        <f>R370*K370</f>
        <v/>
      </c>
      <c r="AE370" s="50">
        <f>S370*K370</f>
        <v/>
      </c>
      <c r="AF370" s="50">
        <f>T370*K370</f>
        <v/>
      </c>
      <c r="AG370" s="50">
        <f>U370*K370</f>
        <v/>
      </c>
      <c r="AH370" s="50">
        <f>V370*K370</f>
        <v/>
      </c>
      <c r="AI370" s="50">
        <f>W370*K370</f>
        <v/>
      </c>
    </row>
    <row r="371">
      <c r="A371" s="25" t="n"/>
      <c r="B371" s="45">
        <f>IF(A371="","",IFERROR(INDEX(Mitarbeiter!$B$6:$B$205,MATCH($A371,Mitarbeiter!$A$6:$A$205,0)),"?"))</f>
        <v/>
      </c>
      <c r="C371" s="46" t="n"/>
      <c r="D371" s="26" t="n"/>
      <c r="E371" s="26" t="n"/>
      <c r="F371" s="24">
        <f>IF(A371="","",SUM(L371:W371))</f>
        <v/>
      </c>
      <c r="G371" s="36">
        <f>IF(A371="","",SUM(X371:AI371))</f>
        <v/>
      </c>
      <c r="H371" s="8">
        <f>IF(A371="","",IF(ISNA(MATCH(A371,Mitarbeiter!$A$6:$A$205,0)),"Pers.-Nr. unbekannt",IF(D371="","Von fehlt",IF(AND(C371&lt;&gt;Einstellungen!$C$4,C371&lt;&gt;Einstellungen!$C$5),"Objekt fehlt",IF(J371&lt;D371,"Bis vor Von",IF(D371&lt;INDEX(Mitarbeiter!$C$6:$C$205,MATCH($A371,Mitarbeiter!$A$6:$A$205,0)),"vor Eintritt",IF(AND(INDEX(Mitarbeiter!$D$6:$D$205,MATCH($A371,Mitarbeiter!$A$6:$A$205,0))&lt;&gt;"",D371&gt;INDEX(Mitarbeiter!$D$6:$D$205,MATCH($A371,Mitarbeiter!$A$6:$A$205,0))),"nach Austritt",IF(E371="","offen","ok"))))))))</f>
        <v/>
      </c>
      <c r="J371" s="47">
        <f>IF(A371="","",IF(E371="",Einstellungen!$C$9,E371))</f>
        <v/>
      </c>
      <c r="K371" s="48">
        <f>IF(A371="",0,IFERROR(INDEX(Mitarbeiter!$F$6:$F$205,MATCH($A371,Mitarbeiter!$A$6:$A$205,0)),0))</f>
        <v/>
      </c>
      <c r="L371" s="49">
        <f>IF(OR(A371="",D371=""),0,MAX(0,NETWORKDAYS(MAX(D371,DATE(Einstellungen!$C$3,1,1)),MIN(J371,DATE(Einstellungen!$C$3,2,0)),Einstellungen!$F$13:$F$32)))</f>
        <v/>
      </c>
      <c r="M371" s="49">
        <f>IF(OR(A371="",D371=""),0,MAX(0,NETWORKDAYS(MAX(D371,DATE(Einstellungen!$C$3,2,1)),MIN(J371,DATE(Einstellungen!$C$3,3,0)),Einstellungen!$F$13:$F$32)))</f>
        <v/>
      </c>
      <c r="N371" s="49">
        <f>IF(OR(A371="",D371=""),0,MAX(0,NETWORKDAYS(MAX(D371,DATE(Einstellungen!$C$3,3,1)),MIN(J371,DATE(Einstellungen!$C$3,4,0)),Einstellungen!$F$13:$F$32)))</f>
        <v/>
      </c>
      <c r="O371" s="49">
        <f>IF(OR(A371="",D371=""),0,MAX(0,NETWORKDAYS(MAX(D371,DATE(Einstellungen!$C$3,4,1)),MIN(J371,DATE(Einstellungen!$C$3,5,0)),Einstellungen!$F$13:$F$32)))</f>
        <v/>
      </c>
      <c r="P371" s="49">
        <f>IF(OR(A371="",D371=""),0,MAX(0,NETWORKDAYS(MAX(D371,DATE(Einstellungen!$C$3,5,1)),MIN(J371,DATE(Einstellungen!$C$3,6,0)),Einstellungen!$F$13:$F$32)))</f>
        <v/>
      </c>
      <c r="Q371" s="49">
        <f>IF(OR(A371="",D371=""),0,MAX(0,NETWORKDAYS(MAX(D371,DATE(Einstellungen!$C$3,6,1)),MIN(J371,DATE(Einstellungen!$C$3,7,0)),Einstellungen!$F$13:$F$32)))</f>
        <v/>
      </c>
      <c r="R371" s="49">
        <f>IF(OR(A371="",D371=""),0,MAX(0,NETWORKDAYS(MAX(D371,DATE(Einstellungen!$C$3,7,1)),MIN(J371,DATE(Einstellungen!$C$3,8,0)),Einstellungen!$F$13:$F$32)))</f>
        <v/>
      </c>
      <c r="S371" s="49">
        <f>IF(OR(A371="",D371=""),0,MAX(0,NETWORKDAYS(MAX(D371,DATE(Einstellungen!$C$3,8,1)),MIN(J371,DATE(Einstellungen!$C$3,9,0)),Einstellungen!$F$13:$F$32)))</f>
        <v/>
      </c>
      <c r="T371" s="49">
        <f>IF(OR(A371="",D371=""),0,MAX(0,NETWORKDAYS(MAX(D371,DATE(Einstellungen!$C$3,9,1)),MIN(J371,DATE(Einstellungen!$C$3,10,0)),Einstellungen!$F$13:$F$32)))</f>
        <v/>
      </c>
      <c r="U371" s="49">
        <f>IF(OR(A371="",D371=""),0,MAX(0,NETWORKDAYS(MAX(D371,DATE(Einstellungen!$C$3,10,1)),MIN(J371,DATE(Einstellungen!$C$3,11,0)),Einstellungen!$F$13:$F$32)))</f>
        <v/>
      </c>
      <c r="V371" s="49">
        <f>IF(OR(A371="",D371=""),0,MAX(0,NETWORKDAYS(MAX(D371,DATE(Einstellungen!$C$3,11,1)),MIN(J371,DATE(Einstellungen!$C$3,12,0)),Einstellungen!$F$13:$F$32)))</f>
        <v/>
      </c>
      <c r="W371" s="49">
        <f>IF(OR(A371="",D371=""),0,MAX(0,NETWORKDAYS(MAX(D371,DATE(Einstellungen!$C$3,12,1)),MIN(J371,DATE(Einstellungen!$C$3,13,0)),Einstellungen!$F$13:$F$32)))</f>
        <v/>
      </c>
      <c r="X371" s="50">
        <f>L371*K371</f>
        <v/>
      </c>
      <c r="Y371" s="50">
        <f>M371*K371</f>
        <v/>
      </c>
      <c r="Z371" s="50">
        <f>N371*K371</f>
        <v/>
      </c>
      <c r="AA371" s="50">
        <f>O371*K371</f>
        <v/>
      </c>
      <c r="AB371" s="50">
        <f>P371*K371</f>
        <v/>
      </c>
      <c r="AC371" s="50">
        <f>Q371*K371</f>
        <v/>
      </c>
      <c r="AD371" s="50">
        <f>R371*K371</f>
        <v/>
      </c>
      <c r="AE371" s="50">
        <f>S371*K371</f>
        <v/>
      </c>
      <c r="AF371" s="50">
        <f>T371*K371</f>
        <v/>
      </c>
      <c r="AG371" s="50">
        <f>U371*K371</f>
        <v/>
      </c>
      <c r="AH371" s="50">
        <f>V371*K371</f>
        <v/>
      </c>
      <c r="AI371" s="50">
        <f>W371*K371</f>
        <v/>
      </c>
    </row>
    <row r="372">
      <c r="A372" s="25" t="n"/>
      <c r="B372" s="45">
        <f>IF(A372="","",IFERROR(INDEX(Mitarbeiter!$B$6:$B$205,MATCH($A372,Mitarbeiter!$A$6:$A$205,0)),"?"))</f>
        <v/>
      </c>
      <c r="C372" s="46" t="n"/>
      <c r="D372" s="26" t="n"/>
      <c r="E372" s="26" t="n"/>
      <c r="F372" s="24">
        <f>IF(A372="","",SUM(L372:W372))</f>
        <v/>
      </c>
      <c r="G372" s="36">
        <f>IF(A372="","",SUM(X372:AI372))</f>
        <v/>
      </c>
      <c r="H372" s="8">
        <f>IF(A372="","",IF(ISNA(MATCH(A372,Mitarbeiter!$A$6:$A$205,0)),"Pers.-Nr. unbekannt",IF(D372="","Von fehlt",IF(AND(C372&lt;&gt;Einstellungen!$C$4,C372&lt;&gt;Einstellungen!$C$5),"Objekt fehlt",IF(J372&lt;D372,"Bis vor Von",IF(D372&lt;INDEX(Mitarbeiter!$C$6:$C$205,MATCH($A372,Mitarbeiter!$A$6:$A$205,0)),"vor Eintritt",IF(AND(INDEX(Mitarbeiter!$D$6:$D$205,MATCH($A372,Mitarbeiter!$A$6:$A$205,0))&lt;&gt;"",D372&gt;INDEX(Mitarbeiter!$D$6:$D$205,MATCH($A372,Mitarbeiter!$A$6:$A$205,0))),"nach Austritt",IF(E372="","offen","ok"))))))))</f>
        <v/>
      </c>
      <c r="J372" s="47">
        <f>IF(A372="","",IF(E372="",Einstellungen!$C$9,E372))</f>
        <v/>
      </c>
      <c r="K372" s="48">
        <f>IF(A372="",0,IFERROR(INDEX(Mitarbeiter!$F$6:$F$205,MATCH($A372,Mitarbeiter!$A$6:$A$205,0)),0))</f>
        <v/>
      </c>
      <c r="L372" s="49">
        <f>IF(OR(A372="",D372=""),0,MAX(0,NETWORKDAYS(MAX(D372,DATE(Einstellungen!$C$3,1,1)),MIN(J372,DATE(Einstellungen!$C$3,2,0)),Einstellungen!$F$13:$F$32)))</f>
        <v/>
      </c>
      <c r="M372" s="49">
        <f>IF(OR(A372="",D372=""),0,MAX(0,NETWORKDAYS(MAX(D372,DATE(Einstellungen!$C$3,2,1)),MIN(J372,DATE(Einstellungen!$C$3,3,0)),Einstellungen!$F$13:$F$32)))</f>
        <v/>
      </c>
      <c r="N372" s="49">
        <f>IF(OR(A372="",D372=""),0,MAX(0,NETWORKDAYS(MAX(D372,DATE(Einstellungen!$C$3,3,1)),MIN(J372,DATE(Einstellungen!$C$3,4,0)),Einstellungen!$F$13:$F$32)))</f>
        <v/>
      </c>
      <c r="O372" s="49">
        <f>IF(OR(A372="",D372=""),0,MAX(0,NETWORKDAYS(MAX(D372,DATE(Einstellungen!$C$3,4,1)),MIN(J372,DATE(Einstellungen!$C$3,5,0)),Einstellungen!$F$13:$F$32)))</f>
        <v/>
      </c>
      <c r="P372" s="49">
        <f>IF(OR(A372="",D372=""),0,MAX(0,NETWORKDAYS(MAX(D372,DATE(Einstellungen!$C$3,5,1)),MIN(J372,DATE(Einstellungen!$C$3,6,0)),Einstellungen!$F$13:$F$32)))</f>
        <v/>
      </c>
      <c r="Q372" s="49">
        <f>IF(OR(A372="",D372=""),0,MAX(0,NETWORKDAYS(MAX(D372,DATE(Einstellungen!$C$3,6,1)),MIN(J372,DATE(Einstellungen!$C$3,7,0)),Einstellungen!$F$13:$F$32)))</f>
        <v/>
      </c>
      <c r="R372" s="49">
        <f>IF(OR(A372="",D372=""),0,MAX(0,NETWORKDAYS(MAX(D372,DATE(Einstellungen!$C$3,7,1)),MIN(J372,DATE(Einstellungen!$C$3,8,0)),Einstellungen!$F$13:$F$32)))</f>
        <v/>
      </c>
      <c r="S372" s="49">
        <f>IF(OR(A372="",D372=""),0,MAX(0,NETWORKDAYS(MAX(D372,DATE(Einstellungen!$C$3,8,1)),MIN(J372,DATE(Einstellungen!$C$3,9,0)),Einstellungen!$F$13:$F$32)))</f>
        <v/>
      </c>
      <c r="T372" s="49">
        <f>IF(OR(A372="",D372=""),0,MAX(0,NETWORKDAYS(MAX(D372,DATE(Einstellungen!$C$3,9,1)),MIN(J372,DATE(Einstellungen!$C$3,10,0)),Einstellungen!$F$13:$F$32)))</f>
        <v/>
      </c>
      <c r="U372" s="49">
        <f>IF(OR(A372="",D372=""),0,MAX(0,NETWORKDAYS(MAX(D372,DATE(Einstellungen!$C$3,10,1)),MIN(J372,DATE(Einstellungen!$C$3,11,0)),Einstellungen!$F$13:$F$32)))</f>
        <v/>
      </c>
      <c r="V372" s="49">
        <f>IF(OR(A372="",D372=""),0,MAX(0,NETWORKDAYS(MAX(D372,DATE(Einstellungen!$C$3,11,1)),MIN(J372,DATE(Einstellungen!$C$3,12,0)),Einstellungen!$F$13:$F$32)))</f>
        <v/>
      </c>
      <c r="W372" s="49">
        <f>IF(OR(A372="",D372=""),0,MAX(0,NETWORKDAYS(MAX(D372,DATE(Einstellungen!$C$3,12,1)),MIN(J372,DATE(Einstellungen!$C$3,13,0)),Einstellungen!$F$13:$F$32)))</f>
        <v/>
      </c>
      <c r="X372" s="50">
        <f>L372*K372</f>
        <v/>
      </c>
      <c r="Y372" s="50">
        <f>M372*K372</f>
        <v/>
      </c>
      <c r="Z372" s="50">
        <f>N372*K372</f>
        <v/>
      </c>
      <c r="AA372" s="50">
        <f>O372*K372</f>
        <v/>
      </c>
      <c r="AB372" s="50">
        <f>P372*K372</f>
        <v/>
      </c>
      <c r="AC372" s="50">
        <f>Q372*K372</f>
        <v/>
      </c>
      <c r="AD372" s="50">
        <f>R372*K372</f>
        <v/>
      </c>
      <c r="AE372" s="50">
        <f>S372*K372</f>
        <v/>
      </c>
      <c r="AF372" s="50">
        <f>T372*K372</f>
        <v/>
      </c>
      <c r="AG372" s="50">
        <f>U372*K372</f>
        <v/>
      </c>
      <c r="AH372" s="50">
        <f>V372*K372</f>
        <v/>
      </c>
      <c r="AI372" s="50">
        <f>W372*K372</f>
        <v/>
      </c>
    </row>
    <row r="373">
      <c r="A373" s="25" t="n"/>
      <c r="B373" s="45">
        <f>IF(A373="","",IFERROR(INDEX(Mitarbeiter!$B$6:$B$205,MATCH($A373,Mitarbeiter!$A$6:$A$205,0)),"?"))</f>
        <v/>
      </c>
      <c r="C373" s="46" t="n"/>
      <c r="D373" s="26" t="n"/>
      <c r="E373" s="26" t="n"/>
      <c r="F373" s="24">
        <f>IF(A373="","",SUM(L373:W373))</f>
        <v/>
      </c>
      <c r="G373" s="36">
        <f>IF(A373="","",SUM(X373:AI373))</f>
        <v/>
      </c>
      <c r="H373" s="8">
        <f>IF(A373="","",IF(ISNA(MATCH(A373,Mitarbeiter!$A$6:$A$205,0)),"Pers.-Nr. unbekannt",IF(D373="","Von fehlt",IF(AND(C373&lt;&gt;Einstellungen!$C$4,C373&lt;&gt;Einstellungen!$C$5),"Objekt fehlt",IF(J373&lt;D373,"Bis vor Von",IF(D373&lt;INDEX(Mitarbeiter!$C$6:$C$205,MATCH($A373,Mitarbeiter!$A$6:$A$205,0)),"vor Eintritt",IF(AND(INDEX(Mitarbeiter!$D$6:$D$205,MATCH($A373,Mitarbeiter!$A$6:$A$205,0))&lt;&gt;"",D373&gt;INDEX(Mitarbeiter!$D$6:$D$205,MATCH($A373,Mitarbeiter!$A$6:$A$205,0))),"nach Austritt",IF(E373="","offen","ok"))))))))</f>
        <v/>
      </c>
      <c r="J373" s="47">
        <f>IF(A373="","",IF(E373="",Einstellungen!$C$9,E373))</f>
        <v/>
      </c>
      <c r="K373" s="48">
        <f>IF(A373="",0,IFERROR(INDEX(Mitarbeiter!$F$6:$F$205,MATCH($A373,Mitarbeiter!$A$6:$A$205,0)),0))</f>
        <v/>
      </c>
      <c r="L373" s="49">
        <f>IF(OR(A373="",D373=""),0,MAX(0,NETWORKDAYS(MAX(D373,DATE(Einstellungen!$C$3,1,1)),MIN(J373,DATE(Einstellungen!$C$3,2,0)),Einstellungen!$F$13:$F$32)))</f>
        <v/>
      </c>
      <c r="M373" s="49">
        <f>IF(OR(A373="",D373=""),0,MAX(0,NETWORKDAYS(MAX(D373,DATE(Einstellungen!$C$3,2,1)),MIN(J373,DATE(Einstellungen!$C$3,3,0)),Einstellungen!$F$13:$F$32)))</f>
        <v/>
      </c>
      <c r="N373" s="49">
        <f>IF(OR(A373="",D373=""),0,MAX(0,NETWORKDAYS(MAX(D373,DATE(Einstellungen!$C$3,3,1)),MIN(J373,DATE(Einstellungen!$C$3,4,0)),Einstellungen!$F$13:$F$32)))</f>
        <v/>
      </c>
      <c r="O373" s="49">
        <f>IF(OR(A373="",D373=""),0,MAX(0,NETWORKDAYS(MAX(D373,DATE(Einstellungen!$C$3,4,1)),MIN(J373,DATE(Einstellungen!$C$3,5,0)),Einstellungen!$F$13:$F$32)))</f>
        <v/>
      </c>
      <c r="P373" s="49">
        <f>IF(OR(A373="",D373=""),0,MAX(0,NETWORKDAYS(MAX(D373,DATE(Einstellungen!$C$3,5,1)),MIN(J373,DATE(Einstellungen!$C$3,6,0)),Einstellungen!$F$13:$F$32)))</f>
        <v/>
      </c>
      <c r="Q373" s="49">
        <f>IF(OR(A373="",D373=""),0,MAX(0,NETWORKDAYS(MAX(D373,DATE(Einstellungen!$C$3,6,1)),MIN(J373,DATE(Einstellungen!$C$3,7,0)),Einstellungen!$F$13:$F$32)))</f>
        <v/>
      </c>
      <c r="R373" s="49">
        <f>IF(OR(A373="",D373=""),0,MAX(0,NETWORKDAYS(MAX(D373,DATE(Einstellungen!$C$3,7,1)),MIN(J373,DATE(Einstellungen!$C$3,8,0)),Einstellungen!$F$13:$F$32)))</f>
        <v/>
      </c>
      <c r="S373" s="49">
        <f>IF(OR(A373="",D373=""),0,MAX(0,NETWORKDAYS(MAX(D373,DATE(Einstellungen!$C$3,8,1)),MIN(J373,DATE(Einstellungen!$C$3,9,0)),Einstellungen!$F$13:$F$32)))</f>
        <v/>
      </c>
      <c r="T373" s="49">
        <f>IF(OR(A373="",D373=""),0,MAX(0,NETWORKDAYS(MAX(D373,DATE(Einstellungen!$C$3,9,1)),MIN(J373,DATE(Einstellungen!$C$3,10,0)),Einstellungen!$F$13:$F$32)))</f>
        <v/>
      </c>
      <c r="U373" s="49">
        <f>IF(OR(A373="",D373=""),0,MAX(0,NETWORKDAYS(MAX(D373,DATE(Einstellungen!$C$3,10,1)),MIN(J373,DATE(Einstellungen!$C$3,11,0)),Einstellungen!$F$13:$F$32)))</f>
        <v/>
      </c>
      <c r="V373" s="49">
        <f>IF(OR(A373="",D373=""),0,MAX(0,NETWORKDAYS(MAX(D373,DATE(Einstellungen!$C$3,11,1)),MIN(J373,DATE(Einstellungen!$C$3,12,0)),Einstellungen!$F$13:$F$32)))</f>
        <v/>
      </c>
      <c r="W373" s="49">
        <f>IF(OR(A373="",D373=""),0,MAX(0,NETWORKDAYS(MAX(D373,DATE(Einstellungen!$C$3,12,1)),MIN(J373,DATE(Einstellungen!$C$3,13,0)),Einstellungen!$F$13:$F$32)))</f>
        <v/>
      </c>
      <c r="X373" s="50">
        <f>L373*K373</f>
        <v/>
      </c>
      <c r="Y373" s="50">
        <f>M373*K373</f>
        <v/>
      </c>
      <c r="Z373" s="50">
        <f>N373*K373</f>
        <v/>
      </c>
      <c r="AA373" s="50">
        <f>O373*K373</f>
        <v/>
      </c>
      <c r="AB373" s="50">
        <f>P373*K373</f>
        <v/>
      </c>
      <c r="AC373" s="50">
        <f>Q373*K373</f>
        <v/>
      </c>
      <c r="AD373" s="50">
        <f>R373*K373</f>
        <v/>
      </c>
      <c r="AE373" s="50">
        <f>S373*K373</f>
        <v/>
      </c>
      <c r="AF373" s="50">
        <f>T373*K373</f>
        <v/>
      </c>
      <c r="AG373" s="50">
        <f>U373*K373</f>
        <v/>
      </c>
      <c r="AH373" s="50">
        <f>V373*K373</f>
        <v/>
      </c>
      <c r="AI373" s="50">
        <f>W373*K373</f>
        <v/>
      </c>
    </row>
    <row r="374">
      <c r="A374" s="25" t="n"/>
      <c r="B374" s="45">
        <f>IF(A374="","",IFERROR(INDEX(Mitarbeiter!$B$6:$B$205,MATCH($A374,Mitarbeiter!$A$6:$A$205,0)),"?"))</f>
        <v/>
      </c>
      <c r="C374" s="46" t="n"/>
      <c r="D374" s="26" t="n"/>
      <c r="E374" s="26" t="n"/>
      <c r="F374" s="24">
        <f>IF(A374="","",SUM(L374:W374))</f>
        <v/>
      </c>
      <c r="G374" s="36">
        <f>IF(A374="","",SUM(X374:AI374))</f>
        <v/>
      </c>
      <c r="H374" s="8">
        <f>IF(A374="","",IF(ISNA(MATCH(A374,Mitarbeiter!$A$6:$A$205,0)),"Pers.-Nr. unbekannt",IF(D374="","Von fehlt",IF(AND(C374&lt;&gt;Einstellungen!$C$4,C374&lt;&gt;Einstellungen!$C$5),"Objekt fehlt",IF(J374&lt;D374,"Bis vor Von",IF(D374&lt;INDEX(Mitarbeiter!$C$6:$C$205,MATCH($A374,Mitarbeiter!$A$6:$A$205,0)),"vor Eintritt",IF(AND(INDEX(Mitarbeiter!$D$6:$D$205,MATCH($A374,Mitarbeiter!$A$6:$A$205,0))&lt;&gt;"",D374&gt;INDEX(Mitarbeiter!$D$6:$D$205,MATCH($A374,Mitarbeiter!$A$6:$A$205,0))),"nach Austritt",IF(E374="","offen","ok"))))))))</f>
        <v/>
      </c>
      <c r="J374" s="47">
        <f>IF(A374="","",IF(E374="",Einstellungen!$C$9,E374))</f>
        <v/>
      </c>
      <c r="K374" s="48">
        <f>IF(A374="",0,IFERROR(INDEX(Mitarbeiter!$F$6:$F$205,MATCH($A374,Mitarbeiter!$A$6:$A$205,0)),0))</f>
        <v/>
      </c>
      <c r="L374" s="49">
        <f>IF(OR(A374="",D374=""),0,MAX(0,NETWORKDAYS(MAX(D374,DATE(Einstellungen!$C$3,1,1)),MIN(J374,DATE(Einstellungen!$C$3,2,0)),Einstellungen!$F$13:$F$32)))</f>
        <v/>
      </c>
      <c r="M374" s="49">
        <f>IF(OR(A374="",D374=""),0,MAX(0,NETWORKDAYS(MAX(D374,DATE(Einstellungen!$C$3,2,1)),MIN(J374,DATE(Einstellungen!$C$3,3,0)),Einstellungen!$F$13:$F$32)))</f>
        <v/>
      </c>
      <c r="N374" s="49">
        <f>IF(OR(A374="",D374=""),0,MAX(0,NETWORKDAYS(MAX(D374,DATE(Einstellungen!$C$3,3,1)),MIN(J374,DATE(Einstellungen!$C$3,4,0)),Einstellungen!$F$13:$F$32)))</f>
        <v/>
      </c>
      <c r="O374" s="49">
        <f>IF(OR(A374="",D374=""),0,MAX(0,NETWORKDAYS(MAX(D374,DATE(Einstellungen!$C$3,4,1)),MIN(J374,DATE(Einstellungen!$C$3,5,0)),Einstellungen!$F$13:$F$32)))</f>
        <v/>
      </c>
      <c r="P374" s="49">
        <f>IF(OR(A374="",D374=""),0,MAX(0,NETWORKDAYS(MAX(D374,DATE(Einstellungen!$C$3,5,1)),MIN(J374,DATE(Einstellungen!$C$3,6,0)),Einstellungen!$F$13:$F$32)))</f>
        <v/>
      </c>
      <c r="Q374" s="49">
        <f>IF(OR(A374="",D374=""),0,MAX(0,NETWORKDAYS(MAX(D374,DATE(Einstellungen!$C$3,6,1)),MIN(J374,DATE(Einstellungen!$C$3,7,0)),Einstellungen!$F$13:$F$32)))</f>
        <v/>
      </c>
      <c r="R374" s="49">
        <f>IF(OR(A374="",D374=""),0,MAX(0,NETWORKDAYS(MAX(D374,DATE(Einstellungen!$C$3,7,1)),MIN(J374,DATE(Einstellungen!$C$3,8,0)),Einstellungen!$F$13:$F$32)))</f>
        <v/>
      </c>
      <c r="S374" s="49">
        <f>IF(OR(A374="",D374=""),0,MAX(0,NETWORKDAYS(MAX(D374,DATE(Einstellungen!$C$3,8,1)),MIN(J374,DATE(Einstellungen!$C$3,9,0)),Einstellungen!$F$13:$F$32)))</f>
        <v/>
      </c>
      <c r="T374" s="49">
        <f>IF(OR(A374="",D374=""),0,MAX(0,NETWORKDAYS(MAX(D374,DATE(Einstellungen!$C$3,9,1)),MIN(J374,DATE(Einstellungen!$C$3,10,0)),Einstellungen!$F$13:$F$32)))</f>
        <v/>
      </c>
      <c r="U374" s="49">
        <f>IF(OR(A374="",D374=""),0,MAX(0,NETWORKDAYS(MAX(D374,DATE(Einstellungen!$C$3,10,1)),MIN(J374,DATE(Einstellungen!$C$3,11,0)),Einstellungen!$F$13:$F$32)))</f>
        <v/>
      </c>
      <c r="V374" s="49">
        <f>IF(OR(A374="",D374=""),0,MAX(0,NETWORKDAYS(MAX(D374,DATE(Einstellungen!$C$3,11,1)),MIN(J374,DATE(Einstellungen!$C$3,12,0)),Einstellungen!$F$13:$F$32)))</f>
        <v/>
      </c>
      <c r="W374" s="49">
        <f>IF(OR(A374="",D374=""),0,MAX(0,NETWORKDAYS(MAX(D374,DATE(Einstellungen!$C$3,12,1)),MIN(J374,DATE(Einstellungen!$C$3,13,0)),Einstellungen!$F$13:$F$32)))</f>
        <v/>
      </c>
      <c r="X374" s="50">
        <f>L374*K374</f>
        <v/>
      </c>
      <c r="Y374" s="50">
        <f>M374*K374</f>
        <v/>
      </c>
      <c r="Z374" s="50">
        <f>N374*K374</f>
        <v/>
      </c>
      <c r="AA374" s="50">
        <f>O374*K374</f>
        <v/>
      </c>
      <c r="AB374" s="50">
        <f>P374*K374</f>
        <v/>
      </c>
      <c r="AC374" s="50">
        <f>Q374*K374</f>
        <v/>
      </c>
      <c r="AD374" s="50">
        <f>R374*K374</f>
        <v/>
      </c>
      <c r="AE374" s="50">
        <f>S374*K374</f>
        <v/>
      </c>
      <c r="AF374" s="50">
        <f>T374*K374</f>
        <v/>
      </c>
      <c r="AG374" s="50">
        <f>U374*K374</f>
        <v/>
      </c>
      <c r="AH374" s="50">
        <f>V374*K374</f>
        <v/>
      </c>
      <c r="AI374" s="50">
        <f>W374*K374</f>
        <v/>
      </c>
    </row>
    <row r="375">
      <c r="A375" s="25" t="n"/>
      <c r="B375" s="45">
        <f>IF(A375="","",IFERROR(INDEX(Mitarbeiter!$B$6:$B$205,MATCH($A375,Mitarbeiter!$A$6:$A$205,0)),"?"))</f>
        <v/>
      </c>
      <c r="C375" s="46" t="n"/>
      <c r="D375" s="26" t="n"/>
      <c r="E375" s="26" t="n"/>
      <c r="F375" s="24">
        <f>IF(A375="","",SUM(L375:W375))</f>
        <v/>
      </c>
      <c r="G375" s="36">
        <f>IF(A375="","",SUM(X375:AI375))</f>
        <v/>
      </c>
      <c r="H375" s="8">
        <f>IF(A375="","",IF(ISNA(MATCH(A375,Mitarbeiter!$A$6:$A$205,0)),"Pers.-Nr. unbekannt",IF(D375="","Von fehlt",IF(AND(C375&lt;&gt;Einstellungen!$C$4,C375&lt;&gt;Einstellungen!$C$5),"Objekt fehlt",IF(J375&lt;D375,"Bis vor Von",IF(D375&lt;INDEX(Mitarbeiter!$C$6:$C$205,MATCH($A375,Mitarbeiter!$A$6:$A$205,0)),"vor Eintritt",IF(AND(INDEX(Mitarbeiter!$D$6:$D$205,MATCH($A375,Mitarbeiter!$A$6:$A$205,0))&lt;&gt;"",D375&gt;INDEX(Mitarbeiter!$D$6:$D$205,MATCH($A375,Mitarbeiter!$A$6:$A$205,0))),"nach Austritt",IF(E375="","offen","ok"))))))))</f>
        <v/>
      </c>
      <c r="J375" s="47">
        <f>IF(A375="","",IF(E375="",Einstellungen!$C$9,E375))</f>
        <v/>
      </c>
      <c r="K375" s="48">
        <f>IF(A375="",0,IFERROR(INDEX(Mitarbeiter!$F$6:$F$205,MATCH($A375,Mitarbeiter!$A$6:$A$205,0)),0))</f>
        <v/>
      </c>
      <c r="L375" s="49">
        <f>IF(OR(A375="",D375=""),0,MAX(0,NETWORKDAYS(MAX(D375,DATE(Einstellungen!$C$3,1,1)),MIN(J375,DATE(Einstellungen!$C$3,2,0)),Einstellungen!$F$13:$F$32)))</f>
        <v/>
      </c>
      <c r="M375" s="49">
        <f>IF(OR(A375="",D375=""),0,MAX(0,NETWORKDAYS(MAX(D375,DATE(Einstellungen!$C$3,2,1)),MIN(J375,DATE(Einstellungen!$C$3,3,0)),Einstellungen!$F$13:$F$32)))</f>
        <v/>
      </c>
      <c r="N375" s="49">
        <f>IF(OR(A375="",D375=""),0,MAX(0,NETWORKDAYS(MAX(D375,DATE(Einstellungen!$C$3,3,1)),MIN(J375,DATE(Einstellungen!$C$3,4,0)),Einstellungen!$F$13:$F$32)))</f>
        <v/>
      </c>
      <c r="O375" s="49">
        <f>IF(OR(A375="",D375=""),0,MAX(0,NETWORKDAYS(MAX(D375,DATE(Einstellungen!$C$3,4,1)),MIN(J375,DATE(Einstellungen!$C$3,5,0)),Einstellungen!$F$13:$F$32)))</f>
        <v/>
      </c>
      <c r="P375" s="49">
        <f>IF(OR(A375="",D375=""),0,MAX(0,NETWORKDAYS(MAX(D375,DATE(Einstellungen!$C$3,5,1)),MIN(J375,DATE(Einstellungen!$C$3,6,0)),Einstellungen!$F$13:$F$32)))</f>
        <v/>
      </c>
      <c r="Q375" s="49">
        <f>IF(OR(A375="",D375=""),0,MAX(0,NETWORKDAYS(MAX(D375,DATE(Einstellungen!$C$3,6,1)),MIN(J375,DATE(Einstellungen!$C$3,7,0)),Einstellungen!$F$13:$F$32)))</f>
        <v/>
      </c>
      <c r="R375" s="49">
        <f>IF(OR(A375="",D375=""),0,MAX(0,NETWORKDAYS(MAX(D375,DATE(Einstellungen!$C$3,7,1)),MIN(J375,DATE(Einstellungen!$C$3,8,0)),Einstellungen!$F$13:$F$32)))</f>
        <v/>
      </c>
      <c r="S375" s="49">
        <f>IF(OR(A375="",D375=""),0,MAX(0,NETWORKDAYS(MAX(D375,DATE(Einstellungen!$C$3,8,1)),MIN(J375,DATE(Einstellungen!$C$3,9,0)),Einstellungen!$F$13:$F$32)))</f>
        <v/>
      </c>
      <c r="T375" s="49">
        <f>IF(OR(A375="",D375=""),0,MAX(0,NETWORKDAYS(MAX(D375,DATE(Einstellungen!$C$3,9,1)),MIN(J375,DATE(Einstellungen!$C$3,10,0)),Einstellungen!$F$13:$F$32)))</f>
        <v/>
      </c>
      <c r="U375" s="49">
        <f>IF(OR(A375="",D375=""),0,MAX(0,NETWORKDAYS(MAX(D375,DATE(Einstellungen!$C$3,10,1)),MIN(J375,DATE(Einstellungen!$C$3,11,0)),Einstellungen!$F$13:$F$32)))</f>
        <v/>
      </c>
      <c r="V375" s="49">
        <f>IF(OR(A375="",D375=""),0,MAX(0,NETWORKDAYS(MAX(D375,DATE(Einstellungen!$C$3,11,1)),MIN(J375,DATE(Einstellungen!$C$3,12,0)),Einstellungen!$F$13:$F$32)))</f>
        <v/>
      </c>
      <c r="W375" s="49">
        <f>IF(OR(A375="",D375=""),0,MAX(0,NETWORKDAYS(MAX(D375,DATE(Einstellungen!$C$3,12,1)),MIN(J375,DATE(Einstellungen!$C$3,13,0)),Einstellungen!$F$13:$F$32)))</f>
        <v/>
      </c>
      <c r="X375" s="50">
        <f>L375*K375</f>
        <v/>
      </c>
      <c r="Y375" s="50">
        <f>M375*K375</f>
        <v/>
      </c>
      <c r="Z375" s="50">
        <f>N375*K375</f>
        <v/>
      </c>
      <c r="AA375" s="50">
        <f>O375*K375</f>
        <v/>
      </c>
      <c r="AB375" s="50">
        <f>P375*K375</f>
        <v/>
      </c>
      <c r="AC375" s="50">
        <f>Q375*K375</f>
        <v/>
      </c>
      <c r="AD375" s="50">
        <f>R375*K375</f>
        <v/>
      </c>
      <c r="AE375" s="50">
        <f>S375*K375</f>
        <v/>
      </c>
      <c r="AF375" s="50">
        <f>T375*K375</f>
        <v/>
      </c>
      <c r="AG375" s="50">
        <f>U375*K375</f>
        <v/>
      </c>
      <c r="AH375" s="50">
        <f>V375*K375</f>
        <v/>
      </c>
      <c r="AI375" s="50">
        <f>W375*K375</f>
        <v/>
      </c>
    </row>
    <row r="376">
      <c r="A376" s="25" t="n"/>
      <c r="B376" s="45">
        <f>IF(A376="","",IFERROR(INDEX(Mitarbeiter!$B$6:$B$205,MATCH($A376,Mitarbeiter!$A$6:$A$205,0)),"?"))</f>
        <v/>
      </c>
      <c r="C376" s="46" t="n"/>
      <c r="D376" s="26" t="n"/>
      <c r="E376" s="26" t="n"/>
      <c r="F376" s="24">
        <f>IF(A376="","",SUM(L376:W376))</f>
        <v/>
      </c>
      <c r="G376" s="36">
        <f>IF(A376="","",SUM(X376:AI376))</f>
        <v/>
      </c>
      <c r="H376" s="8">
        <f>IF(A376="","",IF(ISNA(MATCH(A376,Mitarbeiter!$A$6:$A$205,0)),"Pers.-Nr. unbekannt",IF(D376="","Von fehlt",IF(AND(C376&lt;&gt;Einstellungen!$C$4,C376&lt;&gt;Einstellungen!$C$5),"Objekt fehlt",IF(J376&lt;D376,"Bis vor Von",IF(D376&lt;INDEX(Mitarbeiter!$C$6:$C$205,MATCH($A376,Mitarbeiter!$A$6:$A$205,0)),"vor Eintritt",IF(AND(INDEX(Mitarbeiter!$D$6:$D$205,MATCH($A376,Mitarbeiter!$A$6:$A$205,0))&lt;&gt;"",D376&gt;INDEX(Mitarbeiter!$D$6:$D$205,MATCH($A376,Mitarbeiter!$A$6:$A$205,0))),"nach Austritt",IF(E376="","offen","ok"))))))))</f>
        <v/>
      </c>
      <c r="J376" s="47">
        <f>IF(A376="","",IF(E376="",Einstellungen!$C$9,E376))</f>
        <v/>
      </c>
      <c r="K376" s="48">
        <f>IF(A376="",0,IFERROR(INDEX(Mitarbeiter!$F$6:$F$205,MATCH($A376,Mitarbeiter!$A$6:$A$205,0)),0))</f>
        <v/>
      </c>
      <c r="L376" s="49">
        <f>IF(OR(A376="",D376=""),0,MAX(0,NETWORKDAYS(MAX(D376,DATE(Einstellungen!$C$3,1,1)),MIN(J376,DATE(Einstellungen!$C$3,2,0)),Einstellungen!$F$13:$F$32)))</f>
        <v/>
      </c>
      <c r="M376" s="49">
        <f>IF(OR(A376="",D376=""),0,MAX(0,NETWORKDAYS(MAX(D376,DATE(Einstellungen!$C$3,2,1)),MIN(J376,DATE(Einstellungen!$C$3,3,0)),Einstellungen!$F$13:$F$32)))</f>
        <v/>
      </c>
      <c r="N376" s="49">
        <f>IF(OR(A376="",D376=""),0,MAX(0,NETWORKDAYS(MAX(D376,DATE(Einstellungen!$C$3,3,1)),MIN(J376,DATE(Einstellungen!$C$3,4,0)),Einstellungen!$F$13:$F$32)))</f>
        <v/>
      </c>
      <c r="O376" s="49">
        <f>IF(OR(A376="",D376=""),0,MAX(0,NETWORKDAYS(MAX(D376,DATE(Einstellungen!$C$3,4,1)),MIN(J376,DATE(Einstellungen!$C$3,5,0)),Einstellungen!$F$13:$F$32)))</f>
        <v/>
      </c>
      <c r="P376" s="49">
        <f>IF(OR(A376="",D376=""),0,MAX(0,NETWORKDAYS(MAX(D376,DATE(Einstellungen!$C$3,5,1)),MIN(J376,DATE(Einstellungen!$C$3,6,0)),Einstellungen!$F$13:$F$32)))</f>
        <v/>
      </c>
      <c r="Q376" s="49">
        <f>IF(OR(A376="",D376=""),0,MAX(0,NETWORKDAYS(MAX(D376,DATE(Einstellungen!$C$3,6,1)),MIN(J376,DATE(Einstellungen!$C$3,7,0)),Einstellungen!$F$13:$F$32)))</f>
        <v/>
      </c>
      <c r="R376" s="49">
        <f>IF(OR(A376="",D376=""),0,MAX(0,NETWORKDAYS(MAX(D376,DATE(Einstellungen!$C$3,7,1)),MIN(J376,DATE(Einstellungen!$C$3,8,0)),Einstellungen!$F$13:$F$32)))</f>
        <v/>
      </c>
      <c r="S376" s="49">
        <f>IF(OR(A376="",D376=""),0,MAX(0,NETWORKDAYS(MAX(D376,DATE(Einstellungen!$C$3,8,1)),MIN(J376,DATE(Einstellungen!$C$3,9,0)),Einstellungen!$F$13:$F$32)))</f>
        <v/>
      </c>
      <c r="T376" s="49">
        <f>IF(OR(A376="",D376=""),0,MAX(0,NETWORKDAYS(MAX(D376,DATE(Einstellungen!$C$3,9,1)),MIN(J376,DATE(Einstellungen!$C$3,10,0)),Einstellungen!$F$13:$F$32)))</f>
        <v/>
      </c>
      <c r="U376" s="49">
        <f>IF(OR(A376="",D376=""),0,MAX(0,NETWORKDAYS(MAX(D376,DATE(Einstellungen!$C$3,10,1)),MIN(J376,DATE(Einstellungen!$C$3,11,0)),Einstellungen!$F$13:$F$32)))</f>
        <v/>
      </c>
      <c r="V376" s="49">
        <f>IF(OR(A376="",D376=""),0,MAX(0,NETWORKDAYS(MAX(D376,DATE(Einstellungen!$C$3,11,1)),MIN(J376,DATE(Einstellungen!$C$3,12,0)),Einstellungen!$F$13:$F$32)))</f>
        <v/>
      </c>
      <c r="W376" s="49">
        <f>IF(OR(A376="",D376=""),0,MAX(0,NETWORKDAYS(MAX(D376,DATE(Einstellungen!$C$3,12,1)),MIN(J376,DATE(Einstellungen!$C$3,13,0)),Einstellungen!$F$13:$F$32)))</f>
        <v/>
      </c>
      <c r="X376" s="50">
        <f>L376*K376</f>
        <v/>
      </c>
      <c r="Y376" s="50">
        <f>M376*K376</f>
        <v/>
      </c>
      <c r="Z376" s="50">
        <f>N376*K376</f>
        <v/>
      </c>
      <c r="AA376" s="50">
        <f>O376*K376</f>
        <v/>
      </c>
      <c r="AB376" s="50">
        <f>P376*K376</f>
        <v/>
      </c>
      <c r="AC376" s="50">
        <f>Q376*K376</f>
        <v/>
      </c>
      <c r="AD376" s="50">
        <f>R376*K376</f>
        <v/>
      </c>
      <c r="AE376" s="50">
        <f>S376*K376</f>
        <v/>
      </c>
      <c r="AF376" s="50">
        <f>T376*K376</f>
        <v/>
      </c>
      <c r="AG376" s="50">
        <f>U376*K376</f>
        <v/>
      </c>
      <c r="AH376" s="50">
        <f>V376*K376</f>
        <v/>
      </c>
      <c r="AI376" s="50">
        <f>W376*K376</f>
        <v/>
      </c>
    </row>
    <row r="377">
      <c r="A377" s="25" t="n"/>
      <c r="B377" s="45">
        <f>IF(A377="","",IFERROR(INDEX(Mitarbeiter!$B$6:$B$205,MATCH($A377,Mitarbeiter!$A$6:$A$205,0)),"?"))</f>
        <v/>
      </c>
      <c r="C377" s="46" t="n"/>
      <c r="D377" s="26" t="n"/>
      <c r="E377" s="26" t="n"/>
      <c r="F377" s="24">
        <f>IF(A377="","",SUM(L377:W377))</f>
        <v/>
      </c>
      <c r="G377" s="36">
        <f>IF(A377="","",SUM(X377:AI377))</f>
        <v/>
      </c>
      <c r="H377" s="8">
        <f>IF(A377="","",IF(ISNA(MATCH(A377,Mitarbeiter!$A$6:$A$205,0)),"Pers.-Nr. unbekannt",IF(D377="","Von fehlt",IF(AND(C377&lt;&gt;Einstellungen!$C$4,C377&lt;&gt;Einstellungen!$C$5),"Objekt fehlt",IF(J377&lt;D377,"Bis vor Von",IF(D377&lt;INDEX(Mitarbeiter!$C$6:$C$205,MATCH($A377,Mitarbeiter!$A$6:$A$205,0)),"vor Eintritt",IF(AND(INDEX(Mitarbeiter!$D$6:$D$205,MATCH($A377,Mitarbeiter!$A$6:$A$205,0))&lt;&gt;"",D377&gt;INDEX(Mitarbeiter!$D$6:$D$205,MATCH($A377,Mitarbeiter!$A$6:$A$205,0))),"nach Austritt",IF(E377="","offen","ok"))))))))</f>
        <v/>
      </c>
      <c r="J377" s="47">
        <f>IF(A377="","",IF(E377="",Einstellungen!$C$9,E377))</f>
        <v/>
      </c>
      <c r="K377" s="48">
        <f>IF(A377="",0,IFERROR(INDEX(Mitarbeiter!$F$6:$F$205,MATCH($A377,Mitarbeiter!$A$6:$A$205,0)),0))</f>
        <v/>
      </c>
      <c r="L377" s="49">
        <f>IF(OR(A377="",D377=""),0,MAX(0,NETWORKDAYS(MAX(D377,DATE(Einstellungen!$C$3,1,1)),MIN(J377,DATE(Einstellungen!$C$3,2,0)),Einstellungen!$F$13:$F$32)))</f>
        <v/>
      </c>
      <c r="M377" s="49">
        <f>IF(OR(A377="",D377=""),0,MAX(0,NETWORKDAYS(MAX(D377,DATE(Einstellungen!$C$3,2,1)),MIN(J377,DATE(Einstellungen!$C$3,3,0)),Einstellungen!$F$13:$F$32)))</f>
        <v/>
      </c>
      <c r="N377" s="49">
        <f>IF(OR(A377="",D377=""),0,MAX(0,NETWORKDAYS(MAX(D377,DATE(Einstellungen!$C$3,3,1)),MIN(J377,DATE(Einstellungen!$C$3,4,0)),Einstellungen!$F$13:$F$32)))</f>
        <v/>
      </c>
      <c r="O377" s="49">
        <f>IF(OR(A377="",D377=""),0,MAX(0,NETWORKDAYS(MAX(D377,DATE(Einstellungen!$C$3,4,1)),MIN(J377,DATE(Einstellungen!$C$3,5,0)),Einstellungen!$F$13:$F$32)))</f>
        <v/>
      </c>
      <c r="P377" s="49">
        <f>IF(OR(A377="",D377=""),0,MAX(0,NETWORKDAYS(MAX(D377,DATE(Einstellungen!$C$3,5,1)),MIN(J377,DATE(Einstellungen!$C$3,6,0)),Einstellungen!$F$13:$F$32)))</f>
        <v/>
      </c>
      <c r="Q377" s="49">
        <f>IF(OR(A377="",D377=""),0,MAX(0,NETWORKDAYS(MAX(D377,DATE(Einstellungen!$C$3,6,1)),MIN(J377,DATE(Einstellungen!$C$3,7,0)),Einstellungen!$F$13:$F$32)))</f>
        <v/>
      </c>
      <c r="R377" s="49">
        <f>IF(OR(A377="",D377=""),0,MAX(0,NETWORKDAYS(MAX(D377,DATE(Einstellungen!$C$3,7,1)),MIN(J377,DATE(Einstellungen!$C$3,8,0)),Einstellungen!$F$13:$F$32)))</f>
        <v/>
      </c>
      <c r="S377" s="49">
        <f>IF(OR(A377="",D377=""),0,MAX(0,NETWORKDAYS(MAX(D377,DATE(Einstellungen!$C$3,8,1)),MIN(J377,DATE(Einstellungen!$C$3,9,0)),Einstellungen!$F$13:$F$32)))</f>
        <v/>
      </c>
      <c r="T377" s="49">
        <f>IF(OR(A377="",D377=""),0,MAX(0,NETWORKDAYS(MAX(D377,DATE(Einstellungen!$C$3,9,1)),MIN(J377,DATE(Einstellungen!$C$3,10,0)),Einstellungen!$F$13:$F$32)))</f>
        <v/>
      </c>
      <c r="U377" s="49">
        <f>IF(OR(A377="",D377=""),0,MAX(0,NETWORKDAYS(MAX(D377,DATE(Einstellungen!$C$3,10,1)),MIN(J377,DATE(Einstellungen!$C$3,11,0)),Einstellungen!$F$13:$F$32)))</f>
        <v/>
      </c>
      <c r="V377" s="49">
        <f>IF(OR(A377="",D377=""),0,MAX(0,NETWORKDAYS(MAX(D377,DATE(Einstellungen!$C$3,11,1)),MIN(J377,DATE(Einstellungen!$C$3,12,0)),Einstellungen!$F$13:$F$32)))</f>
        <v/>
      </c>
      <c r="W377" s="49">
        <f>IF(OR(A377="",D377=""),0,MAX(0,NETWORKDAYS(MAX(D377,DATE(Einstellungen!$C$3,12,1)),MIN(J377,DATE(Einstellungen!$C$3,13,0)),Einstellungen!$F$13:$F$32)))</f>
        <v/>
      </c>
      <c r="X377" s="50">
        <f>L377*K377</f>
        <v/>
      </c>
      <c r="Y377" s="50">
        <f>M377*K377</f>
        <v/>
      </c>
      <c r="Z377" s="50">
        <f>N377*K377</f>
        <v/>
      </c>
      <c r="AA377" s="50">
        <f>O377*K377</f>
        <v/>
      </c>
      <c r="AB377" s="50">
        <f>P377*K377</f>
        <v/>
      </c>
      <c r="AC377" s="50">
        <f>Q377*K377</f>
        <v/>
      </c>
      <c r="AD377" s="50">
        <f>R377*K377</f>
        <v/>
      </c>
      <c r="AE377" s="50">
        <f>S377*K377</f>
        <v/>
      </c>
      <c r="AF377" s="50">
        <f>T377*K377</f>
        <v/>
      </c>
      <c r="AG377" s="50">
        <f>U377*K377</f>
        <v/>
      </c>
      <c r="AH377" s="50">
        <f>V377*K377</f>
        <v/>
      </c>
      <c r="AI377" s="50">
        <f>W377*K377</f>
        <v/>
      </c>
    </row>
    <row r="378">
      <c r="A378" s="25" t="n"/>
      <c r="B378" s="45">
        <f>IF(A378="","",IFERROR(INDEX(Mitarbeiter!$B$6:$B$205,MATCH($A378,Mitarbeiter!$A$6:$A$205,0)),"?"))</f>
        <v/>
      </c>
      <c r="C378" s="46" t="n"/>
      <c r="D378" s="26" t="n"/>
      <c r="E378" s="26" t="n"/>
      <c r="F378" s="24">
        <f>IF(A378="","",SUM(L378:W378))</f>
        <v/>
      </c>
      <c r="G378" s="36">
        <f>IF(A378="","",SUM(X378:AI378))</f>
        <v/>
      </c>
      <c r="H378" s="8">
        <f>IF(A378="","",IF(ISNA(MATCH(A378,Mitarbeiter!$A$6:$A$205,0)),"Pers.-Nr. unbekannt",IF(D378="","Von fehlt",IF(AND(C378&lt;&gt;Einstellungen!$C$4,C378&lt;&gt;Einstellungen!$C$5),"Objekt fehlt",IF(J378&lt;D378,"Bis vor Von",IF(D378&lt;INDEX(Mitarbeiter!$C$6:$C$205,MATCH($A378,Mitarbeiter!$A$6:$A$205,0)),"vor Eintritt",IF(AND(INDEX(Mitarbeiter!$D$6:$D$205,MATCH($A378,Mitarbeiter!$A$6:$A$205,0))&lt;&gt;"",D378&gt;INDEX(Mitarbeiter!$D$6:$D$205,MATCH($A378,Mitarbeiter!$A$6:$A$205,0))),"nach Austritt",IF(E378="","offen","ok"))))))))</f>
        <v/>
      </c>
      <c r="J378" s="47">
        <f>IF(A378="","",IF(E378="",Einstellungen!$C$9,E378))</f>
        <v/>
      </c>
      <c r="K378" s="48">
        <f>IF(A378="",0,IFERROR(INDEX(Mitarbeiter!$F$6:$F$205,MATCH($A378,Mitarbeiter!$A$6:$A$205,0)),0))</f>
        <v/>
      </c>
      <c r="L378" s="49">
        <f>IF(OR(A378="",D378=""),0,MAX(0,NETWORKDAYS(MAX(D378,DATE(Einstellungen!$C$3,1,1)),MIN(J378,DATE(Einstellungen!$C$3,2,0)),Einstellungen!$F$13:$F$32)))</f>
        <v/>
      </c>
      <c r="M378" s="49">
        <f>IF(OR(A378="",D378=""),0,MAX(0,NETWORKDAYS(MAX(D378,DATE(Einstellungen!$C$3,2,1)),MIN(J378,DATE(Einstellungen!$C$3,3,0)),Einstellungen!$F$13:$F$32)))</f>
        <v/>
      </c>
      <c r="N378" s="49">
        <f>IF(OR(A378="",D378=""),0,MAX(0,NETWORKDAYS(MAX(D378,DATE(Einstellungen!$C$3,3,1)),MIN(J378,DATE(Einstellungen!$C$3,4,0)),Einstellungen!$F$13:$F$32)))</f>
        <v/>
      </c>
      <c r="O378" s="49">
        <f>IF(OR(A378="",D378=""),0,MAX(0,NETWORKDAYS(MAX(D378,DATE(Einstellungen!$C$3,4,1)),MIN(J378,DATE(Einstellungen!$C$3,5,0)),Einstellungen!$F$13:$F$32)))</f>
        <v/>
      </c>
      <c r="P378" s="49">
        <f>IF(OR(A378="",D378=""),0,MAX(0,NETWORKDAYS(MAX(D378,DATE(Einstellungen!$C$3,5,1)),MIN(J378,DATE(Einstellungen!$C$3,6,0)),Einstellungen!$F$13:$F$32)))</f>
        <v/>
      </c>
      <c r="Q378" s="49">
        <f>IF(OR(A378="",D378=""),0,MAX(0,NETWORKDAYS(MAX(D378,DATE(Einstellungen!$C$3,6,1)),MIN(J378,DATE(Einstellungen!$C$3,7,0)),Einstellungen!$F$13:$F$32)))</f>
        <v/>
      </c>
      <c r="R378" s="49">
        <f>IF(OR(A378="",D378=""),0,MAX(0,NETWORKDAYS(MAX(D378,DATE(Einstellungen!$C$3,7,1)),MIN(J378,DATE(Einstellungen!$C$3,8,0)),Einstellungen!$F$13:$F$32)))</f>
        <v/>
      </c>
      <c r="S378" s="49">
        <f>IF(OR(A378="",D378=""),0,MAX(0,NETWORKDAYS(MAX(D378,DATE(Einstellungen!$C$3,8,1)),MIN(J378,DATE(Einstellungen!$C$3,9,0)),Einstellungen!$F$13:$F$32)))</f>
        <v/>
      </c>
      <c r="T378" s="49">
        <f>IF(OR(A378="",D378=""),0,MAX(0,NETWORKDAYS(MAX(D378,DATE(Einstellungen!$C$3,9,1)),MIN(J378,DATE(Einstellungen!$C$3,10,0)),Einstellungen!$F$13:$F$32)))</f>
        <v/>
      </c>
      <c r="U378" s="49">
        <f>IF(OR(A378="",D378=""),0,MAX(0,NETWORKDAYS(MAX(D378,DATE(Einstellungen!$C$3,10,1)),MIN(J378,DATE(Einstellungen!$C$3,11,0)),Einstellungen!$F$13:$F$32)))</f>
        <v/>
      </c>
      <c r="V378" s="49">
        <f>IF(OR(A378="",D378=""),0,MAX(0,NETWORKDAYS(MAX(D378,DATE(Einstellungen!$C$3,11,1)),MIN(J378,DATE(Einstellungen!$C$3,12,0)),Einstellungen!$F$13:$F$32)))</f>
        <v/>
      </c>
      <c r="W378" s="49">
        <f>IF(OR(A378="",D378=""),0,MAX(0,NETWORKDAYS(MAX(D378,DATE(Einstellungen!$C$3,12,1)),MIN(J378,DATE(Einstellungen!$C$3,13,0)),Einstellungen!$F$13:$F$32)))</f>
        <v/>
      </c>
      <c r="X378" s="50">
        <f>L378*K378</f>
        <v/>
      </c>
      <c r="Y378" s="50">
        <f>M378*K378</f>
        <v/>
      </c>
      <c r="Z378" s="50">
        <f>N378*K378</f>
        <v/>
      </c>
      <c r="AA378" s="50">
        <f>O378*K378</f>
        <v/>
      </c>
      <c r="AB378" s="50">
        <f>P378*K378</f>
        <v/>
      </c>
      <c r="AC378" s="50">
        <f>Q378*K378</f>
        <v/>
      </c>
      <c r="AD378" s="50">
        <f>R378*K378</f>
        <v/>
      </c>
      <c r="AE378" s="50">
        <f>S378*K378</f>
        <v/>
      </c>
      <c r="AF378" s="50">
        <f>T378*K378</f>
        <v/>
      </c>
      <c r="AG378" s="50">
        <f>U378*K378</f>
        <v/>
      </c>
      <c r="AH378" s="50">
        <f>V378*K378</f>
        <v/>
      </c>
      <c r="AI378" s="50">
        <f>W378*K378</f>
        <v/>
      </c>
    </row>
    <row r="379">
      <c r="A379" s="25" t="n"/>
      <c r="B379" s="45">
        <f>IF(A379="","",IFERROR(INDEX(Mitarbeiter!$B$6:$B$205,MATCH($A379,Mitarbeiter!$A$6:$A$205,0)),"?"))</f>
        <v/>
      </c>
      <c r="C379" s="46" t="n"/>
      <c r="D379" s="26" t="n"/>
      <c r="E379" s="26" t="n"/>
      <c r="F379" s="24">
        <f>IF(A379="","",SUM(L379:W379))</f>
        <v/>
      </c>
      <c r="G379" s="36">
        <f>IF(A379="","",SUM(X379:AI379))</f>
        <v/>
      </c>
      <c r="H379" s="8">
        <f>IF(A379="","",IF(ISNA(MATCH(A379,Mitarbeiter!$A$6:$A$205,0)),"Pers.-Nr. unbekannt",IF(D379="","Von fehlt",IF(AND(C379&lt;&gt;Einstellungen!$C$4,C379&lt;&gt;Einstellungen!$C$5),"Objekt fehlt",IF(J379&lt;D379,"Bis vor Von",IF(D379&lt;INDEX(Mitarbeiter!$C$6:$C$205,MATCH($A379,Mitarbeiter!$A$6:$A$205,0)),"vor Eintritt",IF(AND(INDEX(Mitarbeiter!$D$6:$D$205,MATCH($A379,Mitarbeiter!$A$6:$A$205,0))&lt;&gt;"",D379&gt;INDEX(Mitarbeiter!$D$6:$D$205,MATCH($A379,Mitarbeiter!$A$6:$A$205,0))),"nach Austritt",IF(E379="","offen","ok"))))))))</f>
        <v/>
      </c>
      <c r="J379" s="47">
        <f>IF(A379="","",IF(E379="",Einstellungen!$C$9,E379))</f>
        <v/>
      </c>
      <c r="K379" s="48">
        <f>IF(A379="",0,IFERROR(INDEX(Mitarbeiter!$F$6:$F$205,MATCH($A379,Mitarbeiter!$A$6:$A$205,0)),0))</f>
        <v/>
      </c>
      <c r="L379" s="49">
        <f>IF(OR(A379="",D379=""),0,MAX(0,NETWORKDAYS(MAX(D379,DATE(Einstellungen!$C$3,1,1)),MIN(J379,DATE(Einstellungen!$C$3,2,0)),Einstellungen!$F$13:$F$32)))</f>
        <v/>
      </c>
      <c r="M379" s="49">
        <f>IF(OR(A379="",D379=""),0,MAX(0,NETWORKDAYS(MAX(D379,DATE(Einstellungen!$C$3,2,1)),MIN(J379,DATE(Einstellungen!$C$3,3,0)),Einstellungen!$F$13:$F$32)))</f>
        <v/>
      </c>
      <c r="N379" s="49">
        <f>IF(OR(A379="",D379=""),0,MAX(0,NETWORKDAYS(MAX(D379,DATE(Einstellungen!$C$3,3,1)),MIN(J379,DATE(Einstellungen!$C$3,4,0)),Einstellungen!$F$13:$F$32)))</f>
        <v/>
      </c>
      <c r="O379" s="49">
        <f>IF(OR(A379="",D379=""),0,MAX(0,NETWORKDAYS(MAX(D379,DATE(Einstellungen!$C$3,4,1)),MIN(J379,DATE(Einstellungen!$C$3,5,0)),Einstellungen!$F$13:$F$32)))</f>
        <v/>
      </c>
      <c r="P379" s="49">
        <f>IF(OR(A379="",D379=""),0,MAX(0,NETWORKDAYS(MAX(D379,DATE(Einstellungen!$C$3,5,1)),MIN(J379,DATE(Einstellungen!$C$3,6,0)),Einstellungen!$F$13:$F$32)))</f>
        <v/>
      </c>
      <c r="Q379" s="49">
        <f>IF(OR(A379="",D379=""),0,MAX(0,NETWORKDAYS(MAX(D379,DATE(Einstellungen!$C$3,6,1)),MIN(J379,DATE(Einstellungen!$C$3,7,0)),Einstellungen!$F$13:$F$32)))</f>
        <v/>
      </c>
      <c r="R379" s="49">
        <f>IF(OR(A379="",D379=""),0,MAX(0,NETWORKDAYS(MAX(D379,DATE(Einstellungen!$C$3,7,1)),MIN(J379,DATE(Einstellungen!$C$3,8,0)),Einstellungen!$F$13:$F$32)))</f>
        <v/>
      </c>
      <c r="S379" s="49">
        <f>IF(OR(A379="",D379=""),0,MAX(0,NETWORKDAYS(MAX(D379,DATE(Einstellungen!$C$3,8,1)),MIN(J379,DATE(Einstellungen!$C$3,9,0)),Einstellungen!$F$13:$F$32)))</f>
        <v/>
      </c>
      <c r="T379" s="49">
        <f>IF(OR(A379="",D379=""),0,MAX(0,NETWORKDAYS(MAX(D379,DATE(Einstellungen!$C$3,9,1)),MIN(J379,DATE(Einstellungen!$C$3,10,0)),Einstellungen!$F$13:$F$32)))</f>
        <v/>
      </c>
      <c r="U379" s="49">
        <f>IF(OR(A379="",D379=""),0,MAX(0,NETWORKDAYS(MAX(D379,DATE(Einstellungen!$C$3,10,1)),MIN(J379,DATE(Einstellungen!$C$3,11,0)),Einstellungen!$F$13:$F$32)))</f>
        <v/>
      </c>
      <c r="V379" s="49">
        <f>IF(OR(A379="",D379=""),0,MAX(0,NETWORKDAYS(MAX(D379,DATE(Einstellungen!$C$3,11,1)),MIN(J379,DATE(Einstellungen!$C$3,12,0)),Einstellungen!$F$13:$F$32)))</f>
        <v/>
      </c>
      <c r="W379" s="49">
        <f>IF(OR(A379="",D379=""),0,MAX(0,NETWORKDAYS(MAX(D379,DATE(Einstellungen!$C$3,12,1)),MIN(J379,DATE(Einstellungen!$C$3,13,0)),Einstellungen!$F$13:$F$32)))</f>
        <v/>
      </c>
      <c r="X379" s="50">
        <f>L379*K379</f>
        <v/>
      </c>
      <c r="Y379" s="50">
        <f>M379*K379</f>
        <v/>
      </c>
      <c r="Z379" s="50">
        <f>N379*K379</f>
        <v/>
      </c>
      <c r="AA379" s="50">
        <f>O379*K379</f>
        <v/>
      </c>
      <c r="AB379" s="50">
        <f>P379*K379</f>
        <v/>
      </c>
      <c r="AC379" s="50">
        <f>Q379*K379</f>
        <v/>
      </c>
      <c r="AD379" s="50">
        <f>R379*K379</f>
        <v/>
      </c>
      <c r="AE379" s="50">
        <f>S379*K379</f>
        <v/>
      </c>
      <c r="AF379" s="50">
        <f>T379*K379</f>
        <v/>
      </c>
      <c r="AG379" s="50">
        <f>U379*K379</f>
        <v/>
      </c>
      <c r="AH379" s="50">
        <f>V379*K379</f>
        <v/>
      </c>
      <c r="AI379" s="50">
        <f>W379*K379</f>
        <v/>
      </c>
    </row>
    <row r="380">
      <c r="A380" s="25" t="n"/>
      <c r="B380" s="45">
        <f>IF(A380="","",IFERROR(INDEX(Mitarbeiter!$B$6:$B$205,MATCH($A380,Mitarbeiter!$A$6:$A$205,0)),"?"))</f>
        <v/>
      </c>
      <c r="C380" s="46" t="n"/>
      <c r="D380" s="26" t="n"/>
      <c r="E380" s="26" t="n"/>
      <c r="F380" s="24">
        <f>IF(A380="","",SUM(L380:W380))</f>
        <v/>
      </c>
      <c r="G380" s="36">
        <f>IF(A380="","",SUM(X380:AI380))</f>
        <v/>
      </c>
      <c r="H380" s="8">
        <f>IF(A380="","",IF(ISNA(MATCH(A380,Mitarbeiter!$A$6:$A$205,0)),"Pers.-Nr. unbekannt",IF(D380="","Von fehlt",IF(AND(C380&lt;&gt;Einstellungen!$C$4,C380&lt;&gt;Einstellungen!$C$5),"Objekt fehlt",IF(J380&lt;D380,"Bis vor Von",IF(D380&lt;INDEX(Mitarbeiter!$C$6:$C$205,MATCH($A380,Mitarbeiter!$A$6:$A$205,0)),"vor Eintritt",IF(AND(INDEX(Mitarbeiter!$D$6:$D$205,MATCH($A380,Mitarbeiter!$A$6:$A$205,0))&lt;&gt;"",D380&gt;INDEX(Mitarbeiter!$D$6:$D$205,MATCH($A380,Mitarbeiter!$A$6:$A$205,0))),"nach Austritt",IF(E380="","offen","ok"))))))))</f>
        <v/>
      </c>
      <c r="J380" s="47">
        <f>IF(A380="","",IF(E380="",Einstellungen!$C$9,E380))</f>
        <v/>
      </c>
      <c r="K380" s="48">
        <f>IF(A380="",0,IFERROR(INDEX(Mitarbeiter!$F$6:$F$205,MATCH($A380,Mitarbeiter!$A$6:$A$205,0)),0))</f>
        <v/>
      </c>
      <c r="L380" s="49">
        <f>IF(OR(A380="",D380=""),0,MAX(0,NETWORKDAYS(MAX(D380,DATE(Einstellungen!$C$3,1,1)),MIN(J380,DATE(Einstellungen!$C$3,2,0)),Einstellungen!$F$13:$F$32)))</f>
        <v/>
      </c>
      <c r="M380" s="49">
        <f>IF(OR(A380="",D380=""),0,MAX(0,NETWORKDAYS(MAX(D380,DATE(Einstellungen!$C$3,2,1)),MIN(J380,DATE(Einstellungen!$C$3,3,0)),Einstellungen!$F$13:$F$32)))</f>
        <v/>
      </c>
      <c r="N380" s="49">
        <f>IF(OR(A380="",D380=""),0,MAX(0,NETWORKDAYS(MAX(D380,DATE(Einstellungen!$C$3,3,1)),MIN(J380,DATE(Einstellungen!$C$3,4,0)),Einstellungen!$F$13:$F$32)))</f>
        <v/>
      </c>
      <c r="O380" s="49">
        <f>IF(OR(A380="",D380=""),0,MAX(0,NETWORKDAYS(MAX(D380,DATE(Einstellungen!$C$3,4,1)),MIN(J380,DATE(Einstellungen!$C$3,5,0)),Einstellungen!$F$13:$F$32)))</f>
        <v/>
      </c>
      <c r="P380" s="49">
        <f>IF(OR(A380="",D380=""),0,MAX(0,NETWORKDAYS(MAX(D380,DATE(Einstellungen!$C$3,5,1)),MIN(J380,DATE(Einstellungen!$C$3,6,0)),Einstellungen!$F$13:$F$32)))</f>
        <v/>
      </c>
      <c r="Q380" s="49">
        <f>IF(OR(A380="",D380=""),0,MAX(0,NETWORKDAYS(MAX(D380,DATE(Einstellungen!$C$3,6,1)),MIN(J380,DATE(Einstellungen!$C$3,7,0)),Einstellungen!$F$13:$F$32)))</f>
        <v/>
      </c>
      <c r="R380" s="49">
        <f>IF(OR(A380="",D380=""),0,MAX(0,NETWORKDAYS(MAX(D380,DATE(Einstellungen!$C$3,7,1)),MIN(J380,DATE(Einstellungen!$C$3,8,0)),Einstellungen!$F$13:$F$32)))</f>
        <v/>
      </c>
      <c r="S380" s="49">
        <f>IF(OR(A380="",D380=""),0,MAX(0,NETWORKDAYS(MAX(D380,DATE(Einstellungen!$C$3,8,1)),MIN(J380,DATE(Einstellungen!$C$3,9,0)),Einstellungen!$F$13:$F$32)))</f>
        <v/>
      </c>
      <c r="T380" s="49">
        <f>IF(OR(A380="",D380=""),0,MAX(0,NETWORKDAYS(MAX(D380,DATE(Einstellungen!$C$3,9,1)),MIN(J380,DATE(Einstellungen!$C$3,10,0)),Einstellungen!$F$13:$F$32)))</f>
        <v/>
      </c>
      <c r="U380" s="49">
        <f>IF(OR(A380="",D380=""),0,MAX(0,NETWORKDAYS(MAX(D380,DATE(Einstellungen!$C$3,10,1)),MIN(J380,DATE(Einstellungen!$C$3,11,0)),Einstellungen!$F$13:$F$32)))</f>
        <v/>
      </c>
      <c r="V380" s="49">
        <f>IF(OR(A380="",D380=""),0,MAX(0,NETWORKDAYS(MAX(D380,DATE(Einstellungen!$C$3,11,1)),MIN(J380,DATE(Einstellungen!$C$3,12,0)),Einstellungen!$F$13:$F$32)))</f>
        <v/>
      </c>
      <c r="W380" s="49">
        <f>IF(OR(A380="",D380=""),0,MAX(0,NETWORKDAYS(MAX(D380,DATE(Einstellungen!$C$3,12,1)),MIN(J380,DATE(Einstellungen!$C$3,13,0)),Einstellungen!$F$13:$F$32)))</f>
        <v/>
      </c>
      <c r="X380" s="50">
        <f>L380*K380</f>
        <v/>
      </c>
      <c r="Y380" s="50">
        <f>M380*K380</f>
        <v/>
      </c>
      <c r="Z380" s="50">
        <f>N380*K380</f>
        <v/>
      </c>
      <c r="AA380" s="50">
        <f>O380*K380</f>
        <v/>
      </c>
      <c r="AB380" s="50">
        <f>P380*K380</f>
        <v/>
      </c>
      <c r="AC380" s="50">
        <f>Q380*K380</f>
        <v/>
      </c>
      <c r="AD380" s="50">
        <f>R380*K380</f>
        <v/>
      </c>
      <c r="AE380" s="50">
        <f>S380*K380</f>
        <v/>
      </c>
      <c r="AF380" s="50">
        <f>T380*K380</f>
        <v/>
      </c>
      <c r="AG380" s="50">
        <f>U380*K380</f>
        <v/>
      </c>
      <c r="AH380" s="50">
        <f>V380*K380</f>
        <v/>
      </c>
      <c r="AI380" s="50">
        <f>W380*K380</f>
        <v/>
      </c>
    </row>
    <row r="381">
      <c r="A381" s="25" t="n"/>
      <c r="B381" s="45">
        <f>IF(A381="","",IFERROR(INDEX(Mitarbeiter!$B$6:$B$205,MATCH($A381,Mitarbeiter!$A$6:$A$205,0)),"?"))</f>
        <v/>
      </c>
      <c r="C381" s="46" t="n"/>
      <c r="D381" s="26" t="n"/>
      <c r="E381" s="26" t="n"/>
      <c r="F381" s="24">
        <f>IF(A381="","",SUM(L381:W381))</f>
        <v/>
      </c>
      <c r="G381" s="36">
        <f>IF(A381="","",SUM(X381:AI381))</f>
        <v/>
      </c>
      <c r="H381" s="8">
        <f>IF(A381="","",IF(ISNA(MATCH(A381,Mitarbeiter!$A$6:$A$205,0)),"Pers.-Nr. unbekannt",IF(D381="","Von fehlt",IF(AND(C381&lt;&gt;Einstellungen!$C$4,C381&lt;&gt;Einstellungen!$C$5),"Objekt fehlt",IF(J381&lt;D381,"Bis vor Von",IF(D381&lt;INDEX(Mitarbeiter!$C$6:$C$205,MATCH($A381,Mitarbeiter!$A$6:$A$205,0)),"vor Eintritt",IF(AND(INDEX(Mitarbeiter!$D$6:$D$205,MATCH($A381,Mitarbeiter!$A$6:$A$205,0))&lt;&gt;"",D381&gt;INDEX(Mitarbeiter!$D$6:$D$205,MATCH($A381,Mitarbeiter!$A$6:$A$205,0))),"nach Austritt",IF(E381="","offen","ok"))))))))</f>
        <v/>
      </c>
      <c r="J381" s="47">
        <f>IF(A381="","",IF(E381="",Einstellungen!$C$9,E381))</f>
        <v/>
      </c>
      <c r="K381" s="48">
        <f>IF(A381="",0,IFERROR(INDEX(Mitarbeiter!$F$6:$F$205,MATCH($A381,Mitarbeiter!$A$6:$A$205,0)),0))</f>
        <v/>
      </c>
      <c r="L381" s="49">
        <f>IF(OR(A381="",D381=""),0,MAX(0,NETWORKDAYS(MAX(D381,DATE(Einstellungen!$C$3,1,1)),MIN(J381,DATE(Einstellungen!$C$3,2,0)),Einstellungen!$F$13:$F$32)))</f>
        <v/>
      </c>
      <c r="M381" s="49">
        <f>IF(OR(A381="",D381=""),0,MAX(0,NETWORKDAYS(MAX(D381,DATE(Einstellungen!$C$3,2,1)),MIN(J381,DATE(Einstellungen!$C$3,3,0)),Einstellungen!$F$13:$F$32)))</f>
        <v/>
      </c>
      <c r="N381" s="49">
        <f>IF(OR(A381="",D381=""),0,MAX(0,NETWORKDAYS(MAX(D381,DATE(Einstellungen!$C$3,3,1)),MIN(J381,DATE(Einstellungen!$C$3,4,0)),Einstellungen!$F$13:$F$32)))</f>
        <v/>
      </c>
      <c r="O381" s="49">
        <f>IF(OR(A381="",D381=""),0,MAX(0,NETWORKDAYS(MAX(D381,DATE(Einstellungen!$C$3,4,1)),MIN(J381,DATE(Einstellungen!$C$3,5,0)),Einstellungen!$F$13:$F$32)))</f>
        <v/>
      </c>
      <c r="P381" s="49">
        <f>IF(OR(A381="",D381=""),0,MAX(0,NETWORKDAYS(MAX(D381,DATE(Einstellungen!$C$3,5,1)),MIN(J381,DATE(Einstellungen!$C$3,6,0)),Einstellungen!$F$13:$F$32)))</f>
        <v/>
      </c>
      <c r="Q381" s="49">
        <f>IF(OR(A381="",D381=""),0,MAX(0,NETWORKDAYS(MAX(D381,DATE(Einstellungen!$C$3,6,1)),MIN(J381,DATE(Einstellungen!$C$3,7,0)),Einstellungen!$F$13:$F$32)))</f>
        <v/>
      </c>
      <c r="R381" s="49">
        <f>IF(OR(A381="",D381=""),0,MAX(0,NETWORKDAYS(MAX(D381,DATE(Einstellungen!$C$3,7,1)),MIN(J381,DATE(Einstellungen!$C$3,8,0)),Einstellungen!$F$13:$F$32)))</f>
        <v/>
      </c>
      <c r="S381" s="49">
        <f>IF(OR(A381="",D381=""),0,MAX(0,NETWORKDAYS(MAX(D381,DATE(Einstellungen!$C$3,8,1)),MIN(J381,DATE(Einstellungen!$C$3,9,0)),Einstellungen!$F$13:$F$32)))</f>
        <v/>
      </c>
      <c r="T381" s="49">
        <f>IF(OR(A381="",D381=""),0,MAX(0,NETWORKDAYS(MAX(D381,DATE(Einstellungen!$C$3,9,1)),MIN(J381,DATE(Einstellungen!$C$3,10,0)),Einstellungen!$F$13:$F$32)))</f>
        <v/>
      </c>
      <c r="U381" s="49">
        <f>IF(OR(A381="",D381=""),0,MAX(0,NETWORKDAYS(MAX(D381,DATE(Einstellungen!$C$3,10,1)),MIN(J381,DATE(Einstellungen!$C$3,11,0)),Einstellungen!$F$13:$F$32)))</f>
        <v/>
      </c>
      <c r="V381" s="49">
        <f>IF(OR(A381="",D381=""),0,MAX(0,NETWORKDAYS(MAX(D381,DATE(Einstellungen!$C$3,11,1)),MIN(J381,DATE(Einstellungen!$C$3,12,0)),Einstellungen!$F$13:$F$32)))</f>
        <v/>
      </c>
      <c r="W381" s="49">
        <f>IF(OR(A381="",D381=""),0,MAX(0,NETWORKDAYS(MAX(D381,DATE(Einstellungen!$C$3,12,1)),MIN(J381,DATE(Einstellungen!$C$3,13,0)),Einstellungen!$F$13:$F$32)))</f>
        <v/>
      </c>
      <c r="X381" s="50">
        <f>L381*K381</f>
        <v/>
      </c>
      <c r="Y381" s="50">
        <f>M381*K381</f>
        <v/>
      </c>
      <c r="Z381" s="50">
        <f>N381*K381</f>
        <v/>
      </c>
      <c r="AA381" s="50">
        <f>O381*K381</f>
        <v/>
      </c>
      <c r="AB381" s="50">
        <f>P381*K381</f>
        <v/>
      </c>
      <c r="AC381" s="50">
        <f>Q381*K381</f>
        <v/>
      </c>
      <c r="AD381" s="50">
        <f>R381*K381</f>
        <v/>
      </c>
      <c r="AE381" s="50">
        <f>S381*K381</f>
        <v/>
      </c>
      <c r="AF381" s="50">
        <f>T381*K381</f>
        <v/>
      </c>
      <c r="AG381" s="50">
        <f>U381*K381</f>
        <v/>
      </c>
      <c r="AH381" s="50">
        <f>V381*K381</f>
        <v/>
      </c>
      <c r="AI381" s="50">
        <f>W381*K381</f>
        <v/>
      </c>
    </row>
    <row r="382">
      <c r="A382" s="25" t="n"/>
      <c r="B382" s="45">
        <f>IF(A382="","",IFERROR(INDEX(Mitarbeiter!$B$6:$B$205,MATCH($A382,Mitarbeiter!$A$6:$A$205,0)),"?"))</f>
        <v/>
      </c>
      <c r="C382" s="46" t="n"/>
      <c r="D382" s="26" t="n"/>
      <c r="E382" s="26" t="n"/>
      <c r="F382" s="24">
        <f>IF(A382="","",SUM(L382:W382))</f>
        <v/>
      </c>
      <c r="G382" s="36">
        <f>IF(A382="","",SUM(X382:AI382))</f>
        <v/>
      </c>
      <c r="H382" s="8">
        <f>IF(A382="","",IF(ISNA(MATCH(A382,Mitarbeiter!$A$6:$A$205,0)),"Pers.-Nr. unbekannt",IF(D382="","Von fehlt",IF(AND(C382&lt;&gt;Einstellungen!$C$4,C382&lt;&gt;Einstellungen!$C$5),"Objekt fehlt",IF(J382&lt;D382,"Bis vor Von",IF(D382&lt;INDEX(Mitarbeiter!$C$6:$C$205,MATCH($A382,Mitarbeiter!$A$6:$A$205,0)),"vor Eintritt",IF(AND(INDEX(Mitarbeiter!$D$6:$D$205,MATCH($A382,Mitarbeiter!$A$6:$A$205,0))&lt;&gt;"",D382&gt;INDEX(Mitarbeiter!$D$6:$D$205,MATCH($A382,Mitarbeiter!$A$6:$A$205,0))),"nach Austritt",IF(E382="","offen","ok"))))))))</f>
        <v/>
      </c>
      <c r="J382" s="47">
        <f>IF(A382="","",IF(E382="",Einstellungen!$C$9,E382))</f>
        <v/>
      </c>
      <c r="K382" s="48">
        <f>IF(A382="",0,IFERROR(INDEX(Mitarbeiter!$F$6:$F$205,MATCH($A382,Mitarbeiter!$A$6:$A$205,0)),0))</f>
        <v/>
      </c>
      <c r="L382" s="49">
        <f>IF(OR(A382="",D382=""),0,MAX(0,NETWORKDAYS(MAX(D382,DATE(Einstellungen!$C$3,1,1)),MIN(J382,DATE(Einstellungen!$C$3,2,0)),Einstellungen!$F$13:$F$32)))</f>
        <v/>
      </c>
      <c r="M382" s="49">
        <f>IF(OR(A382="",D382=""),0,MAX(0,NETWORKDAYS(MAX(D382,DATE(Einstellungen!$C$3,2,1)),MIN(J382,DATE(Einstellungen!$C$3,3,0)),Einstellungen!$F$13:$F$32)))</f>
        <v/>
      </c>
      <c r="N382" s="49">
        <f>IF(OR(A382="",D382=""),0,MAX(0,NETWORKDAYS(MAX(D382,DATE(Einstellungen!$C$3,3,1)),MIN(J382,DATE(Einstellungen!$C$3,4,0)),Einstellungen!$F$13:$F$32)))</f>
        <v/>
      </c>
      <c r="O382" s="49">
        <f>IF(OR(A382="",D382=""),0,MAX(0,NETWORKDAYS(MAX(D382,DATE(Einstellungen!$C$3,4,1)),MIN(J382,DATE(Einstellungen!$C$3,5,0)),Einstellungen!$F$13:$F$32)))</f>
        <v/>
      </c>
      <c r="P382" s="49">
        <f>IF(OR(A382="",D382=""),0,MAX(0,NETWORKDAYS(MAX(D382,DATE(Einstellungen!$C$3,5,1)),MIN(J382,DATE(Einstellungen!$C$3,6,0)),Einstellungen!$F$13:$F$32)))</f>
        <v/>
      </c>
      <c r="Q382" s="49">
        <f>IF(OR(A382="",D382=""),0,MAX(0,NETWORKDAYS(MAX(D382,DATE(Einstellungen!$C$3,6,1)),MIN(J382,DATE(Einstellungen!$C$3,7,0)),Einstellungen!$F$13:$F$32)))</f>
        <v/>
      </c>
      <c r="R382" s="49">
        <f>IF(OR(A382="",D382=""),0,MAX(0,NETWORKDAYS(MAX(D382,DATE(Einstellungen!$C$3,7,1)),MIN(J382,DATE(Einstellungen!$C$3,8,0)),Einstellungen!$F$13:$F$32)))</f>
        <v/>
      </c>
      <c r="S382" s="49">
        <f>IF(OR(A382="",D382=""),0,MAX(0,NETWORKDAYS(MAX(D382,DATE(Einstellungen!$C$3,8,1)),MIN(J382,DATE(Einstellungen!$C$3,9,0)),Einstellungen!$F$13:$F$32)))</f>
        <v/>
      </c>
      <c r="T382" s="49">
        <f>IF(OR(A382="",D382=""),0,MAX(0,NETWORKDAYS(MAX(D382,DATE(Einstellungen!$C$3,9,1)),MIN(J382,DATE(Einstellungen!$C$3,10,0)),Einstellungen!$F$13:$F$32)))</f>
        <v/>
      </c>
      <c r="U382" s="49">
        <f>IF(OR(A382="",D382=""),0,MAX(0,NETWORKDAYS(MAX(D382,DATE(Einstellungen!$C$3,10,1)),MIN(J382,DATE(Einstellungen!$C$3,11,0)),Einstellungen!$F$13:$F$32)))</f>
        <v/>
      </c>
      <c r="V382" s="49">
        <f>IF(OR(A382="",D382=""),0,MAX(0,NETWORKDAYS(MAX(D382,DATE(Einstellungen!$C$3,11,1)),MIN(J382,DATE(Einstellungen!$C$3,12,0)),Einstellungen!$F$13:$F$32)))</f>
        <v/>
      </c>
      <c r="W382" s="49">
        <f>IF(OR(A382="",D382=""),0,MAX(0,NETWORKDAYS(MAX(D382,DATE(Einstellungen!$C$3,12,1)),MIN(J382,DATE(Einstellungen!$C$3,13,0)),Einstellungen!$F$13:$F$32)))</f>
        <v/>
      </c>
      <c r="X382" s="50">
        <f>L382*K382</f>
        <v/>
      </c>
      <c r="Y382" s="50">
        <f>M382*K382</f>
        <v/>
      </c>
      <c r="Z382" s="50">
        <f>N382*K382</f>
        <v/>
      </c>
      <c r="AA382" s="50">
        <f>O382*K382</f>
        <v/>
      </c>
      <c r="AB382" s="50">
        <f>P382*K382</f>
        <v/>
      </c>
      <c r="AC382" s="50">
        <f>Q382*K382</f>
        <v/>
      </c>
      <c r="AD382" s="50">
        <f>R382*K382</f>
        <v/>
      </c>
      <c r="AE382" s="50">
        <f>S382*K382</f>
        <v/>
      </c>
      <c r="AF382" s="50">
        <f>T382*K382</f>
        <v/>
      </c>
      <c r="AG382" s="50">
        <f>U382*K382</f>
        <v/>
      </c>
      <c r="AH382" s="50">
        <f>V382*K382</f>
        <v/>
      </c>
      <c r="AI382" s="50">
        <f>W382*K382</f>
        <v/>
      </c>
    </row>
    <row r="383">
      <c r="A383" s="25" t="n"/>
      <c r="B383" s="45">
        <f>IF(A383="","",IFERROR(INDEX(Mitarbeiter!$B$6:$B$205,MATCH($A383,Mitarbeiter!$A$6:$A$205,0)),"?"))</f>
        <v/>
      </c>
      <c r="C383" s="46" t="n"/>
      <c r="D383" s="26" t="n"/>
      <c r="E383" s="26" t="n"/>
      <c r="F383" s="24">
        <f>IF(A383="","",SUM(L383:W383))</f>
        <v/>
      </c>
      <c r="G383" s="36">
        <f>IF(A383="","",SUM(X383:AI383))</f>
        <v/>
      </c>
      <c r="H383" s="8">
        <f>IF(A383="","",IF(ISNA(MATCH(A383,Mitarbeiter!$A$6:$A$205,0)),"Pers.-Nr. unbekannt",IF(D383="","Von fehlt",IF(AND(C383&lt;&gt;Einstellungen!$C$4,C383&lt;&gt;Einstellungen!$C$5),"Objekt fehlt",IF(J383&lt;D383,"Bis vor Von",IF(D383&lt;INDEX(Mitarbeiter!$C$6:$C$205,MATCH($A383,Mitarbeiter!$A$6:$A$205,0)),"vor Eintritt",IF(AND(INDEX(Mitarbeiter!$D$6:$D$205,MATCH($A383,Mitarbeiter!$A$6:$A$205,0))&lt;&gt;"",D383&gt;INDEX(Mitarbeiter!$D$6:$D$205,MATCH($A383,Mitarbeiter!$A$6:$A$205,0))),"nach Austritt",IF(E383="","offen","ok"))))))))</f>
        <v/>
      </c>
      <c r="J383" s="47">
        <f>IF(A383="","",IF(E383="",Einstellungen!$C$9,E383))</f>
        <v/>
      </c>
      <c r="K383" s="48">
        <f>IF(A383="",0,IFERROR(INDEX(Mitarbeiter!$F$6:$F$205,MATCH($A383,Mitarbeiter!$A$6:$A$205,0)),0))</f>
        <v/>
      </c>
      <c r="L383" s="49">
        <f>IF(OR(A383="",D383=""),0,MAX(0,NETWORKDAYS(MAX(D383,DATE(Einstellungen!$C$3,1,1)),MIN(J383,DATE(Einstellungen!$C$3,2,0)),Einstellungen!$F$13:$F$32)))</f>
        <v/>
      </c>
      <c r="M383" s="49">
        <f>IF(OR(A383="",D383=""),0,MAX(0,NETWORKDAYS(MAX(D383,DATE(Einstellungen!$C$3,2,1)),MIN(J383,DATE(Einstellungen!$C$3,3,0)),Einstellungen!$F$13:$F$32)))</f>
        <v/>
      </c>
      <c r="N383" s="49">
        <f>IF(OR(A383="",D383=""),0,MAX(0,NETWORKDAYS(MAX(D383,DATE(Einstellungen!$C$3,3,1)),MIN(J383,DATE(Einstellungen!$C$3,4,0)),Einstellungen!$F$13:$F$32)))</f>
        <v/>
      </c>
      <c r="O383" s="49">
        <f>IF(OR(A383="",D383=""),0,MAX(0,NETWORKDAYS(MAX(D383,DATE(Einstellungen!$C$3,4,1)),MIN(J383,DATE(Einstellungen!$C$3,5,0)),Einstellungen!$F$13:$F$32)))</f>
        <v/>
      </c>
      <c r="P383" s="49">
        <f>IF(OR(A383="",D383=""),0,MAX(0,NETWORKDAYS(MAX(D383,DATE(Einstellungen!$C$3,5,1)),MIN(J383,DATE(Einstellungen!$C$3,6,0)),Einstellungen!$F$13:$F$32)))</f>
        <v/>
      </c>
      <c r="Q383" s="49">
        <f>IF(OR(A383="",D383=""),0,MAX(0,NETWORKDAYS(MAX(D383,DATE(Einstellungen!$C$3,6,1)),MIN(J383,DATE(Einstellungen!$C$3,7,0)),Einstellungen!$F$13:$F$32)))</f>
        <v/>
      </c>
      <c r="R383" s="49">
        <f>IF(OR(A383="",D383=""),0,MAX(0,NETWORKDAYS(MAX(D383,DATE(Einstellungen!$C$3,7,1)),MIN(J383,DATE(Einstellungen!$C$3,8,0)),Einstellungen!$F$13:$F$32)))</f>
        <v/>
      </c>
      <c r="S383" s="49">
        <f>IF(OR(A383="",D383=""),0,MAX(0,NETWORKDAYS(MAX(D383,DATE(Einstellungen!$C$3,8,1)),MIN(J383,DATE(Einstellungen!$C$3,9,0)),Einstellungen!$F$13:$F$32)))</f>
        <v/>
      </c>
      <c r="T383" s="49">
        <f>IF(OR(A383="",D383=""),0,MAX(0,NETWORKDAYS(MAX(D383,DATE(Einstellungen!$C$3,9,1)),MIN(J383,DATE(Einstellungen!$C$3,10,0)),Einstellungen!$F$13:$F$32)))</f>
        <v/>
      </c>
      <c r="U383" s="49">
        <f>IF(OR(A383="",D383=""),0,MAX(0,NETWORKDAYS(MAX(D383,DATE(Einstellungen!$C$3,10,1)),MIN(J383,DATE(Einstellungen!$C$3,11,0)),Einstellungen!$F$13:$F$32)))</f>
        <v/>
      </c>
      <c r="V383" s="49">
        <f>IF(OR(A383="",D383=""),0,MAX(0,NETWORKDAYS(MAX(D383,DATE(Einstellungen!$C$3,11,1)),MIN(J383,DATE(Einstellungen!$C$3,12,0)),Einstellungen!$F$13:$F$32)))</f>
        <v/>
      </c>
      <c r="W383" s="49">
        <f>IF(OR(A383="",D383=""),0,MAX(0,NETWORKDAYS(MAX(D383,DATE(Einstellungen!$C$3,12,1)),MIN(J383,DATE(Einstellungen!$C$3,13,0)),Einstellungen!$F$13:$F$32)))</f>
        <v/>
      </c>
      <c r="X383" s="50">
        <f>L383*K383</f>
        <v/>
      </c>
      <c r="Y383" s="50">
        <f>M383*K383</f>
        <v/>
      </c>
      <c r="Z383" s="50">
        <f>N383*K383</f>
        <v/>
      </c>
      <c r="AA383" s="50">
        <f>O383*K383</f>
        <v/>
      </c>
      <c r="AB383" s="50">
        <f>P383*K383</f>
        <v/>
      </c>
      <c r="AC383" s="50">
        <f>Q383*K383</f>
        <v/>
      </c>
      <c r="AD383" s="50">
        <f>R383*K383</f>
        <v/>
      </c>
      <c r="AE383" s="50">
        <f>S383*K383</f>
        <v/>
      </c>
      <c r="AF383" s="50">
        <f>T383*K383</f>
        <v/>
      </c>
      <c r="AG383" s="50">
        <f>U383*K383</f>
        <v/>
      </c>
      <c r="AH383" s="50">
        <f>V383*K383</f>
        <v/>
      </c>
      <c r="AI383" s="50">
        <f>W383*K383</f>
        <v/>
      </c>
    </row>
    <row r="384">
      <c r="A384" s="25" t="n"/>
      <c r="B384" s="45">
        <f>IF(A384="","",IFERROR(INDEX(Mitarbeiter!$B$6:$B$205,MATCH($A384,Mitarbeiter!$A$6:$A$205,0)),"?"))</f>
        <v/>
      </c>
      <c r="C384" s="46" t="n"/>
      <c r="D384" s="26" t="n"/>
      <c r="E384" s="26" t="n"/>
      <c r="F384" s="24">
        <f>IF(A384="","",SUM(L384:W384))</f>
        <v/>
      </c>
      <c r="G384" s="36">
        <f>IF(A384="","",SUM(X384:AI384))</f>
        <v/>
      </c>
      <c r="H384" s="8">
        <f>IF(A384="","",IF(ISNA(MATCH(A384,Mitarbeiter!$A$6:$A$205,0)),"Pers.-Nr. unbekannt",IF(D384="","Von fehlt",IF(AND(C384&lt;&gt;Einstellungen!$C$4,C384&lt;&gt;Einstellungen!$C$5),"Objekt fehlt",IF(J384&lt;D384,"Bis vor Von",IF(D384&lt;INDEX(Mitarbeiter!$C$6:$C$205,MATCH($A384,Mitarbeiter!$A$6:$A$205,0)),"vor Eintritt",IF(AND(INDEX(Mitarbeiter!$D$6:$D$205,MATCH($A384,Mitarbeiter!$A$6:$A$205,0))&lt;&gt;"",D384&gt;INDEX(Mitarbeiter!$D$6:$D$205,MATCH($A384,Mitarbeiter!$A$6:$A$205,0))),"nach Austritt",IF(E384="","offen","ok"))))))))</f>
        <v/>
      </c>
      <c r="J384" s="47">
        <f>IF(A384="","",IF(E384="",Einstellungen!$C$9,E384))</f>
        <v/>
      </c>
      <c r="K384" s="48">
        <f>IF(A384="",0,IFERROR(INDEX(Mitarbeiter!$F$6:$F$205,MATCH($A384,Mitarbeiter!$A$6:$A$205,0)),0))</f>
        <v/>
      </c>
      <c r="L384" s="49">
        <f>IF(OR(A384="",D384=""),0,MAX(0,NETWORKDAYS(MAX(D384,DATE(Einstellungen!$C$3,1,1)),MIN(J384,DATE(Einstellungen!$C$3,2,0)),Einstellungen!$F$13:$F$32)))</f>
        <v/>
      </c>
      <c r="M384" s="49">
        <f>IF(OR(A384="",D384=""),0,MAX(0,NETWORKDAYS(MAX(D384,DATE(Einstellungen!$C$3,2,1)),MIN(J384,DATE(Einstellungen!$C$3,3,0)),Einstellungen!$F$13:$F$32)))</f>
        <v/>
      </c>
      <c r="N384" s="49">
        <f>IF(OR(A384="",D384=""),0,MAX(0,NETWORKDAYS(MAX(D384,DATE(Einstellungen!$C$3,3,1)),MIN(J384,DATE(Einstellungen!$C$3,4,0)),Einstellungen!$F$13:$F$32)))</f>
        <v/>
      </c>
      <c r="O384" s="49">
        <f>IF(OR(A384="",D384=""),0,MAX(0,NETWORKDAYS(MAX(D384,DATE(Einstellungen!$C$3,4,1)),MIN(J384,DATE(Einstellungen!$C$3,5,0)),Einstellungen!$F$13:$F$32)))</f>
        <v/>
      </c>
      <c r="P384" s="49">
        <f>IF(OR(A384="",D384=""),0,MAX(0,NETWORKDAYS(MAX(D384,DATE(Einstellungen!$C$3,5,1)),MIN(J384,DATE(Einstellungen!$C$3,6,0)),Einstellungen!$F$13:$F$32)))</f>
        <v/>
      </c>
      <c r="Q384" s="49">
        <f>IF(OR(A384="",D384=""),0,MAX(0,NETWORKDAYS(MAX(D384,DATE(Einstellungen!$C$3,6,1)),MIN(J384,DATE(Einstellungen!$C$3,7,0)),Einstellungen!$F$13:$F$32)))</f>
        <v/>
      </c>
      <c r="R384" s="49">
        <f>IF(OR(A384="",D384=""),0,MAX(0,NETWORKDAYS(MAX(D384,DATE(Einstellungen!$C$3,7,1)),MIN(J384,DATE(Einstellungen!$C$3,8,0)),Einstellungen!$F$13:$F$32)))</f>
        <v/>
      </c>
      <c r="S384" s="49">
        <f>IF(OR(A384="",D384=""),0,MAX(0,NETWORKDAYS(MAX(D384,DATE(Einstellungen!$C$3,8,1)),MIN(J384,DATE(Einstellungen!$C$3,9,0)),Einstellungen!$F$13:$F$32)))</f>
        <v/>
      </c>
      <c r="T384" s="49">
        <f>IF(OR(A384="",D384=""),0,MAX(0,NETWORKDAYS(MAX(D384,DATE(Einstellungen!$C$3,9,1)),MIN(J384,DATE(Einstellungen!$C$3,10,0)),Einstellungen!$F$13:$F$32)))</f>
        <v/>
      </c>
      <c r="U384" s="49">
        <f>IF(OR(A384="",D384=""),0,MAX(0,NETWORKDAYS(MAX(D384,DATE(Einstellungen!$C$3,10,1)),MIN(J384,DATE(Einstellungen!$C$3,11,0)),Einstellungen!$F$13:$F$32)))</f>
        <v/>
      </c>
      <c r="V384" s="49">
        <f>IF(OR(A384="",D384=""),0,MAX(0,NETWORKDAYS(MAX(D384,DATE(Einstellungen!$C$3,11,1)),MIN(J384,DATE(Einstellungen!$C$3,12,0)),Einstellungen!$F$13:$F$32)))</f>
        <v/>
      </c>
      <c r="W384" s="49">
        <f>IF(OR(A384="",D384=""),0,MAX(0,NETWORKDAYS(MAX(D384,DATE(Einstellungen!$C$3,12,1)),MIN(J384,DATE(Einstellungen!$C$3,13,0)),Einstellungen!$F$13:$F$32)))</f>
        <v/>
      </c>
      <c r="X384" s="50">
        <f>L384*K384</f>
        <v/>
      </c>
      <c r="Y384" s="50">
        <f>M384*K384</f>
        <v/>
      </c>
      <c r="Z384" s="50">
        <f>N384*K384</f>
        <v/>
      </c>
      <c r="AA384" s="50">
        <f>O384*K384</f>
        <v/>
      </c>
      <c r="AB384" s="50">
        <f>P384*K384</f>
        <v/>
      </c>
      <c r="AC384" s="50">
        <f>Q384*K384</f>
        <v/>
      </c>
      <c r="AD384" s="50">
        <f>R384*K384</f>
        <v/>
      </c>
      <c r="AE384" s="50">
        <f>S384*K384</f>
        <v/>
      </c>
      <c r="AF384" s="50">
        <f>T384*K384</f>
        <v/>
      </c>
      <c r="AG384" s="50">
        <f>U384*K384</f>
        <v/>
      </c>
      <c r="AH384" s="50">
        <f>V384*K384</f>
        <v/>
      </c>
      <c r="AI384" s="50">
        <f>W384*K384</f>
        <v/>
      </c>
    </row>
    <row r="385">
      <c r="A385" s="25" t="n"/>
      <c r="B385" s="45">
        <f>IF(A385="","",IFERROR(INDEX(Mitarbeiter!$B$6:$B$205,MATCH($A385,Mitarbeiter!$A$6:$A$205,0)),"?"))</f>
        <v/>
      </c>
      <c r="C385" s="46" t="n"/>
      <c r="D385" s="26" t="n"/>
      <c r="E385" s="26" t="n"/>
      <c r="F385" s="24">
        <f>IF(A385="","",SUM(L385:W385))</f>
        <v/>
      </c>
      <c r="G385" s="36">
        <f>IF(A385="","",SUM(X385:AI385))</f>
        <v/>
      </c>
      <c r="H385" s="8">
        <f>IF(A385="","",IF(ISNA(MATCH(A385,Mitarbeiter!$A$6:$A$205,0)),"Pers.-Nr. unbekannt",IF(D385="","Von fehlt",IF(AND(C385&lt;&gt;Einstellungen!$C$4,C385&lt;&gt;Einstellungen!$C$5),"Objekt fehlt",IF(J385&lt;D385,"Bis vor Von",IF(D385&lt;INDEX(Mitarbeiter!$C$6:$C$205,MATCH($A385,Mitarbeiter!$A$6:$A$205,0)),"vor Eintritt",IF(AND(INDEX(Mitarbeiter!$D$6:$D$205,MATCH($A385,Mitarbeiter!$A$6:$A$205,0))&lt;&gt;"",D385&gt;INDEX(Mitarbeiter!$D$6:$D$205,MATCH($A385,Mitarbeiter!$A$6:$A$205,0))),"nach Austritt",IF(E385="","offen","ok"))))))))</f>
        <v/>
      </c>
      <c r="J385" s="47">
        <f>IF(A385="","",IF(E385="",Einstellungen!$C$9,E385))</f>
        <v/>
      </c>
      <c r="K385" s="48">
        <f>IF(A385="",0,IFERROR(INDEX(Mitarbeiter!$F$6:$F$205,MATCH($A385,Mitarbeiter!$A$6:$A$205,0)),0))</f>
        <v/>
      </c>
      <c r="L385" s="49">
        <f>IF(OR(A385="",D385=""),0,MAX(0,NETWORKDAYS(MAX(D385,DATE(Einstellungen!$C$3,1,1)),MIN(J385,DATE(Einstellungen!$C$3,2,0)),Einstellungen!$F$13:$F$32)))</f>
        <v/>
      </c>
      <c r="M385" s="49">
        <f>IF(OR(A385="",D385=""),0,MAX(0,NETWORKDAYS(MAX(D385,DATE(Einstellungen!$C$3,2,1)),MIN(J385,DATE(Einstellungen!$C$3,3,0)),Einstellungen!$F$13:$F$32)))</f>
        <v/>
      </c>
      <c r="N385" s="49">
        <f>IF(OR(A385="",D385=""),0,MAX(0,NETWORKDAYS(MAX(D385,DATE(Einstellungen!$C$3,3,1)),MIN(J385,DATE(Einstellungen!$C$3,4,0)),Einstellungen!$F$13:$F$32)))</f>
        <v/>
      </c>
      <c r="O385" s="49">
        <f>IF(OR(A385="",D385=""),0,MAX(0,NETWORKDAYS(MAX(D385,DATE(Einstellungen!$C$3,4,1)),MIN(J385,DATE(Einstellungen!$C$3,5,0)),Einstellungen!$F$13:$F$32)))</f>
        <v/>
      </c>
      <c r="P385" s="49">
        <f>IF(OR(A385="",D385=""),0,MAX(0,NETWORKDAYS(MAX(D385,DATE(Einstellungen!$C$3,5,1)),MIN(J385,DATE(Einstellungen!$C$3,6,0)),Einstellungen!$F$13:$F$32)))</f>
        <v/>
      </c>
      <c r="Q385" s="49">
        <f>IF(OR(A385="",D385=""),0,MAX(0,NETWORKDAYS(MAX(D385,DATE(Einstellungen!$C$3,6,1)),MIN(J385,DATE(Einstellungen!$C$3,7,0)),Einstellungen!$F$13:$F$32)))</f>
        <v/>
      </c>
      <c r="R385" s="49">
        <f>IF(OR(A385="",D385=""),0,MAX(0,NETWORKDAYS(MAX(D385,DATE(Einstellungen!$C$3,7,1)),MIN(J385,DATE(Einstellungen!$C$3,8,0)),Einstellungen!$F$13:$F$32)))</f>
        <v/>
      </c>
      <c r="S385" s="49">
        <f>IF(OR(A385="",D385=""),0,MAX(0,NETWORKDAYS(MAX(D385,DATE(Einstellungen!$C$3,8,1)),MIN(J385,DATE(Einstellungen!$C$3,9,0)),Einstellungen!$F$13:$F$32)))</f>
        <v/>
      </c>
      <c r="T385" s="49">
        <f>IF(OR(A385="",D385=""),0,MAX(0,NETWORKDAYS(MAX(D385,DATE(Einstellungen!$C$3,9,1)),MIN(J385,DATE(Einstellungen!$C$3,10,0)),Einstellungen!$F$13:$F$32)))</f>
        <v/>
      </c>
      <c r="U385" s="49">
        <f>IF(OR(A385="",D385=""),0,MAX(0,NETWORKDAYS(MAX(D385,DATE(Einstellungen!$C$3,10,1)),MIN(J385,DATE(Einstellungen!$C$3,11,0)),Einstellungen!$F$13:$F$32)))</f>
        <v/>
      </c>
      <c r="V385" s="49">
        <f>IF(OR(A385="",D385=""),0,MAX(0,NETWORKDAYS(MAX(D385,DATE(Einstellungen!$C$3,11,1)),MIN(J385,DATE(Einstellungen!$C$3,12,0)),Einstellungen!$F$13:$F$32)))</f>
        <v/>
      </c>
      <c r="W385" s="49">
        <f>IF(OR(A385="",D385=""),0,MAX(0,NETWORKDAYS(MAX(D385,DATE(Einstellungen!$C$3,12,1)),MIN(J385,DATE(Einstellungen!$C$3,13,0)),Einstellungen!$F$13:$F$32)))</f>
        <v/>
      </c>
      <c r="X385" s="50">
        <f>L385*K385</f>
        <v/>
      </c>
      <c r="Y385" s="50">
        <f>M385*K385</f>
        <v/>
      </c>
      <c r="Z385" s="50">
        <f>N385*K385</f>
        <v/>
      </c>
      <c r="AA385" s="50">
        <f>O385*K385</f>
        <v/>
      </c>
      <c r="AB385" s="50">
        <f>P385*K385</f>
        <v/>
      </c>
      <c r="AC385" s="50">
        <f>Q385*K385</f>
        <v/>
      </c>
      <c r="AD385" s="50">
        <f>R385*K385</f>
        <v/>
      </c>
      <c r="AE385" s="50">
        <f>S385*K385</f>
        <v/>
      </c>
      <c r="AF385" s="50">
        <f>T385*K385</f>
        <v/>
      </c>
      <c r="AG385" s="50">
        <f>U385*K385</f>
        <v/>
      </c>
      <c r="AH385" s="50">
        <f>V385*K385</f>
        <v/>
      </c>
      <c r="AI385" s="50">
        <f>W385*K385</f>
        <v/>
      </c>
    </row>
    <row r="386">
      <c r="A386" s="25" t="n"/>
      <c r="B386" s="45">
        <f>IF(A386="","",IFERROR(INDEX(Mitarbeiter!$B$6:$B$205,MATCH($A386,Mitarbeiter!$A$6:$A$205,0)),"?"))</f>
        <v/>
      </c>
      <c r="C386" s="46" t="n"/>
      <c r="D386" s="26" t="n"/>
      <c r="E386" s="26" t="n"/>
      <c r="F386" s="24">
        <f>IF(A386="","",SUM(L386:W386))</f>
        <v/>
      </c>
      <c r="G386" s="36">
        <f>IF(A386="","",SUM(X386:AI386))</f>
        <v/>
      </c>
      <c r="H386" s="8">
        <f>IF(A386="","",IF(ISNA(MATCH(A386,Mitarbeiter!$A$6:$A$205,0)),"Pers.-Nr. unbekannt",IF(D386="","Von fehlt",IF(AND(C386&lt;&gt;Einstellungen!$C$4,C386&lt;&gt;Einstellungen!$C$5),"Objekt fehlt",IF(J386&lt;D386,"Bis vor Von",IF(D386&lt;INDEX(Mitarbeiter!$C$6:$C$205,MATCH($A386,Mitarbeiter!$A$6:$A$205,0)),"vor Eintritt",IF(AND(INDEX(Mitarbeiter!$D$6:$D$205,MATCH($A386,Mitarbeiter!$A$6:$A$205,0))&lt;&gt;"",D386&gt;INDEX(Mitarbeiter!$D$6:$D$205,MATCH($A386,Mitarbeiter!$A$6:$A$205,0))),"nach Austritt",IF(E386="","offen","ok"))))))))</f>
        <v/>
      </c>
      <c r="J386" s="47">
        <f>IF(A386="","",IF(E386="",Einstellungen!$C$9,E386))</f>
        <v/>
      </c>
      <c r="K386" s="48">
        <f>IF(A386="",0,IFERROR(INDEX(Mitarbeiter!$F$6:$F$205,MATCH($A386,Mitarbeiter!$A$6:$A$205,0)),0))</f>
        <v/>
      </c>
      <c r="L386" s="49">
        <f>IF(OR(A386="",D386=""),0,MAX(0,NETWORKDAYS(MAX(D386,DATE(Einstellungen!$C$3,1,1)),MIN(J386,DATE(Einstellungen!$C$3,2,0)),Einstellungen!$F$13:$F$32)))</f>
        <v/>
      </c>
      <c r="M386" s="49">
        <f>IF(OR(A386="",D386=""),0,MAX(0,NETWORKDAYS(MAX(D386,DATE(Einstellungen!$C$3,2,1)),MIN(J386,DATE(Einstellungen!$C$3,3,0)),Einstellungen!$F$13:$F$32)))</f>
        <v/>
      </c>
      <c r="N386" s="49">
        <f>IF(OR(A386="",D386=""),0,MAX(0,NETWORKDAYS(MAX(D386,DATE(Einstellungen!$C$3,3,1)),MIN(J386,DATE(Einstellungen!$C$3,4,0)),Einstellungen!$F$13:$F$32)))</f>
        <v/>
      </c>
      <c r="O386" s="49">
        <f>IF(OR(A386="",D386=""),0,MAX(0,NETWORKDAYS(MAX(D386,DATE(Einstellungen!$C$3,4,1)),MIN(J386,DATE(Einstellungen!$C$3,5,0)),Einstellungen!$F$13:$F$32)))</f>
        <v/>
      </c>
      <c r="P386" s="49">
        <f>IF(OR(A386="",D386=""),0,MAX(0,NETWORKDAYS(MAX(D386,DATE(Einstellungen!$C$3,5,1)),MIN(J386,DATE(Einstellungen!$C$3,6,0)),Einstellungen!$F$13:$F$32)))</f>
        <v/>
      </c>
      <c r="Q386" s="49">
        <f>IF(OR(A386="",D386=""),0,MAX(0,NETWORKDAYS(MAX(D386,DATE(Einstellungen!$C$3,6,1)),MIN(J386,DATE(Einstellungen!$C$3,7,0)),Einstellungen!$F$13:$F$32)))</f>
        <v/>
      </c>
      <c r="R386" s="49">
        <f>IF(OR(A386="",D386=""),0,MAX(0,NETWORKDAYS(MAX(D386,DATE(Einstellungen!$C$3,7,1)),MIN(J386,DATE(Einstellungen!$C$3,8,0)),Einstellungen!$F$13:$F$32)))</f>
        <v/>
      </c>
      <c r="S386" s="49">
        <f>IF(OR(A386="",D386=""),0,MAX(0,NETWORKDAYS(MAX(D386,DATE(Einstellungen!$C$3,8,1)),MIN(J386,DATE(Einstellungen!$C$3,9,0)),Einstellungen!$F$13:$F$32)))</f>
        <v/>
      </c>
      <c r="T386" s="49">
        <f>IF(OR(A386="",D386=""),0,MAX(0,NETWORKDAYS(MAX(D386,DATE(Einstellungen!$C$3,9,1)),MIN(J386,DATE(Einstellungen!$C$3,10,0)),Einstellungen!$F$13:$F$32)))</f>
        <v/>
      </c>
      <c r="U386" s="49">
        <f>IF(OR(A386="",D386=""),0,MAX(0,NETWORKDAYS(MAX(D386,DATE(Einstellungen!$C$3,10,1)),MIN(J386,DATE(Einstellungen!$C$3,11,0)),Einstellungen!$F$13:$F$32)))</f>
        <v/>
      </c>
      <c r="V386" s="49">
        <f>IF(OR(A386="",D386=""),0,MAX(0,NETWORKDAYS(MAX(D386,DATE(Einstellungen!$C$3,11,1)),MIN(J386,DATE(Einstellungen!$C$3,12,0)),Einstellungen!$F$13:$F$32)))</f>
        <v/>
      </c>
      <c r="W386" s="49">
        <f>IF(OR(A386="",D386=""),0,MAX(0,NETWORKDAYS(MAX(D386,DATE(Einstellungen!$C$3,12,1)),MIN(J386,DATE(Einstellungen!$C$3,13,0)),Einstellungen!$F$13:$F$32)))</f>
        <v/>
      </c>
      <c r="X386" s="50">
        <f>L386*K386</f>
        <v/>
      </c>
      <c r="Y386" s="50">
        <f>M386*K386</f>
        <v/>
      </c>
      <c r="Z386" s="50">
        <f>N386*K386</f>
        <v/>
      </c>
      <c r="AA386" s="50">
        <f>O386*K386</f>
        <v/>
      </c>
      <c r="AB386" s="50">
        <f>P386*K386</f>
        <v/>
      </c>
      <c r="AC386" s="50">
        <f>Q386*K386</f>
        <v/>
      </c>
      <c r="AD386" s="50">
        <f>R386*K386</f>
        <v/>
      </c>
      <c r="AE386" s="50">
        <f>S386*K386</f>
        <v/>
      </c>
      <c r="AF386" s="50">
        <f>T386*K386</f>
        <v/>
      </c>
      <c r="AG386" s="50">
        <f>U386*K386</f>
        <v/>
      </c>
      <c r="AH386" s="50">
        <f>V386*K386</f>
        <v/>
      </c>
      <c r="AI386" s="50">
        <f>W386*K386</f>
        <v/>
      </c>
    </row>
    <row r="387">
      <c r="A387" s="25" t="n"/>
      <c r="B387" s="45">
        <f>IF(A387="","",IFERROR(INDEX(Mitarbeiter!$B$6:$B$205,MATCH($A387,Mitarbeiter!$A$6:$A$205,0)),"?"))</f>
        <v/>
      </c>
      <c r="C387" s="46" t="n"/>
      <c r="D387" s="26" t="n"/>
      <c r="E387" s="26" t="n"/>
      <c r="F387" s="24">
        <f>IF(A387="","",SUM(L387:W387))</f>
        <v/>
      </c>
      <c r="G387" s="36">
        <f>IF(A387="","",SUM(X387:AI387))</f>
        <v/>
      </c>
      <c r="H387" s="8">
        <f>IF(A387="","",IF(ISNA(MATCH(A387,Mitarbeiter!$A$6:$A$205,0)),"Pers.-Nr. unbekannt",IF(D387="","Von fehlt",IF(AND(C387&lt;&gt;Einstellungen!$C$4,C387&lt;&gt;Einstellungen!$C$5),"Objekt fehlt",IF(J387&lt;D387,"Bis vor Von",IF(D387&lt;INDEX(Mitarbeiter!$C$6:$C$205,MATCH($A387,Mitarbeiter!$A$6:$A$205,0)),"vor Eintritt",IF(AND(INDEX(Mitarbeiter!$D$6:$D$205,MATCH($A387,Mitarbeiter!$A$6:$A$205,0))&lt;&gt;"",D387&gt;INDEX(Mitarbeiter!$D$6:$D$205,MATCH($A387,Mitarbeiter!$A$6:$A$205,0))),"nach Austritt",IF(E387="","offen","ok"))))))))</f>
        <v/>
      </c>
      <c r="J387" s="47">
        <f>IF(A387="","",IF(E387="",Einstellungen!$C$9,E387))</f>
        <v/>
      </c>
      <c r="K387" s="48">
        <f>IF(A387="",0,IFERROR(INDEX(Mitarbeiter!$F$6:$F$205,MATCH($A387,Mitarbeiter!$A$6:$A$205,0)),0))</f>
        <v/>
      </c>
      <c r="L387" s="49">
        <f>IF(OR(A387="",D387=""),0,MAX(0,NETWORKDAYS(MAX(D387,DATE(Einstellungen!$C$3,1,1)),MIN(J387,DATE(Einstellungen!$C$3,2,0)),Einstellungen!$F$13:$F$32)))</f>
        <v/>
      </c>
      <c r="M387" s="49">
        <f>IF(OR(A387="",D387=""),0,MAX(0,NETWORKDAYS(MAX(D387,DATE(Einstellungen!$C$3,2,1)),MIN(J387,DATE(Einstellungen!$C$3,3,0)),Einstellungen!$F$13:$F$32)))</f>
        <v/>
      </c>
      <c r="N387" s="49">
        <f>IF(OR(A387="",D387=""),0,MAX(0,NETWORKDAYS(MAX(D387,DATE(Einstellungen!$C$3,3,1)),MIN(J387,DATE(Einstellungen!$C$3,4,0)),Einstellungen!$F$13:$F$32)))</f>
        <v/>
      </c>
      <c r="O387" s="49">
        <f>IF(OR(A387="",D387=""),0,MAX(0,NETWORKDAYS(MAX(D387,DATE(Einstellungen!$C$3,4,1)),MIN(J387,DATE(Einstellungen!$C$3,5,0)),Einstellungen!$F$13:$F$32)))</f>
        <v/>
      </c>
      <c r="P387" s="49">
        <f>IF(OR(A387="",D387=""),0,MAX(0,NETWORKDAYS(MAX(D387,DATE(Einstellungen!$C$3,5,1)),MIN(J387,DATE(Einstellungen!$C$3,6,0)),Einstellungen!$F$13:$F$32)))</f>
        <v/>
      </c>
      <c r="Q387" s="49">
        <f>IF(OR(A387="",D387=""),0,MAX(0,NETWORKDAYS(MAX(D387,DATE(Einstellungen!$C$3,6,1)),MIN(J387,DATE(Einstellungen!$C$3,7,0)),Einstellungen!$F$13:$F$32)))</f>
        <v/>
      </c>
      <c r="R387" s="49">
        <f>IF(OR(A387="",D387=""),0,MAX(0,NETWORKDAYS(MAX(D387,DATE(Einstellungen!$C$3,7,1)),MIN(J387,DATE(Einstellungen!$C$3,8,0)),Einstellungen!$F$13:$F$32)))</f>
        <v/>
      </c>
      <c r="S387" s="49">
        <f>IF(OR(A387="",D387=""),0,MAX(0,NETWORKDAYS(MAX(D387,DATE(Einstellungen!$C$3,8,1)),MIN(J387,DATE(Einstellungen!$C$3,9,0)),Einstellungen!$F$13:$F$32)))</f>
        <v/>
      </c>
      <c r="T387" s="49">
        <f>IF(OR(A387="",D387=""),0,MAX(0,NETWORKDAYS(MAX(D387,DATE(Einstellungen!$C$3,9,1)),MIN(J387,DATE(Einstellungen!$C$3,10,0)),Einstellungen!$F$13:$F$32)))</f>
        <v/>
      </c>
      <c r="U387" s="49">
        <f>IF(OR(A387="",D387=""),0,MAX(0,NETWORKDAYS(MAX(D387,DATE(Einstellungen!$C$3,10,1)),MIN(J387,DATE(Einstellungen!$C$3,11,0)),Einstellungen!$F$13:$F$32)))</f>
        <v/>
      </c>
      <c r="V387" s="49">
        <f>IF(OR(A387="",D387=""),0,MAX(0,NETWORKDAYS(MAX(D387,DATE(Einstellungen!$C$3,11,1)),MIN(J387,DATE(Einstellungen!$C$3,12,0)),Einstellungen!$F$13:$F$32)))</f>
        <v/>
      </c>
      <c r="W387" s="49">
        <f>IF(OR(A387="",D387=""),0,MAX(0,NETWORKDAYS(MAX(D387,DATE(Einstellungen!$C$3,12,1)),MIN(J387,DATE(Einstellungen!$C$3,13,0)),Einstellungen!$F$13:$F$32)))</f>
        <v/>
      </c>
      <c r="X387" s="50">
        <f>L387*K387</f>
        <v/>
      </c>
      <c r="Y387" s="50">
        <f>M387*K387</f>
        <v/>
      </c>
      <c r="Z387" s="50">
        <f>N387*K387</f>
        <v/>
      </c>
      <c r="AA387" s="50">
        <f>O387*K387</f>
        <v/>
      </c>
      <c r="AB387" s="50">
        <f>P387*K387</f>
        <v/>
      </c>
      <c r="AC387" s="50">
        <f>Q387*K387</f>
        <v/>
      </c>
      <c r="AD387" s="50">
        <f>R387*K387</f>
        <v/>
      </c>
      <c r="AE387" s="50">
        <f>S387*K387</f>
        <v/>
      </c>
      <c r="AF387" s="50">
        <f>T387*K387</f>
        <v/>
      </c>
      <c r="AG387" s="50">
        <f>U387*K387</f>
        <v/>
      </c>
      <c r="AH387" s="50">
        <f>V387*K387</f>
        <v/>
      </c>
      <c r="AI387" s="50">
        <f>W387*K387</f>
        <v/>
      </c>
    </row>
    <row r="388">
      <c r="A388" s="25" t="n"/>
      <c r="B388" s="45">
        <f>IF(A388="","",IFERROR(INDEX(Mitarbeiter!$B$6:$B$205,MATCH($A388,Mitarbeiter!$A$6:$A$205,0)),"?"))</f>
        <v/>
      </c>
      <c r="C388" s="46" t="n"/>
      <c r="D388" s="26" t="n"/>
      <c r="E388" s="26" t="n"/>
      <c r="F388" s="24">
        <f>IF(A388="","",SUM(L388:W388))</f>
        <v/>
      </c>
      <c r="G388" s="36">
        <f>IF(A388="","",SUM(X388:AI388))</f>
        <v/>
      </c>
      <c r="H388" s="8">
        <f>IF(A388="","",IF(ISNA(MATCH(A388,Mitarbeiter!$A$6:$A$205,0)),"Pers.-Nr. unbekannt",IF(D388="","Von fehlt",IF(AND(C388&lt;&gt;Einstellungen!$C$4,C388&lt;&gt;Einstellungen!$C$5),"Objekt fehlt",IF(J388&lt;D388,"Bis vor Von",IF(D388&lt;INDEX(Mitarbeiter!$C$6:$C$205,MATCH($A388,Mitarbeiter!$A$6:$A$205,0)),"vor Eintritt",IF(AND(INDEX(Mitarbeiter!$D$6:$D$205,MATCH($A388,Mitarbeiter!$A$6:$A$205,0))&lt;&gt;"",D388&gt;INDEX(Mitarbeiter!$D$6:$D$205,MATCH($A388,Mitarbeiter!$A$6:$A$205,0))),"nach Austritt",IF(E388="","offen","ok"))))))))</f>
        <v/>
      </c>
      <c r="J388" s="47">
        <f>IF(A388="","",IF(E388="",Einstellungen!$C$9,E388))</f>
        <v/>
      </c>
      <c r="K388" s="48">
        <f>IF(A388="",0,IFERROR(INDEX(Mitarbeiter!$F$6:$F$205,MATCH($A388,Mitarbeiter!$A$6:$A$205,0)),0))</f>
        <v/>
      </c>
      <c r="L388" s="49">
        <f>IF(OR(A388="",D388=""),0,MAX(0,NETWORKDAYS(MAX(D388,DATE(Einstellungen!$C$3,1,1)),MIN(J388,DATE(Einstellungen!$C$3,2,0)),Einstellungen!$F$13:$F$32)))</f>
        <v/>
      </c>
      <c r="M388" s="49">
        <f>IF(OR(A388="",D388=""),0,MAX(0,NETWORKDAYS(MAX(D388,DATE(Einstellungen!$C$3,2,1)),MIN(J388,DATE(Einstellungen!$C$3,3,0)),Einstellungen!$F$13:$F$32)))</f>
        <v/>
      </c>
      <c r="N388" s="49">
        <f>IF(OR(A388="",D388=""),0,MAX(0,NETWORKDAYS(MAX(D388,DATE(Einstellungen!$C$3,3,1)),MIN(J388,DATE(Einstellungen!$C$3,4,0)),Einstellungen!$F$13:$F$32)))</f>
        <v/>
      </c>
      <c r="O388" s="49">
        <f>IF(OR(A388="",D388=""),0,MAX(0,NETWORKDAYS(MAX(D388,DATE(Einstellungen!$C$3,4,1)),MIN(J388,DATE(Einstellungen!$C$3,5,0)),Einstellungen!$F$13:$F$32)))</f>
        <v/>
      </c>
      <c r="P388" s="49">
        <f>IF(OR(A388="",D388=""),0,MAX(0,NETWORKDAYS(MAX(D388,DATE(Einstellungen!$C$3,5,1)),MIN(J388,DATE(Einstellungen!$C$3,6,0)),Einstellungen!$F$13:$F$32)))</f>
        <v/>
      </c>
      <c r="Q388" s="49">
        <f>IF(OR(A388="",D388=""),0,MAX(0,NETWORKDAYS(MAX(D388,DATE(Einstellungen!$C$3,6,1)),MIN(J388,DATE(Einstellungen!$C$3,7,0)),Einstellungen!$F$13:$F$32)))</f>
        <v/>
      </c>
      <c r="R388" s="49">
        <f>IF(OR(A388="",D388=""),0,MAX(0,NETWORKDAYS(MAX(D388,DATE(Einstellungen!$C$3,7,1)),MIN(J388,DATE(Einstellungen!$C$3,8,0)),Einstellungen!$F$13:$F$32)))</f>
        <v/>
      </c>
      <c r="S388" s="49">
        <f>IF(OR(A388="",D388=""),0,MAX(0,NETWORKDAYS(MAX(D388,DATE(Einstellungen!$C$3,8,1)),MIN(J388,DATE(Einstellungen!$C$3,9,0)),Einstellungen!$F$13:$F$32)))</f>
        <v/>
      </c>
      <c r="T388" s="49">
        <f>IF(OR(A388="",D388=""),0,MAX(0,NETWORKDAYS(MAX(D388,DATE(Einstellungen!$C$3,9,1)),MIN(J388,DATE(Einstellungen!$C$3,10,0)),Einstellungen!$F$13:$F$32)))</f>
        <v/>
      </c>
      <c r="U388" s="49">
        <f>IF(OR(A388="",D388=""),0,MAX(0,NETWORKDAYS(MAX(D388,DATE(Einstellungen!$C$3,10,1)),MIN(J388,DATE(Einstellungen!$C$3,11,0)),Einstellungen!$F$13:$F$32)))</f>
        <v/>
      </c>
      <c r="V388" s="49">
        <f>IF(OR(A388="",D388=""),0,MAX(0,NETWORKDAYS(MAX(D388,DATE(Einstellungen!$C$3,11,1)),MIN(J388,DATE(Einstellungen!$C$3,12,0)),Einstellungen!$F$13:$F$32)))</f>
        <v/>
      </c>
      <c r="W388" s="49">
        <f>IF(OR(A388="",D388=""),0,MAX(0,NETWORKDAYS(MAX(D388,DATE(Einstellungen!$C$3,12,1)),MIN(J388,DATE(Einstellungen!$C$3,13,0)),Einstellungen!$F$13:$F$32)))</f>
        <v/>
      </c>
      <c r="X388" s="50">
        <f>L388*K388</f>
        <v/>
      </c>
      <c r="Y388" s="50">
        <f>M388*K388</f>
        <v/>
      </c>
      <c r="Z388" s="50">
        <f>N388*K388</f>
        <v/>
      </c>
      <c r="AA388" s="50">
        <f>O388*K388</f>
        <v/>
      </c>
      <c r="AB388" s="50">
        <f>P388*K388</f>
        <v/>
      </c>
      <c r="AC388" s="50">
        <f>Q388*K388</f>
        <v/>
      </c>
      <c r="AD388" s="50">
        <f>R388*K388</f>
        <v/>
      </c>
      <c r="AE388" s="50">
        <f>S388*K388</f>
        <v/>
      </c>
      <c r="AF388" s="50">
        <f>T388*K388</f>
        <v/>
      </c>
      <c r="AG388" s="50">
        <f>U388*K388</f>
        <v/>
      </c>
      <c r="AH388" s="50">
        <f>V388*K388</f>
        <v/>
      </c>
      <c r="AI388" s="50">
        <f>W388*K388</f>
        <v/>
      </c>
    </row>
    <row r="389">
      <c r="A389" s="25" t="n"/>
      <c r="B389" s="45">
        <f>IF(A389="","",IFERROR(INDEX(Mitarbeiter!$B$6:$B$205,MATCH($A389,Mitarbeiter!$A$6:$A$205,0)),"?"))</f>
        <v/>
      </c>
      <c r="C389" s="46" t="n"/>
      <c r="D389" s="26" t="n"/>
      <c r="E389" s="26" t="n"/>
      <c r="F389" s="24">
        <f>IF(A389="","",SUM(L389:W389))</f>
        <v/>
      </c>
      <c r="G389" s="36">
        <f>IF(A389="","",SUM(X389:AI389))</f>
        <v/>
      </c>
      <c r="H389" s="8">
        <f>IF(A389="","",IF(ISNA(MATCH(A389,Mitarbeiter!$A$6:$A$205,0)),"Pers.-Nr. unbekannt",IF(D389="","Von fehlt",IF(AND(C389&lt;&gt;Einstellungen!$C$4,C389&lt;&gt;Einstellungen!$C$5),"Objekt fehlt",IF(J389&lt;D389,"Bis vor Von",IF(D389&lt;INDEX(Mitarbeiter!$C$6:$C$205,MATCH($A389,Mitarbeiter!$A$6:$A$205,0)),"vor Eintritt",IF(AND(INDEX(Mitarbeiter!$D$6:$D$205,MATCH($A389,Mitarbeiter!$A$6:$A$205,0))&lt;&gt;"",D389&gt;INDEX(Mitarbeiter!$D$6:$D$205,MATCH($A389,Mitarbeiter!$A$6:$A$205,0))),"nach Austritt",IF(E389="","offen","ok"))))))))</f>
        <v/>
      </c>
      <c r="J389" s="47">
        <f>IF(A389="","",IF(E389="",Einstellungen!$C$9,E389))</f>
        <v/>
      </c>
      <c r="K389" s="48">
        <f>IF(A389="",0,IFERROR(INDEX(Mitarbeiter!$F$6:$F$205,MATCH($A389,Mitarbeiter!$A$6:$A$205,0)),0))</f>
        <v/>
      </c>
      <c r="L389" s="49">
        <f>IF(OR(A389="",D389=""),0,MAX(0,NETWORKDAYS(MAX(D389,DATE(Einstellungen!$C$3,1,1)),MIN(J389,DATE(Einstellungen!$C$3,2,0)),Einstellungen!$F$13:$F$32)))</f>
        <v/>
      </c>
      <c r="M389" s="49">
        <f>IF(OR(A389="",D389=""),0,MAX(0,NETWORKDAYS(MAX(D389,DATE(Einstellungen!$C$3,2,1)),MIN(J389,DATE(Einstellungen!$C$3,3,0)),Einstellungen!$F$13:$F$32)))</f>
        <v/>
      </c>
      <c r="N389" s="49">
        <f>IF(OR(A389="",D389=""),0,MAX(0,NETWORKDAYS(MAX(D389,DATE(Einstellungen!$C$3,3,1)),MIN(J389,DATE(Einstellungen!$C$3,4,0)),Einstellungen!$F$13:$F$32)))</f>
        <v/>
      </c>
      <c r="O389" s="49">
        <f>IF(OR(A389="",D389=""),0,MAX(0,NETWORKDAYS(MAX(D389,DATE(Einstellungen!$C$3,4,1)),MIN(J389,DATE(Einstellungen!$C$3,5,0)),Einstellungen!$F$13:$F$32)))</f>
        <v/>
      </c>
      <c r="P389" s="49">
        <f>IF(OR(A389="",D389=""),0,MAX(0,NETWORKDAYS(MAX(D389,DATE(Einstellungen!$C$3,5,1)),MIN(J389,DATE(Einstellungen!$C$3,6,0)),Einstellungen!$F$13:$F$32)))</f>
        <v/>
      </c>
      <c r="Q389" s="49">
        <f>IF(OR(A389="",D389=""),0,MAX(0,NETWORKDAYS(MAX(D389,DATE(Einstellungen!$C$3,6,1)),MIN(J389,DATE(Einstellungen!$C$3,7,0)),Einstellungen!$F$13:$F$32)))</f>
        <v/>
      </c>
      <c r="R389" s="49">
        <f>IF(OR(A389="",D389=""),0,MAX(0,NETWORKDAYS(MAX(D389,DATE(Einstellungen!$C$3,7,1)),MIN(J389,DATE(Einstellungen!$C$3,8,0)),Einstellungen!$F$13:$F$32)))</f>
        <v/>
      </c>
      <c r="S389" s="49">
        <f>IF(OR(A389="",D389=""),0,MAX(0,NETWORKDAYS(MAX(D389,DATE(Einstellungen!$C$3,8,1)),MIN(J389,DATE(Einstellungen!$C$3,9,0)),Einstellungen!$F$13:$F$32)))</f>
        <v/>
      </c>
      <c r="T389" s="49">
        <f>IF(OR(A389="",D389=""),0,MAX(0,NETWORKDAYS(MAX(D389,DATE(Einstellungen!$C$3,9,1)),MIN(J389,DATE(Einstellungen!$C$3,10,0)),Einstellungen!$F$13:$F$32)))</f>
        <v/>
      </c>
      <c r="U389" s="49">
        <f>IF(OR(A389="",D389=""),0,MAX(0,NETWORKDAYS(MAX(D389,DATE(Einstellungen!$C$3,10,1)),MIN(J389,DATE(Einstellungen!$C$3,11,0)),Einstellungen!$F$13:$F$32)))</f>
        <v/>
      </c>
      <c r="V389" s="49">
        <f>IF(OR(A389="",D389=""),0,MAX(0,NETWORKDAYS(MAX(D389,DATE(Einstellungen!$C$3,11,1)),MIN(J389,DATE(Einstellungen!$C$3,12,0)),Einstellungen!$F$13:$F$32)))</f>
        <v/>
      </c>
      <c r="W389" s="49">
        <f>IF(OR(A389="",D389=""),0,MAX(0,NETWORKDAYS(MAX(D389,DATE(Einstellungen!$C$3,12,1)),MIN(J389,DATE(Einstellungen!$C$3,13,0)),Einstellungen!$F$13:$F$32)))</f>
        <v/>
      </c>
      <c r="X389" s="50">
        <f>L389*K389</f>
        <v/>
      </c>
      <c r="Y389" s="50">
        <f>M389*K389</f>
        <v/>
      </c>
      <c r="Z389" s="50">
        <f>N389*K389</f>
        <v/>
      </c>
      <c r="AA389" s="50">
        <f>O389*K389</f>
        <v/>
      </c>
      <c r="AB389" s="50">
        <f>P389*K389</f>
        <v/>
      </c>
      <c r="AC389" s="50">
        <f>Q389*K389</f>
        <v/>
      </c>
      <c r="AD389" s="50">
        <f>R389*K389</f>
        <v/>
      </c>
      <c r="AE389" s="50">
        <f>S389*K389</f>
        <v/>
      </c>
      <c r="AF389" s="50">
        <f>T389*K389</f>
        <v/>
      </c>
      <c r="AG389" s="50">
        <f>U389*K389</f>
        <v/>
      </c>
      <c r="AH389" s="50">
        <f>V389*K389</f>
        <v/>
      </c>
      <c r="AI389" s="50">
        <f>W389*K389</f>
        <v/>
      </c>
    </row>
    <row r="390">
      <c r="A390" s="25" t="n"/>
      <c r="B390" s="45">
        <f>IF(A390="","",IFERROR(INDEX(Mitarbeiter!$B$6:$B$205,MATCH($A390,Mitarbeiter!$A$6:$A$205,0)),"?"))</f>
        <v/>
      </c>
      <c r="C390" s="46" t="n"/>
      <c r="D390" s="26" t="n"/>
      <c r="E390" s="26" t="n"/>
      <c r="F390" s="24">
        <f>IF(A390="","",SUM(L390:W390))</f>
        <v/>
      </c>
      <c r="G390" s="36">
        <f>IF(A390="","",SUM(X390:AI390))</f>
        <v/>
      </c>
      <c r="H390" s="8">
        <f>IF(A390="","",IF(ISNA(MATCH(A390,Mitarbeiter!$A$6:$A$205,0)),"Pers.-Nr. unbekannt",IF(D390="","Von fehlt",IF(AND(C390&lt;&gt;Einstellungen!$C$4,C390&lt;&gt;Einstellungen!$C$5),"Objekt fehlt",IF(J390&lt;D390,"Bis vor Von",IF(D390&lt;INDEX(Mitarbeiter!$C$6:$C$205,MATCH($A390,Mitarbeiter!$A$6:$A$205,0)),"vor Eintritt",IF(AND(INDEX(Mitarbeiter!$D$6:$D$205,MATCH($A390,Mitarbeiter!$A$6:$A$205,0))&lt;&gt;"",D390&gt;INDEX(Mitarbeiter!$D$6:$D$205,MATCH($A390,Mitarbeiter!$A$6:$A$205,0))),"nach Austritt",IF(E390="","offen","ok"))))))))</f>
        <v/>
      </c>
      <c r="J390" s="47">
        <f>IF(A390="","",IF(E390="",Einstellungen!$C$9,E390))</f>
        <v/>
      </c>
      <c r="K390" s="48">
        <f>IF(A390="",0,IFERROR(INDEX(Mitarbeiter!$F$6:$F$205,MATCH($A390,Mitarbeiter!$A$6:$A$205,0)),0))</f>
        <v/>
      </c>
      <c r="L390" s="49">
        <f>IF(OR(A390="",D390=""),0,MAX(0,NETWORKDAYS(MAX(D390,DATE(Einstellungen!$C$3,1,1)),MIN(J390,DATE(Einstellungen!$C$3,2,0)),Einstellungen!$F$13:$F$32)))</f>
        <v/>
      </c>
      <c r="M390" s="49">
        <f>IF(OR(A390="",D390=""),0,MAX(0,NETWORKDAYS(MAX(D390,DATE(Einstellungen!$C$3,2,1)),MIN(J390,DATE(Einstellungen!$C$3,3,0)),Einstellungen!$F$13:$F$32)))</f>
        <v/>
      </c>
      <c r="N390" s="49">
        <f>IF(OR(A390="",D390=""),0,MAX(0,NETWORKDAYS(MAX(D390,DATE(Einstellungen!$C$3,3,1)),MIN(J390,DATE(Einstellungen!$C$3,4,0)),Einstellungen!$F$13:$F$32)))</f>
        <v/>
      </c>
      <c r="O390" s="49">
        <f>IF(OR(A390="",D390=""),0,MAX(0,NETWORKDAYS(MAX(D390,DATE(Einstellungen!$C$3,4,1)),MIN(J390,DATE(Einstellungen!$C$3,5,0)),Einstellungen!$F$13:$F$32)))</f>
        <v/>
      </c>
      <c r="P390" s="49">
        <f>IF(OR(A390="",D390=""),0,MAX(0,NETWORKDAYS(MAX(D390,DATE(Einstellungen!$C$3,5,1)),MIN(J390,DATE(Einstellungen!$C$3,6,0)),Einstellungen!$F$13:$F$32)))</f>
        <v/>
      </c>
      <c r="Q390" s="49">
        <f>IF(OR(A390="",D390=""),0,MAX(0,NETWORKDAYS(MAX(D390,DATE(Einstellungen!$C$3,6,1)),MIN(J390,DATE(Einstellungen!$C$3,7,0)),Einstellungen!$F$13:$F$32)))</f>
        <v/>
      </c>
      <c r="R390" s="49">
        <f>IF(OR(A390="",D390=""),0,MAX(0,NETWORKDAYS(MAX(D390,DATE(Einstellungen!$C$3,7,1)),MIN(J390,DATE(Einstellungen!$C$3,8,0)),Einstellungen!$F$13:$F$32)))</f>
        <v/>
      </c>
      <c r="S390" s="49">
        <f>IF(OR(A390="",D390=""),0,MAX(0,NETWORKDAYS(MAX(D390,DATE(Einstellungen!$C$3,8,1)),MIN(J390,DATE(Einstellungen!$C$3,9,0)),Einstellungen!$F$13:$F$32)))</f>
        <v/>
      </c>
      <c r="T390" s="49">
        <f>IF(OR(A390="",D390=""),0,MAX(0,NETWORKDAYS(MAX(D390,DATE(Einstellungen!$C$3,9,1)),MIN(J390,DATE(Einstellungen!$C$3,10,0)),Einstellungen!$F$13:$F$32)))</f>
        <v/>
      </c>
      <c r="U390" s="49">
        <f>IF(OR(A390="",D390=""),0,MAX(0,NETWORKDAYS(MAX(D390,DATE(Einstellungen!$C$3,10,1)),MIN(J390,DATE(Einstellungen!$C$3,11,0)),Einstellungen!$F$13:$F$32)))</f>
        <v/>
      </c>
      <c r="V390" s="49">
        <f>IF(OR(A390="",D390=""),0,MAX(0,NETWORKDAYS(MAX(D390,DATE(Einstellungen!$C$3,11,1)),MIN(J390,DATE(Einstellungen!$C$3,12,0)),Einstellungen!$F$13:$F$32)))</f>
        <v/>
      </c>
      <c r="W390" s="49">
        <f>IF(OR(A390="",D390=""),0,MAX(0,NETWORKDAYS(MAX(D390,DATE(Einstellungen!$C$3,12,1)),MIN(J390,DATE(Einstellungen!$C$3,13,0)),Einstellungen!$F$13:$F$32)))</f>
        <v/>
      </c>
      <c r="X390" s="50">
        <f>L390*K390</f>
        <v/>
      </c>
      <c r="Y390" s="50">
        <f>M390*K390</f>
        <v/>
      </c>
      <c r="Z390" s="50">
        <f>N390*K390</f>
        <v/>
      </c>
      <c r="AA390" s="50">
        <f>O390*K390</f>
        <v/>
      </c>
      <c r="AB390" s="50">
        <f>P390*K390</f>
        <v/>
      </c>
      <c r="AC390" s="50">
        <f>Q390*K390</f>
        <v/>
      </c>
      <c r="AD390" s="50">
        <f>R390*K390</f>
        <v/>
      </c>
      <c r="AE390" s="50">
        <f>S390*K390</f>
        <v/>
      </c>
      <c r="AF390" s="50">
        <f>T390*K390</f>
        <v/>
      </c>
      <c r="AG390" s="50">
        <f>U390*K390</f>
        <v/>
      </c>
      <c r="AH390" s="50">
        <f>V390*K390</f>
        <v/>
      </c>
      <c r="AI390" s="50">
        <f>W390*K390</f>
        <v/>
      </c>
    </row>
    <row r="391">
      <c r="A391" s="25" t="n"/>
      <c r="B391" s="45">
        <f>IF(A391="","",IFERROR(INDEX(Mitarbeiter!$B$6:$B$205,MATCH($A391,Mitarbeiter!$A$6:$A$205,0)),"?"))</f>
        <v/>
      </c>
      <c r="C391" s="46" t="n"/>
      <c r="D391" s="26" t="n"/>
      <c r="E391" s="26" t="n"/>
      <c r="F391" s="24">
        <f>IF(A391="","",SUM(L391:W391))</f>
        <v/>
      </c>
      <c r="G391" s="36">
        <f>IF(A391="","",SUM(X391:AI391))</f>
        <v/>
      </c>
      <c r="H391" s="8">
        <f>IF(A391="","",IF(ISNA(MATCH(A391,Mitarbeiter!$A$6:$A$205,0)),"Pers.-Nr. unbekannt",IF(D391="","Von fehlt",IF(AND(C391&lt;&gt;Einstellungen!$C$4,C391&lt;&gt;Einstellungen!$C$5),"Objekt fehlt",IF(J391&lt;D391,"Bis vor Von",IF(D391&lt;INDEX(Mitarbeiter!$C$6:$C$205,MATCH($A391,Mitarbeiter!$A$6:$A$205,0)),"vor Eintritt",IF(AND(INDEX(Mitarbeiter!$D$6:$D$205,MATCH($A391,Mitarbeiter!$A$6:$A$205,0))&lt;&gt;"",D391&gt;INDEX(Mitarbeiter!$D$6:$D$205,MATCH($A391,Mitarbeiter!$A$6:$A$205,0))),"nach Austritt",IF(E391="","offen","ok"))))))))</f>
        <v/>
      </c>
      <c r="J391" s="47">
        <f>IF(A391="","",IF(E391="",Einstellungen!$C$9,E391))</f>
        <v/>
      </c>
      <c r="K391" s="48">
        <f>IF(A391="",0,IFERROR(INDEX(Mitarbeiter!$F$6:$F$205,MATCH($A391,Mitarbeiter!$A$6:$A$205,0)),0))</f>
        <v/>
      </c>
      <c r="L391" s="49">
        <f>IF(OR(A391="",D391=""),0,MAX(0,NETWORKDAYS(MAX(D391,DATE(Einstellungen!$C$3,1,1)),MIN(J391,DATE(Einstellungen!$C$3,2,0)),Einstellungen!$F$13:$F$32)))</f>
        <v/>
      </c>
      <c r="M391" s="49">
        <f>IF(OR(A391="",D391=""),0,MAX(0,NETWORKDAYS(MAX(D391,DATE(Einstellungen!$C$3,2,1)),MIN(J391,DATE(Einstellungen!$C$3,3,0)),Einstellungen!$F$13:$F$32)))</f>
        <v/>
      </c>
      <c r="N391" s="49">
        <f>IF(OR(A391="",D391=""),0,MAX(0,NETWORKDAYS(MAX(D391,DATE(Einstellungen!$C$3,3,1)),MIN(J391,DATE(Einstellungen!$C$3,4,0)),Einstellungen!$F$13:$F$32)))</f>
        <v/>
      </c>
      <c r="O391" s="49">
        <f>IF(OR(A391="",D391=""),0,MAX(0,NETWORKDAYS(MAX(D391,DATE(Einstellungen!$C$3,4,1)),MIN(J391,DATE(Einstellungen!$C$3,5,0)),Einstellungen!$F$13:$F$32)))</f>
        <v/>
      </c>
      <c r="P391" s="49">
        <f>IF(OR(A391="",D391=""),0,MAX(0,NETWORKDAYS(MAX(D391,DATE(Einstellungen!$C$3,5,1)),MIN(J391,DATE(Einstellungen!$C$3,6,0)),Einstellungen!$F$13:$F$32)))</f>
        <v/>
      </c>
      <c r="Q391" s="49">
        <f>IF(OR(A391="",D391=""),0,MAX(0,NETWORKDAYS(MAX(D391,DATE(Einstellungen!$C$3,6,1)),MIN(J391,DATE(Einstellungen!$C$3,7,0)),Einstellungen!$F$13:$F$32)))</f>
        <v/>
      </c>
      <c r="R391" s="49">
        <f>IF(OR(A391="",D391=""),0,MAX(0,NETWORKDAYS(MAX(D391,DATE(Einstellungen!$C$3,7,1)),MIN(J391,DATE(Einstellungen!$C$3,8,0)),Einstellungen!$F$13:$F$32)))</f>
        <v/>
      </c>
      <c r="S391" s="49">
        <f>IF(OR(A391="",D391=""),0,MAX(0,NETWORKDAYS(MAX(D391,DATE(Einstellungen!$C$3,8,1)),MIN(J391,DATE(Einstellungen!$C$3,9,0)),Einstellungen!$F$13:$F$32)))</f>
        <v/>
      </c>
      <c r="T391" s="49">
        <f>IF(OR(A391="",D391=""),0,MAX(0,NETWORKDAYS(MAX(D391,DATE(Einstellungen!$C$3,9,1)),MIN(J391,DATE(Einstellungen!$C$3,10,0)),Einstellungen!$F$13:$F$32)))</f>
        <v/>
      </c>
      <c r="U391" s="49">
        <f>IF(OR(A391="",D391=""),0,MAX(0,NETWORKDAYS(MAX(D391,DATE(Einstellungen!$C$3,10,1)),MIN(J391,DATE(Einstellungen!$C$3,11,0)),Einstellungen!$F$13:$F$32)))</f>
        <v/>
      </c>
      <c r="V391" s="49">
        <f>IF(OR(A391="",D391=""),0,MAX(0,NETWORKDAYS(MAX(D391,DATE(Einstellungen!$C$3,11,1)),MIN(J391,DATE(Einstellungen!$C$3,12,0)),Einstellungen!$F$13:$F$32)))</f>
        <v/>
      </c>
      <c r="W391" s="49">
        <f>IF(OR(A391="",D391=""),0,MAX(0,NETWORKDAYS(MAX(D391,DATE(Einstellungen!$C$3,12,1)),MIN(J391,DATE(Einstellungen!$C$3,13,0)),Einstellungen!$F$13:$F$32)))</f>
        <v/>
      </c>
      <c r="X391" s="50">
        <f>L391*K391</f>
        <v/>
      </c>
      <c r="Y391" s="50">
        <f>M391*K391</f>
        <v/>
      </c>
      <c r="Z391" s="50">
        <f>N391*K391</f>
        <v/>
      </c>
      <c r="AA391" s="50">
        <f>O391*K391</f>
        <v/>
      </c>
      <c r="AB391" s="50">
        <f>P391*K391</f>
        <v/>
      </c>
      <c r="AC391" s="50">
        <f>Q391*K391</f>
        <v/>
      </c>
      <c r="AD391" s="50">
        <f>R391*K391</f>
        <v/>
      </c>
      <c r="AE391" s="50">
        <f>S391*K391</f>
        <v/>
      </c>
      <c r="AF391" s="50">
        <f>T391*K391</f>
        <v/>
      </c>
      <c r="AG391" s="50">
        <f>U391*K391</f>
        <v/>
      </c>
      <c r="AH391" s="50">
        <f>V391*K391</f>
        <v/>
      </c>
      <c r="AI391" s="50">
        <f>W391*K391</f>
        <v/>
      </c>
    </row>
    <row r="392">
      <c r="A392" s="25" t="n"/>
      <c r="B392" s="45">
        <f>IF(A392="","",IFERROR(INDEX(Mitarbeiter!$B$6:$B$205,MATCH($A392,Mitarbeiter!$A$6:$A$205,0)),"?"))</f>
        <v/>
      </c>
      <c r="C392" s="46" t="n"/>
      <c r="D392" s="26" t="n"/>
      <c r="E392" s="26" t="n"/>
      <c r="F392" s="24">
        <f>IF(A392="","",SUM(L392:W392))</f>
        <v/>
      </c>
      <c r="G392" s="36">
        <f>IF(A392="","",SUM(X392:AI392))</f>
        <v/>
      </c>
      <c r="H392" s="8">
        <f>IF(A392="","",IF(ISNA(MATCH(A392,Mitarbeiter!$A$6:$A$205,0)),"Pers.-Nr. unbekannt",IF(D392="","Von fehlt",IF(AND(C392&lt;&gt;Einstellungen!$C$4,C392&lt;&gt;Einstellungen!$C$5),"Objekt fehlt",IF(J392&lt;D392,"Bis vor Von",IF(D392&lt;INDEX(Mitarbeiter!$C$6:$C$205,MATCH($A392,Mitarbeiter!$A$6:$A$205,0)),"vor Eintritt",IF(AND(INDEX(Mitarbeiter!$D$6:$D$205,MATCH($A392,Mitarbeiter!$A$6:$A$205,0))&lt;&gt;"",D392&gt;INDEX(Mitarbeiter!$D$6:$D$205,MATCH($A392,Mitarbeiter!$A$6:$A$205,0))),"nach Austritt",IF(E392="","offen","ok"))))))))</f>
        <v/>
      </c>
      <c r="J392" s="47">
        <f>IF(A392="","",IF(E392="",Einstellungen!$C$9,E392))</f>
        <v/>
      </c>
      <c r="K392" s="48">
        <f>IF(A392="",0,IFERROR(INDEX(Mitarbeiter!$F$6:$F$205,MATCH($A392,Mitarbeiter!$A$6:$A$205,0)),0))</f>
        <v/>
      </c>
      <c r="L392" s="49">
        <f>IF(OR(A392="",D392=""),0,MAX(0,NETWORKDAYS(MAX(D392,DATE(Einstellungen!$C$3,1,1)),MIN(J392,DATE(Einstellungen!$C$3,2,0)),Einstellungen!$F$13:$F$32)))</f>
        <v/>
      </c>
      <c r="M392" s="49">
        <f>IF(OR(A392="",D392=""),0,MAX(0,NETWORKDAYS(MAX(D392,DATE(Einstellungen!$C$3,2,1)),MIN(J392,DATE(Einstellungen!$C$3,3,0)),Einstellungen!$F$13:$F$32)))</f>
        <v/>
      </c>
      <c r="N392" s="49">
        <f>IF(OR(A392="",D392=""),0,MAX(0,NETWORKDAYS(MAX(D392,DATE(Einstellungen!$C$3,3,1)),MIN(J392,DATE(Einstellungen!$C$3,4,0)),Einstellungen!$F$13:$F$32)))</f>
        <v/>
      </c>
      <c r="O392" s="49">
        <f>IF(OR(A392="",D392=""),0,MAX(0,NETWORKDAYS(MAX(D392,DATE(Einstellungen!$C$3,4,1)),MIN(J392,DATE(Einstellungen!$C$3,5,0)),Einstellungen!$F$13:$F$32)))</f>
        <v/>
      </c>
      <c r="P392" s="49">
        <f>IF(OR(A392="",D392=""),0,MAX(0,NETWORKDAYS(MAX(D392,DATE(Einstellungen!$C$3,5,1)),MIN(J392,DATE(Einstellungen!$C$3,6,0)),Einstellungen!$F$13:$F$32)))</f>
        <v/>
      </c>
      <c r="Q392" s="49">
        <f>IF(OR(A392="",D392=""),0,MAX(0,NETWORKDAYS(MAX(D392,DATE(Einstellungen!$C$3,6,1)),MIN(J392,DATE(Einstellungen!$C$3,7,0)),Einstellungen!$F$13:$F$32)))</f>
        <v/>
      </c>
      <c r="R392" s="49">
        <f>IF(OR(A392="",D392=""),0,MAX(0,NETWORKDAYS(MAX(D392,DATE(Einstellungen!$C$3,7,1)),MIN(J392,DATE(Einstellungen!$C$3,8,0)),Einstellungen!$F$13:$F$32)))</f>
        <v/>
      </c>
      <c r="S392" s="49">
        <f>IF(OR(A392="",D392=""),0,MAX(0,NETWORKDAYS(MAX(D392,DATE(Einstellungen!$C$3,8,1)),MIN(J392,DATE(Einstellungen!$C$3,9,0)),Einstellungen!$F$13:$F$32)))</f>
        <v/>
      </c>
      <c r="T392" s="49">
        <f>IF(OR(A392="",D392=""),0,MAX(0,NETWORKDAYS(MAX(D392,DATE(Einstellungen!$C$3,9,1)),MIN(J392,DATE(Einstellungen!$C$3,10,0)),Einstellungen!$F$13:$F$32)))</f>
        <v/>
      </c>
      <c r="U392" s="49">
        <f>IF(OR(A392="",D392=""),0,MAX(0,NETWORKDAYS(MAX(D392,DATE(Einstellungen!$C$3,10,1)),MIN(J392,DATE(Einstellungen!$C$3,11,0)),Einstellungen!$F$13:$F$32)))</f>
        <v/>
      </c>
      <c r="V392" s="49">
        <f>IF(OR(A392="",D392=""),0,MAX(0,NETWORKDAYS(MAX(D392,DATE(Einstellungen!$C$3,11,1)),MIN(J392,DATE(Einstellungen!$C$3,12,0)),Einstellungen!$F$13:$F$32)))</f>
        <v/>
      </c>
      <c r="W392" s="49">
        <f>IF(OR(A392="",D392=""),0,MAX(0,NETWORKDAYS(MAX(D392,DATE(Einstellungen!$C$3,12,1)),MIN(J392,DATE(Einstellungen!$C$3,13,0)),Einstellungen!$F$13:$F$32)))</f>
        <v/>
      </c>
      <c r="X392" s="50">
        <f>L392*K392</f>
        <v/>
      </c>
      <c r="Y392" s="50">
        <f>M392*K392</f>
        <v/>
      </c>
      <c r="Z392" s="50">
        <f>N392*K392</f>
        <v/>
      </c>
      <c r="AA392" s="50">
        <f>O392*K392</f>
        <v/>
      </c>
      <c r="AB392" s="50">
        <f>P392*K392</f>
        <v/>
      </c>
      <c r="AC392" s="50">
        <f>Q392*K392</f>
        <v/>
      </c>
      <c r="AD392" s="50">
        <f>R392*K392</f>
        <v/>
      </c>
      <c r="AE392" s="50">
        <f>S392*K392</f>
        <v/>
      </c>
      <c r="AF392" s="50">
        <f>T392*K392</f>
        <v/>
      </c>
      <c r="AG392" s="50">
        <f>U392*K392</f>
        <v/>
      </c>
      <c r="AH392" s="50">
        <f>V392*K392</f>
        <v/>
      </c>
      <c r="AI392" s="50">
        <f>W392*K392</f>
        <v/>
      </c>
    </row>
    <row r="393">
      <c r="A393" s="25" t="n"/>
      <c r="B393" s="45">
        <f>IF(A393="","",IFERROR(INDEX(Mitarbeiter!$B$6:$B$205,MATCH($A393,Mitarbeiter!$A$6:$A$205,0)),"?"))</f>
        <v/>
      </c>
      <c r="C393" s="46" t="n"/>
      <c r="D393" s="26" t="n"/>
      <c r="E393" s="26" t="n"/>
      <c r="F393" s="24">
        <f>IF(A393="","",SUM(L393:W393))</f>
        <v/>
      </c>
      <c r="G393" s="36">
        <f>IF(A393="","",SUM(X393:AI393))</f>
        <v/>
      </c>
      <c r="H393" s="8">
        <f>IF(A393="","",IF(ISNA(MATCH(A393,Mitarbeiter!$A$6:$A$205,0)),"Pers.-Nr. unbekannt",IF(D393="","Von fehlt",IF(AND(C393&lt;&gt;Einstellungen!$C$4,C393&lt;&gt;Einstellungen!$C$5),"Objekt fehlt",IF(J393&lt;D393,"Bis vor Von",IF(D393&lt;INDEX(Mitarbeiter!$C$6:$C$205,MATCH($A393,Mitarbeiter!$A$6:$A$205,0)),"vor Eintritt",IF(AND(INDEX(Mitarbeiter!$D$6:$D$205,MATCH($A393,Mitarbeiter!$A$6:$A$205,0))&lt;&gt;"",D393&gt;INDEX(Mitarbeiter!$D$6:$D$205,MATCH($A393,Mitarbeiter!$A$6:$A$205,0))),"nach Austritt",IF(E393="","offen","ok"))))))))</f>
        <v/>
      </c>
      <c r="J393" s="47">
        <f>IF(A393="","",IF(E393="",Einstellungen!$C$9,E393))</f>
        <v/>
      </c>
      <c r="K393" s="48">
        <f>IF(A393="",0,IFERROR(INDEX(Mitarbeiter!$F$6:$F$205,MATCH($A393,Mitarbeiter!$A$6:$A$205,0)),0))</f>
        <v/>
      </c>
      <c r="L393" s="49">
        <f>IF(OR(A393="",D393=""),0,MAX(0,NETWORKDAYS(MAX(D393,DATE(Einstellungen!$C$3,1,1)),MIN(J393,DATE(Einstellungen!$C$3,2,0)),Einstellungen!$F$13:$F$32)))</f>
        <v/>
      </c>
      <c r="M393" s="49">
        <f>IF(OR(A393="",D393=""),0,MAX(0,NETWORKDAYS(MAX(D393,DATE(Einstellungen!$C$3,2,1)),MIN(J393,DATE(Einstellungen!$C$3,3,0)),Einstellungen!$F$13:$F$32)))</f>
        <v/>
      </c>
      <c r="N393" s="49">
        <f>IF(OR(A393="",D393=""),0,MAX(0,NETWORKDAYS(MAX(D393,DATE(Einstellungen!$C$3,3,1)),MIN(J393,DATE(Einstellungen!$C$3,4,0)),Einstellungen!$F$13:$F$32)))</f>
        <v/>
      </c>
      <c r="O393" s="49">
        <f>IF(OR(A393="",D393=""),0,MAX(0,NETWORKDAYS(MAX(D393,DATE(Einstellungen!$C$3,4,1)),MIN(J393,DATE(Einstellungen!$C$3,5,0)),Einstellungen!$F$13:$F$32)))</f>
        <v/>
      </c>
      <c r="P393" s="49">
        <f>IF(OR(A393="",D393=""),0,MAX(0,NETWORKDAYS(MAX(D393,DATE(Einstellungen!$C$3,5,1)),MIN(J393,DATE(Einstellungen!$C$3,6,0)),Einstellungen!$F$13:$F$32)))</f>
        <v/>
      </c>
      <c r="Q393" s="49">
        <f>IF(OR(A393="",D393=""),0,MAX(0,NETWORKDAYS(MAX(D393,DATE(Einstellungen!$C$3,6,1)),MIN(J393,DATE(Einstellungen!$C$3,7,0)),Einstellungen!$F$13:$F$32)))</f>
        <v/>
      </c>
      <c r="R393" s="49">
        <f>IF(OR(A393="",D393=""),0,MAX(0,NETWORKDAYS(MAX(D393,DATE(Einstellungen!$C$3,7,1)),MIN(J393,DATE(Einstellungen!$C$3,8,0)),Einstellungen!$F$13:$F$32)))</f>
        <v/>
      </c>
      <c r="S393" s="49">
        <f>IF(OR(A393="",D393=""),0,MAX(0,NETWORKDAYS(MAX(D393,DATE(Einstellungen!$C$3,8,1)),MIN(J393,DATE(Einstellungen!$C$3,9,0)),Einstellungen!$F$13:$F$32)))</f>
        <v/>
      </c>
      <c r="T393" s="49">
        <f>IF(OR(A393="",D393=""),0,MAX(0,NETWORKDAYS(MAX(D393,DATE(Einstellungen!$C$3,9,1)),MIN(J393,DATE(Einstellungen!$C$3,10,0)),Einstellungen!$F$13:$F$32)))</f>
        <v/>
      </c>
      <c r="U393" s="49">
        <f>IF(OR(A393="",D393=""),0,MAX(0,NETWORKDAYS(MAX(D393,DATE(Einstellungen!$C$3,10,1)),MIN(J393,DATE(Einstellungen!$C$3,11,0)),Einstellungen!$F$13:$F$32)))</f>
        <v/>
      </c>
      <c r="V393" s="49">
        <f>IF(OR(A393="",D393=""),0,MAX(0,NETWORKDAYS(MAX(D393,DATE(Einstellungen!$C$3,11,1)),MIN(J393,DATE(Einstellungen!$C$3,12,0)),Einstellungen!$F$13:$F$32)))</f>
        <v/>
      </c>
      <c r="W393" s="49">
        <f>IF(OR(A393="",D393=""),0,MAX(0,NETWORKDAYS(MAX(D393,DATE(Einstellungen!$C$3,12,1)),MIN(J393,DATE(Einstellungen!$C$3,13,0)),Einstellungen!$F$13:$F$32)))</f>
        <v/>
      </c>
      <c r="X393" s="50">
        <f>L393*K393</f>
        <v/>
      </c>
      <c r="Y393" s="50">
        <f>M393*K393</f>
        <v/>
      </c>
      <c r="Z393" s="50">
        <f>N393*K393</f>
        <v/>
      </c>
      <c r="AA393" s="50">
        <f>O393*K393</f>
        <v/>
      </c>
      <c r="AB393" s="50">
        <f>P393*K393</f>
        <v/>
      </c>
      <c r="AC393" s="50">
        <f>Q393*K393</f>
        <v/>
      </c>
      <c r="AD393" s="50">
        <f>R393*K393</f>
        <v/>
      </c>
      <c r="AE393" s="50">
        <f>S393*K393</f>
        <v/>
      </c>
      <c r="AF393" s="50">
        <f>T393*K393</f>
        <v/>
      </c>
      <c r="AG393" s="50">
        <f>U393*K393</f>
        <v/>
      </c>
      <c r="AH393" s="50">
        <f>V393*K393</f>
        <v/>
      </c>
      <c r="AI393" s="50">
        <f>W393*K393</f>
        <v/>
      </c>
    </row>
    <row r="394">
      <c r="A394" s="25" t="n"/>
      <c r="B394" s="45">
        <f>IF(A394="","",IFERROR(INDEX(Mitarbeiter!$B$6:$B$205,MATCH($A394,Mitarbeiter!$A$6:$A$205,0)),"?"))</f>
        <v/>
      </c>
      <c r="C394" s="46" t="n"/>
      <c r="D394" s="26" t="n"/>
      <c r="E394" s="26" t="n"/>
      <c r="F394" s="24">
        <f>IF(A394="","",SUM(L394:W394))</f>
        <v/>
      </c>
      <c r="G394" s="36">
        <f>IF(A394="","",SUM(X394:AI394))</f>
        <v/>
      </c>
      <c r="H394" s="8">
        <f>IF(A394="","",IF(ISNA(MATCH(A394,Mitarbeiter!$A$6:$A$205,0)),"Pers.-Nr. unbekannt",IF(D394="","Von fehlt",IF(AND(C394&lt;&gt;Einstellungen!$C$4,C394&lt;&gt;Einstellungen!$C$5),"Objekt fehlt",IF(J394&lt;D394,"Bis vor Von",IF(D394&lt;INDEX(Mitarbeiter!$C$6:$C$205,MATCH($A394,Mitarbeiter!$A$6:$A$205,0)),"vor Eintritt",IF(AND(INDEX(Mitarbeiter!$D$6:$D$205,MATCH($A394,Mitarbeiter!$A$6:$A$205,0))&lt;&gt;"",D394&gt;INDEX(Mitarbeiter!$D$6:$D$205,MATCH($A394,Mitarbeiter!$A$6:$A$205,0))),"nach Austritt",IF(E394="","offen","ok"))))))))</f>
        <v/>
      </c>
      <c r="J394" s="47">
        <f>IF(A394="","",IF(E394="",Einstellungen!$C$9,E394))</f>
        <v/>
      </c>
      <c r="K394" s="48">
        <f>IF(A394="",0,IFERROR(INDEX(Mitarbeiter!$F$6:$F$205,MATCH($A394,Mitarbeiter!$A$6:$A$205,0)),0))</f>
        <v/>
      </c>
      <c r="L394" s="49">
        <f>IF(OR(A394="",D394=""),0,MAX(0,NETWORKDAYS(MAX(D394,DATE(Einstellungen!$C$3,1,1)),MIN(J394,DATE(Einstellungen!$C$3,2,0)),Einstellungen!$F$13:$F$32)))</f>
        <v/>
      </c>
      <c r="M394" s="49">
        <f>IF(OR(A394="",D394=""),0,MAX(0,NETWORKDAYS(MAX(D394,DATE(Einstellungen!$C$3,2,1)),MIN(J394,DATE(Einstellungen!$C$3,3,0)),Einstellungen!$F$13:$F$32)))</f>
        <v/>
      </c>
      <c r="N394" s="49">
        <f>IF(OR(A394="",D394=""),0,MAX(0,NETWORKDAYS(MAX(D394,DATE(Einstellungen!$C$3,3,1)),MIN(J394,DATE(Einstellungen!$C$3,4,0)),Einstellungen!$F$13:$F$32)))</f>
        <v/>
      </c>
      <c r="O394" s="49">
        <f>IF(OR(A394="",D394=""),0,MAX(0,NETWORKDAYS(MAX(D394,DATE(Einstellungen!$C$3,4,1)),MIN(J394,DATE(Einstellungen!$C$3,5,0)),Einstellungen!$F$13:$F$32)))</f>
        <v/>
      </c>
      <c r="P394" s="49">
        <f>IF(OR(A394="",D394=""),0,MAX(0,NETWORKDAYS(MAX(D394,DATE(Einstellungen!$C$3,5,1)),MIN(J394,DATE(Einstellungen!$C$3,6,0)),Einstellungen!$F$13:$F$32)))</f>
        <v/>
      </c>
      <c r="Q394" s="49">
        <f>IF(OR(A394="",D394=""),0,MAX(0,NETWORKDAYS(MAX(D394,DATE(Einstellungen!$C$3,6,1)),MIN(J394,DATE(Einstellungen!$C$3,7,0)),Einstellungen!$F$13:$F$32)))</f>
        <v/>
      </c>
      <c r="R394" s="49">
        <f>IF(OR(A394="",D394=""),0,MAX(0,NETWORKDAYS(MAX(D394,DATE(Einstellungen!$C$3,7,1)),MIN(J394,DATE(Einstellungen!$C$3,8,0)),Einstellungen!$F$13:$F$32)))</f>
        <v/>
      </c>
      <c r="S394" s="49">
        <f>IF(OR(A394="",D394=""),0,MAX(0,NETWORKDAYS(MAX(D394,DATE(Einstellungen!$C$3,8,1)),MIN(J394,DATE(Einstellungen!$C$3,9,0)),Einstellungen!$F$13:$F$32)))</f>
        <v/>
      </c>
      <c r="T394" s="49">
        <f>IF(OR(A394="",D394=""),0,MAX(0,NETWORKDAYS(MAX(D394,DATE(Einstellungen!$C$3,9,1)),MIN(J394,DATE(Einstellungen!$C$3,10,0)),Einstellungen!$F$13:$F$32)))</f>
        <v/>
      </c>
      <c r="U394" s="49">
        <f>IF(OR(A394="",D394=""),0,MAX(0,NETWORKDAYS(MAX(D394,DATE(Einstellungen!$C$3,10,1)),MIN(J394,DATE(Einstellungen!$C$3,11,0)),Einstellungen!$F$13:$F$32)))</f>
        <v/>
      </c>
      <c r="V394" s="49">
        <f>IF(OR(A394="",D394=""),0,MAX(0,NETWORKDAYS(MAX(D394,DATE(Einstellungen!$C$3,11,1)),MIN(J394,DATE(Einstellungen!$C$3,12,0)),Einstellungen!$F$13:$F$32)))</f>
        <v/>
      </c>
      <c r="W394" s="49">
        <f>IF(OR(A394="",D394=""),0,MAX(0,NETWORKDAYS(MAX(D394,DATE(Einstellungen!$C$3,12,1)),MIN(J394,DATE(Einstellungen!$C$3,13,0)),Einstellungen!$F$13:$F$32)))</f>
        <v/>
      </c>
      <c r="X394" s="50">
        <f>L394*K394</f>
        <v/>
      </c>
      <c r="Y394" s="50">
        <f>M394*K394</f>
        <v/>
      </c>
      <c r="Z394" s="50">
        <f>N394*K394</f>
        <v/>
      </c>
      <c r="AA394" s="50">
        <f>O394*K394</f>
        <v/>
      </c>
      <c r="AB394" s="50">
        <f>P394*K394</f>
        <v/>
      </c>
      <c r="AC394" s="50">
        <f>Q394*K394</f>
        <v/>
      </c>
      <c r="AD394" s="50">
        <f>R394*K394</f>
        <v/>
      </c>
      <c r="AE394" s="50">
        <f>S394*K394</f>
        <v/>
      </c>
      <c r="AF394" s="50">
        <f>T394*K394</f>
        <v/>
      </c>
      <c r="AG394" s="50">
        <f>U394*K394</f>
        <v/>
      </c>
      <c r="AH394" s="50">
        <f>V394*K394</f>
        <v/>
      </c>
      <c r="AI394" s="50">
        <f>W394*K394</f>
        <v/>
      </c>
    </row>
    <row r="395">
      <c r="A395" s="25" t="n"/>
      <c r="B395" s="45">
        <f>IF(A395="","",IFERROR(INDEX(Mitarbeiter!$B$6:$B$205,MATCH($A395,Mitarbeiter!$A$6:$A$205,0)),"?"))</f>
        <v/>
      </c>
      <c r="C395" s="46" t="n"/>
      <c r="D395" s="26" t="n"/>
      <c r="E395" s="26" t="n"/>
      <c r="F395" s="24">
        <f>IF(A395="","",SUM(L395:W395))</f>
        <v/>
      </c>
      <c r="G395" s="36">
        <f>IF(A395="","",SUM(X395:AI395))</f>
        <v/>
      </c>
      <c r="H395" s="8">
        <f>IF(A395="","",IF(ISNA(MATCH(A395,Mitarbeiter!$A$6:$A$205,0)),"Pers.-Nr. unbekannt",IF(D395="","Von fehlt",IF(AND(C395&lt;&gt;Einstellungen!$C$4,C395&lt;&gt;Einstellungen!$C$5),"Objekt fehlt",IF(J395&lt;D395,"Bis vor Von",IF(D395&lt;INDEX(Mitarbeiter!$C$6:$C$205,MATCH($A395,Mitarbeiter!$A$6:$A$205,0)),"vor Eintritt",IF(AND(INDEX(Mitarbeiter!$D$6:$D$205,MATCH($A395,Mitarbeiter!$A$6:$A$205,0))&lt;&gt;"",D395&gt;INDEX(Mitarbeiter!$D$6:$D$205,MATCH($A395,Mitarbeiter!$A$6:$A$205,0))),"nach Austritt",IF(E395="","offen","ok"))))))))</f>
        <v/>
      </c>
      <c r="J395" s="47">
        <f>IF(A395="","",IF(E395="",Einstellungen!$C$9,E395))</f>
        <v/>
      </c>
      <c r="K395" s="48">
        <f>IF(A395="",0,IFERROR(INDEX(Mitarbeiter!$F$6:$F$205,MATCH($A395,Mitarbeiter!$A$6:$A$205,0)),0))</f>
        <v/>
      </c>
      <c r="L395" s="49">
        <f>IF(OR(A395="",D395=""),0,MAX(0,NETWORKDAYS(MAX(D395,DATE(Einstellungen!$C$3,1,1)),MIN(J395,DATE(Einstellungen!$C$3,2,0)),Einstellungen!$F$13:$F$32)))</f>
        <v/>
      </c>
      <c r="M395" s="49">
        <f>IF(OR(A395="",D395=""),0,MAX(0,NETWORKDAYS(MAX(D395,DATE(Einstellungen!$C$3,2,1)),MIN(J395,DATE(Einstellungen!$C$3,3,0)),Einstellungen!$F$13:$F$32)))</f>
        <v/>
      </c>
      <c r="N395" s="49">
        <f>IF(OR(A395="",D395=""),0,MAX(0,NETWORKDAYS(MAX(D395,DATE(Einstellungen!$C$3,3,1)),MIN(J395,DATE(Einstellungen!$C$3,4,0)),Einstellungen!$F$13:$F$32)))</f>
        <v/>
      </c>
      <c r="O395" s="49">
        <f>IF(OR(A395="",D395=""),0,MAX(0,NETWORKDAYS(MAX(D395,DATE(Einstellungen!$C$3,4,1)),MIN(J395,DATE(Einstellungen!$C$3,5,0)),Einstellungen!$F$13:$F$32)))</f>
        <v/>
      </c>
      <c r="P395" s="49">
        <f>IF(OR(A395="",D395=""),0,MAX(0,NETWORKDAYS(MAX(D395,DATE(Einstellungen!$C$3,5,1)),MIN(J395,DATE(Einstellungen!$C$3,6,0)),Einstellungen!$F$13:$F$32)))</f>
        <v/>
      </c>
      <c r="Q395" s="49">
        <f>IF(OR(A395="",D395=""),0,MAX(0,NETWORKDAYS(MAX(D395,DATE(Einstellungen!$C$3,6,1)),MIN(J395,DATE(Einstellungen!$C$3,7,0)),Einstellungen!$F$13:$F$32)))</f>
        <v/>
      </c>
      <c r="R395" s="49">
        <f>IF(OR(A395="",D395=""),0,MAX(0,NETWORKDAYS(MAX(D395,DATE(Einstellungen!$C$3,7,1)),MIN(J395,DATE(Einstellungen!$C$3,8,0)),Einstellungen!$F$13:$F$32)))</f>
        <v/>
      </c>
      <c r="S395" s="49">
        <f>IF(OR(A395="",D395=""),0,MAX(0,NETWORKDAYS(MAX(D395,DATE(Einstellungen!$C$3,8,1)),MIN(J395,DATE(Einstellungen!$C$3,9,0)),Einstellungen!$F$13:$F$32)))</f>
        <v/>
      </c>
      <c r="T395" s="49">
        <f>IF(OR(A395="",D395=""),0,MAX(0,NETWORKDAYS(MAX(D395,DATE(Einstellungen!$C$3,9,1)),MIN(J395,DATE(Einstellungen!$C$3,10,0)),Einstellungen!$F$13:$F$32)))</f>
        <v/>
      </c>
      <c r="U395" s="49">
        <f>IF(OR(A395="",D395=""),0,MAX(0,NETWORKDAYS(MAX(D395,DATE(Einstellungen!$C$3,10,1)),MIN(J395,DATE(Einstellungen!$C$3,11,0)),Einstellungen!$F$13:$F$32)))</f>
        <v/>
      </c>
      <c r="V395" s="49">
        <f>IF(OR(A395="",D395=""),0,MAX(0,NETWORKDAYS(MAX(D395,DATE(Einstellungen!$C$3,11,1)),MIN(J395,DATE(Einstellungen!$C$3,12,0)),Einstellungen!$F$13:$F$32)))</f>
        <v/>
      </c>
      <c r="W395" s="49">
        <f>IF(OR(A395="",D395=""),0,MAX(0,NETWORKDAYS(MAX(D395,DATE(Einstellungen!$C$3,12,1)),MIN(J395,DATE(Einstellungen!$C$3,13,0)),Einstellungen!$F$13:$F$32)))</f>
        <v/>
      </c>
      <c r="X395" s="50">
        <f>L395*K395</f>
        <v/>
      </c>
      <c r="Y395" s="50">
        <f>M395*K395</f>
        <v/>
      </c>
      <c r="Z395" s="50">
        <f>N395*K395</f>
        <v/>
      </c>
      <c r="AA395" s="50">
        <f>O395*K395</f>
        <v/>
      </c>
      <c r="AB395" s="50">
        <f>P395*K395</f>
        <v/>
      </c>
      <c r="AC395" s="50">
        <f>Q395*K395</f>
        <v/>
      </c>
      <c r="AD395" s="50">
        <f>R395*K395</f>
        <v/>
      </c>
      <c r="AE395" s="50">
        <f>S395*K395</f>
        <v/>
      </c>
      <c r="AF395" s="50">
        <f>T395*K395</f>
        <v/>
      </c>
      <c r="AG395" s="50">
        <f>U395*K395</f>
        <v/>
      </c>
      <c r="AH395" s="50">
        <f>V395*K395</f>
        <v/>
      </c>
      <c r="AI395" s="50">
        <f>W395*K395</f>
        <v/>
      </c>
    </row>
    <row r="396">
      <c r="A396" s="25" t="n"/>
      <c r="B396" s="45">
        <f>IF(A396="","",IFERROR(INDEX(Mitarbeiter!$B$6:$B$205,MATCH($A396,Mitarbeiter!$A$6:$A$205,0)),"?"))</f>
        <v/>
      </c>
      <c r="C396" s="46" t="n"/>
      <c r="D396" s="26" t="n"/>
      <c r="E396" s="26" t="n"/>
      <c r="F396" s="24">
        <f>IF(A396="","",SUM(L396:W396))</f>
        <v/>
      </c>
      <c r="G396" s="36">
        <f>IF(A396="","",SUM(X396:AI396))</f>
        <v/>
      </c>
      <c r="H396" s="8">
        <f>IF(A396="","",IF(ISNA(MATCH(A396,Mitarbeiter!$A$6:$A$205,0)),"Pers.-Nr. unbekannt",IF(D396="","Von fehlt",IF(AND(C396&lt;&gt;Einstellungen!$C$4,C396&lt;&gt;Einstellungen!$C$5),"Objekt fehlt",IF(J396&lt;D396,"Bis vor Von",IF(D396&lt;INDEX(Mitarbeiter!$C$6:$C$205,MATCH($A396,Mitarbeiter!$A$6:$A$205,0)),"vor Eintritt",IF(AND(INDEX(Mitarbeiter!$D$6:$D$205,MATCH($A396,Mitarbeiter!$A$6:$A$205,0))&lt;&gt;"",D396&gt;INDEX(Mitarbeiter!$D$6:$D$205,MATCH($A396,Mitarbeiter!$A$6:$A$205,0))),"nach Austritt",IF(E396="","offen","ok"))))))))</f>
        <v/>
      </c>
      <c r="J396" s="47">
        <f>IF(A396="","",IF(E396="",Einstellungen!$C$9,E396))</f>
        <v/>
      </c>
      <c r="K396" s="48">
        <f>IF(A396="",0,IFERROR(INDEX(Mitarbeiter!$F$6:$F$205,MATCH($A396,Mitarbeiter!$A$6:$A$205,0)),0))</f>
        <v/>
      </c>
      <c r="L396" s="49">
        <f>IF(OR(A396="",D396=""),0,MAX(0,NETWORKDAYS(MAX(D396,DATE(Einstellungen!$C$3,1,1)),MIN(J396,DATE(Einstellungen!$C$3,2,0)),Einstellungen!$F$13:$F$32)))</f>
        <v/>
      </c>
      <c r="M396" s="49">
        <f>IF(OR(A396="",D396=""),0,MAX(0,NETWORKDAYS(MAX(D396,DATE(Einstellungen!$C$3,2,1)),MIN(J396,DATE(Einstellungen!$C$3,3,0)),Einstellungen!$F$13:$F$32)))</f>
        <v/>
      </c>
      <c r="N396" s="49">
        <f>IF(OR(A396="",D396=""),0,MAX(0,NETWORKDAYS(MAX(D396,DATE(Einstellungen!$C$3,3,1)),MIN(J396,DATE(Einstellungen!$C$3,4,0)),Einstellungen!$F$13:$F$32)))</f>
        <v/>
      </c>
      <c r="O396" s="49">
        <f>IF(OR(A396="",D396=""),0,MAX(0,NETWORKDAYS(MAX(D396,DATE(Einstellungen!$C$3,4,1)),MIN(J396,DATE(Einstellungen!$C$3,5,0)),Einstellungen!$F$13:$F$32)))</f>
        <v/>
      </c>
      <c r="P396" s="49">
        <f>IF(OR(A396="",D396=""),0,MAX(0,NETWORKDAYS(MAX(D396,DATE(Einstellungen!$C$3,5,1)),MIN(J396,DATE(Einstellungen!$C$3,6,0)),Einstellungen!$F$13:$F$32)))</f>
        <v/>
      </c>
      <c r="Q396" s="49">
        <f>IF(OR(A396="",D396=""),0,MAX(0,NETWORKDAYS(MAX(D396,DATE(Einstellungen!$C$3,6,1)),MIN(J396,DATE(Einstellungen!$C$3,7,0)),Einstellungen!$F$13:$F$32)))</f>
        <v/>
      </c>
      <c r="R396" s="49">
        <f>IF(OR(A396="",D396=""),0,MAX(0,NETWORKDAYS(MAX(D396,DATE(Einstellungen!$C$3,7,1)),MIN(J396,DATE(Einstellungen!$C$3,8,0)),Einstellungen!$F$13:$F$32)))</f>
        <v/>
      </c>
      <c r="S396" s="49">
        <f>IF(OR(A396="",D396=""),0,MAX(0,NETWORKDAYS(MAX(D396,DATE(Einstellungen!$C$3,8,1)),MIN(J396,DATE(Einstellungen!$C$3,9,0)),Einstellungen!$F$13:$F$32)))</f>
        <v/>
      </c>
      <c r="T396" s="49">
        <f>IF(OR(A396="",D396=""),0,MAX(0,NETWORKDAYS(MAX(D396,DATE(Einstellungen!$C$3,9,1)),MIN(J396,DATE(Einstellungen!$C$3,10,0)),Einstellungen!$F$13:$F$32)))</f>
        <v/>
      </c>
      <c r="U396" s="49">
        <f>IF(OR(A396="",D396=""),0,MAX(0,NETWORKDAYS(MAX(D396,DATE(Einstellungen!$C$3,10,1)),MIN(J396,DATE(Einstellungen!$C$3,11,0)),Einstellungen!$F$13:$F$32)))</f>
        <v/>
      </c>
      <c r="V396" s="49">
        <f>IF(OR(A396="",D396=""),0,MAX(0,NETWORKDAYS(MAX(D396,DATE(Einstellungen!$C$3,11,1)),MIN(J396,DATE(Einstellungen!$C$3,12,0)),Einstellungen!$F$13:$F$32)))</f>
        <v/>
      </c>
      <c r="W396" s="49">
        <f>IF(OR(A396="",D396=""),0,MAX(0,NETWORKDAYS(MAX(D396,DATE(Einstellungen!$C$3,12,1)),MIN(J396,DATE(Einstellungen!$C$3,13,0)),Einstellungen!$F$13:$F$32)))</f>
        <v/>
      </c>
      <c r="X396" s="50">
        <f>L396*K396</f>
        <v/>
      </c>
      <c r="Y396" s="50">
        <f>M396*K396</f>
        <v/>
      </c>
      <c r="Z396" s="50">
        <f>N396*K396</f>
        <v/>
      </c>
      <c r="AA396" s="50">
        <f>O396*K396</f>
        <v/>
      </c>
      <c r="AB396" s="50">
        <f>P396*K396</f>
        <v/>
      </c>
      <c r="AC396" s="50">
        <f>Q396*K396</f>
        <v/>
      </c>
      <c r="AD396" s="50">
        <f>R396*K396</f>
        <v/>
      </c>
      <c r="AE396" s="50">
        <f>S396*K396</f>
        <v/>
      </c>
      <c r="AF396" s="50">
        <f>T396*K396</f>
        <v/>
      </c>
      <c r="AG396" s="50">
        <f>U396*K396</f>
        <v/>
      </c>
      <c r="AH396" s="50">
        <f>V396*K396</f>
        <v/>
      </c>
      <c r="AI396" s="50">
        <f>W396*K396</f>
        <v/>
      </c>
    </row>
    <row r="397">
      <c r="A397" s="25" t="n"/>
      <c r="B397" s="45">
        <f>IF(A397="","",IFERROR(INDEX(Mitarbeiter!$B$6:$B$205,MATCH($A397,Mitarbeiter!$A$6:$A$205,0)),"?"))</f>
        <v/>
      </c>
      <c r="C397" s="46" t="n"/>
      <c r="D397" s="26" t="n"/>
      <c r="E397" s="26" t="n"/>
      <c r="F397" s="24">
        <f>IF(A397="","",SUM(L397:W397))</f>
        <v/>
      </c>
      <c r="G397" s="36">
        <f>IF(A397="","",SUM(X397:AI397))</f>
        <v/>
      </c>
      <c r="H397" s="8">
        <f>IF(A397="","",IF(ISNA(MATCH(A397,Mitarbeiter!$A$6:$A$205,0)),"Pers.-Nr. unbekannt",IF(D397="","Von fehlt",IF(AND(C397&lt;&gt;Einstellungen!$C$4,C397&lt;&gt;Einstellungen!$C$5),"Objekt fehlt",IF(J397&lt;D397,"Bis vor Von",IF(D397&lt;INDEX(Mitarbeiter!$C$6:$C$205,MATCH($A397,Mitarbeiter!$A$6:$A$205,0)),"vor Eintritt",IF(AND(INDEX(Mitarbeiter!$D$6:$D$205,MATCH($A397,Mitarbeiter!$A$6:$A$205,0))&lt;&gt;"",D397&gt;INDEX(Mitarbeiter!$D$6:$D$205,MATCH($A397,Mitarbeiter!$A$6:$A$205,0))),"nach Austritt",IF(E397="","offen","ok"))))))))</f>
        <v/>
      </c>
      <c r="J397" s="47">
        <f>IF(A397="","",IF(E397="",Einstellungen!$C$9,E397))</f>
        <v/>
      </c>
      <c r="K397" s="48">
        <f>IF(A397="",0,IFERROR(INDEX(Mitarbeiter!$F$6:$F$205,MATCH($A397,Mitarbeiter!$A$6:$A$205,0)),0))</f>
        <v/>
      </c>
      <c r="L397" s="49">
        <f>IF(OR(A397="",D397=""),0,MAX(0,NETWORKDAYS(MAX(D397,DATE(Einstellungen!$C$3,1,1)),MIN(J397,DATE(Einstellungen!$C$3,2,0)),Einstellungen!$F$13:$F$32)))</f>
        <v/>
      </c>
      <c r="M397" s="49">
        <f>IF(OR(A397="",D397=""),0,MAX(0,NETWORKDAYS(MAX(D397,DATE(Einstellungen!$C$3,2,1)),MIN(J397,DATE(Einstellungen!$C$3,3,0)),Einstellungen!$F$13:$F$32)))</f>
        <v/>
      </c>
      <c r="N397" s="49">
        <f>IF(OR(A397="",D397=""),0,MAX(0,NETWORKDAYS(MAX(D397,DATE(Einstellungen!$C$3,3,1)),MIN(J397,DATE(Einstellungen!$C$3,4,0)),Einstellungen!$F$13:$F$32)))</f>
        <v/>
      </c>
      <c r="O397" s="49">
        <f>IF(OR(A397="",D397=""),0,MAX(0,NETWORKDAYS(MAX(D397,DATE(Einstellungen!$C$3,4,1)),MIN(J397,DATE(Einstellungen!$C$3,5,0)),Einstellungen!$F$13:$F$32)))</f>
        <v/>
      </c>
      <c r="P397" s="49">
        <f>IF(OR(A397="",D397=""),0,MAX(0,NETWORKDAYS(MAX(D397,DATE(Einstellungen!$C$3,5,1)),MIN(J397,DATE(Einstellungen!$C$3,6,0)),Einstellungen!$F$13:$F$32)))</f>
        <v/>
      </c>
      <c r="Q397" s="49">
        <f>IF(OR(A397="",D397=""),0,MAX(0,NETWORKDAYS(MAX(D397,DATE(Einstellungen!$C$3,6,1)),MIN(J397,DATE(Einstellungen!$C$3,7,0)),Einstellungen!$F$13:$F$32)))</f>
        <v/>
      </c>
      <c r="R397" s="49">
        <f>IF(OR(A397="",D397=""),0,MAX(0,NETWORKDAYS(MAX(D397,DATE(Einstellungen!$C$3,7,1)),MIN(J397,DATE(Einstellungen!$C$3,8,0)),Einstellungen!$F$13:$F$32)))</f>
        <v/>
      </c>
      <c r="S397" s="49">
        <f>IF(OR(A397="",D397=""),0,MAX(0,NETWORKDAYS(MAX(D397,DATE(Einstellungen!$C$3,8,1)),MIN(J397,DATE(Einstellungen!$C$3,9,0)),Einstellungen!$F$13:$F$32)))</f>
        <v/>
      </c>
      <c r="T397" s="49">
        <f>IF(OR(A397="",D397=""),0,MAX(0,NETWORKDAYS(MAX(D397,DATE(Einstellungen!$C$3,9,1)),MIN(J397,DATE(Einstellungen!$C$3,10,0)),Einstellungen!$F$13:$F$32)))</f>
        <v/>
      </c>
      <c r="U397" s="49">
        <f>IF(OR(A397="",D397=""),0,MAX(0,NETWORKDAYS(MAX(D397,DATE(Einstellungen!$C$3,10,1)),MIN(J397,DATE(Einstellungen!$C$3,11,0)),Einstellungen!$F$13:$F$32)))</f>
        <v/>
      </c>
      <c r="V397" s="49">
        <f>IF(OR(A397="",D397=""),0,MAX(0,NETWORKDAYS(MAX(D397,DATE(Einstellungen!$C$3,11,1)),MIN(J397,DATE(Einstellungen!$C$3,12,0)),Einstellungen!$F$13:$F$32)))</f>
        <v/>
      </c>
      <c r="W397" s="49">
        <f>IF(OR(A397="",D397=""),0,MAX(0,NETWORKDAYS(MAX(D397,DATE(Einstellungen!$C$3,12,1)),MIN(J397,DATE(Einstellungen!$C$3,13,0)),Einstellungen!$F$13:$F$32)))</f>
        <v/>
      </c>
      <c r="X397" s="50">
        <f>L397*K397</f>
        <v/>
      </c>
      <c r="Y397" s="50">
        <f>M397*K397</f>
        <v/>
      </c>
      <c r="Z397" s="50">
        <f>N397*K397</f>
        <v/>
      </c>
      <c r="AA397" s="50">
        <f>O397*K397</f>
        <v/>
      </c>
      <c r="AB397" s="50">
        <f>P397*K397</f>
        <v/>
      </c>
      <c r="AC397" s="50">
        <f>Q397*K397</f>
        <v/>
      </c>
      <c r="AD397" s="50">
        <f>R397*K397</f>
        <v/>
      </c>
      <c r="AE397" s="50">
        <f>S397*K397</f>
        <v/>
      </c>
      <c r="AF397" s="50">
        <f>T397*K397</f>
        <v/>
      </c>
      <c r="AG397" s="50">
        <f>U397*K397</f>
        <v/>
      </c>
      <c r="AH397" s="50">
        <f>V397*K397</f>
        <v/>
      </c>
      <c r="AI397" s="50">
        <f>W397*K397</f>
        <v/>
      </c>
    </row>
    <row r="398">
      <c r="A398" s="25" t="n"/>
      <c r="B398" s="45">
        <f>IF(A398="","",IFERROR(INDEX(Mitarbeiter!$B$6:$B$205,MATCH($A398,Mitarbeiter!$A$6:$A$205,0)),"?"))</f>
        <v/>
      </c>
      <c r="C398" s="46" t="n"/>
      <c r="D398" s="26" t="n"/>
      <c r="E398" s="26" t="n"/>
      <c r="F398" s="24">
        <f>IF(A398="","",SUM(L398:W398))</f>
        <v/>
      </c>
      <c r="G398" s="36">
        <f>IF(A398="","",SUM(X398:AI398))</f>
        <v/>
      </c>
      <c r="H398" s="8">
        <f>IF(A398="","",IF(ISNA(MATCH(A398,Mitarbeiter!$A$6:$A$205,0)),"Pers.-Nr. unbekannt",IF(D398="","Von fehlt",IF(AND(C398&lt;&gt;Einstellungen!$C$4,C398&lt;&gt;Einstellungen!$C$5),"Objekt fehlt",IF(J398&lt;D398,"Bis vor Von",IF(D398&lt;INDEX(Mitarbeiter!$C$6:$C$205,MATCH($A398,Mitarbeiter!$A$6:$A$205,0)),"vor Eintritt",IF(AND(INDEX(Mitarbeiter!$D$6:$D$205,MATCH($A398,Mitarbeiter!$A$6:$A$205,0))&lt;&gt;"",D398&gt;INDEX(Mitarbeiter!$D$6:$D$205,MATCH($A398,Mitarbeiter!$A$6:$A$205,0))),"nach Austritt",IF(E398="","offen","ok"))))))))</f>
        <v/>
      </c>
      <c r="J398" s="47">
        <f>IF(A398="","",IF(E398="",Einstellungen!$C$9,E398))</f>
        <v/>
      </c>
      <c r="K398" s="48">
        <f>IF(A398="",0,IFERROR(INDEX(Mitarbeiter!$F$6:$F$205,MATCH($A398,Mitarbeiter!$A$6:$A$205,0)),0))</f>
        <v/>
      </c>
      <c r="L398" s="49">
        <f>IF(OR(A398="",D398=""),0,MAX(0,NETWORKDAYS(MAX(D398,DATE(Einstellungen!$C$3,1,1)),MIN(J398,DATE(Einstellungen!$C$3,2,0)),Einstellungen!$F$13:$F$32)))</f>
        <v/>
      </c>
      <c r="M398" s="49">
        <f>IF(OR(A398="",D398=""),0,MAX(0,NETWORKDAYS(MAX(D398,DATE(Einstellungen!$C$3,2,1)),MIN(J398,DATE(Einstellungen!$C$3,3,0)),Einstellungen!$F$13:$F$32)))</f>
        <v/>
      </c>
      <c r="N398" s="49">
        <f>IF(OR(A398="",D398=""),0,MAX(0,NETWORKDAYS(MAX(D398,DATE(Einstellungen!$C$3,3,1)),MIN(J398,DATE(Einstellungen!$C$3,4,0)),Einstellungen!$F$13:$F$32)))</f>
        <v/>
      </c>
      <c r="O398" s="49">
        <f>IF(OR(A398="",D398=""),0,MAX(0,NETWORKDAYS(MAX(D398,DATE(Einstellungen!$C$3,4,1)),MIN(J398,DATE(Einstellungen!$C$3,5,0)),Einstellungen!$F$13:$F$32)))</f>
        <v/>
      </c>
      <c r="P398" s="49">
        <f>IF(OR(A398="",D398=""),0,MAX(0,NETWORKDAYS(MAX(D398,DATE(Einstellungen!$C$3,5,1)),MIN(J398,DATE(Einstellungen!$C$3,6,0)),Einstellungen!$F$13:$F$32)))</f>
        <v/>
      </c>
      <c r="Q398" s="49">
        <f>IF(OR(A398="",D398=""),0,MAX(0,NETWORKDAYS(MAX(D398,DATE(Einstellungen!$C$3,6,1)),MIN(J398,DATE(Einstellungen!$C$3,7,0)),Einstellungen!$F$13:$F$32)))</f>
        <v/>
      </c>
      <c r="R398" s="49">
        <f>IF(OR(A398="",D398=""),0,MAX(0,NETWORKDAYS(MAX(D398,DATE(Einstellungen!$C$3,7,1)),MIN(J398,DATE(Einstellungen!$C$3,8,0)),Einstellungen!$F$13:$F$32)))</f>
        <v/>
      </c>
      <c r="S398" s="49">
        <f>IF(OR(A398="",D398=""),0,MAX(0,NETWORKDAYS(MAX(D398,DATE(Einstellungen!$C$3,8,1)),MIN(J398,DATE(Einstellungen!$C$3,9,0)),Einstellungen!$F$13:$F$32)))</f>
        <v/>
      </c>
      <c r="T398" s="49">
        <f>IF(OR(A398="",D398=""),0,MAX(0,NETWORKDAYS(MAX(D398,DATE(Einstellungen!$C$3,9,1)),MIN(J398,DATE(Einstellungen!$C$3,10,0)),Einstellungen!$F$13:$F$32)))</f>
        <v/>
      </c>
      <c r="U398" s="49">
        <f>IF(OR(A398="",D398=""),0,MAX(0,NETWORKDAYS(MAX(D398,DATE(Einstellungen!$C$3,10,1)),MIN(J398,DATE(Einstellungen!$C$3,11,0)),Einstellungen!$F$13:$F$32)))</f>
        <v/>
      </c>
      <c r="V398" s="49">
        <f>IF(OR(A398="",D398=""),0,MAX(0,NETWORKDAYS(MAX(D398,DATE(Einstellungen!$C$3,11,1)),MIN(J398,DATE(Einstellungen!$C$3,12,0)),Einstellungen!$F$13:$F$32)))</f>
        <v/>
      </c>
      <c r="W398" s="49">
        <f>IF(OR(A398="",D398=""),0,MAX(0,NETWORKDAYS(MAX(D398,DATE(Einstellungen!$C$3,12,1)),MIN(J398,DATE(Einstellungen!$C$3,13,0)),Einstellungen!$F$13:$F$32)))</f>
        <v/>
      </c>
      <c r="X398" s="50">
        <f>L398*K398</f>
        <v/>
      </c>
      <c r="Y398" s="50">
        <f>M398*K398</f>
        <v/>
      </c>
      <c r="Z398" s="50">
        <f>N398*K398</f>
        <v/>
      </c>
      <c r="AA398" s="50">
        <f>O398*K398</f>
        <v/>
      </c>
      <c r="AB398" s="50">
        <f>P398*K398</f>
        <v/>
      </c>
      <c r="AC398" s="50">
        <f>Q398*K398</f>
        <v/>
      </c>
      <c r="AD398" s="50">
        <f>R398*K398</f>
        <v/>
      </c>
      <c r="AE398" s="50">
        <f>S398*K398</f>
        <v/>
      </c>
      <c r="AF398" s="50">
        <f>T398*K398</f>
        <v/>
      </c>
      <c r="AG398" s="50">
        <f>U398*K398</f>
        <v/>
      </c>
      <c r="AH398" s="50">
        <f>V398*K398</f>
        <v/>
      </c>
      <c r="AI398" s="50">
        <f>W398*K398</f>
        <v/>
      </c>
    </row>
    <row r="399">
      <c r="A399" s="25" t="n"/>
      <c r="B399" s="45">
        <f>IF(A399="","",IFERROR(INDEX(Mitarbeiter!$B$6:$B$205,MATCH($A399,Mitarbeiter!$A$6:$A$205,0)),"?"))</f>
        <v/>
      </c>
      <c r="C399" s="46" t="n"/>
      <c r="D399" s="26" t="n"/>
      <c r="E399" s="26" t="n"/>
      <c r="F399" s="24">
        <f>IF(A399="","",SUM(L399:W399))</f>
        <v/>
      </c>
      <c r="G399" s="36">
        <f>IF(A399="","",SUM(X399:AI399))</f>
        <v/>
      </c>
      <c r="H399" s="8">
        <f>IF(A399="","",IF(ISNA(MATCH(A399,Mitarbeiter!$A$6:$A$205,0)),"Pers.-Nr. unbekannt",IF(D399="","Von fehlt",IF(AND(C399&lt;&gt;Einstellungen!$C$4,C399&lt;&gt;Einstellungen!$C$5),"Objekt fehlt",IF(J399&lt;D399,"Bis vor Von",IF(D399&lt;INDEX(Mitarbeiter!$C$6:$C$205,MATCH($A399,Mitarbeiter!$A$6:$A$205,0)),"vor Eintritt",IF(AND(INDEX(Mitarbeiter!$D$6:$D$205,MATCH($A399,Mitarbeiter!$A$6:$A$205,0))&lt;&gt;"",D399&gt;INDEX(Mitarbeiter!$D$6:$D$205,MATCH($A399,Mitarbeiter!$A$6:$A$205,0))),"nach Austritt",IF(E399="","offen","ok"))))))))</f>
        <v/>
      </c>
      <c r="J399" s="47">
        <f>IF(A399="","",IF(E399="",Einstellungen!$C$9,E399))</f>
        <v/>
      </c>
      <c r="K399" s="48">
        <f>IF(A399="",0,IFERROR(INDEX(Mitarbeiter!$F$6:$F$205,MATCH($A399,Mitarbeiter!$A$6:$A$205,0)),0))</f>
        <v/>
      </c>
      <c r="L399" s="49">
        <f>IF(OR(A399="",D399=""),0,MAX(0,NETWORKDAYS(MAX(D399,DATE(Einstellungen!$C$3,1,1)),MIN(J399,DATE(Einstellungen!$C$3,2,0)),Einstellungen!$F$13:$F$32)))</f>
        <v/>
      </c>
      <c r="M399" s="49">
        <f>IF(OR(A399="",D399=""),0,MAX(0,NETWORKDAYS(MAX(D399,DATE(Einstellungen!$C$3,2,1)),MIN(J399,DATE(Einstellungen!$C$3,3,0)),Einstellungen!$F$13:$F$32)))</f>
        <v/>
      </c>
      <c r="N399" s="49">
        <f>IF(OR(A399="",D399=""),0,MAX(0,NETWORKDAYS(MAX(D399,DATE(Einstellungen!$C$3,3,1)),MIN(J399,DATE(Einstellungen!$C$3,4,0)),Einstellungen!$F$13:$F$32)))</f>
        <v/>
      </c>
      <c r="O399" s="49">
        <f>IF(OR(A399="",D399=""),0,MAX(0,NETWORKDAYS(MAX(D399,DATE(Einstellungen!$C$3,4,1)),MIN(J399,DATE(Einstellungen!$C$3,5,0)),Einstellungen!$F$13:$F$32)))</f>
        <v/>
      </c>
      <c r="P399" s="49">
        <f>IF(OR(A399="",D399=""),0,MAX(0,NETWORKDAYS(MAX(D399,DATE(Einstellungen!$C$3,5,1)),MIN(J399,DATE(Einstellungen!$C$3,6,0)),Einstellungen!$F$13:$F$32)))</f>
        <v/>
      </c>
      <c r="Q399" s="49">
        <f>IF(OR(A399="",D399=""),0,MAX(0,NETWORKDAYS(MAX(D399,DATE(Einstellungen!$C$3,6,1)),MIN(J399,DATE(Einstellungen!$C$3,7,0)),Einstellungen!$F$13:$F$32)))</f>
        <v/>
      </c>
      <c r="R399" s="49">
        <f>IF(OR(A399="",D399=""),0,MAX(0,NETWORKDAYS(MAX(D399,DATE(Einstellungen!$C$3,7,1)),MIN(J399,DATE(Einstellungen!$C$3,8,0)),Einstellungen!$F$13:$F$32)))</f>
        <v/>
      </c>
      <c r="S399" s="49">
        <f>IF(OR(A399="",D399=""),0,MAX(0,NETWORKDAYS(MAX(D399,DATE(Einstellungen!$C$3,8,1)),MIN(J399,DATE(Einstellungen!$C$3,9,0)),Einstellungen!$F$13:$F$32)))</f>
        <v/>
      </c>
      <c r="T399" s="49">
        <f>IF(OR(A399="",D399=""),0,MAX(0,NETWORKDAYS(MAX(D399,DATE(Einstellungen!$C$3,9,1)),MIN(J399,DATE(Einstellungen!$C$3,10,0)),Einstellungen!$F$13:$F$32)))</f>
        <v/>
      </c>
      <c r="U399" s="49">
        <f>IF(OR(A399="",D399=""),0,MAX(0,NETWORKDAYS(MAX(D399,DATE(Einstellungen!$C$3,10,1)),MIN(J399,DATE(Einstellungen!$C$3,11,0)),Einstellungen!$F$13:$F$32)))</f>
        <v/>
      </c>
      <c r="V399" s="49">
        <f>IF(OR(A399="",D399=""),0,MAX(0,NETWORKDAYS(MAX(D399,DATE(Einstellungen!$C$3,11,1)),MIN(J399,DATE(Einstellungen!$C$3,12,0)),Einstellungen!$F$13:$F$32)))</f>
        <v/>
      </c>
      <c r="W399" s="49">
        <f>IF(OR(A399="",D399=""),0,MAX(0,NETWORKDAYS(MAX(D399,DATE(Einstellungen!$C$3,12,1)),MIN(J399,DATE(Einstellungen!$C$3,13,0)),Einstellungen!$F$13:$F$32)))</f>
        <v/>
      </c>
      <c r="X399" s="50">
        <f>L399*K399</f>
        <v/>
      </c>
      <c r="Y399" s="50">
        <f>M399*K399</f>
        <v/>
      </c>
      <c r="Z399" s="50">
        <f>N399*K399</f>
        <v/>
      </c>
      <c r="AA399" s="50">
        <f>O399*K399</f>
        <v/>
      </c>
      <c r="AB399" s="50">
        <f>P399*K399</f>
        <v/>
      </c>
      <c r="AC399" s="50">
        <f>Q399*K399</f>
        <v/>
      </c>
      <c r="AD399" s="50">
        <f>R399*K399</f>
        <v/>
      </c>
      <c r="AE399" s="50">
        <f>S399*K399</f>
        <v/>
      </c>
      <c r="AF399" s="50">
        <f>T399*K399</f>
        <v/>
      </c>
      <c r="AG399" s="50">
        <f>U399*K399</f>
        <v/>
      </c>
      <c r="AH399" s="50">
        <f>V399*K399</f>
        <v/>
      </c>
      <c r="AI399" s="50">
        <f>W399*K399</f>
        <v/>
      </c>
    </row>
    <row r="400">
      <c r="A400" s="25" t="n"/>
      <c r="B400" s="45">
        <f>IF(A400="","",IFERROR(INDEX(Mitarbeiter!$B$6:$B$205,MATCH($A400,Mitarbeiter!$A$6:$A$205,0)),"?"))</f>
        <v/>
      </c>
      <c r="C400" s="46" t="n"/>
      <c r="D400" s="26" t="n"/>
      <c r="E400" s="26" t="n"/>
      <c r="F400" s="24">
        <f>IF(A400="","",SUM(L400:W400))</f>
        <v/>
      </c>
      <c r="G400" s="36">
        <f>IF(A400="","",SUM(X400:AI400))</f>
        <v/>
      </c>
      <c r="H400" s="8">
        <f>IF(A400="","",IF(ISNA(MATCH(A400,Mitarbeiter!$A$6:$A$205,0)),"Pers.-Nr. unbekannt",IF(D400="","Von fehlt",IF(AND(C400&lt;&gt;Einstellungen!$C$4,C400&lt;&gt;Einstellungen!$C$5),"Objekt fehlt",IF(J400&lt;D400,"Bis vor Von",IF(D400&lt;INDEX(Mitarbeiter!$C$6:$C$205,MATCH($A400,Mitarbeiter!$A$6:$A$205,0)),"vor Eintritt",IF(AND(INDEX(Mitarbeiter!$D$6:$D$205,MATCH($A400,Mitarbeiter!$A$6:$A$205,0))&lt;&gt;"",D400&gt;INDEX(Mitarbeiter!$D$6:$D$205,MATCH($A400,Mitarbeiter!$A$6:$A$205,0))),"nach Austritt",IF(E400="","offen","ok"))))))))</f>
        <v/>
      </c>
      <c r="J400" s="47">
        <f>IF(A400="","",IF(E400="",Einstellungen!$C$9,E400))</f>
        <v/>
      </c>
      <c r="K400" s="48">
        <f>IF(A400="",0,IFERROR(INDEX(Mitarbeiter!$F$6:$F$205,MATCH($A400,Mitarbeiter!$A$6:$A$205,0)),0))</f>
        <v/>
      </c>
      <c r="L400" s="49">
        <f>IF(OR(A400="",D400=""),0,MAX(0,NETWORKDAYS(MAX(D400,DATE(Einstellungen!$C$3,1,1)),MIN(J400,DATE(Einstellungen!$C$3,2,0)),Einstellungen!$F$13:$F$32)))</f>
        <v/>
      </c>
      <c r="M400" s="49">
        <f>IF(OR(A400="",D400=""),0,MAX(0,NETWORKDAYS(MAX(D400,DATE(Einstellungen!$C$3,2,1)),MIN(J400,DATE(Einstellungen!$C$3,3,0)),Einstellungen!$F$13:$F$32)))</f>
        <v/>
      </c>
      <c r="N400" s="49">
        <f>IF(OR(A400="",D400=""),0,MAX(0,NETWORKDAYS(MAX(D400,DATE(Einstellungen!$C$3,3,1)),MIN(J400,DATE(Einstellungen!$C$3,4,0)),Einstellungen!$F$13:$F$32)))</f>
        <v/>
      </c>
      <c r="O400" s="49">
        <f>IF(OR(A400="",D400=""),0,MAX(0,NETWORKDAYS(MAX(D400,DATE(Einstellungen!$C$3,4,1)),MIN(J400,DATE(Einstellungen!$C$3,5,0)),Einstellungen!$F$13:$F$32)))</f>
        <v/>
      </c>
      <c r="P400" s="49">
        <f>IF(OR(A400="",D400=""),0,MAX(0,NETWORKDAYS(MAX(D400,DATE(Einstellungen!$C$3,5,1)),MIN(J400,DATE(Einstellungen!$C$3,6,0)),Einstellungen!$F$13:$F$32)))</f>
        <v/>
      </c>
      <c r="Q400" s="49">
        <f>IF(OR(A400="",D400=""),0,MAX(0,NETWORKDAYS(MAX(D400,DATE(Einstellungen!$C$3,6,1)),MIN(J400,DATE(Einstellungen!$C$3,7,0)),Einstellungen!$F$13:$F$32)))</f>
        <v/>
      </c>
      <c r="R400" s="49">
        <f>IF(OR(A400="",D400=""),0,MAX(0,NETWORKDAYS(MAX(D400,DATE(Einstellungen!$C$3,7,1)),MIN(J400,DATE(Einstellungen!$C$3,8,0)),Einstellungen!$F$13:$F$32)))</f>
        <v/>
      </c>
      <c r="S400" s="49">
        <f>IF(OR(A400="",D400=""),0,MAX(0,NETWORKDAYS(MAX(D400,DATE(Einstellungen!$C$3,8,1)),MIN(J400,DATE(Einstellungen!$C$3,9,0)),Einstellungen!$F$13:$F$32)))</f>
        <v/>
      </c>
      <c r="T400" s="49">
        <f>IF(OR(A400="",D400=""),0,MAX(0,NETWORKDAYS(MAX(D400,DATE(Einstellungen!$C$3,9,1)),MIN(J400,DATE(Einstellungen!$C$3,10,0)),Einstellungen!$F$13:$F$32)))</f>
        <v/>
      </c>
      <c r="U400" s="49">
        <f>IF(OR(A400="",D400=""),0,MAX(0,NETWORKDAYS(MAX(D400,DATE(Einstellungen!$C$3,10,1)),MIN(J400,DATE(Einstellungen!$C$3,11,0)),Einstellungen!$F$13:$F$32)))</f>
        <v/>
      </c>
      <c r="V400" s="49">
        <f>IF(OR(A400="",D400=""),0,MAX(0,NETWORKDAYS(MAX(D400,DATE(Einstellungen!$C$3,11,1)),MIN(J400,DATE(Einstellungen!$C$3,12,0)),Einstellungen!$F$13:$F$32)))</f>
        <v/>
      </c>
      <c r="W400" s="49">
        <f>IF(OR(A400="",D400=""),0,MAX(0,NETWORKDAYS(MAX(D400,DATE(Einstellungen!$C$3,12,1)),MIN(J400,DATE(Einstellungen!$C$3,13,0)),Einstellungen!$F$13:$F$32)))</f>
        <v/>
      </c>
      <c r="X400" s="50">
        <f>L400*K400</f>
        <v/>
      </c>
      <c r="Y400" s="50">
        <f>M400*K400</f>
        <v/>
      </c>
      <c r="Z400" s="50">
        <f>N400*K400</f>
        <v/>
      </c>
      <c r="AA400" s="50">
        <f>O400*K400</f>
        <v/>
      </c>
      <c r="AB400" s="50">
        <f>P400*K400</f>
        <v/>
      </c>
      <c r="AC400" s="50">
        <f>Q400*K400</f>
        <v/>
      </c>
      <c r="AD400" s="50">
        <f>R400*K400</f>
        <v/>
      </c>
      <c r="AE400" s="50">
        <f>S400*K400</f>
        <v/>
      </c>
      <c r="AF400" s="50">
        <f>T400*K400</f>
        <v/>
      </c>
      <c r="AG400" s="50">
        <f>U400*K400</f>
        <v/>
      </c>
      <c r="AH400" s="50">
        <f>V400*K400</f>
        <v/>
      </c>
      <c r="AI400" s="50">
        <f>W400*K400</f>
        <v/>
      </c>
    </row>
    <row r="401">
      <c r="A401" s="25" t="n"/>
      <c r="B401" s="45">
        <f>IF(A401="","",IFERROR(INDEX(Mitarbeiter!$B$6:$B$205,MATCH($A401,Mitarbeiter!$A$6:$A$205,0)),"?"))</f>
        <v/>
      </c>
      <c r="C401" s="46" t="n"/>
      <c r="D401" s="26" t="n"/>
      <c r="E401" s="26" t="n"/>
      <c r="F401" s="24">
        <f>IF(A401="","",SUM(L401:W401))</f>
        <v/>
      </c>
      <c r="G401" s="36">
        <f>IF(A401="","",SUM(X401:AI401))</f>
        <v/>
      </c>
      <c r="H401" s="8">
        <f>IF(A401="","",IF(ISNA(MATCH(A401,Mitarbeiter!$A$6:$A$205,0)),"Pers.-Nr. unbekannt",IF(D401="","Von fehlt",IF(AND(C401&lt;&gt;Einstellungen!$C$4,C401&lt;&gt;Einstellungen!$C$5),"Objekt fehlt",IF(J401&lt;D401,"Bis vor Von",IF(D401&lt;INDEX(Mitarbeiter!$C$6:$C$205,MATCH($A401,Mitarbeiter!$A$6:$A$205,0)),"vor Eintritt",IF(AND(INDEX(Mitarbeiter!$D$6:$D$205,MATCH($A401,Mitarbeiter!$A$6:$A$205,0))&lt;&gt;"",D401&gt;INDEX(Mitarbeiter!$D$6:$D$205,MATCH($A401,Mitarbeiter!$A$6:$A$205,0))),"nach Austritt",IF(E401="","offen","ok"))))))))</f>
        <v/>
      </c>
      <c r="J401" s="47">
        <f>IF(A401="","",IF(E401="",Einstellungen!$C$9,E401))</f>
        <v/>
      </c>
      <c r="K401" s="48">
        <f>IF(A401="",0,IFERROR(INDEX(Mitarbeiter!$F$6:$F$205,MATCH($A401,Mitarbeiter!$A$6:$A$205,0)),0))</f>
        <v/>
      </c>
      <c r="L401" s="49">
        <f>IF(OR(A401="",D401=""),0,MAX(0,NETWORKDAYS(MAX(D401,DATE(Einstellungen!$C$3,1,1)),MIN(J401,DATE(Einstellungen!$C$3,2,0)),Einstellungen!$F$13:$F$32)))</f>
        <v/>
      </c>
      <c r="M401" s="49">
        <f>IF(OR(A401="",D401=""),0,MAX(0,NETWORKDAYS(MAX(D401,DATE(Einstellungen!$C$3,2,1)),MIN(J401,DATE(Einstellungen!$C$3,3,0)),Einstellungen!$F$13:$F$32)))</f>
        <v/>
      </c>
      <c r="N401" s="49">
        <f>IF(OR(A401="",D401=""),0,MAX(0,NETWORKDAYS(MAX(D401,DATE(Einstellungen!$C$3,3,1)),MIN(J401,DATE(Einstellungen!$C$3,4,0)),Einstellungen!$F$13:$F$32)))</f>
        <v/>
      </c>
      <c r="O401" s="49">
        <f>IF(OR(A401="",D401=""),0,MAX(0,NETWORKDAYS(MAX(D401,DATE(Einstellungen!$C$3,4,1)),MIN(J401,DATE(Einstellungen!$C$3,5,0)),Einstellungen!$F$13:$F$32)))</f>
        <v/>
      </c>
      <c r="P401" s="49">
        <f>IF(OR(A401="",D401=""),0,MAX(0,NETWORKDAYS(MAX(D401,DATE(Einstellungen!$C$3,5,1)),MIN(J401,DATE(Einstellungen!$C$3,6,0)),Einstellungen!$F$13:$F$32)))</f>
        <v/>
      </c>
      <c r="Q401" s="49">
        <f>IF(OR(A401="",D401=""),0,MAX(0,NETWORKDAYS(MAX(D401,DATE(Einstellungen!$C$3,6,1)),MIN(J401,DATE(Einstellungen!$C$3,7,0)),Einstellungen!$F$13:$F$32)))</f>
        <v/>
      </c>
      <c r="R401" s="49">
        <f>IF(OR(A401="",D401=""),0,MAX(0,NETWORKDAYS(MAX(D401,DATE(Einstellungen!$C$3,7,1)),MIN(J401,DATE(Einstellungen!$C$3,8,0)),Einstellungen!$F$13:$F$32)))</f>
        <v/>
      </c>
      <c r="S401" s="49">
        <f>IF(OR(A401="",D401=""),0,MAX(0,NETWORKDAYS(MAX(D401,DATE(Einstellungen!$C$3,8,1)),MIN(J401,DATE(Einstellungen!$C$3,9,0)),Einstellungen!$F$13:$F$32)))</f>
        <v/>
      </c>
      <c r="T401" s="49">
        <f>IF(OR(A401="",D401=""),0,MAX(0,NETWORKDAYS(MAX(D401,DATE(Einstellungen!$C$3,9,1)),MIN(J401,DATE(Einstellungen!$C$3,10,0)),Einstellungen!$F$13:$F$32)))</f>
        <v/>
      </c>
      <c r="U401" s="49">
        <f>IF(OR(A401="",D401=""),0,MAX(0,NETWORKDAYS(MAX(D401,DATE(Einstellungen!$C$3,10,1)),MIN(J401,DATE(Einstellungen!$C$3,11,0)),Einstellungen!$F$13:$F$32)))</f>
        <v/>
      </c>
      <c r="V401" s="49">
        <f>IF(OR(A401="",D401=""),0,MAX(0,NETWORKDAYS(MAX(D401,DATE(Einstellungen!$C$3,11,1)),MIN(J401,DATE(Einstellungen!$C$3,12,0)),Einstellungen!$F$13:$F$32)))</f>
        <v/>
      </c>
      <c r="W401" s="49">
        <f>IF(OR(A401="",D401=""),0,MAX(0,NETWORKDAYS(MAX(D401,DATE(Einstellungen!$C$3,12,1)),MIN(J401,DATE(Einstellungen!$C$3,13,0)),Einstellungen!$F$13:$F$32)))</f>
        <v/>
      </c>
      <c r="X401" s="50">
        <f>L401*K401</f>
        <v/>
      </c>
      <c r="Y401" s="50">
        <f>M401*K401</f>
        <v/>
      </c>
      <c r="Z401" s="50">
        <f>N401*K401</f>
        <v/>
      </c>
      <c r="AA401" s="50">
        <f>O401*K401</f>
        <v/>
      </c>
      <c r="AB401" s="50">
        <f>P401*K401</f>
        <v/>
      </c>
      <c r="AC401" s="50">
        <f>Q401*K401</f>
        <v/>
      </c>
      <c r="AD401" s="50">
        <f>R401*K401</f>
        <v/>
      </c>
      <c r="AE401" s="50">
        <f>S401*K401</f>
        <v/>
      </c>
      <c r="AF401" s="50">
        <f>T401*K401</f>
        <v/>
      </c>
      <c r="AG401" s="50">
        <f>U401*K401</f>
        <v/>
      </c>
      <c r="AH401" s="50">
        <f>V401*K401</f>
        <v/>
      </c>
      <c r="AI401" s="50">
        <f>W401*K401</f>
        <v/>
      </c>
    </row>
    <row r="402">
      <c r="A402" s="25" t="n"/>
      <c r="B402" s="45">
        <f>IF(A402="","",IFERROR(INDEX(Mitarbeiter!$B$6:$B$205,MATCH($A402,Mitarbeiter!$A$6:$A$205,0)),"?"))</f>
        <v/>
      </c>
      <c r="C402" s="46" t="n"/>
      <c r="D402" s="26" t="n"/>
      <c r="E402" s="26" t="n"/>
      <c r="F402" s="24">
        <f>IF(A402="","",SUM(L402:W402))</f>
        <v/>
      </c>
      <c r="G402" s="36">
        <f>IF(A402="","",SUM(X402:AI402))</f>
        <v/>
      </c>
      <c r="H402" s="8">
        <f>IF(A402="","",IF(ISNA(MATCH(A402,Mitarbeiter!$A$6:$A$205,0)),"Pers.-Nr. unbekannt",IF(D402="","Von fehlt",IF(AND(C402&lt;&gt;Einstellungen!$C$4,C402&lt;&gt;Einstellungen!$C$5),"Objekt fehlt",IF(J402&lt;D402,"Bis vor Von",IF(D402&lt;INDEX(Mitarbeiter!$C$6:$C$205,MATCH($A402,Mitarbeiter!$A$6:$A$205,0)),"vor Eintritt",IF(AND(INDEX(Mitarbeiter!$D$6:$D$205,MATCH($A402,Mitarbeiter!$A$6:$A$205,0))&lt;&gt;"",D402&gt;INDEX(Mitarbeiter!$D$6:$D$205,MATCH($A402,Mitarbeiter!$A$6:$A$205,0))),"nach Austritt",IF(E402="","offen","ok"))))))))</f>
        <v/>
      </c>
      <c r="J402" s="47">
        <f>IF(A402="","",IF(E402="",Einstellungen!$C$9,E402))</f>
        <v/>
      </c>
      <c r="K402" s="48">
        <f>IF(A402="",0,IFERROR(INDEX(Mitarbeiter!$F$6:$F$205,MATCH($A402,Mitarbeiter!$A$6:$A$205,0)),0))</f>
        <v/>
      </c>
      <c r="L402" s="49">
        <f>IF(OR(A402="",D402=""),0,MAX(0,NETWORKDAYS(MAX(D402,DATE(Einstellungen!$C$3,1,1)),MIN(J402,DATE(Einstellungen!$C$3,2,0)),Einstellungen!$F$13:$F$32)))</f>
        <v/>
      </c>
      <c r="M402" s="49">
        <f>IF(OR(A402="",D402=""),0,MAX(0,NETWORKDAYS(MAX(D402,DATE(Einstellungen!$C$3,2,1)),MIN(J402,DATE(Einstellungen!$C$3,3,0)),Einstellungen!$F$13:$F$32)))</f>
        <v/>
      </c>
      <c r="N402" s="49">
        <f>IF(OR(A402="",D402=""),0,MAX(0,NETWORKDAYS(MAX(D402,DATE(Einstellungen!$C$3,3,1)),MIN(J402,DATE(Einstellungen!$C$3,4,0)),Einstellungen!$F$13:$F$32)))</f>
        <v/>
      </c>
      <c r="O402" s="49">
        <f>IF(OR(A402="",D402=""),0,MAX(0,NETWORKDAYS(MAX(D402,DATE(Einstellungen!$C$3,4,1)),MIN(J402,DATE(Einstellungen!$C$3,5,0)),Einstellungen!$F$13:$F$32)))</f>
        <v/>
      </c>
      <c r="P402" s="49">
        <f>IF(OR(A402="",D402=""),0,MAX(0,NETWORKDAYS(MAX(D402,DATE(Einstellungen!$C$3,5,1)),MIN(J402,DATE(Einstellungen!$C$3,6,0)),Einstellungen!$F$13:$F$32)))</f>
        <v/>
      </c>
      <c r="Q402" s="49">
        <f>IF(OR(A402="",D402=""),0,MAX(0,NETWORKDAYS(MAX(D402,DATE(Einstellungen!$C$3,6,1)),MIN(J402,DATE(Einstellungen!$C$3,7,0)),Einstellungen!$F$13:$F$32)))</f>
        <v/>
      </c>
      <c r="R402" s="49">
        <f>IF(OR(A402="",D402=""),0,MAX(0,NETWORKDAYS(MAX(D402,DATE(Einstellungen!$C$3,7,1)),MIN(J402,DATE(Einstellungen!$C$3,8,0)),Einstellungen!$F$13:$F$32)))</f>
        <v/>
      </c>
      <c r="S402" s="49">
        <f>IF(OR(A402="",D402=""),0,MAX(0,NETWORKDAYS(MAX(D402,DATE(Einstellungen!$C$3,8,1)),MIN(J402,DATE(Einstellungen!$C$3,9,0)),Einstellungen!$F$13:$F$32)))</f>
        <v/>
      </c>
      <c r="T402" s="49">
        <f>IF(OR(A402="",D402=""),0,MAX(0,NETWORKDAYS(MAX(D402,DATE(Einstellungen!$C$3,9,1)),MIN(J402,DATE(Einstellungen!$C$3,10,0)),Einstellungen!$F$13:$F$32)))</f>
        <v/>
      </c>
      <c r="U402" s="49">
        <f>IF(OR(A402="",D402=""),0,MAX(0,NETWORKDAYS(MAX(D402,DATE(Einstellungen!$C$3,10,1)),MIN(J402,DATE(Einstellungen!$C$3,11,0)),Einstellungen!$F$13:$F$32)))</f>
        <v/>
      </c>
      <c r="V402" s="49">
        <f>IF(OR(A402="",D402=""),0,MAX(0,NETWORKDAYS(MAX(D402,DATE(Einstellungen!$C$3,11,1)),MIN(J402,DATE(Einstellungen!$C$3,12,0)),Einstellungen!$F$13:$F$32)))</f>
        <v/>
      </c>
      <c r="W402" s="49">
        <f>IF(OR(A402="",D402=""),0,MAX(0,NETWORKDAYS(MAX(D402,DATE(Einstellungen!$C$3,12,1)),MIN(J402,DATE(Einstellungen!$C$3,13,0)),Einstellungen!$F$13:$F$32)))</f>
        <v/>
      </c>
      <c r="X402" s="50">
        <f>L402*K402</f>
        <v/>
      </c>
      <c r="Y402" s="50">
        <f>M402*K402</f>
        <v/>
      </c>
      <c r="Z402" s="50">
        <f>N402*K402</f>
        <v/>
      </c>
      <c r="AA402" s="50">
        <f>O402*K402</f>
        <v/>
      </c>
      <c r="AB402" s="50">
        <f>P402*K402</f>
        <v/>
      </c>
      <c r="AC402" s="50">
        <f>Q402*K402</f>
        <v/>
      </c>
      <c r="AD402" s="50">
        <f>R402*K402</f>
        <v/>
      </c>
      <c r="AE402" s="50">
        <f>S402*K402</f>
        <v/>
      </c>
      <c r="AF402" s="50">
        <f>T402*K402</f>
        <v/>
      </c>
      <c r="AG402" s="50">
        <f>U402*K402</f>
        <v/>
      </c>
      <c r="AH402" s="50">
        <f>V402*K402</f>
        <v/>
      </c>
      <c r="AI402" s="50">
        <f>W402*K402</f>
        <v/>
      </c>
    </row>
    <row r="403">
      <c r="A403" s="25" t="n"/>
      <c r="B403" s="45">
        <f>IF(A403="","",IFERROR(INDEX(Mitarbeiter!$B$6:$B$205,MATCH($A403,Mitarbeiter!$A$6:$A$205,0)),"?"))</f>
        <v/>
      </c>
      <c r="C403" s="46" t="n"/>
      <c r="D403" s="26" t="n"/>
      <c r="E403" s="26" t="n"/>
      <c r="F403" s="24">
        <f>IF(A403="","",SUM(L403:W403))</f>
        <v/>
      </c>
      <c r="G403" s="36">
        <f>IF(A403="","",SUM(X403:AI403))</f>
        <v/>
      </c>
      <c r="H403" s="8">
        <f>IF(A403="","",IF(ISNA(MATCH(A403,Mitarbeiter!$A$6:$A$205,0)),"Pers.-Nr. unbekannt",IF(D403="","Von fehlt",IF(AND(C403&lt;&gt;Einstellungen!$C$4,C403&lt;&gt;Einstellungen!$C$5),"Objekt fehlt",IF(J403&lt;D403,"Bis vor Von",IF(D403&lt;INDEX(Mitarbeiter!$C$6:$C$205,MATCH($A403,Mitarbeiter!$A$6:$A$205,0)),"vor Eintritt",IF(AND(INDEX(Mitarbeiter!$D$6:$D$205,MATCH($A403,Mitarbeiter!$A$6:$A$205,0))&lt;&gt;"",D403&gt;INDEX(Mitarbeiter!$D$6:$D$205,MATCH($A403,Mitarbeiter!$A$6:$A$205,0))),"nach Austritt",IF(E403="","offen","ok"))))))))</f>
        <v/>
      </c>
      <c r="J403" s="47">
        <f>IF(A403="","",IF(E403="",Einstellungen!$C$9,E403))</f>
        <v/>
      </c>
      <c r="K403" s="48">
        <f>IF(A403="",0,IFERROR(INDEX(Mitarbeiter!$F$6:$F$205,MATCH($A403,Mitarbeiter!$A$6:$A$205,0)),0))</f>
        <v/>
      </c>
      <c r="L403" s="49">
        <f>IF(OR(A403="",D403=""),0,MAX(0,NETWORKDAYS(MAX(D403,DATE(Einstellungen!$C$3,1,1)),MIN(J403,DATE(Einstellungen!$C$3,2,0)),Einstellungen!$F$13:$F$32)))</f>
        <v/>
      </c>
      <c r="M403" s="49">
        <f>IF(OR(A403="",D403=""),0,MAX(0,NETWORKDAYS(MAX(D403,DATE(Einstellungen!$C$3,2,1)),MIN(J403,DATE(Einstellungen!$C$3,3,0)),Einstellungen!$F$13:$F$32)))</f>
        <v/>
      </c>
      <c r="N403" s="49">
        <f>IF(OR(A403="",D403=""),0,MAX(0,NETWORKDAYS(MAX(D403,DATE(Einstellungen!$C$3,3,1)),MIN(J403,DATE(Einstellungen!$C$3,4,0)),Einstellungen!$F$13:$F$32)))</f>
        <v/>
      </c>
      <c r="O403" s="49">
        <f>IF(OR(A403="",D403=""),0,MAX(0,NETWORKDAYS(MAX(D403,DATE(Einstellungen!$C$3,4,1)),MIN(J403,DATE(Einstellungen!$C$3,5,0)),Einstellungen!$F$13:$F$32)))</f>
        <v/>
      </c>
      <c r="P403" s="49">
        <f>IF(OR(A403="",D403=""),0,MAX(0,NETWORKDAYS(MAX(D403,DATE(Einstellungen!$C$3,5,1)),MIN(J403,DATE(Einstellungen!$C$3,6,0)),Einstellungen!$F$13:$F$32)))</f>
        <v/>
      </c>
      <c r="Q403" s="49">
        <f>IF(OR(A403="",D403=""),0,MAX(0,NETWORKDAYS(MAX(D403,DATE(Einstellungen!$C$3,6,1)),MIN(J403,DATE(Einstellungen!$C$3,7,0)),Einstellungen!$F$13:$F$32)))</f>
        <v/>
      </c>
      <c r="R403" s="49">
        <f>IF(OR(A403="",D403=""),0,MAX(0,NETWORKDAYS(MAX(D403,DATE(Einstellungen!$C$3,7,1)),MIN(J403,DATE(Einstellungen!$C$3,8,0)),Einstellungen!$F$13:$F$32)))</f>
        <v/>
      </c>
      <c r="S403" s="49">
        <f>IF(OR(A403="",D403=""),0,MAX(0,NETWORKDAYS(MAX(D403,DATE(Einstellungen!$C$3,8,1)),MIN(J403,DATE(Einstellungen!$C$3,9,0)),Einstellungen!$F$13:$F$32)))</f>
        <v/>
      </c>
      <c r="T403" s="49">
        <f>IF(OR(A403="",D403=""),0,MAX(0,NETWORKDAYS(MAX(D403,DATE(Einstellungen!$C$3,9,1)),MIN(J403,DATE(Einstellungen!$C$3,10,0)),Einstellungen!$F$13:$F$32)))</f>
        <v/>
      </c>
      <c r="U403" s="49">
        <f>IF(OR(A403="",D403=""),0,MAX(0,NETWORKDAYS(MAX(D403,DATE(Einstellungen!$C$3,10,1)),MIN(J403,DATE(Einstellungen!$C$3,11,0)),Einstellungen!$F$13:$F$32)))</f>
        <v/>
      </c>
      <c r="V403" s="49">
        <f>IF(OR(A403="",D403=""),0,MAX(0,NETWORKDAYS(MAX(D403,DATE(Einstellungen!$C$3,11,1)),MIN(J403,DATE(Einstellungen!$C$3,12,0)),Einstellungen!$F$13:$F$32)))</f>
        <v/>
      </c>
      <c r="W403" s="49">
        <f>IF(OR(A403="",D403=""),0,MAX(0,NETWORKDAYS(MAX(D403,DATE(Einstellungen!$C$3,12,1)),MIN(J403,DATE(Einstellungen!$C$3,13,0)),Einstellungen!$F$13:$F$32)))</f>
        <v/>
      </c>
      <c r="X403" s="50">
        <f>L403*K403</f>
        <v/>
      </c>
      <c r="Y403" s="50">
        <f>M403*K403</f>
        <v/>
      </c>
      <c r="Z403" s="50">
        <f>N403*K403</f>
        <v/>
      </c>
      <c r="AA403" s="50">
        <f>O403*K403</f>
        <v/>
      </c>
      <c r="AB403" s="50">
        <f>P403*K403</f>
        <v/>
      </c>
      <c r="AC403" s="50">
        <f>Q403*K403</f>
        <v/>
      </c>
      <c r="AD403" s="50">
        <f>R403*K403</f>
        <v/>
      </c>
      <c r="AE403" s="50">
        <f>S403*K403</f>
        <v/>
      </c>
      <c r="AF403" s="50">
        <f>T403*K403</f>
        <v/>
      </c>
      <c r="AG403" s="50">
        <f>U403*K403</f>
        <v/>
      </c>
      <c r="AH403" s="50">
        <f>V403*K403</f>
        <v/>
      </c>
      <c r="AI403" s="50">
        <f>W403*K403</f>
        <v/>
      </c>
    </row>
    <row r="404">
      <c r="A404" s="25" t="n"/>
      <c r="B404" s="45">
        <f>IF(A404="","",IFERROR(INDEX(Mitarbeiter!$B$6:$B$205,MATCH($A404,Mitarbeiter!$A$6:$A$205,0)),"?"))</f>
        <v/>
      </c>
      <c r="C404" s="46" t="n"/>
      <c r="D404" s="26" t="n"/>
      <c r="E404" s="26" t="n"/>
      <c r="F404" s="24">
        <f>IF(A404="","",SUM(L404:W404))</f>
        <v/>
      </c>
      <c r="G404" s="36">
        <f>IF(A404="","",SUM(X404:AI404))</f>
        <v/>
      </c>
      <c r="H404" s="8">
        <f>IF(A404="","",IF(ISNA(MATCH(A404,Mitarbeiter!$A$6:$A$205,0)),"Pers.-Nr. unbekannt",IF(D404="","Von fehlt",IF(AND(C404&lt;&gt;Einstellungen!$C$4,C404&lt;&gt;Einstellungen!$C$5),"Objekt fehlt",IF(J404&lt;D404,"Bis vor Von",IF(D404&lt;INDEX(Mitarbeiter!$C$6:$C$205,MATCH($A404,Mitarbeiter!$A$6:$A$205,0)),"vor Eintritt",IF(AND(INDEX(Mitarbeiter!$D$6:$D$205,MATCH($A404,Mitarbeiter!$A$6:$A$205,0))&lt;&gt;"",D404&gt;INDEX(Mitarbeiter!$D$6:$D$205,MATCH($A404,Mitarbeiter!$A$6:$A$205,0))),"nach Austritt",IF(E404="","offen","ok"))))))))</f>
        <v/>
      </c>
      <c r="J404" s="47">
        <f>IF(A404="","",IF(E404="",Einstellungen!$C$9,E404))</f>
        <v/>
      </c>
      <c r="K404" s="48">
        <f>IF(A404="",0,IFERROR(INDEX(Mitarbeiter!$F$6:$F$205,MATCH($A404,Mitarbeiter!$A$6:$A$205,0)),0))</f>
        <v/>
      </c>
      <c r="L404" s="49">
        <f>IF(OR(A404="",D404=""),0,MAX(0,NETWORKDAYS(MAX(D404,DATE(Einstellungen!$C$3,1,1)),MIN(J404,DATE(Einstellungen!$C$3,2,0)),Einstellungen!$F$13:$F$32)))</f>
        <v/>
      </c>
      <c r="M404" s="49">
        <f>IF(OR(A404="",D404=""),0,MAX(0,NETWORKDAYS(MAX(D404,DATE(Einstellungen!$C$3,2,1)),MIN(J404,DATE(Einstellungen!$C$3,3,0)),Einstellungen!$F$13:$F$32)))</f>
        <v/>
      </c>
      <c r="N404" s="49">
        <f>IF(OR(A404="",D404=""),0,MAX(0,NETWORKDAYS(MAX(D404,DATE(Einstellungen!$C$3,3,1)),MIN(J404,DATE(Einstellungen!$C$3,4,0)),Einstellungen!$F$13:$F$32)))</f>
        <v/>
      </c>
      <c r="O404" s="49">
        <f>IF(OR(A404="",D404=""),0,MAX(0,NETWORKDAYS(MAX(D404,DATE(Einstellungen!$C$3,4,1)),MIN(J404,DATE(Einstellungen!$C$3,5,0)),Einstellungen!$F$13:$F$32)))</f>
        <v/>
      </c>
      <c r="P404" s="49">
        <f>IF(OR(A404="",D404=""),0,MAX(0,NETWORKDAYS(MAX(D404,DATE(Einstellungen!$C$3,5,1)),MIN(J404,DATE(Einstellungen!$C$3,6,0)),Einstellungen!$F$13:$F$32)))</f>
        <v/>
      </c>
      <c r="Q404" s="49">
        <f>IF(OR(A404="",D404=""),0,MAX(0,NETWORKDAYS(MAX(D404,DATE(Einstellungen!$C$3,6,1)),MIN(J404,DATE(Einstellungen!$C$3,7,0)),Einstellungen!$F$13:$F$32)))</f>
        <v/>
      </c>
      <c r="R404" s="49">
        <f>IF(OR(A404="",D404=""),0,MAX(0,NETWORKDAYS(MAX(D404,DATE(Einstellungen!$C$3,7,1)),MIN(J404,DATE(Einstellungen!$C$3,8,0)),Einstellungen!$F$13:$F$32)))</f>
        <v/>
      </c>
      <c r="S404" s="49">
        <f>IF(OR(A404="",D404=""),0,MAX(0,NETWORKDAYS(MAX(D404,DATE(Einstellungen!$C$3,8,1)),MIN(J404,DATE(Einstellungen!$C$3,9,0)),Einstellungen!$F$13:$F$32)))</f>
        <v/>
      </c>
      <c r="T404" s="49">
        <f>IF(OR(A404="",D404=""),0,MAX(0,NETWORKDAYS(MAX(D404,DATE(Einstellungen!$C$3,9,1)),MIN(J404,DATE(Einstellungen!$C$3,10,0)),Einstellungen!$F$13:$F$32)))</f>
        <v/>
      </c>
      <c r="U404" s="49">
        <f>IF(OR(A404="",D404=""),0,MAX(0,NETWORKDAYS(MAX(D404,DATE(Einstellungen!$C$3,10,1)),MIN(J404,DATE(Einstellungen!$C$3,11,0)),Einstellungen!$F$13:$F$32)))</f>
        <v/>
      </c>
      <c r="V404" s="49">
        <f>IF(OR(A404="",D404=""),0,MAX(0,NETWORKDAYS(MAX(D404,DATE(Einstellungen!$C$3,11,1)),MIN(J404,DATE(Einstellungen!$C$3,12,0)),Einstellungen!$F$13:$F$32)))</f>
        <v/>
      </c>
      <c r="W404" s="49">
        <f>IF(OR(A404="",D404=""),0,MAX(0,NETWORKDAYS(MAX(D404,DATE(Einstellungen!$C$3,12,1)),MIN(J404,DATE(Einstellungen!$C$3,13,0)),Einstellungen!$F$13:$F$32)))</f>
        <v/>
      </c>
      <c r="X404" s="50">
        <f>L404*K404</f>
        <v/>
      </c>
      <c r="Y404" s="50">
        <f>M404*K404</f>
        <v/>
      </c>
      <c r="Z404" s="50">
        <f>N404*K404</f>
        <v/>
      </c>
      <c r="AA404" s="50">
        <f>O404*K404</f>
        <v/>
      </c>
      <c r="AB404" s="50">
        <f>P404*K404</f>
        <v/>
      </c>
      <c r="AC404" s="50">
        <f>Q404*K404</f>
        <v/>
      </c>
      <c r="AD404" s="50">
        <f>R404*K404</f>
        <v/>
      </c>
      <c r="AE404" s="50">
        <f>S404*K404</f>
        <v/>
      </c>
      <c r="AF404" s="50">
        <f>T404*K404</f>
        <v/>
      </c>
      <c r="AG404" s="50">
        <f>U404*K404</f>
        <v/>
      </c>
      <c r="AH404" s="50">
        <f>V404*K404</f>
        <v/>
      </c>
      <c r="AI404" s="50">
        <f>W404*K404</f>
        <v/>
      </c>
    </row>
    <row r="405">
      <c r="A405" s="25" t="n"/>
      <c r="B405" s="45">
        <f>IF(A405="","",IFERROR(INDEX(Mitarbeiter!$B$6:$B$205,MATCH($A405,Mitarbeiter!$A$6:$A$205,0)),"?"))</f>
        <v/>
      </c>
      <c r="C405" s="46" t="n"/>
      <c r="D405" s="26" t="n"/>
      <c r="E405" s="26" t="n"/>
      <c r="F405" s="24">
        <f>IF(A405="","",SUM(L405:W405))</f>
        <v/>
      </c>
      <c r="G405" s="36">
        <f>IF(A405="","",SUM(X405:AI405))</f>
        <v/>
      </c>
      <c r="H405" s="8">
        <f>IF(A405="","",IF(ISNA(MATCH(A405,Mitarbeiter!$A$6:$A$205,0)),"Pers.-Nr. unbekannt",IF(D405="","Von fehlt",IF(AND(C405&lt;&gt;Einstellungen!$C$4,C405&lt;&gt;Einstellungen!$C$5),"Objekt fehlt",IF(J405&lt;D405,"Bis vor Von",IF(D405&lt;INDEX(Mitarbeiter!$C$6:$C$205,MATCH($A405,Mitarbeiter!$A$6:$A$205,0)),"vor Eintritt",IF(AND(INDEX(Mitarbeiter!$D$6:$D$205,MATCH($A405,Mitarbeiter!$A$6:$A$205,0))&lt;&gt;"",D405&gt;INDEX(Mitarbeiter!$D$6:$D$205,MATCH($A405,Mitarbeiter!$A$6:$A$205,0))),"nach Austritt",IF(E405="","offen","ok"))))))))</f>
        <v/>
      </c>
      <c r="J405" s="47">
        <f>IF(A405="","",IF(E405="",Einstellungen!$C$9,E405))</f>
        <v/>
      </c>
      <c r="K405" s="48">
        <f>IF(A405="",0,IFERROR(INDEX(Mitarbeiter!$F$6:$F$205,MATCH($A405,Mitarbeiter!$A$6:$A$205,0)),0))</f>
        <v/>
      </c>
      <c r="L405" s="49">
        <f>IF(OR(A405="",D405=""),0,MAX(0,NETWORKDAYS(MAX(D405,DATE(Einstellungen!$C$3,1,1)),MIN(J405,DATE(Einstellungen!$C$3,2,0)),Einstellungen!$F$13:$F$32)))</f>
        <v/>
      </c>
      <c r="M405" s="49">
        <f>IF(OR(A405="",D405=""),0,MAX(0,NETWORKDAYS(MAX(D405,DATE(Einstellungen!$C$3,2,1)),MIN(J405,DATE(Einstellungen!$C$3,3,0)),Einstellungen!$F$13:$F$32)))</f>
        <v/>
      </c>
      <c r="N405" s="49">
        <f>IF(OR(A405="",D405=""),0,MAX(0,NETWORKDAYS(MAX(D405,DATE(Einstellungen!$C$3,3,1)),MIN(J405,DATE(Einstellungen!$C$3,4,0)),Einstellungen!$F$13:$F$32)))</f>
        <v/>
      </c>
      <c r="O405" s="49">
        <f>IF(OR(A405="",D405=""),0,MAX(0,NETWORKDAYS(MAX(D405,DATE(Einstellungen!$C$3,4,1)),MIN(J405,DATE(Einstellungen!$C$3,5,0)),Einstellungen!$F$13:$F$32)))</f>
        <v/>
      </c>
      <c r="P405" s="49">
        <f>IF(OR(A405="",D405=""),0,MAX(0,NETWORKDAYS(MAX(D405,DATE(Einstellungen!$C$3,5,1)),MIN(J405,DATE(Einstellungen!$C$3,6,0)),Einstellungen!$F$13:$F$32)))</f>
        <v/>
      </c>
      <c r="Q405" s="49">
        <f>IF(OR(A405="",D405=""),0,MAX(0,NETWORKDAYS(MAX(D405,DATE(Einstellungen!$C$3,6,1)),MIN(J405,DATE(Einstellungen!$C$3,7,0)),Einstellungen!$F$13:$F$32)))</f>
        <v/>
      </c>
      <c r="R405" s="49">
        <f>IF(OR(A405="",D405=""),0,MAX(0,NETWORKDAYS(MAX(D405,DATE(Einstellungen!$C$3,7,1)),MIN(J405,DATE(Einstellungen!$C$3,8,0)),Einstellungen!$F$13:$F$32)))</f>
        <v/>
      </c>
      <c r="S405" s="49">
        <f>IF(OR(A405="",D405=""),0,MAX(0,NETWORKDAYS(MAX(D405,DATE(Einstellungen!$C$3,8,1)),MIN(J405,DATE(Einstellungen!$C$3,9,0)),Einstellungen!$F$13:$F$32)))</f>
        <v/>
      </c>
      <c r="T405" s="49">
        <f>IF(OR(A405="",D405=""),0,MAX(0,NETWORKDAYS(MAX(D405,DATE(Einstellungen!$C$3,9,1)),MIN(J405,DATE(Einstellungen!$C$3,10,0)),Einstellungen!$F$13:$F$32)))</f>
        <v/>
      </c>
      <c r="U405" s="49">
        <f>IF(OR(A405="",D405=""),0,MAX(0,NETWORKDAYS(MAX(D405,DATE(Einstellungen!$C$3,10,1)),MIN(J405,DATE(Einstellungen!$C$3,11,0)),Einstellungen!$F$13:$F$32)))</f>
        <v/>
      </c>
      <c r="V405" s="49">
        <f>IF(OR(A405="",D405=""),0,MAX(0,NETWORKDAYS(MAX(D405,DATE(Einstellungen!$C$3,11,1)),MIN(J405,DATE(Einstellungen!$C$3,12,0)),Einstellungen!$F$13:$F$32)))</f>
        <v/>
      </c>
      <c r="W405" s="49">
        <f>IF(OR(A405="",D405=""),0,MAX(0,NETWORKDAYS(MAX(D405,DATE(Einstellungen!$C$3,12,1)),MIN(J405,DATE(Einstellungen!$C$3,13,0)),Einstellungen!$F$13:$F$32)))</f>
        <v/>
      </c>
      <c r="X405" s="50">
        <f>L405*K405</f>
        <v/>
      </c>
      <c r="Y405" s="50">
        <f>M405*K405</f>
        <v/>
      </c>
      <c r="Z405" s="50">
        <f>N405*K405</f>
        <v/>
      </c>
      <c r="AA405" s="50">
        <f>O405*K405</f>
        <v/>
      </c>
      <c r="AB405" s="50">
        <f>P405*K405</f>
        <v/>
      </c>
      <c r="AC405" s="50">
        <f>Q405*K405</f>
        <v/>
      </c>
      <c r="AD405" s="50">
        <f>R405*K405</f>
        <v/>
      </c>
      <c r="AE405" s="50">
        <f>S405*K405</f>
        <v/>
      </c>
      <c r="AF405" s="50">
        <f>T405*K405</f>
        <v/>
      </c>
      <c r="AG405" s="50">
        <f>U405*K405</f>
        <v/>
      </c>
      <c r="AH405" s="50">
        <f>V405*K405</f>
        <v/>
      </c>
      <c r="AI405" s="50">
        <f>W405*K405</f>
        <v/>
      </c>
    </row>
    <row r="406">
      <c r="A406" s="25" t="n"/>
      <c r="B406" s="45">
        <f>IF(A406="","",IFERROR(INDEX(Mitarbeiter!$B$6:$B$205,MATCH($A406,Mitarbeiter!$A$6:$A$205,0)),"?"))</f>
        <v/>
      </c>
      <c r="C406" s="46" t="n"/>
      <c r="D406" s="26" t="n"/>
      <c r="E406" s="26" t="n"/>
      <c r="F406" s="24">
        <f>IF(A406="","",SUM(L406:W406))</f>
        <v/>
      </c>
      <c r="G406" s="36">
        <f>IF(A406="","",SUM(X406:AI406))</f>
        <v/>
      </c>
      <c r="H406" s="8">
        <f>IF(A406="","",IF(ISNA(MATCH(A406,Mitarbeiter!$A$6:$A$205,0)),"Pers.-Nr. unbekannt",IF(D406="","Von fehlt",IF(AND(C406&lt;&gt;Einstellungen!$C$4,C406&lt;&gt;Einstellungen!$C$5),"Objekt fehlt",IF(J406&lt;D406,"Bis vor Von",IF(D406&lt;INDEX(Mitarbeiter!$C$6:$C$205,MATCH($A406,Mitarbeiter!$A$6:$A$205,0)),"vor Eintritt",IF(AND(INDEX(Mitarbeiter!$D$6:$D$205,MATCH($A406,Mitarbeiter!$A$6:$A$205,0))&lt;&gt;"",D406&gt;INDEX(Mitarbeiter!$D$6:$D$205,MATCH($A406,Mitarbeiter!$A$6:$A$205,0))),"nach Austritt",IF(E406="","offen","ok"))))))))</f>
        <v/>
      </c>
      <c r="J406" s="47">
        <f>IF(A406="","",IF(E406="",Einstellungen!$C$9,E406))</f>
        <v/>
      </c>
      <c r="K406" s="48">
        <f>IF(A406="",0,IFERROR(INDEX(Mitarbeiter!$F$6:$F$205,MATCH($A406,Mitarbeiter!$A$6:$A$205,0)),0))</f>
        <v/>
      </c>
      <c r="L406" s="49">
        <f>IF(OR(A406="",D406=""),0,MAX(0,NETWORKDAYS(MAX(D406,DATE(Einstellungen!$C$3,1,1)),MIN(J406,DATE(Einstellungen!$C$3,2,0)),Einstellungen!$F$13:$F$32)))</f>
        <v/>
      </c>
      <c r="M406" s="49">
        <f>IF(OR(A406="",D406=""),0,MAX(0,NETWORKDAYS(MAX(D406,DATE(Einstellungen!$C$3,2,1)),MIN(J406,DATE(Einstellungen!$C$3,3,0)),Einstellungen!$F$13:$F$32)))</f>
        <v/>
      </c>
      <c r="N406" s="49">
        <f>IF(OR(A406="",D406=""),0,MAX(0,NETWORKDAYS(MAX(D406,DATE(Einstellungen!$C$3,3,1)),MIN(J406,DATE(Einstellungen!$C$3,4,0)),Einstellungen!$F$13:$F$32)))</f>
        <v/>
      </c>
      <c r="O406" s="49">
        <f>IF(OR(A406="",D406=""),0,MAX(0,NETWORKDAYS(MAX(D406,DATE(Einstellungen!$C$3,4,1)),MIN(J406,DATE(Einstellungen!$C$3,5,0)),Einstellungen!$F$13:$F$32)))</f>
        <v/>
      </c>
      <c r="P406" s="49">
        <f>IF(OR(A406="",D406=""),0,MAX(0,NETWORKDAYS(MAX(D406,DATE(Einstellungen!$C$3,5,1)),MIN(J406,DATE(Einstellungen!$C$3,6,0)),Einstellungen!$F$13:$F$32)))</f>
        <v/>
      </c>
      <c r="Q406" s="49">
        <f>IF(OR(A406="",D406=""),0,MAX(0,NETWORKDAYS(MAX(D406,DATE(Einstellungen!$C$3,6,1)),MIN(J406,DATE(Einstellungen!$C$3,7,0)),Einstellungen!$F$13:$F$32)))</f>
        <v/>
      </c>
      <c r="R406" s="49">
        <f>IF(OR(A406="",D406=""),0,MAX(0,NETWORKDAYS(MAX(D406,DATE(Einstellungen!$C$3,7,1)),MIN(J406,DATE(Einstellungen!$C$3,8,0)),Einstellungen!$F$13:$F$32)))</f>
        <v/>
      </c>
      <c r="S406" s="49">
        <f>IF(OR(A406="",D406=""),0,MAX(0,NETWORKDAYS(MAX(D406,DATE(Einstellungen!$C$3,8,1)),MIN(J406,DATE(Einstellungen!$C$3,9,0)),Einstellungen!$F$13:$F$32)))</f>
        <v/>
      </c>
      <c r="T406" s="49">
        <f>IF(OR(A406="",D406=""),0,MAX(0,NETWORKDAYS(MAX(D406,DATE(Einstellungen!$C$3,9,1)),MIN(J406,DATE(Einstellungen!$C$3,10,0)),Einstellungen!$F$13:$F$32)))</f>
        <v/>
      </c>
      <c r="U406" s="49">
        <f>IF(OR(A406="",D406=""),0,MAX(0,NETWORKDAYS(MAX(D406,DATE(Einstellungen!$C$3,10,1)),MIN(J406,DATE(Einstellungen!$C$3,11,0)),Einstellungen!$F$13:$F$32)))</f>
        <v/>
      </c>
      <c r="V406" s="49">
        <f>IF(OR(A406="",D406=""),0,MAX(0,NETWORKDAYS(MAX(D406,DATE(Einstellungen!$C$3,11,1)),MIN(J406,DATE(Einstellungen!$C$3,12,0)),Einstellungen!$F$13:$F$32)))</f>
        <v/>
      </c>
      <c r="W406" s="49">
        <f>IF(OR(A406="",D406=""),0,MAX(0,NETWORKDAYS(MAX(D406,DATE(Einstellungen!$C$3,12,1)),MIN(J406,DATE(Einstellungen!$C$3,13,0)),Einstellungen!$F$13:$F$32)))</f>
        <v/>
      </c>
      <c r="X406" s="50">
        <f>L406*K406</f>
        <v/>
      </c>
      <c r="Y406" s="50">
        <f>M406*K406</f>
        <v/>
      </c>
      <c r="Z406" s="50">
        <f>N406*K406</f>
        <v/>
      </c>
      <c r="AA406" s="50">
        <f>O406*K406</f>
        <v/>
      </c>
      <c r="AB406" s="50">
        <f>P406*K406</f>
        <v/>
      </c>
      <c r="AC406" s="50">
        <f>Q406*K406</f>
        <v/>
      </c>
      <c r="AD406" s="50">
        <f>R406*K406</f>
        <v/>
      </c>
      <c r="AE406" s="50">
        <f>S406*K406</f>
        <v/>
      </c>
      <c r="AF406" s="50">
        <f>T406*K406</f>
        <v/>
      </c>
      <c r="AG406" s="50">
        <f>U406*K406</f>
        <v/>
      </c>
      <c r="AH406" s="50">
        <f>V406*K406</f>
        <v/>
      </c>
      <c r="AI406" s="50">
        <f>W406*K406</f>
        <v/>
      </c>
    </row>
    <row r="407">
      <c r="A407" s="25" t="n"/>
      <c r="B407" s="45">
        <f>IF(A407="","",IFERROR(INDEX(Mitarbeiter!$B$6:$B$205,MATCH($A407,Mitarbeiter!$A$6:$A$205,0)),"?"))</f>
        <v/>
      </c>
      <c r="C407" s="46" t="n"/>
      <c r="D407" s="26" t="n"/>
      <c r="E407" s="26" t="n"/>
      <c r="F407" s="24">
        <f>IF(A407="","",SUM(L407:W407))</f>
        <v/>
      </c>
      <c r="G407" s="36">
        <f>IF(A407="","",SUM(X407:AI407))</f>
        <v/>
      </c>
      <c r="H407" s="8">
        <f>IF(A407="","",IF(ISNA(MATCH(A407,Mitarbeiter!$A$6:$A$205,0)),"Pers.-Nr. unbekannt",IF(D407="","Von fehlt",IF(AND(C407&lt;&gt;Einstellungen!$C$4,C407&lt;&gt;Einstellungen!$C$5),"Objekt fehlt",IF(J407&lt;D407,"Bis vor Von",IF(D407&lt;INDEX(Mitarbeiter!$C$6:$C$205,MATCH($A407,Mitarbeiter!$A$6:$A$205,0)),"vor Eintritt",IF(AND(INDEX(Mitarbeiter!$D$6:$D$205,MATCH($A407,Mitarbeiter!$A$6:$A$205,0))&lt;&gt;"",D407&gt;INDEX(Mitarbeiter!$D$6:$D$205,MATCH($A407,Mitarbeiter!$A$6:$A$205,0))),"nach Austritt",IF(E407="","offen","ok"))))))))</f>
        <v/>
      </c>
      <c r="J407" s="47">
        <f>IF(A407="","",IF(E407="",Einstellungen!$C$9,E407))</f>
        <v/>
      </c>
      <c r="K407" s="48">
        <f>IF(A407="",0,IFERROR(INDEX(Mitarbeiter!$F$6:$F$205,MATCH($A407,Mitarbeiter!$A$6:$A$205,0)),0))</f>
        <v/>
      </c>
      <c r="L407" s="49">
        <f>IF(OR(A407="",D407=""),0,MAX(0,NETWORKDAYS(MAX(D407,DATE(Einstellungen!$C$3,1,1)),MIN(J407,DATE(Einstellungen!$C$3,2,0)),Einstellungen!$F$13:$F$32)))</f>
        <v/>
      </c>
      <c r="M407" s="49">
        <f>IF(OR(A407="",D407=""),0,MAX(0,NETWORKDAYS(MAX(D407,DATE(Einstellungen!$C$3,2,1)),MIN(J407,DATE(Einstellungen!$C$3,3,0)),Einstellungen!$F$13:$F$32)))</f>
        <v/>
      </c>
      <c r="N407" s="49">
        <f>IF(OR(A407="",D407=""),0,MAX(0,NETWORKDAYS(MAX(D407,DATE(Einstellungen!$C$3,3,1)),MIN(J407,DATE(Einstellungen!$C$3,4,0)),Einstellungen!$F$13:$F$32)))</f>
        <v/>
      </c>
      <c r="O407" s="49">
        <f>IF(OR(A407="",D407=""),0,MAX(0,NETWORKDAYS(MAX(D407,DATE(Einstellungen!$C$3,4,1)),MIN(J407,DATE(Einstellungen!$C$3,5,0)),Einstellungen!$F$13:$F$32)))</f>
        <v/>
      </c>
      <c r="P407" s="49">
        <f>IF(OR(A407="",D407=""),0,MAX(0,NETWORKDAYS(MAX(D407,DATE(Einstellungen!$C$3,5,1)),MIN(J407,DATE(Einstellungen!$C$3,6,0)),Einstellungen!$F$13:$F$32)))</f>
        <v/>
      </c>
      <c r="Q407" s="49">
        <f>IF(OR(A407="",D407=""),0,MAX(0,NETWORKDAYS(MAX(D407,DATE(Einstellungen!$C$3,6,1)),MIN(J407,DATE(Einstellungen!$C$3,7,0)),Einstellungen!$F$13:$F$32)))</f>
        <v/>
      </c>
      <c r="R407" s="49">
        <f>IF(OR(A407="",D407=""),0,MAX(0,NETWORKDAYS(MAX(D407,DATE(Einstellungen!$C$3,7,1)),MIN(J407,DATE(Einstellungen!$C$3,8,0)),Einstellungen!$F$13:$F$32)))</f>
        <v/>
      </c>
      <c r="S407" s="49">
        <f>IF(OR(A407="",D407=""),0,MAX(0,NETWORKDAYS(MAX(D407,DATE(Einstellungen!$C$3,8,1)),MIN(J407,DATE(Einstellungen!$C$3,9,0)),Einstellungen!$F$13:$F$32)))</f>
        <v/>
      </c>
      <c r="T407" s="49">
        <f>IF(OR(A407="",D407=""),0,MAX(0,NETWORKDAYS(MAX(D407,DATE(Einstellungen!$C$3,9,1)),MIN(J407,DATE(Einstellungen!$C$3,10,0)),Einstellungen!$F$13:$F$32)))</f>
        <v/>
      </c>
      <c r="U407" s="49">
        <f>IF(OR(A407="",D407=""),0,MAX(0,NETWORKDAYS(MAX(D407,DATE(Einstellungen!$C$3,10,1)),MIN(J407,DATE(Einstellungen!$C$3,11,0)),Einstellungen!$F$13:$F$32)))</f>
        <v/>
      </c>
      <c r="V407" s="49">
        <f>IF(OR(A407="",D407=""),0,MAX(0,NETWORKDAYS(MAX(D407,DATE(Einstellungen!$C$3,11,1)),MIN(J407,DATE(Einstellungen!$C$3,12,0)),Einstellungen!$F$13:$F$32)))</f>
        <v/>
      </c>
      <c r="W407" s="49">
        <f>IF(OR(A407="",D407=""),0,MAX(0,NETWORKDAYS(MAX(D407,DATE(Einstellungen!$C$3,12,1)),MIN(J407,DATE(Einstellungen!$C$3,13,0)),Einstellungen!$F$13:$F$32)))</f>
        <v/>
      </c>
      <c r="X407" s="50">
        <f>L407*K407</f>
        <v/>
      </c>
      <c r="Y407" s="50">
        <f>M407*K407</f>
        <v/>
      </c>
      <c r="Z407" s="50">
        <f>N407*K407</f>
        <v/>
      </c>
      <c r="AA407" s="50">
        <f>O407*K407</f>
        <v/>
      </c>
      <c r="AB407" s="50">
        <f>P407*K407</f>
        <v/>
      </c>
      <c r="AC407" s="50">
        <f>Q407*K407</f>
        <v/>
      </c>
      <c r="AD407" s="50">
        <f>R407*K407</f>
        <v/>
      </c>
      <c r="AE407" s="50">
        <f>S407*K407</f>
        <v/>
      </c>
      <c r="AF407" s="50">
        <f>T407*K407</f>
        <v/>
      </c>
      <c r="AG407" s="50">
        <f>U407*K407</f>
        <v/>
      </c>
      <c r="AH407" s="50">
        <f>V407*K407</f>
        <v/>
      </c>
      <c r="AI407" s="50">
        <f>W407*K407</f>
        <v/>
      </c>
    </row>
    <row r="408">
      <c r="A408" s="25" t="n"/>
      <c r="B408" s="45">
        <f>IF(A408="","",IFERROR(INDEX(Mitarbeiter!$B$6:$B$205,MATCH($A408,Mitarbeiter!$A$6:$A$205,0)),"?"))</f>
        <v/>
      </c>
      <c r="C408" s="46" t="n"/>
      <c r="D408" s="26" t="n"/>
      <c r="E408" s="26" t="n"/>
      <c r="F408" s="24">
        <f>IF(A408="","",SUM(L408:W408))</f>
        <v/>
      </c>
      <c r="G408" s="36">
        <f>IF(A408="","",SUM(X408:AI408))</f>
        <v/>
      </c>
      <c r="H408" s="8">
        <f>IF(A408="","",IF(ISNA(MATCH(A408,Mitarbeiter!$A$6:$A$205,0)),"Pers.-Nr. unbekannt",IF(D408="","Von fehlt",IF(AND(C408&lt;&gt;Einstellungen!$C$4,C408&lt;&gt;Einstellungen!$C$5),"Objekt fehlt",IF(J408&lt;D408,"Bis vor Von",IF(D408&lt;INDEX(Mitarbeiter!$C$6:$C$205,MATCH($A408,Mitarbeiter!$A$6:$A$205,0)),"vor Eintritt",IF(AND(INDEX(Mitarbeiter!$D$6:$D$205,MATCH($A408,Mitarbeiter!$A$6:$A$205,0))&lt;&gt;"",D408&gt;INDEX(Mitarbeiter!$D$6:$D$205,MATCH($A408,Mitarbeiter!$A$6:$A$205,0))),"nach Austritt",IF(E408="","offen","ok"))))))))</f>
        <v/>
      </c>
      <c r="J408" s="47">
        <f>IF(A408="","",IF(E408="",Einstellungen!$C$9,E408))</f>
        <v/>
      </c>
      <c r="K408" s="48">
        <f>IF(A408="",0,IFERROR(INDEX(Mitarbeiter!$F$6:$F$205,MATCH($A408,Mitarbeiter!$A$6:$A$205,0)),0))</f>
        <v/>
      </c>
      <c r="L408" s="49">
        <f>IF(OR(A408="",D408=""),0,MAX(0,NETWORKDAYS(MAX(D408,DATE(Einstellungen!$C$3,1,1)),MIN(J408,DATE(Einstellungen!$C$3,2,0)),Einstellungen!$F$13:$F$32)))</f>
        <v/>
      </c>
      <c r="M408" s="49">
        <f>IF(OR(A408="",D408=""),0,MAX(0,NETWORKDAYS(MAX(D408,DATE(Einstellungen!$C$3,2,1)),MIN(J408,DATE(Einstellungen!$C$3,3,0)),Einstellungen!$F$13:$F$32)))</f>
        <v/>
      </c>
      <c r="N408" s="49">
        <f>IF(OR(A408="",D408=""),0,MAX(0,NETWORKDAYS(MAX(D408,DATE(Einstellungen!$C$3,3,1)),MIN(J408,DATE(Einstellungen!$C$3,4,0)),Einstellungen!$F$13:$F$32)))</f>
        <v/>
      </c>
      <c r="O408" s="49">
        <f>IF(OR(A408="",D408=""),0,MAX(0,NETWORKDAYS(MAX(D408,DATE(Einstellungen!$C$3,4,1)),MIN(J408,DATE(Einstellungen!$C$3,5,0)),Einstellungen!$F$13:$F$32)))</f>
        <v/>
      </c>
      <c r="P408" s="49">
        <f>IF(OR(A408="",D408=""),0,MAX(0,NETWORKDAYS(MAX(D408,DATE(Einstellungen!$C$3,5,1)),MIN(J408,DATE(Einstellungen!$C$3,6,0)),Einstellungen!$F$13:$F$32)))</f>
        <v/>
      </c>
      <c r="Q408" s="49">
        <f>IF(OR(A408="",D408=""),0,MAX(0,NETWORKDAYS(MAX(D408,DATE(Einstellungen!$C$3,6,1)),MIN(J408,DATE(Einstellungen!$C$3,7,0)),Einstellungen!$F$13:$F$32)))</f>
        <v/>
      </c>
      <c r="R408" s="49">
        <f>IF(OR(A408="",D408=""),0,MAX(0,NETWORKDAYS(MAX(D408,DATE(Einstellungen!$C$3,7,1)),MIN(J408,DATE(Einstellungen!$C$3,8,0)),Einstellungen!$F$13:$F$32)))</f>
        <v/>
      </c>
      <c r="S408" s="49">
        <f>IF(OR(A408="",D408=""),0,MAX(0,NETWORKDAYS(MAX(D408,DATE(Einstellungen!$C$3,8,1)),MIN(J408,DATE(Einstellungen!$C$3,9,0)),Einstellungen!$F$13:$F$32)))</f>
        <v/>
      </c>
      <c r="T408" s="49">
        <f>IF(OR(A408="",D408=""),0,MAX(0,NETWORKDAYS(MAX(D408,DATE(Einstellungen!$C$3,9,1)),MIN(J408,DATE(Einstellungen!$C$3,10,0)),Einstellungen!$F$13:$F$32)))</f>
        <v/>
      </c>
      <c r="U408" s="49">
        <f>IF(OR(A408="",D408=""),0,MAX(0,NETWORKDAYS(MAX(D408,DATE(Einstellungen!$C$3,10,1)),MIN(J408,DATE(Einstellungen!$C$3,11,0)),Einstellungen!$F$13:$F$32)))</f>
        <v/>
      </c>
      <c r="V408" s="49">
        <f>IF(OR(A408="",D408=""),0,MAX(0,NETWORKDAYS(MAX(D408,DATE(Einstellungen!$C$3,11,1)),MIN(J408,DATE(Einstellungen!$C$3,12,0)),Einstellungen!$F$13:$F$32)))</f>
        <v/>
      </c>
      <c r="W408" s="49">
        <f>IF(OR(A408="",D408=""),0,MAX(0,NETWORKDAYS(MAX(D408,DATE(Einstellungen!$C$3,12,1)),MIN(J408,DATE(Einstellungen!$C$3,13,0)),Einstellungen!$F$13:$F$32)))</f>
        <v/>
      </c>
      <c r="X408" s="50">
        <f>L408*K408</f>
        <v/>
      </c>
      <c r="Y408" s="50">
        <f>M408*K408</f>
        <v/>
      </c>
      <c r="Z408" s="50">
        <f>N408*K408</f>
        <v/>
      </c>
      <c r="AA408" s="50">
        <f>O408*K408</f>
        <v/>
      </c>
      <c r="AB408" s="50">
        <f>P408*K408</f>
        <v/>
      </c>
      <c r="AC408" s="50">
        <f>Q408*K408</f>
        <v/>
      </c>
      <c r="AD408" s="50">
        <f>R408*K408</f>
        <v/>
      </c>
      <c r="AE408" s="50">
        <f>S408*K408</f>
        <v/>
      </c>
      <c r="AF408" s="50">
        <f>T408*K408</f>
        <v/>
      </c>
      <c r="AG408" s="50">
        <f>U408*K408</f>
        <v/>
      </c>
      <c r="AH408" s="50">
        <f>V408*K408</f>
        <v/>
      </c>
      <c r="AI408" s="50">
        <f>W408*K408</f>
        <v/>
      </c>
    </row>
    <row r="409">
      <c r="A409" s="25" t="n"/>
      <c r="B409" s="45">
        <f>IF(A409="","",IFERROR(INDEX(Mitarbeiter!$B$6:$B$205,MATCH($A409,Mitarbeiter!$A$6:$A$205,0)),"?"))</f>
        <v/>
      </c>
      <c r="C409" s="46" t="n"/>
      <c r="D409" s="26" t="n"/>
      <c r="E409" s="26" t="n"/>
      <c r="F409" s="24">
        <f>IF(A409="","",SUM(L409:W409))</f>
        <v/>
      </c>
      <c r="G409" s="36">
        <f>IF(A409="","",SUM(X409:AI409))</f>
        <v/>
      </c>
      <c r="H409" s="8">
        <f>IF(A409="","",IF(ISNA(MATCH(A409,Mitarbeiter!$A$6:$A$205,0)),"Pers.-Nr. unbekannt",IF(D409="","Von fehlt",IF(AND(C409&lt;&gt;Einstellungen!$C$4,C409&lt;&gt;Einstellungen!$C$5),"Objekt fehlt",IF(J409&lt;D409,"Bis vor Von",IF(D409&lt;INDEX(Mitarbeiter!$C$6:$C$205,MATCH($A409,Mitarbeiter!$A$6:$A$205,0)),"vor Eintritt",IF(AND(INDEX(Mitarbeiter!$D$6:$D$205,MATCH($A409,Mitarbeiter!$A$6:$A$205,0))&lt;&gt;"",D409&gt;INDEX(Mitarbeiter!$D$6:$D$205,MATCH($A409,Mitarbeiter!$A$6:$A$205,0))),"nach Austritt",IF(E409="","offen","ok"))))))))</f>
        <v/>
      </c>
      <c r="J409" s="47">
        <f>IF(A409="","",IF(E409="",Einstellungen!$C$9,E409))</f>
        <v/>
      </c>
      <c r="K409" s="48">
        <f>IF(A409="",0,IFERROR(INDEX(Mitarbeiter!$F$6:$F$205,MATCH($A409,Mitarbeiter!$A$6:$A$205,0)),0))</f>
        <v/>
      </c>
      <c r="L409" s="49">
        <f>IF(OR(A409="",D409=""),0,MAX(0,NETWORKDAYS(MAX(D409,DATE(Einstellungen!$C$3,1,1)),MIN(J409,DATE(Einstellungen!$C$3,2,0)),Einstellungen!$F$13:$F$32)))</f>
        <v/>
      </c>
      <c r="M409" s="49">
        <f>IF(OR(A409="",D409=""),0,MAX(0,NETWORKDAYS(MAX(D409,DATE(Einstellungen!$C$3,2,1)),MIN(J409,DATE(Einstellungen!$C$3,3,0)),Einstellungen!$F$13:$F$32)))</f>
        <v/>
      </c>
      <c r="N409" s="49">
        <f>IF(OR(A409="",D409=""),0,MAX(0,NETWORKDAYS(MAX(D409,DATE(Einstellungen!$C$3,3,1)),MIN(J409,DATE(Einstellungen!$C$3,4,0)),Einstellungen!$F$13:$F$32)))</f>
        <v/>
      </c>
      <c r="O409" s="49">
        <f>IF(OR(A409="",D409=""),0,MAX(0,NETWORKDAYS(MAX(D409,DATE(Einstellungen!$C$3,4,1)),MIN(J409,DATE(Einstellungen!$C$3,5,0)),Einstellungen!$F$13:$F$32)))</f>
        <v/>
      </c>
      <c r="P409" s="49">
        <f>IF(OR(A409="",D409=""),0,MAX(0,NETWORKDAYS(MAX(D409,DATE(Einstellungen!$C$3,5,1)),MIN(J409,DATE(Einstellungen!$C$3,6,0)),Einstellungen!$F$13:$F$32)))</f>
        <v/>
      </c>
      <c r="Q409" s="49">
        <f>IF(OR(A409="",D409=""),0,MAX(0,NETWORKDAYS(MAX(D409,DATE(Einstellungen!$C$3,6,1)),MIN(J409,DATE(Einstellungen!$C$3,7,0)),Einstellungen!$F$13:$F$32)))</f>
        <v/>
      </c>
      <c r="R409" s="49">
        <f>IF(OR(A409="",D409=""),0,MAX(0,NETWORKDAYS(MAX(D409,DATE(Einstellungen!$C$3,7,1)),MIN(J409,DATE(Einstellungen!$C$3,8,0)),Einstellungen!$F$13:$F$32)))</f>
        <v/>
      </c>
      <c r="S409" s="49">
        <f>IF(OR(A409="",D409=""),0,MAX(0,NETWORKDAYS(MAX(D409,DATE(Einstellungen!$C$3,8,1)),MIN(J409,DATE(Einstellungen!$C$3,9,0)),Einstellungen!$F$13:$F$32)))</f>
        <v/>
      </c>
      <c r="T409" s="49">
        <f>IF(OR(A409="",D409=""),0,MAX(0,NETWORKDAYS(MAX(D409,DATE(Einstellungen!$C$3,9,1)),MIN(J409,DATE(Einstellungen!$C$3,10,0)),Einstellungen!$F$13:$F$32)))</f>
        <v/>
      </c>
      <c r="U409" s="49">
        <f>IF(OR(A409="",D409=""),0,MAX(0,NETWORKDAYS(MAX(D409,DATE(Einstellungen!$C$3,10,1)),MIN(J409,DATE(Einstellungen!$C$3,11,0)),Einstellungen!$F$13:$F$32)))</f>
        <v/>
      </c>
      <c r="V409" s="49">
        <f>IF(OR(A409="",D409=""),0,MAX(0,NETWORKDAYS(MAX(D409,DATE(Einstellungen!$C$3,11,1)),MIN(J409,DATE(Einstellungen!$C$3,12,0)),Einstellungen!$F$13:$F$32)))</f>
        <v/>
      </c>
      <c r="W409" s="49">
        <f>IF(OR(A409="",D409=""),0,MAX(0,NETWORKDAYS(MAX(D409,DATE(Einstellungen!$C$3,12,1)),MIN(J409,DATE(Einstellungen!$C$3,13,0)),Einstellungen!$F$13:$F$32)))</f>
        <v/>
      </c>
      <c r="X409" s="50">
        <f>L409*K409</f>
        <v/>
      </c>
      <c r="Y409" s="50">
        <f>M409*K409</f>
        <v/>
      </c>
      <c r="Z409" s="50">
        <f>N409*K409</f>
        <v/>
      </c>
      <c r="AA409" s="50">
        <f>O409*K409</f>
        <v/>
      </c>
      <c r="AB409" s="50">
        <f>P409*K409</f>
        <v/>
      </c>
      <c r="AC409" s="50">
        <f>Q409*K409</f>
        <v/>
      </c>
      <c r="AD409" s="50">
        <f>R409*K409</f>
        <v/>
      </c>
      <c r="AE409" s="50">
        <f>S409*K409</f>
        <v/>
      </c>
      <c r="AF409" s="50">
        <f>T409*K409</f>
        <v/>
      </c>
      <c r="AG409" s="50">
        <f>U409*K409</f>
        <v/>
      </c>
      <c r="AH409" s="50">
        <f>V409*K409</f>
        <v/>
      </c>
      <c r="AI409" s="50">
        <f>W409*K409</f>
        <v/>
      </c>
    </row>
    <row r="410">
      <c r="A410" s="25" t="n"/>
      <c r="B410" s="45">
        <f>IF(A410="","",IFERROR(INDEX(Mitarbeiter!$B$6:$B$205,MATCH($A410,Mitarbeiter!$A$6:$A$205,0)),"?"))</f>
        <v/>
      </c>
      <c r="C410" s="46" t="n"/>
      <c r="D410" s="26" t="n"/>
      <c r="E410" s="26" t="n"/>
      <c r="F410" s="24">
        <f>IF(A410="","",SUM(L410:W410))</f>
        <v/>
      </c>
      <c r="G410" s="36">
        <f>IF(A410="","",SUM(X410:AI410))</f>
        <v/>
      </c>
      <c r="H410" s="8">
        <f>IF(A410="","",IF(ISNA(MATCH(A410,Mitarbeiter!$A$6:$A$205,0)),"Pers.-Nr. unbekannt",IF(D410="","Von fehlt",IF(AND(C410&lt;&gt;Einstellungen!$C$4,C410&lt;&gt;Einstellungen!$C$5),"Objekt fehlt",IF(J410&lt;D410,"Bis vor Von",IF(D410&lt;INDEX(Mitarbeiter!$C$6:$C$205,MATCH($A410,Mitarbeiter!$A$6:$A$205,0)),"vor Eintritt",IF(AND(INDEX(Mitarbeiter!$D$6:$D$205,MATCH($A410,Mitarbeiter!$A$6:$A$205,0))&lt;&gt;"",D410&gt;INDEX(Mitarbeiter!$D$6:$D$205,MATCH($A410,Mitarbeiter!$A$6:$A$205,0))),"nach Austritt",IF(E410="","offen","ok"))))))))</f>
        <v/>
      </c>
      <c r="J410" s="47">
        <f>IF(A410="","",IF(E410="",Einstellungen!$C$9,E410))</f>
        <v/>
      </c>
      <c r="K410" s="48">
        <f>IF(A410="",0,IFERROR(INDEX(Mitarbeiter!$F$6:$F$205,MATCH($A410,Mitarbeiter!$A$6:$A$205,0)),0))</f>
        <v/>
      </c>
      <c r="L410" s="49">
        <f>IF(OR(A410="",D410=""),0,MAX(0,NETWORKDAYS(MAX(D410,DATE(Einstellungen!$C$3,1,1)),MIN(J410,DATE(Einstellungen!$C$3,2,0)),Einstellungen!$F$13:$F$32)))</f>
        <v/>
      </c>
      <c r="M410" s="49">
        <f>IF(OR(A410="",D410=""),0,MAX(0,NETWORKDAYS(MAX(D410,DATE(Einstellungen!$C$3,2,1)),MIN(J410,DATE(Einstellungen!$C$3,3,0)),Einstellungen!$F$13:$F$32)))</f>
        <v/>
      </c>
      <c r="N410" s="49">
        <f>IF(OR(A410="",D410=""),0,MAX(0,NETWORKDAYS(MAX(D410,DATE(Einstellungen!$C$3,3,1)),MIN(J410,DATE(Einstellungen!$C$3,4,0)),Einstellungen!$F$13:$F$32)))</f>
        <v/>
      </c>
      <c r="O410" s="49">
        <f>IF(OR(A410="",D410=""),0,MAX(0,NETWORKDAYS(MAX(D410,DATE(Einstellungen!$C$3,4,1)),MIN(J410,DATE(Einstellungen!$C$3,5,0)),Einstellungen!$F$13:$F$32)))</f>
        <v/>
      </c>
      <c r="P410" s="49">
        <f>IF(OR(A410="",D410=""),0,MAX(0,NETWORKDAYS(MAX(D410,DATE(Einstellungen!$C$3,5,1)),MIN(J410,DATE(Einstellungen!$C$3,6,0)),Einstellungen!$F$13:$F$32)))</f>
        <v/>
      </c>
      <c r="Q410" s="49">
        <f>IF(OR(A410="",D410=""),0,MAX(0,NETWORKDAYS(MAX(D410,DATE(Einstellungen!$C$3,6,1)),MIN(J410,DATE(Einstellungen!$C$3,7,0)),Einstellungen!$F$13:$F$32)))</f>
        <v/>
      </c>
      <c r="R410" s="49">
        <f>IF(OR(A410="",D410=""),0,MAX(0,NETWORKDAYS(MAX(D410,DATE(Einstellungen!$C$3,7,1)),MIN(J410,DATE(Einstellungen!$C$3,8,0)),Einstellungen!$F$13:$F$32)))</f>
        <v/>
      </c>
      <c r="S410" s="49">
        <f>IF(OR(A410="",D410=""),0,MAX(0,NETWORKDAYS(MAX(D410,DATE(Einstellungen!$C$3,8,1)),MIN(J410,DATE(Einstellungen!$C$3,9,0)),Einstellungen!$F$13:$F$32)))</f>
        <v/>
      </c>
      <c r="T410" s="49">
        <f>IF(OR(A410="",D410=""),0,MAX(0,NETWORKDAYS(MAX(D410,DATE(Einstellungen!$C$3,9,1)),MIN(J410,DATE(Einstellungen!$C$3,10,0)),Einstellungen!$F$13:$F$32)))</f>
        <v/>
      </c>
      <c r="U410" s="49">
        <f>IF(OR(A410="",D410=""),0,MAX(0,NETWORKDAYS(MAX(D410,DATE(Einstellungen!$C$3,10,1)),MIN(J410,DATE(Einstellungen!$C$3,11,0)),Einstellungen!$F$13:$F$32)))</f>
        <v/>
      </c>
      <c r="V410" s="49">
        <f>IF(OR(A410="",D410=""),0,MAX(0,NETWORKDAYS(MAX(D410,DATE(Einstellungen!$C$3,11,1)),MIN(J410,DATE(Einstellungen!$C$3,12,0)),Einstellungen!$F$13:$F$32)))</f>
        <v/>
      </c>
      <c r="W410" s="49">
        <f>IF(OR(A410="",D410=""),0,MAX(0,NETWORKDAYS(MAX(D410,DATE(Einstellungen!$C$3,12,1)),MIN(J410,DATE(Einstellungen!$C$3,13,0)),Einstellungen!$F$13:$F$32)))</f>
        <v/>
      </c>
      <c r="X410" s="50">
        <f>L410*K410</f>
        <v/>
      </c>
      <c r="Y410" s="50">
        <f>M410*K410</f>
        <v/>
      </c>
      <c r="Z410" s="50">
        <f>N410*K410</f>
        <v/>
      </c>
      <c r="AA410" s="50">
        <f>O410*K410</f>
        <v/>
      </c>
      <c r="AB410" s="50">
        <f>P410*K410</f>
        <v/>
      </c>
      <c r="AC410" s="50">
        <f>Q410*K410</f>
        <v/>
      </c>
      <c r="AD410" s="50">
        <f>R410*K410</f>
        <v/>
      </c>
      <c r="AE410" s="50">
        <f>S410*K410</f>
        <v/>
      </c>
      <c r="AF410" s="50">
        <f>T410*K410</f>
        <v/>
      </c>
      <c r="AG410" s="50">
        <f>U410*K410</f>
        <v/>
      </c>
      <c r="AH410" s="50">
        <f>V410*K410</f>
        <v/>
      </c>
      <c r="AI410" s="50">
        <f>W410*K410</f>
        <v/>
      </c>
    </row>
    <row r="411">
      <c r="A411" s="25" t="n"/>
      <c r="B411" s="45">
        <f>IF(A411="","",IFERROR(INDEX(Mitarbeiter!$B$6:$B$205,MATCH($A411,Mitarbeiter!$A$6:$A$205,0)),"?"))</f>
        <v/>
      </c>
      <c r="C411" s="46" t="n"/>
      <c r="D411" s="26" t="n"/>
      <c r="E411" s="26" t="n"/>
      <c r="F411" s="24">
        <f>IF(A411="","",SUM(L411:W411))</f>
        <v/>
      </c>
      <c r="G411" s="36">
        <f>IF(A411="","",SUM(X411:AI411))</f>
        <v/>
      </c>
      <c r="H411" s="8">
        <f>IF(A411="","",IF(ISNA(MATCH(A411,Mitarbeiter!$A$6:$A$205,0)),"Pers.-Nr. unbekannt",IF(D411="","Von fehlt",IF(AND(C411&lt;&gt;Einstellungen!$C$4,C411&lt;&gt;Einstellungen!$C$5),"Objekt fehlt",IF(J411&lt;D411,"Bis vor Von",IF(D411&lt;INDEX(Mitarbeiter!$C$6:$C$205,MATCH($A411,Mitarbeiter!$A$6:$A$205,0)),"vor Eintritt",IF(AND(INDEX(Mitarbeiter!$D$6:$D$205,MATCH($A411,Mitarbeiter!$A$6:$A$205,0))&lt;&gt;"",D411&gt;INDEX(Mitarbeiter!$D$6:$D$205,MATCH($A411,Mitarbeiter!$A$6:$A$205,0))),"nach Austritt",IF(E411="","offen","ok"))))))))</f>
        <v/>
      </c>
      <c r="J411" s="47">
        <f>IF(A411="","",IF(E411="",Einstellungen!$C$9,E411))</f>
        <v/>
      </c>
      <c r="K411" s="48">
        <f>IF(A411="",0,IFERROR(INDEX(Mitarbeiter!$F$6:$F$205,MATCH($A411,Mitarbeiter!$A$6:$A$205,0)),0))</f>
        <v/>
      </c>
      <c r="L411" s="49">
        <f>IF(OR(A411="",D411=""),0,MAX(0,NETWORKDAYS(MAX(D411,DATE(Einstellungen!$C$3,1,1)),MIN(J411,DATE(Einstellungen!$C$3,2,0)),Einstellungen!$F$13:$F$32)))</f>
        <v/>
      </c>
      <c r="M411" s="49">
        <f>IF(OR(A411="",D411=""),0,MAX(0,NETWORKDAYS(MAX(D411,DATE(Einstellungen!$C$3,2,1)),MIN(J411,DATE(Einstellungen!$C$3,3,0)),Einstellungen!$F$13:$F$32)))</f>
        <v/>
      </c>
      <c r="N411" s="49">
        <f>IF(OR(A411="",D411=""),0,MAX(0,NETWORKDAYS(MAX(D411,DATE(Einstellungen!$C$3,3,1)),MIN(J411,DATE(Einstellungen!$C$3,4,0)),Einstellungen!$F$13:$F$32)))</f>
        <v/>
      </c>
      <c r="O411" s="49">
        <f>IF(OR(A411="",D411=""),0,MAX(0,NETWORKDAYS(MAX(D411,DATE(Einstellungen!$C$3,4,1)),MIN(J411,DATE(Einstellungen!$C$3,5,0)),Einstellungen!$F$13:$F$32)))</f>
        <v/>
      </c>
      <c r="P411" s="49">
        <f>IF(OR(A411="",D411=""),0,MAX(0,NETWORKDAYS(MAX(D411,DATE(Einstellungen!$C$3,5,1)),MIN(J411,DATE(Einstellungen!$C$3,6,0)),Einstellungen!$F$13:$F$32)))</f>
        <v/>
      </c>
      <c r="Q411" s="49">
        <f>IF(OR(A411="",D411=""),0,MAX(0,NETWORKDAYS(MAX(D411,DATE(Einstellungen!$C$3,6,1)),MIN(J411,DATE(Einstellungen!$C$3,7,0)),Einstellungen!$F$13:$F$32)))</f>
        <v/>
      </c>
      <c r="R411" s="49">
        <f>IF(OR(A411="",D411=""),0,MAX(0,NETWORKDAYS(MAX(D411,DATE(Einstellungen!$C$3,7,1)),MIN(J411,DATE(Einstellungen!$C$3,8,0)),Einstellungen!$F$13:$F$32)))</f>
        <v/>
      </c>
      <c r="S411" s="49">
        <f>IF(OR(A411="",D411=""),0,MAX(0,NETWORKDAYS(MAX(D411,DATE(Einstellungen!$C$3,8,1)),MIN(J411,DATE(Einstellungen!$C$3,9,0)),Einstellungen!$F$13:$F$32)))</f>
        <v/>
      </c>
      <c r="T411" s="49">
        <f>IF(OR(A411="",D411=""),0,MAX(0,NETWORKDAYS(MAX(D411,DATE(Einstellungen!$C$3,9,1)),MIN(J411,DATE(Einstellungen!$C$3,10,0)),Einstellungen!$F$13:$F$32)))</f>
        <v/>
      </c>
      <c r="U411" s="49">
        <f>IF(OR(A411="",D411=""),0,MAX(0,NETWORKDAYS(MAX(D411,DATE(Einstellungen!$C$3,10,1)),MIN(J411,DATE(Einstellungen!$C$3,11,0)),Einstellungen!$F$13:$F$32)))</f>
        <v/>
      </c>
      <c r="V411" s="49">
        <f>IF(OR(A411="",D411=""),0,MAX(0,NETWORKDAYS(MAX(D411,DATE(Einstellungen!$C$3,11,1)),MIN(J411,DATE(Einstellungen!$C$3,12,0)),Einstellungen!$F$13:$F$32)))</f>
        <v/>
      </c>
      <c r="W411" s="49">
        <f>IF(OR(A411="",D411=""),0,MAX(0,NETWORKDAYS(MAX(D411,DATE(Einstellungen!$C$3,12,1)),MIN(J411,DATE(Einstellungen!$C$3,13,0)),Einstellungen!$F$13:$F$32)))</f>
        <v/>
      </c>
      <c r="X411" s="50">
        <f>L411*K411</f>
        <v/>
      </c>
      <c r="Y411" s="50">
        <f>M411*K411</f>
        <v/>
      </c>
      <c r="Z411" s="50">
        <f>N411*K411</f>
        <v/>
      </c>
      <c r="AA411" s="50">
        <f>O411*K411</f>
        <v/>
      </c>
      <c r="AB411" s="50">
        <f>P411*K411</f>
        <v/>
      </c>
      <c r="AC411" s="50">
        <f>Q411*K411</f>
        <v/>
      </c>
      <c r="AD411" s="50">
        <f>R411*K411</f>
        <v/>
      </c>
      <c r="AE411" s="50">
        <f>S411*K411</f>
        <v/>
      </c>
      <c r="AF411" s="50">
        <f>T411*K411</f>
        <v/>
      </c>
      <c r="AG411" s="50">
        <f>U411*K411</f>
        <v/>
      </c>
      <c r="AH411" s="50">
        <f>V411*K411</f>
        <v/>
      </c>
      <c r="AI411" s="50">
        <f>W411*K411</f>
        <v/>
      </c>
    </row>
    <row r="412">
      <c r="A412" s="25" t="n"/>
      <c r="B412" s="45">
        <f>IF(A412="","",IFERROR(INDEX(Mitarbeiter!$B$6:$B$205,MATCH($A412,Mitarbeiter!$A$6:$A$205,0)),"?"))</f>
        <v/>
      </c>
      <c r="C412" s="46" t="n"/>
      <c r="D412" s="26" t="n"/>
      <c r="E412" s="26" t="n"/>
      <c r="F412" s="24">
        <f>IF(A412="","",SUM(L412:W412))</f>
        <v/>
      </c>
      <c r="G412" s="36">
        <f>IF(A412="","",SUM(X412:AI412))</f>
        <v/>
      </c>
      <c r="H412" s="8">
        <f>IF(A412="","",IF(ISNA(MATCH(A412,Mitarbeiter!$A$6:$A$205,0)),"Pers.-Nr. unbekannt",IF(D412="","Von fehlt",IF(AND(C412&lt;&gt;Einstellungen!$C$4,C412&lt;&gt;Einstellungen!$C$5),"Objekt fehlt",IF(J412&lt;D412,"Bis vor Von",IF(D412&lt;INDEX(Mitarbeiter!$C$6:$C$205,MATCH($A412,Mitarbeiter!$A$6:$A$205,0)),"vor Eintritt",IF(AND(INDEX(Mitarbeiter!$D$6:$D$205,MATCH($A412,Mitarbeiter!$A$6:$A$205,0))&lt;&gt;"",D412&gt;INDEX(Mitarbeiter!$D$6:$D$205,MATCH($A412,Mitarbeiter!$A$6:$A$205,0))),"nach Austritt",IF(E412="","offen","ok"))))))))</f>
        <v/>
      </c>
      <c r="J412" s="47">
        <f>IF(A412="","",IF(E412="",Einstellungen!$C$9,E412))</f>
        <v/>
      </c>
      <c r="K412" s="48">
        <f>IF(A412="",0,IFERROR(INDEX(Mitarbeiter!$F$6:$F$205,MATCH($A412,Mitarbeiter!$A$6:$A$205,0)),0))</f>
        <v/>
      </c>
      <c r="L412" s="49">
        <f>IF(OR(A412="",D412=""),0,MAX(0,NETWORKDAYS(MAX(D412,DATE(Einstellungen!$C$3,1,1)),MIN(J412,DATE(Einstellungen!$C$3,2,0)),Einstellungen!$F$13:$F$32)))</f>
        <v/>
      </c>
      <c r="M412" s="49">
        <f>IF(OR(A412="",D412=""),0,MAX(0,NETWORKDAYS(MAX(D412,DATE(Einstellungen!$C$3,2,1)),MIN(J412,DATE(Einstellungen!$C$3,3,0)),Einstellungen!$F$13:$F$32)))</f>
        <v/>
      </c>
      <c r="N412" s="49">
        <f>IF(OR(A412="",D412=""),0,MAX(0,NETWORKDAYS(MAX(D412,DATE(Einstellungen!$C$3,3,1)),MIN(J412,DATE(Einstellungen!$C$3,4,0)),Einstellungen!$F$13:$F$32)))</f>
        <v/>
      </c>
      <c r="O412" s="49">
        <f>IF(OR(A412="",D412=""),0,MAX(0,NETWORKDAYS(MAX(D412,DATE(Einstellungen!$C$3,4,1)),MIN(J412,DATE(Einstellungen!$C$3,5,0)),Einstellungen!$F$13:$F$32)))</f>
        <v/>
      </c>
      <c r="P412" s="49">
        <f>IF(OR(A412="",D412=""),0,MAX(0,NETWORKDAYS(MAX(D412,DATE(Einstellungen!$C$3,5,1)),MIN(J412,DATE(Einstellungen!$C$3,6,0)),Einstellungen!$F$13:$F$32)))</f>
        <v/>
      </c>
      <c r="Q412" s="49">
        <f>IF(OR(A412="",D412=""),0,MAX(0,NETWORKDAYS(MAX(D412,DATE(Einstellungen!$C$3,6,1)),MIN(J412,DATE(Einstellungen!$C$3,7,0)),Einstellungen!$F$13:$F$32)))</f>
        <v/>
      </c>
      <c r="R412" s="49">
        <f>IF(OR(A412="",D412=""),0,MAX(0,NETWORKDAYS(MAX(D412,DATE(Einstellungen!$C$3,7,1)),MIN(J412,DATE(Einstellungen!$C$3,8,0)),Einstellungen!$F$13:$F$32)))</f>
        <v/>
      </c>
      <c r="S412" s="49">
        <f>IF(OR(A412="",D412=""),0,MAX(0,NETWORKDAYS(MAX(D412,DATE(Einstellungen!$C$3,8,1)),MIN(J412,DATE(Einstellungen!$C$3,9,0)),Einstellungen!$F$13:$F$32)))</f>
        <v/>
      </c>
      <c r="T412" s="49">
        <f>IF(OR(A412="",D412=""),0,MAX(0,NETWORKDAYS(MAX(D412,DATE(Einstellungen!$C$3,9,1)),MIN(J412,DATE(Einstellungen!$C$3,10,0)),Einstellungen!$F$13:$F$32)))</f>
        <v/>
      </c>
      <c r="U412" s="49">
        <f>IF(OR(A412="",D412=""),0,MAX(0,NETWORKDAYS(MAX(D412,DATE(Einstellungen!$C$3,10,1)),MIN(J412,DATE(Einstellungen!$C$3,11,0)),Einstellungen!$F$13:$F$32)))</f>
        <v/>
      </c>
      <c r="V412" s="49">
        <f>IF(OR(A412="",D412=""),0,MAX(0,NETWORKDAYS(MAX(D412,DATE(Einstellungen!$C$3,11,1)),MIN(J412,DATE(Einstellungen!$C$3,12,0)),Einstellungen!$F$13:$F$32)))</f>
        <v/>
      </c>
      <c r="W412" s="49">
        <f>IF(OR(A412="",D412=""),0,MAX(0,NETWORKDAYS(MAX(D412,DATE(Einstellungen!$C$3,12,1)),MIN(J412,DATE(Einstellungen!$C$3,13,0)),Einstellungen!$F$13:$F$32)))</f>
        <v/>
      </c>
      <c r="X412" s="50">
        <f>L412*K412</f>
        <v/>
      </c>
      <c r="Y412" s="50">
        <f>M412*K412</f>
        <v/>
      </c>
      <c r="Z412" s="50">
        <f>N412*K412</f>
        <v/>
      </c>
      <c r="AA412" s="50">
        <f>O412*K412</f>
        <v/>
      </c>
      <c r="AB412" s="50">
        <f>P412*K412</f>
        <v/>
      </c>
      <c r="AC412" s="50">
        <f>Q412*K412</f>
        <v/>
      </c>
      <c r="AD412" s="50">
        <f>R412*K412</f>
        <v/>
      </c>
      <c r="AE412" s="50">
        <f>S412*K412</f>
        <v/>
      </c>
      <c r="AF412" s="50">
        <f>T412*K412</f>
        <v/>
      </c>
      <c r="AG412" s="50">
        <f>U412*K412</f>
        <v/>
      </c>
      <c r="AH412" s="50">
        <f>V412*K412</f>
        <v/>
      </c>
      <c r="AI412" s="50">
        <f>W412*K412</f>
        <v/>
      </c>
    </row>
    <row r="413">
      <c r="A413" s="25" t="n"/>
      <c r="B413" s="45">
        <f>IF(A413="","",IFERROR(INDEX(Mitarbeiter!$B$6:$B$205,MATCH($A413,Mitarbeiter!$A$6:$A$205,0)),"?"))</f>
        <v/>
      </c>
      <c r="C413" s="46" t="n"/>
      <c r="D413" s="26" t="n"/>
      <c r="E413" s="26" t="n"/>
      <c r="F413" s="24">
        <f>IF(A413="","",SUM(L413:W413))</f>
        <v/>
      </c>
      <c r="G413" s="36">
        <f>IF(A413="","",SUM(X413:AI413))</f>
        <v/>
      </c>
      <c r="H413" s="8">
        <f>IF(A413="","",IF(ISNA(MATCH(A413,Mitarbeiter!$A$6:$A$205,0)),"Pers.-Nr. unbekannt",IF(D413="","Von fehlt",IF(AND(C413&lt;&gt;Einstellungen!$C$4,C413&lt;&gt;Einstellungen!$C$5),"Objekt fehlt",IF(J413&lt;D413,"Bis vor Von",IF(D413&lt;INDEX(Mitarbeiter!$C$6:$C$205,MATCH($A413,Mitarbeiter!$A$6:$A$205,0)),"vor Eintritt",IF(AND(INDEX(Mitarbeiter!$D$6:$D$205,MATCH($A413,Mitarbeiter!$A$6:$A$205,0))&lt;&gt;"",D413&gt;INDEX(Mitarbeiter!$D$6:$D$205,MATCH($A413,Mitarbeiter!$A$6:$A$205,0))),"nach Austritt",IF(E413="","offen","ok"))))))))</f>
        <v/>
      </c>
      <c r="J413" s="47">
        <f>IF(A413="","",IF(E413="",Einstellungen!$C$9,E413))</f>
        <v/>
      </c>
      <c r="K413" s="48">
        <f>IF(A413="",0,IFERROR(INDEX(Mitarbeiter!$F$6:$F$205,MATCH($A413,Mitarbeiter!$A$6:$A$205,0)),0))</f>
        <v/>
      </c>
      <c r="L413" s="49">
        <f>IF(OR(A413="",D413=""),0,MAX(0,NETWORKDAYS(MAX(D413,DATE(Einstellungen!$C$3,1,1)),MIN(J413,DATE(Einstellungen!$C$3,2,0)),Einstellungen!$F$13:$F$32)))</f>
        <v/>
      </c>
      <c r="M413" s="49">
        <f>IF(OR(A413="",D413=""),0,MAX(0,NETWORKDAYS(MAX(D413,DATE(Einstellungen!$C$3,2,1)),MIN(J413,DATE(Einstellungen!$C$3,3,0)),Einstellungen!$F$13:$F$32)))</f>
        <v/>
      </c>
      <c r="N413" s="49">
        <f>IF(OR(A413="",D413=""),0,MAX(0,NETWORKDAYS(MAX(D413,DATE(Einstellungen!$C$3,3,1)),MIN(J413,DATE(Einstellungen!$C$3,4,0)),Einstellungen!$F$13:$F$32)))</f>
        <v/>
      </c>
      <c r="O413" s="49">
        <f>IF(OR(A413="",D413=""),0,MAX(0,NETWORKDAYS(MAX(D413,DATE(Einstellungen!$C$3,4,1)),MIN(J413,DATE(Einstellungen!$C$3,5,0)),Einstellungen!$F$13:$F$32)))</f>
        <v/>
      </c>
      <c r="P413" s="49">
        <f>IF(OR(A413="",D413=""),0,MAX(0,NETWORKDAYS(MAX(D413,DATE(Einstellungen!$C$3,5,1)),MIN(J413,DATE(Einstellungen!$C$3,6,0)),Einstellungen!$F$13:$F$32)))</f>
        <v/>
      </c>
      <c r="Q413" s="49">
        <f>IF(OR(A413="",D413=""),0,MAX(0,NETWORKDAYS(MAX(D413,DATE(Einstellungen!$C$3,6,1)),MIN(J413,DATE(Einstellungen!$C$3,7,0)),Einstellungen!$F$13:$F$32)))</f>
        <v/>
      </c>
      <c r="R413" s="49">
        <f>IF(OR(A413="",D413=""),0,MAX(0,NETWORKDAYS(MAX(D413,DATE(Einstellungen!$C$3,7,1)),MIN(J413,DATE(Einstellungen!$C$3,8,0)),Einstellungen!$F$13:$F$32)))</f>
        <v/>
      </c>
      <c r="S413" s="49">
        <f>IF(OR(A413="",D413=""),0,MAX(0,NETWORKDAYS(MAX(D413,DATE(Einstellungen!$C$3,8,1)),MIN(J413,DATE(Einstellungen!$C$3,9,0)),Einstellungen!$F$13:$F$32)))</f>
        <v/>
      </c>
      <c r="T413" s="49">
        <f>IF(OR(A413="",D413=""),0,MAX(0,NETWORKDAYS(MAX(D413,DATE(Einstellungen!$C$3,9,1)),MIN(J413,DATE(Einstellungen!$C$3,10,0)),Einstellungen!$F$13:$F$32)))</f>
        <v/>
      </c>
      <c r="U413" s="49">
        <f>IF(OR(A413="",D413=""),0,MAX(0,NETWORKDAYS(MAX(D413,DATE(Einstellungen!$C$3,10,1)),MIN(J413,DATE(Einstellungen!$C$3,11,0)),Einstellungen!$F$13:$F$32)))</f>
        <v/>
      </c>
      <c r="V413" s="49">
        <f>IF(OR(A413="",D413=""),0,MAX(0,NETWORKDAYS(MAX(D413,DATE(Einstellungen!$C$3,11,1)),MIN(J413,DATE(Einstellungen!$C$3,12,0)),Einstellungen!$F$13:$F$32)))</f>
        <v/>
      </c>
      <c r="W413" s="49">
        <f>IF(OR(A413="",D413=""),0,MAX(0,NETWORKDAYS(MAX(D413,DATE(Einstellungen!$C$3,12,1)),MIN(J413,DATE(Einstellungen!$C$3,13,0)),Einstellungen!$F$13:$F$32)))</f>
        <v/>
      </c>
      <c r="X413" s="50">
        <f>L413*K413</f>
        <v/>
      </c>
      <c r="Y413" s="50">
        <f>M413*K413</f>
        <v/>
      </c>
      <c r="Z413" s="50">
        <f>N413*K413</f>
        <v/>
      </c>
      <c r="AA413" s="50">
        <f>O413*K413</f>
        <v/>
      </c>
      <c r="AB413" s="50">
        <f>P413*K413</f>
        <v/>
      </c>
      <c r="AC413" s="50">
        <f>Q413*K413</f>
        <v/>
      </c>
      <c r="AD413" s="50">
        <f>R413*K413</f>
        <v/>
      </c>
      <c r="AE413" s="50">
        <f>S413*K413</f>
        <v/>
      </c>
      <c r="AF413" s="50">
        <f>T413*K413</f>
        <v/>
      </c>
      <c r="AG413" s="50">
        <f>U413*K413</f>
        <v/>
      </c>
      <c r="AH413" s="50">
        <f>V413*K413</f>
        <v/>
      </c>
      <c r="AI413" s="50">
        <f>W413*K413</f>
        <v/>
      </c>
    </row>
    <row r="414">
      <c r="A414" s="25" t="n"/>
      <c r="B414" s="45">
        <f>IF(A414="","",IFERROR(INDEX(Mitarbeiter!$B$6:$B$205,MATCH($A414,Mitarbeiter!$A$6:$A$205,0)),"?"))</f>
        <v/>
      </c>
      <c r="C414" s="46" t="n"/>
      <c r="D414" s="26" t="n"/>
      <c r="E414" s="26" t="n"/>
      <c r="F414" s="24">
        <f>IF(A414="","",SUM(L414:W414))</f>
        <v/>
      </c>
      <c r="G414" s="36">
        <f>IF(A414="","",SUM(X414:AI414))</f>
        <v/>
      </c>
      <c r="H414" s="8">
        <f>IF(A414="","",IF(ISNA(MATCH(A414,Mitarbeiter!$A$6:$A$205,0)),"Pers.-Nr. unbekannt",IF(D414="","Von fehlt",IF(AND(C414&lt;&gt;Einstellungen!$C$4,C414&lt;&gt;Einstellungen!$C$5),"Objekt fehlt",IF(J414&lt;D414,"Bis vor Von",IF(D414&lt;INDEX(Mitarbeiter!$C$6:$C$205,MATCH($A414,Mitarbeiter!$A$6:$A$205,0)),"vor Eintritt",IF(AND(INDEX(Mitarbeiter!$D$6:$D$205,MATCH($A414,Mitarbeiter!$A$6:$A$205,0))&lt;&gt;"",D414&gt;INDEX(Mitarbeiter!$D$6:$D$205,MATCH($A414,Mitarbeiter!$A$6:$A$205,0))),"nach Austritt",IF(E414="","offen","ok"))))))))</f>
        <v/>
      </c>
      <c r="J414" s="47">
        <f>IF(A414="","",IF(E414="",Einstellungen!$C$9,E414))</f>
        <v/>
      </c>
      <c r="K414" s="48">
        <f>IF(A414="",0,IFERROR(INDEX(Mitarbeiter!$F$6:$F$205,MATCH($A414,Mitarbeiter!$A$6:$A$205,0)),0))</f>
        <v/>
      </c>
      <c r="L414" s="49">
        <f>IF(OR(A414="",D414=""),0,MAX(0,NETWORKDAYS(MAX(D414,DATE(Einstellungen!$C$3,1,1)),MIN(J414,DATE(Einstellungen!$C$3,2,0)),Einstellungen!$F$13:$F$32)))</f>
        <v/>
      </c>
      <c r="M414" s="49">
        <f>IF(OR(A414="",D414=""),0,MAX(0,NETWORKDAYS(MAX(D414,DATE(Einstellungen!$C$3,2,1)),MIN(J414,DATE(Einstellungen!$C$3,3,0)),Einstellungen!$F$13:$F$32)))</f>
        <v/>
      </c>
      <c r="N414" s="49">
        <f>IF(OR(A414="",D414=""),0,MAX(0,NETWORKDAYS(MAX(D414,DATE(Einstellungen!$C$3,3,1)),MIN(J414,DATE(Einstellungen!$C$3,4,0)),Einstellungen!$F$13:$F$32)))</f>
        <v/>
      </c>
      <c r="O414" s="49">
        <f>IF(OR(A414="",D414=""),0,MAX(0,NETWORKDAYS(MAX(D414,DATE(Einstellungen!$C$3,4,1)),MIN(J414,DATE(Einstellungen!$C$3,5,0)),Einstellungen!$F$13:$F$32)))</f>
        <v/>
      </c>
      <c r="P414" s="49">
        <f>IF(OR(A414="",D414=""),0,MAX(0,NETWORKDAYS(MAX(D414,DATE(Einstellungen!$C$3,5,1)),MIN(J414,DATE(Einstellungen!$C$3,6,0)),Einstellungen!$F$13:$F$32)))</f>
        <v/>
      </c>
      <c r="Q414" s="49">
        <f>IF(OR(A414="",D414=""),0,MAX(0,NETWORKDAYS(MAX(D414,DATE(Einstellungen!$C$3,6,1)),MIN(J414,DATE(Einstellungen!$C$3,7,0)),Einstellungen!$F$13:$F$32)))</f>
        <v/>
      </c>
      <c r="R414" s="49">
        <f>IF(OR(A414="",D414=""),0,MAX(0,NETWORKDAYS(MAX(D414,DATE(Einstellungen!$C$3,7,1)),MIN(J414,DATE(Einstellungen!$C$3,8,0)),Einstellungen!$F$13:$F$32)))</f>
        <v/>
      </c>
      <c r="S414" s="49">
        <f>IF(OR(A414="",D414=""),0,MAX(0,NETWORKDAYS(MAX(D414,DATE(Einstellungen!$C$3,8,1)),MIN(J414,DATE(Einstellungen!$C$3,9,0)),Einstellungen!$F$13:$F$32)))</f>
        <v/>
      </c>
      <c r="T414" s="49">
        <f>IF(OR(A414="",D414=""),0,MAX(0,NETWORKDAYS(MAX(D414,DATE(Einstellungen!$C$3,9,1)),MIN(J414,DATE(Einstellungen!$C$3,10,0)),Einstellungen!$F$13:$F$32)))</f>
        <v/>
      </c>
      <c r="U414" s="49">
        <f>IF(OR(A414="",D414=""),0,MAX(0,NETWORKDAYS(MAX(D414,DATE(Einstellungen!$C$3,10,1)),MIN(J414,DATE(Einstellungen!$C$3,11,0)),Einstellungen!$F$13:$F$32)))</f>
        <v/>
      </c>
      <c r="V414" s="49">
        <f>IF(OR(A414="",D414=""),0,MAX(0,NETWORKDAYS(MAX(D414,DATE(Einstellungen!$C$3,11,1)),MIN(J414,DATE(Einstellungen!$C$3,12,0)),Einstellungen!$F$13:$F$32)))</f>
        <v/>
      </c>
      <c r="W414" s="49">
        <f>IF(OR(A414="",D414=""),0,MAX(0,NETWORKDAYS(MAX(D414,DATE(Einstellungen!$C$3,12,1)),MIN(J414,DATE(Einstellungen!$C$3,13,0)),Einstellungen!$F$13:$F$32)))</f>
        <v/>
      </c>
      <c r="X414" s="50">
        <f>L414*K414</f>
        <v/>
      </c>
      <c r="Y414" s="50">
        <f>M414*K414</f>
        <v/>
      </c>
      <c r="Z414" s="50">
        <f>N414*K414</f>
        <v/>
      </c>
      <c r="AA414" s="50">
        <f>O414*K414</f>
        <v/>
      </c>
      <c r="AB414" s="50">
        <f>P414*K414</f>
        <v/>
      </c>
      <c r="AC414" s="50">
        <f>Q414*K414</f>
        <v/>
      </c>
      <c r="AD414" s="50">
        <f>R414*K414</f>
        <v/>
      </c>
      <c r="AE414" s="50">
        <f>S414*K414</f>
        <v/>
      </c>
      <c r="AF414" s="50">
        <f>T414*K414</f>
        <v/>
      </c>
      <c r="AG414" s="50">
        <f>U414*K414</f>
        <v/>
      </c>
      <c r="AH414" s="50">
        <f>V414*K414</f>
        <v/>
      </c>
      <c r="AI414" s="50">
        <f>W414*K414</f>
        <v/>
      </c>
    </row>
    <row r="415">
      <c r="A415" s="25" t="n"/>
      <c r="B415" s="45">
        <f>IF(A415="","",IFERROR(INDEX(Mitarbeiter!$B$6:$B$205,MATCH($A415,Mitarbeiter!$A$6:$A$205,0)),"?"))</f>
        <v/>
      </c>
      <c r="C415" s="46" t="n"/>
      <c r="D415" s="26" t="n"/>
      <c r="E415" s="26" t="n"/>
      <c r="F415" s="24">
        <f>IF(A415="","",SUM(L415:W415))</f>
        <v/>
      </c>
      <c r="G415" s="36">
        <f>IF(A415="","",SUM(X415:AI415))</f>
        <v/>
      </c>
      <c r="H415" s="8">
        <f>IF(A415="","",IF(ISNA(MATCH(A415,Mitarbeiter!$A$6:$A$205,0)),"Pers.-Nr. unbekannt",IF(D415="","Von fehlt",IF(AND(C415&lt;&gt;Einstellungen!$C$4,C415&lt;&gt;Einstellungen!$C$5),"Objekt fehlt",IF(J415&lt;D415,"Bis vor Von",IF(D415&lt;INDEX(Mitarbeiter!$C$6:$C$205,MATCH($A415,Mitarbeiter!$A$6:$A$205,0)),"vor Eintritt",IF(AND(INDEX(Mitarbeiter!$D$6:$D$205,MATCH($A415,Mitarbeiter!$A$6:$A$205,0))&lt;&gt;"",D415&gt;INDEX(Mitarbeiter!$D$6:$D$205,MATCH($A415,Mitarbeiter!$A$6:$A$205,0))),"nach Austritt",IF(E415="","offen","ok"))))))))</f>
        <v/>
      </c>
      <c r="J415" s="47">
        <f>IF(A415="","",IF(E415="",Einstellungen!$C$9,E415))</f>
        <v/>
      </c>
      <c r="K415" s="48">
        <f>IF(A415="",0,IFERROR(INDEX(Mitarbeiter!$F$6:$F$205,MATCH($A415,Mitarbeiter!$A$6:$A$205,0)),0))</f>
        <v/>
      </c>
      <c r="L415" s="49">
        <f>IF(OR(A415="",D415=""),0,MAX(0,NETWORKDAYS(MAX(D415,DATE(Einstellungen!$C$3,1,1)),MIN(J415,DATE(Einstellungen!$C$3,2,0)),Einstellungen!$F$13:$F$32)))</f>
        <v/>
      </c>
      <c r="M415" s="49">
        <f>IF(OR(A415="",D415=""),0,MAX(0,NETWORKDAYS(MAX(D415,DATE(Einstellungen!$C$3,2,1)),MIN(J415,DATE(Einstellungen!$C$3,3,0)),Einstellungen!$F$13:$F$32)))</f>
        <v/>
      </c>
      <c r="N415" s="49">
        <f>IF(OR(A415="",D415=""),0,MAX(0,NETWORKDAYS(MAX(D415,DATE(Einstellungen!$C$3,3,1)),MIN(J415,DATE(Einstellungen!$C$3,4,0)),Einstellungen!$F$13:$F$32)))</f>
        <v/>
      </c>
      <c r="O415" s="49">
        <f>IF(OR(A415="",D415=""),0,MAX(0,NETWORKDAYS(MAX(D415,DATE(Einstellungen!$C$3,4,1)),MIN(J415,DATE(Einstellungen!$C$3,5,0)),Einstellungen!$F$13:$F$32)))</f>
        <v/>
      </c>
      <c r="P415" s="49">
        <f>IF(OR(A415="",D415=""),0,MAX(0,NETWORKDAYS(MAX(D415,DATE(Einstellungen!$C$3,5,1)),MIN(J415,DATE(Einstellungen!$C$3,6,0)),Einstellungen!$F$13:$F$32)))</f>
        <v/>
      </c>
      <c r="Q415" s="49">
        <f>IF(OR(A415="",D415=""),0,MAX(0,NETWORKDAYS(MAX(D415,DATE(Einstellungen!$C$3,6,1)),MIN(J415,DATE(Einstellungen!$C$3,7,0)),Einstellungen!$F$13:$F$32)))</f>
        <v/>
      </c>
      <c r="R415" s="49">
        <f>IF(OR(A415="",D415=""),0,MAX(0,NETWORKDAYS(MAX(D415,DATE(Einstellungen!$C$3,7,1)),MIN(J415,DATE(Einstellungen!$C$3,8,0)),Einstellungen!$F$13:$F$32)))</f>
        <v/>
      </c>
      <c r="S415" s="49">
        <f>IF(OR(A415="",D415=""),0,MAX(0,NETWORKDAYS(MAX(D415,DATE(Einstellungen!$C$3,8,1)),MIN(J415,DATE(Einstellungen!$C$3,9,0)),Einstellungen!$F$13:$F$32)))</f>
        <v/>
      </c>
      <c r="T415" s="49">
        <f>IF(OR(A415="",D415=""),0,MAX(0,NETWORKDAYS(MAX(D415,DATE(Einstellungen!$C$3,9,1)),MIN(J415,DATE(Einstellungen!$C$3,10,0)),Einstellungen!$F$13:$F$32)))</f>
        <v/>
      </c>
      <c r="U415" s="49">
        <f>IF(OR(A415="",D415=""),0,MAX(0,NETWORKDAYS(MAX(D415,DATE(Einstellungen!$C$3,10,1)),MIN(J415,DATE(Einstellungen!$C$3,11,0)),Einstellungen!$F$13:$F$32)))</f>
        <v/>
      </c>
      <c r="V415" s="49">
        <f>IF(OR(A415="",D415=""),0,MAX(0,NETWORKDAYS(MAX(D415,DATE(Einstellungen!$C$3,11,1)),MIN(J415,DATE(Einstellungen!$C$3,12,0)),Einstellungen!$F$13:$F$32)))</f>
        <v/>
      </c>
      <c r="W415" s="49">
        <f>IF(OR(A415="",D415=""),0,MAX(0,NETWORKDAYS(MAX(D415,DATE(Einstellungen!$C$3,12,1)),MIN(J415,DATE(Einstellungen!$C$3,13,0)),Einstellungen!$F$13:$F$32)))</f>
        <v/>
      </c>
      <c r="X415" s="50">
        <f>L415*K415</f>
        <v/>
      </c>
      <c r="Y415" s="50">
        <f>M415*K415</f>
        <v/>
      </c>
      <c r="Z415" s="50">
        <f>N415*K415</f>
        <v/>
      </c>
      <c r="AA415" s="50">
        <f>O415*K415</f>
        <v/>
      </c>
      <c r="AB415" s="50">
        <f>P415*K415</f>
        <v/>
      </c>
      <c r="AC415" s="50">
        <f>Q415*K415</f>
        <v/>
      </c>
      <c r="AD415" s="50">
        <f>R415*K415</f>
        <v/>
      </c>
      <c r="AE415" s="50">
        <f>S415*K415</f>
        <v/>
      </c>
      <c r="AF415" s="50">
        <f>T415*K415</f>
        <v/>
      </c>
      <c r="AG415" s="50">
        <f>U415*K415</f>
        <v/>
      </c>
      <c r="AH415" s="50">
        <f>V415*K415</f>
        <v/>
      </c>
      <c r="AI415" s="50">
        <f>W415*K415</f>
        <v/>
      </c>
    </row>
    <row r="416">
      <c r="A416" s="25" t="n"/>
      <c r="B416" s="45">
        <f>IF(A416="","",IFERROR(INDEX(Mitarbeiter!$B$6:$B$205,MATCH($A416,Mitarbeiter!$A$6:$A$205,0)),"?"))</f>
        <v/>
      </c>
      <c r="C416" s="46" t="n"/>
      <c r="D416" s="26" t="n"/>
      <c r="E416" s="26" t="n"/>
      <c r="F416" s="24">
        <f>IF(A416="","",SUM(L416:W416))</f>
        <v/>
      </c>
      <c r="G416" s="36">
        <f>IF(A416="","",SUM(X416:AI416))</f>
        <v/>
      </c>
      <c r="H416" s="8">
        <f>IF(A416="","",IF(ISNA(MATCH(A416,Mitarbeiter!$A$6:$A$205,0)),"Pers.-Nr. unbekannt",IF(D416="","Von fehlt",IF(AND(C416&lt;&gt;Einstellungen!$C$4,C416&lt;&gt;Einstellungen!$C$5),"Objekt fehlt",IF(J416&lt;D416,"Bis vor Von",IF(D416&lt;INDEX(Mitarbeiter!$C$6:$C$205,MATCH($A416,Mitarbeiter!$A$6:$A$205,0)),"vor Eintritt",IF(AND(INDEX(Mitarbeiter!$D$6:$D$205,MATCH($A416,Mitarbeiter!$A$6:$A$205,0))&lt;&gt;"",D416&gt;INDEX(Mitarbeiter!$D$6:$D$205,MATCH($A416,Mitarbeiter!$A$6:$A$205,0))),"nach Austritt",IF(E416="","offen","ok"))))))))</f>
        <v/>
      </c>
      <c r="J416" s="47">
        <f>IF(A416="","",IF(E416="",Einstellungen!$C$9,E416))</f>
        <v/>
      </c>
      <c r="K416" s="48">
        <f>IF(A416="",0,IFERROR(INDEX(Mitarbeiter!$F$6:$F$205,MATCH($A416,Mitarbeiter!$A$6:$A$205,0)),0))</f>
        <v/>
      </c>
      <c r="L416" s="49">
        <f>IF(OR(A416="",D416=""),0,MAX(0,NETWORKDAYS(MAX(D416,DATE(Einstellungen!$C$3,1,1)),MIN(J416,DATE(Einstellungen!$C$3,2,0)),Einstellungen!$F$13:$F$32)))</f>
        <v/>
      </c>
      <c r="M416" s="49">
        <f>IF(OR(A416="",D416=""),0,MAX(0,NETWORKDAYS(MAX(D416,DATE(Einstellungen!$C$3,2,1)),MIN(J416,DATE(Einstellungen!$C$3,3,0)),Einstellungen!$F$13:$F$32)))</f>
        <v/>
      </c>
      <c r="N416" s="49">
        <f>IF(OR(A416="",D416=""),0,MAX(0,NETWORKDAYS(MAX(D416,DATE(Einstellungen!$C$3,3,1)),MIN(J416,DATE(Einstellungen!$C$3,4,0)),Einstellungen!$F$13:$F$32)))</f>
        <v/>
      </c>
      <c r="O416" s="49">
        <f>IF(OR(A416="",D416=""),0,MAX(0,NETWORKDAYS(MAX(D416,DATE(Einstellungen!$C$3,4,1)),MIN(J416,DATE(Einstellungen!$C$3,5,0)),Einstellungen!$F$13:$F$32)))</f>
        <v/>
      </c>
      <c r="P416" s="49">
        <f>IF(OR(A416="",D416=""),0,MAX(0,NETWORKDAYS(MAX(D416,DATE(Einstellungen!$C$3,5,1)),MIN(J416,DATE(Einstellungen!$C$3,6,0)),Einstellungen!$F$13:$F$32)))</f>
        <v/>
      </c>
      <c r="Q416" s="49">
        <f>IF(OR(A416="",D416=""),0,MAX(0,NETWORKDAYS(MAX(D416,DATE(Einstellungen!$C$3,6,1)),MIN(J416,DATE(Einstellungen!$C$3,7,0)),Einstellungen!$F$13:$F$32)))</f>
        <v/>
      </c>
      <c r="R416" s="49">
        <f>IF(OR(A416="",D416=""),0,MAX(0,NETWORKDAYS(MAX(D416,DATE(Einstellungen!$C$3,7,1)),MIN(J416,DATE(Einstellungen!$C$3,8,0)),Einstellungen!$F$13:$F$32)))</f>
        <v/>
      </c>
      <c r="S416" s="49">
        <f>IF(OR(A416="",D416=""),0,MAX(0,NETWORKDAYS(MAX(D416,DATE(Einstellungen!$C$3,8,1)),MIN(J416,DATE(Einstellungen!$C$3,9,0)),Einstellungen!$F$13:$F$32)))</f>
        <v/>
      </c>
      <c r="T416" s="49">
        <f>IF(OR(A416="",D416=""),0,MAX(0,NETWORKDAYS(MAX(D416,DATE(Einstellungen!$C$3,9,1)),MIN(J416,DATE(Einstellungen!$C$3,10,0)),Einstellungen!$F$13:$F$32)))</f>
        <v/>
      </c>
      <c r="U416" s="49">
        <f>IF(OR(A416="",D416=""),0,MAX(0,NETWORKDAYS(MAX(D416,DATE(Einstellungen!$C$3,10,1)),MIN(J416,DATE(Einstellungen!$C$3,11,0)),Einstellungen!$F$13:$F$32)))</f>
        <v/>
      </c>
      <c r="V416" s="49">
        <f>IF(OR(A416="",D416=""),0,MAX(0,NETWORKDAYS(MAX(D416,DATE(Einstellungen!$C$3,11,1)),MIN(J416,DATE(Einstellungen!$C$3,12,0)),Einstellungen!$F$13:$F$32)))</f>
        <v/>
      </c>
      <c r="W416" s="49">
        <f>IF(OR(A416="",D416=""),0,MAX(0,NETWORKDAYS(MAX(D416,DATE(Einstellungen!$C$3,12,1)),MIN(J416,DATE(Einstellungen!$C$3,13,0)),Einstellungen!$F$13:$F$32)))</f>
        <v/>
      </c>
      <c r="X416" s="50">
        <f>L416*K416</f>
        <v/>
      </c>
      <c r="Y416" s="50">
        <f>M416*K416</f>
        <v/>
      </c>
      <c r="Z416" s="50">
        <f>N416*K416</f>
        <v/>
      </c>
      <c r="AA416" s="50">
        <f>O416*K416</f>
        <v/>
      </c>
      <c r="AB416" s="50">
        <f>P416*K416</f>
        <v/>
      </c>
      <c r="AC416" s="50">
        <f>Q416*K416</f>
        <v/>
      </c>
      <c r="AD416" s="50">
        <f>R416*K416</f>
        <v/>
      </c>
      <c r="AE416" s="50">
        <f>S416*K416</f>
        <v/>
      </c>
      <c r="AF416" s="50">
        <f>T416*K416</f>
        <v/>
      </c>
      <c r="AG416" s="50">
        <f>U416*K416</f>
        <v/>
      </c>
      <c r="AH416" s="50">
        <f>V416*K416</f>
        <v/>
      </c>
      <c r="AI416" s="50">
        <f>W416*K416</f>
        <v/>
      </c>
    </row>
    <row r="417">
      <c r="A417" s="25" t="n"/>
      <c r="B417" s="45">
        <f>IF(A417="","",IFERROR(INDEX(Mitarbeiter!$B$6:$B$205,MATCH($A417,Mitarbeiter!$A$6:$A$205,0)),"?"))</f>
        <v/>
      </c>
      <c r="C417" s="46" t="n"/>
      <c r="D417" s="26" t="n"/>
      <c r="E417" s="26" t="n"/>
      <c r="F417" s="24">
        <f>IF(A417="","",SUM(L417:W417))</f>
        <v/>
      </c>
      <c r="G417" s="36">
        <f>IF(A417="","",SUM(X417:AI417))</f>
        <v/>
      </c>
      <c r="H417" s="8">
        <f>IF(A417="","",IF(ISNA(MATCH(A417,Mitarbeiter!$A$6:$A$205,0)),"Pers.-Nr. unbekannt",IF(D417="","Von fehlt",IF(AND(C417&lt;&gt;Einstellungen!$C$4,C417&lt;&gt;Einstellungen!$C$5),"Objekt fehlt",IF(J417&lt;D417,"Bis vor Von",IF(D417&lt;INDEX(Mitarbeiter!$C$6:$C$205,MATCH($A417,Mitarbeiter!$A$6:$A$205,0)),"vor Eintritt",IF(AND(INDEX(Mitarbeiter!$D$6:$D$205,MATCH($A417,Mitarbeiter!$A$6:$A$205,0))&lt;&gt;"",D417&gt;INDEX(Mitarbeiter!$D$6:$D$205,MATCH($A417,Mitarbeiter!$A$6:$A$205,0))),"nach Austritt",IF(E417="","offen","ok"))))))))</f>
        <v/>
      </c>
      <c r="J417" s="47">
        <f>IF(A417="","",IF(E417="",Einstellungen!$C$9,E417))</f>
        <v/>
      </c>
      <c r="K417" s="48">
        <f>IF(A417="",0,IFERROR(INDEX(Mitarbeiter!$F$6:$F$205,MATCH($A417,Mitarbeiter!$A$6:$A$205,0)),0))</f>
        <v/>
      </c>
      <c r="L417" s="49">
        <f>IF(OR(A417="",D417=""),0,MAX(0,NETWORKDAYS(MAX(D417,DATE(Einstellungen!$C$3,1,1)),MIN(J417,DATE(Einstellungen!$C$3,2,0)),Einstellungen!$F$13:$F$32)))</f>
        <v/>
      </c>
      <c r="M417" s="49">
        <f>IF(OR(A417="",D417=""),0,MAX(0,NETWORKDAYS(MAX(D417,DATE(Einstellungen!$C$3,2,1)),MIN(J417,DATE(Einstellungen!$C$3,3,0)),Einstellungen!$F$13:$F$32)))</f>
        <v/>
      </c>
      <c r="N417" s="49">
        <f>IF(OR(A417="",D417=""),0,MAX(0,NETWORKDAYS(MAX(D417,DATE(Einstellungen!$C$3,3,1)),MIN(J417,DATE(Einstellungen!$C$3,4,0)),Einstellungen!$F$13:$F$32)))</f>
        <v/>
      </c>
      <c r="O417" s="49">
        <f>IF(OR(A417="",D417=""),0,MAX(0,NETWORKDAYS(MAX(D417,DATE(Einstellungen!$C$3,4,1)),MIN(J417,DATE(Einstellungen!$C$3,5,0)),Einstellungen!$F$13:$F$32)))</f>
        <v/>
      </c>
      <c r="P417" s="49">
        <f>IF(OR(A417="",D417=""),0,MAX(0,NETWORKDAYS(MAX(D417,DATE(Einstellungen!$C$3,5,1)),MIN(J417,DATE(Einstellungen!$C$3,6,0)),Einstellungen!$F$13:$F$32)))</f>
        <v/>
      </c>
      <c r="Q417" s="49">
        <f>IF(OR(A417="",D417=""),0,MAX(0,NETWORKDAYS(MAX(D417,DATE(Einstellungen!$C$3,6,1)),MIN(J417,DATE(Einstellungen!$C$3,7,0)),Einstellungen!$F$13:$F$32)))</f>
        <v/>
      </c>
      <c r="R417" s="49">
        <f>IF(OR(A417="",D417=""),0,MAX(0,NETWORKDAYS(MAX(D417,DATE(Einstellungen!$C$3,7,1)),MIN(J417,DATE(Einstellungen!$C$3,8,0)),Einstellungen!$F$13:$F$32)))</f>
        <v/>
      </c>
      <c r="S417" s="49">
        <f>IF(OR(A417="",D417=""),0,MAX(0,NETWORKDAYS(MAX(D417,DATE(Einstellungen!$C$3,8,1)),MIN(J417,DATE(Einstellungen!$C$3,9,0)),Einstellungen!$F$13:$F$32)))</f>
        <v/>
      </c>
      <c r="T417" s="49">
        <f>IF(OR(A417="",D417=""),0,MAX(0,NETWORKDAYS(MAX(D417,DATE(Einstellungen!$C$3,9,1)),MIN(J417,DATE(Einstellungen!$C$3,10,0)),Einstellungen!$F$13:$F$32)))</f>
        <v/>
      </c>
      <c r="U417" s="49">
        <f>IF(OR(A417="",D417=""),0,MAX(0,NETWORKDAYS(MAX(D417,DATE(Einstellungen!$C$3,10,1)),MIN(J417,DATE(Einstellungen!$C$3,11,0)),Einstellungen!$F$13:$F$32)))</f>
        <v/>
      </c>
      <c r="V417" s="49">
        <f>IF(OR(A417="",D417=""),0,MAX(0,NETWORKDAYS(MAX(D417,DATE(Einstellungen!$C$3,11,1)),MIN(J417,DATE(Einstellungen!$C$3,12,0)),Einstellungen!$F$13:$F$32)))</f>
        <v/>
      </c>
      <c r="W417" s="49">
        <f>IF(OR(A417="",D417=""),0,MAX(0,NETWORKDAYS(MAX(D417,DATE(Einstellungen!$C$3,12,1)),MIN(J417,DATE(Einstellungen!$C$3,13,0)),Einstellungen!$F$13:$F$32)))</f>
        <v/>
      </c>
      <c r="X417" s="50">
        <f>L417*K417</f>
        <v/>
      </c>
      <c r="Y417" s="50">
        <f>M417*K417</f>
        <v/>
      </c>
      <c r="Z417" s="50">
        <f>N417*K417</f>
        <v/>
      </c>
      <c r="AA417" s="50">
        <f>O417*K417</f>
        <v/>
      </c>
      <c r="AB417" s="50">
        <f>P417*K417</f>
        <v/>
      </c>
      <c r="AC417" s="50">
        <f>Q417*K417</f>
        <v/>
      </c>
      <c r="AD417" s="50">
        <f>R417*K417</f>
        <v/>
      </c>
      <c r="AE417" s="50">
        <f>S417*K417</f>
        <v/>
      </c>
      <c r="AF417" s="50">
        <f>T417*K417</f>
        <v/>
      </c>
      <c r="AG417" s="50">
        <f>U417*K417</f>
        <v/>
      </c>
      <c r="AH417" s="50">
        <f>V417*K417</f>
        <v/>
      </c>
      <c r="AI417" s="50">
        <f>W417*K417</f>
        <v/>
      </c>
    </row>
    <row r="418">
      <c r="A418" s="25" t="n"/>
      <c r="B418" s="45">
        <f>IF(A418="","",IFERROR(INDEX(Mitarbeiter!$B$6:$B$205,MATCH($A418,Mitarbeiter!$A$6:$A$205,0)),"?"))</f>
        <v/>
      </c>
      <c r="C418" s="46" t="n"/>
      <c r="D418" s="26" t="n"/>
      <c r="E418" s="26" t="n"/>
      <c r="F418" s="24">
        <f>IF(A418="","",SUM(L418:W418))</f>
        <v/>
      </c>
      <c r="G418" s="36">
        <f>IF(A418="","",SUM(X418:AI418))</f>
        <v/>
      </c>
      <c r="H418" s="8">
        <f>IF(A418="","",IF(ISNA(MATCH(A418,Mitarbeiter!$A$6:$A$205,0)),"Pers.-Nr. unbekannt",IF(D418="","Von fehlt",IF(AND(C418&lt;&gt;Einstellungen!$C$4,C418&lt;&gt;Einstellungen!$C$5),"Objekt fehlt",IF(J418&lt;D418,"Bis vor Von",IF(D418&lt;INDEX(Mitarbeiter!$C$6:$C$205,MATCH($A418,Mitarbeiter!$A$6:$A$205,0)),"vor Eintritt",IF(AND(INDEX(Mitarbeiter!$D$6:$D$205,MATCH($A418,Mitarbeiter!$A$6:$A$205,0))&lt;&gt;"",D418&gt;INDEX(Mitarbeiter!$D$6:$D$205,MATCH($A418,Mitarbeiter!$A$6:$A$205,0))),"nach Austritt",IF(E418="","offen","ok"))))))))</f>
        <v/>
      </c>
      <c r="J418" s="47">
        <f>IF(A418="","",IF(E418="",Einstellungen!$C$9,E418))</f>
        <v/>
      </c>
      <c r="K418" s="48">
        <f>IF(A418="",0,IFERROR(INDEX(Mitarbeiter!$F$6:$F$205,MATCH($A418,Mitarbeiter!$A$6:$A$205,0)),0))</f>
        <v/>
      </c>
      <c r="L418" s="49">
        <f>IF(OR(A418="",D418=""),0,MAX(0,NETWORKDAYS(MAX(D418,DATE(Einstellungen!$C$3,1,1)),MIN(J418,DATE(Einstellungen!$C$3,2,0)),Einstellungen!$F$13:$F$32)))</f>
        <v/>
      </c>
      <c r="M418" s="49">
        <f>IF(OR(A418="",D418=""),0,MAX(0,NETWORKDAYS(MAX(D418,DATE(Einstellungen!$C$3,2,1)),MIN(J418,DATE(Einstellungen!$C$3,3,0)),Einstellungen!$F$13:$F$32)))</f>
        <v/>
      </c>
      <c r="N418" s="49">
        <f>IF(OR(A418="",D418=""),0,MAX(0,NETWORKDAYS(MAX(D418,DATE(Einstellungen!$C$3,3,1)),MIN(J418,DATE(Einstellungen!$C$3,4,0)),Einstellungen!$F$13:$F$32)))</f>
        <v/>
      </c>
      <c r="O418" s="49">
        <f>IF(OR(A418="",D418=""),0,MAX(0,NETWORKDAYS(MAX(D418,DATE(Einstellungen!$C$3,4,1)),MIN(J418,DATE(Einstellungen!$C$3,5,0)),Einstellungen!$F$13:$F$32)))</f>
        <v/>
      </c>
      <c r="P418" s="49">
        <f>IF(OR(A418="",D418=""),0,MAX(0,NETWORKDAYS(MAX(D418,DATE(Einstellungen!$C$3,5,1)),MIN(J418,DATE(Einstellungen!$C$3,6,0)),Einstellungen!$F$13:$F$32)))</f>
        <v/>
      </c>
      <c r="Q418" s="49">
        <f>IF(OR(A418="",D418=""),0,MAX(0,NETWORKDAYS(MAX(D418,DATE(Einstellungen!$C$3,6,1)),MIN(J418,DATE(Einstellungen!$C$3,7,0)),Einstellungen!$F$13:$F$32)))</f>
        <v/>
      </c>
      <c r="R418" s="49">
        <f>IF(OR(A418="",D418=""),0,MAX(0,NETWORKDAYS(MAX(D418,DATE(Einstellungen!$C$3,7,1)),MIN(J418,DATE(Einstellungen!$C$3,8,0)),Einstellungen!$F$13:$F$32)))</f>
        <v/>
      </c>
      <c r="S418" s="49">
        <f>IF(OR(A418="",D418=""),0,MAX(0,NETWORKDAYS(MAX(D418,DATE(Einstellungen!$C$3,8,1)),MIN(J418,DATE(Einstellungen!$C$3,9,0)),Einstellungen!$F$13:$F$32)))</f>
        <v/>
      </c>
      <c r="T418" s="49">
        <f>IF(OR(A418="",D418=""),0,MAX(0,NETWORKDAYS(MAX(D418,DATE(Einstellungen!$C$3,9,1)),MIN(J418,DATE(Einstellungen!$C$3,10,0)),Einstellungen!$F$13:$F$32)))</f>
        <v/>
      </c>
      <c r="U418" s="49">
        <f>IF(OR(A418="",D418=""),0,MAX(0,NETWORKDAYS(MAX(D418,DATE(Einstellungen!$C$3,10,1)),MIN(J418,DATE(Einstellungen!$C$3,11,0)),Einstellungen!$F$13:$F$32)))</f>
        <v/>
      </c>
      <c r="V418" s="49">
        <f>IF(OR(A418="",D418=""),0,MAX(0,NETWORKDAYS(MAX(D418,DATE(Einstellungen!$C$3,11,1)),MIN(J418,DATE(Einstellungen!$C$3,12,0)),Einstellungen!$F$13:$F$32)))</f>
        <v/>
      </c>
      <c r="W418" s="49">
        <f>IF(OR(A418="",D418=""),0,MAX(0,NETWORKDAYS(MAX(D418,DATE(Einstellungen!$C$3,12,1)),MIN(J418,DATE(Einstellungen!$C$3,13,0)),Einstellungen!$F$13:$F$32)))</f>
        <v/>
      </c>
      <c r="X418" s="50">
        <f>L418*K418</f>
        <v/>
      </c>
      <c r="Y418" s="50">
        <f>M418*K418</f>
        <v/>
      </c>
      <c r="Z418" s="50">
        <f>N418*K418</f>
        <v/>
      </c>
      <c r="AA418" s="50">
        <f>O418*K418</f>
        <v/>
      </c>
      <c r="AB418" s="50">
        <f>P418*K418</f>
        <v/>
      </c>
      <c r="AC418" s="50">
        <f>Q418*K418</f>
        <v/>
      </c>
      <c r="AD418" s="50">
        <f>R418*K418</f>
        <v/>
      </c>
      <c r="AE418" s="50">
        <f>S418*K418</f>
        <v/>
      </c>
      <c r="AF418" s="50">
        <f>T418*K418</f>
        <v/>
      </c>
      <c r="AG418" s="50">
        <f>U418*K418</f>
        <v/>
      </c>
      <c r="AH418" s="50">
        <f>V418*K418</f>
        <v/>
      </c>
      <c r="AI418" s="50">
        <f>W418*K418</f>
        <v/>
      </c>
    </row>
    <row r="419">
      <c r="A419" s="25" t="n"/>
      <c r="B419" s="45">
        <f>IF(A419="","",IFERROR(INDEX(Mitarbeiter!$B$6:$B$205,MATCH($A419,Mitarbeiter!$A$6:$A$205,0)),"?"))</f>
        <v/>
      </c>
      <c r="C419" s="46" t="n"/>
      <c r="D419" s="26" t="n"/>
      <c r="E419" s="26" t="n"/>
      <c r="F419" s="24">
        <f>IF(A419="","",SUM(L419:W419))</f>
        <v/>
      </c>
      <c r="G419" s="36">
        <f>IF(A419="","",SUM(X419:AI419))</f>
        <v/>
      </c>
      <c r="H419" s="8">
        <f>IF(A419="","",IF(ISNA(MATCH(A419,Mitarbeiter!$A$6:$A$205,0)),"Pers.-Nr. unbekannt",IF(D419="","Von fehlt",IF(AND(C419&lt;&gt;Einstellungen!$C$4,C419&lt;&gt;Einstellungen!$C$5),"Objekt fehlt",IF(J419&lt;D419,"Bis vor Von",IF(D419&lt;INDEX(Mitarbeiter!$C$6:$C$205,MATCH($A419,Mitarbeiter!$A$6:$A$205,0)),"vor Eintritt",IF(AND(INDEX(Mitarbeiter!$D$6:$D$205,MATCH($A419,Mitarbeiter!$A$6:$A$205,0))&lt;&gt;"",D419&gt;INDEX(Mitarbeiter!$D$6:$D$205,MATCH($A419,Mitarbeiter!$A$6:$A$205,0))),"nach Austritt",IF(E419="","offen","ok"))))))))</f>
        <v/>
      </c>
      <c r="J419" s="47">
        <f>IF(A419="","",IF(E419="",Einstellungen!$C$9,E419))</f>
        <v/>
      </c>
      <c r="K419" s="48">
        <f>IF(A419="",0,IFERROR(INDEX(Mitarbeiter!$F$6:$F$205,MATCH($A419,Mitarbeiter!$A$6:$A$205,0)),0))</f>
        <v/>
      </c>
      <c r="L419" s="49">
        <f>IF(OR(A419="",D419=""),0,MAX(0,NETWORKDAYS(MAX(D419,DATE(Einstellungen!$C$3,1,1)),MIN(J419,DATE(Einstellungen!$C$3,2,0)),Einstellungen!$F$13:$F$32)))</f>
        <v/>
      </c>
      <c r="M419" s="49">
        <f>IF(OR(A419="",D419=""),0,MAX(0,NETWORKDAYS(MAX(D419,DATE(Einstellungen!$C$3,2,1)),MIN(J419,DATE(Einstellungen!$C$3,3,0)),Einstellungen!$F$13:$F$32)))</f>
        <v/>
      </c>
      <c r="N419" s="49">
        <f>IF(OR(A419="",D419=""),0,MAX(0,NETWORKDAYS(MAX(D419,DATE(Einstellungen!$C$3,3,1)),MIN(J419,DATE(Einstellungen!$C$3,4,0)),Einstellungen!$F$13:$F$32)))</f>
        <v/>
      </c>
      <c r="O419" s="49">
        <f>IF(OR(A419="",D419=""),0,MAX(0,NETWORKDAYS(MAX(D419,DATE(Einstellungen!$C$3,4,1)),MIN(J419,DATE(Einstellungen!$C$3,5,0)),Einstellungen!$F$13:$F$32)))</f>
        <v/>
      </c>
      <c r="P419" s="49">
        <f>IF(OR(A419="",D419=""),0,MAX(0,NETWORKDAYS(MAX(D419,DATE(Einstellungen!$C$3,5,1)),MIN(J419,DATE(Einstellungen!$C$3,6,0)),Einstellungen!$F$13:$F$32)))</f>
        <v/>
      </c>
      <c r="Q419" s="49">
        <f>IF(OR(A419="",D419=""),0,MAX(0,NETWORKDAYS(MAX(D419,DATE(Einstellungen!$C$3,6,1)),MIN(J419,DATE(Einstellungen!$C$3,7,0)),Einstellungen!$F$13:$F$32)))</f>
        <v/>
      </c>
      <c r="R419" s="49">
        <f>IF(OR(A419="",D419=""),0,MAX(0,NETWORKDAYS(MAX(D419,DATE(Einstellungen!$C$3,7,1)),MIN(J419,DATE(Einstellungen!$C$3,8,0)),Einstellungen!$F$13:$F$32)))</f>
        <v/>
      </c>
      <c r="S419" s="49">
        <f>IF(OR(A419="",D419=""),0,MAX(0,NETWORKDAYS(MAX(D419,DATE(Einstellungen!$C$3,8,1)),MIN(J419,DATE(Einstellungen!$C$3,9,0)),Einstellungen!$F$13:$F$32)))</f>
        <v/>
      </c>
      <c r="T419" s="49">
        <f>IF(OR(A419="",D419=""),0,MAX(0,NETWORKDAYS(MAX(D419,DATE(Einstellungen!$C$3,9,1)),MIN(J419,DATE(Einstellungen!$C$3,10,0)),Einstellungen!$F$13:$F$32)))</f>
        <v/>
      </c>
      <c r="U419" s="49">
        <f>IF(OR(A419="",D419=""),0,MAX(0,NETWORKDAYS(MAX(D419,DATE(Einstellungen!$C$3,10,1)),MIN(J419,DATE(Einstellungen!$C$3,11,0)),Einstellungen!$F$13:$F$32)))</f>
        <v/>
      </c>
      <c r="V419" s="49">
        <f>IF(OR(A419="",D419=""),0,MAX(0,NETWORKDAYS(MAX(D419,DATE(Einstellungen!$C$3,11,1)),MIN(J419,DATE(Einstellungen!$C$3,12,0)),Einstellungen!$F$13:$F$32)))</f>
        <v/>
      </c>
      <c r="W419" s="49">
        <f>IF(OR(A419="",D419=""),0,MAX(0,NETWORKDAYS(MAX(D419,DATE(Einstellungen!$C$3,12,1)),MIN(J419,DATE(Einstellungen!$C$3,13,0)),Einstellungen!$F$13:$F$32)))</f>
        <v/>
      </c>
      <c r="X419" s="50">
        <f>L419*K419</f>
        <v/>
      </c>
      <c r="Y419" s="50">
        <f>M419*K419</f>
        <v/>
      </c>
      <c r="Z419" s="50">
        <f>N419*K419</f>
        <v/>
      </c>
      <c r="AA419" s="50">
        <f>O419*K419</f>
        <v/>
      </c>
      <c r="AB419" s="50">
        <f>P419*K419</f>
        <v/>
      </c>
      <c r="AC419" s="50">
        <f>Q419*K419</f>
        <v/>
      </c>
      <c r="AD419" s="50">
        <f>R419*K419</f>
        <v/>
      </c>
      <c r="AE419" s="50">
        <f>S419*K419</f>
        <v/>
      </c>
      <c r="AF419" s="50">
        <f>T419*K419</f>
        <v/>
      </c>
      <c r="AG419" s="50">
        <f>U419*K419</f>
        <v/>
      </c>
      <c r="AH419" s="50">
        <f>V419*K419</f>
        <v/>
      </c>
      <c r="AI419" s="50">
        <f>W419*K419</f>
        <v/>
      </c>
    </row>
    <row r="420">
      <c r="A420" s="25" t="n"/>
      <c r="B420" s="45">
        <f>IF(A420="","",IFERROR(INDEX(Mitarbeiter!$B$6:$B$205,MATCH($A420,Mitarbeiter!$A$6:$A$205,0)),"?"))</f>
        <v/>
      </c>
      <c r="C420" s="46" t="n"/>
      <c r="D420" s="26" t="n"/>
      <c r="E420" s="26" t="n"/>
      <c r="F420" s="24">
        <f>IF(A420="","",SUM(L420:W420))</f>
        <v/>
      </c>
      <c r="G420" s="36">
        <f>IF(A420="","",SUM(X420:AI420))</f>
        <v/>
      </c>
      <c r="H420" s="8">
        <f>IF(A420="","",IF(ISNA(MATCH(A420,Mitarbeiter!$A$6:$A$205,0)),"Pers.-Nr. unbekannt",IF(D420="","Von fehlt",IF(AND(C420&lt;&gt;Einstellungen!$C$4,C420&lt;&gt;Einstellungen!$C$5),"Objekt fehlt",IF(J420&lt;D420,"Bis vor Von",IF(D420&lt;INDEX(Mitarbeiter!$C$6:$C$205,MATCH($A420,Mitarbeiter!$A$6:$A$205,0)),"vor Eintritt",IF(AND(INDEX(Mitarbeiter!$D$6:$D$205,MATCH($A420,Mitarbeiter!$A$6:$A$205,0))&lt;&gt;"",D420&gt;INDEX(Mitarbeiter!$D$6:$D$205,MATCH($A420,Mitarbeiter!$A$6:$A$205,0))),"nach Austritt",IF(E420="","offen","ok"))))))))</f>
        <v/>
      </c>
      <c r="J420" s="47">
        <f>IF(A420="","",IF(E420="",Einstellungen!$C$9,E420))</f>
        <v/>
      </c>
      <c r="K420" s="48">
        <f>IF(A420="",0,IFERROR(INDEX(Mitarbeiter!$F$6:$F$205,MATCH($A420,Mitarbeiter!$A$6:$A$205,0)),0))</f>
        <v/>
      </c>
      <c r="L420" s="49">
        <f>IF(OR(A420="",D420=""),0,MAX(0,NETWORKDAYS(MAX(D420,DATE(Einstellungen!$C$3,1,1)),MIN(J420,DATE(Einstellungen!$C$3,2,0)),Einstellungen!$F$13:$F$32)))</f>
        <v/>
      </c>
      <c r="M420" s="49">
        <f>IF(OR(A420="",D420=""),0,MAX(0,NETWORKDAYS(MAX(D420,DATE(Einstellungen!$C$3,2,1)),MIN(J420,DATE(Einstellungen!$C$3,3,0)),Einstellungen!$F$13:$F$32)))</f>
        <v/>
      </c>
      <c r="N420" s="49">
        <f>IF(OR(A420="",D420=""),0,MAX(0,NETWORKDAYS(MAX(D420,DATE(Einstellungen!$C$3,3,1)),MIN(J420,DATE(Einstellungen!$C$3,4,0)),Einstellungen!$F$13:$F$32)))</f>
        <v/>
      </c>
      <c r="O420" s="49">
        <f>IF(OR(A420="",D420=""),0,MAX(0,NETWORKDAYS(MAX(D420,DATE(Einstellungen!$C$3,4,1)),MIN(J420,DATE(Einstellungen!$C$3,5,0)),Einstellungen!$F$13:$F$32)))</f>
        <v/>
      </c>
      <c r="P420" s="49">
        <f>IF(OR(A420="",D420=""),0,MAX(0,NETWORKDAYS(MAX(D420,DATE(Einstellungen!$C$3,5,1)),MIN(J420,DATE(Einstellungen!$C$3,6,0)),Einstellungen!$F$13:$F$32)))</f>
        <v/>
      </c>
      <c r="Q420" s="49">
        <f>IF(OR(A420="",D420=""),0,MAX(0,NETWORKDAYS(MAX(D420,DATE(Einstellungen!$C$3,6,1)),MIN(J420,DATE(Einstellungen!$C$3,7,0)),Einstellungen!$F$13:$F$32)))</f>
        <v/>
      </c>
      <c r="R420" s="49">
        <f>IF(OR(A420="",D420=""),0,MAX(0,NETWORKDAYS(MAX(D420,DATE(Einstellungen!$C$3,7,1)),MIN(J420,DATE(Einstellungen!$C$3,8,0)),Einstellungen!$F$13:$F$32)))</f>
        <v/>
      </c>
      <c r="S420" s="49">
        <f>IF(OR(A420="",D420=""),0,MAX(0,NETWORKDAYS(MAX(D420,DATE(Einstellungen!$C$3,8,1)),MIN(J420,DATE(Einstellungen!$C$3,9,0)),Einstellungen!$F$13:$F$32)))</f>
        <v/>
      </c>
      <c r="T420" s="49">
        <f>IF(OR(A420="",D420=""),0,MAX(0,NETWORKDAYS(MAX(D420,DATE(Einstellungen!$C$3,9,1)),MIN(J420,DATE(Einstellungen!$C$3,10,0)),Einstellungen!$F$13:$F$32)))</f>
        <v/>
      </c>
      <c r="U420" s="49">
        <f>IF(OR(A420="",D420=""),0,MAX(0,NETWORKDAYS(MAX(D420,DATE(Einstellungen!$C$3,10,1)),MIN(J420,DATE(Einstellungen!$C$3,11,0)),Einstellungen!$F$13:$F$32)))</f>
        <v/>
      </c>
      <c r="V420" s="49">
        <f>IF(OR(A420="",D420=""),0,MAX(0,NETWORKDAYS(MAX(D420,DATE(Einstellungen!$C$3,11,1)),MIN(J420,DATE(Einstellungen!$C$3,12,0)),Einstellungen!$F$13:$F$32)))</f>
        <v/>
      </c>
      <c r="W420" s="49">
        <f>IF(OR(A420="",D420=""),0,MAX(0,NETWORKDAYS(MAX(D420,DATE(Einstellungen!$C$3,12,1)),MIN(J420,DATE(Einstellungen!$C$3,13,0)),Einstellungen!$F$13:$F$32)))</f>
        <v/>
      </c>
      <c r="X420" s="50">
        <f>L420*K420</f>
        <v/>
      </c>
      <c r="Y420" s="50">
        <f>M420*K420</f>
        <v/>
      </c>
      <c r="Z420" s="50">
        <f>N420*K420</f>
        <v/>
      </c>
      <c r="AA420" s="50">
        <f>O420*K420</f>
        <v/>
      </c>
      <c r="AB420" s="50">
        <f>P420*K420</f>
        <v/>
      </c>
      <c r="AC420" s="50">
        <f>Q420*K420</f>
        <v/>
      </c>
      <c r="AD420" s="50">
        <f>R420*K420</f>
        <v/>
      </c>
      <c r="AE420" s="50">
        <f>S420*K420</f>
        <v/>
      </c>
      <c r="AF420" s="50">
        <f>T420*K420</f>
        <v/>
      </c>
      <c r="AG420" s="50">
        <f>U420*K420</f>
        <v/>
      </c>
      <c r="AH420" s="50">
        <f>V420*K420</f>
        <v/>
      </c>
      <c r="AI420" s="50">
        <f>W420*K420</f>
        <v/>
      </c>
    </row>
    <row r="421">
      <c r="A421" s="25" t="n"/>
      <c r="B421" s="45">
        <f>IF(A421="","",IFERROR(INDEX(Mitarbeiter!$B$6:$B$205,MATCH($A421,Mitarbeiter!$A$6:$A$205,0)),"?"))</f>
        <v/>
      </c>
      <c r="C421" s="46" t="n"/>
      <c r="D421" s="26" t="n"/>
      <c r="E421" s="26" t="n"/>
      <c r="F421" s="24">
        <f>IF(A421="","",SUM(L421:W421))</f>
        <v/>
      </c>
      <c r="G421" s="36">
        <f>IF(A421="","",SUM(X421:AI421))</f>
        <v/>
      </c>
      <c r="H421" s="8">
        <f>IF(A421="","",IF(ISNA(MATCH(A421,Mitarbeiter!$A$6:$A$205,0)),"Pers.-Nr. unbekannt",IF(D421="","Von fehlt",IF(AND(C421&lt;&gt;Einstellungen!$C$4,C421&lt;&gt;Einstellungen!$C$5),"Objekt fehlt",IF(J421&lt;D421,"Bis vor Von",IF(D421&lt;INDEX(Mitarbeiter!$C$6:$C$205,MATCH($A421,Mitarbeiter!$A$6:$A$205,0)),"vor Eintritt",IF(AND(INDEX(Mitarbeiter!$D$6:$D$205,MATCH($A421,Mitarbeiter!$A$6:$A$205,0))&lt;&gt;"",D421&gt;INDEX(Mitarbeiter!$D$6:$D$205,MATCH($A421,Mitarbeiter!$A$6:$A$205,0))),"nach Austritt",IF(E421="","offen","ok"))))))))</f>
        <v/>
      </c>
      <c r="J421" s="47">
        <f>IF(A421="","",IF(E421="",Einstellungen!$C$9,E421))</f>
        <v/>
      </c>
      <c r="K421" s="48">
        <f>IF(A421="",0,IFERROR(INDEX(Mitarbeiter!$F$6:$F$205,MATCH($A421,Mitarbeiter!$A$6:$A$205,0)),0))</f>
        <v/>
      </c>
      <c r="L421" s="49">
        <f>IF(OR(A421="",D421=""),0,MAX(0,NETWORKDAYS(MAX(D421,DATE(Einstellungen!$C$3,1,1)),MIN(J421,DATE(Einstellungen!$C$3,2,0)),Einstellungen!$F$13:$F$32)))</f>
        <v/>
      </c>
      <c r="M421" s="49">
        <f>IF(OR(A421="",D421=""),0,MAX(0,NETWORKDAYS(MAX(D421,DATE(Einstellungen!$C$3,2,1)),MIN(J421,DATE(Einstellungen!$C$3,3,0)),Einstellungen!$F$13:$F$32)))</f>
        <v/>
      </c>
      <c r="N421" s="49">
        <f>IF(OR(A421="",D421=""),0,MAX(0,NETWORKDAYS(MAX(D421,DATE(Einstellungen!$C$3,3,1)),MIN(J421,DATE(Einstellungen!$C$3,4,0)),Einstellungen!$F$13:$F$32)))</f>
        <v/>
      </c>
      <c r="O421" s="49">
        <f>IF(OR(A421="",D421=""),0,MAX(0,NETWORKDAYS(MAX(D421,DATE(Einstellungen!$C$3,4,1)),MIN(J421,DATE(Einstellungen!$C$3,5,0)),Einstellungen!$F$13:$F$32)))</f>
        <v/>
      </c>
      <c r="P421" s="49">
        <f>IF(OR(A421="",D421=""),0,MAX(0,NETWORKDAYS(MAX(D421,DATE(Einstellungen!$C$3,5,1)),MIN(J421,DATE(Einstellungen!$C$3,6,0)),Einstellungen!$F$13:$F$32)))</f>
        <v/>
      </c>
      <c r="Q421" s="49">
        <f>IF(OR(A421="",D421=""),0,MAX(0,NETWORKDAYS(MAX(D421,DATE(Einstellungen!$C$3,6,1)),MIN(J421,DATE(Einstellungen!$C$3,7,0)),Einstellungen!$F$13:$F$32)))</f>
        <v/>
      </c>
      <c r="R421" s="49">
        <f>IF(OR(A421="",D421=""),0,MAX(0,NETWORKDAYS(MAX(D421,DATE(Einstellungen!$C$3,7,1)),MIN(J421,DATE(Einstellungen!$C$3,8,0)),Einstellungen!$F$13:$F$32)))</f>
        <v/>
      </c>
      <c r="S421" s="49">
        <f>IF(OR(A421="",D421=""),0,MAX(0,NETWORKDAYS(MAX(D421,DATE(Einstellungen!$C$3,8,1)),MIN(J421,DATE(Einstellungen!$C$3,9,0)),Einstellungen!$F$13:$F$32)))</f>
        <v/>
      </c>
      <c r="T421" s="49">
        <f>IF(OR(A421="",D421=""),0,MAX(0,NETWORKDAYS(MAX(D421,DATE(Einstellungen!$C$3,9,1)),MIN(J421,DATE(Einstellungen!$C$3,10,0)),Einstellungen!$F$13:$F$32)))</f>
        <v/>
      </c>
      <c r="U421" s="49">
        <f>IF(OR(A421="",D421=""),0,MAX(0,NETWORKDAYS(MAX(D421,DATE(Einstellungen!$C$3,10,1)),MIN(J421,DATE(Einstellungen!$C$3,11,0)),Einstellungen!$F$13:$F$32)))</f>
        <v/>
      </c>
      <c r="V421" s="49">
        <f>IF(OR(A421="",D421=""),0,MAX(0,NETWORKDAYS(MAX(D421,DATE(Einstellungen!$C$3,11,1)),MIN(J421,DATE(Einstellungen!$C$3,12,0)),Einstellungen!$F$13:$F$32)))</f>
        <v/>
      </c>
      <c r="W421" s="49">
        <f>IF(OR(A421="",D421=""),0,MAX(0,NETWORKDAYS(MAX(D421,DATE(Einstellungen!$C$3,12,1)),MIN(J421,DATE(Einstellungen!$C$3,13,0)),Einstellungen!$F$13:$F$32)))</f>
        <v/>
      </c>
      <c r="X421" s="50">
        <f>L421*K421</f>
        <v/>
      </c>
      <c r="Y421" s="50">
        <f>M421*K421</f>
        <v/>
      </c>
      <c r="Z421" s="50">
        <f>N421*K421</f>
        <v/>
      </c>
      <c r="AA421" s="50">
        <f>O421*K421</f>
        <v/>
      </c>
      <c r="AB421" s="50">
        <f>P421*K421</f>
        <v/>
      </c>
      <c r="AC421" s="50">
        <f>Q421*K421</f>
        <v/>
      </c>
      <c r="AD421" s="50">
        <f>R421*K421</f>
        <v/>
      </c>
      <c r="AE421" s="50">
        <f>S421*K421</f>
        <v/>
      </c>
      <c r="AF421" s="50">
        <f>T421*K421</f>
        <v/>
      </c>
      <c r="AG421" s="50">
        <f>U421*K421</f>
        <v/>
      </c>
      <c r="AH421" s="50">
        <f>V421*K421</f>
        <v/>
      </c>
      <c r="AI421" s="50">
        <f>W421*K421</f>
        <v/>
      </c>
    </row>
    <row r="422">
      <c r="A422" s="25" t="n"/>
      <c r="B422" s="45">
        <f>IF(A422="","",IFERROR(INDEX(Mitarbeiter!$B$6:$B$205,MATCH($A422,Mitarbeiter!$A$6:$A$205,0)),"?"))</f>
        <v/>
      </c>
      <c r="C422" s="46" t="n"/>
      <c r="D422" s="26" t="n"/>
      <c r="E422" s="26" t="n"/>
      <c r="F422" s="24">
        <f>IF(A422="","",SUM(L422:W422))</f>
        <v/>
      </c>
      <c r="G422" s="36">
        <f>IF(A422="","",SUM(X422:AI422))</f>
        <v/>
      </c>
      <c r="H422" s="8">
        <f>IF(A422="","",IF(ISNA(MATCH(A422,Mitarbeiter!$A$6:$A$205,0)),"Pers.-Nr. unbekannt",IF(D422="","Von fehlt",IF(AND(C422&lt;&gt;Einstellungen!$C$4,C422&lt;&gt;Einstellungen!$C$5),"Objekt fehlt",IF(J422&lt;D422,"Bis vor Von",IF(D422&lt;INDEX(Mitarbeiter!$C$6:$C$205,MATCH($A422,Mitarbeiter!$A$6:$A$205,0)),"vor Eintritt",IF(AND(INDEX(Mitarbeiter!$D$6:$D$205,MATCH($A422,Mitarbeiter!$A$6:$A$205,0))&lt;&gt;"",D422&gt;INDEX(Mitarbeiter!$D$6:$D$205,MATCH($A422,Mitarbeiter!$A$6:$A$205,0))),"nach Austritt",IF(E422="","offen","ok"))))))))</f>
        <v/>
      </c>
      <c r="J422" s="47">
        <f>IF(A422="","",IF(E422="",Einstellungen!$C$9,E422))</f>
        <v/>
      </c>
      <c r="K422" s="48">
        <f>IF(A422="",0,IFERROR(INDEX(Mitarbeiter!$F$6:$F$205,MATCH($A422,Mitarbeiter!$A$6:$A$205,0)),0))</f>
        <v/>
      </c>
      <c r="L422" s="49">
        <f>IF(OR(A422="",D422=""),0,MAX(0,NETWORKDAYS(MAX(D422,DATE(Einstellungen!$C$3,1,1)),MIN(J422,DATE(Einstellungen!$C$3,2,0)),Einstellungen!$F$13:$F$32)))</f>
        <v/>
      </c>
      <c r="M422" s="49">
        <f>IF(OR(A422="",D422=""),0,MAX(0,NETWORKDAYS(MAX(D422,DATE(Einstellungen!$C$3,2,1)),MIN(J422,DATE(Einstellungen!$C$3,3,0)),Einstellungen!$F$13:$F$32)))</f>
        <v/>
      </c>
      <c r="N422" s="49">
        <f>IF(OR(A422="",D422=""),0,MAX(0,NETWORKDAYS(MAX(D422,DATE(Einstellungen!$C$3,3,1)),MIN(J422,DATE(Einstellungen!$C$3,4,0)),Einstellungen!$F$13:$F$32)))</f>
        <v/>
      </c>
      <c r="O422" s="49">
        <f>IF(OR(A422="",D422=""),0,MAX(0,NETWORKDAYS(MAX(D422,DATE(Einstellungen!$C$3,4,1)),MIN(J422,DATE(Einstellungen!$C$3,5,0)),Einstellungen!$F$13:$F$32)))</f>
        <v/>
      </c>
      <c r="P422" s="49">
        <f>IF(OR(A422="",D422=""),0,MAX(0,NETWORKDAYS(MAX(D422,DATE(Einstellungen!$C$3,5,1)),MIN(J422,DATE(Einstellungen!$C$3,6,0)),Einstellungen!$F$13:$F$32)))</f>
        <v/>
      </c>
      <c r="Q422" s="49">
        <f>IF(OR(A422="",D422=""),0,MAX(0,NETWORKDAYS(MAX(D422,DATE(Einstellungen!$C$3,6,1)),MIN(J422,DATE(Einstellungen!$C$3,7,0)),Einstellungen!$F$13:$F$32)))</f>
        <v/>
      </c>
      <c r="R422" s="49">
        <f>IF(OR(A422="",D422=""),0,MAX(0,NETWORKDAYS(MAX(D422,DATE(Einstellungen!$C$3,7,1)),MIN(J422,DATE(Einstellungen!$C$3,8,0)),Einstellungen!$F$13:$F$32)))</f>
        <v/>
      </c>
      <c r="S422" s="49">
        <f>IF(OR(A422="",D422=""),0,MAX(0,NETWORKDAYS(MAX(D422,DATE(Einstellungen!$C$3,8,1)),MIN(J422,DATE(Einstellungen!$C$3,9,0)),Einstellungen!$F$13:$F$32)))</f>
        <v/>
      </c>
      <c r="T422" s="49">
        <f>IF(OR(A422="",D422=""),0,MAX(0,NETWORKDAYS(MAX(D422,DATE(Einstellungen!$C$3,9,1)),MIN(J422,DATE(Einstellungen!$C$3,10,0)),Einstellungen!$F$13:$F$32)))</f>
        <v/>
      </c>
      <c r="U422" s="49">
        <f>IF(OR(A422="",D422=""),0,MAX(0,NETWORKDAYS(MAX(D422,DATE(Einstellungen!$C$3,10,1)),MIN(J422,DATE(Einstellungen!$C$3,11,0)),Einstellungen!$F$13:$F$32)))</f>
        <v/>
      </c>
      <c r="V422" s="49">
        <f>IF(OR(A422="",D422=""),0,MAX(0,NETWORKDAYS(MAX(D422,DATE(Einstellungen!$C$3,11,1)),MIN(J422,DATE(Einstellungen!$C$3,12,0)),Einstellungen!$F$13:$F$32)))</f>
        <v/>
      </c>
      <c r="W422" s="49">
        <f>IF(OR(A422="",D422=""),0,MAX(0,NETWORKDAYS(MAX(D422,DATE(Einstellungen!$C$3,12,1)),MIN(J422,DATE(Einstellungen!$C$3,13,0)),Einstellungen!$F$13:$F$32)))</f>
        <v/>
      </c>
      <c r="X422" s="50">
        <f>L422*K422</f>
        <v/>
      </c>
      <c r="Y422" s="50">
        <f>M422*K422</f>
        <v/>
      </c>
      <c r="Z422" s="50">
        <f>N422*K422</f>
        <v/>
      </c>
      <c r="AA422" s="50">
        <f>O422*K422</f>
        <v/>
      </c>
      <c r="AB422" s="50">
        <f>P422*K422</f>
        <v/>
      </c>
      <c r="AC422" s="50">
        <f>Q422*K422</f>
        <v/>
      </c>
      <c r="AD422" s="50">
        <f>R422*K422</f>
        <v/>
      </c>
      <c r="AE422" s="50">
        <f>S422*K422</f>
        <v/>
      </c>
      <c r="AF422" s="50">
        <f>T422*K422</f>
        <v/>
      </c>
      <c r="AG422" s="50">
        <f>U422*K422</f>
        <v/>
      </c>
      <c r="AH422" s="50">
        <f>V422*K422</f>
        <v/>
      </c>
      <c r="AI422" s="50">
        <f>W422*K422</f>
        <v/>
      </c>
    </row>
    <row r="423">
      <c r="A423" s="25" t="n"/>
      <c r="B423" s="45">
        <f>IF(A423="","",IFERROR(INDEX(Mitarbeiter!$B$6:$B$205,MATCH($A423,Mitarbeiter!$A$6:$A$205,0)),"?"))</f>
        <v/>
      </c>
      <c r="C423" s="46" t="n"/>
      <c r="D423" s="26" t="n"/>
      <c r="E423" s="26" t="n"/>
      <c r="F423" s="24">
        <f>IF(A423="","",SUM(L423:W423))</f>
        <v/>
      </c>
      <c r="G423" s="36">
        <f>IF(A423="","",SUM(X423:AI423))</f>
        <v/>
      </c>
      <c r="H423" s="8">
        <f>IF(A423="","",IF(ISNA(MATCH(A423,Mitarbeiter!$A$6:$A$205,0)),"Pers.-Nr. unbekannt",IF(D423="","Von fehlt",IF(AND(C423&lt;&gt;Einstellungen!$C$4,C423&lt;&gt;Einstellungen!$C$5),"Objekt fehlt",IF(J423&lt;D423,"Bis vor Von",IF(D423&lt;INDEX(Mitarbeiter!$C$6:$C$205,MATCH($A423,Mitarbeiter!$A$6:$A$205,0)),"vor Eintritt",IF(AND(INDEX(Mitarbeiter!$D$6:$D$205,MATCH($A423,Mitarbeiter!$A$6:$A$205,0))&lt;&gt;"",D423&gt;INDEX(Mitarbeiter!$D$6:$D$205,MATCH($A423,Mitarbeiter!$A$6:$A$205,0))),"nach Austritt",IF(E423="","offen","ok"))))))))</f>
        <v/>
      </c>
      <c r="J423" s="47">
        <f>IF(A423="","",IF(E423="",Einstellungen!$C$9,E423))</f>
        <v/>
      </c>
      <c r="K423" s="48">
        <f>IF(A423="",0,IFERROR(INDEX(Mitarbeiter!$F$6:$F$205,MATCH($A423,Mitarbeiter!$A$6:$A$205,0)),0))</f>
        <v/>
      </c>
      <c r="L423" s="49">
        <f>IF(OR(A423="",D423=""),0,MAX(0,NETWORKDAYS(MAX(D423,DATE(Einstellungen!$C$3,1,1)),MIN(J423,DATE(Einstellungen!$C$3,2,0)),Einstellungen!$F$13:$F$32)))</f>
        <v/>
      </c>
      <c r="M423" s="49">
        <f>IF(OR(A423="",D423=""),0,MAX(0,NETWORKDAYS(MAX(D423,DATE(Einstellungen!$C$3,2,1)),MIN(J423,DATE(Einstellungen!$C$3,3,0)),Einstellungen!$F$13:$F$32)))</f>
        <v/>
      </c>
      <c r="N423" s="49">
        <f>IF(OR(A423="",D423=""),0,MAX(0,NETWORKDAYS(MAX(D423,DATE(Einstellungen!$C$3,3,1)),MIN(J423,DATE(Einstellungen!$C$3,4,0)),Einstellungen!$F$13:$F$32)))</f>
        <v/>
      </c>
      <c r="O423" s="49">
        <f>IF(OR(A423="",D423=""),0,MAX(0,NETWORKDAYS(MAX(D423,DATE(Einstellungen!$C$3,4,1)),MIN(J423,DATE(Einstellungen!$C$3,5,0)),Einstellungen!$F$13:$F$32)))</f>
        <v/>
      </c>
      <c r="P423" s="49">
        <f>IF(OR(A423="",D423=""),0,MAX(0,NETWORKDAYS(MAX(D423,DATE(Einstellungen!$C$3,5,1)),MIN(J423,DATE(Einstellungen!$C$3,6,0)),Einstellungen!$F$13:$F$32)))</f>
        <v/>
      </c>
      <c r="Q423" s="49">
        <f>IF(OR(A423="",D423=""),0,MAX(0,NETWORKDAYS(MAX(D423,DATE(Einstellungen!$C$3,6,1)),MIN(J423,DATE(Einstellungen!$C$3,7,0)),Einstellungen!$F$13:$F$32)))</f>
        <v/>
      </c>
      <c r="R423" s="49">
        <f>IF(OR(A423="",D423=""),0,MAX(0,NETWORKDAYS(MAX(D423,DATE(Einstellungen!$C$3,7,1)),MIN(J423,DATE(Einstellungen!$C$3,8,0)),Einstellungen!$F$13:$F$32)))</f>
        <v/>
      </c>
      <c r="S423" s="49">
        <f>IF(OR(A423="",D423=""),0,MAX(0,NETWORKDAYS(MAX(D423,DATE(Einstellungen!$C$3,8,1)),MIN(J423,DATE(Einstellungen!$C$3,9,0)),Einstellungen!$F$13:$F$32)))</f>
        <v/>
      </c>
      <c r="T423" s="49">
        <f>IF(OR(A423="",D423=""),0,MAX(0,NETWORKDAYS(MAX(D423,DATE(Einstellungen!$C$3,9,1)),MIN(J423,DATE(Einstellungen!$C$3,10,0)),Einstellungen!$F$13:$F$32)))</f>
        <v/>
      </c>
      <c r="U423" s="49">
        <f>IF(OR(A423="",D423=""),0,MAX(0,NETWORKDAYS(MAX(D423,DATE(Einstellungen!$C$3,10,1)),MIN(J423,DATE(Einstellungen!$C$3,11,0)),Einstellungen!$F$13:$F$32)))</f>
        <v/>
      </c>
      <c r="V423" s="49">
        <f>IF(OR(A423="",D423=""),0,MAX(0,NETWORKDAYS(MAX(D423,DATE(Einstellungen!$C$3,11,1)),MIN(J423,DATE(Einstellungen!$C$3,12,0)),Einstellungen!$F$13:$F$32)))</f>
        <v/>
      </c>
      <c r="W423" s="49">
        <f>IF(OR(A423="",D423=""),0,MAX(0,NETWORKDAYS(MAX(D423,DATE(Einstellungen!$C$3,12,1)),MIN(J423,DATE(Einstellungen!$C$3,13,0)),Einstellungen!$F$13:$F$32)))</f>
        <v/>
      </c>
      <c r="X423" s="50">
        <f>L423*K423</f>
        <v/>
      </c>
      <c r="Y423" s="50">
        <f>M423*K423</f>
        <v/>
      </c>
      <c r="Z423" s="50">
        <f>N423*K423</f>
        <v/>
      </c>
      <c r="AA423" s="50">
        <f>O423*K423</f>
        <v/>
      </c>
      <c r="AB423" s="50">
        <f>P423*K423</f>
        <v/>
      </c>
      <c r="AC423" s="50">
        <f>Q423*K423</f>
        <v/>
      </c>
      <c r="AD423" s="50">
        <f>R423*K423</f>
        <v/>
      </c>
      <c r="AE423" s="50">
        <f>S423*K423</f>
        <v/>
      </c>
      <c r="AF423" s="50">
        <f>T423*K423</f>
        <v/>
      </c>
      <c r="AG423" s="50">
        <f>U423*K423</f>
        <v/>
      </c>
      <c r="AH423" s="50">
        <f>V423*K423</f>
        <v/>
      </c>
      <c r="AI423" s="50">
        <f>W423*K423</f>
        <v/>
      </c>
    </row>
    <row r="424">
      <c r="A424" s="25" t="n"/>
      <c r="B424" s="45">
        <f>IF(A424="","",IFERROR(INDEX(Mitarbeiter!$B$6:$B$205,MATCH($A424,Mitarbeiter!$A$6:$A$205,0)),"?"))</f>
        <v/>
      </c>
      <c r="C424" s="46" t="n"/>
      <c r="D424" s="26" t="n"/>
      <c r="E424" s="26" t="n"/>
      <c r="F424" s="24">
        <f>IF(A424="","",SUM(L424:W424))</f>
        <v/>
      </c>
      <c r="G424" s="36">
        <f>IF(A424="","",SUM(X424:AI424))</f>
        <v/>
      </c>
      <c r="H424" s="8">
        <f>IF(A424="","",IF(ISNA(MATCH(A424,Mitarbeiter!$A$6:$A$205,0)),"Pers.-Nr. unbekannt",IF(D424="","Von fehlt",IF(AND(C424&lt;&gt;Einstellungen!$C$4,C424&lt;&gt;Einstellungen!$C$5),"Objekt fehlt",IF(J424&lt;D424,"Bis vor Von",IF(D424&lt;INDEX(Mitarbeiter!$C$6:$C$205,MATCH($A424,Mitarbeiter!$A$6:$A$205,0)),"vor Eintritt",IF(AND(INDEX(Mitarbeiter!$D$6:$D$205,MATCH($A424,Mitarbeiter!$A$6:$A$205,0))&lt;&gt;"",D424&gt;INDEX(Mitarbeiter!$D$6:$D$205,MATCH($A424,Mitarbeiter!$A$6:$A$205,0))),"nach Austritt",IF(E424="","offen","ok"))))))))</f>
        <v/>
      </c>
      <c r="J424" s="47">
        <f>IF(A424="","",IF(E424="",Einstellungen!$C$9,E424))</f>
        <v/>
      </c>
      <c r="K424" s="48">
        <f>IF(A424="",0,IFERROR(INDEX(Mitarbeiter!$F$6:$F$205,MATCH($A424,Mitarbeiter!$A$6:$A$205,0)),0))</f>
        <v/>
      </c>
      <c r="L424" s="49">
        <f>IF(OR(A424="",D424=""),0,MAX(0,NETWORKDAYS(MAX(D424,DATE(Einstellungen!$C$3,1,1)),MIN(J424,DATE(Einstellungen!$C$3,2,0)),Einstellungen!$F$13:$F$32)))</f>
        <v/>
      </c>
      <c r="M424" s="49">
        <f>IF(OR(A424="",D424=""),0,MAX(0,NETWORKDAYS(MAX(D424,DATE(Einstellungen!$C$3,2,1)),MIN(J424,DATE(Einstellungen!$C$3,3,0)),Einstellungen!$F$13:$F$32)))</f>
        <v/>
      </c>
      <c r="N424" s="49">
        <f>IF(OR(A424="",D424=""),0,MAX(0,NETWORKDAYS(MAX(D424,DATE(Einstellungen!$C$3,3,1)),MIN(J424,DATE(Einstellungen!$C$3,4,0)),Einstellungen!$F$13:$F$32)))</f>
        <v/>
      </c>
      <c r="O424" s="49">
        <f>IF(OR(A424="",D424=""),0,MAX(0,NETWORKDAYS(MAX(D424,DATE(Einstellungen!$C$3,4,1)),MIN(J424,DATE(Einstellungen!$C$3,5,0)),Einstellungen!$F$13:$F$32)))</f>
        <v/>
      </c>
      <c r="P424" s="49">
        <f>IF(OR(A424="",D424=""),0,MAX(0,NETWORKDAYS(MAX(D424,DATE(Einstellungen!$C$3,5,1)),MIN(J424,DATE(Einstellungen!$C$3,6,0)),Einstellungen!$F$13:$F$32)))</f>
        <v/>
      </c>
      <c r="Q424" s="49">
        <f>IF(OR(A424="",D424=""),0,MAX(0,NETWORKDAYS(MAX(D424,DATE(Einstellungen!$C$3,6,1)),MIN(J424,DATE(Einstellungen!$C$3,7,0)),Einstellungen!$F$13:$F$32)))</f>
        <v/>
      </c>
      <c r="R424" s="49">
        <f>IF(OR(A424="",D424=""),0,MAX(0,NETWORKDAYS(MAX(D424,DATE(Einstellungen!$C$3,7,1)),MIN(J424,DATE(Einstellungen!$C$3,8,0)),Einstellungen!$F$13:$F$32)))</f>
        <v/>
      </c>
      <c r="S424" s="49">
        <f>IF(OR(A424="",D424=""),0,MAX(0,NETWORKDAYS(MAX(D424,DATE(Einstellungen!$C$3,8,1)),MIN(J424,DATE(Einstellungen!$C$3,9,0)),Einstellungen!$F$13:$F$32)))</f>
        <v/>
      </c>
      <c r="T424" s="49">
        <f>IF(OR(A424="",D424=""),0,MAX(0,NETWORKDAYS(MAX(D424,DATE(Einstellungen!$C$3,9,1)),MIN(J424,DATE(Einstellungen!$C$3,10,0)),Einstellungen!$F$13:$F$32)))</f>
        <v/>
      </c>
      <c r="U424" s="49">
        <f>IF(OR(A424="",D424=""),0,MAX(0,NETWORKDAYS(MAX(D424,DATE(Einstellungen!$C$3,10,1)),MIN(J424,DATE(Einstellungen!$C$3,11,0)),Einstellungen!$F$13:$F$32)))</f>
        <v/>
      </c>
      <c r="V424" s="49">
        <f>IF(OR(A424="",D424=""),0,MAX(0,NETWORKDAYS(MAX(D424,DATE(Einstellungen!$C$3,11,1)),MIN(J424,DATE(Einstellungen!$C$3,12,0)),Einstellungen!$F$13:$F$32)))</f>
        <v/>
      </c>
      <c r="W424" s="49">
        <f>IF(OR(A424="",D424=""),0,MAX(0,NETWORKDAYS(MAX(D424,DATE(Einstellungen!$C$3,12,1)),MIN(J424,DATE(Einstellungen!$C$3,13,0)),Einstellungen!$F$13:$F$32)))</f>
        <v/>
      </c>
      <c r="X424" s="50">
        <f>L424*K424</f>
        <v/>
      </c>
      <c r="Y424" s="50">
        <f>M424*K424</f>
        <v/>
      </c>
      <c r="Z424" s="50">
        <f>N424*K424</f>
        <v/>
      </c>
      <c r="AA424" s="50">
        <f>O424*K424</f>
        <v/>
      </c>
      <c r="AB424" s="50">
        <f>P424*K424</f>
        <v/>
      </c>
      <c r="AC424" s="50">
        <f>Q424*K424</f>
        <v/>
      </c>
      <c r="AD424" s="50">
        <f>R424*K424</f>
        <v/>
      </c>
      <c r="AE424" s="50">
        <f>S424*K424</f>
        <v/>
      </c>
      <c r="AF424" s="50">
        <f>T424*K424</f>
        <v/>
      </c>
      <c r="AG424" s="50">
        <f>U424*K424</f>
        <v/>
      </c>
      <c r="AH424" s="50">
        <f>V424*K424</f>
        <v/>
      </c>
      <c r="AI424" s="50">
        <f>W424*K424</f>
        <v/>
      </c>
    </row>
    <row r="425">
      <c r="A425" s="25" t="n"/>
      <c r="B425" s="45">
        <f>IF(A425="","",IFERROR(INDEX(Mitarbeiter!$B$6:$B$205,MATCH($A425,Mitarbeiter!$A$6:$A$205,0)),"?"))</f>
        <v/>
      </c>
      <c r="C425" s="46" t="n"/>
      <c r="D425" s="26" t="n"/>
      <c r="E425" s="26" t="n"/>
      <c r="F425" s="24">
        <f>IF(A425="","",SUM(L425:W425))</f>
        <v/>
      </c>
      <c r="G425" s="36">
        <f>IF(A425="","",SUM(X425:AI425))</f>
        <v/>
      </c>
      <c r="H425" s="8">
        <f>IF(A425="","",IF(ISNA(MATCH(A425,Mitarbeiter!$A$6:$A$205,0)),"Pers.-Nr. unbekannt",IF(D425="","Von fehlt",IF(AND(C425&lt;&gt;Einstellungen!$C$4,C425&lt;&gt;Einstellungen!$C$5),"Objekt fehlt",IF(J425&lt;D425,"Bis vor Von",IF(D425&lt;INDEX(Mitarbeiter!$C$6:$C$205,MATCH($A425,Mitarbeiter!$A$6:$A$205,0)),"vor Eintritt",IF(AND(INDEX(Mitarbeiter!$D$6:$D$205,MATCH($A425,Mitarbeiter!$A$6:$A$205,0))&lt;&gt;"",D425&gt;INDEX(Mitarbeiter!$D$6:$D$205,MATCH($A425,Mitarbeiter!$A$6:$A$205,0))),"nach Austritt",IF(E425="","offen","ok"))))))))</f>
        <v/>
      </c>
      <c r="J425" s="47">
        <f>IF(A425="","",IF(E425="",Einstellungen!$C$9,E425))</f>
        <v/>
      </c>
      <c r="K425" s="48">
        <f>IF(A425="",0,IFERROR(INDEX(Mitarbeiter!$F$6:$F$205,MATCH($A425,Mitarbeiter!$A$6:$A$205,0)),0))</f>
        <v/>
      </c>
      <c r="L425" s="49">
        <f>IF(OR(A425="",D425=""),0,MAX(0,NETWORKDAYS(MAX(D425,DATE(Einstellungen!$C$3,1,1)),MIN(J425,DATE(Einstellungen!$C$3,2,0)),Einstellungen!$F$13:$F$32)))</f>
        <v/>
      </c>
      <c r="M425" s="49">
        <f>IF(OR(A425="",D425=""),0,MAX(0,NETWORKDAYS(MAX(D425,DATE(Einstellungen!$C$3,2,1)),MIN(J425,DATE(Einstellungen!$C$3,3,0)),Einstellungen!$F$13:$F$32)))</f>
        <v/>
      </c>
      <c r="N425" s="49">
        <f>IF(OR(A425="",D425=""),0,MAX(0,NETWORKDAYS(MAX(D425,DATE(Einstellungen!$C$3,3,1)),MIN(J425,DATE(Einstellungen!$C$3,4,0)),Einstellungen!$F$13:$F$32)))</f>
        <v/>
      </c>
      <c r="O425" s="49">
        <f>IF(OR(A425="",D425=""),0,MAX(0,NETWORKDAYS(MAX(D425,DATE(Einstellungen!$C$3,4,1)),MIN(J425,DATE(Einstellungen!$C$3,5,0)),Einstellungen!$F$13:$F$32)))</f>
        <v/>
      </c>
      <c r="P425" s="49">
        <f>IF(OR(A425="",D425=""),0,MAX(0,NETWORKDAYS(MAX(D425,DATE(Einstellungen!$C$3,5,1)),MIN(J425,DATE(Einstellungen!$C$3,6,0)),Einstellungen!$F$13:$F$32)))</f>
        <v/>
      </c>
      <c r="Q425" s="49">
        <f>IF(OR(A425="",D425=""),0,MAX(0,NETWORKDAYS(MAX(D425,DATE(Einstellungen!$C$3,6,1)),MIN(J425,DATE(Einstellungen!$C$3,7,0)),Einstellungen!$F$13:$F$32)))</f>
        <v/>
      </c>
      <c r="R425" s="49">
        <f>IF(OR(A425="",D425=""),0,MAX(0,NETWORKDAYS(MAX(D425,DATE(Einstellungen!$C$3,7,1)),MIN(J425,DATE(Einstellungen!$C$3,8,0)),Einstellungen!$F$13:$F$32)))</f>
        <v/>
      </c>
      <c r="S425" s="49">
        <f>IF(OR(A425="",D425=""),0,MAX(0,NETWORKDAYS(MAX(D425,DATE(Einstellungen!$C$3,8,1)),MIN(J425,DATE(Einstellungen!$C$3,9,0)),Einstellungen!$F$13:$F$32)))</f>
        <v/>
      </c>
      <c r="T425" s="49">
        <f>IF(OR(A425="",D425=""),0,MAX(0,NETWORKDAYS(MAX(D425,DATE(Einstellungen!$C$3,9,1)),MIN(J425,DATE(Einstellungen!$C$3,10,0)),Einstellungen!$F$13:$F$32)))</f>
        <v/>
      </c>
      <c r="U425" s="49">
        <f>IF(OR(A425="",D425=""),0,MAX(0,NETWORKDAYS(MAX(D425,DATE(Einstellungen!$C$3,10,1)),MIN(J425,DATE(Einstellungen!$C$3,11,0)),Einstellungen!$F$13:$F$32)))</f>
        <v/>
      </c>
      <c r="V425" s="49">
        <f>IF(OR(A425="",D425=""),0,MAX(0,NETWORKDAYS(MAX(D425,DATE(Einstellungen!$C$3,11,1)),MIN(J425,DATE(Einstellungen!$C$3,12,0)),Einstellungen!$F$13:$F$32)))</f>
        <v/>
      </c>
      <c r="W425" s="49">
        <f>IF(OR(A425="",D425=""),0,MAX(0,NETWORKDAYS(MAX(D425,DATE(Einstellungen!$C$3,12,1)),MIN(J425,DATE(Einstellungen!$C$3,13,0)),Einstellungen!$F$13:$F$32)))</f>
        <v/>
      </c>
      <c r="X425" s="50">
        <f>L425*K425</f>
        <v/>
      </c>
      <c r="Y425" s="50">
        <f>M425*K425</f>
        <v/>
      </c>
      <c r="Z425" s="50">
        <f>N425*K425</f>
        <v/>
      </c>
      <c r="AA425" s="50">
        <f>O425*K425</f>
        <v/>
      </c>
      <c r="AB425" s="50">
        <f>P425*K425</f>
        <v/>
      </c>
      <c r="AC425" s="50">
        <f>Q425*K425</f>
        <v/>
      </c>
      <c r="AD425" s="50">
        <f>R425*K425</f>
        <v/>
      </c>
      <c r="AE425" s="50">
        <f>S425*K425</f>
        <v/>
      </c>
      <c r="AF425" s="50">
        <f>T425*K425</f>
        <v/>
      </c>
      <c r="AG425" s="50">
        <f>U425*K425</f>
        <v/>
      </c>
      <c r="AH425" s="50">
        <f>V425*K425</f>
        <v/>
      </c>
      <c r="AI425" s="50">
        <f>W425*K425</f>
        <v/>
      </c>
    </row>
    <row r="426">
      <c r="A426" s="25" t="n"/>
      <c r="B426" s="45">
        <f>IF(A426="","",IFERROR(INDEX(Mitarbeiter!$B$6:$B$205,MATCH($A426,Mitarbeiter!$A$6:$A$205,0)),"?"))</f>
        <v/>
      </c>
      <c r="C426" s="46" t="n"/>
      <c r="D426" s="26" t="n"/>
      <c r="E426" s="26" t="n"/>
      <c r="F426" s="24">
        <f>IF(A426="","",SUM(L426:W426))</f>
        <v/>
      </c>
      <c r="G426" s="36">
        <f>IF(A426="","",SUM(X426:AI426))</f>
        <v/>
      </c>
      <c r="H426" s="8">
        <f>IF(A426="","",IF(ISNA(MATCH(A426,Mitarbeiter!$A$6:$A$205,0)),"Pers.-Nr. unbekannt",IF(D426="","Von fehlt",IF(AND(C426&lt;&gt;Einstellungen!$C$4,C426&lt;&gt;Einstellungen!$C$5),"Objekt fehlt",IF(J426&lt;D426,"Bis vor Von",IF(D426&lt;INDEX(Mitarbeiter!$C$6:$C$205,MATCH($A426,Mitarbeiter!$A$6:$A$205,0)),"vor Eintritt",IF(AND(INDEX(Mitarbeiter!$D$6:$D$205,MATCH($A426,Mitarbeiter!$A$6:$A$205,0))&lt;&gt;"",D426&gt;INDEX(Mitarbeiter!$D$6:$D$205,MATCH($A426,Mitarbeiter!$A$6:$A$205,0))),"nach Austritt",IF(E426="","offen","ok"))))))))</f>
        <v/>
      </c>
      <c r="J426" s="47">
        <f>IF(A426="","",IF(E426="",Einstellungen!$C$9,E426))</f>
        <v/>
      </c>
      <c r="K426" s="48">
        <f>IF(A426="",0,IFERROR(INDEX(Mitarbeiter!$F$6:$F$205,MATCH($A426,Mitarbeiter!$A$6:$A$205,0)),0))</f>
        <v/>
      </c>
      <c r="L426" s="49">
        <f>IF(OR(A426="",D426=""),0,MAX(0,NETWORKDAYS(MAX(D426,DATE(Einstellungen!$C$3,1,1)),MIN(J426,DATE(Einstellungen!$C$3,2,0)),Einstellungen!$F$13:$F$32)))</f>
        <v/>
      </c>
      <c r="M426" s="49">
        <f>IF(OR(A426="",D426=""),0,MAX(0,NETWORKDAYS(MAX(D426,DATE(Einstellungen!$C$3,2,1)),MIN(J426,DATE(Einstellungen!$C$3,3,0)),Einstellungen!$F$13:$F$32)))</f>
        <v/>
      </c>
      <c r="N426" s="49">
        <f>IF(OR(A426="",D426=""),0,MAX(0,NETWORKDAYS(MAX(D426,DATE(Einstellungen!$C$3,3,1)),MIN(J426,DATE(Einstellungen!$C$3,4,0)),Einstellungen!$F$13:$F$32)))</f>
        <v/>
      </c>
      <c r="O426" s="49">
        <f>IF(OR(A426="",D426=""),0,MAX(0,NETWORKDAYS(MAX(D426,DATE(Einstellungen!$C$3,4,1)),MIN(J426,DATE(Einstellungen!$C$3,5,0)),Einstellungen!$F$13:$F$32)))</f>
        <v/>
      </c>
      <c r="P426" s="49">
        <f>IF(OR(A426="",D426=""),0,MAX(0,NETWORKDAYS(MAX(D426,DATE(Einstellungen!$C$3,5,1)),MIN(J426,DATE(Einstellungen!$C$3,6,0)),Einstellungen!$F$13:$F$32)))</f>
        <v/>
      </c>
      <c r="Q426" s="49">
        <f>IF(OR(A426="",D426=""),0,MAX(0,NETWORKDAYS(MAX(D426,DATE(Einstellungen!$C$3,6,1)),MIN(J426,DATE(Einstellungen!$C$3,7,0)),Einstellungen!$F$13:$F$32)))</f>
        <v/>
      </c>
      <c r="R426" s="49">
        <f>IF(OR(A426="",D426=""),0,MAX(0,NETWORKDAYS(MAX(D426,DATE(Einstellungen!$C$3,7,1)),MIN(J426,DATE(Einstellungen!$C$3,8,0)),Einstellungen!$F$13:$F$32)))</f>
        <v/>
      </c>
      <c r="S426" s="49">
        <f>IF(OR(A426="",D426=""),0,MAX(0,NETWORKDAYS(MAX(D426,DATE(Einstellungen!$C$3,8,1)),MIN(J426,DATE(Einstellungen!$C$3,9,0)),Einstellungen!$F$13:$F$32)))</f>
        <v/>
      </c>
      <c r="T426" s="49">
        <f>IF(OR(A426="",D426=""),0,MAX(0,NETWORKDAYS(MAX(D426,DATE(Einstellungen!$C$3,9,1)),MIN(J426,DATE(Einstellungen!$C$3,10,0)),Einstellungen!$F$13:$F$32)))</f>
        <v/>
      </c>
      <c r="U426" s="49">
        <f>IF(OR(A426="",D426=""),0,MAX(0,NETWORKDAYS(MAX(D426,DATE(Einstellungen!$C$3,10,1)),MIN(J426,DATE(Einstellungen!$C$3,11,0)),Einstellungen!$F$13:$F$32)))</f>
        <v/>
      </c>
      <c r="V426" s="49">
        <f>IF(OR(A426="",D426=""),0,MAX(0,NETWORKDAYS(MAX(D426,DATE(Einstellungen!$C$3,11,1)),MIN(J426,DATE(Einstellungen!$C$3,12,0)),Einstellungen!$F$13:$F$32)))</f>
        <v/>
      </c>
      <c r="W426" s="49">
        <f>IF(OR(A426="",D426=""),0,MAX(0,NETWORKDAYS(MAX(D426,DATE(Einstellungen!$C$3,12,1)),MIN(J426,DATE(Einstellungen!$C$3,13,0)),Einstellungen!$F$13:$F$32)))</f>
        <v/>
      </c>
      <c r="X426" s="50">
        <f>L426*K426</f>
        <v/>
      </c>
      <c r="Y426" s="50">
        <f>M426*K426</f>
        <v/>
      </c>
      <c r="Z426" s="50">
        <f>N426*K426</f>
        <v/>
      </c>
      <c r="AA426" s="50">
        <f>O426*K426</f>
        <v/>
      </c>
      <c r="AB426" s="50">
        <f>P426*K426</f>
        <v/>
      </c>
      <c r="AC426" s="50">
        <f>Q426*K426</f>
        <v/>
      </c>
      <c r="AD426" s="50">
        <f>R426*K426</f>
        <v/>
      </c>
      <c r="AE426" s="50">
        <f>S426*K426</f>
        <v/>
      </c>
      <c r="AF426" s="50">
        <f>T426*K426</f>
        <v/>
      </c>
      <c r="AG426" s="50">
        <f>U426*K426</f>
        <v/>
      </c>
      <c r="AH426" s="50">
        <f>V426*K426</f>
        <v/>
      </c>
      <c r="AI426" s="50">
        <f>W426*K426</f>
        <v/>
      </c>
    </row>
    <row r="427">
      <c r="A427" s="25" t="n"/>
      <c r="B427" s="45">
        <f>IF(A427="","",IFERROR(INDEX(Mitarbeiter!$B$6:$B$205,MATCH($A427,Mitarbeiter!$A$6:$A$205,0)),"?"))</f>
        <v/>
      </c>
      <c r="C427" s="46" t="n"/>
      <c r="D427" s="26" t="n"/>
      <c r="E427" s="26" t="n"/>
      <c r="F427" s="24">
        <f>IF(A427="","",SUM(L427:W427))</f>
        <v/>
      </c>
      <c r="G427" s="36">
        <f>IF(A427="","",SUM(X427:AI427))</f>
        <v/>
      </c>
      <c r="H427" s="8">
        <f>IF(A427="","",IF(ISNA(MATCH(A427,Mitarbeiter!$A$6:$A$205,0)),"Pers.-Nr. unbekannt",IF(D427="","Von fehlt",IF(AND(C427&lt;&gt;Einstellungen!$C$4,C427&lt;&gt;Einstellungen!$C$5),"Objekt fehlt",IF(J427&lt;D427,"Bis vor Von",IF(D427&lt;INDEX(Mitarbeiter!$C$6:$C$205,MATCH($A427,Mitarbeiter!$A$6:$A$205,0)),"vor Eintritt",IF(AND(INDEX(Mitarbeiter!$D$6:$D$205,MATCH($A427,Mitarbeiter!$A$6:$A$205,0))&lt;&gt;"",D427&gt;INDEX(Mitarbeiter!$D$6:$D$205,MATCH($A427,Mitarbeiter!$A$6:$A$205,0))),"nach Austritt",IF(E427="","offen","ok"))))))))</f>
        <v/>
      </c>
      <c r="J427" s="47">
        <f>IF(A427="","",IF(E427="",Einstellungen!$C$9,E427))</f>
        <v/>
      </c>
      <c r="K427" s="48">
        <f>IF(A427="",0,IFERROR(INDEX(Mitarbeiter!$F$6:$F$205,MATCH($A427,Mitarbeiter!$A$6:$A$205,0)),0))</f>
        <v/>
      </c>
      <c r="L427" s="49">
        <f>IF(OR(A427="",D427=""),0,MAX(0,NETWORKDAYS(MAX(D427,DATE(Einstellungen!$C$3,1,1)),MIN(J427,DATE(Einstellungen!$C$3,2,0)),Einstellungen!$F$13:$F$32)))</f>
        <v/>
      </c>
      <c r="M427" s="49">
        <f>IF(OR(A427="",D427=""),0,MAX(0,NETWORKDAYS(MAX(D427,DATE(Einstellungen!$C$3,2,1)),MIN(J427,DATE(Einstellungen!$C$3,3,0)),Einstellungen!$F$13:$F$32)))</f>
        <v/>
      </c>
      <c r="N427" s="49">
        <f>IF(OR(A427="",D427=""),0,MAX(0,NETWORKDAYS(MAX(D427,DATE(Einstellungen!$C$3,3,1)),MIN(J427,DATE(Einstellungen!$C$3,4,0)),Einstellungen!$F$13:$F$32)))</f>
        <v/>
      </c>
      <c r="O427" s="49">
        <f>IF(OR(A427="",D427=""),0,MAX(0,NETWORKDAYS(MAX(D427,DATE(Einstellungen!$C$3,4,1)),MIN(J427,DATE(Einstellungen!$C$3,5,0)),Einstellungen!$F$13:$F$32)))</f>
        <v/>
      </c>
      <c r="P427" s="49">
        <f>IF(OR(A427="",D427=""),0,MAX(0,NETWORKDAYS(MAX(D427,DATE(Einstellungen!$C$3,5,1)),MIN(J427,DATE(Einstellungen!$C$3,6,0)),Einstellungen!$F$13:$F$32)))</f>
        <v/>
      </c>
      <c r="Q427" s="49">
        <f>IF(OR(A427="",D427=""),0,MAX(0,NETWORKDAYS(MAX(D427,DATE(Einstellungen!$C$3,6,1)),MIN(J427,DATE(Einstellungen!$C$3,7,0)),Einstellungen!$F$13:$F$32)))</f>
        <v/>
      </c>
      <c r="R427" s="49">
        <f>IF(OR(A427="",D427=""),0,MAX(0,NETWORKDAYS(MAX(D427,DATE(Einstellungen!$C$3,7,1)),MIN(J427,DATE(Einstellungen!$C$3,8,0)),Einstellungen!$F$13:$F$32)))</f>
        <v/>
      </c>
      <c r="S427" s="49">
        <f>IF(OR(A427="",D427=""),0,MAX(0,NETWORKDAYS(MAX(D427,DATE(Einstellungen!$C$3,8,1)),MIN(J427,DATE(Einstellungen!$C$3,9,0)),Einstellungen!$F$13:$F$32)))</f>
        <v/>
      </c>
      <c r="T427" s="49">
        <f>IF(OR(A427="",D427=""),0,MAX(0,NETWORKDAYS(MAX(D427,DATE(Einstellungen!$C$3,9,1)),MIN(J427,DATE(Einstellungen!$C$3,10,0)),Einstellungen!$F$13:$F$32)))</f>
        <v/>
      </c>
      <c r="U427" s="49">
        <f>IF(OR(A427="",D427=""),0,MAX(0,NETWORKDAYS(MAX(D427,DATE(Einstellungen!$C$3,10,1)),MIN(J427,DATE(Einstellungen!$C$3,11,0)),Einstellungen!$F$13:$F$32)))</f>
        <v/>
      </c>
      <c r="V427" s="49">
        <f>IF(OR(A427="",D427=""),0,MAX(0,NETWORKDAYS(MAX(D427,DATE(Einstellungen!$C$3,11,1)),MIN(J427,DATE(Einstellungen!$C$3,12,0)),Einstellungen!$F$13:$F$32)))</f>
        <v/>
      </c>
      <c r="W427" s="49">
        <f>IF(OR(A427="",D427=""),0,MAX(0,NETWORKDAYS(MAX(D427,DATE(Einstellungen!$C$3,12,1)),MIN(J427,DATE(Einstellungen!$C$3,13,0)),Einstellungen!$F$13:$F$32)))</f>
        <v/>
      </c>
      <c r="X427" s="50">
        <f>L427*K427</f>
        <v/>
      </c>
      <c r="Y427" s="50">
        <f>M427*K427</f>
        <v/>
      </c>
      <c r="Z427" s="50">
        <f>N427*K427</f>
        <v/>
      </c>
      <c r="AA427" s="50">
        <f>O427*K427</f>
        <v/>
      </c>
      <c r="AB427" s="50">
        <f>P427*K427</f>
        <v/>
      </c>
      <c r="AC427" s="50">
        <f>Q427*K427</f>
        <v/>
      </c>
      <c r="AD427" s="50">
        <f>R427*K427</f>
        <v/>
      </c>
      <c r="AE427" s="50">
        <f>S427*K427</f>
        <v/>
      </c>
      <c r="AF427" s="50">
        <f>T427*K427</f>
        <v/>
      </c>
      <c r="AG427" s="50">
        <f>U427*K427</f>
        <v/>
      </c>
      <c r="AH427" s="50">
        <f>V427*K427</f>
        <v/>
      </c>
      <c r="AI427" s="50">
        <f>W427*K427</f>
        <v/>
      </c>
    </row>
    <row r="428">
      <c r="A428" s="25" t="n"/>
      <c r="B428" s="45">
        <f>IF(A428="","",IFERROR(INDEX(Mitarbeiter!$B$6:$B$205,MATCH($A428,Mitarbeiter!$A$6:$A$205,0)),"?"))</f>
        <v/>
      </c>
      <c r="C428" s="46" t="n"/>
      <c r="D428" s="26" t="n"/>
      <c r="E428" s="26" t="n"/>
      <c r="F428" s="24">
        <f>IF(A428="","",SUM(L428:W428))</f>
        <v/>
      </c>
      <c r="G428" s="36">
        <f>IF(A428="","",SUM(X428:AI428))</f>
        <v/>
      </c>
      <c r="H428" s="8">
        <f>IF(A428="","",IF(ISNA(MATCH(A428,Mitarbeiter!$A$6:$A$205,0)),"Pers.-Nr. unbekannt",IF(D428="","Von fehlt",IF(AND(C428&lt;&gt;Einstellungen!$C$4,C428&lt;&gt;Einstellungen!$C$5),"Objekt fehlt",IF(J428&lt;D428,"Bis vor Von",IF(D428&lt;INDEX(Mitarbeiter!$C$6:$C$205,MATCH($A428,Mitarbeiter!$A$6:$A$205,0)),"vor Eintritt",IF(AND(INDEX(Mitarbeiter!$D$6:$D$205,MATCH($A428,Mitarbeiter!$A$6:$A$205,0))&lt;&gt;"",D428&gt;INDEX(Mitarbeiter!$D$6:$D$205,MATCH($A428,Mitarbeiter!$A$6:$A$205,0))),"nach Austritt",IF(E428="","offen","ok"))))))))</f>
        <v/>
      </c>
      <c r="J428" s="47">
        <f>IF(A428="","",IF(E428="",Einstellungen!$C$9,E428))</f>
        <v/>
      </c>
      <c r="K428" s="48">
        <f>IF(A428="",0,IFERROR(INDEX(Mitarbeiter!$F$6:$F$205,MATCH($A428,Mitarbeiter!$A$6:$A$205,0)),0))</f>
        <v/>
      </c>
      <c r="L428" s="49">
        <f>IF(OR(A428="",D428=""),0,MAX(0,NETWORKDAYS(MAX(D428,DATE(Einstellungen!$C$3,1,1)),MIN(J428,DATE(Einstellungen!$C$3,2,0)),Einstellungen!$F$13:$F$32)))</f>
        <v/>
      </c>
      <c r="M428" s="49">
        <f>IF(OR(A428="",D428=""),0,MAX(0,NETWORKDAYS(MAX(D428,DATE(Einstellungen!$C$3,2,1)),MIN(J428,DATE(Einstellungen!$C$3,3,0)),Einstellungen!$F$13:$F$32)))</f>
        <v/>
      </c>
      <c r="N428" s="49">
        <f>IF(OR(A428="",D428=""),0,MAX(0,NETWORKDAYS(MAX(D428,DATE(Einstellungen!$C$3,3,1)),MIN(J428,DATE(Einstellungen!$C$3,4,0)),Einstellungen!$F$13:$F$32)))</f>
        <v/>
      </c>
      <c r="O428" s="49">
        <f>IF(OR(A428="",D428=""),0,MAX(0,NETWORKDAYS(MAX(D428,DATE(Einstellungen!$C$3,4,1)),MIN(J428,DATE(Einstellungen!$C$3,5,0)),Einstellungen!$F$13:$F$32)))</f>
        <v/>
      </c>
      <c r="P428" s="49">
        <f>IF(OR(A428="",D428=""),0,MAX(0,NETWORKDAYS(MAX(D428,DATE(Einstellungen!$C$3,5,1)),MIN(J428,DATE(Einstellungen!$C$3,6,0)),Einstellungen!$F$13:$F$32)))</f>
        <v/>
      </c>
      <c r="Q428" s="49">
        <f>IF(OR(A428="",D428=""),0,MAX(0,NETWORKDAYS(MAX(D428,DATE(Einstellungen!$C$3,6,1)),MIN(J428,DATE(Einstellungen!$C$3,7,0)),Einstellungen!$F$13:$F$32)))</f>
        <v/>
      </c>
      <c r="R428" s="49">
        <f>IF(OR(A428="",D428=""),0,MAX(0,NETWORKDAYS(MAX(D428,DATE(Einstellungen!$C$3,7,1)),MIN(J428,DATE(Einstellungen!$C$3,8,0)),Einstellungen!$F$13:$F$32)))</f>
        <v/>
      </c>
      <c r="S428" s="49">
        <f>IF(OR(A428="",D428=""),0,MAX(0,NETWORKDAYS(MAX(D428,DATE(Einstellungen!$C$3,8,1)),MIN(J428,DATE(Einstellungen!$C$3,9,0)),Einstellungen!$F$13:$F$32)))</f>
        <v/>
      </c>
      <c r="T428" s="49">
        <f>IF(OR(A428="",D428=""),0,MAX(0,NETWORKDAYS(MAX(D428,DATE(Einstellungen!$C$3,9,1)),MIN(J428,DATE(Einstellungen!$C$3,10,0)),Einstellungen!$F$13:$F$32)))</f>
        <v/>
      </c>
      <c r="U428" s="49">
        <f>IF(OR(A428="",D428=""),0,MAX(0,NETWORKDAYS(MAX(D428,DATE(Einstellungen!$C$3,10,1)),MIN(J428,DATE(Einstellungen!$C$3,11,0)),Einstellungen!$F$13:$F$32)))</f>
        <v/>
      </c>
      <c r="V428" s="49">
        <f>IF(OR(A428="",D428=""),0,MAX(0,NETWORKDAYS(MAX(D428,DATE(Einstellungen!$C$3,11,1)),MIN(J428,DATE(Einstellungen!$C$3,12,0)),Einstellungen!$F$13:$F$32)))</f>
        <v/>
      </c>
      <c r="W428" s="49">
        <f>IF(OR(A428="",D428=""),0,MAX(0,NETWORKDAYS(MAX(D428,DATE(Einstellungen!$C$3,12,1)),MIN(J428,DATE(Einstellungen!$C$3,13,0)),Einstellungen!$F$13:$F$32)))</f>
        <v/>
      </c>
      <c r="X428" s="50">
        <f>L428*K428</f>
        <v/>
      </c>
      <c r="Y428" s="50">
        <f>M428*K428</f>
        <v/>
      </c>
      <c r="Z428" s="50">
        <f>N428*K428</f>
        <v/>
      </c>
      <c r="AA428" s="50">
        <f>O428*K428</f>
        <v/>
      </c>
      <c r="AB428" s="50">
        <f>P428*K428</f>
        <v/>
      </c>
      <c r="AC428" s="50">
        <f>Q428*K428</f>
        <v/>
      </c>
      <c r="AD428" s="50">
        <f>R428*K428</f>
        <v/>
      </c>
      <c r="AE428" s="50">
        <f>S428*K428</f>
        <v/>
      </c>
      <c r="AF428" s="50">
        <f>T428*K428</f>
        <v/>
      </c>
      <c r="AG428" s="50">
        <f>U428*K428</f>
        <v/>
      </c>
      <c r="AH428" s="50">
        <f>V428*K428</f>
        <v/>
      </c>
      <c r="AI428" s="50">
        <f>W428*K428</f>
        <v/>
      </c>
    </row>
    <row r="429">
      <c r="A429" s="25" t="n"/>
      <c r="B429" s="45">
        <f>IF(A429="","",IFERROR(INDEX(Mitarbeiter!$B$6:$B$205,MATCH($A429,Mitarbeiter!$A$6:$A$205,0)),"?"))</f>
        <v/>
      </c>
      <c r="C429" s="46" t="n"/>
      <c r="D429" s="26" t="n"/>
      <c r="E429" s="26" t="n"/>
      <c r="F429" s="24">
        <f>IF(A429="","",SUM(L429:W429))</f>
        <v/>
      </c>
      <c r="G429" s="36">
        <f>IF(A429="","",SUM(X429:AI429))</f>
        <v/>
      </c>
      <c r="H429" s="8">
        <f>IF(A429="","",IF(ISNA(MATCH(A429,Mitarbeiter!$A$6:$A$205,0)),"Pers.-Nr. unbekannt",IF(D429="","Von fehlt",IF(AND(C429&lt;&gt;Einstellungen!$C$4,C429&lt;&gt;Einstellungen!$C$5),"Objekt fehlt",IF(J429&lt;D429,"Bis vor Von",IF(D429&lt;INDEX(Mitarbeiter!$C$6:$C$205,MATCH($A429,Mitarbeiter!$A$6:$A$205,0)),"vor Eintritt",IF(AND(INDEX(Mitarbeiter!$D$6:$D$205,MATCH($A429,Mitarbeiter!$A$6:$A$205,0))&lt;&gt;"",D429&gt;INDEX(Mitarbeiter!$D$6:$D$205,MATCH($A429,Mitarbeiter!$A$6:$A$205,0))),"nach Austritt",IF(E429="","offen","ok"))))))))</f>
        <v/>
      </c>
      <c r="J429" s="47">
        <f>IF(A429="","",IF(E429="",Einstellungen!$C$9,E429))</f>
        <v/>
      </c>
      <c r="K429" s="48">
        <f>IF(A429="",0,IFERROR(INDEX(Mitarbeiter!$F$6:$F$205,MATCH($A429,Mitarbeiter!$A$6:$A$205,0)),0))</f>
        <v/>
      </c>
      <c r="L429" s="49">
        <f>IF(OR(A429="",D429=""),0,MAX(0,NETWORKDAYS(MAX(D429,DATE(Einstellungen!$C$3,1,1)),MIN(J429,DATE(Einstellungen!$C$3,2,0)),Einstellungen!$F$13:$F$32)))</f>
        <v/>
      </c>
      <c r="M429" s="49">
        <f>IF(OR(A429="",D429=""),0,MAX(0,NETWORKDAYS(MAX(D429,DATE(Einstellungen!$C$3,2,1)),MIN(J429,DATE(Einstellungen!$C$3,3,0)),Einstellungen!$F$13:$F$32)))</f>
        <v/>
      </c>
      <c r="N429" s="49">
        <f>IF(OR(A429="",D429=""),0,MAX(0,NETWORKDAYS(MAX(D429,DATE(Einstellungen!$C$3,3,1)),MIN(J429,DATE(Einstellungen!$C$3,4,0)),Einstellungen!$F$13:$F$32)))</f>
        <v/>
      </c>
      <c r="O429" s="49">
        <f>IF(OR(A429="",D429=""),0,MAX(0,NETWORKDAYS(MAX(D429,DATE(Einstellungen!$C$3,4,1)),MIN(J429,DATE(Einstellungen!$C$3,5,0)),Einstellungen!$F$13:$F$32)))</f>
        <v/>
      </c>
      <c r="P429" s="49">
        <f>IF(OR(A429="",D429=""),0,MAX(0,NETWORKDAYS(MAX(D429,DATE(Einstellungen!$C$3,5,1)),MIN(J429,DATE(Einstellungen!$C$3,6,0)),Einstellungen!$F$13:$F$32)))</f>
        <v/>
      </c>
      <c r="Q429" s="49">
        <f>IF(OR(A429="",D429=""),0,MAX(0,NETWORKDAYS(MAX(D429,DATE(Einstellungen!$C$3,6,1)),MIN(J429,DATE(Einstellungen!$C$3,7,0)),Einstellungen!$F$13:$F$32)))</f>
        <v/>
      </c>
      <c r="R429" s="49">
        <f>IF(OR(A429="",D429=""),0,MAX(0,NETWORKDAYS(MAX(D429,DATE(Einstellungen!$C$3,7,1)),MIN(J429,DATE(Einstellungen!$C$3,8,0)),Einstellungen!$F$13:$F$32)))</f>
        <v/>
      </c>
      <c r="S429" s="49">
        <f>IF(OR(A429="",D429=""),0,MAX(0,NETWORKDAYS(MAX(D429,DATE(Einstellungen!$C$3,8,1)),MIN(J429,DATE(Einstellungen!$C$3,9,0)),Einstellungen!$F$13:$F$32)))</f>
        <v/>
      </c>
      <c r="T429" s="49">
        <f>IF(OR(A429="",D429=""),0,MAX(0,NETWORKDAYS(MAX(D429,DATE(Einstellungen!$C$3,9,1)),MIN(J429,DATE(Einstellungen!$C$3,10,0)),Einstellungen!$F$13:$F$32)))</f>
        <v/>
      </c>
      <c r="U429" s="49">
        <f>IF(OR(A429="",D429=""),0,MAX(0,NETWORKDAYS(MAX(D429,DATE(Einstellungen!$C$3,10,1)),MIN(J429,DATE(Einstellungen!$C$3,11,0)),Einstellungen!$F$13:$F$32)))</f>
        <v/>
      </c>
      <c r="V429" s="49">
        <f>IF(OR(A429="",D429=""),0,MAX(0,NETWORKDAYS(MAX(D429,DATE(Einstellungen!$C$3,11,1)),MIN(J429,DATE(Einstellungen!$C$3,12,0)),Einstellungen!$F$13:$F$32)))</f>
        <v/>
      </c>
      <c r="W429" s="49">
        <f>IF(OR(A429="",D429=""),0,MAX(0,NETWORKDAYS(MAX(D429,DATE(Einstellungen!$C$3,12,1)),MIN(J429,DATE(Einstellungen!$C$3,13,0)),Einstellungen!$F$13:$F$32)))</f>
        <v/>
      </c>
      <c r="X429" s="50">
        <f>L429*K429</f>
        <v/>
      </c>
      <c r="Y429" s="50">
        <f>M429*K429</f>
        <v/>
      </c>
      <c r="Z429" s="50">
        <f>N429*K429</f>
        <v/>
      </c>
      <c r="AA429" s="50">
        <f>O429*K429</f>
        <v/>
      </c>
      <c r="AB429" s="50">
        <f>P429*K429</f>
        <v/>
      </c>
      <c r="AC429" s="50">
        <f>Q429*K429</f>
        <v/>
      </c>
      <c r="AD429" s="50">
        <f>R429*K429</f>
        <v/>
      </c>
      <c r="AE429" s="50">
        <f>S429*K429</f>
        <v/>
      </c>
      <c r="AF429" s="50">
        <f>T429*K429</f>
        <v/>
      </c>
      <c r="AG429" s="50">
        <f>U429*K429</f>
        <v/>
      </c>
      <c r="AH429" s="50">
        <f>V429*K429</f>
        <v/>
      </c>
      <c r="AI429" s="50">
        <f>W429*K429</f>
        <v/>
      </c>
    </row>
    <row r="430">
      <c r="A430" s="25" t="n"/>
      <c r="B430" s="45">
        <f>IF(A430="","",IFERROR(INDEX(Mitarbeiter!$B$6:$B$205,MATCH($A430,Mitarbeiter!$A$6:$A$205,0)),"?"))</f>
        <v/>
      </c>
      <c r="C430" s="46" t="n"/>
      <c r="D430" s="26" t="n"/>
      <c r="E430" s="26" t="n"/>
      <c r="F430" s="24">
        <f>IF(A430="","",SUM(L430:W430))</f>
        <v/>
      </c>
      <c r="G430" s="36">
        <f>IF(A430="","",SUM(X430:AI430))</f>
        <v/>
      </c>
      <c r="H430" s="8">
        <f>IF(A430="","",IF(ISNA(MATCH(A430,Mitarbeiter!$A$6:$A$205,0)),"Pers.-Nr. unbekannt",IF(D430="","Von fehlt",IF(AND(C430&lt;&gt;Einstellungen!$C$4,C430&lt;&gt;Einstellungen!$C$5),"Objekt fehlt",IF(J430&lt;D430,"Bis vor Von",IF(D430&lt;INDEX(Mitarbeiter!$C$6:$C$205,MATCH($A430,Mitarbeiter!$A$6:$A$205,0)),"vor Eintritt",IF(AND(INDEX(Mitarbeiter!$D$6:$D$205,MATCH($A430,Mitarbeiter!$A$6:$A$205,0))&lt;&gt;"",D430&gt;INDEX(Mitarbeiter!$D$6:$D$205,MATCH($A430,Mitarbeiter!$A$6:$A$205,0))),"nach Austritt",IF(E430="","offen","ok"))))))))</f>
        <v/>
      </c>
      <c r="J430" s="47">
        <f>IF(A430="","",IF(E430="",Einstellungen!$C$9,E430))</f>
        <v/>
      </c>
      <c r="K430" s="48">
        <f>IF(A430="",0,IFERROR(INDEX(Mitarbeiter!$F$6:$F$205,MATCH($A430,Mitarbeiter!$A$6:$A$205,0)),0))</f>
        <v/>
      </c>
      <c r="L430" s="49">
        <f>IF(OR(A430="",D430=""),0,MAX(0,NETWORKDAYS(MAX(D430,DATE(Einstellungen!$C$3,1,1)),MIN(J430,DATE(Einstellungen!$C$3,2,0)),Einstellungen!$F$13:$F$32)))</f>
        <v/>
      </c>
      <c r="M430" s="49">
        <f>IF(OR(A430="",D430=""),0,MAX(0,NETWORKDAYS(MAX(D430,DATE(Einstellungen!$C$3,2,1)),MIN(J430,DATE(Einstellungen!$C$3,3,0)),Einstellungen!$F$13:$F$32)))</f>
        <v/>
      </c>
      <c r="N430" s="49">
        <f>IF(OR(A430="",D430=""),0,MAX(0,NETWORKDAYS(MAX(D430,DATE(Einstellungen!$C$3,3,1)),MIN(J430,DATE(Einstellungen!$C$3,4,0)),Einstellungen!$F$13:$F$32)))</f>
        <v/>
      </c>
      <c r="O430" s="49">
        <f>IF(OR(A430="",D430=""),0,MAX(0,NETWORKDAYS(MAX(D430,DATE(Einstellungen!$C$3,4,1)),MIN(J430,DATE(Einstellungen!$C$3,5,0)),Einstellungen!$F$13:$F$32)))</f>
        <v/>
      </c>
      <c r="P430" s="49">
        <f>IF(OR(A430="",D430=""),0,MAX(0,NETWORKDAYS(MAX(D430,DATE(Einstellungen!$C$3,5,1)),MIN(J430,DATE(Einstellungen!$C$3,6,0)),Einstellungen!$F$13:$F$32)))</f>
        <v/>
      </c>
      <c r="Q430" s="49">
        <f>IF(OR(A430="",D430=""),0,MAX(0,NETWORKDAYS(MAX(D430,DATE(Einstellungen!$C$3,6,1)),MIN(J430,DATE(Einstellungen!$C$3,7,0)),Einstellungen!$F$13:$F$32)))</f>
        <v/>
      </c>
      <c r="R430" s="49">
        <f>IF(OR(A430="",D430=""),0,MAX(0,NETWORKDAYS(MAX(D430,DATE(Einstellungen!$C$3,7,1)),MIN(J430,DATE(Einstellungen!$C$3,8,0)),Einstellungen!$F$13:$F$32)))</f>
        <v/>
      </c>
      <c r="S430" s="49">
        <f>IF(OR(A430="",D430=""),0,MAX(0,NETWORKDAYS(MAX(D430,DATE(Einstellungen!$C$3,8,1)),MIN(J430,DATE(Einstellungen!$C$3,9,0)),Einstellungen!$F$13:$F$32)))</f>
        <v/>
      </c>
      <c r="T430" s="49">
        <f>IF(OR(A430="",D430=""),0,MAX(0,NETWORKDAYS(MAX(D430,DATE(Einstellungen!$C$3,9,1)),MIN(J430,DATE(Einstellungen!$C$3,10,0)),Einstellungen!$F$13:$F$32)))</f>
        <v/>
      </c>
      <c r="U430" s="49">
        <f>IF(OR(A430="",D430=""),0,MAX(0,NETWORKDAYS(MAX(D430,DATE(Einstellungen!$C$3,10,1)),MIN(J430,DATE(Einstellungen!$C$3,11,0)),Einstellungen!$F$13:$F$32)))</f>
        <v/>
      </c>
      <c r="V430" s="49">
        <f>IF(OR(A430="",D430=""),0,MAX(0,NETWORKDAYS(MAX(D430,DATE(Einstellungen!$C$3,11,1)),MIN(J430,DATE(Einstellungen!$C$3,12,0)),Einstellungen!$F$13:$F$32)))</f>
        <v/>
      </c>
      <c r="W430" s="49">
        <f>IF(OR(A430="",D430=""),0,MAX(0,NETWORKDAYS(MAX(D430,DATE(Einstellungen!$C$3,12,1)),MIN(J430,DATE(Einstellungen!$C$3,13,0)),Einstellungen!$F$13:$F$32)))</f>
        <v/>
      </c>
      <c r="X430" s="50">
        <f>L430*K430</f>
        <v/>
      </c>
      <c r="Y430" s="50">
        <f>M430*K430</f>
        <v/>
      </c>
      <c r="Z430" s="50">
        <f>N430*K430</f>
        <v/>
      </c>
      <c r="AA430" s="50">
        <f>O430*K430</f>
        <v/>
      </c>
      <c r="AB430" s="50">
        <f>P430*K430</f>
        <v/>
      </c>
      <c r="AC430" s="50">
        <f>Q430*K430</f>
        <v/>
      </c>
      <c r="AD430" s="50">
        <f>R430*K430</f>
        <v/>
      </c>
      <c r="AE430" s="50">
        <f>S430*K430</f>
        <v/>
      </c>
      <c r="AF430" s="50">
        <f>T430*K430</f>
        <v/>
      </c>
      <c r="AG430" s="50">
        <f>U430*K430</f>
        <v/>
      </c>
      <c r="AH430" s="50">
        <f>V430*K430</f>
        <v/>
      </c>
      <c r="AI430" s="50">
        <f>W430*K430</f>
        <v/>
      </c>
    </row>
    <row r="431">
      <c r="A431" s="25" t="n"/>
      <c r="B431" s="45">
        <f>IF(A431="","",IFERROR(INDEX(Mitarbeiter!$B$6:$B$205,MATCH($A431,Mitarbeiter!$A$6:$A$205,0)),"?"))</f>
        <v/>
      </c>
      <c r="C431" s="46" t="n"/>
      <c r="D431" s="26" t="n"/>
      <c r="E431" s="26" t="n"/>
      <c r="F431" s="24">
        <f>IF(A431="","",SUM(L431:W431))</f>
        <v/>
      </c>
      <c r="G431" s="36">
        <f>IF(A431="","",SUM(X431:AI431))</f>
        <v/>
      </c>
      <c r="H431" s="8">
        <f>IF(A431="","",IF(ISNA(MATCH(A431,Mitarbeiter!$A$6:$A$205,0)),"Pers.-Nr. unbekannt",IF(D431="","Von fehlt",IF(AND(C431&lt;&gt;Einstellungen!$C$4,C431&lt;&gt;Einstellungen!$C$5),"Objekt fehlt",IF(J431&lt;D431,"Bis vor Von",IF(D431&lt;INDEX(Mitarbeiter!$C$6:$C$205,MATCH($A431,Mitarbeiter!$A$6:$A$205,0)),"vor Eintritt",IF(AND(INDEX(Mitarbeiter!$D$6:$D$205,MATCH($A431,Mitarbeiter!$A$6:$A$205,0))&lt;&gt;"",D431&gt;INDEX(Mitarbeiter!$D$6:$D$205,MATCH($A431,Mitarbeiter!$A$6:$A$205,0))),"nach Austritt",IF(E431="","offen","ok"))))))))</f>
        <v/>
      </c>
      <c r="J431" s="47">
        <f>IF(A431="","",IF(E431="",Einstellungen!$C$9,E431))</f>
        <v/>
      </c>
      <c r="K431" s="48">
        <f>IF(A431="",0,IFERROR(INDEX(Mitarbeiter!$F$6:$F$205,MATCH($A431,Mitarbeiter!$A$6:$A$205,0)),0))</f>
        <v/>
      </c>
      <c r="L431" s="49">
        <f>IF(OR(A431="",D431=""),0,MAX(0,NETWORKDAYS(MAX(D431,DATE(Einstellungen!$C$3,1,1)),MIN(J431,DATE(Einstellungen!$C$3,2,0)),Einstellungen!$F$13:$F$32)))</f>
        <v/>
      </c>
      <c r="M431" s="49">
        <f>IF(OR(A431="",D431=""),0,MAX(0,NETWORKDAYS(MAX(D431,DATE(Einstellungen!$C$3,2,1)),MIN(J431,DATE(Einstellungen!$C$3,3,0)),Einstellungen!$F$13:$F$32)))</f>
        <v/>
      </c>
      <c r="N431" s="49">
        <f>IF(OR(A431="",D431=""),0,MAX(0,NETWORKDAYS(MAX(D431,DATE(Einstellungen!$C$3,3,1)),MIN(J431,DATE(Einstellungen!$C$3,4,0)),Einstellungen!$F$13:$F$32)))</f>
        <v/>
      </c>
      <c r="O431" s="49">
        <f>IF(OR(A431="",D431=""),0,MAX(0,NETWORKDAYS(MAX(D431,DATE(Einstellungen!$C$3,4,1)),MIN(J431,DATE(Einstellungen!$C$3,5,0)),Einstellungen!$F$13:$F$32)))</f>
        <v/>
      </c>
      <c r="P431" s="49">
        <f>IF(OR(A431="",D431=""),0,MAX(0,NETWORKDAYS(MAX(D431,DATE(Einstellungen!$C$3,5,1)),MIN(J431,DATE(Einstellungen!$C$3,6,0)),Einstellungen!$F$13:$F$32)))</f>
        <v/>
      </c>
      <c r="Q431" s="49">
        <f>IF(OR(A431="",D431=""),0,MAX(0,NETWORKDAYS(MAX(D431,DATE(Einstellungen!$C$3,6,1)),MIN(J431,DATE(Einstellungen!$C$3,7,0)),Einstellungen!$F$13:$F$32)))</f>
        <v/>
      </c>
      <c r="R431" s="49">
        <f>IF(OR(A431="",D431=""),0,MAX(0,NETWORKDAYS(MAX(D431,DATE(Einstellungen!$C$3,7,1)),MIN(J431,DATE(Einstellungen!$C$3,8,0)),Einstellungen!$F$13:$F$32)))</f>
        <v/>
      </c>
      <c r="S431" s="49">
        <f>IF(OR(A431="",D431=""),0,MAX(0,NETWORKDAYS(MAX(D431,DATE(Einstellungen!$C$3,8,1)),MIN(J431,DATE(Einstellungen!$C$3,9,0)),Einstellungen!$F$13:$F$32)))</f>
        <v/>
      </c>
      <c r="T431" s="49">
        <f>IF(OR(A431="",D431=""),0,MAX(0,NETWORKDAYS(MAX(D431,DATE(Einstellungen!$C$3,9,1)),MIN(J431,DATE(Einstellungen!$C$3,10,0)),Einstellungen!$F$13:$F$32)))</f>
        <v/>
      </c>
      <c r="U431" s="49">
        <f>IF(OR(A431="",D431=""),0,MAX(0,NETWORKDAYS(MAX(D431,DATE(Einstellungen!$C$3,10,1)),MIN(J431,DATE(Einstellungen!$C$3,11,0)),Einstellungen!$F$13:$F$32)))</f>
        <v/>
      </c>
      <c r="V431" s="49">
        <f>IF(OR(A431="",D431=""),0,MAX(0,NETWORKDAYS(MAX(D431,DATE(Einstellungen!$C$3,11,1)),MIN(J431,DATE(Einstellungen!$C$3,12,0)),Einstellungen!$F$13:$F$32)))</f>
        <v/>
      </c>
      <c r="W431" s="49">
        <f>IF(OR(A431="",D431=""),0,MAX(0,NETWORKDAYS(MAX(D431,DATE(Einstellungen!$C$3,12,1)),MIN(J431,DATE(Einstellungen!$C$3,13,0)),Einstellungen!$F$13:$F$32)))</f>
        <v/>
      </c>
      <c r="X431" s="50">
        <f>L431*K431</f>
        <v/>
      </c>
      <c r="Y431" s="50">
        <f>M431*K431</f>
        <v/>
      </c>
      <c r="Z431" s="50">
        <f>N431*K431</f>
        <v/>
      </c>
      <c r="AA431" s="50">
        <f>O431*K431</f>
        <v/>
      </c>
      <c r="AB431" s="50">
        <f>P431*K431</f>
        <v/>
      </c>
      <c r="AC431" s="50">
        <f>Q431*K431</f>
        <v/>
      </c>
      <c r="AD431" s="50">
        <f>R431*K431</f>
        <v/>
      </c>
      <c r="AE431" s="50">
        <f>S431*K431</f>
        <v/>
      </c>
      <c r="AF431" s="50">
        <f>T431*K431</f>
        <v/>
      </c>
      <c r="AG431" s="50">
        <f>U431*K431</f>
        <v/>
      </c>
      <c r="AH431" s="50">
        <f>V431*K431</f>
        <v/>
      </c>
      <c r="AI431" s="50">
        <f>W431*K431</f>
        <v/>
      </c>
    </row>
    <row r="432">
      <c r="A432" s="25" t="n"/>
      <c r="B432" s="45">
        <f>IF(A432="","",IFERROR(INDEX(Mitarbeiter!$B$6:$B$205,MATCH($A432,Mitarbeiter!$A$6:$A$205,0)),"?"))</f>
        <v/>
      </c>
      <c r="C432" s="46" t="n"/>
      <c r="D432" s="26" t="n"/>
      <c r="E432" s="26" t="n"/>
      <c r="F432" s="24">
        <f>IF(A432="","",SUM(L432:W432))</f>
        <v/>
      </c>
      <c r="G432" s="36">
        <f>IF(A432="","",SUM(X432:AI432))</f>
        <v/>
      </c>
      <c r="H432" s="8">
        <f>IF(A432="","",IF(ISNA(MATCH(A432,Mitarbeiter!$A$6:$A$205,0)),"Pers.-Nr. unbekannt",IF(D432="","Von fehlt",IF(AND(C432&lt;&gt;Einstellungen!$C$4,C432&lt;&gt;Einstellungen!$C$5),"Objekt fehlt",IF(J432&lt;D432,"Bis vor Von",IF(D432&lt;INDEX(Mitarbeiter!$C$6:$C$205,MATCH($A432,Mitarbeiter!$A$6:$A$205,0)),"vor Eintritt",IF(AND(INDEX(Mitarbeiter!$D$6:$D$205,MATCH($A432,Mitarbeiter!$A$6:$A$205,0))&lt;&gt;"",D432&gt;INDEX(Mitarbeiter!$D$6:$D$205,MATCH($A432,Mitarbeiter!$A$6:$A$205,0))),"nach Austritt",IF(E432="","offen","ok"))))))))</f>
        <v/>
      </c>
      <c r="J432" s="47">
        <f>IF(A432="","",IF(E432="",Einstellungen!$C$9,E432))</f>
        <v/>
      </c>
      <c r="K432" s="48">
        <f>IF(A432="",0,IFERROR(INDEX(Mitarbeiter!$F$6:$F$205,MATCH($A432,Mitarbeiter!$A$6:$A$205,0)),0))</f>
        <v/>
      </c>
      <c r="L432" s="49">
        <f>IF(OR(A432="",D432=""),0,MAX(0,NETWORKDAYS(MAX(D432,DATE(Einstellungen!$C$3,1,1)),MIN(J432,DATE(Einstellungen!$C$3,2,0)),Einstellungen!$F$13:$F$32)))</f>
        <v/>
      </c>
      <c r="M432" s="49">
        <f>IF(OR(A432="",D432=""),0,MAX(0,NETWORKDAYS(MAX(D432,DATE(Einstellungen!$C$3,2,1)),MIN(J432,DATE(Einstellungen!$C$3,3,0)),Einstellungen!$F$13:$F$32)))</f>
        <v/>
      </c>
      <c r="N432" s="49">
        <f>IF(OR(A432="",D432=""),0,MAX(0,NETWORKDAYS(MAX(D432,DATE(Einstellungen!$C$3,3,1)),MIN(J432,DATE(Einstellungen!$C$3,4,0)),Einstellungen!$F$13:$F$32)))</f>
        <v/>
      </c>
      <c r="O432" s="49">
        <f>IF(OR(A432="",D432=""),0,MAX(0,NETWORKDAYS(MAX(D432,DATE(Einstellungen!$C$3,4,1)),MIN(J432,DATE(Einstellungen!$C$3,5,0)),Einstellungen!$F$13:$F$32)))</f>
        <v/>
      </c>
      <c r="P432" s="49">
        <f>IF(OR(A432="",D432=""),0,MAX(0,NETWORKDAYS(MAX(D432,DATE(Einstellungen!$C$3,5,1)),MIN(J432,DATE(Einstellungen!$C$3,6,0)),Einstellungen!$F$13:$F$32)))</f>
        <v/>
      </c>
      <c r="Q432" s="49">
        <f>IF(OR(A432="",D432=""),0,MAX(0,NETWORKDAYS(MAX(D432,DATE(Einstellungen!$C$3,6,1)),MIN(J432,DATE(Einstellungen!$C$3,7,0)),Einstellungen!$F$13:$F$32)))</f>
        <v/>
      </c>
      <c r="R432" s="49">
        <f>IF(OR(A432="",D432=""),0,MAX(0,NETWORKDAYS(MAX(D432,DATE(Einstellungen!$C$3,7,1)),MIN(J432,DATE(Einstellungen!$C$3,8,0)),Einstellungen!$F$13:$F$32)))</f>
        <v/>
      </c>
      <c r="S432" s="49">
        <f>IF(OR(A432="",D432=""),0,MAX(0,NETWORKDAYS(MAX(D432,DATE(Einstellungen!$C$3,8,1)),MIN(J432,DATE(Einstellungen!$C$3,9,0)),Einstellungen!$F$13:$F$32)))</f>
        <v/>
      </c>
      <c r="T432" s="49">
        <f>IF(OR(A432="",D432=""),0,MAX(0,NETWORKDAYS(MAX(D432,DATE(Einstellungen!$C$3,9,1)),MIN(J432,DATE(Einstellungen!$C$3,10,0)),Einstellungen!$F$13:$F$32)))</f>
        <v/>
      </c>
      <c r="U432" s="49">
        <f>IF(OR(A432="",D432=""),0,MAX(0,NETWORKDAYS(MAX(D432,DATE(Einstellungen!$C$3,10,1)),MIN(J432,DATE(Einstellungen!$C$3,11,0)),Einstellungen!$F$13:$F$32)))</f>
        <v/>
      </c>
      <c r="V432" s="49">
        <f>IF(OR(A432="",D432=""),0,MAX(0,NETWORKDAYS(MAX(D432,DATE(Einstellungen!$C$3,11,1)),MIN(J432,DATE(Einstellungen!$C$3,12,0)),Einstellungen!$F$13:$F$32)))</f>
        <v/>
      </c>
      <c r="W432" s="49">
        <f>IF(OR(A432="",D432=""),0,MAX(0,NETWORKDAYS(MAX(D432,DATE(Einstellungen!$C$3,12,1)),MIN(J432,DATE(Einstellungen!$C$3,13,0)),Einstellungen!$F$13:$F$32)))</f>
        <v/>
      </c>
      <c r="X432" s="50">
        <f>L432*K432</f>
        <v/>
      </c>
      <c r="Y432" s="50">
        <f>M432*K432</f>
        <v/>
      </c>
      <c r="Z432" s="50">
        <f>N432*K432</f>
        <v/>
      </c>
      <c r="AA432" s="50">
        <f>O432*K432</f>
        <v/>
      </c>
      <c r="AB432" s="50">
        <f>P432*K432</f>
        <v/>
      </c>
      <c r="AC432" s="50">
        <f>Q432*K432</f>
        <v/>
      </c>
      <c r="AD432" s="50">
        <f>R432*K432</f>
        <v/>
      </c>
      <c r="AE432" s="50">
        <f>S432*K432</f>
        <v/>
      </c>
      <c r="AF432" s="50">
        <f>T432*K432</f>
        <v/>
      </c>
      <c r="AG432" s="50">
        <f>U432*K432</f>
        <v/>
      </c>
      <c r="AH432" s="50">
        <f>V432*K432</f>
        <v/>
      </c>
      <c r="AI432" s="50">
        <f>W432*K432</f>
        <v/>
      </c>
    </row>
    <row r="433">
      <c r="A433" s="25" t="n"/>
      <c r="B433" s="45">
        <f>IF(A433="","",IFERROR(INDEX(Mitarbeiter!$B$6:$B$205,MATCH($A433,Mitarbeiter!$A$6:$A$205,0)),"?"))</f>
        <v/>
      </c>
      <c r="C433" s="46" t="n"/>
      <c r="D433" s="26" t="n"/>
      <c r="E433" s="26" t="n"/>
      <c r="F433" s="24">
        <f>IF(A433="","",SUM(L433:W433))</f>
        <v/>
      </c>
      <c r="G433" s="36">
        <f>IF(A433="","",SUM(X433:AI433))</f>
        <v/>
      </c>
      <c r="H433" s="8">
        <f>IF(A433="","",IF(ISNA(MATCH(A433,Mitarbeiter!$A$6:$A$205,0)),"Pers.-Nr. unbekannt",IF(D433="","Von fehlt",IF(AND(C433&lt;&gt;Einstellungen!$C$4,C433&lt;&gt;Einstellungen!$C$5),"Objekt fehlt",IF(J433&lt;D433,"Bis vor Von",IF(D433&lt;INDEX(Mitarbeiter!$C$6:$C$205,MATCH($A433,Mitarbeiter!$A$6:$A$205,0)),"vor Eintritt",IF(AND(INDEX(Mitarbeiter!$D$6:$D$205,MATCH($A433,Mitarbeiter!$A$6:$A$205,0))&lt;&gt;"",D433&gt;INDEX(Mitarbeiter!$D$6:$D$205,MATCH($A433,Mitarbeiter!$A$6:$A$205,0))),"nach Austritt",IF(E433="","offen","ok"))))))))</f>
        <v/>
      </c>
      <c r="J433" s="47">
        <f>IF(A433="","",IF(E433="",Einstellungen!$C$9,E433))</f>
        <v/>
      </c>
      <c r="K433" s="48">
        <f>IF(A433="",0,IFERROR(INDEX(Mitarbeiter!$F$6:$F$205,MATCH($A433,Mitarbeiter!$A$6:$A$205,0)),0))</f>
        <v/>
      </c>
      <c r="L433" s="49">
        <f>IF(OR(A433="",D433=""),0,MAX(0,NETWORKDAYS(MAX(D433,DATE(Einstellungen!$C$3,1,1)),MIN(J433,DATE(Einstellungen!$C$3,2,0)),Einstellungen!$F$13:$F$32)))</f>
        <v/>
      </c>
      <c r="M433" s="49">
        <f>IF(OR(A433="",D433=""),0,MAX(0,NETWORKDAYS(MAX(D433,DATE(Einstellungen!$C$3,2,1)),MIN(J433,DATE(Einstellungen!$C$3,3,0)),Einstellungen!$F$13:$F$32)))</f>
        <v/>
      </c>
      <c r="N433" s="49">
        <f>IF(OR(A433="",D433=""),0,MAX(0,NETWORKDAYS(MAX(D433,DATE(Einstellungen!$C$3,3,1)),MIN(J433,DATE(Einstellungen!$C$3,4,0)),Einstellungen!$F$13:$F$32)))</f>
        <v/>
      </c>
      <c r="O433" s="49">
        <f>IF(OR(A433="",D433=""),0,MAX(0,NETWORKDAYS(MAX(D433,DATE(Einstellungen!$C$3,4,1)),MIN(J433,DATE(Einstellungen!$C$3,5,0)),Einstellungen!$F$13:$F$32)))</f>
        <v/>
      </c>
      <c r="P433" s="49">
        <f>IF(OR(A433="",D433=""),0,MAX(0,NETWORKDAYS(MAX(D433,DATE(Einstellungen!$C$3,5,1)),MIN(J433,DATE(Einstellungen!$C$3,6,0)),Einstellungen!$F$13:$F$32)))</f>
        <v/>
      </c>
      <c r="Q433" s="49">
        <f>IF(OR(A433="",D433=""),0,MAX(0,NETWORKDAYS(MAX(D433,DATE(Einstellungen!$C$3,6,1)),MIN(J433,DATE(Einstellungen!$C$3,7,0)),Einstellungen!$F$13:$F$32)))</f>
        <v/>
      </c>
      <c r="R433" s="49">
        <f>IF(OR(A433="",D433=""),0,MAX(0,NETWORKDAYS(MAX(D433,DATE(Einstellungen!$C$3,7,1)),MIN(J433,DATE(Einstellungen!$C$3,8,0)),Einstellungen!$F$13:$F$32)))</f>
        <v/>
      </c>
      <c r="S433" s="49">
        <f>IF(OR(A433="",D433=""),0,MAX(0,NETWORKDAYS(MAX(D433,DATE(Einstellungen!$C$3,8,1)),MIN(J433,DATE(Einstellungen!$C$3,9,0)),Einstellungen!$F$13:$F$32)))</f>
        <v/>
      </c>
      <c r="T433" s="49">
        <f>IF(OR(A433="",D433=""),0,MAX(0,NETWORKDAYS(MAX(D433,DATE(Einstellungen!$C$3,9,1)),MIN(J433,DATE(Einstellungen!$C$3,10,0)),Einstellungen!$F$13:$F$32)))</f>
        <v/>
      </c>
      <c r="U433" s="49">
        <f>IF(OR(A433="",D433=""),0,MAX(0,NETWORKDAYS(MAX(D433,DATE(Einstellungen!$C$3,10,1)),MIN(J433,DATE(Einstellungen!$C$3,11,0)),Einstellungen!$F$13:$F$32)))</f>
        <v/>
      </c>
      <c r="V433" s="49">
        <f>IF(OR(A433="",D433=""),0,MAX(0,NETWORKDAYS(MAX(D433,DATE(Einstellungen!$C$3,11,1)),MIN(J433,DATE(Einstellungen!$C$3,12,0)),Einstellungen!$F$13:$F$32)))</f>
        <v/>
      </c>
      <c r="W433" s="49">
        <f>IF(OR(A433="",D433=""),0,MAX(0,NETWORKDAYS(MAX(D433,DATE(Einstellungen!$C$3,12,1)),MIN(J433,DATE(Einstellungen!$C$3,13,0)),Einstellungen!$F$13:$F$32)))</f>
        <v/>
      </c>
      <c r="X433" s="50">
        <f>L433*K433</f>
        <v/>
      </c>
      <c r="Y433" s="50">
        <f>M433*K433</f>
        <v/>
      </c>
      <c r="Z433" s="50">
        <f>N433*K433</f>
        <v/>
      </c>
      <c r="AA433" s="50">
        <f>O433*K433</f>
        <v/>
      </c>
      <c r="AB433" s="50">
        <f>P433*K433</f>
        <v/>
      </c>
      <c r="AC433" s="50">
        <f>Q433*K433</f>
        <v/>
      </c>
      <c r="AD433" s="50">
        <f>R433*K433</f>
        <v/>
      </c>
      <c r="AE433" s="50">
        <f>S433*K433</f>
        <v/>
      </c>
      <c r="AF433" s="50">
        <f>T433*K433</f>
        <v/>
      </c>
      <c r="AG433" s="50">
        <f>U433*K433</f>
        <v/>
      </c>
      <c r="AH433" s="50">
        <f>V433*K433</f>
        <v/>
      </c>
      <c r="AI433" s="50">
        <f>W433*K433</f>
        <v/>
      </c>
    </row>
    <row r="434">
      <c r="A434" s="25" t="n"/>
      <c r="B434" s="45">
        <f>IF(A434="","",IFERROR(INDEX(Mitarbeiter!$B$6:$B$205,MATCH($A434,Mitarbeiter!$A$6:$A$205,0)),"?"))</f>
        <v/>
      </c>
      <c r="C434" s="46" t="n"/>
      <c r="D434" s="26" t="n"/>
      <c r="E434" s="26" t="n"/>
      <c r="F434" s="24">
        <f>IF(A434="","",SUM(L434:W434))</f>
        <v/>
      </c>
      <c r="G434" s="36">
        <f>IF(A434="","",SUM(X434:AI434))</f>
        <v/>
      </c>
      <c r="H434" s="8">
        <f>IF(A434="","",IF(ISNA(MATCH(A434,Mitarbeiter!$A$6:$A$205,0)),"Pers.-Nr. unbekannt",IF(D434="","Von fehlt",IF(AND(C434&lt;&gt;Einstellungen!$C$4,C434&lt;&gt;Einstellungen!$C$5),"Objekt fehlt",IF(J434&lt;D434,"Bis vor Von",IF(D434&lt;INDEX(Mitarbeiter!$C$6:$C$205,MATCH($A434,Mitarbeiter!$A$6:$A$205,0)),"vor Eintritt",IF(AND(INDEX(Mitarbeiter!$D$6:$D$205,MATCH($A434,Mitarbeiter!$A$6:$A$205,0))&lt;&gt;"",D434&gt;INDEX(Mitarbeiter!$D$6:$D$205,MATCH($A434,Mitarbeiter!$A$6:$A$205,0))),"nach Austritt",IF(E434="","offen","ok"))))))))</f>
        <v/>
      </c>
      <c r="J434" s="47">
        <f>IF(A434="","",IF(E434="",Einstellungen!$C$9,E434))</f>
        <v/>
      </c>
      <c r="K434" s="48">
        <f>IF(A434="",0,IFERROR(INDEX(Mitarbeiter!$F$6:$F$205,MATCH($A434,Mitarbeiter!$A$6:$A$205,0)),0))</f>
        <v/>
      </c>
      <c r="L434" s="49">
        <f>IF(OR(A434="",D434=""),0,MAX(0,NETWORKDAYS(MAX(D434,DATE(Einstellungen!$C$3,1,1)),MIN(J434,DATE(Einstellungen!$C$3,2,0)),Einstellungen!$F$13:$F$32)))</f>
        <v/>
      </c>
      <c r="M434" s="49">
        <f>IF(OR(A434="",D434=""),0,MAX(0,NETWORKDAYS(MAX(D434,DATE(Einstellungen!$C$3,2,1)),MIN(J434,DATE(Einstellungen!$C$3,3,0)),Einstellungen!$F$13:$F$32)))</f>
        <v/>
      </c>
      <c r="N434" s="49">
        <f>IF(OR(A434="",D434=""),0,MAX(0,NETWORKDAYS(MAX(D434,DATE(Einstellungen!$C$3,3,1)),MIN(J434,DATE(Einstellungen!$C$3,4,0)),Einstellungen!$F$13:$F$32)))</f>
        <v/>
      </c>
      <c r="O434" s="49">
        <f>IF(OR(A434="",D434=""),0,MAX(0,NETWORKDAYS(MAX(D434,DATE(Einstellungen!$C$3,4,1)),MIN(J434,DATE(Einstellungen!$C$3,5,0)),Einstellungen!$F$13:$F$32)))</f>
        <v/>
      </c>
      <c r="P434" s="49">
        <f>IF(OR(A434="",D434=""),0,MAX(0,NETWORKDAYS(MAX(D434,DATE(Einstellungen!$C$3,5,1)),MIN(J434,DATE(Einstellungen!$C$3,6,0)),Einstellungen!$F$13:$F$32)))</f>
        <v/>
      </c>
      <c r="Q434" s="49">
        <f>IF(OR(A434="",D434=""),0,MAX(0,NETWORKDAYS(MAX(D434,DATE(Einstellungen!$C$3,6,1)),MIN(J434,DATE(Einstellungen!$C$3,7,0)),Einstellungen!$F$13:$F$32)))</f>
        <v/>
      </c>
      <c r="R434" s="49">
        <f>IF(OR(A434="",D434=""),0,MAX(0,NETWORKDAYS(MAX(D434,DATE(Einstellungen!$C$3,7,1)),MIN(J434,DATE(Einstellungen!$C$3,8,0)),Einstellungen!$F$13:$F$32)))</f>
        <v/>
      </c>
      <c r="S434" s="49">
        <f>IF(OR(A434="",D434=""),0,MAX(0,NETWORKDAYS(MAX(D434,DATE(Einstellungen!$C$3,8,1)),MIN(J434,DATE(Einstellungen!$C$3,9,0)),Einstellungen!$F$13:$F$32)))</f>
        <v/>
      </c>
      <c r="T434" s="49">
        <f>IF(OR(A434="",D434=""),0,MAX(0,NETWORKDAYS(MAX(D434,DATE(Einstellungen!$C$3,9,1)),MIN(J434,DATE(Einstellungen!$C$3,10,0)),Einstellungen!$F$13:$F$32)))</f>
        <v/>
      </c>
      <c r="U434" s="49">
        <f>IF(OR(A434="",D434=""),0,MAX(0,NETWORKDAYS(MAX(D434,DATE(Einstellungen!$C$3,10,1)),MIN(J434,DATE(Einstellungen!$C$3,11,0)),Einstellungen!$F$13:$F$32)))</f>
        <v/>
      </c>
      <c r="V434" s="49">
        <f>IF(OR(A434="",D434=""),0,MAX(0,NETWORKDAYS(MAX(D434,DATE(Einstellungen!$C$3,11,1)),MIN(J434,DATE(Einstellungen!$C$3,12,0)),Einstellungen!$F$13:$F$32)))</f>
        <v/>
      </c>
      <c r="W434" s="49">
        <f>IF(OR(A434="",D434=""),0,MAX(0,NETWORKDAYS(MAX(D434,DATE(Einstellungen!$C$3,12,1)),MIN(J434,DATE(Einstellungen!$C$3,13,0)),Einstellungen!$F$13:$F$32)))</f>
        <v/>
      </c>
      <c r="X434" s="50">
        <f>L434*K434</f>
        <v/>
      </c>
      <c r="Y434" s="50">
        <f>M434*K434</f>
        <v/>
      </c>
      <c r="Z434" s="50">
        <f>N434*K434</f>
        <v/>
      </c>
      <c r="AA434" s="50">
        <f>O434*K434</f>
        <v/>
      </c>
      <c r="AB434" s="50">
        <f>P434*K434</f>
        <v/>
      </c>
      <c r="AC434" s="50">
        <f>Q434*K434</f>
        <v/>
      </c>
      <c r="AD434" s="50">
        <f>R434*K434</f>
        <v/>
      </c>
      <c r="AE434" s="50">
        <f>S434*K434</f>
        <v/>
      </c>
      <c r="AF434" s="50">
        <f>T434*K434</f>
        <v/>
      </c>
      <c r="AG434" s="50">
        <f>U434*K434</f>
        <v/>
      </c>
      <c r="AH434" s="50">
        <f>V434*K434</f>
        <v/>
      </c>
      <c r="AI434" s="50">
        <f>W434*K434</f>
        <v/>
      </c>
    </row>
    <row r="435">
      <c r="A435" s="25" t="n"/>
      <c r="B435" s="45">
        <f>IF(A435="","",IFERROR(INDEX(Mitarbeiter!$B$6:$B$205,MATCH($A435,Mitarbeiter!$A$6:$A$205,0)),"?"))</f>
        <v/>
      </c>
      <c r="C435" s="46" t="n"/>
      <c r="D435" s="26" t="n"/>
      <c r="E435" s="26" t="n"/>
      <c r="F435" s="24">
        <f>IF(A435="","",SUM(L435:W435))</f>
        <v/>
      </c>
      <c r="G435" s="36">
        <f>IF(A435="","",SUM(X435:AI435))</f>
        <v/>
      </c>
      <c r="H435" s="8">
        <f>IF(A435="","",IF(ISNA(MATCH(A435,Mitarbeiter!$A$6:$A$205,0)),"Pers.-Nr. unbekannt",IF(D435="","Von fehlt",IF(AND(C435&lt;&gt;Einstellungen!$C$4,C435&lt;&gt;Einstellungen!$C$5),"Objekt fehlt",IF(J435&lt;D435,"Bis vor Von",IF(D435&lt;INDEX(Mitarbeiter!$C$6:$C$205,MATCH($A435,Mitarbeiter!$A$6:$A$205,0)),"vor Eintritt",IF(AND(INDEX(Mitarbeiter!$D$6:$D$205,MATCH($A435,Mitarbeiter!$A$6:$A$205,0))&lt;&gt;"",D435&gt;INDEX(Mitarbeiter!$D$6:$D$205,MATCH($A435,Mitarbeiter!$A$6:$A$205,0))),"nach Austritt",IF(E435="","offen","ok"))))))))</f>
        <v/>
      </c>
      <c r="J435" s="47">
        <f>IF(A435="","",IF(E435="",Einstellungen!$C$9,E435))</f>
        <v/>
      </c>
      <c r="K435" s="48">
        <f>IF(A435="",0,IFERROR(INDEX(Mitarbeiter!$F$6:$F$205,MATCH($A435,Mitarbeiter!$A$6:$A$205,0)),0))</f>
        <v/>
      </c>
      <c r="L435" s="49">
        <f>IF(OR(A435="",D435=""),0,MAX(0,NETWORKDAYS(MAX(D435,DATE(Einstellungen!$C$3,1,1)),MIN(J435,DATE(Einstellungen!$C$3,2,0)),Einstellungen!$F$13:$F$32)))</f>
        <v/>
      </c>
      <c r="M435" s="49">
        <f>IF(OR(A435="",D435=""),0,MAX(0,NETWORKDAYS(MAX(D435,DATE(Einstellungen!$C$3,2,1)),MIN(J435,DATE(Einstellungen!$C$3,3,0)),Einstellungen!$F$13:$F$32)))</f>
        <v/>
      </c>
      <c r="N435" s="49">
        <f>IF(OR(A435="",D435=""),0,MAX(0,NETWORKDAYS(MAX(D435,DATE(Einstellungen!$C$3,3,1)),MIN(J435,DATE(Einstellungen!$C$3,4,0)),Einstellungen!$F$13:$F$32)))</f>
        <v/>
      </c>
      <c r="O435" s="49">
        <f>IF(OR(A435="",D435=""),0,MAX(0,NETWORKDAYS(MAX(D435,DATE(Einstellungen!$C$3,4,1)),MIN(J435,DATE(Einstellungen!$C$3,5,0)),Einstellungen!$F$13:$F$32)))</f>
        <v/>
      </c>
      <c r="P435" s="49">
        <f>IF(OR(A435="",D435=""),0,MAX(0,NETWORKDAYS(MAX(D435,DATE(Einstellungen!$C$3,5,1)),MIN(J435,DATE(Einstellungen!$C$3,6,0)),Einstellungen!$F$13:$F$32)))</f>
        <v/>
      </c>
      <c r="Q435" s="49">
        <f>IF(OR(A435="",D435=""),0,MAX(0,NETWORKDAYS(MAX(D435,DATE(Einstellungen!$C$3,6,1)),MIN(J435,DATE(Einstellungen!$C$3,7,0)),Einstellungen!$F$13:$F$32)))</f>
        <v/>
      </c>
      <c r="R435" s="49">
        <f>IF(OR(A435="",D435=""),0,MAX(0,NETWORKDAYS(MAX(D435,DATE(Einstellungen!$C$3,7,1)),MIN(J435,DATE(Einstellungen!$C$3,8,0)),Einstellungen!$F$13:$F$32)))</f>
        <v/>
      </c>
      <c r="S435" s="49">
        <f>IF(OR(A435="",D435=""),0,MAX(0,NETWORKDAYS(MAX(D435,DATE(Einstellungen!$C$3,8,1)),MIN(J435,DATE(Einstellungen!$C$3,9,0)),Einstellungen!$F$13:$F$32)))</f>
        <v/>
      </c>
      <c r="T435" s="49">
        <f>IF(OR(A435="",D435=""),0,MAX(0,NETWORKDAYS(MAX(D435,DATE(Einstellungen!$C$3,9,1)),MIN(J435,DATE(Einstellungen!$C$3,10,0)),Einstellungen!$F$13:$F$32)))</f>
        <v/>
      </c>
      <c r="U435" s="49">
        <f>IF(OR(A435="",D435=""),0,MAX(0,NETWORKDAYS(MAX(D435,DATE(Einstellungen!$C$3,10,1)),MIN(J435,DATE(Einstellungen!$C$3,11,0)),Einstellungen!$F$13:$F$32)))</f>
        <v/>
      </c>
      <c r="V435" s="49">
        <f>IF(OR(A435="",D435=""),0,MAX(0,NETWORKDAYS(MAX(D435,DATE(Einstellungen!$C$3,11,1)),MIN(J435,DATE(Einstellungen!$C$3,12,0)),Einstellungen!$F$13:$F$32)))</f>
        <v/>
      </c>
      <c r="W435" s="49">
        <f>IF(OR(A435="",D435=""),0,MAX(0,NETWORKDAYS(MAX(D435,DATE(Einstellungen!$C$3,12,1)),MIN(J435,DATE(Einstellungen!$C$3,13,0)),Einstellungen!$F$13:$F$32)))</f>
        <v/>
      </c>
      <c r="X435" s="50">
        <f>L435*K435</f>
        <v/>
      </c>
      <c r="Y435" s="50">
        <f>M435*K435</f>
        <v/>
      </c>
      <c r="Z435" s="50">
        <f>N435*K435</f>
        <v/>
      </c>
      <c r="AA435" s="50">
        <f>O435*K435</f>
        <v/>
      </c>
      <c r="AB435" s="50">
        <f>P435*K435</f>
        <v/>
      </c>
      <c r="AC435" s="50">
        <f>Q435*K435</f>
        <v/>
      </c>
      <c r="AD435" s="50">
        <f>R435*K435</f>
        <v/>
      </c>
      <c r="AE435" s="50">
        <f>S435*K435</f>
        <v/>
      </c>
      <c r="AF435" s="50">
        <f>T435*K435</f>
        <v/>
      </c>
      <c r="AG435" s="50">
        <f>U435*K435</f>
        <v/>
      </c>
      <c r="AH435" s="50">
        <f>V435*K435</f>
        <v/>
      </c>
      <c r="AI435" s="50">
        <f>W435*K435</f>
        <v/>
      </c>
    </row>
    <row r="436">
      <c r="A436" s="25" t="n"/>
      <c r="B436" s="45">
        <f>IF(A436="","",IFERROR(INDEX(Mitarbeiter!$B$6:$B$205,MATCH($A436,Mitarbeiter!$A$6:$A$205,0)),"?"))</f>
        <v/>
      </c>
      <c r="C436" s="46" t="n"/>
      <c r="D436" s="26" t="n"/>
      <c r="E436" s="26" t="n"/>
      <c r="F436" s="24">
        <f>IF(A436="","",SUM(L436:W436))</f>
        <v/>
      </c>
      <c r="G436" s="36">
        <f>IF(A436="","",SUM(X436:AI436))</f>
        <v/>
      </c>
      <c r="H436" s="8">
        <f>IF(A436="","",IF(ISNA(MATCH(A436,Mitarbeiter!$A$6:$A$205,0)),"Pers.-Nr. unbekannt",IF(D436="","Von fehlt",IF(AND(C436&lt;&gt;Einstellungen!$C$4,C436&lt;&gt;Einstellungen!$C$5),"Objekt fehlt",IF(J436&lt;D436,"Bis vor Von",IF(D436&lt;INDEX(Mitarbeiter!$C$6:$C$205,MATCH($A436,Mitarbeiter!$A$6:$A$205,0)),"vor Eintritt",IF(AND(INDEX(Mitarbeiter!$D$6:$D$205,MATCH($A436,Mitarbeiter!$A$6:$A$205,0))&lt;&gt;"",D436&gt;INDEX(Mitarbeiter!$D$6:$D$205,MATCH($A436,Mitarbeiter!$A$6:$A$205,0))),"nach Austritt",IF(E436="","offen","ok"))))))))</f>
        <v/>
      </c>
      <c r="J436" s="47">
        <f>IF(A436="","",IF(E436="",Einstellungen!$C$9,E436))</f>
        <v/>
      </c>
      <c r="K436" s="48">
        <f>IF(A436="",0,IFERROR(INDEX(Mitarbeiter!$F$6:$F$205,MATCH($A436,Mitarbeiter!$A$6:$A$205,0)),0))</f>
        <v/>
      </c>
      <c r="L436" s="49">
        <f>IF(OR(A436="",D436=""),0,MAX(0,NETWORKDAYS(MAX(D436,DATE(Einstellungen!$C$3,1,1)),MIN(J436,DATE(Einstellungen!$C$3,2,0)),Einstellungen!$F$13:$F$32)))</f>
        <v/>
      </c>
      <c r="M436" s="49">
        <f>IF(OR(A436="",D436=""),0,MAX(0,NETWORKDAYS(MAX(D436,DATE(Einstellungen!$C$3,2,1)),MIN(J436,DATE(Einstellungen!$C$3,3,0)),Einstellungen!$F$13:$F$32)))</f>
        <v/>
      </c>
      <c r="N436" s="49">
        <f>IF(OR(A436="",D436=""),0,MAX(0,NETWORKDAYS(MAX(D436,DATE(Einstellungen!$C$3,3,1)),MIN(J436,DATE(Einstellungen!$C$3,4,0)),Einstellungen!$F$13:$F$32)))</f>
        <v/>
      </c>
      <c r="O436" s="49">
        <f>IF(OR(A436="",D436=""),0,MAX(0,NETWORKDAYS(MAX(D436,DATE(Einstellungen!$C$3,4,1)),MIN(J436,DATE(Einstellungen!$C$3,5,0)),Einstellungen!$F$13:$F$32)))</f>
        <v/>
      </c>
      <c r="P436" s="49">
        <f>IF(OR(A436="",D436=""),0,MAX(0,NETWORKDAYS(MAX(D436,DATE(Einstellungen!$C$3,5,1)),MIN(J436,DATE(Einstellungen!$C$3,6,0)),Einstellungen!$F$13:$F$32)))</f>
        <v/>
      </c>
      <c r="Q436" s="49">
        <f>IF(OR(A436="",D436=""),0,MAX(0,NETWORKDAYS(MAX(D436,DATE(Einstellungen!$C$3,6,1)),MIN(J436,DATE(Einstellungen!$C$3,7,0)),Einstellungen!$F$13:$F$32)))</f>
        <v/>
      </c>
      <c r="R436" s="49">
        <f>IF(OR(A436="",D436=""),0,MAX(0,NETWORKDAYS(MAX(D436,DATE(Einstellungen!$C$3,7,1)),MIN(J436,DATE(Einstellungen!$C$3,8,0)),Einstellungen!$F$13:$F$32)))</f>
        <v/>
      </c>
      <c r="S436" s="49">
        <f>IF(OR(A436="",D436=""),0,MAX(0,NETWORKDAYS(MAX(D436,DATE(Einstellungen!$C$3,8,1)),MIN(J436,DATE(Einstellungen!$C$3,9,0)),Einstellungen!$F$13:$F$32)))</f>
        <v/>
      </c>
      <c r="T436" s="49">
        <f>IF(OR(A436="",D436=""),0,MAX(0,NETWORKDAYS(MAX(D436,DATE(Einstellungen!$C$3,9,1)),MIN(J436,DATE(Einstellungen!$C$3,10,0)),Einstellungen!$F$13:$F$32)))</f>
        <v/>
      </c>
      <c r="U436" s="49">
        <f>IF(OR(A436="",D436=""),0,MAX(0,NETWORKDAYS(MAX(D436,DATE(Einstellungen!$C$3,10,1)),MIN(J436,DATE(Einstellungen!$C$3,11,0)),Einstellungen!$F$13:$F$32)))</f>
        <v/>
      </c>
      <c r="V436" s="49">
        <f>IF(OR(A436="",D436=""),0,MAX(0,NETWORKDAYS(MAX(D436,DATE(Einstellungen!$C$3,11,1)),MIN(J436,DATE(Einstellungen!$C$3,12,0)),Einstellungen!$F$13:$F$32)))</f>
        <v/>
      </c>
      <c r="W436" s="49">
        <f>IF(OR(A436="",D436=""),0,MAX(0,NETWORKDAYS(MAX(D436,DATE(Einstellungen!$C$3,12,1)),MIN(J436,DATE(Einstellungen!$C$3,13,0)),Einstellungen!$F$13:$F$32)))</f>
        <v/>
      </c>
      <c r="X436" s="50">
        <f>L436*K436</f>
        <v/>
      </c>
      <c r="Y436" s="50">
        <f>M436*K436</f>
        <v/>
      </c>
      <c r="Z436" s="50">
        <f>N436*K436</f>
        <v/>
      </c>
      <c r="AA436" s="50">
        <f>O436*K436</f>
        <v/>
      </c>
      <c r="AB436" s="50">
        <f>P436*K436</f>
        <v/>
      </c>
      <c r="AC436" s="50">
        <f>Q436*K436</f>
        <v/>
      </c>
      <c r="AD436" s="50">
        <f>R436*K436</f>
        <v/>
      </c>
      <c r="AE436" s="50">
        <f>S436*K436</f>
        <v/>
      </c>
      <c r="AF436" s="50">
        <f>T436*K436</f>
        <v/>
      </c>
      <c r="AG436" s="50">
        <f>U436*K436</f>
        <v/>
      </c>
      <c r="AH436" s="50">
        <f>V436*K436</f>
        <v/>
      </c>
      <c r="AI436" s="50">
        <f>W436*K436</f>
        <v/>
      </c>
    </row>
    <row r="437">
      <c r="A437" s="25" t="n"/>
      <c r="B437" s="45">
        <f>IF(A437="","",IFERROR(INDEX(Mitarbeiter!$B$6:$B$205,MATCH($A437,Mitarbeiter!$A$6:$A$205,0)),"?"))</f>
        <v/>
      </c>
      <c r="C437" s="46" t="n"/>
      <c r="D437" s="26" t="n"/>
      <c r="E437" s="26" t="n"/>
      <c r="F437" s="24">
        <f>IF(A437="","",SUM(L437:W437))</f>
        <v/>
      </c>
      <c r="G437" s="36">
        <f>IF(A437="","",SUM(X437:AI437))</f>
        <v/>
      </c>
      <c r="H437" s="8">
        <f>IF(A437="","",IF(ISNA(MATCH(A437,Mitarbeiter!$A$6:$A$205,0)),"Pers.-Nr. unbekannt",IF(D437="","Von fehlt",IF(AND(C437&lt;&gt;Einstellungen!$C$4,C437&lt;&gt;Einstellungen!$C$5),"Objekt fehlt",IF(J437&lt;D437,"Bis vor Von",IF(D437&lt;INDEX(Mitarbeiter!$C$6:$C$205,MATCH($A437,Mitarbeiter!$A$6:$A$205,0)),"vor Eintritt",IF(AND(INDEX(Mitarbeiter!$D$6:$D$205,MATCH($A437,Mitarbeiter!$A$6:$A$205,0))&lt;&gt;"",D437&gt;INDEX(Mitarbeiter!$D$6:$D$205,MATCH($A437,Mitarbeiter!$A$6:$A$205,0))),"nach Austritt",IF(E437="","offen","ok"))))))))</f>
        <v/>
      </c>
      <c r="J437" s="47">
        <f>IF(A437="","",IF(E437="",Einstellungen!$C$9,E437))</f>
        <v/>
      </c>
      <c r="K437" s="48">
        <f>IF(A437="",0,IFERROR(INDEX(Mitarbeiter!$F$6:$F$205,MATCH($A437,Mitarbeiter!$A$6:$A$205,0)),0))</f>
        <v/>
      </c>
      <c r="L437" s="49">
        <f>IF(OR(A437="",D437=""),0,MAX(0,NETWORKDAYS(MAX(D437,DATE(Einstellungen!$C$3,1,1)),MIN(J437,DATE(Einstellungen!$C$3,2,0)),Einstellungen!$F$13:$F$32)))</f>
        <v/>
      </c>
      <c r="M437" s="49">
        <f>IF(OR(A437="",D437=""),0,MAX(0,NETWORKDAYS(MAX(D437,DATE(Einstellungen!$C$3,2,1)),MIN(J437,DATE(Einstellungen!$C$3,3,0)),Einstellungen!$F$13:$F$32)))</f>
        <v/>
      </c>
      <c r="N437" s="49">
        <f>IF(OR(A437="",D437=""),0,MAX(0,NETWORKDAYS(MAX(D437,DATE(Einstellungen!$C$3,3,1)),MIN(J437,DATE(Einstellungen!$C$3,4,0)),Einstellungen!$F$13:$F$32)))</f>
        <v/>
      </c>
      <c r="O437" s="49">
        <f>IF(OR(A437="",D437=""),0,MAX(0,NETWORKDAYS(MAX(D437,DATE(Einstellungen!$C$3,4,1)),MIN(J437,DATE(Einstellungen!$C$3,5,0)),Einstellungen!$F$13:$F$32)))</f>
        <v/>
      </c>
      <c r="P437" s="49">
        <f>IF(OR(A437="",D437=""),0,MAX(0,NETWORKDAYS(MAX(D437,DATE(Einstellungen!$C$3,5,1)),MIN(J437,DATE(Einstellungen!$C$3,6,0)),Einstellungen!$F$13:$F$32)))</f>
        <v/>
      </c>
      <c r="Q437" s="49">
        <f>IF(OR(A437="",D437=""),0,MAX(0,NETWORKDAYS(MAX(D437,DATE(Einstellungen!$C$3,6,1)),MIN(J437,DATE(Einstellungen!$C$3,7,0)),Einstellungen!$F$13:$F$32)))</f>
        <v/>
      </c>
      <c r="R437" s="49">
        <f>IF(OR(A437="",D437=""),0,MAX(0,NETWORKDAYS(MAX(D437,DATE(Einstellungen!$C$3,7,1)),MIN(J437,DATE(Einstellungen!$C$3,8,0)),Einstellungen!$F$13:$F$32)))</f>
        <v/>
      </c>
      <c r="S437" s="49">
        <f>IF(OR(A437="",D437=""),0,MAX(0,NETWORKDAYS(MAX(D437,DATE(Einstellungen!$C$3,8,1)),MIN(J437,DATE(Einstellungen!$C$3,9,0)),Einstellungen!$F$13:$F$32)))</f>
        <v/>
      </c>
      <c r="T437" s="49">
        <f>IF(OR(A437="",D437=""),0,MAX(0,NETWORKDAYS(MAX(D437,DATE(Einstellungen!$C$3,9,1)),MIN(J437,DATE(Einstellungen!$C$3,10,0)),Einstellungen!$F$13:$F$32)))</f>
        <v/>
      </c>
      <c r="U437" s="49">
        <f>IF(OR(A437="",D437=""),0,MAX(0,NETWORKDAYS(MAX(D437,DATE(Einstellungen!$C$3,10,1)),MIN(J437,DATE(Einstellungen!$C$3,11,0)),Einstellungen!$F$13:$F$32)))</f>
        <v/>
      </c>
      <c r="V437" s="49">
        <f>IF(OR(A437="",D437=""),0,MAX(0,NETWORKDAYS(MAX(D437,DATE(Einstellungen!$C$3,11,1)),MIN(J437,DATE(Einstellungen!$C$3,12,0)),Einstellungen!$F$13:$F$32)))</f>
        <v/>
      </c>
      <c r="W437" s="49">
        <f>IF(OR(A437="",D437=""),0,MAX(0,NETWORKDAYS(MAX(D437,DATE(Einstellungen!$C$3,12,1)),MIN(J437,DATE(Einstellungen!$C$3,13,0)),Einstellungen!$F$13:$F$32)))</f>
        <v/>
      </c>
      <c r="X437" s="50">
        <f>L437*K437</f>
        <v/>
      </c>
      <c r="Y437" s="50">
        <f>M437*K437</f>
        <v/>
      </c>
      <c r="Z437" s="50">
        <f>N437*K437</f>
        <v/>
      </c>
      <c r="AA437" s="50">
        <f>O437*K437</f>
        <v/>
      </c>
      <c r="AB437" s="50">
        <f>P437*K437</f>
        <v/>
      </c>
      <c r="AC437" s="50">
        <f>Q437*K437</f>
        <v/>
      </c>
      <c r="AD437" s="50">
        <f>R437*K437</f>
        <v/>
      </c>
      <c r="AE437" s="50">
        <f>S437*K437</f>
        <v/>
      </c>
      <c r="AF437" s="50">
        <f>T437*K437</f>
        <v/>
      </c>
      <c r="AG437" s="50">
        <f>U437*K437</f>
        <v/>
      </c>
      <c r="AH437" s="50">
        <f>V437*K437</f>
        <v/>
      </c>
      <c r="AI437" s="50">
        <f>W437*K437</f>
        <v/>
      </c>
    </row>
    <row r="438">
      <c r="A438" s="25" t="n"/>
      <c r="B438" s="45">
        <f>IF(A438="","",IFERROR(INDEX(Mitarbeiter!$B$6:$B$205,MATCH($A438,Mitarbeiter!$A$6:$A$205,0)),"?"))</f>
        <v/>
      </c>
      <c r="C438" s="46" t="n"/>
      <c r="D438" s="26" t="n"/>
      <c r="E438" s="26" t="n"/>
      <c r="F438" s="24">
        <f>IF(A438="","",SUM(L438:W438))</f>
        <v/>
      </c>
      <c r="G438" s="36">
        <f>IF(A438="","",SUM(X438:AI438))</f>
        <v/>
      </c>
      <c r="H438" s="8">
        <f>IF(A438="","",IF(ISNA(MATCH(A438,Mitarbeiter!$A$6:$A$205,0)),"Pers.-Nr. unbekannt",IF(D438="","Von fehlt",IF(AND(C438&lt;&gt;Einstellungen!$C$4,C438&lt;&gt;Einstellungen!$C$5),"Objekt fehlt",IF(J438&lt;D438,"Bis vor Von",IF(D438&lt;INDEX(Mitarbeiter!$C$6:$C$205,MATCH($A438,Mitarbeiter!$A$6:$A$205,0)),"vor Eintritt",IF(AND(INDEX(Mitarbeiter!$D$6:$D$205,MATCH($A438,Mitarbeiter!$A$6:$A$205,0))&lt;&gt;"",D438&gt;INDEX(Mitarbeiter!$D$6:$D$205,MATCH($A438,Mitarbeiter!$A$6:$A$205,0))),"nach Austritt",IF(E438="","offen","ok"))))))))</f>
        <v/>
      </c>
      <c r="J438" s="47">
        <f>IF(A438="","",IF(E438="",Einstellungen!$C$9,E438))</f>
        <v/>
      </c>
      <c r="K438" s="48">
        <f>IF(A438="",0,IFERROR(INDEX(Mitarbeiter!$F$6:$F$205,MATCH($A438,Mitarbeiter!$A$6:$A$205,0)),0))</f>
        <v/>
      </c>
      <c r="L438" s="49">
        <f>IF(OR(A438="",D438=""),0,MAX(0,NETWORKDAYS(MAX(D438,DATE(Einstellungen!$C$3,1,1)),MIN(J438,DATE(Einstellungen!$C$3,2,0)),Einstellungen!$F$13:$F$32)))</f>
        <v/>
      </c>
      <c r="M438" s="49">
        <f>IF(OR(A438="",D438=""),0,MAX(0,NETWORKDAYS(MAX(D438,DATE(Einstellungen!$C$3,2,1)),MIN(J438,DATE(Einstellungen!$C$3,3,0)),Einstellungen!$F$13:$F$32)))</f>
        <v/>
      </c>
      <c r="N438" s="49">
        <f>IF(OR(A438="",D438=""),0,MAX(0,NETWORKDAYS(MAX(D438,DATE(Einstellungen!$C$3,3,1)),MIN(J438,DATE(Einstellungen!$C$3,4,0)),Einstellungen!$F$13:$F$32)))</f>
        <v/>
      </c>
      <c r="O438" s="49">
        <f>IF(OR(A438="",D438=""),0,MAX(0,NETWORKDAYS(MAX(D438,DATE(Einstellungen!$C$3,4,1)),MIN(J438,DATE(Einstellungen!$C$3,5,0)),Einstellungen!$F$13:$F$32)))</f>
        <v/>
      </c>
      <c r="P438" s="49">
        <f>IF(OR(A438="",D438=""),0,MAX(0,NETWORKDAYS(MAX(D438,DATE(Einstellungen!$C$3,5,1)),MIN(J438,DATE(Einstellungen!$C$3,6,0)),Einstellungen!$F$13:$F$32)))</f>
        <v/>
      </c>
      <c r="Q438" s="49">
        <f>IF(OR(A438="",D438=""),0,MAX(0,NETWORKDAYS(MAX(D438,DATE(Einstellungen!$C$3,6,1)),MIN(J438,DATE(Einstellungen!$C$3,7,0)),Einstellungen!$F$13:$F$32)))</f>
        <v/>
      </c>
      <c r="R438" s="49">
        <f>IF(OR(A438="",D438=""),0,MAX(0,NETWORKDAYS(MAX(D438,DATE(Einstellungen!$C$3,7,1)),MIN(J438,DATE(Einstellungen!$C$3,8,0)),Einstellungen!$F$13:$F$32)))</f>
        <v/>
      </c>
      <c r="S438" s="49">
        <f>IF(OR(A438="",D438=""),0,MAX(0,NETWORKDAYS(MAX(D438,DATE(Einstellungen!$C$3,8,1)),MIN(J438,DATE(Einstellungen!$C$3,9,0)),Einstellungen!$F$13:$F$32)))</f>
        <v/>
      </c>
      <c r="T438" s="49">
        <f>IF(OR(A438="",D438=""),0,MAX(0,NETWORKDAYS(MAX(D438,DATE(Einstellungen!$C$3,9,1)),MIN(J438,DATE(Einstellungen!$C$3,10,0)),Einstellungen!$F$13:$F$32)))</f>
        <v/>
      </c>
      <c r="U438" s="49">
        <f>IF(OR(A438="",D438=""),0,MAX(0,NETWORKDAYS(MAX(D438,DATE(Einstellungen!$C$3,10,1)),MIN(J438,DATE(Einstellungen!$C$3,11,0)),Einstellungen!$F$13:$F$32)))</f>
        <v/>
      </c>
      <c r="V438" s="49">
        <f>IF(OR(A438="",D438=""),0,MAX(0,NETWORKDAYS(MAX(D438,DATE(Einstellungen!$C$3,11,1)),MIN(J438,DATE(Einstellungen!$C$3,12,0)),Einstellungen!$F$13:$F$32)))</f>
        <v/>
      </c>
      <c r="W438" s="49">
        <f>IF(OR(A438="",D438=""),0,MAX(0,NETWORKDAYS(MAX(D438,DATE(Einstellungen!$C$3,12,1)),MIN(J438,DATE(Einstellungen!$C$3,13,0)),Einstellungen!$F$13:$F$32)))</f>
        <v/>
      </c>
      <c r="X438" s="50">
        <f>L438*K438</f>
        <v/>
      </c>
      <c r="Y438" s="50">
        <f>M438*K438</f>
        <v/>
      </c>
      <c r="Z438" s="50">
        <f>N438*K438</f>
        <v/>
      </c>
      <c r="AA438" s="50">
        <f>O438*K438</f>
        <v/>
      </c>
      <c r="AB438" s="50">
        <f>P438*K438</f>
        <v/>
      </c>
      <c r="AC438" s="50">
        <f>Q438*K438</f>
        <v/>
      </c>
      <c r="AD438" s="50">
        <f>R438*K438</f>
        <v/>
      </c>
      <c r="AE438" s="50">
        <f>S438*K438</f>
        <v/>
      </c>
      <c r="AF438" s="50">
        <f>T438*K438</f>
        <v/>
      </c>
      <c r="AG438" s="50">
        <f>U438*K438</f>
        <v/>
      </c>
      <c r="AH438" s="50">
        <f>V438*K438</f>
        <v/>
      </c>
      <c r="AI438" s="50">
        <f>W438*K438</f>
        <v/>
      </c>
    </row>
    <row r="439">
      <c r="A439" s="25" t="n"/>
      <c r="B439" s="45">
        <f>IF(A439="","",IFERROR(INDEX(Mitarbeiter!$B$6:$B$205,MATCH($A439,Mitarbeiter!$A$6:$A$205,0)),"?"))</f>
        <v/>
      </c>
      <c r="C439" s="46" t="n"/>
      <c r="D439" s="26" t="n"/>
      <c r="E439" s="26" t="n"/>
      <c r="F439" s="24">
        <f>IF(A439="","",SUM(L439:W439))</f>
        <v/>
      </c>
      <c r="G439" s="36">
        <f>IF(A439="","",SUM(X439:AI439))</f>
        <v/>
      </c>
      <c r="H439" s="8">
        <f>IF(A439="","",IF(ISNA(MATCH(A439,Mitarbeiter!$A$6:$A$205,0)),"Pers.-Nr. unbekannt",IF(D439="","Von fehlt",IF(AND(C439&lt;&gt;Einstellungen!$C$4,C439&lt;&gt;Einstellungen!$C$5),"Objekt fehlt",IF(J439&lt;D439,"Bis vor Von",IF(D439&lt;INDEX(Mitarbeiter!$C$6:$C$205,MATCH($A439,Mitarbeiter!$A$6:$A$205,0)),"vor Eintritt",IF(AND(INDEX(Mitarbeiter!$D$6:$D$205,MATCH($A439,Mitarbeiter!$A$6:$A$205,0))&lt;&gt;"",D439&gt;INDEX(Mitarbeiter!$D$6:$D$205,MATCH($A439,Mitarbeiter!$A$6:$A$205,0))),"nach Austritt",IF(E439="","offen","ok"))))))))</f>
        <v/>
      </c>
      <c r="J439" s="47">
        <f>IF(A439="","",IF(E439="",Einstellungen!$C$9,E439))</f>
        <v/>
      </c>
      <c r="K439" s="48">
        <f>IF(A439="",0,IFERROR(INDEX(Mitarbeiter!$F$6:$F$205,MATCH($A439,Mitarbeiter!$A$6:$A$205,0)),0))</f>
        <v/>
      </c>
      <c r="L439" s="49">
        <f>IF(OR(A439="",D439=""),0,MAX(0,NETWORKDAYS(MAX(D439,DATE(Einstellungen!$C$3,1,1)),MIN(J439,DATE(Einstellungen!$C$3,2,0)),Einstellungen!$F$13:$F$32)))</f>
        <v/>
      </c>
      <c r="M439" s="49">
        <f>IF(OR(A439="",D439=""),0,MAX(0,NETWORKDAYS(MAX(D439,DATE(Einstellungen!$C$3,2,1)),MIN(J439,DATE(Einstellungen!$C$3,3,0)),Einstellungen!$F$13:$F$32)))</f>
        <v/>
      </c>
      <c r="N439" s="49">
        <f>IF(OR(A439="",D439=""),0,MAX(0,NETWORKDAYS(MAX(D439,DATE(Einstellungen!$C$3,3,1)),MIN(J439,DATE(Einstellungen!$C$3,4,0)),Einstellungen!$F$13:$F$32)))</f>
        <v/>
      </c>
      <c r="O439" s="49">
        <f>IF(OR(A439="",D439=""),0,MAX(0,NETWORKDAYS(MAX(D439,DATE(Einstellungen!$C$3,4,1)),MIN(J439,DATE(Einstellungen!$C$3,5,0)),Einstellungen!$F$13:$F$32)))</f>
        <v/>
      </c>
      <c r="P439" s="49">
        <f>IF(OR(A439="",D439=""),0,MAX(0,NETWORKDAYS(MAX(D439,DATE(Einstellungen!$C$3,5,1)),MIN(J439,DATE(Einstellungen!$C$3,6,0)),Einstellungen!$F$13:$F$32)))</f>
        <v/>
      </c>
      <c r="Q439" s="49">
        <f>IF(OR(A439="",D439=""),0,MAX(0,NETWORKDAYS(MAX(D439,DATE(Einstellungen!$C$3,6,1)),MIN(J439,DATE(Einstellungen!$C$3,7,0)),Einstellungen!$F$13:$F$32)))</f>
        <v/>
      </c>
      <c r="R439" s="49">
        <f>IF(OR(A439="",D439=""),0,MAX(0,NETWORKDAYS(MAX(D439,DATE(Einstellungen!$C$3,7,1)),MIN(J439,DATE(Einstellungen!$C$3,8,0)),Einstellungen!$F$13:$F$32)))</f>
        <v/>
      </c>
      <c r="S439" s="49">
        <f>IF(OR(A439="",D439=""),0,MAX(0,NETWORKDAYS(MAX(D439,DATE(Einstellungen!$C$3,8,1)),MIN(J439,DATE(Einstellungen!$C$3,9,0)),Einstellungen!$F$13:$F$32)))</f>
        <v/>
      </c>
      <c r="T439" s="49">
        <f>IF(OR(A439="",D439=""),0,MAX(0,NETWORKDAYS(MAX(D439,DATE(Einstellungen!$C$3,9,1)),MIN(J439,DATE(Einstellungen!$C$3,10,0)),Einstellungen!$F$13:$F$32)))</f>
        <v/>
      </c>
      <c r="U439" s="49">
        <f>IF(OR(A439="",D439=""),0,MAX(0,NETWORKDAYS(MAX(D439,DATE(Einstellungen!$C$3,10,1)),MIN(J439,DATE(Einstellungen!$C$3,11,0)),Einstellungen!$F$13:$F$32)))</f>
        <v/>
      </c>
      <c r="V439" s="49">
        <f>IF(OR(A439="",D439=""),0,MAX(0,NETWORKDAYS(MAX(D439,DATE(Einstellungen!$C$3,11,1)),MIN(J439,DATE(Einstellungen!$C$3,12,0)),Einstellungen!$F$13:$F$32)))</f>
        <v/>
      </c>
      <c r="W439" s="49">
        <f>IF(OR(A439="",D439=""),0,MAX(0,NETWORKDAYS(MAX(D439,DATE(Einstellungen!$C$3,12,1)),MIN(J439,DATE(Einstellungen!$C$3,13,0)),Einstellungen!$F$13:$F$32)))</f>
        <v/>
      </c>
      <c r="X439" s="50">
        <f>L439*K439</f>
        <v/>
      </c>
      <c r="Y439" s="50">
        <f>M439*K439</f>
        <v/>
      </c>
      <c r="Z439" s="50">
        <f>N439*K439</f>
        <v/>
      </c>
      <c r="AA439" s="50">
        <f>O439*K439</f>
        <v/>
      </c>
      <c r="AB439" s="50">
        <f>P439*K439</f>
        <v/>
      </c>
      <c r="AC439" s="50">
        <f>Q439*K439</f>
        <v/>
      </c>
      <c r="AD439" s="50">
        <f>R439*K439</f>
        <v/>
      </c>
      <c r="AE439" s="50">
        <f>S439*K439</f>
        <v/>
      </c>
      <c r="AF439" s="50">
        <f>T439*K439</f>
        <v/>
      </c>
      <c r="AG439" s="50">
        <f>U439*K439</f>
        <v/>
      </c>
      <c r="AH439" s="50">
        <f>V439*K439</f>
        <v/>
      </c>
      <c r="AI439" s="50">
        <f>W439*K439</f>
        <v/>
      </c>
    </row>
    <row r="440">
      <c r="A440" s="25" t="n"/>
      <c r="B440" s="45">
        <f>IF(A440="","",IFERROR(INDEX(Mitarbeiter!$B$6:$B$205,MATCH($A440,Mitarbeiter!$A$6:$A$205,0)),"?"))</f>
        <v/>
      </c>
      <c r="C440" s="46" t="n"/>
      <c r="D440" s="26" t="n"/>
      <c r="E440" s="26" t="n"/>
      <c r="F440" s="24">
        <f>IF(A440="","",SUM(L440:W440))</f>
        <v/>
      </c>
      <c r="G440" s="36">
        <f>IF(A440="","",SUM(X440:AI440))</f>
        <v/>
      </c>
      <c r="H440" s="8">
        <f>IF(A440="","",IF(ISNA(MATCH(A440,Mitarbeiter!$A$6:$A$205,0)),"Pers.-Nr. unbekannt",IF(D440="","Von fehlt",IF(AND(C440&lt;&gt;Einstellungen!$C$4,C440&lt;&gt;Einstellungen!$C$5),"Objekt fehlt",IF(J440&lt;D440,"Bis vor Von",IF(D440&lt;INDEX(Mitarbeiter!$C$6:$C$205,MATCH($A440,Mitarbeiter!$A$6:$A$205,0)),"vor Eintritt",IF(AND(INDEX(Mitarbeiter!$D$6:$D$205,MATCH($A440,Mitarbeiter!$A$6:$A$205,0))&lt;&gt;"",D440&gt;INDEX(Mitarbeiter!$D$6:$D$205,MATCH($A440,Mitarbeiter!$A$6:$A$205,0))),"nach Austritt",IF(E440="","offen","ok"))))))))</f>
        <v/>
      </c>
      <c r="J440" s="47">
        <f>IF(A440="","",IF(E440="",Einstellungen!$C$9,E440))</f>
        <v/>
      </c>
      <c r="K440" s="48">
        <f>IF(A440="",0,IFERROR(INDEX(Mitarbeiter!$F$6:$F$205,MATCH($A440,Mitarbeiter!$A$6:$A$205,0)),0))</f>
        <v/>
      </c>
      <c r="L440" s="49">
        <f>IF(OR(A440="",D440=""),0,MAX(0,NETWORKDAYS(MAX(D440,DATE(Einstellungen!$C$3,1,1)),MIN(J440,DATE(Einstellungen!$C$3,2,0)),Einstellungen!$F$13:$F$32)))</f>
        <v/>
      </c>
      <c r="M440" s="49">
        <f>IF(OR(A440="",D440=""),0,MAX(0,NETWORKDAYS(MAX(D440,DATE(Einstellungen!$C$3,2,1)),MIN(J440,DATE(Einstellungen!$C$3,3,0)),Einstellungen!$F$13:$F$32)))</f>
        <v/>
      </c>
      <c r="N440" s="49">
        <f>IF(OR(A440="",D440=""),0,MAX(0,NETWORKDAYS(MAX(D440,DATE(Einstellungen!$C$3,3,1)),MIN(J440,DATE(Einstellungen!$C$3,4,0)),Einstellungen!$F$13:$F$32)))</f>
        <v/>
      </c>
      <c r="O440" s="49">
        <f>IF(OR(A440="",D440=""),0,MAX(0,NETWORKDAYS(MAX(D440,DATE(Einstellungen!$C$3,4,1)),MIN(J440,DATE(Einstellungen!$C$3,5,0)),Einstellungen!$F$13:$F$32)))</f>
        <v/>
      </c>
      <c r="P440" s="49">
        <f>IF(OR(A440="",D440=""),0,MAX(0,NETWORKDAYS(MAX(D440,DATE(Einstellungen!$C$3,5,1)),MIN(J440,DATE(Einstellungen!$C$3,6,0)),Einstellungen!$F$13:$F$32)))</f>
        <v/>
      </c>
      <c r="Q440" s="49">
        <f>IF(OR(A440="",D440=""),0,MAX(0,NETWORKDAYS(MAX(D440,DATE(Einstellungen!$C$3,6,1)),MIN(J440,DATE(Einstellungen!$C$3,7,0)),Einstellungen!$F$13:$F$32)))</f>
        <v/>
      </c>
      <c r="R440" s="49">
        <f>IF(OR(A440="",D440=""),0,MAX(0,NETWORKDAYS(MAX(D440,DATE(Einstellungen!$C$3,7,1)),MIN(J440,DATE(Einstellungen!$C$3,8,0)),Einstellungen!$F$13:$F$32)))</f>
        <v/>
      </c>
      <c r="S440" s="49">
        <f>IF(OR(A440="",D440=""),0,MAX(0,NETWORKDAYS(MAX(D440,DATE(Einstellungen!$C$3,8,1)),MIN(J440,DATE(Einstellungen!$C$3,9,0)),Einstellungen!$F$13:$F$32)))</f>
        <v/>
      </c>
      <c r="T440" s="49">
        <f>IF(OR(A440="",D440=""),0,MAX(0,NETWORKDAYS(MAX(D440,DATE(Einstellungen!$C$3,9,1)),MIN(J440,DATE(Einstellungen!$C$3,10,0)),Einstellungen!$F$13:$F$32)))</f>
        <v/>
      </c>
      <c r="U440" s="49">
        <f>IF(OR(A440="",D440=""),0,MAX(0,NETWORKDAYS(MAX(D440,DATE(Einstellungen!$C$3,10,1)),MIN(J440,DATE(Einstellungen!$C$3,11,0)),Einstellungen!$F$13:$F$32)))</f>
        <v/>
      </c>
      <c r="V440" s="49">
        <f>IF(OR(A440="",D440=""),0,MAX(0,NETWORKDAYS(MAX(D440,DATE(Einstellungen!$C$3,11,1)),MIN(J440,DATE(Einstellungen!$C$3,12,0)),Einstellungen!$F$13:$F$32)))</f>
        <v/>
      </c>
      <c r="W440" s="49">
        <f>IF(OR(A440="",D440=""),0,MAX(0,NETWORKDAYS(MAX(D440,DATE(Einstellungen!$C$3,12,1)),MIN(J440,DATE(Einstellungen!$C$3,13,0)),Einstellungen!$F$13:$F$32)))</f>
        <v/>
      </c>
      <c r="X440" s="50">
        <f>L440*K440</f>
        <v/>
      </c>
      <c r="Y440" s="50">
        <f>M440*K440</f>
        <v/>
      </c>
      <c r="Z440" s="50">
        <f>N440*K440</f>
        <v/>
      </c>
      <c r="AA440" s="50">
        <f>O440*K440</f>
        <v/>
      </c>
      <c r="AB440" s="50">
        <f>P440*K440</f>
        <v/>
      </c>
      <c r="AC440" s="50">
        <f>Q440*K440</f>
        <v/>
      </c>
      <c r="AD440" s="50">
        <f>R440*K440</f>
        <v/>
      </c>
      <c r="AE440" s="50">
        <f>S440*K440</f>
        <v/>
      </c>
      <c r="AF440" s="50">
        <f>T440*K440</f>
        <v/>
      </c>
      <c r="AG440" s="50">
        <f>U440*K440</f>
        <v/>
      </c>
      <c r="AH440" s="50">
        <f>V440*K440</f>
        <v/>
      </c>
      <c r="AI440" s="50">
        <f>W440*K440</f>
        <v/>
      </c>
    </row>
    <row r="441">
      <c r="A441" s="25" t="n"/>
      <c r="B441" s="45">
        <f>IF(A441="","",IFERROR(INDEX(Mitarbeiter!$B$6:$B$205,MATCH($A441,Mitarbeiter!$A$6:$A$205,0)),"?"))</f>
        <v/>
      </c>
      <c r="C441" s="46" t="n"/>
      <c r="D441" s="26" t="n"/>
      <c r="E441" s="26" t="n"/>
      <c r="F441" s="24">
        <f>IF(A441="","",SUM(L441:W441))</f>
        <v/>
      </c>
      <c r="G441" s="36">
        <f>IF(A441="","",SUM(X441:AI441))</f>
        <v/>
      </c>
      <c r="H441" s="8">
        <f>IF(A441="","",IF(ISNA(MATCH(A441,Mitarbeiter!$A$6:$A$205,0)),"Pers.-Nr. unbekannt",IF(D441="","Von fehlt",IF(AND(C441&lt;&gt;Einstellungen!$C$4,C441&lt;&gt;Einstellungen!$C$5),"Objekt fehlt",IF(J441&lt;D441,"Bis vor Von",IF(D441&lt;INDEX(Mitarbeiter!$C$6:$C$205,MATCH($A441,Mitarbeiter!$A$6:$A$205,0)),"vor Eintritt",IF(AND(INDEX(Mitarbeiter!$D$6:$D$205,MATCH($A441,Mitarbeiter!$A$6:$A$205,0))&lt;&gt;"",D441&gt;INDEX(Mitarbeiter!$D$6:$D$205,MATCH($A441,Mitarbeiter!$A$6:$A$205,0))),"nach Austritt",IF(E441="","offen","ok"))))))))</f>
        <v/>
      </c>
      <c r="J441" s="47">
        <f>IF(A441="","",IF(E441="",Einstellungen!$C$9,E441))</f>
        <v/>
      </c>
      <c r="K441" s="48">
        <f>IF(A441="",0,IFERROR(INDEX(Mitarbeiter!$F$6:$F$205,MATCH($A441,Mitarbeiter!$A$6:$A$205,0)),0))</f>
        <v/>
      </c>
      <c r="L441" s="49">
        <f>IF(OR(A441="",D441=""),0,MAX(0,NETWORKDAYS(MAX(D441,DATE(Einstellungen!$C$3,1,1)),MIN(J441,DATE(Einstellungen!$C$3,2,0)),Einstellungen!$F$13:$F$32)))</f>
        <v/>
      </c>
      <c r="M441" s="49">
        <f>IF(OR(A441="",D441=""),0,MAX(0,NETWORKDAYS(MAX(D441,DATE(Einstellungen!$C$3,2,1)),MIN(J441,DATE(Einstellungen!$C$3,3,0)),Einstellungen!$F$13:$F$32)))</f>
        <v/>
      </c>
      <c r="N441" s="49">
        <f>IF(OR(A441="",D441=""),0,MAX(0,NETWORKDAYS(MAX(D441,DATE(Einstellungen!$C$3,3,1)),MIN(J441,DATE(Einstellungen!$C$3,4,0)),Einstellungen!$F$13:$F$32)))</f>
        <v/>
      </c>
      <c r="O441" s="49">
        <f>IF(OR(A441="",D441=""),0,MAX(0,NETWORKDAYS(MAX(D441,DATE(Einstellungen!$C$3,4,1)),MIN(J441,DATE(Einstellungen!$C$3,5,0)),Einstellungen!$F$13:$F$32)))</f>
        <v/>
      </c>
      <c r="P441" s="49">
        <f>IF(OR(A441="",D441=""),0,MAX(0,NETWORKDAYS(MAX(D441,DATE(Einstellungen!$C$3,5,1)),MIN(J441,DATE(Einstellungen!$C$3,6,0)),Einstellungen!$F$13:$F$32)))</f>
        <v/>
      </c>
      <c r="Q441" s="49">
        <f>IF(OR(A441="",D441=""),0,MAX(0,NETWORKDAYS(MAX(D441,DATE(Einstellungen!$C$3,6,1)),MIN(J441,DATE(Einstellungen!$C$3,7,0)),Einstellungen!$F$13:$F$32)))</f>
        <v/>
      </c>
      <c r="R441" s="49">
        <f>IF(OR(A441="",D441=""),0,MAX(0,NETWORKDAYS(MAX(D441,DATE(Einstellungen!$C$3,7,1)),MIN(J441,DATE(Einstellungen!$C$3,8,0)),Einstellungen!$F$13:$F$32)))</f>
        <v/>
      </c>
      <c r="S441" s="49">
        <f>IF(OR(A441="",D441=""),0,MAX(0,NETWORKDAYS(MAX(D441,DATE(Einstellungen!$C$3,8,1)),MIN(J441,DATE(Einstellungen!$C$3,9,0)),Einstellungen!$F$13:$F$32)))</f>
        <v/>
      </c>
      <c r="T441" s="49">
        <f>IF(OR(A441="",D441=""),0,MAX(0,NETWORKDAYS(MAX(D441,DATE(Einstellungen!$C$3,9,1)),MIN(J441,DATE(Einstellungen!$C$3,10,0)),Einstellungen!$F$13:$F$32)))</f>
        <v/>
      </c>
      <c r="U441" s="49">
        <f>IF(OR(A441="",D441=""),0,MAX(0,NETWORKDAYS(MAX(D441,DATE(Einstellungen!$C$3,10,1)),MIN(J441,DATE(Einstellungen!$C$3,11,0)),Einstellungen!$F$13:$F$32)))</f>
        <v/>
      </c>
      <c r="V441" s="49">
        <f>IF(OR(A441="",D441=""),0,MAX(0,NETWORKDAYS(MAX(D441,DATE(Einstellungen!$C$3,11,1)),MIN(J441,DATE(Einstellungen!$C$3,12,0)),Einstellungen!$F$13:$F$32)))</f>
        <v/>
      </c>
      <c r="W441" s="49">
        <f>IF(OR(A441="",D441=""),0,MAX(0,NETWORKDAYS(MAX(D441,DATE(Einstellungen!$C$3,12,1)),MIN(J441,DATE(Einstellungen!$C$3,13,0)),Einstellungen!$F$13:$F$32)))</f>
        <v/>
      </c>
      <c r="X441" s="50">
        <f>L441*K441</f>
        <v/>
      </c>
      <c r="Y441" s="50">
        <f>M441*K441</f>
        <v/>
      </c>
      <c r="Z441" s="50">
        <f>N441*K441</f>
        <v/>
      </c>
      <c r="AA441" s="50">
        <f>O441*K441</f>
        <v/>
      </c>
      <c r="AB441" s="50">
        <f>P441*K441</f>
        <v/>
      </c>
      <c r="AC441" s="50">
        <f>Q441*K441</f>
        <v/>
      </c>
      <c r="AD441" s="50">
        <f>R441*K441</f>
        <v/>
      </c>
      <c r="AE441" s="50">
        <f>S441*K441</f>
        <v/>
      </c>
      <c r="AF441" s="50">
        <f>T441*K441</f>
        <v/>
      </c>
      <c r="AG441" s="50">
        <f>U441*K441</f>
        <v/>
      </c>
      <c r="AH441" s="50">
        <f>V441*K441</f>
        <v/>
      </c>
      <c r="AI441" s="50">
        <f>W441*K441</f>
        <v/>
      </c>
    </row>
    <row r="442">
      <c r="A442" s="25" t="n"/>
      <c r="B442" s="45">
        <f>IF(A442="","",IFERROR(INDEX(Mitarbeiter!$B$6:$B$205,MATCH($A442,Mitarbeiter!$A$6:$A$205,0)),"?"))</f>
        <v/>
      </c>
      <c r="C442" s="46" t="n"/>
      <c r="D442" s="26" t="n"/>
      <c r="E442" s="26" t="n"/>
      <c r="F442" s="24">
        <f>IF(A442="","",SUM(L442:W442))</f>
        <v/>
      </c>
      <c r="G442" s="36">
        <f>IF(A442="","",SUM(X442:AI442))</f>
        <v/>
      </c>
      <c r="H442" s="8">
        <f>IF(A442="","",IF(ISNA(MATCH(A442,Mitarbeiter!$A$6:$A$205,0)),"Pers.-Nr. unbekannt",IF(D442="","Von fehlt",IF(AND(C442&lt;&gt;Einstellungen!$C$4,C442&lt;&gt;Einstellungen!$C$5),"Objekt fehlt",IF(J442&lt;D442,"Bis vor Von",IF(D442&lt;INDEX(Mitarbeiter!$C$6:$C$205,MATCH($A442,Mitarbeiter!$A$6:$A$205,0)),"vor Eintritt",IF(AND(INDEX(Mitarbeiter!$D$6:$D$205,MATCH($A442,Mitarbeiter!$A$6:$A$205,0))&lt;&gt;"",D442&gt;INDEX(Mitarbeiter!$D$6:$D$205,MATCH($A442,Mitarbeiter!$A$6:$A$205,0))),"nach Austritt",IF(E442="","offen","ok"))))))))</f>
        <v/>
      </c>
      <c r="J442" s="47">
        <f>IF(A442="","",IF(E442="",Einstellungen!$C$9,E442))</f>
        <v/>
      </c>
      <c r="K442" s="48">
        <f>IF(A442="",0,IFERROR(INDEX(Mitarbeiter!$F$6:$F$205,MATCH($A442,Mitarbeiter!$A$6:$A$205,0)),0))</f>
        <v/>
      </c>
      <c r="L442" s="49">
        <f>IF(OR(A442="",D442=""),0,MAX(0,NETWORKDAYS(MAX(D442,DATE(Einstellungen!$C$3,1,1)),MIN(J442,DATE(Einstellungen!$C$3,2,0)),Einstellungen!$F$13:$F$32)))</f>
        <v/>
      </c>
      <c r="M442" s="49">
        <f>IF(OR(A442="",D442=""),0,MAX(0,NETWORKDAYS(MAX(D442,DATE(Einstellungen!$C$3,2,1)),MIN(J442,DATE(Einstellungen!$C$3,3,0)),Einstellungen!$F$13:$F$32)))</f>
        <v/>
      </c>
      <c r="N442" s="49">
        <f>IF(OR(A442="",D442=""),0,MAX(0,NETWORKDAYS(MAX(D442,DATE(Einstellungen!$C$3,3,1)),MIN(J442,DATE(Einstellungen!$C$3,4,0)),Einstellungen!$F$13:$F$32)))</f>
        <v/>
      </c>
      <c r="O442" s="49">
        <f>IF(OR(A442="",D442=""),0,MAX(0,NETWORKDAYS(MAX(D442,DATE(Einstellungen!$C$3,4,1)),MIN(J442,DATE(Einstellungen!$C$3,5,0)),Einstellungen!$F$13:$F$32)))</f>
        <v/>
      </c>
      <c r="P442" s="49">
        <f>IF(OR(A442="",D442=""),0,MAX(0,NETWORKDAYS(MAX(D442,DATE(Einstellungen!$C$3,5,1)),MIN(J442,DATE(Einstellungen!$C$3,6,0)),Einstellungen!$F$13:$F$32)))</f>
        <v/>
      </c>
      <c r="Q442" s="49">
        <f>IF(OR(A442="",D442=""),0,MAX(0,NETWORKDAYS(MAX(D442,DATE(Einstellungen!$C$3,6,1)),MIN(J442,DATE(Einstellungen!$C$3,7,0)),Einstellungen!$F$13:$F$32)))</f>
        <v/>
      </c>
      <c r="R442" s="49">
        <f>IF(OR(A442="",D442=""),0,MAX(0,NETWORKDAYS(MAX(D442,DATE(Einstellungen!$C$3,7,1)),MIN(J442,DATE(Einstellungen!$C$3,8,0)),Einstellungen!$F$13:$F$32)))</f>
        <v/>
      </c>
      <c r="S442" s="49">
        <f>IF(OR(A442="",D442=""),0,MAX(0,NETWORKDAYS(MAX(D442,DATE(Einstellungen!$C$3,8,1)),MIN(J442,DATE(Einstellungen!$C$3,9,0)),Einstellungen!$F$13:$F$32)))</f>
        <v/>
      </c>
      <c r="T442" s="49">
        <f>IF(OR(A442="",D442=""),0,MAX(0,NETWORKDAYS(MAX(D442,DATE(Einstellungen!$C$3,9,1)),MIN(J442,DATE(Einstellungen!$C$3,10,0)),Einstellungen!$F$13:$F$32)))</f>
        <v/>
      </c>
      <c r="U442" s="49">
        <f>IF(OR(A442="",D442=""),0,MAX(0,NETWORKDAYS(MAX(D442,DATE(Einstellungen!$C$3,10,1)),MIN(J442,DATE(Einstellungen!$C$3,11,0)),Einstellungen!$F$13:$F$32)))</f>
        <v/>
      </c>
      <c r="V442" s="49">
        <f>IF(OR(A442="",D442=""),0,MAX(0,NETWORKDAYS(MAX(D442,DATE(Einstellungen!$C$3,11,1)),MIN(J442,DATE(Einstellungen!$C$3,12,0)),Einstellungen!$F$13:$F$32)))</f>
        <v/>
      </c>
      <c r="W442" s="49">
        <f>IF(OR(A442="",D442=""),0,MAX(0,NETWORKDAYS(MAX(D442,DATE(Einstellungen!$C$3,12,1)),MIN(J442,DATE(Einstellungen!$C$3,13,0)),Einstellungen!$F$13:$F$32)))</f>
        <v/>
      </c>
      <c r="X442" s="50">
        <f>L442*K442</f>
        <v/>
      </c>
      <c r="Y442" s="50">
        <f>M442*K442</f>
        <v/>
      </c>
      <c r="Z442" s="50">
        <f>N442*K442</f>
        <v/>
      </c>
      <c r="AA442" s="50">
        <f>O442*K442</f>
        <v/>
      </c>
      <c r="AB442" s="50">
        <f>P442*K442</f>
        <v/>
      </c>
      <c r="AC442" s="50">
        <f>Q442*K442</f>
        <v/>
      </c>
      <c r="AD442" s="50">
        <f>R442*K442</f>
        <v/>
      </c>
      <c r="AE442" s="50">
        <f>S442*K442</f>
        <v/>
      </c>
      <c r="AF442" s="50">
        <f>T442*K442</f>
        <v/>
      </c>
      <c r="AG442" s="50">
        <f>U442*K442</f>
        <v/>
      </c>
      <c r="AH442" s="50">
        <f>V442*K442</f>
        <v/>
      </c>
      <c r="AI442" s="50">
        <f>W442*K442</f>
        <v/>
      </c>
    </row>
    <row r="443">
      <c r="A443" s="25" t="n"/>
      <c r="B443" s="45">
        <f>IF(A443="","",IFERROR(INDEX(Mitarbeiter!$B$6:$B$205,MATCH($A443,Mitarbeiter!$A$6:$A$205,0)),"?"))</f>
        <v/>
      </c>
      <c r="C443" s="46" t="n"/>
      <c r="D443" s="26" t="n"/>
      <c r="E443" s="26" t="n"/>
      <c r="F443" s="24">
        <f>IF(A443="","",SUM(L443:W443))</f>
        <v/>
      </c>
      <c r="G443" s="36">
        <f>IF(A443="","",SUM(X443:AI443))</f>
        <v/>
      </c>
      <c r="H443" s="8">
        <f>IF(A443="","",IF(ISNA(MATCH(A443,Mitarbeiter!$A$6:$A$205,0)),"Pers.-Nr. unbekannt",IF(D443="","Von fehlt",IF(AND(C443&lt;&gt;Einstellungen!$C$4,C443&lt;&gt;Einstellungen!$C$5),"Objekt fehlt",IF(J443&lt;D443,"Bis vor Von",IF(D443&lt;INDEX(Mitarbeiter!$C$6:$C$205,MATCH($A443,Mitarbeiter!$A$6:$A$205,0)),"vor Eintritt",IF(AND(INDEX(Mitarbeiter!$D$6:$D$205,MATCH($A443,Mitarbeiter!$A$6:$A$205,0))&lt;&gt;"",D443&gt;INDEX(Mitarbeiter!$D$6:$D$205,MATCH($A443,Mitarbeiter!$A$6:$A$205,0))),"nach Austritt",IF(E443="","offen","ok"))))))))</f>
        <v/>
      </c>
      <c r="J443" s="47">
        <f>IF(A443="","",IF(E443="",Einstellungen!$C$9,E443))</f>
        <v/>
      </c>
      <c r="K443" s="48">
        <f>IF(A443="",0,IFERROR(INDEX(Mitarbeiter!$F$6:$F$205,MATCH($A443,Mitarbeiter!$A$6:$A$205,0)),0))</f>
        <v/>
      </c>
      <c r="L443" s="49">
        <f>IF(OR(A443="",D443=""),0,MAX(0,NETWORKDAYS(MAX(D443,DATE(Einstellungen!$C$3,1,1)),MIN(J443,DATE(Einstellungen!$C$3,2,0)),Einstellungen!$F$13:$F$32)))</f>
        <v/>
      </c>
      <c r="M443" s="49">
        <f>IF(OR(A443="",D443=""),0,MAX(0,NETWORKDAYS(MAX(D443,DATE(Einstellungen!$C$3,2,1)),MIN(J443,DATE(Einstellungen!$C$3,3,0)),Einstellungen!$F$13:$F$32)))</f>
        <v/>
      </c>
      <c r="N443" s="49">
        <f>IF(OR(A443="",D443=""),0,MAX(0,NETWORKDAYS(MAX(D443,DATE(Einstellungen!$C$3,3,1)),MIN(J443,DATE(Einstellungen!$C$3,4,0)),Einstellungen!$F$13:$F$32)))</f>
        <v/>
      </c>
      <c r="O443" s="49">
        <f>IF(OR(A443="",D443=""),0,MAX(0,NETWORKDAYS(MAX(D443,DATE(Einstellungen!$C$3,4,1)),MIN(J443,DATE(Einstellungen!$C$3,5,0)),Einstellungen!$F$13:$F$32)))</f>
        <v/>
      </c>
      <c r="P443" s="49">
        <f>IF(OR(A443="",D443=""),0,MAX(0,NETWORKDAYS(MAX(D443,DATE(Einstellungen!$C$3,5,1)),MIN(J443,DATE(Einstellungen!$C$3,6,0)),Einstellungen!$F$13:$F$32)))</f>
        <v/>
      </c>
      <c r="Q443" s="49">
        <f>IF(OR(A443="",D443=""),0,MAX(0,NETWORKDAYS(MAX(D443,DATE(Einstellungen!$C$3,6,1)),MIN(J443,DATE(Einstellungen!$C$3,7,0)),Einstellungen!$F$13:$F$32)))</f>
        <v/>
      </c>
      <c r="R443" s="49">
        <f>IF(OR(A443="",D443=""),0,MAX(0,NETWORKDAYS(MAX(D443,DATE(Einstellungen!$C$3,7,1)),MIN(J443,DATE(Einstellungen!$C$3,8,0)),Einstellungen!$F$13:$F$32)))</f>
        <v/>
      </c>
      <c r="S443" s="49">
        <f>IF(OR(A443="",D443=""),0,MAX(0,NETWORKDAYS(MAX(D443,DATE(Einstellungen!$C$3,8,1)),MIN(J443,DATE(Einstellungen!$C$3,9,0)),Einstellungen!$F$13:$F$32)))</f>
        <v/>
      </c>
      <c r="T443" s="49">
        <f>IF(OR(A443="",D443=""),0,MAX(0,NETWORKDAYS(MAX(D443,DATE(Einstellungen!$C$3,9,1)),MIN(J443,DATE(Einstellungen!$C$3,10,0)),Einstellungen!$F$13:$F$32)))</f>
        <v/>
      </c>
      <c r="U443" s="49">
        <f>IF(OR(A443="",D443=""),0,MAX(0,NETWORKDAYS(MAX(D443,DATE(Einstellungen!$C$3,10,1)),MIN(J443,DATE(Einstellungen!$C$3,11,0)),Einstellungen!$F$13:$F$32)))</f>
        <v/>
      </c>
      <c r="V443" s="49">
        <f>IF(OR(A443="",D443=""),0,MAX(0,NETWORKDAYS(MAX(D443,DATE(Einstellungen!$C$3,11,1)),MIN(J443,DATE(Einstellungen!$C$3,12,0)),Einstellungen!$F$13:$F$32)))</f>
        <v/>
      </c>
      <c r="W443" s="49">
        <f>IF(OR(A443="",D443=""),0,MAX(0,NETWORKDAYS(MAX(D443,DATE(Einstellungen!$C$3,12,1)),MIN(J443,DATE(Einstellungen!$C$3,13,0)),Einstellungen!$F$13:$F$32)))</f>
        <v/>
      </c>
      <c r="X443" s="50">
        <f>L443*K443</f>
        <v/>
      </c>
      <c r="Y443" s="50">
        <f>M443*K443</f>
        <v/>
      </c>
      <c r="Z443" s="50">
        <f>N443*K443</f>
        <v/>
      </c>
      <c r="AA443" s="50">
        <f>O443*K443</f>
        <v/>
      </c>
      <c r="AB443" s="50">
        <f>P443*K443</f>
        <v/>
      </c>
      <c r="AC443" s="50">
        <f>Q443*K443</f>
        <v/>
      </c>
      <c r="AD443" s="50">
        <f>R443*K443</f>
        <v/>
      </c>
      <c r="AE443" s="50">
        <f>S443*K443</f>
        <v/>
      </c>
      <c r="AF443" s="50">
        <f>T443*K443</f>
        <v/>
      </c>
      <c r="AG443" s="50">
        <f>U443*K443</f>
        <v/>
      </c>
      <c r="AH443" s="50">
        <f>V443*K443</f>
        <v/>
      </c>
      <c r="AI443" s="50">
        <f>W443*K443</f>
        <v/>
      </c>
    </row>
    <row r="444">
      <c r="A444" s="25" t="n"/>
      <c r="B444" s="45">
        <f>IF(A444="","",IFERROR(INDEX(Mitarbeiter!$B$6:$B$205,MATCH($A444,Mitarbeiter!$A$6:$A$205,0)),"?"))</f>
        <v/>
      </c>
      <c r="C444" s="46" t="n"/>
      <c r="D444" s="26" t="n"/>
      <c r="E444" s="26" t="n"/>
      <c r="F444" s="24">
        <f>IF(A444="","",SUM(L444:W444))</f>
        <v/>
      </c>
      <c r="G444" s="36">
        <f>IF(A444="","",SUM(X444:AI444))</f>
        <v/>
      </c>
      <c r="H444" s="8">
        <f>IF(A444="","",IF(ISNA(MATCH(A444,Mitarbeiter!$A$6:$A$205,0)),"Pers.-Nr. unbekannt",IF(D444="","Von fehlt",IF(AND(C444&lt;&gt;Einstellungen!$C$4,C444&lt;&gt;Einstellungen!$C$5),"Objekt fehlt",IF(J444&lt;D444,"Bis vor Von",IF(D444&lt;INDEX(Mitarbeiter!$C$6:$C$205,MATCH($A444,Mitarbeiter!$A$6:$A$205,0)),"vor Eintritt",IF(AND(INDEX(Mitarbeiter!$D$6:$D$205,MATCH($A444,Mitarbeiter!$A$6:$A$205,0))&lt;&gt;"",D444&gt;INDEX(Mitarbeiter!$D$6:$D$205,MATCH($A444,Mitarbeiter!$A$6:$A$205,0))),"nach Austritt",IF(E444="","offen","ok"))))))))</f>
        <v/>
      </c>
      <c r="J444" s="47">
        <f>IF(A444="","",IF(E444="",Einstellungen!$C$9,E444))</f>
        <v/>
      </c>
      <c r="K444" s="48">
        <f>IF(A444="",0,IFERROR(INDEX(Mitarbeiter!$F$6:$F$205,MATCH($A444,Mitarbeiter!$A$6:$A$205,0)),0))</f>
        <v/>
      </c>
      <c r="L444" s="49">
        <f>IF(OR(A444="",D444=""),0,MAX(0,NETWORKDAYS(MAX(D444,DATE(Einstellungen!$C$3,1,1)),MIN(J444,DATE(Einstellungen!$C$3,2,0)),Einstellungen!$F$13:$F$32)))</f>
        <v/>
      </c>
      <c r="M444" s="49">
        <f>IF(OR(A444="",D444=""),0,MAX(0,NETWORKDAYS(MAX(D444,DATE(Einstellungen!$C$3,2,1)),MIN(J444,DATE(Einstellungen!$C$3,3,0)),Einstellungen!$F$13:$F$32)))</f>
        <v/>
      </c>
      <c r="N444" s="49">
        <f>IF(OR(A444="",D444=""),0,MAX(0,NETWORKDAYS(MAX(D444,DATE(Einstellungen!$C$3,3,1)),MIN(J444,DATE(Einstellungen!$C$3,4,0)),Einstellungen!$F$13:$F$32)))</f>
        <v/>
      </c>
      <c r="O444" s="49">
        <f>IF(OR(A444="",D444=""),0,MAX(0,NETWORKDAYS(MAX(D444,DATE(Einstellungen!$C$3,4,1)),MIN(J444,DATE(Einstellungen!$C$3,5,0)),Einstellungen!$F$13:$F$32)))</f>
        <v/>
      </c>
      <c r="P444" s="49">
        <f>IF(OR(A444="",D444=""),0,MAX(0,NETWORKDAYS(MAX(D444,DATE(Einstellungen!$C$3,5,1)),MIN(J444,DATE(Einstellungen!$C$3,6,0)),Einstellungen!$F$13:$F$32)))</f>
        <v/>
      </c>
      <c r="Q444" s="49">
        <f>IF(OR(A444="",D444=""),0,MAX(0,NETWORKDAYS(MAX(D444,DATE(Einstellungen!$C$3,6,1)),MIN(J444,DATE(Einstellungen!$C$3,7,0)),Einstellungen!$F$13:$F$32)))</f>
        <v/>
      </c>
      <c r="R444" s="49">
        <f>IF(OR(A444="",D444=""),0,MAX(0,NETWORKDAYS(MAX(D444,DATE(Einstellungen!$C$3,7,1)),MIN(J444,DATE(Einstellungen!$C$3,8,0)),Einstellungen!$F$13:$F$32)))</f>
        <v/>
      </c>
      <c r="S444" s="49">
        <f>IF(OR(A444="",D444=""),0,MAX(0,NETWORKDAYS(MAX(D444,DATE(Einstellungen!$C$3,8,1)),MIN(J444,DATE(Einstellungen!$C$3,9,0)),Einstellungen!$F$13:$F$32)))</f>
        <v/>
      </c>
      <c r="T444" s="49">
        <f>IF(OR(A444="",D444=""),0,MAX(0,NETWORKDAYS(MAX(D444,DATE(Einstellungen!$C$3,9,1)),MIN(J444,DATE(Einstellungen!$C$3,10,0)),Einstellungen!$F$13:$F$32)))</f>
        <v/>
      </c>
      <c r="U444" s="49">
        <f>IF(OR(A444="",D444=""),0,MAX(0,NETWORKDAYS(MAX(D444,DATE(Einstellungen!$C$3,10,1)),MIN(J444,DATE(Einstellungen!$C$3,11,0)),Einstellungen!$F$13:$F$32)))</f>
        <v/>
      </c>
      <c r="V444" s="49">
        <f>IF(OR(A444="",D444=""),0,MAX(0,NETWORKDAYS(MAX(D444,DATE(Einstellungen!$C$3,11,1)),MIN(J444,DATE(Einstellungen!$C$3,12,0)),Einstellungen!$F$13:$F$32)))</f>
        <v/>
      </c>
      <c r="W444" s="49">
        <f>IF(OR(A444="",D444=""),0,MAX(0,NETWORKDAYS(MAX(D444,DATE(Einstellungen!$C$3,12,1)),MIN(J444,DATE(Einstellungen!$C$3,13,0)),Einstellungen!$F$13:$F$32)))</f>
        <v/>
      </c>
      <c r="X444" s="50">
        <f>L444*K444</f>
        <v/>
      </c>
      <c r="Y444" s="50">
        <f>M444*K444</f>
        <v/>
      </c>
      <c r="Z444" s="50">
        <f>N444*K444</f>
        <v/>
      </c>
      <c r="AA444" s="50">
        <f>O444*K444</f>
        <v/>
      </c>
      <c r="AB444" s="50">
        <f>P444*K444</f>
        <v/>
      </c>
      <c r="AC444" s="50">
        <f>Q444*K444</f>
        <v/>
      </c>
      <c r="AD444" s="50">
        <f>R444*K444</f>
        <v/>
      </c>
      <c r="AE444" s="50">
        <f>S444*K444</f>
        <v/>
      </c>
      <c r="AF444" s="50">
        <f>T444*K444</f>
        <v/>
      </c>
      <c r="AG444" s="50">
        <f>U444*K444</f>
        <v/>
      </c>
      <c r="AH444" s="50">
        <f>V444*K444</f>
        <v/>
      </c>
      <c r="AI444" s="50">
        <f>W444*K444</f>
        <v/>
      </c>
    </row>
    <row r="445">
      <c r="A445" s="25" t="n"/>
      <c r="B445" s="45">
        <f>IF(A445="","",IFERROR(INDEX(Mitarbeiter!$B$6:$B$205,MATCH($A445,Mitarbeiter!$A$6:$A$205,0)),"?"))</f>
        <v/>
      </c>
      <c r="C445" s="46" t="n"/>
      <c r="D445" s="26" t="n"/>
      <c r="E445" s="26" t="n"/>
      <c r="F445" s="24">
        <f>IF(A445="","",SUM(L445:W445))</f>
        <v/>
      </c>
      <c r="G445" s="36">
        <f>IF(A445="","",SUM(X445:AI445))</f>
        <v/>
      </c>
      <c r="H445" s="8">
        <f>IF(A445="","",IF(ISNA(MATCH(A445,Mitarbeiter!$A$6:$A$205,0)),"Pers.-Nr. unbekannt",IF(D445="","Von fehlt",IF(AND(C445&lt;&gt;Einstellungen!$C$4,C445&lt;&gt;Einstellungen!$C$5),"Objekt fehlt",IF(J445&lt;D445,"Bis vor Von",IF(D445&lt;INDEX(Mitarbeiter!$C$6:$C$205,MATCH($A445,Mitarbeiter!$A$6:$A$205,0)),"vor Eintritt",IF(AND(INDEX(Mitarbeiter!$D$6:$D$205,MATCH($A445,Mitarbeiter!$A$6:$A$205,0))&lt;&gt;"",D445&gt;INDEX(Mitarbeiter!$D$6:$D$205,MATCH($A445,Mitarbeiter!$A$6:$A$205,0))),"nach Austritt",IF(E445="","offen","ok"))))))))</f>
        <v/>
      </c>
      <c r="J445" s="47">
        <f>IF(A445="","",IF(E445="",Einstellungen!$C$9,E445))</f>
        <v/>
      </c>
      <c r="K445" s="48">
        <f>IF(A445="",0,IFERROR(INDEX(Mitarbeiter!$F$6:$F$205,MATCH($A445,Mitarbeiter!$A$6:$A$205,0)),0))</f>
        <v/>
      </c>
      <c r="L445" s="49">
        <f>IF(OR(A445="",D445=""),0,MAX(0,NETWORKDAYS(MAX(D445,DATE(Einstellungen!$C$3,1,1)),MIN(J445,DATE(Einstellungen!$C$3,2,0)),Einstellungen!$F$13:$F$32)))</f>
        <v/>
      </c>
      <c r="M445" s="49">
        <f>IF(OR(A445="",D445=""),0,MAX(0,NETWORKDAYS(MAX(D445,DATE(Einstellungen!$C$3,2,1)),MIN(J445,DATE(Einstellungen!$C$3,3,0)),Einstellungen!$F$13:$F$32)))</f>
        <v/>
      </c>
      <c r="N445" s="49">
        <f>IF(OR(A445="",D445=""),0,MAX(0,NETWORKDAYS(MAX(D445,DATE(Einstellungen!$C$3,3,1)),MIN(J445,DATE(Einstellungen!$C$3,4,0)),Einstellungen!$F$13:$F$32)))</f>
        <v/>
      </c>
      <c r="O445" s="49">
        <f>IF(OR(A445="",D445=""),0,MAX(0,NETWORKDAYS(MAX(D445,DATE(Einstellungen!$C$3,4,1)),MIN(J445,DATE(Einstellungen!$C$3,5,0)),Einstellungen!$F$13:$F$32)))</f>
        <v/>
      </c>
      <c r="P445" s="49">
        <f>IF(OR(A445="",D445=""),0,MAX(0,NETWORKDAYS(MAX(D445,DATE(Einstellungen!$C$3,5,1)),MIN(J445,DATE(Einstellungen!$C$3,6,0)),Einstellungen!$F$13:$F$32)))</f>
        <v/>
      </c>
      <c r="Q445" s="49">
        <f>IF(OR(A445="",D445=""),0,MAX(0,NETWORKDAYS(MAX(D445,DATE(Einstellungen!$C$3,6,1)),MIN(J445,DATE(Einstellungen!$C$3,7,0)),Einstellungen!$F$13:$F$32)))</f>
        <v/>
      </c>
      <c r="R445" s="49">
        <f>IF(OR(A445="",D445=""),0,MAX(0,NETWORKDAYS(MAX(D445,DATE(Einstellungen!$C$3,7,1)),MIN(J445,DATE(Einstellungen!$C$3,8,0)),Einstellungen!$F$13:$F$32)))</f>
        <v/>
      </c>
      <c r="S445" s="49">
        <f>IF(OR(A445="",D445=""),0,MAX(0,NETWORKDAYS(MAX(D445,DATE(Einstellungen!$C$3,8,1)),MIN(J445,DATE(Einstellungen!$C$3,9,0)),Einstellungen!$F$13:$F$32)))</f>
        <v/>
      </c>
      <c r="T445" s="49">
        <f>IF(OR(A445="",D445=""),0,MAX(0,NETWORKDAYS(MAX(D445,DATE(Einstellungen!$C$3,9,1)),MIN(J445,DATE(Einstellungen!$C$3,10,0)),Einstellungen!$F$13:$F$32)))</f>
        <v/>
      </c>
      <c r="U445" s="49">
        <f>IF(OR(A445="",D445=""),0,MAX(0,NETWORKDAYS(MAX(D445,DATE(Einstellungen!$C$3,10,1)),MIN(J445,DATE(Einstellungen!$C$3,11,0)),Einstellungen!$F$13:$F$32)))</f>
        <v/>
      </c>
      <c r="V445" s="49">
        <f>IF(OR(A445="",D445=""),0,MAX(0,NETWORKDAYS(MAX(D445,DATE(Einstellungen!$C$3,11,1)),MIN(J445,DATE(Einstellungen!$C$3,12,0)),Einstellungen!$F$13:$F$32)))</f>
        <v/>
      </c>
      <c r="W445" s="49">
        <f>IF(OR(A445="",D445=""),0,MAX(0,NETWORKDAYS(MAX(D445,DATE(Einstellungen!$C$3,12,1)),MIN(J445,DATE(Einstellungen!$C$3,13,0)),Einstellungen!$F$13:$F$32)))</f>
        <v/>
      </c>
      <c r="X445" s="50">
        <f>L445*K445</f>
        <v/>
      </c>
      <c r="Y445" s="50">
        <f>M445*K445</f>
        <v/>
      </c>
      <c r="Z445" s="50">
        <f>N445*K445</f>
        <v/>
      </c>
      <c r="AA445" s="50">
        <f>O445*K445</f>
        <v/>
      </c>
      <c r="AB445" s="50">
        <f>P445*K445</f>
        <v/>
      </c>
      <c r="AC445" s="50">
        <f>Q445*K445</f>
        <v/>
      </c>
      <c r="AD445" s="50">
        <f>R445*K445</f>
        <v/>
      </c>
      <c r="AE445" s="50">
        <f>S445*K445</f>
        <v/>
      </c>
      <c r="AF445" s="50">
        <f>T445*K445</f>
        <v/>
      </c>
      <c r="AG445" s="50">
        <f>U445*K445</f>
        <v/>
      </c>
      <c r="AH445" s="50">
        <f>V445*K445</f>
        <v/>
      </c>
      <c r="AI445" s="50">
        <f>W445*K445</f>
        <v/>
      </c>
    </row>
    <row r="446">
      <c r="A446" s="25" t="n"/>
      <c r="B446" s="45">
        <f>IF(A446="","",IFERROR(INDEX(Mitarbeiter!$B$6:$B$205,MATCH($A446,Mitarbeiter!$A$6:$A$205,0)),"?"))</f>
        <v/>
      </c>
      <c r="C446" s="46" t="n"/>
      <c r="D446" s="26" t="n"/>
      <c r="E446" s="26" t="n"/>
      <c r="F446" s="24">
        <f>IF(A446="","",SUM(L446:W446))</f>
        <v/>
      </c>
      <c r="G446" s="36">
        <f>IF(A446="","",SUM(X446:AI446))</f>
        <v/>
      </c>
      <c r="H446" s="8">
        <f>IF(A446="","",IF(ISNA(MATCH(A446,Mitarbeiter!$A$6:$A$205,0)),"Pers.-Nr. unbekannt",IF(D446="","Von fehlt",IF(AND(C446&lt;&gt;Einstellungen!$C$4,C446&lt;&gt;Einstellungen!$C$5),"Objekt fehlt",IF(J446&lt;D446,"Bis vor Von",IF(D446&lt;INDEX(Mitarbeiter!$C$6:$C$205,MATCH($A446,Mitarbeiter!$A$6:$A$205,0)),"vor Eintritt",IF(AND(INDEX(Mitarbeiter!$D$6:$D$205,MATCH($A446,Mitarbeiter!$A$6:$A$205,0))&lt;&gt;"",D446&gt;INDEX(Mitarbeiter!$D$6:$D$205,MATCH($A446,Mitarbeiter!$A$6:$A$205,0))),"nach Austritt",IF(E446="","offen","ok"))))))))</f>
        <v/>
      </c>
      <c r="J446" s="47">
        <f>IF(A446="","",IF(E446="",Einstellungen!$C$9,E446))</f>
        <v/>
      </c>
      <c r="K446" s="48">
        <f>IF(A446="",0,IFERROR(INDEX(Mitarbeiter!$F$6:$F$205,MATCH($A446,Mitarbeiter!$A$6:$A$205,0)),0))</f>
        <v/>
      </c>
      <c r="L446" s="49">
        <f>IF(OR(A446="",D446=""),0,MAX(0,NETWORKDAYS(MAX(D446,DATE(Einstellungen!$C$3,1,1)),MIN(J446,DATE(Einstellungen!$C$3,2,0)),Einstellungen!$F$13:$F$32)))</f>
        <v/>
      </c>
      <c r="M446" s="49">
        <f>IF(OR(A446="",D446=""),0,MAX(0,NETWORKDAYS(MAX(D446,DATE(Einstellungen!$C$3,2,1)),MIN(J446,DATE(Einstellungen!$C$3,3,0)),Einstellungen!$F$13:$F$32)))</f>
        <v/>
      </c>
      <c r="N446" s="49">
        <f>IF(OR(A446="",D446=""),0,MAX(0,NETWORKDAYS(MAX(D446,DATE(Einstellungen!$C$3,3,1)),MIN(J446,DATE(Einstellungen!$C$3,4,0)),Einstellungen!$F$13:$F$32)))</f>
        <v/>
      </c>
      <c r="O446" s="49">
        <f>IF(OR(A446="",D446=""),0,MAX(0,NETWORKDAYS(MAX(D446,DATE(Einstellungen!$C$3,4,1)),MIN(J446,DATE(Einstellungen!$C$3,5,0)),Einstellungen!$F$13:$F$32)))</f>
        <v/>
      </c>
      <c r="P446" s="49">
        <f>IF(OR(A446="",D446=""),0,MAX(0,NETWORKDAYS(MAX(D446,DATE(Einstellungen!$C$3,5,1)),MIN(J446,DATE(Einstellungen!$C$3,6,0)),Einstellungen!$F$13:$F$32)))</f>
        <v/>
      </c>
      <c r="Q446" s="49">
        <f>IF(OR(A446="",D446=""),0,MAX(0,NETWORKDAYS(MAX(D446,DATE(Einstellungen!$C$3,6,1)),MIN(J446,DATE(Einstellungen!$C$3,7,0)),Einstellungen!$F$13:$F$32)))</f>
        <v/>
      </c>
      <c r="R446" s="49">
        <f>IF(OR(A446="",D446=""),0,MAX(0,NETWORKDAYS(MAX(D446,DATE(Einstellungen!$C$3,7,1)),MIN(J446,DATE(Einstellungen!$C$3,8,0)),Einstellungen!$F$13:$F$32)))</f>
        <v/>
      </c>
      <c r="S446" s="49">
        <f>IF(OR(A446="",D446=""),0,MAX(0,NETWORKDAYS(MAX(D446,DATE(Einstellungen!$C$3,8,1)),MIN(J446,DATE(Einstellungen!$C$3,9,0)),Einstellungen!$F$13:$F$32)))</f>
        <v/>
      </c>
      <c r="T446" s="49">
        <f>IF(OR(A446="",D446=""),0,MAX(0,NETWORKDAYS(MAX(D446,DATE(Einstellungen!$C$3,9,1)),MIN(J446,DATE(Einstellungen!$C$3,10,0)),Einstellungen!$F$13:$F$32)))</f>
        <v/>
      </c>
      <c r="U446" s="49">
        <f>IF(OR(A446="",D446=""),0,MAX(0,NETWORKDAYS(MAX(D446,DATE(Einstellungen!$C$3,10,1)),MIN(J446,DATE(Einstellungen!$C$3,11,0)),Einstellungen!$F$13:$F$32)))</f>
        <v/>
      </c>
      <c r="V446" s="49">
        <f>IF(OR(A446="",D446=""),0,MAX(0,NETWORKDAYS(MAX(D446,DATE(Einstellungen!$C$3,11,1)),MIN(J446,DATE(Einstellungen!$C$3,12,0)),Einstellungen!$F$13:$F$32)))</f>
        <v/>
      </c>
      <c r="W446" s="49">
        <f>IF(OR(A446="",D446=""),0,MAX(0,NETWORKDAYS(MAX(D446,DATE(Einstellungen!$C$3,12,1)),MIN(J446,DATE(Einstellungen!$C$3,13,0)),Einstellungen!$F$13:$F$32)))</f>
        <v/>
      </c>
      <c r="X446" s="50">
        <f>L446*K446</f>
        <v/>
      </c>
      <c r="Y446" s="50">
        <f>M446*K446</f>
        <v/>
      </c>
      <c r="Z446" s="50">
        <f>N446*K446</f>
        <v/>
      </c>
      <c r="AA446" s="50">
        <f>O446*K446</f>
        <v/>
      </c>
      <c r="AB446" s="50">
        <f>P446*K446</f>
        <v/>
      </c>
      <c r="AC446" s="50">
        <f>Q446*K446</f>
        <v/>
      </c>
      <c r="AD446" s="50">
        <f>R446*K446</f>
        <v/>
      </c>
      <c r="AE446" s="50">
        <f>S446*K446</f>
        <v/>
      </c>
      <c r="AF446" s="50">
        <f>T446*K446</f>
        <v/>
      </c>
      <c r="AG446" s="50">
        <f>U446*K446</f>
        <v/>
      </c>
      <c r="AH446" s="50">
        <f>V446*K446</f>
        <v/>
      </c>
      <c r="AI446" s="50">
        <f>W446*K446</f>
        <v/>
      </c>
    </row>
    <row r="447">
      <c r="A447" s="25" t="n"/>
      <c r="B447" s="45">
        <f>IF(A447="","",IFERROR(INDEX(Mitarbeiter!$B$6:$B$205,MATCH($A447,Mitarbeiter!$A$6:$A$205,0)),"?"))</f>
        <v/>
      </c>
      <c r="C447" s="46" t="n"/>
      <c r="D447" s="26" t="n"/>
      <c r="E447" s="26" t="n"/>
      <c r="F447" s="24">
        <f>IF(A447="","",SUM(L447:W447))</f>
        <v/>
      </c>
      <c r="G447" s="36">
        <f>IF(A447="","",SUM(X447:AI447))</f>
        <v/>
      </c>
      <c r="H447" s="8">
        <f>IF(A447="","",IF(ISNA(MATCH(A447,Mitarbeiter!$A$6:$A$205,0)),"Pers.-Nr. unbekannt",IF(D447="","Von fehlt",IF(AND(C447&lt;&gt;Einstellungen!$C$4,C447&lt;&gt;Einstellungen!$C$5),"Objekt fehlt",IF(J447&lt;D447,"Bis vor Von",IF(D447&lt;INDEX(Mitarbeiter!$C$6:$C$205,MATCH($A447,Mitarbeiter!$A$6:$A$205,0)),"vor Eintritt",IF(AND(INDEX(Mitarbeiter!$D$6:$D$205,MATCH($A447,Mitarbeiter!$A$6:$A$205,0))&lt;&gt;"",D447&gt;INDEX(Mitarbeiter!$D$6:$D$205,MATCH($A447,Mitarbeiter!$A$6:$A$205,0))),"nach Austritt",IF(E447="","offen","ok"))))))))</f>
        <v/>
      </c>
      <c r="J447" s="47">
        <f>IF(A447="","",IF(E447="",Einstellungen!$C$9,E447))</f>
        <v/>
      </c>
      <c r="K447" s="48">
        <f>IF(A447="",0,IFERROR(INDEX(Mitarbeiter!$F$6:$F$205,MATCH($A447,Mitarbeiter!$A$6:$A$205,0)),0))</f>
        <v/>
      </c>
      <c r="L447" s="49">
        <f>IF(OR(A447="",D447=""),0,MAX(0,NETWORKDAYS(MAX(D447,DATE(Einstellungen!$C$3,1,1)),MIN(J447,DATE(Einstellungen!$C$3,2,0)),Einstellungen!$F$13:$F$32)))</f>
        <v/>
      </c>
      <c r="M447" s="49">
        <f>IF(OR(A447="",D447=""),0,MAX(0,NETWORKDAYS(MAX(D447,DATE(Einstellungen!$C$3,2,1)),MIN(J447,DATE(Einstellungen!$C$3,3,0)),Einstellungen!$F$13:$F$32)))</f>
        <v/>
      </c>
      <c r="N447" s="49">
        <f>IF(OR(A447="",D447=""),0,MAX(0,NETWORKDAYS(MAX(D447,DATE(Einstellungen!$C$3,3,1)),MIN(J447,DATE(Einstellungen!$C$3,4,0)),Einstellungen!$F$13:$F$32)))</f>
        <v/>
      </c>
      <c r="O447" s="49">
        <f>IF(OR(A447="",D447=""),0,MAX(0,NETWORKDAYS(MAX(D447,DATE(Einstellungen!$C$3,4,1)),MIN(J447,DATE(Einstellungen!$C$3,5,0)),Einstellungen!$F$13:$F$32)))</f>
        <v/>
      </c>
      <c r="P447" s="49">
        <f>IF(OR(A447="",D447=""),0,MAX(0,NETWORKDAYS(MAX(D447,DATE(Einstellungen!$C$3,5,1)),MIN(J447,DATE(Einstellungen!$C$3,6,0)),Einstellungen!$F$13:$F$32)))</f>
        <v/>
      </c>
      <c r="Q447" s="49">
        <f>IF(OR(A447="",D447=""),0,MAX(0,NETWORKDAYS(MAX(D447,DATE(Einstellungen!$C$3,6,1)),MIN(J447,DATE(Einstellungen!$C$3,7,0)),Einstellungen!$F$13:$F$32)))</f>
        <v/>
      </c>
      <c r="R447" s="49">
        <f>IF(OR(A447="",D447=""),0,MAX(0,NETWORKDAYS(MAX(D447,DATE(Einstellungen!$C$3,7,1)),MIN(J447,DATE(Einstellungen!$C$3,8,0)),Einstellungen!$F$13:$F$32)))</f>
        <v/>
      </c>
      <c r="S447" s="49">
        <f>IF(OR(A447="",D447=""),0,MAX(0,NETWORKDAYS(MAX(D447,DATE(Einstellungen!$C$3,8,1)),MIN(J447,DATE(Einstellungen!$C$3,9,0)),Einstellungen!$F$13:$F$32)))</f>
        <v/>
      </c>
      <c r="T447" s="49">
        <f>IF(OR(A447="",D447=""),0,MAX(0,NETWORKDAYS(MAX(D447,DATE(Einstellungen!$C$3,9,1)),MIN(J447,DATE(Einstellungen!$C$3,10,0)),Einstellungen!$F$13:$F$32)))</f>
        <v/>
      </c>
      <c r="U447" s="49">
        <f>IF(OR(A447="",D447=""),0,MAX(0,NETWORKDAYS(MAX(D447,DATE(Einstellungen!$C$3,10,1)),MIN(J447,DATE(Einstellungen!$C$3,11,0)),Einstellungen!$F$13:$F$32)))</f>
        <v/>
      </c>
      <c r="V447" s="49">
        <f>IF(OR(A447="",D447=""),0,MAX(0,NETWORKDAYS(MAX(D447,DATE(Einstellungen!$C$3,11,1)),MIN(J447,DATE(Einstellungen!$C$3,12,0)),Einstellungen!$F$13:$F$32)))</f>
        <v/>
      </c>
      <c r="W447" s="49">
        <f>IF(OR(A447="",D447=""),0,MAX(0,NETWORKDAYS(MAX(D447,DATE(Einstellungen!$C$3,12,1)),MIN(J447,DATE(Einstellungen!$C$3,13,0)),Einstellungen!$F$13:$F$32)))</f>
        <v/>
      </c>
      <c r="X447" s="50">
        <f>L447*K447</f>
        <v/>
      </c>
      <c r="Y447" s="50">
        <f>M447*K447</f>
        <v/>
      </c>
      <c r="Z447" s="50">
        <f>N447*K447</f>
        <v/>
      </c>
      <c r="AA447" s="50">
        <f>O447*K447</f>
        <v/>
      </c>
      <c r="AB447" s="50">
        <f>P447*K447</f>
        <v/>
      </c>
      <c r="AC447" s="50">
        <f>Q447*K447</f>
        <v/>
      </c>
      <c r="AD447" s="50">
        <f>R447*K447</f>
        <v/>
      </c>
      <c r="AE447" s="50">
        <f>S447*K447</f>
        <v/>
      </c>
      <c r="AF447" s="50">
        <f>T447*K447</f>
        <v/>
      </c>
      <c r="AG447" s="50">
        <f>U447*K447</f>
        <v/>
      </c>
      <c r="AH447" s="50">
        <f>V447*K447</f>
        <v/>
      </c>
      <c r="AI447" s="50">
        <f>W447*K447</f>
        <v/>
      </c>
    </row>
    <row r="448">
      <c r="A448" s="25" t="n"/>
      <c r="B448" s="45">
        <f>IF(A448="","",IFERROR(INDEX(Mitarbeiter!$B$6:$B$205,MATCH($A448,Mitarbeiter!$A$6:$A$205,0)),"?"))</f>
        <v/>
      </c>
      <c r="C448" s="46" t="n"/>
      <c r="D448" s="26" t="n"/>
      <c r="E448" s="26" t="n"/>
      <c r="F448" s="24">
        <f>IF(A448="","",SUM(L448:W448))</f>
        <v/>
      </c>
      <c r="G448" s="36">
        <f>IF(A448="","",SUM(X448:AI448))</f>
        <v/>
      </c>
      <c r="H448" s="8">
        <f>IF(A448="","",IF(ISNA(MATCH(A448,Mitarbeiter!$A$6:$A$205,0)),"Pers.-Nr. unbekannt",IF(D448="","Von fehlt",IF(AND(C448&lt;&gt;Einstellungen!$C$4,C448&lt;&gt;Einstellungen!$C$5),"Objekt fehlt",IF(J448&lt;D448,"Bis vor Von",IF(D448&lt;INDEX(Mitarbeiter!$C$6:$C$205,MATCH($A448,Mitarbeiter!$A$6:$A$205,0)),"vor Eintritt",IF(AND(INDEX(Mitarbeiter!$D$6:$D$205,MATCH($A448,Mitarbeiter!$A$6:$A$205,0))&lt;&gt;"",D448&gt;INDEX(Mitarbeiter!$D$6:$D$205,MATCH($A448,Mitarbeiter!$A$6:$A$205,0))),"nach Austritt",IF(E448="","offen","ok"))))))))</f>
        <v/>
      </c>
      <c r="J448" s="47">
        <f>IF(A448="","",IF(E448="",Einstellungen!$C$9,E448))</f>
        <v/>
      </c>
      <c r="K448" s="48">
        <f>IF(A448="",0,IFERROR(INDEX(Mitarbeiter!$F$6:$F$205,MATCH($A448,Mitarbeiter!$A$6:$A$205,0)),0))</f>
        <v/>
      </c>
      <c r="L448" s="49">
        <f>IF(OR(A448="",D448=""),0,MAX(0,NETWORKDAYS(MAX(D448,DATE(Einstellungen!$C$3,1,1)),MIN(J448,DATE(Einstellungen!$C$3,2,0)),Einstellungen!$F$13:$F$32)))</f>
        <v/>
      </c>
      <c r="M448" s="49">
        <f>IF(OR(A448="",D448=""),0,MAX(0,NETWORKDAYS(MAX(D448,DATE(Einstellungen!$C$3,2,1)),MIN(J448,DATE(Einstellungen!$C$3,3,0)),Einstellungen!$F$13:$F$32)))</f>
        <v/>
      </c>
      <c r="N448" s="49">
        <f>IF(OR(A448="",D448=""),0,MAX(0,NETWORKDAYS(MAX(D448,DATE(Einstellungen!$C$3,3,1)),MIN(J448,DATE(Einstellungen!$C$3,4,0)),Einstellungen!$F$13:$F$32)))</f>
        <v/>
      </c>
      <c r="O448" s="49">
        <f>IF(OR(A448="",D448=""),0,MAX(0,NETWORKDAYS(MAX(D448,DATE(Einstellungen!$C$3,4,1)),MIN(J448,DATE(Einstellungen!$C$3,5,0)),Einstellungen!$F$13:$F$32)))</f>
        <v/>
      </c>
      <c r="P448" s="49">
        <f>IF(OR(A448="",D448=""),0,MAX(0,NETWORKDAYS(MAX(D448,DATE(Einstellungen!$C$3,5,1)),MIN(J448,DATE(Einstellungen!$C$3,6,0)),Einstellungen!$F$13:$F$32)))</f>
        <v/>
      </c>
      <c r="Q448" s="49">
        <f>IF(OR(A448="",D448=""),0,MAX(0,NETWORKDAYS(MAX(D448,DATE(Einstellungen!$C$3,6,1)),MIN(J448,DATE(Einstellungen!$C$3,7,0)),Einstellungen!$F$13:$F$32)))</f>
        <v/>
      </c>
      <c r="R448" s="49">
        <f>IF(OR(A448="",D448=""),0,MAX(0,NETWORKDAYS(MAX(D448,DATE(Einstellungen!$C$3,7,1)),MIN(J448,DATE(Einstellungen!$C$3,8,0)),Einstellungen!$F$13:$F$32)))</f>
        <v/>
      </c>
      <c r="S448" s="49">
        <f>IF(OR(A448="",D448=""),0,MAX(0,NETWORKDAYS(MAX(D448,DATE(Einstellungen!$C$3,8,1)),MIN(J448,DATE(Einstellungen!$C$3,9,0)),Einstellungen!$F$13:$F$32)))</f>
        <v/>
      </c>
      <c r="T448" s="49">
        <f>IF(OR(A448="",D448=""),0,MAX(0,NETWORKDAYS(MAX(D448,DATE(Einstellungen!$C$3,9,1)),MIN(J448,DATE(Einstellungen!$C$3,10,0)),Einstellungen!$F$13:$F$32)))</f>
        <v/>
      </c>
      <c r="U448" s="49">
        <f>IF(OR(A448="",D448=""),0,MAX(0,NETWORKDAYS(MAX(D448,DATE(Einstellungen!$C$3,10,1)),MIN(J448,DATE(Einstellungen!$C$3,11,0)),Einstellungen!$F$13:$F$32)))</f>
        <v/>
      </c>
      <c r="V448" s="49">
        <f>IF(OR(A448="",D448=""),0,MAX(0,NETWORKDAYS(MAX(D448,DATE(Einstellungen!$C$3,11,1)),MIN(J448,DATE(Einstellungen!$C$3,12,0)),Einstellungen!$F$13:$F$32)))</f>
        <v/>
      </c>
      <c r="W448" s="49">
        <f>IF(OR(A448="",D448=""),0,MAX(0,NETWORKDAYS(MAX(D448,DATE(Einstellungen!$C$3,12,1)),MIN(J448,DATE(Einstellungen!$C$3,13,0)),Einstellungen!$F$13:$F$32)))</f>
        <v/>
      </c>
      <c r="X448" s="50">
        <f>L448*K448</f>
        <v/>
      </c>
      <c r="Y448" s="50">
        <f>M448*K448</f>
        <v/>
      </c>
      <c r="Z448" s="50">
        <f>N448*K448</f>
        <v/>
      </c>
      <c r="AA448" s="50">
        <f>O448*K448</f>
        <v/>
      </c>
      <c r="AB448" s="50">
        <f>P448*K448</f>
        <v/>
      </c>
      <c r="AC448" s="50">
        <f>Q448*K448</f>
        <v/>
      </c>
      <c r="AD448" s="50">
        <f>R448*K448</f>
        <v/>
      </c>
      <c r="AE448" s="50">
        <f>S448*K448</f>
        <v/>
      </c>
      <c r="AF448" s="50">
        <f>T448*K448</f>
        <v/>
      </c>
      <c r="AG448" s="50">
        <f>U448*K448</f>
        <v/>
      </c>
      <c r="AH448" s="50">
        <f>V448*K448</f>
        <v/>
      </c>
      <c r="AI448" s="50">
        <f>W448*K448</f>
        <v/>
      </c>
    </row>
    <row r="449">
      <c r="A449" s="25" t="n"/>
      <c r="B449" s="45">
        <f>IF(A449="","",IFERROR(INDEX(Mitarbeiter!$B$6:$B$205,MATCH($A449,Mitarbeiter!$A$6:$A$205,0)),"?"))</f>
        <v/>
      </c>
      <c r="C449" s="46" t="n"/>
      <c r="D449" s="26" t="n"/>
      <c r="E449" s="26" t="n"/>
      <c r="F449" s="24">
        <f>IF(A449="","",SUM(L449:W449))</f>
        <v/>
      </c>
      <c r="G449" s="36">
        <f>IF(A449="","",SUM(X449:AI449))</f>
        <v/>
      </c>
      <c r="H449" s="8">
        <f>IF(A449="","",IF(ISNA(MATCH(A449,Mitarbeiter!$A$6:$A$205,0)),"Pers.-Nr. unbekannt",IF(D449="","Von fehlt",IF(AND(C449&lt;&gt;Einstellungen!$C$4,C449&lt;&gt;Einstellungen!$C$5),"Objekt fehlt",IF(J449&lt;D449,"Bis vor Von",IF(D449&lt;INDEX(Mitarbeiter!$C$6:$C$205,MATCH($A449,Mitarbeiter!$A$6:$A$205,0)),"vor Eintritt",IF(AND(INDEX(Mitarbeiter!$D$6:$D$205,MATCH($A449,Mitarbeiter!$A$6:$A$205,0))&lt;&gt;"",D449&gt;INDEX(Mitarbeiter!$D$6:$D$205,MATCH($A449,Mitarbeiter!$A$6:$A$205,0))),"nach Austritt",IF(E449="","offen","ok"))))))))</f>
        <v/>
      </c>
      <c r="J449" s="47">
        <f>IF(A449="","",IF(E449="",Einstellungen!$C$9,E449))</f>
        <v/>
      </c>
      <c r="K449" s="48">
        <f>IF(A449="",0,IFERROR(INDEX(Mitarbeiter!$F$6:$F$205,MATCH($A449,Mitarbeiter!$A$6:$A$205,0)),0))</f>
        <v/>
      </c>
      <c r="L449" s="49">
        <f>IF(OR(A449="",D449=""),0,MAX(0,NETWORKDAYS(MAX(D449,DATE(Einstellungen!$C$3,1,1)),MIN(J449,DATE(Einstellungen!$C$3,2,0)),Einstellungen!$F$13:$F$32)))</f>
        <v/>
      </c>
      <c r="M449" s="49">
        <f>IF(OR(A449="",D449=""),0,MAX(0,NETWORKDAYS(MAX(D449,DATE(Einstellungen!$C$3,2,1)),MIN(J449,DATE(Einstellungen!$C$3,3,0)),Einstellungen!$F$13:$F$32)))</f>
        <v/>
      </c>
      <c r="N449" s="49">
        <f>IF(OR(A449="",D449=""),0,MAX(0,NETWORKDAYS(MAX(D449,DATE(Einstellungen!$C$3,3,1)),MIN(J449,DATE(Einstellungen!$C$3,4,0)),Einstellungen!$F$13:$F$32)))</f>
        <v/>
      </c>
      <c r="O449" s="49">
        <f>IF(OR(A449="",D449=""),0,MAX(0,NETWORKDAYS(MAX(D449,DATE(Einstellungen!$C$3,4,1)),MIN(J449,DATE(Einstellungen!$C$3,5,0)),Einstellungen!$F$13:$F$32)))</f>
        <v/>
      </c>
      <c r="P449" s="49">
        <f>IF(OR(A449="",D449=""),0,MAX(0,NETWORKDAYS(MAX(D449,DATE(Einstellungen!$C$3,5,1)),MIN(J449,DATE(Einstellungen!$C$3,6,0)),Einstellungen!$F$13:$F$32)))</f>
        <v/>
      </c>
      <c r="Q449" s="49">
        <f>IF(OR(A449="",D449=""),0,MAX(0,NETWORKDAYS(MAX(D449,DATE(Einstellungen!$C$3,6,1)),MIN(J449,DATE(Einstellungen!$C$3,7,0)),Einstellungen!$F$13:$F$32)))</f>
        <v/>
      </c>
      <c r="R449" s="49">
        <f>IF(OR(A449="",D449=""),0,MAX(0,NETWORKDAYS(MAX(D449,DATE(Einstellungen!$C$3,7,1)),MIN(J449,DATE(Einstellungen!$C$3,8,0)),Einstellungen!$F$13:$F$32)))</f>
        <v/>
      </c>
      <c r="S449" s="49">
        <f>IF(OR(A449="",D449=""),0,MAX(0,NETWORKDAYS(MAX(D449,DATE(Einstellungen!$C$3,8,1)),MIN(J449,DATE(Einstellungen!$C$3,9,0)),Einstellungen!$F$13:$F$32)))</f>
        <v/>
      </c>
      <c r="T449" s="49">
        <f>IF(OR(A449="",D449=""),0,MAX(0,NETWORKDAYS(MAX(D449,DATE(Einstellungen!$C$3,9,1)),MIN(J449,DATE(Einstellungen!$C$3,10,0)),Einstellungen!$F$13:$F$32)))</f>
        <v/>
      </c>
      <c r="U449" s="49">
        <f>IF(OR(A449="",D449=""),0,MAX(0,NETWORKDAYS(MAX(D449,DATE(Einstellungen!$C$3,10,1)),MIN(J449,DATE(Einstellungen!$C$3,11,0)),Einstellungen!$F$13:$F$32)))</f>
        <v/>
      </c>
      <c r="V449" s="49">
        <f>IF(OR(A449="",D449=""),0,MAX(0,NETWORKDAYS(MAX(D449,DATE(Einstellungen!$C$3,11,1)),MIN(J449,DATE(Einstellungen!$C$3,12,0)),Einstellungen!$F$13:$F$32)))</f>
        <v/>
      </c>
      <c r="W449" s="49">
        <f>IF(OR(A449="",D449=""),0,MAX(0,NETWORKDAYS(MAX(D449,DATE(Einstellungen!$C$3,12,1)),MIN(J449,DATE(Einstellungen!$C$3,13,0)),Einstellungen!$F$13:$F$32)))</f>
        <v/>
      </c>
      <c r="X449" s="50">
        <f>L449*K449</f>
        <v/>
      </c>
      <c r="Y449" s="50">
        <f>M449*K449</f>
        <v/>
      </c>
      <c r="Z449" s="50">
        <f>N449*K449</f>
        <v/>
      </c>
      <c r="AA449" s="50">
        <f>O449*K449</f>
        <v/>
      </c>
      <c r="AB449" s="50">
        <f>P449*K449</f>
        <v/>
      </c>
      <c r="AC449" s="50">
        <f>Q449*K449</f>
        <v/>
      </c>
      <c r="AD449" s="50">
        <f>R449*K449</f>
        <v/>
      </c>
      <c r="AE449" s="50">
        <f>S449*K449</f>
        <v/>
      </c>
      <c r="AF449" s="50">
        <f>T449*K449</f>
        <v/>
      </c>
      <c r="AG449" s="50">
        <f>U449*K449</f>
        <v/>
      </c>
      <c r="AH449" s="50">
        <f>V449*K449</f>
        <v/>
      </c>
      <c r="AI449" s="50">
        <f>W449*K449</f>
        <v/>
      </c>
    </row>
    <row r="450">
      <c r="A450" s="25" t="n"/>
      <c r="B450" s="45">
        <f>IF(A450="","",IFERROR(INDEX(Mitarbeiter!$B$6:$B$205,MATCH($A450,Mitarbeiter!$A$6:$A$205,0)),"?"))</f>
        <v/>
      </c>
      <c r="C450" s="46" t="n"/>
      <c r="D450" s="26" t="n"/>
      <c r="E450" s="26" t="n"/>
      <c r="F450" s="24">
        <f>IF(A450="","",SUM(L450:W450))</f>
        <v/>
      </c>
      <c r="G450" s="36">
        <f>IF(A450="","",SUM(X450:AI450))</f>
        <v/>
      </c>
      <c r="H450" s="8">
        <f>IF(A450="","",IF(ISNA(MATCH(A450,Mitarbeiter!$A$6:$A$205,0)),"Pers.-Nr. unbekannt",IF(D450="","Von fehlt",IF(AND(C450&lt;&gt;Einstellungen!$C$4,C450&lt;&gt;Einstellungen!$C$5),"Objekt fehlt",IF(J450&lt;D450,"Bis vor Von",IF(D450&lt;INDEX(Mitarbeiter!$C$6:$C$205,MATCH($A450,Mitarbeiter!$A$6:$A$205,0)),"vor Eintritt",IF(AND(INDEX(Mitarbeiter!$D$6:$D$205,MATCH($A450,Mitarbeiter!$A$6:$A$205,0))&lt;&gt;"",D450&gt;INDEX(Mitarbeiter!$D$6:$D$205,MATCH($A450,Mitarbeiter!$A$6:$A$205,0))),"nach Austritt",IF(E450="","offen","ok"))))))))</f>
        <v/>
      </c>
      <c r="J450" s="47">
        <f>IF(A450="","",IF(E450="",Einstellungen!$C$9,E450))</f>
        <v/>
      </c>
      <c r="K450" s="48">
        <f>IF(A450="",0,IFERROR(INDEX(Mitarbeiter!$F$6:$F$205,MATCH($A450,Mitarbeiter!$A$6:$A$205,0)),0))</f>
        <v/>
      </c>
      <c r="L450" s="49">
        <f>IF(OR(A450="",D450=""),0,MAX(0,NETWORKDAYS(MAX(D450,DATE(Einstellungen!$C$3,1,1)),MIN(J450,DATE(Einstellungen!$C$3,2,0)),Einstellungen!$F$13:$F$32)))</f>
        <v/>
      </c>
      <c r="M450" s="49">
        <f>IF(OR(A450="",D450=""),0,MAX(0,NETWORKDAYS(MAX(D450,DATE(Einstellungen!$C$3,2,1)),MIN(J450,DATE(Einstellungen!$C$3,3,0)),Einstellungen!$F$13:$F$32)))</f>
        <v/>
      </c>
      <c r="N450" s="49">
        <f>IF(OR(A450="",D450=""),0,MAX(0,NETWORKDAYS(MAX(D450,DATE(Einstellungen!$C$3,3,1)),MIN(J450,DATE(Einstellungen!$C$3,4,0)),Einstellungen!$F$13:$F$32)))</f>
        <v/>
      </c>
      <c r="O450" s="49">
        <f>IF(OR(A450="",D450=""),0,MAX(0,NETWORKDAYS(MAX(D450,DATE(Einstellungen!$C$3,4,1)),MIN(J450,DATE(Einstellungen!$C$3,5,0)),Einstellungen!$F$13:$F$32)))</f>
        <v/>
      </c>
      <c r="P450" s="49">
        <f>IF(OR(A450="",D450=""),0,MAX(0,NETWORKDAYS(MAX(D450,DATE(Einstellungen!$C$3,5,1)),MIN(J450,DATE(Einstellungen!$C$3,6,0)),Einstellungen!$F$13:$F$32)))</f>
        <v/>
      </c>
      <c r="Q450" s="49">
        <f>IF(OR(A450="",D450=""),0,MAX(0,NETWORKDAYS(MAX(D450,DATE(Einstellungen!$C$3,6,1)),MIN(J450,DATE(Einstellungen!$C$3,7,0)),Einstellungen!$F$13:$F$32)))</f>
        <v/>
      </c>
      <c r="R450" s="49">
        <f>IF(OR(A450="",D450=""),0,MAX(0,NETWORKDAYS(MAX(D450,DATE(Einstellungen!$C$3,7,1)),MIN(J450,DATE(Einstellungen!$C$3,8,0)),Einstellungen!$F$13:$F$32)))</f>
        <v/>
      </c>
      <c r="S450" s="49">
        <f>IF(OR(A450="",D450=""),0,MAX(0,NETWORKDAYS(MAX(D450,DATE(Einstellungen!$C$3,8,1)),MIN(J450,DATE(Einstellungen!$C$3,9,0)),Einstellungen!$F$13:$F$32)))</f>
        <v/>
      </c>
      <c r="T450" s="49">
        <f>IF(OR(A450="",D450=""),0,MAX(0,NETWORKDAYS(MAX(D450,DATE(Einstellungen!$C$3,9,1)),MIN(J450,DATE(Einstellungen!$C$3,10,0)),Einstellungen!$F$13:$F$32)))</f>
        <v/>
      </c>
      <c r="U450" s="49">
        <f>IF(OR(A450="",D450=""),0,MAX(0,NETWORKDAYS(MAX(D450,DATE(Einstellungen!$C$3,10,1)),MIN(J450,DATE(Einstellungen!$C$3,11,0)),Einstellungen!$F$13:$F$32)))</f>
        <v/>
      </c>
      <c r="V450" s="49">
        <f>IF(OR(A450="",D450=""),0,MAX(0,NETWORKDAYS(MAX(D450,DATE(Einstellungen!$C$3,11,1)),MIN(J450,DATE(Einstellungen!$C$3,12,0)),Einstellungen!$F$13:$F$32)))</f>
        <v/>
      </c>
      <c r="W450" s="49">
        <f>IF(OR(A450="",D450=""),0,MAX(0,NETWORKDAYS(MAX(D450,DATE(Einstellungen!$C$3,12,1)),MIN(J450,DATE(Einstellungen!$C$3,13,0)),Einstellungen!$F$13:$F$32)))</f>
        <v/>
      </c>
      <c r="X450" s="50">
        <f>L450*K450</f>
        <v/>
      </c>
      <c r="Y450" s="50">
        <f>M450*K450</f>
        <v/>
      </c>
      <c r="Z450" s="50">
        <f>N450*K450</f>
        <v/>
      </c>
      <c r="AA450" s="50">
        <f>O450*K450</f>
        <v/>
      </c>
      <c r="AB450" s="50">
        <f>P450*K450</f>
        <v/>
      </c>
      <c r="AC450" s="50">
        <f>Q450*K450</f>
        <v/>
      </c>
      <c r="AD450" s="50">
        <f>R450*K450</f>
        <v/>
      </c>
      <c r="AE450" s="50">
        <f>S450*K450</f>
        <v/>
      </c>
      <c r="AF450" s="50">
        <f>T450*K450</f>
        <v/>
      </c>
      <c r="AG450" s="50">
        <f>U450*K450</f>
        <v/>
      </c>
      <c r="AH450" s="50">
        <f>V450*K450</f>
        <v/>
      </c>
      <c r="AI450" s="50">
        <f>W450*K450</f>
        <v/>
      </c>
    </row>
    <row r="451">
      <c r="A451" s="25" t="n"/>
      <c r="B451" s="45">
        <f>IF(A451="","",IFERROR(INDEX(Mitarbeiter!$B$6:$B$205,MATCH($A451,Mitarbeiter!$A$6:$A$205,0)),"?"))</f>
        <v/>
      </c>
      <c r="C451" s="46" t="n"/>
      <c r="D451" s="26" t="n"/>
      <c r="E451" s="26" t="n"/>
      <c r="F451" s="24">
        <f>IF(A451="","",SUM(L451:W451))</f>
        <v/>
      </c>
      <c r="G451" s="36">
        <f>IF(A451="","",SUM(X451:AI451))</f>
        <v/>
      </c>
      <c r="H451" s="8">
        <f>IF(A451="","",IF(ISNA(MATCH(A451,Mitarbeiter!$A$6:$A$205,0)),"Pers.-Nr. unbekannt",IF(D451="","Von fehlt",IF(AND(C451&lt;&gt;Einstellungen!$C$4,C451&lt;&gt;Einstellungen!$C$5),"Objekt fehlt",IF(J451&lt;D451,"Bis vor Von",IF(D451&lt;INDEX(Mitarbeiter!$C$6:$C$205,MATCH($A451,Mitarbeiter!$A$6:$A$205,0)),"vor Eintritt",IF(AND(INDEX(Mitarbeiter!$D$6:$D$205,MATCH($A451,Mitarbeiter!$A$6:$A$205,0))&lt;&gt;"",D451&gt;INDEX(Mitarbeiter!$D$6:$D$205,MATCH($A451,Mitarbeiter!$A$6:$A$205,0))),"nach Austritt",IF(E451="","offen","ok"))))))))</f>
        <v/>
      </c>
      <c r="J451" s="47">
        <f>IF(A451="","",IF(E451="",Einstellungen!$C$9,E451))</f>
        <v/>
      </c>
      <c r="K451" s="48">
        <f>IF(A451="",0,IFERROR(INDEX(Mitarbeiter!$F$6:$F$205,MATCH($A451,Mitarbeiter!$A$6:$A$205,0)),0))</f>
        <v/>
      </c>
      <c r="L451" s="49">
        <f>IF(OR(A451="",D451=""),0,MAX(0,NETWORKDAYS(MAX(D451,DATE(Einstellungen!$C$3,1,1)),MIN(J451,DATE(Einstellungen!$C$3,2,0)),Einstellungen!$F$13:$F$32)))</f>
        <v/>
      </c>
      <c r="M451" s="49">
        <f>IF(OR(A451="",D451=""),0,MAX(0,NETWORKDAYS(MAX(D451,DATE(Einstellungen!$C$3,2,1)),MIN(J451,DATE(Einstellungen!$C$3,3,0)),Einstellungen!$F$13:$F$32)))</f>
        <v/>
      </c>
      <c r="N451" s="49">
        <f>IF(OR(A451="",D451=""),0,MAX(0,NETWORKDAYS(MAX(D451,DATE(Einstellungen!$C$3,3,1)),MIN(J451,DATE(Einstellungen!$C$3,4,0)),Einstellungen!$F$13:$F$32)))</f>
        <v/>
      </c>
      <c r="O451" s="49">
        <f>IF(OR(A451="",D451=""),0,MAX(0,NETWORKDAYS(MAX(D451,DATE(Einstellungen!$C$3,4,1)),MIN(J451,DATE(Einstellungen!$C$3,5,0)),Einstellungen!$F$13:$F$32)))</f>
        <v/>
      </c>
      <c r="P451" s="49">
        <f>IF(OR(A451="",D451=""),0,MAX(0,NETWORKDAYS(MAX(D451,DATE(Einstellungen!$C$3,5,1)),MIN(J451,DATE(Einstellungen!$C$3,6,0)),Einstellungen!$F$13:$F$32)))</f>
        <v/>
      </c>
      <c r="Q451" s="49">
        <f>IF(OR(A451="",D451=""),0,MAX(0,NETWORKDAYS(MAX(D451,DATE(Einstellungen!$C$3,6,1)),MIN(J451,DATE(Einstellungen!$C$3,7,0)),Einstellungen!$F$13:$F$32)))</f>
        <v/>
      </c>
      <c r="R451" s="49">
        <f>IF(OR(A451="",D451=""),0,MAX(0,NETWORKDAYS(MAX(D451,DATE(Einstellungen!$C$3,7,1)),MIN(J451,DATE(Einstellungen!$C$3,8,0)),Einstellungen!$F$13:$F$32)))</f>
        <v/>
      </c>
      <c r="S451" s="49">
        <f>IF(OR(A451="",D451=""),0,MAX(0,NETWORKDAYS(MAX(D451,DATE(Einstellungen!$C$3,8,1)),MIN(J451,DATE(Einstellungen!$C$3,9,0)),Einstellungen!$F$13:$F$32)))</f>
        <v/>
      </c>
      <c r="T451" s="49">
        <f>IF(OR(A451="",D451=""),0,MAX(0,NETWORKDAYS(MAX(D451,DATE(Einstellungen!$C$3,9,1)),MIN(J451,DATE(Einstellungen!$C$3,10,0)),Einstellungen!$F$13:$F$32)))</f>
        <v/>
      </c>
      <c r="U451" s="49">
        <f>IF(OR(A451="",D451=""),0,MAX(0,NETWORKDAYS(MAX(D451,DATE(Einstellungen!$C$3,10,1)),MIN(J451,DATE(Einstellungen!$C$3,11,0)),Einstellungen!$F$13:$F$32)))</f>
        <v/>
      </c>
      <c r="V451" s="49">
        <f>IF(OR(A451="",D451=""),0,MAX(0,NETWORKDAYS(MAX(D451,DATE(Einstellungen!$C$3,11,1)),MIN(J451,DATE(Einstellungen!$C$3,12,0)),Einstellungen!$F$13:$F$32)))</f>
        <v/>
      </c>
      <c r="W451" s="49">
        <f>IF(OR(A451="",D451=""),0,MAX(0,NETWORKDAYS(MAX(D451,DATE(Einstellungen!$C$3,12,1)),MIN(J451,DATE(Einstellungen!$C$3,13,0)),Einstellungen!$F$13:$F$32)))</f>
        <v/>
      </c>
      <c r="X451" s="50">
        <f>L451*K451</f>
        <v/>
      </c>
      <c r="Y451" s="50">
        <f>M451*K451</f>
        <v/>
      </c>
      <c r="Z451" s="50">
        <f>N451*K451</f>
        <v/>
      </c>
      <c r="AA451" s="50">
        <f>O451*K451</f>
        <v/>
      </c>
      <c r="AB451" s="50">
        <f>P451*K451</f>
        <v/>
      </c>
      <c r="AC451" s="50">
        <f>Q451*K451</f>
        <v/>
      </c>
      <c r="AD451" s="50">
        <f>R451*K451</f>
        <v/>
      </c>
      <c r="AE451" s="50">
        <f>S451*K451</f>
        <v/>
      </c>
      <c r="AF451" s="50">
        <f>T451*K451</f>
        <v/>
      </c>
      <c r="AG451" s="50">
        <f>U451*K451</f>
        <v/>
      </c>
      <c r="AH451" s="50">
        <f>V451*K451</f>
        <v/>
      </c>
      <c r="AI451" s="50">
        <f>W451*K451</f>
        <v/>
      </c>
    </row>
    <row r="452">
      <c r="A452" s="25" t="n"/>
      <c r="B452" s="45">
        <f>IF(A452="","",IFERROR(INDEX(Mitarbeiter!$B$6:$B$205,MATCH($A452,Mitarbeiter!$A$6:$A$205,0)),"?"))</f>
        <v/>
      </c>
      <c r="C452" s="46" t="n"/>
      <c r="D452" s="26" t="n"/>
      <c r="E452" s="26" t="n"/>
      <c r="F452" s="24">
        <f>IF(A452="","",SUM(L452:W452))</f>
        <v/>
      </c>
      <c r="G452" s="36">
        <f>IF(A452="","",SUM(X452:AI452))</f>
        <v/>
      </c>
      <c r="H452" s="8">
        <f>IF(A452="","",IF(ISNA(MATCH(A452,Mitarbeiter!$A$6:$A$205,0)),"Pers.-Nr. unbekannt",IF(D452="","Von fehlt",IF(AND(C452&lt;&gt;Einstellungen!$C$4,C452&lt;&gt;Einstellungen!$C$5),"Objekt fehlt",IF(J452&lt;D452,"Bis vor Von",IF(D452&lt;INDEX(Mitarbeiter!$C$6:$C$205,MATCH($A452,Mitarbeiter!$A$6:$A$205,0)),"vor Eintritt",IF(AND(INDEX(Mitarbeiter!$D$6:$D$205,MATCH($A452,Mitarbeiter!$A$6:$A$205,0))&lt;&gt;"",D452&gt;INDEX(Mitarbeiter!$D$6:$D$205,MATCH($A452,Mitarbeiter!$A$6:$A$205,0))),"nach Austritt",IF(E452="","offen","ok"))))))))</f>
        <v/>
      </c>
      <c r="J452" s="47">
        <f>IF(A452="","",IF(E452="",Einstellungen!$C$9,E452))</f>
        <v/>
      </c>
      <c r="K452" s="48">
        <f>IF(A452="",0,IFERROR(INDEX(Mitarbeiter!$F$6:$F$205,MATCH($A452,Mitarbeiter!$A$6:$A$205,0)),0))</f>
        <v/>
      </c>
      <c r="L452" s="49">
        <f>IF(OR(A452="",D452=""),0,MAX(0,NETWORKDAYS(MAX(D452,DATE(Einstellungen!$C$3,1,1)),MIN(J452,DATE(Einstellungen!$C$3,2,0)),Einstellungen!$F$13:$F$32)))</f>
        <v/>
      </c>
      <c r="M452" s="49">
        <f>IF(OR(A452="",D452=""),0,MAX(0,NETWORKDAYS(MAX(D452,DATE(Einstellungen!$C$3,2,1)),MIN(J452,DATE(Einstellungen!$C$3,3,0)),Einstellungen!$F$13:$F$32)))</f>
        <v/>
      </c>
      <c r="N452" s="49">
        <f>IF(OR(A452="",D452=""),0,MAX(0,NETWORKDAYS(MAX(D452,DATE(Einstellungen!$C$3,3,1)),MIN(J452,DATE(Einstellungen!$C$3,4,0)),Einstellungen!$F$13:$F$32)))</f>
        <v/>
      </c>
      <c r="O452" s="49">
        <f>IF(OR(A452="",D452=""),0,MAX(0,NETWORKDAYS(MAX(D452,DATE(Einstellungen!$C$3,4,1)),MIN(J452,DATE(Einstellungen!$C$3,5,0)),Einstellungen!$F$13:$F$32)))</f>
        <v/>
      </c>
      <c r="P452" s="49">
        <f>IF(OR(A452="",D452=""),0,MAX(0,NETWORKDAYS(MAX(D452,DATE(Einstellungen!$C$3,5,1)),MIN(J452,DATE(Einstellungen!$C$3,6,0)),Einstellungen!$F$13:$F$32)))</f>
        <v/>
      </c>
      <c r="Q452" s="49">
        <f>IF(OR(A452="",D452=""),0,MAX(0,NETWORKDAYS(MAX(D452,DATE(Einstellungen!$C$3,6,1)),MIN(J452,DATE(Einstellungen!$C$3,7,0)),Einstellungen!$F$13:$F$32)))</f>
        <v/>
      </c>
      <c r="R452" s="49">
        <f>IF(OR(A452="",D452=""),0,MAX(0,NETWORKDAYS(MAX(D452,DATE(Einstellungen!$C$3,7,1)),MIN(J452,DATE(Einstellungen!$C$3,8,0)),Einstellungen!$F$13:$F$32)))</f>
        <v/>
      </c>
      <c r="S452" s="49">
        <f>IF(OR(A452="",D452=""),0,MAX(0,NETWORKDAYS(MAX(D452,DATE(Einstellungen!$C$3,8,1)),MIN(J452,DATE(Einstellungen!$C$3,9,0)),Einstellungen!$F$13:$F$32)))</f>
        <v/>
      </c>
      <c r="T452" s="49">
        <f>IF(OR(A452="",D452=""),0,MAX(0,NETWORKDAYS(MAX(D452,DATE(Einstellungen!$C$3,9,1)),MIN(J452,DATE(Einstellungen!$C$3,10,0)),Einstellungen!$F$13:$F$32)))</f>
        <v/>
      </c>
      <c r="U452" s="49">
        <f>IF(OR(A452="",D452=""),0,MAX(0,NETWORKDAYS(MAX(D452,DATE(Einstellungen!$C$3,10,1)),MIN(J452,DATE(Einstellungen!$C$3,11,0)),Einstellungen!$F$13:$F$32)))</f>
        <v/>
      </c>
      <c r="V452" s="49">
        <f>IF(OR(A452="",D452=""),0,MAX(0,NETWORKDAYS(MAX(D452,DATE(Einstellungen!$C$3,11,1)),MIN(J452,DATE(Einstellungen!$C$3,12,0)),Einstellungen!$F$13:$F$32)))</f>
        <v/>
      </c>
      <c r="W452" s="49">
        <f>IF(OR(A452="",D452=""),0,MAX(0,NETWORKDAYS(MAX(D452,DATE(Einstellungen!$C$3,12,1)),MIN(J452,DATE(Einstellungen!$C$3,13,0)),Einstellungen!$F$13:$F$32)))</f>
        <v/>
      </c>
      <c r="X452" s="50">
        <f>L452*K452</f>
        <v/>
      </c>
      <c r="Y452" s="50">
        <f>M452*K452</f>
        <v/>
      </c>
      <c r="Z452" s="50">
        <f>N452*K452</f>
        <v/>
      </c>
      <c r="AA452" s="50">
        <f>O452*K452</f>
        <v/>
      </c>
      <c r="AB452" s="50">
        <f>P452*K452</f>
        <v/>
      </c>
      <c r="AC452" s="50">
        <f>Q452*K452</f>
        <v/>
      </c>
      <c r="AD452" s="50">
        <f>R452*K452</f>
        <v/>
      </c>
      <c r="AE452" s="50">
        <f>S452*K452</f>
        <v/>
      </c>
      <c r="AF452" s="50">
        <f>T452*K452</f>
        <v/>
      </c>
      <c r="AG452" s="50">
        <f>U452*K452</f>
        <v/>
      </c>
      <c r="AH452" s="50">
        <f>V452*K452</f>
        <v/>
      </c>
      <c r="AI452" s="50">
        <f>W452*K452</f>
        <v/>
      </c>
    </row>
    <row r="453">
      <c r="A453" s="25" t="n"/>
      <c r="B453" s="45">
        <f>IF(A453="","",IFERROR(INDEX(Mitarbeiter!$B$6:$B$205,MATCH($A453,Mitarbeiter!$A$6:$A$205,0)),"?"))</f>
        <v/>
      </c>
      <c r="C453" s="46" t="n"/>
      <c r="D453" s="26" t="n"/>
      <c r="E453" s="26" t="n"/>
      <c r="F453" s="24">
        <f>IF(A453="","",SUM(L453:W453))</f>
        <v/>
      </c>
      <c r="G453" s="36">
        <f>IF(A453="","",SUM(X453:AI453))</f>
        <v/>
      </c>
      <c r="H453" s="8">
        <f>IF(A453="","",IF(ISNA(MATCH(A453,Mitarbeiter!$A$6:$A$205,0)),"Pers.-Nr. unbekannt",IF(D453="","Von fehlt",IF(AND(C453&lt;&gt;Einstellungen!$C$4,C453&lt;&gt;Einstellungen!$C$5),"Objekt fehlt",IF(J453&lt;D453,"Bis vor Von",IF(D453&lt;INDEX(Mitarbeiter!$C$6:$C$205,MATCH($A453,Mitarbeiter!$A$6:$A$205,0)),"vor Eintritt",IF(AND(INDEX(Mitarbeiter!$D$6:$D$205,MATCH($A453,Mitarbeiter!$A$6:$A$205,0))&lt;&gt;"",D453&gt;INDEX(Mitarbeiter!$D$6:$D$205,MATCH($A453,Mitarbeiter!$A$6:$A$205,0))),"nach Austritt",IF(E453="","offen","ok"))))))))</f>
        <v/>
      </c>
      <c r="J453" s="47">
        <f>IF(A453="","",IF(E453="",Einstellungen!$C$9,E453))</f>
        <v/>
      </c>
      <c r="K453" s="48">
        <f>IF(A453="",0,IFERROR(INDEX(Mitarbeiter!$F$6:$F$205,MATCH($A453,Mitarbeiter!$A$6:$A$205,0)),0))</f>
        <v/>
      </c>
      <c r="L453" s="49">
        <f>IF(OR(A453="",D453=""),0,MAX(0,NETWORKDAYS(MAX(D453,DATE(Einstellungen!$C$3,1,1)),MIN(J453,DATE(Einstellungen!$C$3,2,0)),Einstellungen!$F$13:$F$32)))</f>
        <v/>
      </c>
      <c r="M453" s="49">
        <f>IF(OR(A453="",D453=""),0,MAX(0,NETWORKDAYS(MAX(D453,DATE(Einstellungen!$C$3,2,1)),MIN(J453,DATE(Einstellungen!$C$3,3,0)),Einstellungen!$F$13:$F$32)))</f>
        <v/>
      </c>
      <c r="N453" s="49">
        <f>IF(OR(A453="",D453=""),0,MAX(0,NETWORKDAYS(MAX(D453,DATE(Einstellungen!$C$3,3,1)),MIN(J453,DATE(Einstellungen!$C$3,4,0)),Einstellungen!$F$13:$F$32)))</f>
        <v/>
      </c>
      <c r="O453" s="49">
        <f>IF(OR(A453="",D453=""),0,MAX(0,NETWORKDAYS(MAX(D453,DATE(Einstellungen!$C$3,4,1)),MIN(J453,DATE(Einstellungen!$C$3,5,0)),Einstellungen!$F$13:$F$32)))</f>
        <v/>
      </c>
      <c r="P453" s="49">
        <f>IF(OR(A453="",D453=""),0,MAX(0,NETWORKDAYS(MAX(D453,DATE(Einstellungen!$C$3,5,1)),MIN(J453,DATE(Einstellungen!$C$3,6,0)),Einstellungen!$F$13:$F$32)))</f>
        <v/>
      </c>
      <c r="Q453" s="49">
        <f>IF(OR(A453="",D453=""),0,MAX(0,NETWORKDAYS(MAX(D453,DATE(Einstellungen!$C$3,6,1)),MIN(J453,DATE(Einstellungen!$C$3,7,0)),Einstellungen!$F$13:$F$32)))</f>
        <v/>
      </c>
      <c r="R453" s="49">
        <f>IF(OR(A453="",D453=""),0,MAX(0,NETWORKDAYS(MAX(D453,DATE(Einstellungen!$C$3,7,1)),MIN(J453,DATE(Einstellungen!$C$3,8,0)),Einstellungen!$F$13:$F$32)))</f>
        <v/>
      </c>
      <c r="S453" s="49">
        <f>IF(OR(A453="",D453=""),0,MAX(0,NETWORKDAYS(MAX(D453,DATE(Einstellungen!$C$3,8,1)),MIN(J453,DATE(Einstellungen!$C$3,9,0)),Einstellungen!$F$13:$F$32)))</f>
        <v/>
      </c>
      <c r="T453" s="49">
        <f>IF(OR(A453="",D453=""),0,MAX(0,NETWORKDAYS(MAX(D453,DATE(Einstellungen!$C$3,9,1)),MIN(J453,DATE(Einstellungen!$C$3,10,0)),Einstellungen!$F$13:$F$32)))</f>
        <v/>
      </c>
      <c r="U453" s="49">
        <f>IF(OR(A453="",D453=""),0,MAX(0,NETWORKDAYS(MAX(D453,DATE(Einstellungen!$C$3,10,1)),MIN(J453,DATE(Einstellungen!$C$3,11,0)),Einstellungen!$F$13:$F$32)))</f>
        <v/>
      </c>
      <c r="V453" s="49">
        <f>IF(OR(A453="",D453=""),0,MAX(0,NETWORKDAYS(MAX(D453,DATE(Einstellungen!$C$3,11,1)),MIN(J453,DATE(Einstellungen!$C$3,12,0)),Einstellungen!$F$13:$F$32)))</f>
        <v/>
      </c>
      <c r="W453" s="49">
        <f>IF(OR(A453="",D453=""),0,MAX(0,NETWORKDAYS(MAX(D453,DATE(Einstellungen!$C$3,12,1)),MIN(J453,DATE(Einstellungen!$C$3,13,0)),Einstellungen!$F$13:$F$32)))</f>
        <v/>
      </c>
      <c r="X453" s="50">
        <f>L453*K453</f>
        <v/>
      </c>
      <c r="Y453" s="50">
        <f>M453*K453</f>
        <v/>
      </c>
      <c r="Z453" s="50">
        <f>N453*K453</f>
        <v/>
      </c>
      <c r="AA453" s="50">
        <f>O453*K453</f>
        <v/>
      </c>
      <c r="AB453" s="50">
        <f>P453*K453</f>
        <v/>
      </c>
      <c r="AC453" s="50">
        <f>Q453*K453</f>
        <v/>
      </c>
      <c r="AD453" s="50">
        <f>R453*K453</f>
        <v/>
      </c>
      <c r="AE453" s="50">
        <f>S453*K453</f>
        <v/>
      </c>
      <c r="AF453" s="50">
        <f>T453*K453</f>
        <v/>
      </c>
      <c r="AG453" s="50">
        <f>U453*K453</f>
        <v/>
      </c>
      <c r="AH453" s="50">
        <f>V453*K453</f>
        <v/>
      </c>
      <c r="AI453" s="50">
        <f>W453*K453</f>
        <v/>
      </c>
    </row>
    <row r="454">
      <c r="A454" s="25" t="n"/>
      <c r="B454" s="45">
        <f>IF(A454="","",IFERROR(INDEX(Mitarbeiter!$B$6:$B$205,MATCH($A454,Mitarbeiter!$A$6:$A$205,0)),"?"))</f>
        <v/>
      </c>
      <c r="C454" s="46" t="n"/>
      <c r="D454" s="26" t="n"/>
      <c r="E454" s="26" t="n"/>
      <c r="F454" s="24">
        <f>IF(A454="","",SUM(L454:W454))</f>
        <v/>
      </c>
      <c r="G454" s="36">
        <f>IF(A454="","",SUM(X454:AI454))</f>
        <v/>
      </c>
      <c r="H454" s="8">
        <f>IF(A454="","",IF(ISNA(MATCH(A454,Mitarbeiter!$A$6:$A$205,0)),"Pers.-Nr. unbekannt",IF(D454="","Von fehlt",IF(AND(C454&lt;&gt;Einstellungen!$C$4,C454&lt;&gt;Einstellungen!$C$5),"Objekt fehlt",IF(J454&lt;D454,"Bis vor Von",IF(D454&lt;INDEX(Mitarbeiter!$C$6:$C$205,MATCH($A454,Mitarbeiter!$A$6:$A$205,0)),"vor Eintritt",IF(AND(INDEX(Mitarbeiter!$D$6:$D$205,MATCH($A454,Mitarbeiter!$A$6:$A$205,0))&lt;&gt;"",D454&gt;INDEX(Mitarbeiter!$D$6:$D$205,MATCH($A454,Mitarbeiter!$A$6:$A$205,0))),"nach Austritt",IF(E454="","offen","ok"))))))))</f>
        <v/>
      </c>
      <c r="J454" s="47">
        <f>IF(A454="","",IF(E454="",Einstellungen!$C$9,E454))</f>
        <v/>
      </c>
      <c r="K454" s="48">
        <f>IF(A454="",0,IFERROR(INDEX(Mitarbeiter!$F$6:$F$205,MATCH($A454,Mitarbeiter!$A$6:$A$205,0)),0))</f>
        <v/>
      </c>
      <c r="L454" s="49">
        <f>IF(OR(A454="",D454=""),0,MAX(0,NETWORKDAYS(MAX(D454,DATE(Einstellungen!$C$3,1,1)),MIN(J454,DATE(Einstellungen!$C$3,2,0)),Einstellungen!$F$13:$F$32)))</f>
        <v/>
      </c>
      <c r="M454" s="49">
        <f>IF(OR(A454="",D454=""),0,MAX(0,NETWORKDAYS(MAX(D454,DATE(Einstellungen!$C$3,2,1)),MIN(J454,DATE(Einstellungen!$C$3,3,0)),Einstellungen!$F$13:$F$32)))</f>
        <v/>
      </c>
      <c r="N454" s="49">
        <f>IF(OR(A454="",D454=""),0,MAX(0,NETWORKDAYS(MAX(D454,DATE(Einstellungen!$C$3,3,1)),MIN(J454,DATE(Einstellungen!$C$3,4,0)),Einstellungen!$F$13:$F$32)))</f>
        <v/>
      </c>
      <c r="O454" s="49">
        <f>IF(OR(A454="",D454=""),0,MAX(0,NETWORKDAYS(MAX(D454,DATE(Einstellungen!$C$3,4,1)),MIN(J454,DATE(Einstellungen!$C$3,5,0)),Einstellungen!$F$13:$F$32)))</f>
        <v/>
      </c>
      <c r="P454" s="49">
        <f>IF(OR(A454="",D454=""),0,MAX(0,NETWORKDAYS(MAX(D454,DATE(Einstellungen!$C$3,5,1)),MIN(J454,DATE(Einstellungen!$C$3,6,0)),Einstellungen!$F$13:$F$32)))</f>
        <v/>
      </c>
      <c r="Q454" s="49">
        <f>IF(OR(A454="",D454=""),0,MAX(0,NETWORKDAYS(MAX(D454,DATE(Einstellungen!$C$3,6,1)),MIN(J454,DATE(Einstellungen!$C$3,7,0)),Einstellungen!$F$13:$F$32)))</f>
        <v/>
      </c>
      <c r="R454" s="49">
        <f>IF(OR(A454="",D454=""),0,MAX(0,NETWORKDAYS(MAX(D454,DATE(Einstellungen!$C$3,7,1)),MIN(J454,DATE(Einstellungen!$C$3,8,0)),Einstellungen!$F$13:$F$32)))</f>
        <v/>
      </c>
      <c r="S454" s="49">
        <f>IF(OR(A454="",D454=""),0,MAX(0,NETWORKDAYS(MAX(D454,DATE(Einstellungen!$C$3,8,1)),MIN(J454,DATE(Einstellungen!$C$3,9,0)),Einstellungen!$F$13:$F$32)))</f>
        <v/>
      </c>
      <c r="T454" s="49">
        <f>IF(OR(A454="",D454=""),0,MAX(0,NETWORKDAYS(MAX(D454,DATE(Einstellungen!$C$3,9,1)),MIN(J454,DATE(Einstellungen!$C$3,10,0)),Einstellungen!$F$13:$F$32)))</f>
        <v/>
      </c>
      <c r="U454" s="49">
        <f>IF(OR(A454="",D454=""),0,MAX(0,NETWORKDAYS(MAX(D454,DATE(Einstellungen!$C$3,10,1)),MIN(J454,DATE(Einstellungen!$C$3,11,0)),Einstellungen!$F$13:$F$32)))</f>
        <v/>
      </c>
      <c r="V454" s="49">
        <f>IF(OR(A454="",D454=""),0,MAX(0,NETWORKDAYS(MAX(D454,DATE(Einstellungen!$C$3,11,1)),MIN(J454,DATE(Einstellungen!$C$3,12,0)),Einstellungen!$F$13:$F$32)))</f>
        <v/>
      </c>
      <c r="W454" s="49">
        <f>IF(OR(A454="",D454=""),0,MAX(0,NETWORKDAYS(MAX(D454,DATE(Einstellungen!$C$3,12,1)),MIN(J454,DATE(Einstellungen!$C$3,13,0)),Einstellungen!$F$13:$F$32)))</f>
        <v/>
      </c>
      <c r="X454" s="50">
        <f>L454*K454</f>
        <v/>
      </c>
      <c r="Y454" s="50">
        <f>M454*K454</f>
        <v/>
      </c>
      <c r="Z454" s="50">
        <f>N454*K454</f>
        <v/>
      </c>
      <c r="AA454" s="50">
        <f>O454*K454</f>
        <v/>
      </c>
      <c r="AB454" s="50">
        <f>P454*K454</f>
        <v/>
      </c>
      <c r="AC454" s="50">
        <f>Q454*K454</f>
        <v/>
      </c>
      <c r="AD454" s="50">
        <f>R454*K454</f>
        <v/>
      </c>
      <c r="AE454" s="50">
        <f>S454*K454</f>
        <v/>
      </c>
      <c r="AF454" s="50">
        <f>T454*K454</f>
        <v/>
      </c>
      <c r="AG454" s="50">
        <f>U454*K454</f>
        <v/>
      </c>
      <c r="AH454" s="50">
        <f>V454*K454</f>
        <v/>
      </c>
      <c r="AI454" s="50">
        <f>W454*K454</f>
        <v/>
      </c>
    </row>
    <row r="455">
      <c r="A455" s="25" t="n"/>
      <c r="B455" s="45">
        <f>IF(A455="","",IFERROR(INDEX(Mitarbeiter!$B$6:$B$205,MATCH($A455,Mitarbeiter!$A$6:$A$205,0)),"?"))</f>
        <v/>
      </c>
      <c r="C455" s="46" t="n"/>
      <c r="D455" s="26" t="n"/>
      <c r="E455" s="26" t="n"/>
      <c r="F455" s="24">
        <f>IF(A455="","",SUM(L455:W455))</f>
        <v/>
      </c>
      <c r="G455" s="36">
        <f>IF(A455="","",SUM(X455:AI455))</f>
        <v/>
      </c>
      <c r="H455" s="8">
        <f>IF(A455="","",IF(ISNA(MATCH(A455,Mitarbeiter!$A$6:$A$205,0)),"Pers.-Nr. unbekannt",IF(D455="","Von fehlt",IF(AND(C455&lt;&gt;Einstellungen!$C$4,C455&lt;&gt;Einstellungen!$C$5),"Objekt fehlt",IF(J455&lt;D455,"Bis vor Von",IF(D455&lt;INDEX(Mitarbeiter!$C$6:$C$205,MATCH($A455,Mitarbeiter!$A$6:$A$205,0)),"vor Eintritt",IF(AND(INDEX(Mitarbeiter!$D$6:$D$205,MATCH($A455,Mitarbeiter!$A$6:$A$205,0))&lt;&gt;"",D455&gt;INDEX(Mitarbeiter!$D$6:$D$205,MATCH($A455,Mitarbeiter!$A$6:$A$205,0))),"nach Austritt",IF(E455="","offen","ok"))))))))</f>
        <v/>
      </c>
      <c r="J455" s="47">
        <f>IF(A455="","",IF(E455="",Einstellungen!$C$9,E455))</f>
        <v/>
      </c>
      <c r="K455" s="48">
        <f>IF(A455="",0,IFERROR(INDEX(Mitarbeiter!$F$6:$F$205,MATCH($A455,Mitarbeiter!$A$6:$A$205,0)),0))</f>
        <v/>
      </c>
      <c r="L455" s="49">
        <f>IF(OR(A455="",D455=""),0,MAX(0,NETWORKDAYS(MAX(D455,DATE(Einstellungen!$C$3,1,1)),MIN(J455,DATE(Einstellungen!$C$3,2,0)),Einstellungen!$F$13:$F$32)))</f>
        <v/>
      </c>
      <c r="M455" s="49">
        <f>IF(OR(A455="",D455=""),0,MAX(0,NETWORKDAYS(MAX(D455,DATE(Einstellungen!$C$3,2,1)),MIN(J455,DATE(Einstellungen!$C$3,3,0)),Einstellungen!$F$13:$F$32)))</f>
        <v/>
      </c>
      <c r="N455" s="49">
        <f>IF(OR(A455="",D455=""),0,MAX(0,NETWORKDAYS(MAX(D455,DATE(Einstellungen!$C$3,3,1)),MIN(J455,DATE(Einstellungen!$C$3,4,0)),Einstellungen!$F$13:$F$32)))</f>
        <v/>
      </c>
      <c r="O455" s="49">
        <f>IF(OR(A455="",D455=""),0,MAX(0,NETWORKDAYS(MAX(D455,DATE(Einstellungen!$C$3,4,1)),MIN(J455,DATE(Einstellungen!$C$3,5,0)),Einstellungen!$F$13:$F$32)))</f>
        <v/>
      </c>
      <c r="P455" s="49">
        <f>IF(OR(A455="",D455=""),0,MAX(0,NETWORKDAYS(MAX(D455,DATE(Einstellungen!$C$3,5,1)),MIN(J455,DATE(Einstellungen!$C$3,6,0)),Einstellungen!$F$13:$F$32)))</f>
        <v/>
      </c>
      <c r="Q455" s="49">
        <f>IF(OR(A455="",D455=""),0,MAX(0,NETWORKDAYS(MAX(D455,DATE(Einstellungen!$C$3,6,1)),MIN(J455,DATE(Einstellungen!$C$3,7,0)),Einstellungen!$F$13:$F$32)))</f>
        <v/>
      </c>
      <c r="R455" s="49">
        <f>IF(OR(A455="",D455=""),0,MAX(0,NETWORKDAYS(MAX(D455,DATE(Einstellungen!$C$3,7,1)),MIN(J455,DATE(Einstellungen!$C$3,8,0)),Einstellungen!$F$13:$F$32)))</f>
        <v/>
      </c>
      <c r="S455" s="49">
        <f>IF(OR(A455="",D455=""),0,MAX(0,NETWORKDAYS(MAX(D455,DATE(Einstellungen!$C$3,8,1)),MIN(J455,DATE(Einstellungen!$C$3,9,0)),Einstellungen!$F$13:$F$32)))</f>
        <v/>
      </c>
      <c r="T455" s="49">
        <f>IF(OR(A455="",D455=""),0,MAX(0,NETWORKDAYS(MAX(D455,DATE(Einstellungen!$C$3,9,1)),MIN(J455,DATE(Einstellungen!$C$3,10,0)),Einstellungen!$F$13:$F$32)))</f>
        <v/>
      </c>
      <c r="U455" s="49">
        <f>IF(OR(A455="",D455=""),0,MAX(0,NETWORKDAYS(MAX(D455,DATE(Einstellungen!$C$3,10,1)),MIN(J455,DATE(Einstellungen!$C$3,11,0)),Einstellungen!$F$13:$F$32)))</f>
        <v/>
      </c>
      <c r="V455" s="49">
        <f>IF(OR(A455="",D455=""),0,MAX(0,NETWORKDAYS(MAX(D455,DATE(Einstellungen!$C$3,11,1)),MIN(J455,DATE(Einstellungen!$C$3,12,0)),Einstellungen!$F$13:$F$32)))</f>
        <v/>
      </c>
      <c r="W455" s="49">
        <f>IF(OR(A455="",D455=""),0,MAX(0,NETWORKDAYS(MAX(D455,DATE(Einstellungen!$C$3,12,1)),MIN(J455,DATE(Einstellungen!$C$3,13,0)),Einstellungen!$F$13:$F$32)))</f>
        <v/>
      </c>
      <c r="X455" s="50">
        <f>L455*K455</f>
        <v/>
      </c>
      <c r="Y455" s="50">
        <f>M455*K455</f>
        <v/>
      </c>
      <c r="Z455" s="50">
        <f>N455*K455</f>
        <v/>
      </c>
      <c r="AA455" s="50">
        <f>O455*K455</f>
        <v/>
      </c>
      <c r="AB455" s="50">
        <f>P455*K455</f>
        <v/>
      </c>
      <c r="AC455" s="50">
        <f>Q455*K455</f>
        <v/>
      </c>
      <c r="AD455" s="50">
        <f>R455*K455</f>
        <v/>
      </c>
      <c r="AE455" s="50">
        <f>S455*K455</f>
        <v/>
      </c>
      <c r="AF455" s="50">
        <f>T455*K455</f>
        <v/>
      </c>
      <c r="AG455" s="50">
        <f>U455*K455</f>
        <v/>
      </c>
      <c r="AH455" s="50">
        <f>V455*K455</f>
        <v/>
      </c>
      <c r="AI455" s="50">
        <f>W455*K455</f>
        <v/>
      </c>
    </row>
    <row r="456">
      <c r="A456" s="25" t="n"/>
      <c r="B456" s="45">
        <f>IF(A456="","",IFERROR(INDEX(Mitarbeiter!$B$6:$B$205,MATCH($A456,Mitarbeiter!$A$6:$A$205,0)),"?"))</f>
        <v/>
      </c>
      <c r="C456" s="46" t="n"/>
      <c r="D456" s="26" t="n"/>
      <c r="E456" s="26" t="n"/>
      <c r="F456" s="24">
        <f>IF(A456="","",SUM(L456:W456))</f>
        <v/>
      </c>
      <c r="G456" s="36">
        <f>IF(A456="","",SUM(X456:AI456))</f>
        <v/>
      </c>
      <c r="H456" s="8">
        <f>IF(A456="","",IF(ISNA(MATCH(A456,Mitarbeiter!$A$6:$A$205,0)),"Pers.-Nr. unbekannt",IF(D456="","Von fehlt",IF(AND(C456&lt;&gt;Einstellungen!$C$4,C456&lt;&gt;Einstellungen!$C$5),"Objekt fehlt",IF(J456&lt;D456,"Bis vor Von",IF(D456&lt;INDEX(Mitarbeiter!$C$6:$C$205,MATCH($A456,Mitarbeiter!$A$6:$A$205,0)),"vor Eintritt",IF(AND(INDEX(Mitarbeiter!$D$6:$D$205,MATCH($A456,Mitarbeiter!$A$6:$A$205,0))&lt;&gt;"",D456&gt;INDEX(Mitarbeiter!$D$6:$D$205,MATCH($A456,Mitarbeiter!$A$6:$A$205,0))),"nach Austritt",IF(E456="","offen","ok"))))))))</f>
        <v/>
      </c>
      <c r="J456" s="47">
        <f>IF(A456="","",IF(E456="",Einstellungen!$C$9,E456))</f>
        <v/>
      </c>
      <c r="K456" s="48">
        <f>IF(A456="",0,IFERROR(INDEX(Mitarbeiter!$F$6:$F$205,MATCH($A456,Mitarbeiter!$A$6:$A$205,0)),0))</f>
        <v/>
      </c>
      <c r="L456" s="49">
        <f>IF(OR(A456="",D456=""),0,MAX(0,NETWORKDAYS(MAX(D456,DATE(Einstellungen!$C$3,1,1)),MIN(J456,DATE(Einstellungen!$C$3,2,0)),Einstellungen!$F$13:$F$32)))</f>
        <v/>
      </c>
      <c r="M456" s="49">
        <f>IF(OR(A456="",D456=""),0,MAX(0,NETWORKDAYS(MAX(D456,DATE(Einstellungen!$C$3,2,1)),MIN(J456,DATE(Einstellungen!$C$3,3,0)),Einstellungen!$F$13:$F$32)))</f>
        <v/>
      </c>
      <c r="N456" s="49">
        <f>IF(OR(A456="",D456=""),0,MAX(0,NETWORKDAYS(MAX(D456,DATE(Einstellungen!$C$3,3,1)),MIN(J456,DATE(Einstellungen!$C$3,4,0)),Einstellungen!$F$13:$F$32)))</f>
        <v/>
      </c>
      <c r="O456" s="49">
        <f>IF(OR(A456="",D456=""),0,MAX(0,NETWORKDAYS(MAX(D456,DATE(Einstellungen!$C$3,4,1)),MIN(J456,DATE(Einstellungen!$C$3,5,0)),Einstellungen!$F$13:$F$32)))</f>
        <v/>
      </c>
      <c r="P456" s="49">
        <f>IF(OR(A456="",D456=""),0,MAX(0,NETWORKDAYS(MAX(D456,DATE(Einstellungen!$C$3,5,1)),MIN(J456,DATE(Einstellungen!$C$3,6,0)),Einstellungen!$F$13:$F$32)))</f>
        <v/>
      </c>
      <c r="Q456" s="49">
        <f>IF(OR(A456="",D456=""),0,MAX(0,NETWORKDAYS(MAX(D456,DATE(Einstellungen!$C$3,6,1)),MIN(J456,DATE(Einstellungen!$C$3,7,0)),Einstellungen!$F$13:$F$32)))</f>
        <v/>
      </c>
      <c r="R456" s="49">
        <f>IF(OR(A456="",D456=""),0,MAX(0,NETWORKDAYS(MAX(D456,DATE(Einstellungen!$C$3,7,1)),MIN(J456,DATE(Einstellungen!$C$3,8,0)),Einstellungen!$F$13:$F$32)))</f>
        <v/>
      </c>
      <c r="S456" s="49">
        <f>IF(OR(A456="",D456=""),0,MAX(0,NETWORKDAYS(MAX(D456,DATE(Einstellungen!$C$3,8,1)),MIN(J456,DATE(Einstellungen!$C$3,9,0)),Einstellungen!$F$13:$F$32)))</f>
        <v/>
      </c>
      <c r="T456" s="49">
        <f>IF(OR(A456="",D456=""),0,MAX(0,NETWORKDAYS(MAX(D456,DATE(Einstellungen!$C$3,9,1)),MIN(J456,DATE(Einstellungen!$C$3,10,0)),Einstellungen!$F$13:$F$32)))</f>
        <v/>
      </c>
      <c r="U456" s="49">
        <f>IF(OR(A456="",D456=""),0,MAX(0,NETWORKDAYS(MAX(D456,DATE(Einstellungen!$C$3,10,1)),MIN(J456,DATE(Einstellungen!$C$3,11,0)),Einstellungen!$F$13:$F$32)))</f>
        <v/>
      </c>
      <c r="V456" s="49">
        <f>IF(OR(A456="",D456=""),0,MAX(0,NETWORKDAYS(MAX(D456,DATE(Einstellungen!$C$3,11,1)),MIN(J456,DATE(Einstellungen!$C$3,12,0)),Einstellungen!$F$13:$F$32)))</f>
        <v/>
      </c>
      <c r="W456" s="49">
        <f>IF(OR(A456="",D456=""),0,MAX(0,NETWORKDAYS(MAX(D456,DATE(Einstellungen!$C$3,12,1)),MIN(J456,DATE(Einstellungen!$C$3,13,0)),Einstellungen!$F$13:$F$32)))</f>
        <v/>
      </c>
      <c r="X456" s="50">
        <f>L456*K456</f>
        <v/>
      </c>
      <c r="Y456" s="50">
        <f>M456*K456</f>
        <v/>
      </c>
      <c r="Z456" s="50">
        <f>N456*K456</f>
        <v/>
      </c>
      <c r="AA456" s="50">
        <f>O456*K456</f>
        <v/>
      </c>
      <c r="AB456" s="50">
        <f>P456*K456</f>
        <v/>
      </c>
      <c r="AC456" s="50">
        <f>Q456*K456</f>
        <v/>
      </c>
      <c r="AD456" s="50">
        <f>R456*K456</f>
        <v/>
      </c>
      <c r="AE456" s="50">
        <f>S456*K456</f>
        <v/>
      </c>
      <c r="AF456" s="50">
        <f>T456*K456</f>
        <v/>
      </c>
      <c r="AG456" s="50">
        <f>U456*K456</f>
        <v/>
      </c>
      <c r="AH456" s="50">
        <f>V456*K456</f>
        <v/>
      </c>
      <c r="AI456" s="50">
        <f>W456*K456</f>
        <v/>
      </c>
    </row>
    <row r="457">
      <c r="A457" s="25" t="n"/>
      <c r="B457" s="45">
        <f>IF(A457="","",IFERROR(INDEX(Mitarbeiter!$B$6:$B$205,MATCH($A457,Mitarbeiter!$A$6:$A$205,0)),"?"))</f>
        <v/>
      </c>
      <c r="C457" s="46" t="n"/>
      <c r="D457" s="26" t="n"/>
      <c r="E457" s="26" t="n"/>
      <c r="F457" s="24">
        <f>IF(A457="","",SUM(L457:W457))</f>
        <v/>
      </c>
      <c r="G457" s="36">
        <f>IF(A457="","",SUM(X457:AI457))</f>
        <v/>
      </c>
      <c r="H457" s="8">
        <f>IF(A457="","",IF(ISNA(MATCH(A457,Mitarbeiter!$A$6:$A$205,0)),"Pers.-Nr. unbekannt",IF(D457="","Von fehlt",IF(AND(C457&lt;&gt;Einstellungen!$C$4,C457&lt;&gt;Einstellungen!$C$5),"Objekt fehlt",IF(J457&lt;D457,"Bis vor Von",IF(D457&lt;INDEX(Mitarbeiter!$C$6:$C$205,MATCH($A457,Mitarbeiter!$A$6:$A$205,0)),"vor Eintritt",IF(AND(INDEX(Mitarbeiter!$D$6:$D$205,MATCH($A457,Mitarbeiter!$A$6:$A$205,0))&lt;&gt;"",D457&gt;INDEX(Mitarbeiter!$D$6:$D$205,MATCH($A457,Mitarbeiter!$A$6:$A$205,0))),"nach Austritt",IF(E457="","offen","ok"))))))))</f>
        <v/>
      </c>
      <c r="J457" s="47">
        <f>IF(A457="","",IF(E457="",Einstellungen!$C$9,E457))</f>
        <v/>
      </c>
      <c r="K457" s="48">
        <f>IF(A457="",0,IFERROR(INDEX(Mitarbeiter!$F$6:$F$205,MATCH($A457,Mitarbeiter!$A$6:$A$205,0)),0))</f>
        <v/>
      </c>
      <c r="L457" s="49">
        <f>IF(OR(A457="",D457=""),0,MAX(0,NETWORKDAYS(MAX(D457,DATE(Einstellungen!$C$3,1,1)),MIN(J457,DATE(Einstellungen!$C$3,2,0)),Einstellungen!$F$13:$F$32)))</f>
        <v/>
      </c>
      <c r="M457" s="49">
        <f>IF(OR(A457="",D457=""),0,MAX(0,NETWORKDAYS(MAX(D457,DATE(Einstellungen!$C$3,2,1)),MIN(J457,DATE(Einstellungen!$C$3,3,0)),Einstellungen!$F$13:$F$32)))</f>
        <v/>
      </c>
      <c r="N457" s="49">
        <f>IF(OR(A457="",D457=""),0,MAX(0,NETWORKDAYS(MAX(D457,DATE(Einstellungen!$C$3,3,1)),MIN(J457,DATE(Einstellungen!$C$3,4,0)),Einstellungen!$F$13:$F$32)))</f>
        <v/>
      </c>
      <c r="O457" s="49">
        <f>IF(OR(A457="",D457=""),0,MAX(0,NETWORKDAYS(MAX(D457,DATE(Einstellungen!$C$3,4,1)),MIN(J457,DATE(Einstellungen!$C$3,5,0)),Einstellungen!$F$13:$F$32)))</f>
        <v/>
      </c>
      <c r="P457" s="49">
        <f>IF(OR(A457="",D457=""),0,MAX(0,NETWORKDAYS(MAX(D457,DATE(Einstellungen!$C$3,5,1)),MIN(J457,DATE(Einstellungen!$C$3,6,0)),Einstellungen!$F$13:$F$32)))</f>
        <v/>
      </c>
      <c r="Q457" s="49">
        <f>IF(OR(A457="",D457=""),0,MAX(0,NETWORKDAYS(MAX(D457,DATE(Einstellungen!$C$3,6,1)),MIN(J457,DATE(Einstellungen!$C$3,7,0)),Einstellungen!$F$13:$F$32)))</f>
        <v/>
      </c>
      <c r="R457" s="49">
        <f>IF(OR(A457="",D457=""),0,MAX(0,NETWORKDAYS(MAX(D457,DATE(Einstellungen!$C$3,7,1)),MIN(J457,DATE(Einstellungen!$C$3,8,0)),Einstellungen!$F$13:$F$32)))</f>
        <v/>
      </c>
      <c r="S457" s="49">
        <f>IF(OR(A457="",D457=""),0,MAX(0,NETWORKDAYS(MAX(D457,DATE(Einstellungen!$C$3,8,1)),MIN(J457,DATE(Einstellungen!$C$3,9,0)),Einstellungen!$F$13:$F$32)))</f>
        <v/>
      </c>
      <c r="T457" s="49">
        <f>IF(OR(A457="",D457=""),0,MAX(0,NETWORKDAYS(MAX(D457,DATE(Einstellungen!$C$3,9,1)),MIN(J457,DATE(Einstellungen!$C$3,10,0)),Einstellungen!$F$13:$F$32)))</f>
        <v/>
      </c>
      <c r="U457" s="49">
        <f>IF(OR(A457="",D457=""),0,MAX(0,NETWORKDAYS(MAX(D457,DATE(Einstellungen!$C$3,10,1)),MIN(J457,DATE(Einstellungen!$C$3,11,0)),Einstellungen!$F$13:$F$32)))</f>
        <v/>
      </c>
      <c r="V457" s="49">
        <f>IF(OR(A457="",D457=""),0,MAX(0,NETWORKDAYS(MAX(D457,DATE(Einstellungen!$C$3,11,1)),MIN(J457,DATE(Einstellungen!$C$3,12,0)),Einstellungen!$F$13:$F$32)))</f>
        <v/>
      </c>
      <c r="W457" s="49">
        <f>IF(OR(A457="",D457=""),0,MAX(0,NETWORKDAYS(MAX(D457,DATE(Einstellungen!$C$3,12,1)),MIN(J457,DATE(Einstellungen!$C$3,13,0)),Einstellungen!$F$13:$F$32)))</f>
        <v/>
      </c>
      <c r="X457" s="50">
        <f>L457*K457</f>
        <v/>
      </c>
      <c r="Y457" s="50">
        <f>M457*K457</f>
        <v/>
      </c>
      <c r="Z457" s="50">
        <f>N457*K457</f>
        <v/>
      </c>
      <c r="AA457" s="50">
        <f>O457*K457</f>
        <v/>
      </c>
      <c r="AB457" s="50">
        <f>P457*K457</f>
        <v/>
      </c>
      <c r="AC457" s="50">
        <f>Q457*K457</f>
        <v/>
      </c>
      <c r="AD457" s="50">
        <f>R457*K457</f>
        <v/>
      </c>
      <c r="AE457" s="50">
        <f>S457*K457</f>
        <v/>
      </c>
      <c r="AF457" s="50">
        <f>T457*K457</f>
        <v/>
      </c>
      <c r="AG457" s="50">
        <f>U457*K457</f>
        <v/>
      </c>
      <c r="AH457" s="50">
        <f>V457*K457</f>
        <v/>
      </c>
      <c r="AI457" s="50">
        <f>W457*K457</f>
        <v/>
      </c>
    </row>
    <row r="458">
      <c r="A458" s="25" t="n"/>
      <c r="B458" s="45">
        <f>IF(A458="","",IFERROR(INDEX(Mitarbeiter!$B$6:$B$205,MATCH($A458,Mitarbeiter!$A$6:$A$205,0)),"?"))</f>
        <v/>
      </c>
      <c r="C458" s="46" t="n"/>
      <c r="D458" s="26" t="n"/>
      <c r="E458" s="26" t="n"/>
      <c r="F458" s="24">
        <f>IF(A458="","",SUM(L458:W458))</f>
        <v/>
      </c>
      <c r="G458" s="36">
        <f>IF(A458="","",SUM(X458:AI458))</f>
        <v/>
      </c>
      <c r="H458" s="8">
        <f>IF(A458="","",IF(ISNA(MATCH(A458,Mitarbeiter!$A$6:$A$205,0)),"Pers.-Nr. unbekannt",IF(D458="","Von fehlt",IF(AND(C458&lt;&gt;Einstellungen!$C$4,C458&lt;&gt;Einstellungen!$C$5),"Objekt fehlt",IF(J458&lt;D458,"Bis vor Von",IF(D458&lt;INDEX(Mitarbeiter!$C$6:$C$205,MATCH($A458,Mitarbeiter!$A$6:$A$205,0)),"vor Eintritt",IF(AND(INDEX(Mitarbeiter!$D$6:$D$205,MATCH($A458,Mitarbeiter!$A$6:$A$205,0))&lt;&gt;"",D458&gt;INDEX(Mitarbeiter!$D$6:$D$205,MATCH($A458,Mitarbeiter!$A$6:$A$205,0))),"nach Austritt",IF(E458="","offen","ok"))))))))</f>
        <v/>
      </c>
      <c r="J458" s="47">
        <f>IF(A458="","",IF(E458="",Einstellungen!$C$9,E458))</f>
        <v/>
      </c>
      <c r="K458" s="48">
        <f>IF(A458="",0,IFERROR(INDEX(Mitarbeiter!$F$6:$F$205,MATCH($A458,Mitarbeiter!$A$6:$A$205,0)),0))</f>
        <v/>
      </c>
      <c r="L458" s="49">
        <f>IF(OR(A458="",D458=""),0,MAX(0,NETWORKDAYS(MAX(D458,DATE(Einstellungen!$C$3,1,1)),MIN(J458,DATE(Einstellungen!$C$3,2,0)),Einstellungen!$F$13:$F$32)))</f>
        <v/>
      </c>
      <c r="M458" s="49">
        <f>IF(OR(A458="",D458=""),0,MAX(0,NETWORKDAYS(MAX(D458,DATE(Einstellungen!$C$3,2,1)),MIN(J458,DATE(Einstellungen!$C$3,3,0)),Einstellungen!$F$13:$F$32)))</f>
        <v/>
      </c>
      <c r="N458" s="49">
        <f>IF(OR(A458="",D458=""),0,MAX(0,NETWORKDAYS(MAX(D458,DATE(Einstellungen!$C$3,3,1)),MIN(J458,DATE(Einstellungen!$C$3,4,0)),Einstellungen!$F$13:$F$32)))</f>
        <v/>
      </c>
      <c r="O458" s="49">
        <f>IF(OR(A458="",D458=""),0,MAX(0,NETWORKDAYS(MAX(D458,DATE(Einstellungen!$C$3,4,1)),MIN(J458,DATE(Einstellungen!$C$3,5,0)),Einstellungen!$F$13:$F$32)))</f>
        <v/>
      </c>
      <c r="P458" s="49">
        <f>IF(OR(A458="",D458=""),0,MAX(0,NETWORKDAYS(MAX(D458,DATE(Einstellungen!$C$3,5,1)),MIN(J458,DATE(Einstellungen!$C$3,6,0)),Einstellungen!$F$13:$F$32)))</f>
        <v/>
      </c>
      <c r="Q458" s="49">
        <f>IF(OR(A458="",D458=""),0,MAX(0,NETWORKDAYS(MAX(D458,DATE(Einstellungen!$C$3,6,1)),MIN(J458,DATE(Einstellungen!$C$3,7,0)),Einstellungen!$F$13:$F$32)))</f>
        <v/>
      </c>
      <c r="R458" s="49">
        <f>IF(OR(A458="",D458=""),0,MAX(0,NETWORKDAYS(MAX(D458,DATE(Einstellungen!$C$3,7,1)),MIN(J458,DATE(Einstellungen!$C$3,8,0)),Einstellungen!$F$13:$F$32)))</f>
        <v/>
      </c>
      <c r="S458" s="49">
        <f>IF(OR(A458="",D458=""),0,MAX(0,NETWORKDAYS(MAX(D458,DATE(Einstellungen!$C$3,8,1)),MIN(J458,DATE(Einstellungen!$C$3,9,0)),Einstellungen!$F$13:$F$32)))</f>
        <v/>
      </c>
      <c r="T458" s="49">
        <f>IF(OR(A458="",D458=""),0,MAX(0,NETWORKDAYS(MAX(D458,DATE(Einstellungen!$C$3,9,1)),MIN(J458,DATE(Einstellungen!$C$3,10,0)),Einstellungen!$F$13:$F$32)))</f>
        <v/>
      </c>
      <c r="U458" s="49">
        <f>IF(OR(A458="",D458=""),0,MAX(0,NETWORKDAYS(MAX(D458,DATE(Einstellungen!$C$3,10,1)),MIN(J458,DATE(Einstellungen!$C$3,11,0)),Einstellungen!$F$13:$F$32)))</f>
        <v/>
      </c>
      <c r="V458" s="49">
        <f>IF(OR(A458="",D458=""),0,MAX(0,NETWORKDAYS(MAX(D458,DATE(Einstellungen!$C$3,11,1)),MIN(J458,DATE(Einstellungen!$C$3,12,0)),Einstellungen!$F$13:$F$32)))</f>
        <v/>
      </c>
      <c r="W458" s="49">
        <f>IF(OR(A458="",D458=""),0,MAX(0,NETWORKDAYS(MAX(D458,DATE(Einstellungen!$C$3,12,1)),MIN(J458,DATE(Einstellungen!$C$3,13,0)),Einstellungen!$F$13:$F$32)))</f>
        <v/>
      </c>
      <c r="X458" s="50">
        <f>L458*K458</f>
        <v/>
      </c>
      <c r="Y458" s="50">
        <f>M458*K458</f>
        <v/>
      </c>
      <c r="Z458" s="50">
        <f>N458*K458</f>
        <v/>
      </c>
      <c r="AA458" s="50">
        <f>O458*K458</f>
        <v/>
      </c>
      <c r="AB458" s="50">
        <f>P458*K458</f>
        <v/>
      </c>
      <c r="AC458" s="50">
        <f>Q458*K458</f>
        <v/>
      </c>
      <c r="AD458" s="50">
        <f>R458*K458</f>
        <v/>
      </c>
      <c r="AE458" s="50">
        <f>S458*K458</f>
        <v/>
      </c>
      <c r="AF458" s="50">
        <f>T458*K458</f>
        <v/>
      </c>
      <c r="AG458" s="50">
        <f>U458*K458</f>
        <v/>
      </c>
      <c r="AH458" s="50">
        <f>V458*K458</f>
        <v/>
      </c>
      <c r="AI458" s="50">
        <f>W458*K458</f>
        <v/>
      </c>
    </row>
    <row r="459">
      <c r="A459" s="25" t="n"/>
      <c r="B459" s="45">
        <f>IF(A459="","",IFERROR(INDEX(Mitarbeiter!$B$6:$B$205,MATCH($A459,Mitarbeiter!$A$6:$A$205,0)),"?"))</f>
        <v/>
      </c>
      <c r="C459" s="46" t="n"/>
      <c r="D459" s="26" t="n"/>
      <c r="E459" s="26" t="n"/>
      <c r="F459" s="24">
        <f>IF(A459="","",SUM(L459:W459))</f>
        <v/>
      </c>
      <c r="G459" s="36">
        <f>IF(A459="","",SUM(X459:AI459))</f>
        <v/>
      </c>
      <c r="H459" s="8">
        <f>IF(A459="","",IF(ISNA(MATCH(A459,Mitarbeiter!$A$6:$A$205,0)),"Pers.-Nr. unbekannt",IF(D459="","Von fehlt",IF(AND(C459&lt;&gt;Einstellungen!$C$4,C459&lt;&gt;Einstellungen!$C$5),"Objekt fehlt",IF(J459&lt;D459,"Bis vor Von",IF(D459&lt;INDEX(Mitarbeiter!$C$6:$C$205,MATCH($A459,Mitarbeiter!$A$6:$A$205,0)),"vor Eintritt",IF(AND(INDEX(Mitarbeiter!$D$6:$D$205,MATCH($A459,Mitarbeiter!$A$6:$A$205,0))&lt;&gt;"",D459&gt;INDEX(Mitarbeiter!$D$6:$D$205,MATCH($A459,Mitarbeiter!$A$6:$A$205,0))),"nach Austritt",IF(E459="","offen","ok"))))))))</f>
        <v/>
      </c>
      <c r="J459" s="47">
        <f>IF(A459="","",IF(E459="",Einstellungen!$C$9,E459))</f>
        <v/>
      </c>
      <c r="K459" s="48">
        <f>IF(A459="",0,IFERROR(INDEX(Mitarbeiter!$F$6:$F$205,MATCH($A459,Mitarbeiter!$A$6:$A$205,0)),0))</f>
        <v/>
      </c>
      <c r="L459" s="49">
        <f>IF(OR(A459="",D459=""),0,MAX(0,NETWORKDAYS(MAX(D459,DATE(Einstellungen!$C$3,1,1)),MIN(J459,DATE(Einstellungen!$C$3,2,0)),Einstellungen!$F$13:$F$32)))</f>
        <v/>
      </c>
      <c r="M459" s="49">
        <f>IF(OR(A459="",D459=""),0,MAX(0,NETWORKDAYS(MAX(D459,DATE(Einstellungen!$C$3,2,1)),MIN(J459,DATE(Einstellungen!$C$3,3,0)),Einstellungen!$F$13:$F$32)))</f>
        <v/>
      </c>
      <c r="N459" s="49">
        <f>IF(OR(A459="",D459=""),0,MAX(0,NETWORKDAYS(MAX(D459,DATE(Einstellungen!$C$3,3,1)),MIN(J459,DATE(Einstellungen!$C$3,4,0)),Einstellungen!$F$13:$F$32)))</f>
        <v/>
      </c>
      <c r="O459" s="49">
        <f>IF(OR(A459="",D459=""),0,MAX(0,NETWORKDAYS(MAX(D459,DATE(Einstellungen!$C$3,4,1)),MIN(J459,DATE(Einstellungen!$C$3,5,0)),Einstellungen!$F$13:$F$32)))</f>
        <v/>
      </c>
      <c r="P459" s="49">
        <f>IF(OR(A459="",D459=""),0,MAX(0,NETWORKDAYS(MAX(D459,DATE(Einstellungen!$C$3,5,1)),MIN(J459,DATE(Einstellungen!$C$3,6,0)),Einstellungen!$F$13:$F$32)))</f>
        <v/>
      </c>
      <c r="Q459" s="49">
        <f>IF(OR(A459="",D459=""),0,MAX(0,NETWORKDAYS(MAX(D459,DATE(Einstellungen!$C$3,6,1)),MIN(J459,DATE(Einstellungen!$C$3,7,0)),Einstellungen!$F$13:$F$32)))</f>
        <v/>
      </c>
      <c r="R459" s="49">
        <f>IF(OR(A459="",D459=""),0,MAX(0,NETWORKDAYS(MAX(D459,DATE(Einstellungen!$C$3,7,1)),MIN(J459,DATE(Einstellungen!$C$3,8,0)),Einstellungen!$F$13:$F$32)))</f>
        <v/>
      </c>
      <c r="S459" s="49">
        <f>IF(OR(A459="",D459=""),0,MAX(0,NETWORKDAYS(MAX(D459,DATE(Einstellungen!$C$3,8,1)),MIN(J459,DATE(Einstellungen!$C$3,9,0)),Einstellungen!$F$13:$F$32)))</f>
        <v/>
      </c>
      <c r="T459" s="49">
        <f>IF(OR(A459="",D459=""),0,MAX(0,NETWORKDAYS(MAX(D459,DATE(Einstellungen!$C$3,9,1)),MIN(J459,DATE(Einstellungen!$C$3,10,0)),Einstellungen!$F$13:$F$32)))</f>
        <v/>
      </c>
      <c r="U459" s="49">
        <f>IF(OR(A459="",D459=""),0,MAX(0,NETWORKDAYS(MAX(D459,DATE(Einstellungen!$C$3,10,1)),MIN(J459,DATE(Einstellungen!$C$3,11,0)),Einstellungen!$F$13:$F$32)))</f>
        <v/>
      </c>
      <c r="V459" s="49">
        <f>IF(OR(A459="",D459=""),0,MAX(0,NETWORKDAYS(MAX(D459,DATE(Einstellungen!$C$3,11,1)),MIN(J459,DATE(Einstellungen!$C$3,12,0)),Einstellungen!$F$13:$F$32)))</f>
        <v/>
      </c>
      <c r="W459" s="49">
        <f>IF(OR(A459="",D459=""),0,MAX(0,NETWORKDAYS(MAX(D459,DATE(Einstellungen!$C$3,12,1)),MIN(J459,DATE(Einstellungen!$C$3,13,0)),Einstellungen!$F$13:$F$32)))</f>
        <v/>
      </c>
      <c r="X459" s="50">
        <f>L459*K459</f>
        <v/>
      </c>
      <c r="Y459" s="50">
        <f>M459*K459</f>
        <v/>
      </c>
      <c r="Z459" s="50">
        <f>N459*K459</f>
        <v/>
      </c>
      <c r="AA459" s="50">
        <f>O459*K459</f>
        <v/>
      </c>
      <c r="AB459" s="50">
        <f>P459*K459</f>
        <v/>
      </c>
      <c r="AC459" s="50">
        <f>Q459*K459</f>
        <v/>
      </c>
      <c r="AD459" s="50">
        <f>R459*K459</f>
        <v/>
      </c>
      <c r="AE459" s="50">
        <f>S459*K459</f>
        <v/>
      </c>
      <c r="AF459" s="50">
        <f>T459*K459</f>
        <v/>
      </c>
      <c r="AG459" s="50">
        <f>U459*K459</f>
        <v/>
      </c>
      <c r="AH459" s="50">
        <f>V459*K459</f>
        <v/>
      </c>
      <c r="AI459" s="50">
        <f>W459*K459</f>
        <v/>
      </c>
    </row>
    <row r="460">
      <c r="A460" s="25" t="n"/>
      <c r="B460" s="45">
        <f>IF(A460="","",IFERROR(INDEX(Mitarbeiter!$B$6:$B$205,MATCH($A460,Mitarbeiter!$A$6:$A$205,0)),"?"))</f>
        <v/>
      </c>
      <c r="C460" s="46" t="n"/>
      <c r="D460" s="26" t="n"/>
      <c r="E460" s="26" t="n"/>
      <c r="F460" s="24">
        <f>IF(A460="","",SUM(L460:W460))</f>
        <v/>
      </c>
      <c r="G460" s="36">
        <f>IF(A460="","",SUM(X460:AI460))</f>
        <v/>
      </c>
      <c r="H460" s="8">
        <f>IF(A460="","",IF(ISNA(MATCH(A460,Mitarbeiter!$A$6:$A$205,0)),"Pers.-Nr. unbekannt",IF(D460="","Von fehlt",IF(AND(C460&lt;&gt;Einstellungen!$C$4,C460&lt;&gt;Einstellungen!$C$5),"Objekt fehlt",IF(J460&lt;D460,"Bis vor Von",IF(D460&lt;INDEX(Mitarbeiter!$C$6:$C$205,MATCH($A460,Mitarbeiter!$A$6:$A$205,0)),"vor Eintritt",IF(AND(INDEX(Mitarbeiter!$D$6:$D$205,MATCH($A460,Mitarbeiter!$A$6:$A$205,0))&lt;&gt;"",D460&gt;INDEX(Mitarbeiter!$D$6:$D$205,MATCH($A460,Mitarbeiter!$A$6:$A$205,0))),"nach Austritt",IF(E460="","offen","ok"))))))))</f>
        <v/>
      </c>
      <c r="J460" s="47">
        <f>IF(A460="","",IF(E460="",Einstellungen!$C$9,E460))</f>
        <v/>
      </c>
      <c r="K460" s="48">
        <f>IF(A460="",0,IFERROR(INDEX(Mitarbeiter!$F$6:$F$205,MATCH($A460,Mitarbeiter!$A$6:$A$205,0)),0))</f>
        <v/>
      </c>
      <c r="L460" s="49">
        <f>IF(OR(A460="",D460=""),0,MAX(0,NETWORKDAYS(MAX(D460,DATE(Einstellungen!$C$3,1,1)),MIN(J460,DATE(Einstellungen!$C$3,2,0)),Einstellungen!$F$13:$F$32)))</f>
        <v/>
      </c>
      <c r="M460" s="49">
        <f>IF(OR(A460="",D460=""),0,MAX(0,NETWORKDAYS(MAX(D460,DATE(Einstellungen!$C$3,2,1)),MIN(J460,DATE(Einstellungen!$C$3,3,0)),Einstellungen!$F$13:$F$32)))</f>
        <v/>
      </c>
      <c r="N460" s="49">
        <f>IF(OR(A460="",D460=""),0,MAX(0,NETWORKDAYS(MAX(D460,DATE(Einstellungen!$C$3,3,1)),MIN(J460,DATE(Einstellungen!$C$3,4,0)),Einstellungen!$F$13:$F$32)))</f>
        <v/>
      </c>
      <c r="O460" s="49">
        <f>IF(OR(A460="",D460=""),0,MAX(0,NETWORKDAYS(MAX(D460,DATE(Einstellungen!$C$3,4,1)),MIN(J460,DATE(Einstellungen!$C$3,5,0)),Einstellungen!$F$13:$F$32)))</f>
        <v/>
      </c>
      <c r="P460" s="49">
        <f>IF(OR(A460="",D460=""),0,MAX(0,NETWORKDAYS(MAX(D460,DATE(Einstellungen!$C$3,5,1)),MIN(J460,DATE(Einstellungen!$C$3,6,0)),Einstellungen!$F$13:$F$32)))</f>
        <v/>
      </c>
      <c r="Q460" s="49">
        <f>IF(OR(A460="",D460=""),0,MAX(0,NETWORKDAYS(MAX(D460,DATE(Einstellungen!$C$3,6,1)),MIN(J460,DATE(Einstellungen!$C$3,7,0)),Einstellungen!$F$13:$F$32)))</f>
        <v/>
      </c>
      <c r="R460" s="49">
        <f>IF(OR(A460="",D460=""),0,MAX(0,NETWORKDAYS(MAX(D460,DATE(Einstellungen!$C$3,7,1)),MIN(J460,DATE(Einstellungen!$C$3,8,0)),Einstellungen!$F$13:$F$32)))</f>
        <v/>
      </c>
      <c r="S460" s="49">
        <f>IF(OR(A460="",D460=""),0,MAX(0,NETWORKDAYS(MAX(D460,DATE(Einstellungen!$C$3,8,1)),MIN(J460,DATE(Einstellungen!$C$3,9,0)),Einstellungen!$F$13:$F$32)))</f>
        <v/>
      </c>
      <c r="T460" s="49">
        <f>IF(OR(A460="",D460=""),0,MAX(0,NETWORKDAYS(MAX(D460,DATE(Einstellungen!$C$3,9,1)),MIN(J460,DATE(Einstellungen!$C$3,10,0)),Einstellungen!$F$13:$F$32)))</f>
        <v/>
      </c>
      <c r="U460" s="49">
        <f>IF(OR(A460="",D460=""),0,MAX(0,NETWORKDAYS(MAX(D460,DATE(Einstellungen!$C$3,10,1)),MIN(J460,DATE(Einstellungen!$C$3,11,0)),Einstellungen!$F$13:$F$32)))</f>
        <v/>
      </c>
      <c r="V460" s="49">
        <f>IF(OR(A460="",D460=""),0,MAX(0,NETWORKDAYS(MAX(D460,DATE(Einstellungen!$C$3,11,1)),MIN(J460,DATE(Einstellungen!$C$3,12,0)),Einstellungen!$F$13:$F$32)))</f>
        <v/>
      </c>
      <c r="W460" s="49">
        <f>IF(OR(A460="",D460=""),0,MAX(0,NETWORKDAYS(MAX(D460,DATE(Einstellungen!$C$3,12,1)),MIN(J460,DATE(Einstellungen!$C$3,13,0)),Einstellungen!$F$13:$F$32)))</f>
        <v/>
      </c>
      <c r="X460" s="50">
        <f>L460*K460</f>
        <v/>
      </c>
      <c r="Y460" s="50">
        <f>M460*K460</f>
        <v/>
      </c>
      <c r="Z460" s="50">
        <f>N460*K460</f>
        <v/>
      </c>
      <c r="AA460" s="50">
        <f>O460*K460</f>
        <v/>
      </c>
      <c r="AB460" s="50">
        <f>P460*K460</f>
        <v/>
      </c>
      <c r="AC460" s="50">
        <f>Q460*K460</f>
        <v/>
      </c>
      <c r="AD460" s="50">
        <f>R460*K460</f>
        <v/>
      </c>
      <c r="AE460" s="50">
        <f>S460*K460</f>
        <v/>
      </c>
      <c r="AF460" s="50">
        <f>T460*K460</f>
        <v/>
      </c>
      <c r="AG460" s="50">
        <f>U460*K460</f>
        <v/>
      </c>
      <c r="AH460" s="50">
        <f>V460*K460</f>
        <v/>
      </c>
      <c r="AI460" s="50">
        <f>W460*K460</f>
        <v/>
      </c>
    </row>
    <row r="461">
      <c r="A461" s="25" t="n"/>
      <c r="B461" s="45">
        <f>IF(A461="","",IFERROR(INDEX(Mitarbeiter!$B$6:$B$205,MATCH($A461,Mitarbeiter!$A$6:$A$205,0)),"?"))</f>
        <v/>
      </c>
      <c r="C461" s="46" t="n"/>
      <c r="D461" s="26" t="n"/>
      <c r="E461" s="26" t="n"/>
      <c r="F461" s="24">
        <f>IF(A461="","",SUM(L461:W461))</f>
        <v/>
      </c>
      <c r="G461" s="36">
        <f>IF(A461="","",SUM(X461:AI461))</f>
        <v/>
      </c>
      <c r="H461" s="8">
        <f>IF(A461="","",IF(ISNA(MATCH(A461,Mitarbeiter!$A$6:$A$205,0)),"Pers.-Nr. unbekannt",IF(D461="","Von fehlt",IF(AND(C461&lt;&gt;Einstellungen!$C$4,C461&lt;&gt;Einstellungen!$C$5),"Objekt fehlt",IF(J461&lt;D461,"Bis vor Von",IF(D461&lt;INDEX(Mitarbeiter!$C$6:$C$205,MATCH($A461,Mitarbeiter!$A$6:$A$205,0)),"vor Eintritt",IF(AND(INDEX(Mitarbeiter!$D$6:$D$205,MATCH($A461,Mitarbeiter!$A$6:$A$205,0))&lt;&gt;"",D461&gt;INDEX(Mitarbeiter!$D$6:$D$205,MATCH($A461,Mitarbeiter!$A$6:$A$205,0))),"nach Austritt",IF(E461="","offen","ok"))))))))</f>
        <v/>
      </c>
      <c r="J461" s="47">
        <f>IF(A461="","",IF(E461="",Einstellungen!$C$9,E461))</f>
        <v/>
      </c>
      <c r="K461" s="48">
        <f>IF(A461="",0,IFERROR(INDEX(Mitarbeiter!$F$6:$F$205,MATCH($A461,Mitarbeiter!$A$6:$A$205,0)),0))</f>
        <v/>
      </c>
      <c r="L461" s="49">
        <f>IF(OR(A461="",D461=""),0,MAX(0,NETWORKDAYS(MAX(D461,DATE(Einstellungen!$C$3,1,1)),MIN(J461,DATE(Einstellungen!$C$3,2,0)),Einstellungen!$F$13:$F$32)))</f>
        <v/>
      </c>
      <c r="M461" s="49">
        <f>IF(OR(A461="",D461=""),0,MAX(0,NETWORKDAYS(MAX(D461,DATE(Einstellungen!$C$3,2,1)),MIN(J461,DATE(Einstellungen!$C$3,3,0)),Einstellungen!$F$13:$F$32)))</f>
        <v/>
      </c>
      <c r="N461" s="49">
        <f>IF(OR(A461="",D461=""),0,MAX(0,NETWORKDAYS(MAX(D461,DATE(Einstellungen!$C$3,3,1)),MIN(J461,DATE(Einstellungen!$C$3,4,0)),Einstellungen!$F$13:$F$32)))</f>
        <v/>
      </c>
      <c r="O461" s="49">
        <f>IF(OR(A461="",D461=""),0,MAX(0,NETWORKDAYS(MAX(D461,DATE(Einstellungen!$C$3,4,1)),MIN(J461,DATE(Einstellungen!$C$3,5,0)),Einstellungen!$F$13:$F$32)))</f>
        <v/>
      </c>
      <c r="P461" s="49">
        <f>IF(OR(A461="",D461=""),0,MAX(0,NETWORKDAYS(MAX(D461,DATE(Einstellungen!$C$3,5,1)),MIN(J461,DATE(Einstellungen!$C$3,6,0)),Einstellungen!$F$13:$F$32)))</f>
        <v/>
      </c>
      <c r="Q461" s="49">
        <f>IF(OR(A461="",D461=""),0,MAX(0,NETWORKDAYS(MAX(D461,DATE(Einstellungen!$C$3,6,1)),MIN(J461,DATE(Einstellungen!$C$3,7,0)),Einstellungen!$F$13:$F$32)))</f>
        <v/>
      </c>
      <c r="R461" s="49">
        <f>IF(OR(A461="",D461=""),0,MAX(0,NETWORKDAYS(MAX(D461,DATE(Einstellungen!$C$3,7,1)),MIN(J461,DATE(Einstellungen!$C$3,8,0)),Einstellungen!$F$13:$F$32)))</f>
        <v/>
      </c>
      <c r="S461" s="49">
        <f>IF(OR(A461="",D461=""),0,MAX(0,NETWORKDAYS(MAX(D461,DATE(Einstellungen!$C$3,8,1)),MIN(J461,DATE(Einstellungen!$C$3,9,0)),Einstellungen!$F$13:$F$32)))</f>
        <v/>
      </c>
      <c r="T461" s="49">
        <f>IF(OR(A461="",D461=""),0,MAX(0,NETWORKDAYS(MAX(D461,DATE(Einstellungen!$C$3,9,1)),MIN(J461,DATE(Einstellungen!$C$3,10,0)),Einstellungen!$F$13:$F$32)))</f>
        <v/>
      </c>
      <c r="U461" s="49">
        <f>IF(OR(A461="",D461=""),0,MAX(0,NETWORKDAYS(MAX(D461,DATE(Einstellungen!$C$3,10,1)),MIN(J461,DATE(Einstellungen!$C$3,11,0)),Einstellungen!$F$13:$F$32)))</f>
        <v/>
      </c>
      <c r="V461" s="49">
        <f>IF(OR(A461="",D461=""),0,MAX(0,NETWORKDAYS(MAX(D461,DATE(Einstellungen!$C$3,11,1)),MIN(J461,DATE(Einstellungen!$C$3,12,0)),Einstellungen!$F$13:$F$32)))</f>
        <v/>
      </c>
      <c r="W461" s="49">
        <f>IF(OR(A461="",D461=""),0,MAX(0,NETWORKDAYS(MAX(D461,DATE(Einstellungen!$C$3,12,1)),MIN(J461,DATE(Einstellungen!$C$3,13,0)),Einstellungen!$F$13:$F$32)))</f>
        <v/>
      </c>
      <c r="X461" s="50">
        <f>L461*K461</f>
        <v/>
      </c>
      <c r="Y461" s="50">
        <f>M461*K461</f>
        <v/>
      </c>
      <c r="Z461" s="50">
        <f>N461*K461</f>
        <v/>
      </c>
      <c r="AA461" s="50">
        <f>O461*K461</f>
        <v/>
      </c>
      <c r="AB461" s="50">
        <f>P461*K461</f>
        <v/>
      </c>
      <c r="AC461" s="50">
        <f>Q461*K461</f>
        <v/>
      </c>
      <c r="AD461" s="50">
        <f>R461*K461</f>
        <v/>
      </c>
      <c r="AE461" s="50">
        <f>S461*K461</f>
        <v/>
      </c>
      <c r="AF461" s="50">
        <f>T461*K461</f>
        <v/>
      </c>
      <c r="AG461" s="50">
        <f>U461*K461</f>
        <v/>
      </c>
      <c r="AH461" s="50">
        <f>V461*K461</f>
        <v/>
      </c>
      <c r="AI461" s="50">
        <f>W461*K461</f>
        <v/>
      </c>
    </row>
    <row r="462">
      <c r="A462" s="25" t="n"/>
      <c r="B462" s="45">
        <f>IF(A462="","",IFERROR(INDEX(Mitarbeiter!$B$6:$B$205,MATCH($A462,Mitarbeiter!$A$6:$A$205,0)),"?"))</f>
        <v/>
      </c>
      <c r="C462" s="46" t="n"/>
      <c r="D462" s="26" t="n"/>
      <c r="E462" s="26" t="n"/>
      <c r="F462" s="24">
        <f>IF(A462="","",SUM(L462:W462))</f>
        <v/>
      </c>
      <c r="G462" s="36">
        <f>IF(A462="","",SUM(X462:AI462))</f>
        <v/>
      </c>
      <c r="H462" s="8">
        <f>IF(A462="","",IF(ISNA(MATCH(A462,Mitarbeiter!$A$6:$A$205,0)),"Pers.-Nr. unbekannt",IF(D462="","Von fehlt",IF(AND(C462&lt;&gt;Einstellungen!$C$4,C462&lt;&gt;Einstellungen!$C$5),"Objekt fehlt",IF(J462&lt;D462,"Bis vor Von",IF(D462&lt;INDEX(Mitarbeiter!$C$6:$C$205,MATCH($A462,Mitarbeiter!$A$6:$A$205,0)),"vor Eintritt",IF(AND(INDEX(Mitarbeiter!$D$6:$D$205,MATCH($A462,Mitarbeiter!$A$6:$A$205,0))&lt;&gt;"",D462&gt;INDEX(Mitarbeiter!$D$6:$D$205,MATCH($A462,Mitarbeiter!$A$6:$A$205,0))),"nach Austritt",IF(E462="","offen","ok"))))))))</f>
        <v/>
      </c>
      <c r="J462" s="47">
        <f>IF(A462="","",IF(E462="",Einstellungen!$C$9,E462))</f>
        <v/>
      </c>
      <c r="K462" s="48">
        <f>IF(A462="",0,IFERROR(INDEX(Mitarbeiter!$F$6:$F$205,MATCH($A462,Mitarbeiter!$A$6:$A$205,0)),0))</f>
        <v/>
      </c>
      <c r="L462" s="49">
        <f>IF(OR(A462="",D462=""),0,MAX(0,NETWORKDAYS(MAX(D462,DATE(Einstellungen!$C$3,1,1)),MIN(J462,DATE(Einstellungen!$C$3,2,0)),Einstellungen!$F$13:$F$32)))</f>
        <v/>
      </c>
      <c r="M462" s="49">
        <f>IF(OR(A462="",D462=""),0,MAX(0,NETWORKDAYS(MAX(D462,DATE(Einstellungen!$C$3,2,1)),MIN(J462,DATE(Einstellungen!$C$3,3,0)),Einstellungen!$F$13:$F$32)))</f>
        <v/>
      </c>
      <c r="N462" s="49">
        <f>IF(OR(A462="",D462=""),0,MAX(0,NETWORKDAYS(MAX(D462,DATE(Einstellungen!$C$3,3,1)),MIN(J462,DATE(Einstellungen!$C$3,4,0)),Einstellungen!$F$13:$F$32)))</f>
        <v/>
      </c>
      <c r="O462" s="49">
        <f>IF(OR(A462="",D462=""),0,MAX(0,NETWORKDAYS(MAX(D462,DATE(Einstellungen!$C$3,4,1)),MIN(J462,DATE(Einstellungen!$C$3,5,0)),Einstellungen!$F$13:$F$32)))</f>
        <v/>
      </c>
      <c r="P462" s="49">
        <f>IF(OR(A462="",D462=""),0,MAX(0,NETWORKDAYS(MAX(D462,DATE(Einstellungen!$C$3,5,1)),MIN(J462,DATE(Einstellungen!$C$3,6,0)),Einstellungen!$F$13:$F$32)))</f>
        <v/>
      </c>
      <c r="Q462" s="49">
        <f>IF(OR(A462="",D462=""),0,MAX(0,NETWORKDAYS(MAX(D462,DATE(Einstellungen!$C$3,6,1)),MIN(J462,DATE(Einstellungen!$C$3,7,0)),Einstellungen!$F$13:$F$32)))</f>
        <v/>
      </c>
      <c r="R462" s="49">
        <f>IF(OR(A462="",D462=""),0,MAX(0,NETWORKDAYS(MAX(D462,DATE(Einstellungen!$C$3,7,1)),MIN(J462,DATE(Einstellungen!$C$3,8,0)),Einstellungen!$F$13:$F$32)))</f>
        <v/>
      </c>
      <c r="S462" s="49">
        <f>IF(OR(A462="",D462=""),0,MAX(0,NETWORKDAYS(MAX(D462,DATE(Einstellungen!$C$3,8,1)),MIN(J462,DATE(Einstellungen!$C$3,9,0)),Einstellungen!$F$13:$F$32)))</f>
        <v/>
      </c>
      <c r="T462" s="49">
        <f>IF(OR(A462="",D462=""),0,MAX(0,NETWORKDAYS(MAX(D462,DATE(Einstellungen!$C$3,9,1)),MIN(J462,DATE(Einstellungen!$C$3,10,0)),Einstellungen!$F$13:$F$32)))</f>
        <v/>
      </c>
      <c r="U462" s="49">
        <f>IF(OR(A462="",D462=""),0,MAX(0,NETWORKDAYS(MAX(D462,DATE(Einstellungen!$C$3,10,1)),MIN(J462,DATE(Einstellungen!$C$3,11,0)),Einstellungen!$F$13:$F$32)))</f>
        <v/>
      </c>
      <c r="V462" s="49">
        <f>IF(OR(A462="",D462=""),0,MAX(0,NETWORKDAYS(MAX(D462,DATE(Einstellungen!$C$3,11,1)),MIN(J462,DATE(Einstellungen!$C$3,12,0)),Einstellungen!$F$13:$F$32)))</f>
        <v/>
      </c>
      <c r="W462" s="49">
        <f>IF(OR(A462="",D462=""),0,MAX(0,NETWORKDAYS(MAX(D462,DATE(Einstellungen!$C$3,12,1)),MIN(J462,DATE(Einstellungen!$C$3,13,0)),Einstellungen!$F$13:$F$32)))</f>
        <v/>
      </c>
      <c r="X462" s="50">
        <f>L462*K462</f>
        <v/>
      </c>
      <c r="Y462" s="50">
        <f>M462*K462</f>
        <v/>
      </c>
      <c r="Z462" s="50">
        <f>N462*K462</f>
        <v/>
      </c>
      <c r="AA462" s="50">
        <f>O462*K462</f>
        <v/>
      </c>
      <c r="AB462" s="50">
        <f>P462*K462</f>
        <v/>
      </c>
      <c r="AC462" s="50">
        <f>Q462*K462</f>
        <v/>
      </c>
      <c r="AD462" s="50">
        <f>R462*K462</f>
        <v/>
      </c>
      <c r="AE462" s="50">
        <f>S462*K462</f>
        <v/>
      </c>
      <c r="AF462" s="50">
        <f>T462*K462</f>
        <v/>
      </c>
      <c r="AG462" s="50">
        <f>U462*K462</f>
        <v/>
      </c>
      <c r="AH462" s="50">
        <f>V462*K462</f>
        <v/>
      </c>
      <c r="AI462" s="50">
        <f>W462*K462</f>
        <v/>
      </c>
    </row>
    <row r="463">
      <c r="A463" s="25" t="n"/>
      <c r="B463" s="45">
        <f>IF(A463="","",IFERROR(INDEX(Mitarbeiter!$B$6:$B$205,MATCH($A463,Mitarbeiter!$A$6:$A$205,0)),"?"))</f>
        <v/>
      </c>
      <c r="C463" s="46" t="n"/>
      <c r="D463" s="26" t="n"/>
      <c r="E463" s="26" t="n"/>
      <c r="F463" s="24">
        <f>IF(A463="","",SUM(L463:W463))</f>
        <v/>
      </c>
      <c r="G463" s="36">
        <f>IF(A463="","",SUM(X463:AI463))</f>
        <v/>
      </c>
      <c r="H463" s="8">
        <f>IF(A463="","",IF(ISNA(MATCH(A463,Mitarbeiter!$A$6:$A$205,0)),"Pers.-Nr. unbekannt",IF(D463="","Von fehlt",IF(AND(C463&lt;&gt;Einstellungen!$C$4,C463&lt;&gt;Einstellungen!$C$5),"Objekt fehlt",IF(J463&lt;D463,"Bis vor Von",IF(D463&lt;INDEX(Mitarbeiter!$C$6:$C$205,MATCH($A463,Mitarbeiter!$A$6:$A$205,0)),"vor Eintritt",IF(AND(INDEX(Mitarbeiter!$D$6:$D$205,MATCH($A463,Mitarbeiter!$A$6:$A$205,0))&lt;&gt;"",D463&gt;INDEX(Mitarbeiter!$D$6:$D$205,MATCH($A463,Mitarbeiter!$A$6:$A$205,0))),"nach Austritt",IF(E463="","offen","ok"))))))))</f>
        <v/>
      </c>
      <c r="J463" s="47">
        <f>IF(A463="","",IF(E463="",Einstellungen!$C$9,E463))</f>
        <v/>
      </c>
      <c r="K463" s="48">
        <f>IF(A463="",0,IFERROR(INDEX(Mitarbeiter!$F$6:$F$205,MATCH($A463,Mitarbeiter!$A$6:$A$205,0)),0))</f>
        <v/>
      </c>
      <c r="L463" s="49">
        <f>IF(OR(A463="",D463=""),0,MAX(0,NETWORKDAYS(MAX(D463,DATE(Einstellungen!$C$3,1,1)),MIN(J463,DATE(Einstellungen!$C$3,2,0)),Einstellungen!$F$13:$F$32)))</f>
        <v/>
      </c>
      <c r="M463" s="49">
        <f>IF(OR(A463="",D463=""),0,MAX(0,NETWORKDAYS(MAX(D463,DATE(Einstellungen!$C$3,2,1)),MIN(J463,DATE(Einstellungen!$C$3,3,0)),Einstellungen!$F$13:$F$32)))</f>
        <v/>
      </c>
      <c r="N463" s="49">
        <f>IF(OR(A463="",D463=""),0,MAX(0,NETWORKDAYS(MAX(D463,DATE(Einstellungen!$C$3,3,1)),MIN(J463,DATE(Einstellungen!$C$3,4,0)),Einstellungen!$F$13:$F$32)))</f>
        <v/>
      </c>
      <c r="O463" s="49">
        <f>IF(OR(A463="",D463=""),0,MAX(0,NETWORKDAYS(MAX(D463,DATE(Einstellungen!$C$3,4,1)),MIN(J463,DATE(Einstellungen!$C$3,5,0)),Einstellungen!$F$13:$F$32)))</f>
        <v/>
      </c>
      <c r="P463" s="49">
        <f>IF(OR(A463="",D463=""),0,MAX(0,NETWORKDAYS(MAX(D463,DATE(Einstellungen!$C$3,5,1)),MIN(J463,DATE(Einstellungen!$C$3,6,0)),Einstellungen!$F$13:$F$32)))</f>
        <v/>
      </c>
      <c r="Q463" s="49">
        <f>IF(OR(A463="",D463=""),0,MAX(0,NETWORKDAYS(MAX(D463,DATE(Einstellungen!$C$3,6,1)),MIN(J463,DATE(Einstellungen!$C$3,7,0)),Einstellungen!$F$13:$F$32)))</f>
        <v/>
      </c>
      <c r="R463" s="49">
        <f>IF(OR(A463="",D463=""),0,MAX(0,NETWORKDAYS(MAX(D463,DATE(Einstellungen!$C$3,7,1)),MIN(J463,DATE(Einstellungen!$C$3,8,0)),Einstellungen!$F$13:$F$32)))</f>
        <v/>
      </c>
      <c r="S463" s="49">
        <f>IF(OR(A463="",D463=""),0,MAX(0,NETWORKDAYS(MAX(D463,DATE(Einstellungen!$C$3,8,1)),MIN(J463,DATE(Einstellungen!$C$3,9,0)),Einstellungen!$F$13:$F$32)))</f>
        <v/>
      </c>
      <c r="T463" s="49">
        <f>IF(OR(A463="",D463=""),0,MAX(0,NETWORKDAYS(MAX(D463,DATE(Einstellungen!$C$3,9,1)),MIN(J463,DATE(Einstellungen!$C$3,10,0)),Einstellungen!$F$13:$F$32)))</f>
        <v/>
      </c>
      <c r="U463" s="49">
        <f>IF(OR(A463="",D463=""),0,MAX(0,NETWORKDAYS(MAX(D463,DATE(Einstellungen!$C$3,10,1)),MIN(J463,DATE(Einstellungen!$C$3,11,0)),Einstellungen!$F$13:$F$32)))</f>
        <v/>
      </c>
      <c r="V463" s="49">
        <f>IF(OR(A463="",D463=""),0,MAX(0,NETWORKDAYS(MAX(D463,DATE(Einstellungen!$C$3,11,1)),MIN(J463,DATE(Einstellungen!$C$3,12,0)),Einstellungen!$F$13:$F$32)))</f>
        <v/>
      </c>
      <c r="W463" s="49">
        <f>IF(OR(A463="",D463=""),0,MAX(0,NETWORKDAYS(MAX(D463,DATE(Einstellungen!$C$3,12,1)),MIN(J463,DATE(Einstellungen!$C$3,13,0)),Einstellungen!$F$13:$F$32)))</f>
        <v/>
      </c>
      <c r="X463" s="50">
        <f>L463*K463</f>
        <v/>
      </c>
      <c r="Y463" s="50">
        <f>M463*K463</f>
        <v/>
      </c>
      <c r="Z463" s="50">
        <f>N463*K463</f>
        <v/>
      </c>
      <c r="AA463" s="50">
        <f>O463*K463</f>
        <v/>
      </c>
      <c r="AB463" s="50">
        <f>P463*K463</f>
        <v/>
      </c>
      <c r="AC463" s="50">
        <f>Q463*K463</f>
        <v/>
      </c>
      <c r="AD463" s="50">
        <f>R463*K463</f>
        <v/>
      </c>
      <c r="AE463" s="50">
        <f>S463*K463</f>
        <v/>
      </c>
      <c r="AF463" s="50">
        <f>T463*K463</f>
        <v/>
      </c>
      <c r="AG463" s="50">
        <f>U463*K463</f>
        <v/>
      </c>
      <c r="AH463" s="50">
        <f>V463*K463</f>
        <v/>
      </c>
      <c r="AI463" s="50">
        <f>W463*K463</f>
        <v/>
      </c>
    </row>
    <row r="464">
      <c r="A464" s="25" t="n"/>
      <c r="B464" s="45">
        <f>IF(A464="","",IFERROR(INDEX(Mitarbeiter!$B$6:$B$205,MATCH($A464,Mitarbeiter!$A$6:$A$205,0)),"?"))</f>
        <v/>
      </c>
      <c r="C464" s="46" t="n"/>
      <c r="D464" s="26" t="n"/>
      <c r="E464" s="26" t="n"/>
      <c r="F464" s="24">
        <f>IF(A464="","",SUM(L464:W464))</f>
        <v/>
      </c>
      <c r="G464" s="36">
        <f>IF(A464="","",SUM(X464:AI464))</f>
        <v/>
      </c>
      <c r="H464" s="8">
        <f>IF(A464="","",IF(ISNA(MATCH(A464,Mitarbeiter!$A$6:$A$205,0)),"Pers.-Nr. unbekannt",IF(D464="","Von fehlt",IF(AND(C464&lt;&gt;Einstellungen!$C$4,C464&lt;&gt;Einstellungen!$C$5),"Objekt fehlt",IF(J464&lt;D464,"Bis vor Von",IF(D464&lt;INDEX(Mitarbeiter!$C$6:$C$205,MATCH($A464,Mitarbeiter!$A$6:$A$205,0)),"vor Eintritt",IF(AND(INDEX(Mitarbeiter!$D$6:$D$205,MATCH($A464,Mitarbeiter!$A$6:$A$205,0))&lt;&gt;"",D464&gt;INDEX(Mitarbeiter!$D$6:$D$205,MATCH($A464,Mitarbeiter!$A$6:$A$205,0))),"nach Austritt",IF(E464="","offen","ok"))))))))</f>
        <v/>
      </c>
      <c r="J464" s="47">
        <f>IF(A464="","",IF(E464="",Einstellungen!$C$9,E464))</f>
        <v/>
      </c>
      <c r="K464" s="48">
        <f>IF(A464="",0,IFERROR(INDEX(Mitarbeiter!$F$6:$F$205,MATCH($A464,Mitarbeiter!$A$6:$A$205,0)),0))</f>
        <v/>
      </c>
      <c r="L464" s="49">
        <f>IF(OR(A464="",D464=""),0,MAX(0,NETWORKDAYS(MAX(D464,DATE(Einstellungen!$C$3,1,1)),MIN(J464,DATE(Einstellungen!$C$3,2,0)),Einstellungen!$F$13:$F$32)))</f>
        <v/>
      </c>
      <c r="M464" s="49">
        <f>IF(OR(A464="",D464=""),0,MAX(0,NETWORKDAYS(MAX(D464,DATE(Einstellungen!$C$3,2,1)),MIN(J464,DATE(Einstellungen!$C$3,3,0)),Einstellungen!$F$13:$F$32)))</f>
        <v/>
      </c>
      <c r="N464" s="49">
        <f>IF(OR(A464="",D464=""),0,MAX(0,NETWORKDAYS(MAX(D464,DATE(Einstellungen!$C$3,3,1)),MIN(J464,DATE(Einstellungen!$C$3,4,0)),Einstellungen!$F$13:$F$32)))</f>
        <v/>
      </c>
      <c r="O464" s="49">
        <f>IF(OR(A464="",D464=""),0,MAX(0,NETWORKDAYS(MAX(D464,DATE(Einstellungen!$C$3,4,1)),MIN(J464,DATE(Einstellungen!$C$3,5,0)),Einstellungen!$F$13:$F$32)))</f>
        <v/>
      </c>
      <c r="P464" s="49">
        <f>IF(OR(A464="",D464=""),0,MAX(0,NETWORKDAYS(MAX(D464,DATE(Einstellungen!$C$3,5,1)),MIN(J464,DATE(Einstellungen!$C$3,6,0)),Einstellungen!$F$13:$F$32)))</f>
        <v/>
      </c>
      <c r="Q464" s="49">
        <f>IF(OR(A464="",D464=""),0,MAX(0,NETWORKDAYS(MAX(D464,DATE(Einstellungen!$C$3,6,1)),MIN(J464,DATE(Einstellungen!$C$3,7,0)),Einstellungen!$F$13:$F$32)))</f>
        <v/>
      </c>
      <c r="R464" s="49">
        <f>IF(OR(A464="",D464=""),0,MAX(0,NETWORKDAYS(MAX(D464,DATE(Einstellungen!$C$3,7,1)),MIN(J464,DATE(Einstellungen!$C$3,8,0)),Einstellungen!$F$13:$F$32)))</f>
        <v/>
      </c>
      <c r="S464" s="49">
        <f>IF(OR(A464="",D464=""),0,MAX(0,NETWORKDAYS(MAX(D464,DATE(Einstellungen!$C$3,8,1)),MIN(J464,DATE(Einstellungen!$C$3,9,0)),Einstellungen!$F$13:$F$32)))</f>
        <v/>
      </c>
      <c r="T464" s="49">
        <f>IF(OR(A464="",D464=""),0,MAX(0,NETWORKDAYS(MAX(D464,DATE(Einstellungen!$C$3,9,1)),MIN(J464,DATE(Einstellungen!$C$3,10,0)),Einstellungen!$F$13:$F$32)))</f>
        <v/>
      </c>
      <c r="U464" s="49">
        <f>IF(OR(A464="",D464=""),0,MAX(0,NETWORKDAYS(MAX(D464,DATE(Einstellungen!$C$3,10,1)),MIN(J464,DATE(Einstellungen!$C$3,11,0)),Einstellungen!$F$13:$F$32)))</f>
        <v/>
      </c>
      <c r="V464" s="49">
        <f>IF(OR(A464="",D464=""),0,MAX(0,NETWORKDAYS(MAX(D464,DATE(Einstellungen!$C$3,11,1)),MIN(J464,DATE(Einstellungen!$C$3,12,0)),Einstellungen!$F$13:$F$32)))</f>
        <v/>
      </c>
      <c r="W464" s="49">
        <f>IF(OR(A464="",D464=""),0,MAX(0,NETWORKDAYS(MAX(D464,DATE(Einstellungen!$C$3,12,1)),MIN(J464,DATE(Einstellungen!$C$3,13,0)),Einstellungen!$F$13:$F$32)))</f>
        <v/>
      </c>
      <c r="X464" s="50">
        <f>L464*K464</f>
        <v/>
      </c>
      <c r="Y464" s="50">
        <f>M464*K464</f>
        <v/>
      </c>
      <c r="Z464" s="50">
        <f>N464*K464</f>
        <v/>
      </c>
      <c r="AA464" s="50">
        <f>O464*K464</f>
        <v/>
      </c>
      <c r="AB464" s="50">
        <f>P464*K464</f>
        <v/>
      </c>
      <c r="AC464" s="50">
        <f>Q464*K464</f>
        <v/>
      </c>
      <c r="AD464" s="50">
        <f>R464*K464</f>
        <v/>
      </c>
      <c r="AE464" s="50">
        <f>S464*K464</f>
        <v/>
      </c>
      <c r="AF464" s="50">
        <f>T464*K464</f>
        <v/>
      </c>
      <c r="AG464" s="50">
        <f>U464*K464</f>
        <v/>
      </c>
      <c r="AH464" s="50">
        <f>V464*K464</f>
        <v/>
      </c>
      <c r="AI464" s="50">
        <f>W464*K464</f>
        <v/>
      </c>
    </row>
    <row r="465">
      <c r="A465" s="25" t="n"/>
      <c r="B465" s="45">
        <f>IF(A465="","",IFERROR(INDEX(Mitarbeiter!$B$6:$B$205,MATCH($A465,Mitarbeiter!$A$6:$A$205,0)),"?"))</f>
        <v/>
      </c>
      <c r="C465" s="46" t="n"/>
      <c r="D465" s="26" t="n"/>
      <c r="E465" s="26" t="n"/>
      <c r="F465" s="24">
        <f>IF(A465="","",SUM(L465:W465))</f>
        <v/>
      </c>
      <c r="G465" s="36">
        <f>IF(A465="","",SUM(X465:AI465))</f>
        <v/>
      </c>
      <c r="H465" s="8">
        <f>IF(A465="","",IF(ISNA(MATCH(A465,Mitarbeiter!$A$6:$A$205,0)),"Pers.-Nr. unbekannt",IF(D465="","Von fehlt",IF(AND(C465&lt;&gt;Einstellungen!$C$4,C465&lt;&gt;Einstellungen!$C$5),"Objekt fehlt",IF(J465&lt;D465,"Bis vor Von",IF(D465&lt;INDEX(Mitarbeiter!$C$6:$C$205,MATCH($A465,Mitarbeiter!$A$6:$A$205,0)),"vor Eintritt",IF(AND(INDEX(Mitarbeiter!$D$6:$D$205,MATCH($A465,Mitarbeiter!$A$6:$A$205,0))&lt;&gt;"",D465&gt;INDEX(Mitarbeiter!$D$6:$D$205,MATCH($A465,Mitarbeiter!$A$6:$A$205,0))),"nach Austritt",IF(E465="","offen","ok"))))))))</f>
        <v/>
      </c>
      <c r="J465" s="47">
        <f>IF(A465="","",IF(E465="",Einstellungen!$C$9,E465))</f>
        <v/>
      </c>
      <c r="K465" s="48">
        <f>IF(A465="",0,IFERROR(INDEX(Mitarbeiter!$F$6:$F$205,MATCH($A465,Mitarbeiter!$A$6:$A$205,0)),0))</f>
        <v/>
      </c>
      <c r="L465" s="49">
        <f>IF(OR(A465="",D465=""),0,MAX(0,NETWORKDAYS(MAX(D465,DATE(Einstellungen!$C$3,1,1)),MIN(J465,DATE(Einstellungen!$C$3,2,0)),Einstellungen!$F$13:$F$32)))</f>
        <v/>
      </c>
      <c r="M465" s="49">
        <f>IF(OR(A465="",D465=""),0,MAX(0,NETWORKDAYS(MAX(D465,DATE(Einstellungen!$C$3,2,1)),MIN(J465,DATE(Einstellungen!$C$3,3,0)),Einstellungen!$F$13:$F$32)))</f>
        <v/>
      </c>
      <c r="N465" s="49">
        <f>IF(OR(A465="",D465=""),0,MAX(0,NETWORKDAYS(MAX(D465,DATE(Einstellungen!$C$3,3,1)),MIN(J465,DATE(Einstellungen!$C$3,4,0)),Einstellungen!$F$13:$F$32)))</f>
        <v/>
      </c>
      <c r="O465" s="49">
        <f>IF(OR(A465="",D465=""),0,MAX(0,NETWORKDAYS(MAX(D465,DATE(Einstellungen!$C$3,4,1)),MIN(J465,DATE(Einstellungen!$C$3,5,0)),Einstellungen!$F$13:$F$32)))</f>
        <v/>
      </c>
      <c r="P465" s="49">
        <f>IF(OR(A465="",D465=""),0,MAX(0,NETWORKDAYS(MAX(D465,DATE(Einstellungen!$C$3,5,1)),MIN(J465,DATE(Einstellungen!$C$3,6,0)),Einstellungen!$F$13:$F$32)))</f>
        <v/>
      </c>
      <c r="Q465" s="49">
        <f>IF(OR(A465="",D465=""),0,MAX(0,NETWORKDAYS(MAX(D465,DATE(Einstellungen!$C$3,6,1)),MIN(J465,DATE(Einstellungen!$C$3,7,0)),Einstellungen!$F$13:$F$32)))</f>
        <v/>
      </c>
      <c r="R465" s="49">
        <f>IF(OR(A465="",D465=""),0,MAX(0,NETWORKDAYS(MAX(D465,DATE(Einstellungen!$C$3,7,1)),MIN(J465,DATE(Einstellungen!$C$3,8,0)),Einstellungen!$F$13:$F$32)))</f>
        <v/>
      </c>
      <c r="S465" s="49">
        <f>IF(OR(A465="",D465=""),0,MAX(0,NETWORKDAYS(MAX(D465,DATE(Einstellungen!$C$3,8,1)),MIN(J465,DATE(Einstellungen!$C$3,9,0)),Einstellungen!$F$13:$F$32)))</f>
        <v/>
      </c>
      <c r="T465" s="49">
        <f>IF(OR(A465="",D465=""),0,MAX(0,NETWORKDAYS(MAX(D465,DATE(Einstellungen!$C$3,9,1)),MIN(J465,DATE(Einstellungen!$C$3,10,0)),Einstellungen!$F$13:$F$32)))</f>
        <v/>
      </c>
      <c r="U465" s="49">
        <f>IF(OR(A465="",D465=""),0,MAX(0,NETWORKDAYS(MAX(D465,DATE(Einstellungen!$C$3,10,1)),MIN(J465,DATE(Einstellungen!$C$3,11,0)),Einstellungen!$F$13:$F$32)))</f>
        <v/>
      </c>
      <c r="V465" s="49">
        <f>IF(OR(A465="",D465=""),0,MAX(0,NETWORKDAYS(MAX(D465,DATE(Einstellungen!$C$3,11,1)),MIN(J465,DATE(Einstellungen!$C$3,12,0)),Einstellungen!$F$13:$F$32)))</f>
        <v/>
      </c>
      <c r="W465" s="49">
        <f>IF(OR(A465="",D465=""),0,MAX(0,NETWORKDAYS(MAX(D465,DATE(Einstellungen!$C$3,12,1)),MIN(J465,DATE(Einstellungen!$C$3,13,0)),Einstellungen!$F$13:$F$32)))</f>
        <v/>
      </c>
      <c r="X465" s="50">
        <f>L465*K465</f>
        <v/>
      </c>
      <c r="Y465" s="50">
        <f>M465*K465</f>
        <v/>
      </c>
      <c r="Z465" s="50">
        <f>N465*K465</f>
        <v/>
      </c>
      <c r="AA465" s="50">
        <f>O465*K465</f>
        <v/>
      </c>
      <c r="AB465" s="50">
        <f>P465*K465</f>
        <v/>
      </c>
      <c r="AC465" s="50">
        <f>Q465*K465</f>
        <v/>
      </c>
      <c r="AD465" s="50">
        <f>R465*K465</f>
        <v/>
      </c>
      <c r="AE465" s="50">
        <f>S465*K465</f>
        <v/>
      </c>
      <c r="AF465" s="50">
        <f>T465*K465</f>
        <v/>
      </c>
      <c r="AG465" s="50">
        <f>U465*K465</f>
        <v/>
      </c>
      <c r="AH465" s="50">
        <f>V465*K465</f>
        <v/>
      </c>
      <c r="AI465" s="50">
        <f>W465*K465</f>
        <v/>
      </c>
    </row>
    <row r="466">
      <c r="A466" s="25" t="n"/>
      <c r="B466" s="45">
        <f>IF(A466="","",IFERROR(INDEX(Mitarbeiter!$B$6:$B$205,MATCH($A466,Mitarbeiter!$A$6:$A$205,0)),"?"))</f>
        <v/>
      </c>
      <c r="C466" s="46" t="n"/>
      <c r="D466" s="26" t="n"/>
      <c r="E466" s="26" t="n"/>
      <c r="F466" s="24">
        <f>IF(A466="","",SUM(L466:W466))</f>
        <v/>
      </c>
      <c r="G466" s="36">
        <f>IF(A466="","",SUM(X466:AI466))</f>
        <v/>
      </c>
      <c r="H466" s="8">
        <f>IF(A466="","",IF(ISNA(MATCH(A466,Mitarbeiter!$A$6:$A$205,0)),"Pers.-Nr. unbekannt",IF(D466="","Von fehlt",IF(AND(C466&lt;&gt;Einstellungen!$C$4,C466&lt;&gt;Einstellungen!$C$5),"Objekt fehlt",IF(J466&lt;D466,"Bis vor Von",IF(D466&lt;INDEX(Mitarbeiter!$C$6:$C$205,MATCH($A466,Mitarbeiter!$A$6:$A$205,0)),"vor Eintritt",IF(AND(INDEX(Mitarbeiter!$D$6:$D$205,MATCH($A466,Mitarbeiter!$A$6:$A$205,0))&lt;&gt;"",D466&gt;INDEX(Mitarbeiter!$D$6:$D$205,MATCH($A466,Mitarbeiter!$A$6:$A$205,0))),"nach Austritt",IF(E466="","offen","ok"))))))))</f>
        <v/>
      </c>
      <c r="J466" s="47">
        <f>IF(A466="","",IF(E466="",Einstellungen!$C$9,E466))</f>
        <v/>
      </c>
      <c r="K466" s="48">
        <f>IF(A466="",0,IFERROR(INDEX(Mitarbeiter!$F$6:$F$205,MATCH($A466,Mitarbeiter!$A$6:$A$205,0)),0))</f>
        <v/>
      </c>
      <c r="L466" s="49">
        <f>IF(OR(A466="",D466=""),0,MAX(0,NETWORKDAYS(MAX(D466,DATE(Einstellungen!$C$3,1,1)),MIN(J466,DATE(Einstellungen!$C$3,2,0)),Einstellungen!$F$13:$F$32)))</f>
        <v/>
      </c>
      <c r="M466" s="49">
        <f>IF(OR(A466="",D466=""),0,MAX(0,NETWORKDAYS(MAX(D466,DATE(Einstellungen!$C$3,2,1)),MIN(J466,DATE(Einstellungen!$C$3,3,0)),Einstellungen!$F$13:$F$32)))</f>
        <v/>
      </c>
      <c r="N466" s="49">
        <f>IF(OR(A466="",D466=""),0,MAX(0,NETWORKDAYS(MAX(D466,DATE(Einstellungen!$C$3,3,1)),MIN(J466,DATE(Einstellungen!$C$3,4,0)),Einstellungen!$F$13:$F$32)))</f>
        <v/>
      </c>
      <c r="O466" s="49">
        <f>IF(OR(A466="",D466=""),0,MAX(0,NETWORKDAYS(MAX(D466,DATE(Einstellungen!$C$3,4,1)),MIN(J466,DATE(Einstellungen!$C$3,5,0)),Einstellungen!$F$13:$F$32)))</f>
        <v/>
      </c>
      <c r="P466" s="49">
        <f>IF(OR(A466="",D466=""),0,MAX(0,NETWORKDAYS(MAX(D466,DATE(Einstellungen!$C$3,5,1)),MIN(J466,DATE(Einstellungen!$C$3,6,0)),Einstellungen!$F$13:$F$32)))</f>
        <v/>
      </c>
      <c r="Q466" s="49">
        <f>IF(OR(A466="",D466=""),0,MAX(0,NETWORKDAYS(MAX(D466,DATE(Einstellungen!$C$3,6,1)),MIN(J466,DATE(Einstellungen!$C$3,7,0)),Einstellungen!$F$13:$F$32)))</f>
        <v/>
      </c>
      <c r="R466" s="49">
        <f>IF(OR(A466="",D466=""),0,MAX(0,NETWORKDAYS(MAX(D466,DATE(Einstellungen!$C$3,7,1)),MIN(J466,DATE(Einstellungen!$C$3,8,0)),Einstellungen!$F$13:$F$32)))</f>
        <v/>
      </c>
      <c r="S466" s="49">
        <f>IF(OR(A466="",D466=""),0,MAX(0,NETWORKDAYS(MAX(D466,DATE(Einstellungen!$C$3,8,1)),MIN(J466,DATE(Einstellungen!$C$3,9,0)),Einstellungen!$F$13:$F$32)))</f>
        <v/>
      </c>
      <c r="T466" s="49">
        <f>IF(OR(A466="",D466=""),0,MAX(0,NETWORKDAYS(MAX(D466,DATE(Einstellungen!$C$3,9,1)),MIN(J466,DATE(Einstellungen!$C$3,10,0)),Einstellungen!$F$13:$F$32)))</f>
        <v/>
      </c>
      <c r="U466" s="49">
        <f>IF(OR(A466="",D466=""),0,MAX(0,NETWORKDAYS(MAX(D466,DATE(Einstellungen!$C$3,10,1)),MIN(J466,DATE(Einstellungen!$C$3,11,0)),Einstellungen!$F$13:$F$32)))</f>
        <v/>
      </c>
      <c r="V466" s="49">
        <f>IF(OR(A466="",D466=""),0,MAX(0,NETWORKDAYS(MAX(D466,DATE(Einstellungen!$C$3,11,1)),MIN(J466,DATE(Einstellungen!$C$3,12,0)),Einstellungen!$F$13:$F$32)))</f>
        <v/>
      </c>
      <c r="W466" s="49">
        <f>IF(OR(A466="",D466=""),0,MAX(0,NETWORKDAYS(MAX(D466,DATE(Einstellungen!$C$3,12,1)),MIN(J466,DATE(Einstellungen!$C$3,13,0)),Einstellungen!$F$13:$F$32)))</f>
        <v/>
      </c>
      <c r="X466" s="50">
        <f>L466*K466</f>
        <v/>
      </c>
      <c r="Y466" s="50">
        <f>M466*K466</f>
        <v/>
      </c>
      <c r="Z466" s="50">
        <f>N466*K466</f>
        <v/>
      </c>
      <c r="AA466" s="50">
        <f>O466*K466</f>
        <v/>
      </c>
      <c r="AB466" s="50">
        <f>P466*K466</f>
        <v/>
      </c>
      <c r="AC466" s="50">
        <f>Q466*K466</f>
        <v/>
      </c>
      <c r="AD466" s="50">
        <f>R466*K466</f>
        <v/>
      </c>
      <c r="AE466" s="50">
        <f>S466*K466</f>
        <v/>
      </c>
      <c r="AF466" s="50">
        <f>T466*K466</f>
        <v/>
      </c>
      <c r="AG466" s="50">
        <f>U466*K466</f>
        <v/>
      </c>
      <c r="AH466" s="50">
        <f>V466*K466</f>
        <v/>
      </c>
      <c r="AI466" s="50">
        <f>W466*K466</f>
        <v/>
      </c>
    </row>
    <row r="467">
      <c r="A467" s="25" t="n"/>
      <c r="B467" s="45">
        <f>IF(A467="","",IFERROR(INDEX(Mitarbeiter!$B$6:$B$205,MATCH($A467,Mitarbeiter!$A$6:$A$205,0)),"?"))</f>
        <v/>
      </c>
      <c r="C467" s="46" t="n"/>
      <c r="D467" s="26" t="n"/>
      <c r="E467" s="26" t="n"/>
      <c r="F467" s="24">
        <f>IF(A467="","",SUM(L467:W467))</f>
        <v/>
      </c>
      <c r="G467" s="36">
        <f>IF(A467="","",SUM(X467:AI467))</f>
        <v/>
      </c>
      <c r="H467" s="8">
        <f>IF(A467="","",IF(ISNA(MATCH(A467,Mitarbeiter!$A$6:$A$205,0)),"Pers.-Nr. unbekannt",IF(D467="","Von fehlt",IF(AND(C467&lt;&gt;Einstellungen!$C$4,C467&lt;&gt;Einstellungen!$C$5),"Objekt fehlt",IF(J467&lt;D467,"Bis vor Von",IF(D467&lt;INDEX(Mitarbeiter!$C$6:$C$205,MATCH($A467,Mitarbeiter!$A$6:$A$205,0)),"vor Eintritt",IF(AND(INDEX(Mitarbeiter!$D$6:$D$205,MATCH($A467,Mitarbeiter!$A$6:$A$205,0))&lt;&gt;"",D467&gt;INDEX(Mitarbeiter!$D$6:$D$205,MATCH($A467,Mitarbeiter!$A$6:$A$205,0))),"nach Austritt",IF(E467="","offen","ok"))))))))</f>
        <v/>
      </c>
      <c r="J467" s="47">
        <f>IF(A467="","",IF(E467="",Einstellungen!$C$9,E467))</f>
        <v/>
      </c>
      <c r="K467" s="48">
        <f>IF(A467="",0,IFERROR(INDEX(Mitarbeiter!$F$6:$F$205,MATCH($A467,Mitarbeiter!$A$6:$A$205,0)),0))</f>
        <v/>
      </c>
      <c r="L467" s="49">
        <f>IF(OR(A467="",D467=""),0,MAX(0,NETWORKDAYS(MAX(D467,DATE(Einstellungen!$C$3,1,1)),MIN(J467,DATE(Einstellungen!$C$3,2,0)),Einstellungen!$F$13:$F$32)))</f>
        <v/>
      </c>
      <c r="M467" s="49">
        <f>IF(OR(A467="",D467=""),0,MAX(0,NETWORKDAYS(MAX(D467,DATE(Einstellungen!$C$3,2,1)),MIN(J467,DATE(Einstellungen!$C$3,3,0)),Einstellungen!$F$13:$F$32)))</f>
        <v/>
      </c>
      <c r="N467" s="49">
        <f>IF(OR(A467="",D467=""),0,MAX(0,NETWORKDAYS(MAX(D467,DATE(Einstellungen!$C$3,3,1)),MIN(J467,DATE(Einstellungen!$C$3,4,0)),Einstellungen!$F$13:$F$32)))</f>
        <v/>
      </c>
      <c r="O467" s="49">
        <f>IF(OR(A467="",D467=""),0,MAX(0,NETWORKDAYS(MAX(D467,DATE(Einstellungen!$C$3,4,1)),MIN(J467,DATE(Einstellungen!$C$3,5,0)),Einstellungen!$F$13:$F$32)))</f>
        <v/>
      </c>
      <c r="P467" s="49">
        <f>IF(OR(A467="",D467=""),0,MAX(0,NETWORKDAYS(MAX(D467,DATE(Einstellungen!$C$3,5,1)),MIN(J467,DATE(Einstellungen!$C$3,6,0)),Einstellungen!$F$13:$F$32)))</f>
        <v/>
      </c>
      <c r="Q467" s="49">
        <f>IF(OR(A467="",D467=""),0,MAX(0,NETWORKDAYS(MAX(D467,DATE(Einstellungen!$C$3,6,1)),MIN(J467,DATE(Einstellungen!$C$3,7,0)),Einstellungen!$F$13:$F$32)))</f>
        <v/>
      </c>
      <c r="R467" s="49">
        <f>IF(OR(A467="",D467=""),0,MAX(0,NETWORKDAYS(MAX(D467,DATE(Einstellungen!$C$3,7,1)),MIN(J467,DATE(Einstellungen!$C$3,8,0)),Einstellungen!$F$13:$F$32)))</f>
        <v/>
      </c>
      <c r="S467" s="49">
        <f>IF(OR(A467="",D467=""),0,MAX(0,NETWORKDAYS(MAX(D467,DATE(Einstellungen!$C$3,8,1)),MIN(J467,DATE(Einstellungen!$C$3,9,0)),Einstellungen!$F$13:$F$32)))</f>
        <v/>
      </c>
      <c r="T467" s="49">
        <f>IF(OR(A467="",D467=""),0,MAX(0,NETWORKDAYS(MAX(D467,DATE(Einstellungen!$C$3,9,1)),MIN(J467,DATE(Einstellungen!$C$3,10,0)),Einstellungen!$F$13:$F$32)))</f>
        <v/>
      </c>
      <c r="U467" s="49">
        <f>IF(OR(A467="",D467=""),0,MAX(0,NETWORKDAYS(MAX(D467,DATE(Einstellungen!$C$3,10,1)),MIN(J467,DATE(Einstellungen!$C$3,11,0)),Einstellungen!$F$13:$F$32)))</f>
        <v/>
      </c>
      <c r="V467" s="49">
        <f>IF(OR(A467="",D467=""),0,MAX(0,NETWORKDAYS(MAX(D467,DATE(Einstellungen!$C$3,11,1)),MIN(J467,DATE(Einstellungen!$C$3,12,0)),Einstellungen!$F$13:$F$32)))</f>
        <v/>
      </c>
      <c r="W467" s="49">
        <f>IF(OR(A467="",D467=""),0,MAX(0,NETWORKDAYS(MAX(D467,DATE(Einstellungen!$C$3,12,1)),MIN(J467,DATE(Einstellungen!$C$3,13,0)),Einstellungen!$F$13:$F$32)))</f>
        <v/>
      </c>
      <c r="X467" s="50">
        <f>L467*K467</f>
        <v/>
      </c>
      <c r="Y467" s="50">
        <f>M467*K467</f>
        <v/>
      </c>
      <c r="Z467" s="50">
        <f>N467*K467</f>
        <v/>
      </c>
      <c r="AA467" s="50">
        <f>O467*K467</f>
        <v/>
      </c>
      <c r="AB467" s="50">
        <f>P467*K467</f>
        <v/>
      </c>
      <c r="AC467" s="50">
        <f>Q467*K467</f>
        <v/>
      </c>
      <c r="AD467" s="50">
        <f>R467*K467</f>
        <v/>
      </c>
      <c r="AE467" s="50">
        <f>S467*K467</f>
        <v/>
      </c>
      <c r="AF467" s="50">
        <f>T467*K467</f>
        <v/>
      </c>
      <c r="AG467" s="50">
        <f>U467*K467</f>
        <v/>
      </c>
      <c r="AH467" s="50">
        <f>V467*K467</f>
        <v/>
      </c>
      <c r="AI467" s="50">
        <f>W467*K467</f>
        <v/>
      </c>
    </row>
    <row r="468">
      <c r="A468" s="25" t="n"/>
      <c r="B468" s="45">
        <f>IF(A468="","",IFERROR(INDEX(Mitarbeiter!$B$6:$B$205,MATCH($A468,Mitarbeiter!$A$6:$A$205,0)),"?"))</f>
        <v/>
      </c>
      <c r="C468" s="46" t="n"/>
      <c r="D468" s="26" t="n"/>
      <c r="E468" s="26" t="n"/>
      <c r="F468" s="24">
        <f>IF(A468="","",SUM(L468:W468))</f>
        <v/>
      </c>
      <c r="G468" s="36">
        <f>IF(A468="","",SUM(X468:AI468))</f>
        <v/>
      </c>
      <c r="H468" s="8">
        <f>IF(A468="","",IF(ISNA(MATCH(A468,Mitarbeiter!$A$6:$A$205,0)),"Pers.-Nr. unbekannt",IF(D468="","Von fehlt",IF(AND(C468&lt;&gt;Einstellungen!$C$4,C468&lt;&gt;Einstellungen!$C$5),"Objekt fehlt",IF(J468&lt;D468,"Bis vor Von",IF(D468&lt;INDEX(Mitarbeiter!$C$6:$C$205,MATCH($A468,Mitarbeiter!$A$6:$A$205,0)),"vor Eintritt",IF(AND(INDEX(Mitarbeiter!$D$6:$D$205,MATCH($A468,Mitarbeiter!$A$6:$A$205,0))&lt;&gt;"",D468&gt;INDEX(Mitarbeiter!$D$6:$D$205,MATCH($A468,Mitarbeiter!$A$6:$A$205,0))),"nach Austritt",IF(E468="","offen","ok"))))))))</f>
        <v/>
      </c>
      <c r="J468" s="47">
        <f>IF(A468="","",IF(E468="",Einstellungen!$C$9,E468))</f>
        <v/>
      </c>
      <c r="K468" s="48">
        <f>IF(A468="",0,IFERROR(INDEX(Mitarbeiter!$F$6:$F$205,MATCH($A468,Mitarbeiter!$A$6:$A$205,0)),0))</f>
        <v/>
      </c>
      <c r="L468" s="49">
        <f>IF(OR(A468="",D468=""),0,MAX(0,NETWORKDAYS(MAX(D468,DATE(Einstellungen!$C$3,1,1)),MIN(J468,DATE(Einstellungen!$C$3,2,0)),Einstellungen!$F$13:$F$32)))</f>
        <v/>
      </c>
      <c r="M468" s="49">
        <f>IF(OR(A468="",D468=""),0,MAX(0,NETWORKDAYS(MAX(D468,DATE(Einstellungen!$C$3,2,1)),MIN(J468,DATE(Einstellungen!$C$3,3,0)),Einstellungen!$F$13:$F$32)))</f>
        <v/>
      </c>
      <c r="N468" s="49">
        <f>IF(OR(A468="",D468=""),0,MAX(0,NETWORKDAYS(MAX(D468,DATE(Einstellungen!$C$3,3,1)),MIN(J468,DATE(Einstellungen!$C$3,4,0)),Einstellungen!$F$13:$F$32)))</f>
        <v/>
      </c>
      <c r="O468" s="49">
        <f>IF(OR(A468="",D468=""),0,MAX(0,NETWORKDAYS(MAX(D468,DATE(Einstellungen!$C$3,4,1)),MIN(J468,DATE(Einstellungen!$C$3,5,0)),Einstellungen!$F$13:$F$32)))</f>
        <v/>
      </c>
      <c r="P468" s="49">
        <f>IF(OR(A468="",D468=""),0,MAX(0,NETWORKDAYS(MAX(D468,DATE(Einstellungen!$C$3,5,1)),MIN(J468,DATE(Einstellungen!$C$3,6,0)),Einstellungen!$F$13:$F$32)))</f>
        <v/>
      </c>
      <c r="Q468" s="49">
        <f>IF(OR(A468="",D468=""),0,MAX(0,NETWORKDAYS(MAX(D468,DATE(Einstellungen!$C$3,6,1)),MIN(J468,DATE(Einstellungen!$C$3,7,0)),Einstellungen!$F$13:$F$32)))</f>
        <v/>
      </c>
      <c r="R468" s="49">
        <f>IF(OR(A468="",D468=""),0,MAX(0,NETWORKDAYS(MAX(D468,DATE(Einstellungen!$C$3,7,1)),MIN(J468,DATE(Einstellungen!$C$3,8,0)),Einstellungen!$F$13:$F$32)))</f>
        <v/>
      </c>
      <c r="S468" s="49">
        <f>IF(OR(A468="",D468=""),0,MAX(0,NETWORKDAYS(MAX(D468,DATE(Einstellungen!$C$3,8,1)),MIN(J468,DATE(Einstellungen!$C$3,9,0)),Einstellungen!$F$13:$F$32)))</f>
        <v/>
      </c>
      <c r="T468" s="49">
        <f>IF(OR(A468="",D468=""),0,MAX(0,NETWORKDAYS(MAX(D468,DATE(Einstellungen!$C$3,9,1)),MIN(J468,DATE(Einstellungen!$C$3,10,0)),Einstellungen!$F$13:$F$32)))</f>
        <v/>
      </c>
      <c r="U468" s="49">
        <f>IF(OR(A468="",D468=""),0,MAX(0,NETWORKDAYS(MAX(D468,DATE(Einstellungen!$C$3,10,1)),MIN(J468,DATE(Einstellungen!$C$3,11,0)),Einstellungen!$F$13:$F$32)))</f>
        <v/>
      </c>
      <c r="V468" s="49">
        <f>IF(OR(A468="",D468=""),0,MAX(0,NETWORKDAYS(MAX(D468,DATE(Einstellungen!$C$3,11,1)),MIN(J468,DATE(Einstellungen!$C$3,12,0)),Einstellungen!$F$13:$F$32)))</f>
        <v/>
      </c>
      <c r="W468" s="49">
        <f>IF(OR(A468="",D468=""),0,MAX(0,NETWORKDAYS(MAX(D468,DATE(Einstellungen!$C$3,12,1)),MIN(J468,DATE(Einstellungen!$C$3,13,0)),Einstellungen!$F$13:$F$32)))</f>
        <v/>
      </c>
      <c r="X468" s="50">
        <f>L468*K468</f>
        <v/>
      </c>
      <c r="Y468" s="50">
        <f>M468*K468</f>
        <v/>
      </c>
      <c r="Z468" s="50">
        <f>N468*K468</f>
        <v/>
      </c>
      <c r="AA468" s="50">
        <f>O468*K468</f>
        <v/>
      </c>
      <c r="AB468" s="50">
        <f>P468*K468</f>
        <v/>
      </c>
      <c r="AC468" s="50">
        <f>Q468*K468</f>
        <v/>
      </c>
      <c r="AD468" s="50">
        <f>R468*K468</f>
        <v/>
      </c>
      <c r="AE468" s="50">
        <f>S468*K468</f>
        <v/>
      </c>
      <c r="AF468" s="50">
        <f>T468*K468</f>
        <v/>
      </c>
      <c r="AG468" s="50">
        <f>U468*K468</f>
        <v/>
      </c>
      <c r="AH468" s="50">
        <f>V468*K468</f>
        <v/>
      </c>
      <c r="AI468" s="50">
        <f>W468*K468</f>
        <v/>
      </c>
    </row>
    <row r="469">
      <c r="A469" s="25" t="n"/>
      <c r="B469" s="45">
        <f>IF(A469="","",IFERROR(INDEX(Mitarbeiter!$B$6:$B$205,MATCH($A469,Mitarbeiter!$A$6:$A$205,0)),"?"))</f>
        <v/>
      </c>
      <c r="C469" s="46" t="n"/>
      <c r="D469" s="26" t="n"/>
      <c r="E469" s="26" t="n"/>
      <c r="F469" s="24">
        <f>IF(A469="","",SUM(L469:W469))</f>
        <v/>
      </c>
      <c r="G469" s="36">
        <f>IF(A469="","",SUM(X469:AI469))</f>
        <v/>
      </c>
      <c r="H469" s="8">
        <f>IF(A469="","",IF(ISNA(MATCH(A469,Mitarbeiter!$A$6:$A$205,0)),"Pers.-Nr. unbekannt",IF(D469="","Von fehlt",IF(AND(C469&lt;&gt;Einstellungen!$C$4,C469&lt;&gt;Einstellungen!$C$5),"Objekt fehlt",IF(J469&lt;D469,"Bis vor Von",IF(D469&lt;INDEX(Mitarbeiter!$C$6:$C$205,MATCH($A469,Mitarbeiter!$A$6:$A$205,0)),"vor Eintritt",IF(AND(INDEX(Mitarbeiter!$D$6:$D$205,MATCH($A469,Mitarbeiter!$A$6:$A$205,0))&lt;&gt;"",D469&gt;INDEX(Mitarbeiter!$D$6:$D$205,MATCH($A469,Mitarbeiter!$A$6:$A$205,0))),"nach Austritt",IF(E469="","offen","ok"))))))))</f>
        <v/>
      </c>
      <c r="J469" s="47">
        <f>IF(A469="","",IF(E469="",Einstellungen!$C$9,E469))</f>
        <v/>
      </c>
      <c r="K469" s="48">
        <f>IF(A469="",0,IFERROR(INDEX(Mitarbeiter!$F$6:$F$205,MATCH($A469,Mitarbeiter!$A$6:$A$205,0)),0))</f>
        <v/>
      </c>
      <c r="L469" s="49">
        <f>IF(OR(A469="",D469=""),0,MAX(0,NETWORKDAYS(MAX(D469,DATE(Einstellungen!$C$3,1,1)),MIN(J469,DATE(Einstellungen!$C$3,2,0)),Einstellungen!$F$13:$F$32)))</f>
        <v/>
      </c>
      <c r="M469" s="49">
        <f>IF(OR(A469="",D469=""),0,MAX(0,NETWORKDAYS(MAX(D469,DATE(Einstellungen!$C$3,2,1)),MIN(J469,DATE(Einstellungen!$C$3,3,0)),Einstellungen!$F$13:$F$32)))</f>
        <v/>
      </c>
      <c r="N469" s="49">
        <f>IF(OR(A469="",D469=""),0,MAX(0,NETWORKDAYS(MAX(D469,DATE(Einstellungen!$C$3,3,1)),MIN(J469,DATE(Einstellungen!$C$3,4,0)),Einstellungen!$F$13:$F$32)))</f>
        <v/>
      </c>
      <c r="O469" s="49">
        <f>IF(OR(A469="",D469=""),0,MAX(0,NETWORKDAYS(MAX(D469,DATE(Einstellungen!$C$3,4,1)),MIN(J469,DATE(Einstellungen!$C$3,5,0)),Einstellungen!$F$13:$F$32)))</f>
        <v/>
      </c>
      <c r="P469" s="49">
        <f>IF(OR(A469="",D469=""),0,MAX(0,NETWORKDAYS(MAX(D469,DATE(Einstellungen!$C$3,5,1)),MIN(J469,DATE(Einstellungen!$C$3,6,0)),Einstellungen!$F$13:$F$32)))</f>
        <v/>
      </c>
      <c r="Q469" s="49">
        <f>IF(OR(A469="",D469=""),0,MAX(0,NETWORKDAYS(MAX(D469,DATE(Einstellungen!$C$3,6,1)),MIN(J469,DATE(Einstellungen!$C$3,7,0)),Einstellungen!$F$13:$F$32)))</f>
        <v/>
      </c>
      <c r="R469" s="49">
        <f>IF(OR(A469="",D469=""),0,MAX(0,NETWORKDAYS(MAX(D469,DATE(Einstellungen!$C$3,7,1)),MIN(J469,DATE(Einstellungen!$C$3,8,0)),Einstellungen!$F$13:$F$32)))</f>
        <v/>
      </c>
      <c r="S469" s="49">
        <f>IF(OR(A469="",D469=""),0,MAX(0,NETWORKDAYS(MAX(D469,DATE(Einstellungen!$C$3,8,1)),MIN(J469,DATE(Einstellungen!$C$3,9,0)),Einstellungen!$F$13:$F$32)))</f>
        <v/>
      </c>
      <c r="T469" s="49">
        <f>IF(OR(A469="",D469=""),0,MAX(0,NETWORKDAYS(MAX(D469,DATE(Einstellungen!$C$3,9,1)),MIN(J469,DATE(Einstellungen!$C$3,10,0)),Einstellungen!$F$13:$F$32)))</f>
        <v/>
      </c>
      <c r="U469" s="49">
        <f>IF(OR(A469="",D469=""),0,MAX(0,NETWORKDAYS(MAX(D469,DATE(Einstellungen!$C$3,10,1)),MIN(J469,DATE(Einstellungen!$C$3,11,0)),Einstellungen!$F$13:$F$32)))</f>
        <v/>
      </c>
      <c r="V469" s="49">
        <f>IF(OR(A469="",D469=""),0,MAX(0,NETWORKDAYS(MAX(D469,DATE(Einstellungen!$C$3,11,1)),MIN(J469,DATE(Einstellungen!$C$3,12,0)),Einstellungen!$F$13:$F$32)))</f>
        <v/>
      </c>
      <c r="W469" s="49">
        <f>IF(OR(A469="",D469=""),0,MAX(0,NETWORKDAYS(MAX(D469,DATE(Einstellungen!$C$3,12,1)),MIN(J469,DATE(Einstellungen!$C$3,13,0)),Einstellungen!$F$13:$F$32)))</f>
        <v/>
      </c>
      <c r="X469" s="50">
        <f>L469*K469</f>
        <v/>
      </c>
      <c r="Y469" s="50">
        <f>M469*K469</f>
        <v/>
      </c>
      <c r="Z469" s="50">
        <f>N469*K469</f>
        <v/>
      </c>
      <c r="AA469" s="50">
        <f>O469*K469</f>
        <v/>
      </c>
      <c r="AB469" s="50">
        <f>P469*K469</f>
        <v/>
      </c>
      <c r="AC469" s="50">
        <f>Q469*K469</f>
        <v/>
      </c>
      <c r="AD469" s="50">
        <f>R469*K469</f>
        <v/>
      </c>
      <c r="AE469" s="50">
        <f>S469*K469</f>
        <v/>
      </c>
      <c r="AF469" s="50">
        <f>T469*K469</f>
        <v/>
      </c>
      <c r="AG469" s="50">
        <f>U469*K469</f>
        <v/>
      </c>
      <c r="AH469" s="50">
        <f>V469*K469</f>
        <v/>
      </c>
      <c r="AI469" s="50">
        <f>W469*K469</f>
        <v/>
      </c>
    </row>
    <row r="470">
      <c r="A470" s="25" t="n"/>
      <c r="B470" s="45">
        <f>IF(A470="","",IFERROR(INDEX(Mitarbeiter!$B$6:$B$205,MATCH($A470,Mitarbeiter!$A$6:$A$205,0)),"?"))</f>
        <v/>
      </c>
      <c r="C470" s="46" t="n"/>
      <c r="D470" s="26" t="n"/>
      <c r="E470" s="26" t="n"/>
      <c r="F470" s="24">
        <f>IF(A470="","",SUM(L470:W470))</f>
        <v/>
      </c>
      <c r="G470" s="36">
        <f>IF(A470="","",SUM(X470:AI470))</f>
        <v/>
      </c>
      <c r="H470" s="8">
        <f>IF(A470="","",IF(ISNA(MATCH(A470,Mitarbeiter!$A$6:$A$205,0)),"Pers.-Nr. unbekannt",IF(D470="","Von fehlt",IF(AND(C470&lt;&gt;Einstellungen!$C$4,C470&lt;&gt;Einstellungen!$C$5),"Objekt fehlt",IF(J470&lt;D470,"Bis vor Von",IF(D470&lt;INDEX(Mitarbeiter!$C$6:$C$205,MATCH($A470,Mitarbeiter!$A$6:$A$205,0)),"vor Eintritt",IF(AND(INDEX(Mitarbeiter!$D$6:$D$205,MATCH($A470,Mitarbeiter!$A$6:$A$205,0))&lt;&gt;"",D470&gt;INDEX(Mitarbeiter!$D$6:$D$205,MATCH($A470,Mitarbeiter!$A$6:$A$205,0))),"nach Austritt",IF(E470="","offen","ok"))))))))</f>
        <v/>
      </c>
      <c r="J470" s="47">
        <f>IF(A470="","",IF(E470="",Einstellungen!$C$9,E470))</f>
        <v/>
      </c>
      <c r="K470" s="48">
        <f>IF(A470="",0,IFERROR(INDEX(Mitarbeiter!$F$6:$F$205,MATCH($A470,Mitarbeiter!$A$6:$A$205,0)),0))</f>
        <v/>
      </c>
      <c r="L470" s="49">
        <f>IF(OR(A470="",D470=""),0,MAX(0,NETWORKDAYS(MAX(D470,DATE(Einstellungen!$C$3,1,1)),MIN(J470,DATE(Einstellungen!$C$3,2,0)),Einstellungen!$F$13:$F$32)))</f>
        <v/>
      </c>
      <c r="M470" s="49">
        <f>IF(OR(A470="",D470=""),0,MAX(0,NETWORKDAYS(MAX(D470,DATE(Einstellungen!$C$3,2,1)),MIN(J470,DATE(Einstellungen!$C$3,3,0)),Einstellungen!$F$13:$F$32)))</f>
        <v/>
      </c>
      <c r="N470" s="49">
        <f>IF(OR(A470="",D470=""),0,MAX(0,NETWORKDAYS(MAX(D470,DATE(Einstellungen!$C$3,3,1)),MIN(J470,DATE(Einstellungen!$C$3,4,0)),Einstellungen!$F$13:$F$32)))</f>
        <v/>
      </c>
      <c r="O470" s="49">
        <f>IF(OR(A470="",D470=""),0,MAX(0,NETWORKDAYS(MAX(D470,DATE(Einstellungen!$C$3,4,1)),MIN(J470,DATE(Einstellungen!$C$3,5,0)),Einstellungen!$F$13:$F$32)))</f>
        <v/>
      </c>
      <c r="P470" s="49">
        <f>IF(OR(A470="",D470=""),0,MAX(0,NETWORKDAYS(MAX(D470,DATE(Einstellungen!$C$3,5,1)),MIN(J470,DATE(Einstellungen!$C$3,6,0)),Einstellungen!$F$13:$F$32)))</f>
        <v/>
      </c>
      <c r="Q470" s="49">
        <f>IF(OR(A470="",D470=""),0,MAX(0,NETWORKDAYS(MAX(D470,DATE(Einstellungen!$C$3,6,1)),MIN(J470,DATE(Einstellungen!$C$3,7,0)),Einstellungen!$F$13:$F$32)))</f>
        <v/>
      </c>
      <c r="R470" s="49">
        <f>IF(OR(A470="",D470=""),0,MAX(0,NETWORKDAYS(MAX(D470,DATE(Einstellungen!$C$3,7,1)),MIN(J470,DATE(Einstellungen!$C$3,8,0)),Einstellungen!$F$13:$F$32)))</f>
        <v/>
      </c>
      <c r="S470" s="49">
        <f>IF(OR(A470="",D470=""),0,MAX(0,NETWORKDAYS(MAX(D470,DATE(Einstellungen!$C$3,8,1)),MIN(J470,DATE(Einstellungen!$C$3,9,0)),Einstellungen!$F$13:$F$32)))</f>
        <v/>
      </c>
      <c r="T470" s="49">
        <f>IF(OR(A470="",D470=""),0,MAX(0,NETWORKDAYS(MAX(D470,DATE(Einstellungen!$C$3,9,1)),MIN(J470,DATE(Einstellungen!$C$3,10,0)),Einstellungen!$F$13:$F$32)))</f>
        <v/>
      </c>
      <c r="U470" s="49">
        <f>IF(OR(A470="",D470=""),0,MAX(0,NETWORKDAYS(MAX(D470,DATE(Einstellungen!$C$3,10,1)),MIN(J470,DATE(Einstellungen!$C$3,11,0)),Einstellungen!$F$13:$F$32)))</f>
        <v/>
      </c>
      <c r="V470" s="49">
        <f>IF(OR(A470="",D470=""),0,MAX(0,NETWORKDAYS(MAX(D470,DATE(Einstellungen!$C$3,11,1)),MIN(J470,DATE(Einstellungen!$C$3,12,0)),Einstellungen!$F$13:$F$32)))</f>
        <v/>
      </c>
      <c r="W470" s="49">
        <f>IF(OR(A470="",D470=""),0,MAX(0,NETWORKDAYS(MAX(D470,DATE(Einstellungen!$C$3,12,1)),MIN(J470,DATE(Einstellungen!$C$3,13,0)),Einstellungen!$F$13:$F$32)))</f>
        <v/>
      </c>
      <c r="X470" s="50">
        <f>L470*K470</f>
        <v/>
      </c>
      <c r="Y470" s="50">
        <f>M470*K470</f>
        <v/>
      </c>
      <c r="Z470" s="50">
        <f>N470*K470</f>
        <v/>
      </c>
      <c r="AA470" s="50">
        <f>O470*K470</f>
        <v/>
      </c>
      <c r="AB470" s="50">
        <f>P470*K470</f>
        <v/>
      </c>
      <c r="AC470" s="50">
        <f>Q470*K470</f>
        <v/>
      </c>
      <c r="AD470" s="50">
        <f>R470*K470</f>
        <v/>
      </c>
      <c r="AE470" s="50">
        <f>S470*K470</f>
        <v/>
      </c>
      <c r="AF470" s="50">
        <f>T470*K470</f>
        <v/>
      </c>
      <c r="AG470" s="50">
        <f>U470*K470</f>
        <v/>
      </c>
      <c r="AH470" s="50">
        <f>V470*K470</f>
        <v/>
      </c>
      <c r="AI470" s="50">
        <f>W470*K470</f>
        <v/>
      </c>
    </row>
    <row r="471">
      <c r="A471" s="25" t="n"/>
      <c r="B471" s="45">
        <f>IF(A471="","",IFERROR(INDEX(Mitarbeiter!$B$6:$B$205,MATCH($A471,Mitarbeiter!$A$6:$A$205,0)),"?"))</f>
        <v/>
      </c>
      <c r="C471" s="46" t="n"/>
      <c r="D471" s="26" t="n"/>
      <c r="E471" s="26" t="n"/>
      <c r="F471" s="24">
        <f>IF(A471="","",SUM(L471:W471))</f>
        <v/>
      </c>
      <c r="G471" s="36">
        <f>IF(A471="","",SUM(X471:AI471))</f>
        <v/>
      </c>
      <c r="H471" s="8">
        <f>IF(A471="","",IF(ISNA(MATCH(A471,Mitarbeiter!$A$6:$A$205,0)),"Pers.-Nr. unbekannt",IF(D471="","Von fehlt",IF(AND(C471&lt;&gt;Einstellungen!$C$4,C471&lt;&gt;Einstellungen!$C$5),"Objekt fehlt",IF(J471&lt;D471,"Bis vor Von",IF(D471&lt;INDEX(Mitarbeiter!$C$6:$C$205,MATCH($A471,Mitarbeiter!$A$6:$A$205,0)),"vor Eintritt",IF(AND(INDEX(Mitarbeiter!$D$6:$D$205,MATCH($A471,Mitarbeiter!$A$6:$A$205,0))&lt;&gt;"",D471&gt;INDEX(Mitarbeiter!$D$6:$D$205,MATCH($A471,Mitarbeiter!$A$6:$A$205,0))),"nach Austritt",IF(E471="","offen","ok"))))))))</f>
        <v/>
      </c>
      <c r="J471" s="47">
        <f>IF(A471="","",IF(E471="",Einstellungen!$C$9,E471))</f>
        <v/>
      </c>
      <c r="K471" s="48">
        <f>IF(A471="",0,IFERROR(INDEX(Mitarbeiter!$F$6:$F$205,MATCH($A471,Mitarbeiter!$A$6:$A$205,0)),0))</f>
        <v/>
      </c>
      <c r="L471" s="49">
        <f>IF(OR(A471="",D471=""),0,MAX(0,NETWORKDAYS(MAX(D471,DATE(Einstellungen!$C$3,1,1)),MIN(J471,DATE(Einstellungen!$C$3,2,0)),Einstellungen!$F$13:$F$32)))</f>
        <v/>
      </c>
      <c r="M471" s="49">
        <f>IF(OR(A471="",D471=""),0,MAX(0,NETWORKDAYS(MAX(D471,DATE(Einstellungen!$C$3,2,1)),MIN(J471,DATE(Einstellungen!$C$3,3,0)),Einstellungen!$F$13:$F$32)))</f>
        <v/>
      </c>
      <c r="N471" s="49">
        <f>IF(OR(A471="",D471=""),0,MAX(0,NETWORKDAYS(MAX(D471,DATE(Einstellungen!$C$3,3,1)),MIN(J471,DATE(Einstellungen!$C$3,4,0)),Einstellungen!$F$13:$F$32)))</f>
        <v/>
      </c>
      <c r="O471" s="49">
        <f>IF(OR(A471="",D471=""),0,MAX(0,NETWORKDAYS(MAX(D471,DATE(Einstellungen!$C$3,4,1)),MIN(J471,DATE(Einstellungen!$C$3,5,0)),Einstellungen!$F$13:$F$32)))</f>
        <v/>
      </c>
      <c r="P471" s="49">
        <f>IF(OR(A471="",D471=""),0,MAX(0,NETWORKDAYS(MAX(D471,DATE(Einstellungen!$C$3,5,1)),MIN(J471,DATE(Einstellungen!$C$3,6,0)),Einstellungen!$F$13:$F$32)))</f>
        <v/>
      </c>
      <c r="Q471" s="49">
        <f>IF(OR(A471="",D471=""),0,MAX(0,NETWORKDAYS(MAX(D471,DATE(Einstellungen!$C$3,6,1)),MIN(J471,DATE(Einstellungen!$C$3,7,0)),Einstellungen!$F$13:$F$32)))</f>
        <v/>
      </c>
      <c r="R471" s="49">
        <f>IF(OR(A471="",D471=""),0,MAX(0,NETWORKDAYS(MAX(D471,DATE(Einstellungen!$C$3,7,1)),MIN(J471,DATE(Einstellungen!$C$3,8,0)),Einstellungen!$F$13:$F$32)))</f>
        <v/>
      </c>
      <c r="S471" s="49">
        <f>IF(OR(A471="",D471=""),0,MAX(0,NETWORKDAYS(MAX(D471,DATE(Einstellungen!$C$3,8,1)),MIN(J471,DATE(Einstellungen!$C$3,9,0)),Einstellungen!$F$13:$F$32)))</f>
        <v/>
      </c>
      <c r="T471" s="49">
        <f>IF(OR(A471="",D471=""),0,MAX(0,NETWORKDAYS(MAX(D471,DATE(Einstellungen!$C$3,9,1)),MIN(J471,DATE(Einstellungen!$C$3,10,0)),Einstellungen!$F$13:$F$32)))</f>
        <v/>
      </c>
      <c r="U471" s="49">
        <f>IF(OR(A471="",D471=""),0,MAX(0,NETWORKDAYS(MAX(D471,DATE(Einstellungen!$C$3,10,1)),MIN(J471,DATE(Einstellungen!$C$3,11,0)),Einstellungen!$F$13:$F$32)))</f>
        <v/>
      </c>
      <c r="V471" s="49">
        <f>IF(OR(A471="",D471=""),0,MAX(0,NETWORKDAYS(MAX(D471,DATE(Einstellungen!$C$3,11,1)),MIN(J471,DATE(Einstellungen!$C$3,12,0)),Einstellungen!$F$13:$F$32)))</f>
        <v/>
      </c>
      <c r="W471" s="49">
        <f>IF(OR(A471="",D471=""),0,MAX(0,NETWORKDAYS(MAX(D471,DATE(Einstellungen!$C$3,12,1)),MIN(J471,DATE(Einstellungen!$C$3,13,0)),Einstellungen!$F$13:$F$32)))</f>
        <v/>
      </c>
      <c r="X471" s="50">
        <f>L471*K471</f>
        <v/>
      </c>
      <c r="Y471" s="50">
        <f>M471*K471</f>
        <v/>
      </c>
      <c r="Z471" s="50">
        <f>N471*K471</f>
        <v/>
      </c>
      <c r="AA471" s="50">
        <f>O471*K471</f>
        <v/>
      </c>
      <c r="AB471" s="50">
        <f>P471*K471</f>
        <v/>
      </c>
      <c r="AC471" s="50">
        <f>Q471*K471</f>
        <v/>
      </c>
      <c r="AD471" s="50">
        <f>R471*K471</f>
        <v/>
      </c>
      <c r="AE471" s="50">
        <f>S471*K471</f>
        <v/>
      </c>
      <c r="AF471" s="50">
        <f>T471*K471</f>
        <v/>
      </c>
      <c r="AG471" s="50">
        <f>U471*K471</f>
        <v/>
      </c>
      <c r="AH471" s="50">
        <f>V471*K471</f>
        <v/>
      </c>
      <c r="AI471" s="50">
        <f>W471*K471</f>
        <v/>
      </c>
    </row>
    <row r="472">
      <c r="A472" s="25" t="n"/>
      <c r="B472" s="45">
        <f>IF(A472="","",IFERROR(INDEX(Mitarbeiter!$B$6:$B$205,MATCH($A472,Mitarbeiter!$A$6:$A$205,0)),"?"))</f>
        <v/>
      </c>
      <c r="C472" s="46" t="n"/>
      <c r="D472" s="26" t="n"/>
      <c r="E472" s="26" t="n"/>
      <c r="F472" s="24">
        <f>IF(A472="","",SUM(L472:W472))</f>
        <v/>
      </c>
      <c r="G472" s="36">
        <f>IF(A472="","",SUM(X472:AI472))</f>
        <v/>
      </c>
      <c r="H472" s="8">
        <f>IF(A472="","",IF(ISNA(MATCH(A472,Mitarbeiter!$A$6:$A$205,0)),"Pers.-Nr. unbekannt",IF(D472="","Von fehlt",IF(AND(C472&lt;&gt;Einstellungen!$C$4,C472&lt;&gt;Einstellungen!$C$5),"Objekt fehlt",IF(J472&lt;D472,"Bis vor Von",IF(D472&lt;INDEX(Mitarbeiter!$C$6:$C$205,MATCH($A472,Mitarbeiter!$A$6:$A$205,0)),"vor Eintritt",IF(AND(INDEX(Mitarbeiter!$D$6:$D$205,MATCH($A472,Mitarbeiter!$A$6:$A$205,0))&lt;&gt;"",D472&gt;INDEX(Mitarbeiter!$D$6:$D$205,MATCH($A472,Mitarbeiter!$A$6:$A$205,0))),"nach Austritt",IF(E472="","offen","ok"))))))))</f>
        <v/>
      </c>
      <c r="J472" s="47">
        <f>IF(A472="","",IF(E472="",Einstellungen!$C$9,E472))</f>
        <v/>
      </c>
      <c r="K472" s="48">
        <f>IF(A472="",0,IFERROR(INDEX(Mitarbeiter!$F$6:$F$205,MATCH($A472,Mitarbeiter!$A$6:$A$205,0)),0))</f>
        <v/>
      </c>
      <c r="L472" s="49">
        <f>IF(OR(A472="",D472=""),0,MAX(0,NETWORKDAYS(MAX(D472,DATE(Einstellungen!$C$3,1,1)),MIN(J472,DATE(Einstellungen!$C$3,2,0)),Einstellungen!$F$13:$F$32)))</f>
        <v/>
      </c>
      <c r="M472" s="49">
        <f>IF(OR(A472="",D472=""),0,MAX(0,NETWORKDAYS(MAX(D472,DATE(Einstellungen!$C$3,2,1)),MIN(J472,DATE(Einstellungen!$C$3,3,0)),Einstellungen!$F$13:$F$32)))</f>
        <v/>
      </c>
      <c r="N472" s="49">
        <f>IF(OR(A472="",D472=""),0,MAX(0,NETWORKDAYS(MAX(D472,DATE(Einstellungen!$C$3,3,1)),MIN(J472,DATE(Einstellungen!$C$3,4,0)),Einstellungen!$F$13:$F$32)))</f>
        <v/>
      </c>
      <c r="O472" s="49">
        <f>IF(OR(A472="",D472=""),0,MAX(0,NETWORKDAYS(MAX(D472,DATE(Einstellungen!$C$3,4,1)),MIN(J472,DATE(Einstellungen!$C$3,5,0)),Einstellungen!$F$13:$F$32)))</f>
        <v/>
      </c>
      <c r="P472" s="49">
        <f>IF(OR(A472="",D472=""),0,MAX(0,NETWORKDAYS(MAX(D472,DATE(Einstellungen!$C$3,5,1)),MIN(J472,DATE(Einstellungen!$C$3,6,0)),Einstellungen!$F$13:$F$32)))</f>
        <v/>
      </c>
      <c r="Q472" s="49">
        <f>IF(OR(A472="",D472=""),0,MAX(0,NETWORKDAYS(MAX(D472,DATE(Einstellungen!$C$3,6,1)),MIN(J472,DATE(Einstellungen!$C$3,7,0)),Einstellungen!$F$13:$F$32)))</f>
        <v/>
      </c>
      <c r="R472" s="49">
        <f>IF(OR(A472="",D472=""),0,MAX(0,NETWORKDAYS(MAX(D472,DATE(Einstellungen!$C$3,7,1)),MIN(J472,DATE(Einstellungen!$C$3,8,0)),Einstellungen!$F$13:$F$32)))</f>
        <v/>
      </c>
      <c r="S472" s="49">
        <f>IF(OR(A472="",D472=""),0,MAX(0,NETWORKDAYS(MAX(D472,DATE(Einstellungen!$C$3,8,1)),MIN(J472,DATE(Einstellungen!$C$3,9,0)),Einstellungen!$F$13:$F$32)))</f>
        <v/>
      </c>
      <c r="T472" s="49">
        <f>IF(OR(A472="",D472=""),0,MAX(0,NETWORKDAYS(MAX(D472,DATE(Einstellungen!$C$3,9,1)),MIN(J472,DATE(Einstellungen!$C$3,10,0)),Einstellungen!$F$13:$F$32)))</f>
        <v/>
      </c>
      <c r="U472" s="49">
        <f>IF(OR(A472="",D472=""),0,MAX(0,NETWORKDAYS(MAX(D472,DATE(Einstellungen!$C$3,10,1)),MIN(J472,DATE(Einstellungen!$C$3,11,0)),Einstellungen!$F$13:$F$32)))</f>
        <v/>
      </c>
      <c r="V472" s="49">
        <f>IF(OR(A472="",D472=""),0,MAX(0,NETWORKDAYS(MAX(D472,DATE(Einstellungen!$C$3,11,1)),MIN(J472,DATE(Einstellungen!$C$3,12,0)),Einstellungen!$F$13:$F$32)))</f>
        <v/>
      </c>
      <c r="W472" s="49">
        <f>IF(OR(A472="",D472=""),0,MAX(0,NETWORKDAYS(MAX(D472,DATE(Einstellungen!$C$3,12,1)),MIN(J472,DATE(Einstellungen!$C$3,13,0)),Einstellungen!$F$13:$F$32)))</f>
        <v/>
      </c>
      <c r="X472" s="50">
        <f>L472*K472</f>
        <v/>
      </c>
      <c r="Y472" s="50">
        <f>M472*K472</f>
        <v/>
      </c>
      <c r="Z472" s="50">
        <f>N472*K472</f>
        <v/>
      </c>
      <c r="AA472" s="50">
        <f>O472*K472</f>
        <v/>
      </c>
      <c r="AB472" s="50">
        <f>P472*K472</f>
        <v/>
      </c>
      <c r="AC472" s="50">
        <f>Q472*K472</f>
        <v/>
      </c>
      <c r="AD472" s="50">
        <f>R472*K472</f>
        <v/>
      </c>
      <c r="AE472" s="50">
        <f>S472*K472</f>
        <v/>
      </c>
      <c r="AF472" s="50">
        <f>T472*K472</f>
        <v/>
      </c>
      <c r="AG472" s="50">
        <f>U472*K472</f>
        <v/>
      </c>
      <c r="AH472" s="50">
        <f>V472*K472</f>
        <v/>
      </c>
      <c r="AI472" s="50">
        <f>W472*K472</f>
        <v/>
      </c>
    </row>
    <row r="473">
      <c r="A473" s="25" t="n"/>
      <c r="B473" s="45">
        <f>IF(A473="","",IFERROR(INDEX(Mitarbeiter!$B$6:$B$205,MATCH($A473,Mitarbeiter!$A$6:$A$205,0)),"?"))</f>
        <v/>
      </c>
      <c r="C473" s="46" t="n"/>
      <c r="D473" s="26" t="n"/>
      <c r="E473" s="26" t="n"/>
      <c r="F473" s="24">
        <f>IF(A473="","",SUM(L473:W473))</f>
        <v/>
      </c>
      <c r="G473" s="36">
        <f>IF(A473="","",SUM(X473:AI473))</f>
        <v/>
      </c>
      <c r="H473" s="8">
        <f>IF(A473="","",IF(ISNA(MATCH(A473,Mitarbeiter!$A$6:$A$205,0)),"Pers.-Nr. unbekannt",IF(D473="","Von fehlt",IF(AND(C473&lt;&gt;Einstellungen!$C$4,C473&lt;&gt;Einstellungen!$C$5),"Objekt fehlt",IF(J473&lt;D473,"Bis vor Von",IF(D473&lt;INDEX(Mitarbeiter!$C$6:$C$205,MATCH($A473,Mitarbeiter!$A$6:$A$205,0)),"vor Eintritt",IF(AND(INDEX(Mitarbeiter!$D$6:$D$205,MATCH($A473,Mitarbeiter!$A$6:$A$205,0))&lt;&gt;"",D473&gt;INDEX(Mitarbeiter!$D$6:$D$205,MATCH($A473,Mitarbeiter!$A$6:$A$205,0))),"nach Austritt",IF(E473="","offen","ok"))))))))</f>
        <v/>
      </c>
      <c r="J473" s="47">
        <f>IF(A473="","",IF(E473="",Einstellungen!$C$9,E473))</f>
        <v/>
      </c>
      <c r="K473" s="48">
        <f>IF(A473="",0,IFERROR(INDEX(Mitarbeiter!$F$6:$F$205,MATCH($A473,Mitarbeiter!$A$6:$A$205,0)),0))</f>
        <v/>
      </c>
      <c r="L473" s="49">
        <f>IF(OR(A473="",D473=""),0,MAX(0,NETWORKDAYS(MAX(D473,DATE(Einstellungen!$C$3,1,1)),MIN(J473,DATE(Einstellungen!$C$3,2,0)),Einstellungen!$F$13:$F$32)))</f>
        <v/>
      </c>
      <c r="M473" s="49">
        <f>IF(OR(A473="",D473=""),0,MAX(0,NETWORKDAYS(MAX(D473,DATE(Einstellungen!$C$3,2,1)),MIN(J473,DATE(Einstellungen!$C$3,3,0)),Einstellungen!$F$13:$F$32)))</f>
        <v/>
      </c>
      <c r="N473" s="49">
        <f>IF(OR(A473="",D473=""),0,MAX(0,NETWORKDAYS(MAX(D473,DATE(Einstellungen!$C$3,3,1)),MIN(J473,DATE(Einstellungen!$C$3,4,0)),Einstellungen!$F$13:$F$32)))</f>
        <v/>
      </c>
      <c r="O473" s="49">
        <f>IF(OR(A473="",D473=""),0,MAX(0,NETWORKDAYS(MAX(D473,DATE(Einstellungen!$C$3,4,1)),MIN(J473,DATE(Einstellungen!$C$3,5,0)),Einstellungen!$F$13:$F$32)))</f>
        <v/>
      </c>
      <c r="P473" s="49">
        <f>IF(OR(A473="",D473=""),0,MAX(0,NETWORKDAYS(MAX(D473,DATE(Einstellungen!$C$3,5,1)),MIN(J473,DATE(Einstellungen!$C$3,6,0)),Einstellungen!$F$13:$F$32)))</f>
        <v/>
      </c>
      <c r="Q473" s="49">
        <f>IF(OR(A473="",D473=""),0,MAX(0,NETWORKDAYS(MAX(D473,DATE(Einstellungen!$C$3,6,1)),MIN(J473,DATE(Einstellungen!$C$3,7,0)),Einstellungen!$F$13:$F$32)))</f>
        <v/>
      </c>
      <c r="R473" s="49">
        <f>IF(OR(A473="",D473=""),0,MAX(0,NETWORKDAYS(MAX(D473,DATE(Einstellungen!$C$3,7,1)),MIN(J473,DATE(Einstellungen!$C$3,8,0)),Einstellungen!$F$13:$F$32)))</f>
        <v/>
      </c>
      <c r="S473" s="49">
        <f>IF(OR(A473="",D473=""),0,MAX(0,NETWORKDAYS(MAX(D473,DATE(Einstellungen!$C$3,8,1)),MIN(J473,DATE(Einstellungen!$C$3,9,0)),Einstellungen!$F$13:$F$32)))</f>
        <v/>
      </c>
      <c r="T473" s="49">
        <f>IF(OR(A473="",D473=""),0,MAX(0,NETWORKDAYS(MAX(D473,DATE(Einstellungen!$C$3,9,1)),MIN(J473,DATE(Einstellungen!$C$3,10,0)),Einstellungen!$F$13:$F$32)))</f>
        <v/>
      </c>
      <c r="U473" s="49">
        <f>IF(OR(A473="",D473=""),0,MAX(0,NETWORKDAYS(MAX(D473,DATE(Einstellungen!$C$3,10,1)),MIN(J473,DATE(Einstellungen!$C$3,11,0)),Einstellungen!$F$13:$F$32)))</f>
        <v/>
      </c>
      <c r="V473" s="49">
        <f>IF(OR(A473="",D473=""),0,MAX(0,NETWORKDAYS(MAX(D473,DATE(Einstellungen!$C$3,11,1)),MIN(J473,DATE(Einstellungen!$C$3,12,0)),Einstellungen!$F$13:$F$32)))</f>
        <v/>
      </c>
      <c r="W473" s="49">
        <f>IF(OR(A473="",D473=""),0,MAX(0,NETWORKDAYS(MAX(D473,DATE(Einstellungen!$C$3,12,1)),MIN(J473,DATE(Einstellungen!$C$3,13,0)),Einstellungen!$F$13:$F$32)))</f>
        <v/>
      </c>
      <c r="X473" s="50">
        <f>L473*K473</f>
        <v/>
      </c>
      <c r="Y473" s="50">
        <f>M473*K473</f>
        <v/>
      </c>
      <c r="Z473" s="50">
        <f>N473*K473</f>
        <v/>
      </c>
      <c r="AA473" s="50">
        <f>O473*K473</f>
        <v/>
      </c>
      <c r="AB473" s="50">
        <f>P473*K473</f>
        <v/>
      </c>
      <c r="AC473" s="50">
        <f>Q473*K473</f>
        <v/>
      </c>
      <c r="AD473" s="50">
        <f>R473*K473</f>
        <v/>
      </c>
      <c r="AE473" s="50">
        <f>S473*K473</f>
        <v/>
      </c>
      <c r="AF473" s="50">
        <f>T473*K473</f>
        <v/>
      </c>
      <c r="AG473" s="50">
        <f>U473*K473</f>
        <v/>
      </c>
      <c r="AH473" s="50">
        <f>V473*K473</f>
        <v/>
      </c>
      <c r="AI473" s="50">
        <f>W473*K473</f>
        <v/>
      </c>
    </row>
    <row r="474">
      <c r="A474" s="25" t="n"/>
      <c r="B474" s="45">
        <f>IF(A474="","",IFERROR(INDEX(Mitarbeiter!$B$6:$B$205,MATCH($A474,Mitarbeiter!$A$6:$A$205,0)),"?"))</f>
        <v/>
      </c>
      <c r="C474" s="46" t="n"/>
      <c r="D474" s="26" t="n"/>
      <c r="E474" s="26" t="n"/>
      <c r="F474" s="24">
        <f>IF(A474="","",SUM(L474:W474))</f>
        <v/>
      </c>
      <c r="G474" s="36">
        <f>IF(A474="","",SUM(X474:AI474))</f>
        <v/>
      </c>
      <c r="H474" s="8">
        <f>IF(A474="","",IF(ISNA(MATCH(A474,Mitarbeiter!$A$6:$A$205,0)),"Pers.-Nr. unbekannt",IF(D474="","Von fehlt",IF(AND(C474&lt;&gt;Einstellungen!$C$4,C474&lt;&gt;Einstellungen!$C$5),"Objekt fehlt",IF(J474&lt;D474,"Bis vor Von",IF(D474&lt;INDEX(Mitarbeiter!$C$6:$C$205,MATCH($A474,Mitarbeiter!$A$6:$A$205,0)),"vor Eintritt",IF(AND(INDEX(Mitarbeiter!$D$6:$D$205,MATCH($A474,Mitarbeiter!$A$6:$A$205,0))&lt;&gt;"",D474&gt;INDEX(Mitarbeiter!$D$6:$D$205,MATCH($A474,Mitarbeiter!$A$6:$A$205,0))),"nach Austritt",IF(E474="","offen","ok"))))))))</f>
        <v/>
      </c>
      <c r="J474" s="47">
        <f>IF(A474="","",IF(E474="",Einstellungen!$C$9,E474))</f>
        <v/>
      </c>
      <c r="K474" s="48">
        <f>IF(A474="",0,IFERROR(INDEX(Mitarbeiter!$F$6:$F$205,MATCH($A474,Mitarbeiter!$A$6:$A$205,0)),0))</f>
        <v/>
      </c>
      <c r="L474" s="49">
        <f>IF(OR(A474="",D474=""),0,MAX(0,NETWORKDAYS(MAX(D474,DATE(Einstellungen!$C$3,1,1)),MIN(J474,DATE(Einstellungen!$C$3,2,0)),Einstellungen!$F$13:$F$32)))</f>
        <v/>
      </c>
      <c r="M474" s="49">
        <f>IF(OR(A474="",D474=""),0,MAX(0,NETWORKDAYS(MAX(D474,DATE(Einstellungen!$C$3,2,1)),MIN(J474,DATE(Einstellungen!$C$3,3,0)),Einstellungen!$F$13:$F$32)))</f>
        <v/>
      </c>
      <c r="N474" s="49">
        <f>IF(OR(A474="",D474=""),0,MAX(0,NETWORKDAYS(MAX(D474,DATE(Einstellungen!$C$3,3,1)),MIN(J474,DATE(Einstellungen!$C$3,4,0)),Einstellungen!$F$13:$F$32)))</f>
        <v/>
      </c>
      <c r="O474" s="49">
        <f>IF(OR(A474="",D474=""),0,MAX(0,NETWORKDAYS(MAX(D474,DATE(Einstellungen!$C$3,4,1)),MIN(J474,DATE(Einstellungen!$C$3,5,0)),Einstellungen!$F$13:$F$32)))</f>
        <v/>
      </c>
      <c r="P474" s="49">
        <f>IF(OR(A474="",D474=""),0,MAX(0,NETWORKDAYS(MAX(D474,DATE(Einstellungen!$C$3,5,1)),MIN(J474,DATE(Einstellungen!$C$3,6,0)),Einstellungen!$F$13:$F$32)))</f>
        <v/>
      </c>
      <c r="Q474" s="49">
        <f>IF(OR(A474="",D474=""),0,MAX(0,NETWORKDAYS(MAX(D474,DATE(Einstellungen!$C$3,6,1)),MIN(J474,DATE(Einstellungen!$C$3,7,0)),Einstellungen!$F$13:$F$32)))</f>
        <v/>
      </c>
      <c r="R474" s="49">
        <f>IF(OR(A474="",D474=""),0,MAX(0,NETWORKDAYS(MAX(D474,DATE(Einstellungen!$C$3,7,1)),MIN(J474,DATE(Einstellungen!$C$3,8,0)),Einstellungen!$F$13:$F$32)))</f>
        <v/>
      </c>
      <c r="S474" s="49">
        <f>IF(OR(A474="",D474=""),0,MAX(0,NETWORKDAYS(MAX(D474,DATE(Einstellungen!$C$3,8,1)),MIN(J474,DATE(Einstellungen!$C$3,9,0)),Einstellungen!$F$13:$F$32)))</f>
        <v/>
      </c>
      <c r="T474" s="49">
        <f>IF(OR(A474="",D474=""),0,MAX(0,NETWORKDAYS(MAX(D474,DATE(Einstellungen!$C$3,9,1)),MIN(J474,DATE(Einstellungen!$C$3,10,0)),Einstellungen!$F$13:$F$32)))</f>
        <v/>
      </c>
      <c r="U474" s="49">
        <f>IF(OR(A474="",D474=""),0,MAX(0,NETWORKDAYS(MAX(D474,DATE(Einstellungen!$C$3,10,1)),MIN(J474,DATE(Einstellungen!$C$3,11,0)),Einstellungen!$F$13:$F$32)))</f>
        <v/>
      </c>
      <c r="V474" s="49">
        <f>IF(OR(A474="",D474=""),0,MAX(0,NETWORKDAYS(MAX(D474,DATE(Einstellungen!$C$3,11,1)),MIN(J474,DATE(Einstellungen!$C$3,12,0)),Einstellungen!$F$13:$F$32)))</f>
        <v/>
      </c>
      <c r="W474" s="49">
        <f>IF(OR(A474="",D474=""),0,MAX(0,NETWORKDAYS(MAX(D474,DATE(Einstellungen!$C$3,12,1)),MIN(J474,DATE(Einstellungen!$C$3,13,0)),Einstellungen!$F$13:$F$32)))</f>
        <v/>
      </c>
      <c r="X474" s="50">
        <f>L474*K474</f>
        <v/>
      </c>
      <c r="Y474" s="50">
        <f>M474*K474</f>
        <v/>
      </c>
      <c r="Z474" s="50">
        <f>N474*K474</f>
        <v/>
      </c>
      <c r="AA474" s="50">
        <f>O474*K474</f>
        <v/>
      </c>
      <c r="AB474" s="50">
        <f>P474*K474</f>
        <v/>
      </c>
      <c r="AC474" s="50">
        <f>Q474*K474</f>
        <v/>
      </c>
      <c r="AD474" s="50">
        <f>R474*K474</f>
        <v/>
      </c>
      <c r="AE474" s="50">
        <f>S474*K474</f>
        <v/>
      </c>
      <c r="AF474" s="50">
        <f>T474*K474</f>
        <v/>
      </c>
      <c r="AG474" s="50">
        <f>U474*K474</f>
        <v/>
      </c>
      <c r="AH474" s="50">
        <f>V474*K474</f>
        <v/>
      </c>
      <c r="AI474" s="50">
        <f>W474*K474</f>
        <v/>
      </c>
    </row>
    <row r="475">
      <c r="A475" s="25" t="n"/>
      <c r="B475" s="45">
        <f>IF(A475="","",IFERROR(INDEX(Mitarbeiter!$B$6:$B$205,MATCH($A475,Mitarbeiter!$A$6:$A$205,0)),"?"))</f>
        <v/>
      </c>
      <c r="C475" s="46" t="n"/>
      <c r="D475" s="26" t="n"/>
      <c r="E475" s="26" t="n"/>
      <c r="F475" s="24">
        <f>IF(A475="","",SUM(L475:W475))</f>
        <v/>
      </c>
      <c r="G475" s="36">
        <f>IF(A475="","",SUM(X475:AI475))</f>
        <v/>
      </c>
      <c r="H475" s="8">
        <f>IF(A475="","",IF(ISNA(MATCH(A475,Mitarbeiter!$A$6:$A$205,0)),"Pers.-Nr. unbekannt",IF(D475="","Von fehlt",IF(AND(C475&lt;&gt;Einstellungen!$C$4,C475&lt;&gt;Einstellungen!$C$5),"Objekt fehlt",IF(J475&lt;D475,"Bis vor Von",IF(D475&lt;INDEX(Mitarbeiter!$C$6:$C$205,MATCH($A475,Mitarbeiter!$A$6:$A$205,0)),"vor Eintritt",IF(AND(INDEX(Mitarbeiter!$D$6:$D$205,MATCH($A475,Mitarbeiter!$A$6:$A$205,0))&lt;&gt;"",D475&gt;INDEX(Mitarbeiter!$D$6:$D$205,MATCH($A475,Mitarbeiter!$A$6:$A$205,0))),"nach Austritt",IF(E475="","offen","ok"))))))))</f>
        <v/>
      </c>
      <c r="J475" s="47">
        <f>IF(A475="","",IF(E475="",Einstellungen!$C$9,E475))</f>
        <v/>
      </c>
      <c r="K475" s="48">
        <f>IF(A475="",0,IFERROR(INDEX(Mitarbeiter!$F$6:$F$205,MATCH($A475,Mitarbeiter!$A$6:$A$205,0)),0))</f>
        <v/>
      </c>
      <c r="L475" s="49">
        <f>IF(OR(A475="",D475=""),0,MAX(0,NETWORKDAYS(MAX(D475,DATE(Einstellungen!$C$3,1,1)),MIN(J475,DATE(Einstellungen!$C$3,2,0)),Einstellungen!$F$13:$F$32)))</f>
        <v/>
      </c>
      <c r="M475" s="49">
        <f>IF(OR(A475="",D475=""),0,MAX(0,NETWORKDAYS(MAX(D475,DATE(Einstellungen!$C$3,2,1)),MIN(J475,DATE(Einstellungen!$C$3,3,0)),Einstellungen!$F$13:$F$32)))</f>
        <v/>
      </c>
      <c r="N475" s="49">
        <f>IF(OR(A475="",D475=""),0,MAX(0,NETWORKDAYS(MAX(D475,DATE(Einstellungen!$C$3,3,1)),MIN(J475,DATE(Einstellungen!$C$3,4,0)),Einstellungen!$F$13:$F$32)))</f>
        <v/>
      </c>
      <c r="O475" s="49">
        <f>IF(OR(A475="",D475=""),0,MAX(0,NETWORKDAYS(MAX(D475,DATE(Einstellungen!$C$3,4,1)),MIN(J475,DATE(Einstellungen!$C$3,5,0)),Einstellungen!$F$13:$F$32)))</f>
        <v/>
      </c>
      <c r="P475" s="49">
        <f>IF(OR(A475="",D475=""),0,MAX(0,NETWORKDAYS(MAX(D475,DATE(Einstellungen!$C$3,5,1)),MIN(J475,DATE(Einstellungen!$C$3,6,0)),Einstellungen!$F$13:$F$32)))</f>
        <v/>
      </c>
      <c r="Q475" s="49">
        <f>IF(OR(A475="",D475=""),0,MAX(0,NETWORKDAYS(MAX(D475,DATE(Einstellungen!$C$3,6,1)),MIN(J475,DATE(Einstellungen!$C$3,7,0)),Einstellungen!$F$13:$F$32)))</f>
        <v/>
      </c>
      <c r="R475" s="49">
        <f>IF(OR(A475="",D475=""),0,MAX(0,NETWORKDAYS(MAX(D475,DATE(Einstellungen!$C$3,7,1)),MIN(J475,DATE(Einstellungen!$C$3,8,0)),Einstellungen!$F$13:$F$32)))</f>
        <v/>
      </c>
      <c r="S475" s="49">
        <f>IF(OR(A475="",D475=""),0,MAX(0,NETWORKDAYS(MAX(D475,DATE(Einstellungen!$C$3,8,1)),MIN(J475,DATE(Einstellungen!$C$3,9,0)),Einstellungen!$F$13:$F$32)))</f>
        <v/>
      </c>
      <c r="T475" s="49">
        <f>IF(OR(A475="",D475=""),0,MAX(0,NETWORKDAYS(MAX(D475,DATE(Einstellungen!$C$3,9,1)),MIN(J475,DATE(Einstellungen!$C$3,10,0)),Einstellungen!$F$13:$F$32)))</f>
        <v/>
      </c>
      <c r="U475" s="49">
        <f>IF(OR(A475="",D475=""),0,MAX(0,NETWORKDAYS(MAX(D475,DATE(Einstellungen!$C$3,10,1)),MIN(J475,DATE(Einstellungen!$C$3,11,0)),Einstellungen!$F$13:$F$32)))</f>
        <v/>
      </c>
      <c r="V475" s="49">
        <f>IF(OR(A475="",D475=""),0,MAX(0,NETWORKDAYS(MAX(D475,DATE(Einstellungen!$C$3,11,1)),MIN(J475,DATE(Einstellungen!$C$3,12,0)),Einstellungen!$F$13:$F$32)))</f>
        <v/>
      </c>
      <c r="W475" s="49">
        <f>IF(OR(A475="",D475=""),0,MAX(0,NETWORKDAYS(MAX(D475,DATE(Einstellungen!$C$3,12,1)),MIN(J475,DATE(Einstellungen!$C$3,13,0)),Einstellungen!$F$13:$F$32)))</f>
        <v/>
      </c>
      <c r="X475" s="50">
        <f>L475*K475</f>
        <v/>
      </c>
      <c r="Y475" s="50">
        <f>M475*K475</f>
        <v/>
      </c>
      <c r="Z475" s="50">
        <f>N475*K475</f>
        <v/>
      </c>
      <c r="AA475" s="50">
        <f>O475*K475</f>
        <v/>
      </c>
      <c r="AB475" s="50">
        <f>P475*K475</f>
        <v/>
      </c>
      <c r="AC475" s="50">
        <f>Q475*K475</f>
        <v/>
      </c>
      <c r="AD475" s="50">
        <f>R475*K475</f>
        <v/>
      </c>
      <c r="AE475" s="50">
        <f>S475*K475</f>
        <v/>
      </c>
      <c r="AF475" s="50">
        <f>T475*K475</f>
        <v/>
      </c>
      <c r="AG475" s="50">
        <f>U475*K475</f>
        <v/>
      </c>
      <c r="AH475" s="50">
        <f>V475*K475</f>
        <v/>
      </c>
      <c r="AI475" s="50">
        <f>W475*K475</f>
        <v/>
      </c>
    </row>
    <row r="476">
      <c r="A476" s="25" t="n"/>
      <c r="B476" s="45">
        <f>IF(A476="","",IFERROR(INDEX(Mitarbeiter!$B$6:$B$205,MATCH($A476,Mitarbeiter!$A$6:$A$205,0)),"?"))</f>
        <v/>
      </c>
      <c r="C476" s="46" t="n"/>
      <c r="D476" s="26" t="n"/>
      <c r="E476" s="26" t="n"/>
      <c r="F476" s="24">
        <f>IF(A476="","",SUM(L476:W476))</f>
        <v/>
      </c>
      <c r="G476" s="36">
        <f>IF(A476="","",SUM(X476:AI476))</f>
        <v/>
      </c>
      <c r="H476" s="8">
        <f>IF(A476="","",IF(ISNA(MATCH(A476,Mitarbeiter!$A$6:$A$205,0)),"Pers.-Nr. unbekannt",IF(D476="","Von fehlt",IF(AND(C476&lt;&gt;Einstellungen!$C$4,C476&lt;&gt;Einstellungen!$C$5),"Objekt fehlt",IF(J476&lt;D476,"Bis vor Von",IF(D476&lt;INDEX(Mitarbeiter!$C$6:$C$205,MATCH($A476,Mitarbeiter!$A$6:$A$205,0)),"vor Eintritt",IF(AND(INDEX(Mitarbeiter!$D$6:$D$205,MATCH($A476,Mitarbeiter!$A$6:$A$205,0))&lt;&gt;"",D476&gt;INDEX(Mitarbeiter!$D$6:$D$205,MATCH($A476,Mitarbeiter!$A$6:$A$205,0))),"nach Austritt",IF(E476="","offen","ok"))))))))</f>
        <v/>
      </c>
      <c r="J476" s="47">
        <f>IF(A476="","",IF(E476="",Einstellungen!$C$9,E476))</f>
        <v/>
      </c>
      <c r="K476" s="48">
        <f>IF(A476="",0,IFERROR(INDEX(Mitarbeiter!$F$6:$F$205,MATCH($A476,Mitarbeiter!$A$6:$A$205,0)),0))</f>
        <v/>
      </c>
      <c r="L476" s="49">
        <f>IF(OR(A476="",D476=""),0,MAX(0,NETWORKDAYS(MAX(D476,DATE(Einstellungen!$C$3,1,1)),MIN(J476,DATE(Einstellungen!$C$3,2,0)),Einstellungen!$F$13:$F$32)))</f>
        <v/>
      </c>
      <c r="M476" s="49">
        <f>IF(OR(A476="",D476=""),0,MAX(0,NETWORKDAYS(MAX(D476,DATE(Einstellungen!$C$3,2,1)),MIN(J476,DATE(Einstellungen!$C$3,3,0)),Einstellungen!$F$13:$F$32)))</f>
        <v/>
      </c>
      <c r="N476" s="49">
        <f>IF(OR(A476="",D476=""),0,MAX(0,NETWORKDAYS(MAX(D476,DATE(Einstellungen!$C$3,3,1)),MIN(J476,DATE(Einstellungen!$C$3,4,0)),Einstellungen!$F$13:$F$32)))</f>
        <v/>
      </c>
      <c r="O476" s="49">
        <f>IF(OR(A476="",D476=""),0,MAX(0,NETWORKDAYS(MAX(D476,DATE(Einstellungen!$C$3,4,1)),MIN(J476,DATE(Einstellungen!$C$3,5,0)),Einstellungen!$F$13:$F$32)))</f>
        <v/>
      </c>
      <c r="P476" s="49">
        <f>IF(OR(A476="",D476=""),0,MAX(0,NETWORKDAYS(MAX(D476,DATE(Einstellungen!$C$3,5,1)),MIN(J476,DATE(Einstellungen!$C$3,6,0)),Einstellungen!$F$13:$F$32)))</f>
        <v/>
      </c>
      <c r="Q476" s="49">
        <f>IF(OR(A476="",D476=""),0,MAX(0,NETWORKDAYS(MAX(D476,DATE(Einstellungen!$C$3,6,1)),MIN(J476,DATE(Einstellungen!$C$3,7,0)),Einstellungen!$F$13:$F$32)))</f>
        <v/>
      </c>
      <c r="R476" s="49">
        <f>IF(OR(A476="",D476=""),0,MAX(0,NETWORKDAYS(MAX(D476,DATE(Einstellungen!$C$3,7,1)),MIN(J476,DATE(Einstellungen!$C$3,8,0)),Einstellungen!$F$13:$F$32)))</f>
        <v/>
      </c>
      <c r="S476" s="49">
        <f>IF(OR(A476="",D476=""),0,MAX(0,NETWORKDAYS(MAX(D476,DATE(Einstellungen!$C$3,8,1)),MIN(J476,DATE(Einstellungen!$C$3,9,0)),Einstellungen!$F$13:$F$32)))</f>
        <v/>
      </c>
      <c r="T476" s="49">
        <f>IF(OR(A476="",D476=""),0,MAX(0,NETWORKDAYS(MAX(D476,DATE(Einstellungen!$C$3,9,1)),MIN(J476,DATE(Einstellungen!$C$3,10,0)),Einstellungen!$F$13:$F$32)))</f>
        <v/>
      </c>
      <c r="U476" s="49">
        <f>IF(OR(A476="",D476=""),0,MAX(0,NETWORKDAYS(MAX(D476,DATE(Einstellungen!$C$3,10,1)),MIN(J476,DATE(Einstellungen!$C$3,11,0)),Einstellungen!$F$13:$F$32)))</f>
        <v/>
      </c>
      <c r="V476" s="49">
        <f>IF(OR(A476="",D476=""),0,MAX(0,NETWORKDAYS(MAX(D476,DATE(Einstellungen!$C$3,11,1)),MIN(J476,DATE(Einstellungen!$C$3,12,0)),Einstellungen!$F$13:$F$32)))</f>
        <v/>
      </c>
      <c r="W476" s="49">
        <f>IF(OR(A476="",D476=""),0,MAX(0,NETWORKDAYS(MAX(D476,DATE(Einstellungen!$C$3,12,1)),MIN(J476,DATE(Einstellungen!$C$3,13,0)),Einstellungen!$F$13:$F$32)))</f>
        <v/>
      </c>
      <c r="X476" s="50">
        <f>L476*K476</f>
        <v/>
      </c>
      <c r="Y476" s="50">
        <f>M476*K476</f>
        <v/>
      </c>
      <c r="Z476" s="50">
        <f>N476*K476</f>
        <v/>
      </c>
      <c r="AA476" s="50">
        <f>O476*K476</f>
        <v/>
      </c>
      <c r="AB476" s="50">
        <f>P476*K476</f>
        <v/>
      </c>
      <c r="AC476" s="50">
        <f>Q476*K476</f>
        <v/>
      </c>
      <c r="AD476" s="50">
        <f>R476*K476</f>
        <v/>
      </c>
      <c r="AE476" s="50">
        <f>S476*K476</f>
        <v/>
      </c>
      <c r="AF476" s="50">
        <f>T476*K476</f>
        <v/>
      </c>
      <c r="AG476" s="50">
        <f>U476*K476</f>
        <v/>
      </c>
      <c r="AH476" s="50">
        <f>V476*K476</f>
        <v/>
      </c>
      <c r="AI476" s="50">
        <f>W476*K476</f>
        <v/>
      </c>
    </row>
    <row r="477">
      <c r="A477" s="25" t="n"/>
      <c r="B477" s="45">
        <f>IF(A477="","",IFERROR(INDEX(Mitarbeiter!$B$6:$B$205,MATCH($A477,Mitarbeiter!$A$6:$A$205,0)),"?"))</f>
        <v/>
      </c>
      <c r="C477" s="46" t="n"/>
      <c r="D477" s="26" t="n"/>
      <c r="E477" s="26" t="n"/>
      <c r="F477" s="24">
        <f>IF(A477="","",SUM(L477:W477))</f>
        <v/>
      </c>
      <c r="G477" s="36">
        <f>IF(A477="","",SUM(X477:AI477))</f>
        <v/>
      </c>
      <c r="H477" s="8">
        <f>IF(A477="","",IF(ISNA(MATCH(A477,Mitarbeiter!$A$6:$A$205,0)),"Pers.-Nr. unbekannt",IF(D477="","Von fehlt",IF(AND(C477&lt;&gt;Einstellungen!$C$4,C477&lt;&gt;Einstellungen!$C$5),"Objekt fehlt",IF(J477&lt;D477,"Bis vor Von",IF(D477&lt;INDEX(Mitarbeiter!$C$6:$C$205,MATCH($A477,Mitarbeiter!$A$6:$A$205,0)),"vor Eintritt",IF(AND(INDEX(Mitarbeiter!$D$6:$D$205,MATCH($A477,Mitarbeiter!$A$6:$A$205,0))&lt;&gt;"",D477&gt;INDEX(Mitarbeiter!$D$6:$D$205,MATCH($A477,Mitarbeiter!$A$6:$A$205,0))),"nach Austritt",IF(E477="","offen","ok"))))))))</f>
        <v/>
      </c>
      <c r="J477" s="47">
        <f>IF(A477="","",IF(E477="",Einstellungen!$C$9,E477))</f>
        <v/>
      </c>
      <c r="K477" s="48">
        <f>IF(A477="",0,IFERROR(INDEX(Mitarbeiter!$F$6:$F$205,MATCH($A477,Mitarbeiter!$A$6:$A$205,0)),0))</f>
        <v/>
      </c>
      <c r="L477" s="49">
        <f>IF(OR(A477="",D477=""),0,MAX(0,NETWORKDAYS(MAX(D477,DATE(Einstellungen!$C$3,1,1)),MIN(J477,DATE(Einstellungen!$C$3,2,0)),Einstellungen!$F$13:$F$32)))</f>
        <v/>
      </c>
      <c r="M477" s="49">
        <f>IF(OR(A477="",D477=""),0,MAX(0,NETWORKDAYS(MAX(D477,DATE(Einstellungen!$C$3,2,1)),MIN(J477,DATE(Einstellungen!$C$3,3,0)),Einstellungen!$F$13:$F$32)))</f>
        <v/>
      </c>
      <c r="N477" s="49">
        <f>IF(OR(A477="",D477=""),0,MAX(0,NETWORKDAYS(MAX(D477,DATE(Einstellungen!$C$3,3,1)),MIN(J477,DATE(Einstellungen!$C$3,4,0)),Einstellungen!$F$13:$F$32)))</f>
        <v/>
      </c>
      <c r="O477" s="49">
        <f>IF(OR(A477="",D477=""),0,MAX(0,NETWORKDAYS(MAX(D477,DATE(Einstellungen!$C$3,4,1)),MIN(J477,DATE(Einstellungen!$C$3,5,0)),Einstellungen!$F$13:$F$32)))</f>
        <v/>
      </c>
      <c r="P477" s="49">
        <f>IF(OR(A477="",D477=""),0,MAX(0,NETWORKDAYS(MAX(D477,DATE(Einstellungen!$C$3,5,1)),MIN(J477,DATE(Einstellungen!$C$3,6,0)),Einstellungen!$F$13:$F$32)))</f>
        <v/>
      </c>
      <c r="Q477" s="49">
        <f>IF(OR(A477="",D477=""),0,MAX(0,NETWORKDAYS(MAX(D477,DATE(Einstellungen!$C$3,6,1)),MIN(J477,DATE(Einstellungen!$C$3,7,0)),Einstellungen!$F$13:$F$32)))</f>
        <v/>
      </c>
      <c r="R477" s="49">
        <f>IF(OR(A477="",D477=""),0,MAX(0,NETWORKDAYS(MAX(D477,DATE(Einstellungen!$C$3,7,1)),MIN(J477,DATE(Einstellungen!$C$3,8,0)),Einstellungen!$F$13:$F$32)))</f>
        <v/>
      </c>
      <c r="S477" s="49">
        <f>IF(OR(A477="",D477=""),0,MAX(0,NETWORKDAYS(MAX(D477,DATE(Einstellungen!$C$3,8,1)),MIN(J477,DATE(Einstellungen!$C$3,9,0)),Einstellungen!$F$13:$F$32)))</f>
        <v/>
      </c>
      <c r="T477" s="49">
        <f>IF(OR(A477="",D477=""),0,MAX(0,NETWORKDAYS(MAX(D477,DATE(Einstellungen!$C$3,9,1)),MIN(J477,DATE(Einstellungen!$C$3,10,0)),Einstellungen!$F$13:$F$32)))</f>
        <v/>
      </c>
      <c r="U477" s="49">
        <f>IF(OR(A477="",D477=""),0,MAX(0,NETWORKDAYS(MAX(D477,DATE(Einstellungen!$C$3,10,1)),MIN(J477,DATE(Einstellungen!$C$3,11,0)),Einstellungen!$F$13:$F$32)))</f>
        <v/>
      </c>
      <c r="V477" s="49">
        <f>IF(OR(A477="",D477=""),0,MAX(0,NETWORKDAYS(MAX(D477,DATE(Einstellungen!$C$3,11,1)),MIN(J477,DATE(Einstellungen!$C$3,12,0)),Einstellungen!$F$13:$F$32)))</f>
        <v/>
      </c>
      <c r="W477" s="49">
        <f>IF(OR(A477="",D477=""),0,MAX(0,NETWORKDAYS(MAX(D477,DATE(Einstellungen!$C$3,12,1)),MIN(J477,DATE(Einstellungen!$C$3,13,0)),Einstellungen!$F$13:$F$32)))</f>
        <v/>
      </c>
      <c r="X477" s="50">
        <f>L477*K477</f>
        <v/>
      </c>
      <c r="Y477" s="50">
        <f>M477*K477</f>
        <v/>
      </c>
      <c r="Z477" s="50">
        <f>N477*K477</f>
        <v/>
      </c>
      <c r="AA477" s="50">
        <f>O477*K477</f>
        <v/>
      </c>
      <c r="AB477" s="50">
        <f>P477*K477</f>
        <v/>
      </c>
      <c r="AC477" s="50">
        <f>Q477*K477</f>
        <v/>
      </c>
      <c r="AD477" s="50">
        <f>R477*K477</f>
        <v/>
      </c>
      <c r="AE477" s="50">
        <f>S477*K477</f>
        <v/>
      </c>
      <c r="AF477" s="50">
        <f>T477*K477</f>
        <v/>
      </c>
      <c r="AG477" s="50">
        <f>U477*K477</f>
        <v/>
      </c>
      <c r="AH477" s="50">
        <f>V477*K477</f>
        <v/>
      </c>
      <c r="AI477" s="50">
        <f>W477*K477</f>
        <v/>
      </c>
    </row>
    <row r="478">
      <c r="A478" s="25" t="n"/>
      <c r="B478" s="45">
        <f>IF(A478="","",IFERROR(INDEX(Mitarbeiter!$B$6:$B$205,MATCH($A478,Mitarbeiter!$A$6:$A$205,0)),"?"))</f>
        <v/>
      </c>
      <c r="C478" s="46" t="n"/>
      <c r="D478" s="26" t="n"/>
      <c r="E478" s="26" t="n"/>
      <c r="F478" s="24">
        <f>IF(A478="","",SUM(L478:W478))</f>
        <v/>
      </c>
      <c r="G478" s="36">
        <f>IF(A478="","",SUM(X478:AI478))</f>
        <v/>
      </c>
      <c r="H478" s="8">
        <f>IF(A478="","",IF(ISNA(MATCH(A478,Mitarbeiter!$A$6:$A$205,0)),"Pers.-Nr. unbekannt",IF(D478="","Von fehlt",IF(AND(C478&lt;&gt;Einstellungen!$C$4,C478&lt;&gt;Einstellungen!$C$5),"Objekt fehlt",IF(J478&lt;D478,"Bis vor Von",IF(D478&lt;INDEX(Mitarbeiter!$C$6:$C$205,MATCH($A478,Mitarbeiter!$A$6:$A$205,0)),"vor Eintritt",IF(AND(INDEX(Mitarbeiter!$D$6:$D$205,MATCH($A478,Mitarbeiter!$A$6:$A$205,0))&lt;&gt;"",D478&gt;INDEX(Mitarbeiter!$D$6:$D$205,MATCH($A478,Mitarbeiter!$A$6:$A$205,0))),"nach Austritt",IF(E478="","offen","ok"))))))))</f>
        <v/>
      </c>
      <c r="J478" s="47">
        <f>IF(A478="","",IF(E478="",Einstellungen!$C$9,E478))</f>
        <v/>
      </c>
      <c r="K478" s="48">
        <f>IF(A478="",0,IFERROR(INDEX(Mitarbeiter!$F$6:$F$205,MATCH($A478,Mitarbeiter!$A$6:$A$205,0)),0))</f>
        <v/>
      </c>
      <c r="L478" s="49">
        <f>IF(OR(A478="",D478=""),0,MAX(0,NETWORKDAYS(MAX(D478,DATE(Einstellungen!$C$3,1,1)),MIN(J478,DATE(Einstellungen!$C$3,2,0)),Einstellungen!$F$13:$F$32)))</f>
        <v/>
      </c>
      <c r="M478" s="49">
        <f>IF(OR(A478="",D478=""),0,MAX(0,NETWORKDAYS(MAX(D478,DATE(Einstellungen!$C$3,2,1)),MIN(J478,DATE(Einstellungen!$C$3,3,0)),Einstellungen!$F$13:$F$32)))</f>
        <v/>
      </c>
      <c r="N478" s="49">
        <f>IF(OR(A478="",D478=""),0,MAX(0,NETWORKDAYS(MAX(D478,DATE(Einstellungen!$C$3,3,1)),MIN(J478,DATE(Einstellungen!$C$3,4,0)),Einstellungen!$F$13:$F$32)))</f>
        <v/>
      </c>
      <c r="O478" s="49">
        <f>IF(OR(A478="",D478=""),0,MAX(0,NETWORKDAYS(MAX(D478,DATE(Einstellungen!$C$3,4,1)),MIN(J478,DATE(Einstellungen!$C$3,5,0)),Einstellungen!$F$13:$F$32)))</f>
        <v/>
      </c>
      <c r="P478" s="49">
        <f>IF(OR(A478="",D478=""),0,MAX(0,NETWORKDAYS(MAX(D478,DATE(Einstellungen!$C$3,5,1)),MIN(J478,DATE(Einstellungen!$C$3,6,0)),Einstellungen!$F$13:$F$32)))</f>
        <v/>
      </c>
      <c r="Q478" s="49">
        <f>IF(OR(A478="",D478=""),0,MAX(0,NETWORKDAYS(MAX(D478,DATE(Einstellungen!$C$3,6,1)),MIN(J478,DATE(Einstellungen!$C$3,7,0)),Einstellungen!$F$13:$F$32)))</f>
        <v/>
      </c>
      <c r="R478" s="49">
        <f>IF(OR(A478="",D478=""),0,MAX(0,NETWORKDAYS(MAX(D478,DATE(Einstellungen!$C$3,7,1)),MIN(J478,DATE(Einstellungen!$C$3,8,0)),Einstellungen!$F$13:$F$32)))</f>
        <v/>
      </c>
      <c r="S478" s="49">
        <f>IF(OR(A478="",D478=""),0,MAX(0,NETWORKDAYS(MAX(D478,DATE(Einstellungen!$C$3,8,1)),MIN(J478,DATE(Einstellungen!$C$3,9,0)),Einstellungen!$F$13:$F$32)))</f>
        <v/>
      </c>
      <c r="T478" s="49">
        <f>IF(OR(A478="",D478=""),0,MAX(0,NETWORKDAYS(MAX(D478,DATE(Einstellungen!$C$3,9,1)),MIN(J478,DATE(Einstellungen!$C$3,10,0)),Einstellungen!$F$13:$F$32)))</f>
        <v/>
      </c>
      <c r="U478" s="49">
        <f>IF(OR(A478="",D478=""),0,MAX(0,NETWORKDAYS(MAX(D478,DATE(Einstellungen!$C$3,10,1)),MIN(J478,DATE(Einstellungen!$C$3,11,0)),Einstellungen!$F$13:$F$32)))</f>
        <v/>
      </c>
      <c r="V478" s="49">
        <f>IF(OR(A478="",D478=""),0,MAX(0,NETWORKDAYS(MAX(D478,DATE(Einstellungen!$C$3,11,1)),MIN(J478,DATE(Einstellungen!$C$3,12,0)),Einstellungen!$F$13:$F$32)))</f>
        <v/>
      </c>
      <c r="W478" s="49">
        <f>IF(OR(A478="",D478=""),0,MAX(0,NETWORKDAYS(MAX(D478,DATE(Einstellungen!$C$3,12,1)),MIN(J478,DATE(Einstellungen!$C$3,13,0)),Einstellungen!$F$13:$F$32)))</f>
        <v/>
      </c>
      <c r="X478" s="50">
        <f>L478*K478</f>
        <v/>
      </c>
      <c r="Y478" s="50">
        <f>M478*K478</f>
        <v/>
      </c>
      <c r="Z478" s="50">
        <f>N478*K478</f>
        <v/>
      </c>
      <c r="AA478" s="50">
        <f>O478*K478</f>
        <v/>
      </c>
      <c r="AB478" s="50">
        <f>P478*K478</f>
        <v/>
      </c>
      <c r="AC478" s="50">
        <f>Q478*K478</f>
        <v/>
      </c>
      <c r="AD478" s="50">
        <f>R478*K478</f>
        <v/>
      </c>
      <c r="AE478" s="50">
        <f>S478*K478</f>
        <v/>
      </c>
      <c r="AF478" s="50">
        <f>T478*K478</f>
        <v/>
      </c>
      <c r="AG478" s="50">
        <f>U478*K478</f>
        <v/>
      </c>
      <c r="AH478" s="50">
        <f>V478*K478</f>
        <v/>
      </c>
      <c r="AI478" s="50">
        <f>W478*K478</f>
        <v/>
      </c>
    </row>
    <row r="479">
      <c r="A479" s="25" t="n"/>
      <c r="B479" s="45">
        <f>IF(A479="","",IFERROR(INDEX(Mitarbeiter!$B$6:$B$205,MATCH($A479,Mitarbeiter!$A$6:$A$205,0)),"?"))</f>
        <v/>
      </c>
      <c r="C479" s="46" t="n"/>
      <c r="D479" s="26" t="n"/>
      <c r="E479" s="26" t="n"/>
      <c r="F479" s="24">
        <f>IF(A479="","",SUM(L479:W479))</f>
        <v/>
      </c>
      <c r="G479" s="36">
        <f>IF(A479="","",SUM(X479:AI479))</f>
        <v/>
      </c>
      <c r="H479" s="8">
        <f>IF(A479="","",IF(ISNA(MATCH(A479,Mitarbeiter!$A$6:$A$205,0)),"Pers.-Nr. unbekannt",IF(D479="","Von fehlt",IF(AND(C479&lt;&gt;Einstellungen!$C$4,C479&lt;&gt;Einstellungen!$C$5),"Objekt fehlt",IF(J479&lt;D479,"Bis vor Von",IF(D479&lt;INDEX(Mitarbeiter!$C$6:$C$205,MATCH($A479,Mitarbeiter!$A$6:$A$205,0)),"vor Eintritt",IF(AND(INDEX(Mitarbeiter!$D$6:$D$205,MATCH($A479,Mitarbeiter!$A$6:$A$205,0))&lt;&gt;"",D479&gt;INDEX(Mitarbeiter!$D$6:$D$205,MATCH($A479,Mitarbeiter!$A$6:$A$205,0))),"nach Austritt",IF(E479="","offen","ok"))))))))</f>
        <v/>
      </c>
      <c r="J479" s="47">
        <f>IF(A479="","",IF(E479="",Einstellungen!$C$9,E479))</f>
        <v/>
      </c>
      <c r="K479" s="48">
        <f>IF(A479="",0,IFERROR(INDEX(Mitarbeiter!$F$6:$F$205,MATCH($A479,Mitarbeiter!$A$6:$A$205,0)),0))</f>
        <v/>
      </c>
      <c r="L479" s="49">
        <f>IF(OR(A479="",D479=""),0,MAX(0,NETWORKDAYS(MAX(D479,DATE(Einstellungen!$C$3,1,1)),MIN(J479,DATE(Einstellungen!$C$3,2,0)),Einstellungen!$F$13:$F$32)))</f>
        <v/>
      </c>
      <c r="M479" s="49">
        <f>IF(OR(A479="",D479=""),0,MAX(0,NETWORKDAYS(MAX(D479,DATE(Einstellungen!$C$3,2,1)),MIN(J479,DATE(Einstellungen!$C$3,3,0)),Einstellungen!$F$13:$F$32)))</f>
        <v/>
      </c>
      <c r="N479" s="49">
        <f>IF(OR(A479="",D479=""),0,MAX(0,NETWORKDAYS(MAX(D479,DATE(Einstellungen!$C$3,3,1)),MIN(J479,DATE(Einstellungen!$C$3,4,0)),Einstellungen!$F$13:$F$32)))</f>
        <v/>
      </c>
      <c r="O479" s="49">
        <f>IF(OR(A479="",D479=""),0,MAX(0,NETWORKDAYS(MAX(D479,DATE(Einstellungen!$C$3,4,1)),MIN(J479,DATE(Einstellungen!$C$3,5,0)),Einstellungen!$F$13:$F$32)))</f>
        <v/>
      </c>
      <c r="P479" s="49">
        <f>IF(OR(A479="",D479=""),0,MAX(0,NETWORKDAYS(MAX(D479,DATE(Einstellungen!$C$3,5,1)),MIN(J479,DATE(Einstellungen!$C$3,6,0)),Einstellungen!$F$13:$F$32)))</f>
        <v/>
      </c>
      <c r="Q479" s="49">
        <f>IF(OR(A479="",D479=""),0,MAX(0,NETWORKDAYS(MAX(D479,DATE(Einstellungen!$C$3,6,1)),MIN(J479,DATE(Einstellungen!$C$3,7,0)),Einstellungen!$F$13:$F$32)))</f>
        <v/>
      </c>
      <c r="R479" s="49">
        <f>IF(OR(A479="",D479=""),0,MAX(0,NETWORKDAYS(MAX(D479,DATE(Einstellungen!$C$3,7,1)),MIN(J479,DATE(Einstellungen!$C$3,8,0)),Einstellungen!$F$13:$F$32)))</f>
        <v/>
      </c>
      <c r="S479" s="49">
        <f>IF(OR(A479="",D479=""),0,MAX(0,NETWORKDAYS(MAX(D479,DATE(Einstellungen!$C$3,8,1)),MIN(J479,DATE(Einstellungen!$C$3,9,0)),Einstellungen!$F$13:$F$32)))</f>
        <v/>
      </c>
      <c r="T479" s="49">
        <f>IF(OR(A479="",D479=""),0,MAX(0,NETWORKDAYS(MAX(D479,DATE(Einstellungen!$C$3,9,1)),MIN(J479,DATE(Einstellungen!$C$3,10,0)),Einstellungen!$F$13:$F$32)))</f>
        <v/>
      </c>
      <c r="U479" s="49">
        <f>IF(OR(A479="",D479=""),0,MAX(0,NETWORKDAYS(MAX(D479,DATE(Einstellungen!$C$3,10,1)),MIN(J479,DATE(Einstellungen!$C$3,11,0)),Einstellungen!$F$13:$F$32)))</f>
        <v/>
      </c>
      <c r="V479" s="49">
        <f>IF(OR(A479="",D479=""),0,MAX(0,NETWORKDAYS(MAX(D479,DATE(Einstellungen!$C$3,11,1)),MIN(J479,DATE(Einstellungen!$C$3,12,0)),Einstellungen!$F$13:$F$32)))</f>
        <v/>
      </c>
      <c r="W479" s="49">
        <f>IF(OR(A479="",D479=""),0,MAX(0,NETWORKDAYS(MAX(D479,DATE(Einstellungen!$C$3,12,1)),MIN(J479,DATE(Einstellungen!$C$3,13,0)),Einstellungen!$F$13:$F$32)))</f>
        <v/>
      </c>
      <c r="X479" s="50">
        <f>L479*K479</f>
        <v/>
      </c>
      <c r="Y479" s="50">
        <f>M479*K479</f>
        <v/>
      </c>
      <c r="Z479" s="50">
        <f>N479*K479</f>
        <v/>
      </c>
      <c r="AA479" s="50">
        <f>O479*K479</f>
        <v/>
      </c>
      <c r="AB479" s="50">
        <f>P479*K479</f>
        <v/>
      </c>
      <c r="AC479" s="50">
        <f>Q479*K479</f>
        <v/>
      </c>
      <c r="AD479" s="50">
        <f>R479*K479</f>
        <v/>
      </c>
      <c r="AE479" s="50">
        <f>S479*K479</f>
        <v/>
      </c>
      <c r="AF479" s="50">
        <f>T479*K479</f>
        <v/>
      </c>
      <c r="AG479" s="50">
        <f>U479*K479</f>
        <v/>
      </c>
      <c r="AH479" s="50">
        <f>V479*K479</f>
        <v/>
      </c>
      <c r="AI479" s="50">
        <f>W479*K479</f>
        <v/>
      </c>
    </row>
    <row r="480">
      <c r="A480" s="25" t="n"/>
      <c r="B480" s="45">
        <f>IF(A480="","",IFERROR(INDEX(Mitarbeiter!$B$6:$B$205,MATCH($A480,Mitarbeiter!$A$6:$A$205,0)),"?"))</f>
        <v/>
      </c>
      <c r="C480" s="46" t="n"/>
      <c r="D480" s="26" t="n"/>
      <c r="E480" s="26" t="n"/>
      <c r="F480" s="24">
        <f>IF(A480="","",SUM(L480:W480))</f>
        <v/>
      </c>
      <c r="G480" s="36">
        <f>IF(A480="","",SUM(X480:AI480))</f>
        <v/>
      </c>
      <c r="H480" s="8">
        <f>IF(A480="","",IF(ISNA(MATCH(A480,Mitarbeiter!$A$6:$A$205,0)),"Pers.-Nr. unbekannt",IF(D480="","Von fehlt",IF(AND(C480&lt;&gt;Einstellungen!$C$4,C480&lt;&gt;Einstellungen!$C$5),"Objekt fehlt",IF(J480&lt;D480,"Bis vor Von",IF(D480&lt;INDEX(Mitarbeiter!$C$6:$C$205,MATCH($A480,Mitarbeiter!$A$6:$A$205,0)),"vor Eintritt",IF(AND(INDEX(Mitarbeiter!$D$6:$D$205,MATCH($A480,Mitarbeiter!$A$6:$A$205,0))&lt;&gt;"",D480&gt;INDEX(Mitarbeiter!$D$6:$D$205,MATCH($A480,Mitarbeiter!$A$6:$A$205,0))),"nach Austritt",IF(E480="","offen","ok"))))))))</f>
        <v/>
      </c>
      <c r="J480" s="47">
        <f>IF(A480="","",IF(E480="",Einstellungen!$C$9,E480))</f>
        <v/>
      </c>
      <c r="K480" s="48">
        <f>IF(A480="",0,IFERROR(INDEX(Mitarbeiter!$F$6:$F$205,MATCH($A480,Mitarbeiter!$A$6:$A$205,0)),0))</f>
        <v/>
      </c>
      <c r="L480" s="49">
        <f>IF(OR(A480="",D480=""),0,MAX(0,NETWORKDAYS(MAX(D480,DATE(Einstellungen!$C$3,1,1)),MIN(J480,DATE(Einstellungen!$C$3,2,0)),Einstellungen!$F$13:$F$32)))</f>
        <v/>
      </c>
      <c r="M480" s="49">
        <f>IF(OR(A480="",D480=""),0,MAX(0,NETWORKDAYS(MAX(D480,DATE(Einstellungen!$C$3,2,1)),MIN(J480,DATE(Einstellungen!$C$3,3,0)),Einstellungen!$F$13:$F$32)))</f>
        <v/>
      </c>
      <c r="N480" s="49">
        <f>IF(OR(A480="",D480=""),0,MAX(0,NETWORKDAYS(MAX(D480,DATE(Einstellungen!$C$3,3,1)),MIN(J480,DATE(Einstellungen!$C$3,4,0)),Einstellungen!$F$13:$F$32)))</f>
        <v/>
      </c>
      <c r="O480" s="49">
        <f>IF(OR(A480="",D480=""),0,MAX(0,NETWORKDAYS(MAX(D480,DATE(Einstellungen!$C$3,4,1)),MIN(J480,DATE(Einstellungen!$C$3,5,0)),Einstellungen!$F$13:$F$32)))</f>
        <v/>
      </c>
      <c r="P480" s="49">
        <f>IF(OR(A480="",D480=""),0,MAX(0,NETWORKDAYS(MAX(D480,DATE(Einstellungen!$C$3,5,1)),MIN(J480,DATE(Einstellungen!$C$3,6,0)),Einstellungen!$F$13:$F$32)))</f>
        <v/>
      </c>
      <c r="Q480" s="49">
        <f>IF(OR(A480="",D480=""),0,MAX(0,NETWORKDAYS(MAX(D480,DATE(Einstellungen!$C$3,6,1)),MIN(J480,DATE(Einstellungen!$C$3,7,0)),Einstellungen!$F$13:$F$32)))</f>
        <v/>
      </c>
      <c r="R480" s="49">
        <f>IF(OR(A480="",D480=""),0,MAX(0,NETWORKDAYS(MAX(D480,DATE(Einstellungen!$C$3,7,1)),MIN(J480,DATE(Einstellungen!$C$3,8,0)),Einstellungen!$F$13:$F$32)))</f>
        <v/>
      </c>
      <c r="S480" s="49">
        <f>IF(OR(A480="",D480=""),0,MAX(0,NETWORKDAYS(MAX(D480,DATE(Einstellungen!$C$3,8,1)),MIN(J480,DATE(Einstellungen!$C$3,9,0)),Einstellungen!$F$13:$F$32)))</f>
        <v/>
      </c>
      <c r="T480" s="49">
        <f>IF(OR(A480="",D480=""),0,MAX(0,NETWORKDAYS(MAX(D480,DATE(Einstellungen!$C$3,9,1)),MIN(J480,DATE(Einstellungen!$C$3,10,0)),Einstellungen!$F$13:$F$32)))</f>
        <v/>
      </c>
      <c r="U480" s="49">
        <f>IF(OR(A480="",D480=""),0,MAX(0,NETWORKDAYS(MAX(D480,DATE(Einstellungen!$C$3,10,1)),MIN(J480,DATE(Einstellungen!$C$3,11,0)),Einstellungen!$F$13:$F$32)))</f>
        <v/>
      </c>
      <c r="V480" s="49">
        <f>IF(OR(A480="",D480=""),0,MAX(0,NETWORKDAYS(MAX(D480,DATE(Einstellungen!$C$3,11,1)),MIN(J480,DATE(Einstellungen!$C$3,12,0)),Einstellungen!$F$13:$F$32)))</f>
        <v/>
      </c>
      <c r="W480" s="49">
        <f>IF(OR(A480="",D480=""),0,MAX(0,NETWORKDAYS(MAX(D480,DATE(Einstellungen!$C$3,12,1)),MIN(J480,DATE(Einstellungen!$C$3,13,0)),Einstellungen!$F$13:$F$32)))</f>
        <v/>
      </c>
      <c r="X480" s="50">
        <f>L480*K480</f>
        <v/>
      </c>
      <c r="Y480" s="50">
        <f>M480*K480</f>
        <v/>
      </c>
      <c r="Z480" s="50">
        <f>N480*K480</f>
        <v/>
      </c>
      <c r="AA480" s="50">
        <f>O480*K480</f>
        <v/>
      </c>
      <c r="AB480" s="50">
        <f>P480*K480</f>
        <v/>
      </c>
      <c r="AC480" s="50">
        <f>Q480*K480</f>
        <v/>
      </c>
      <c r="AD480" s="50">
        <f>R480*K480</f>
        <v/>
      </c>
      <c r="AE480" s="50">
        <f>S480*K480</f>
        <v/>
      </c>
      <c r="AF480" s="50">
        <f>T480*K480</f>
        <v/>
      </c>
      <c r="AG480" s="50">
        <f>U480*K480</f>
        <v/>
      </c>
      <c r="AH480" s="50">
        <f>V480*K480</f>
        <v/>
      </c>
      <c r="AI480" s="50">
        <f>W480*K480</f>
        <v/>
      </c>
    </row>
    <row r="481">
      <c r="A481" s="25" t="n"/>
      <c r="B481" s="45">
        <f>IF(A481="","",IFERROR(INDEX(Mitarbeiter!$B$6:$B$205,MATCH($A481,Mitarbeiter!$A$6:$A$205,0)),"?"))</f>
        <v/>
      </c>
      <c r="C481" s="46" t="n"/>
      <c r="D481" s="26" t="n"/>
      <c r="E481" s="26" t="n"/>
      <c r="F481" s="24">
        <f>IF(A481="","",SUM(L481:W481))</f>
        <v/>
      </c>
      <c r="G481" s="36">
        <f>IF(A481="","",SUM(X481:AI481))</f>
        <v/>
      </c>
      <c r="H481" s="8">
        <f>IF(A481="","",IF(ISNA(MATCH(A481,Mitarbeiter!$A$6:$A$205,0)),"Pers.-Nr. unbekannt",IF(D481="","Von fehlt",IF(AND(C481&lt;&gt;Einstellungen!$C$4,C481&lt;&gt;Einstellungen!$C$5),"Objekt fehlt",IF(J481&lt;D481,"Bis vor Von",IF(D481&lt;INDEX(Mitarbeiter!$C$6:$C$205,MATCH($A481,Mitarbeiter!$A$6:$A$205,0)),"vor Eintritt",IF(AND(INDEX(Mitarbeiter!$D$6:$D$205,MATCH($A481,Mitarbeiter!$A$6:$A$205,0))&lt;&gt;"",D481&gt;INDEX(Mitarbeiter!$D$6:$D$205,MATCH($A481,Mitarbeiter!$A$6:$A$205,0))),"nach Austritt",IF(E481="","offen","ok"))))))))</f>
        <v/>
      </c>
      <c r="J481" s="47">
        <f>IF(A481="","",IF(E481="",Einstellungen!$C$9,E481))</f>
        <v/>
      </c>
      <c r="K481" s="48">
        <f>IF(A481="",0,IFERROR(INDEX(Mitarbeiter!$F$6:$F$205,MATCH($A481,Mitarbeiter!$A$6:$A$205,0)),0))</f>
        <v/>
      </c>
      <c r="L481" s="49">
        <f>IF(OR(A481="",D481=""),0,MAX(0,NETWORKDAYS(MAX(D481,DATE(Einstellungen!$C$3,1,1)),MIN(J481,DATE(Einstellungen!$C$3,2,0)),Einstellungen!$F$13:$F$32)))</f>
        <v/>
      </c>
      <c r="M481" s="49">
        <f>IF(OR(A481="",D481=""),0,MAX(0,NETWORKDAYS(MAX(D481,DATE(Einstellungen!$C$3,2,1)),MIN(J481,DATE(Einstellungen!$C$3,3,0)),Einstellungen!$F$13:$F$32)))</f>
        <v/>
      </c>
      <c r="N481" s="49">
        <f>IF(OR(A481="",D481=""),0,MAX(0,NETWORKDAYS(MAX(D481,DATE(Einstellungen!$C$3,3,1)),MIN(J481,DATE(Einstellungen!$C$3,4,0)),Einstellungen!$F$13:$F$32)))</f>
        <v/>
      </c>
      <c r="O481" s="49">
        <f>IF(OR(A481="",D481=""),0,MAX(0,NETWORKDAYS(MAX(D481,DATE(Einstellungen!$C$3,4,1)),MIN(J481,DATE(Einstellungen!$C$3,5,0)),Einstellungen!$F$13:$F$32)))</f>
        <v/>
      </c>
      <c r="P481" s="49">
        <f>IF(OR(A481="",D481=""),0,MAX(0,NETWORKDAYS(MAX(D481,DATE(Einstellungen!$C$3,5,1)),MIN(J481,DATE(Einstellungen!$C$3,6,0)),Einstellungen!$F$13:$F$32)))</f>
        <v/>
      </c>
      <c r="Q481" s="49">
        <f>IF(OR(A481="",D481=""),0,MAX(0,NETWORKDAYS(MAX(D481,DATE(Einstellungen!$C$3,6,1)),MIN(J481,DATE(Einstellungen!$C$3,7,0)),Einstellungen!$F$13:$F$32)))</f>
        <v/>
      </c>
      <c r="R481" s="49">
        <f>IF(OR(A481="",D481=""),0,MAX(0,NETWORKDAYS(MAX(D481,DATE(Einstellungen!$C$3,7,1)),MIN(J481,DATE(Einstellungen!$C$3,8,0)),Einstellungen!$F$13:$F$32)))</f>
        <v/>
      </c>
      <c r="S481" s="49">
        <f>IF(OR(A481="",D481=""),0,MAX(0,NETWORKDAYS(MAX(D481,DATE(Einstellungen!$C$3,8,1)),MIN(J481,DATE(Einstellungen!$C$3,9,0)),Einstellungen!$F$13:$F$32)))</f>
        <v/>
      </c>
      <c r="T481" s="49">
        <f>IF(OR(A481="",D481=""),0,MAX(0,NETWORKDAYS(MAX(D481,DATE(Einstellungen!$C$3,9,1)),MIN(J481,DATE(Einstellungen!$C$3,10,0)),Einstellungen!$F$13:$F$32)))</f>
        <v/>
      </c>
      <c r="U481" s="49">
        <f>IF(OR(A481="",D481=""),0,MAX(0,NETWORKDAYS(MAX(D481,DATE(Einstellungen!$C$3,10,1)),MIN(J481,DATE(Einstellungen!$C$3,11,0)),Einstellungen!$F$13:$F$32)))</f>
        <v/>
      </c>
      <c r="V481" s="49">
        <f>IF(OR(A481="",D481=""),0,MAX(0,NETWORKDAYS(MAX(D481,DATE(Einstellungen!$C$3,11,1)),MIN(J481,DATE(Einstellungen!$C$3,12,0)),Einstellungen!$F$13:$F$32)))</f>
        <v/>
      </c>
      <c r="W481" s="49">
        <f>IF(OR(A481="",D481=""),0,MAX(0,NETWORKDAYS(MAX(D481,DATE(Einstellungen!$C$3,12,1)),MIN(J481,DATE(Einstellungen!$C$3,13,0)),Einstellungen!$F$13:$F$32)))</f>
        <v/>
      </c>
      <c r="X481" s="50">
        <f>L481*K481</f>
        <v/>
      </c>
      <c r="Y481" s="50">
        <f>M481*K481</f>
        <v/>
      </c>
      <c r="Z481" s="50">
        <f>N481*K481</f>
        <v/>
      </c>
      <c r="AA481" s="50">
        <f>O481*K481</f>
        <v/>
      </c>
      <c r="AB481" s="50">
        <f>P481*K481</f>
        <v/>
      </c>
      <c r="AC481" s="50">
        <f>Q481*K481</f>
        <v/>
      </c>
      <c r="AD481" s="50">
        <f>R481*K481</f>
        <v/>
      </c>
      <c r="AE481" s="50">
        <f>S481*K481</f>
        <v/>
      </c>
      <c r="AF481" s="50">
        <f>T481*K481</f>
        <v/>
      </c>
      <c r="AG481" s="50">
        <f>U481*K481</f>
        <v/>
      </c>
      <c r="AH481" s="50">
        <f>V481*K481</f>
        <v/>
      </c>
      <c r="AI481" s="50">
        <f>W481*K481</f>
        <v/>
      </c>
    </row>
    <row r="482">
      <c r="A482" s="25" t="n"/>
      <c r="B482" s="45">
        <f>IF(A482="","",IFERROR(INDEX(Mitarbeiter!$B$6:$B$205,MATCH($A482,Mitarbeiter!$A$6:$A$205,0)),"?"))</f>
        <v/>
      </c>
      <c r="C482" s="46" t="n"/>
      <c r="D482" s="26" t="n"/>
      <c r="E482" s="26" t="n"/>
      <c r="F482" s="24">
        <f>IF(A482="","",SUM(L482:W482))</f>
        <v/>
      </c>
      <c r="G482" s="36">
        <f>IF(A482="","",SUM(X482:AI482))</f>
        <v/>
      </c>
      <c r="H482" s="8">
        <f>IF(A482="","",IF(ISNA(MATCH(A482,Mitarbeiter!$A$6:$A$205,0)),"Pers.-Nr. unbekannt",IF(D482="","Von fehlt",IF(AND(C482&lt;&gt;Einstellungen!$C$4,C482&lt;&gt;Einstellungen!$C$5),"Objekt fehlt",IF(J482&lt;D482,"Bis vor Von",IF(D482&lt;INDEX(Mitarbeiter!$C$6:$C$205,MATCH($A482,Mitarbeiter!$A$6:$A$205,0)),"vor Eintritt",IF(AND(INDEX(Mitarbeiter!$D$6:$D$205,MATCH($A482,Mitarbeiter!$A$6:$A$205,0))&lt;&gt;"",D482&gt;INDEX(Mitarbeiter!$D$6:$D$205,MATCH($A482,Mitarbeiter!$A$6:$A$205,0))),"nach Austritt",IF(E482="","offen","ok"))))))))</f>
        <v/>
      </c>
      <c r="J482" s="47">
        <f>IF(A482="","",IF(E482="",Einstellungen!$C$9,E482))</f>
        <v/>
      </c>
      <c r="K482" s="48">
        <f>IF(A482="",0,IFERROR(INDEX(Mitarbeiter!$F$6:$F$205,MATCH($A482,Mitarbeiter!$A$6:$A$205,0)),0))</f>
        <v/>
      </c>
      <c r="L482" s="49">
        <f>IF(OR(A482="",D482=""),0,MAX(0,NETWORKDAYS(MAX(D482,DATE(Einstellungen!$C$3,1,1)),MIN(J482,DATE(Einstellungen!$C$3,2,0)),Einstellungen!$F$13:$F$32)))</f>
        <v/>
      </c>
      <c r="M482" s="49">
        <f>IF(OR(A482="",D482=""),0,MAX(0,NETWORKDAYS(MAX(D482,DATE(Einstellungen!$C$3,2,1)),MIN(J482,DATE(Einstellungen!$C$3,3,0)),Einstellungen!$F$13:$F$32)))</f>
        <v/>
      </c>
      <c r="N482" s="49">
        <f>IF(OR(A482="",D482=""),0,MAX(0,NETWORKDAYS(MAX(D482,DATE(Einstellungen!$C$3,3,1)),MIN(J482,DATE(Einstellungen!$C$3,4,0)),Einstellungen!$F$13:$F$32)))</f>
        <v/>
      </c>
      <c r="O482" s="49">
        <f>IF(OR(A482="",D482=""),0,MAX(0,NETWORKDAYS(MAX(D482,DATE(Einstellungen!$C$3,4,1)),MIN(J482,DATE(Einstellungen!$C$3,5,0)),Einstellungen!$F$13:$F$32)))</f>
        <v/>
      </c>
      <c r="P482" s="49">
        <f>IF(OR(A482="",D482=""),0,MAX(0,NETWORKDAYS(MAX(D482,DATE(Einstellungen!$C$3,5,1)),MIN(J482,DATE(Einstellungen!$C$3,6,0)),Einstellungen!$F$13:$F$32)))</f>
        <v/>
      </c>
      <c r="Q482" s="49">
        <f>IF(OR(A482="",D482=""),0,MAX(0,NETWORKDAYS(MAX(D482,DATE(Einstellungen!$C$3,6,1)),MIN(J482,DATE(Einstellungen!$C$3,7,0)),Einstellungen!$F$13:$F$32)))</f>
        <v/>
      </c>
      <c r="R482" s="49">
        <f>IF(OR(A482="",D482=""),0,MAX(0,NETWORKDAYS(MAX(D482,DATE(Einstellungen!$C$3,7,1)),MIN(J482,DATE(Einstellungen!$C$3,8,0)),Einstellungen!$F$13:$F$32)))</f>
        <v/>
      </c>
      <c r="S482" s="49">
        <f>IF(OR(A482="",D482=""),0,MAX(0,NETWORKDAYS(MAX(D482,DATE(Einstellungen!$C$3,8,1)),MIN(J482,DATE(Einstellungen!$C$3,9,0)),Einstellungen!$F$13:$F$32)))</f>
        <v/>
      </c>
      <c r="T482" s="49">
        <f>IF(OR(A482="",D482=""),0,MAX(0,NETWORKDAYS(MAX(D482,DATE(Einstellungen!$C$3,9,1)),MIN(J482,DATE(Einstellungen!$C$3,10,0)),Einstellungen!$F$13:$F$32)))</f>
        <v/>
      </c>
      <c r="U482" s="49">
        <f>IF(OR(A482="",D482=""),0,MAX(0,NETWORKDAYS(MAX(D482,DATE(Einstellungen!$C$3,10,1)),MIN(J482,DATE(Einstellungen!$C$3,11,0)),Einstellungen!$F$13:$F$32)))</f>
        <v/>
      </c>
      <c r="V482" s="49">
        <f>IF(OR(A482="",D482=""),0,MAX(0,NETWORKDAYS(MAX(D482,DATE(Einstellungen!$C$3,11,1)),MIN(J482,DATE(Einstellungen!$C$3,12,0)),Einstellungen!$F$13:$F$32)))</f>
        <v/>
      </c>
      <c r="W482" s="49">
        <f>IF(OR(A482="",D482=""),0,MAX(0,NETWORKDAYS(MAX(D482,DATE(Einstellungen!$C$3,12,1)),MIN(J482,DATE(Einstellungen!$C$3,13,0)),Einstellungen!$F$13:$F$32)))</f>
        <v/>
      </c>
      <c r="X482" s="50">
        <f>L482*K482</f>
        <v/>
      </c>
      <c r="Y482" s="50">
        <f>M482*K482</f>
        <v/>
      </c>
      <c r="Z482" s="50">
        <f>N482*K482</f>
        <v/>
      </c>
      <c r="AA482" s="50">
        <f>O482*K482</f>
        <v/>
      </c>
      <c r="AB482" s="50">
        <f>P482*K482</f>
        <v/>
      </c>
      <c r="AC482" s="50">
        <f>Q482*K482</f>
        <v/>
      </c>
      <c r="AD482" s="50">
        <f>R482*K482</f>
        <v/>
      </c>
      <c r="AE482" s="50">
        <f>S482*K482</f>
        <v/>
      </c>
      <c r="AF482" s="50">
        <f>T482*K482</f>
        <v/>
      </c>
      <c r="AG482" s="50">
        <f>U482*K482</f>
        <v/>
      </c>
      <c r="AH482" s="50">
        <f>V482*K482</f>
        <v/>
      </c>
      <c r="AI482" s="50">
        <f>W482*K482</f>
        <v/>
      </c>
    </row>
    <row r="483">
      <c r="A483" s="25" t="n"/>
      <c r="B483" s="45">
        <f>IF(A483="","",IFERROR(INDEX(Mitarbeiter!$B$6:$B$205,MATCH($A483,Mitarbeiter!$A$6:$A$205,0)),"?"))</f>
        <v/>
      </c>
      <c r="C483" s="46" t="n"/>
      <c r="D483" s="26" t="n"/>
      <c r="E483" s="26" t="n"/>
      <c r="F483" s="24">
        <f>IF(A483="","",SUM(L483:W483))</f>
        <v/>
      </c>
      <c r="G483" s="36">
        <f>IF(A483="","",SUM(X483:AI483))</f>
        <v/>
      </c>
      <c r="H483" s="8">
        <f>IF(A483="","",IF(ISNA(MATCH(A483,Mitarbeiter!$A$6:$A$205,0)),"Pers.-Nr. unbekannt",IF(D483="","Von fehlt",IF(AND(C483&lt;&gt;Einstellungen!$C$4,C483&lt;&gt;Einstellungen!$C$5),"Objekt fehlt",IF(J483&lt;D483,"Bis vor Von",IF(D483&lt;INDEX(Mitarbeiter!$C$6:$C$205,MATCH($A483,Mitarbeiter!$A$6:$A$205,0)),"vor Eintritt",IF(AND(INDEX(Mitarbeiter!$D$6:$D$205,MATCH($A483,Mitarbeiter!$A$6:$A$205,0))&lt;&gt;"",D483&gt;INDEX(Mitarbeiter!$D$6:$D$205,MATCH($A483,Mitarbeiter!$A$6:$A$205,0))),"nach Austritt",IF(E483="","offen","ok"))))))))</f>
        <v/>
      </c>
      <c r="J483" s="47">
        <f>IF(A483="","",IF(E483="",Einstellungen!$C$9,E483))</f>
        <v/>
      </c>
      <c r="K483" s="48">
        <f>IF(A483="",0,IFERROR(INDEX(Mitarbeiter!$F$6:$F$205,MATCH($A483,Mitarbeiter!$A$6:$A$205,0)),0))</f>
        <v/>
      </c>
      <c r="L483" s="49">
        <f>IF(OR(A483="",D483=""),0,MAX(0,NETWORKDAYS(MAX(D483,DATE(Einstellungen!$C$3,1,1)),MIN(J483,DATE(Einstellungen!$C$3,2,0)),Einstellungen!$F$13:$F$32)))</f>
        <v/>
      </c>
      <c r="M483" s="49">
        <f>IF(OR(A483="",D483=""),0,MAX(0,NETWORKDAYS(MAX(D483,DATE(Einstellungen!$C$3,2,1)),MIN(J483,DATE(Einstellungen!$C$3,3,0)),Einstellungen!$F$13:$F$32)))</f>
        <v/>
      </c>
      <c r="N483" s="49">
        <f>IF(OR(A483="",D483=""),0,MAX(0,NETWORKDAYS(MAX(D483,DATE(Einstellungen!$C$3,3,1)),MIN(J483,DATE(Einstellungen!$C$3,4,0)),Einstellungen!$F$13:$F$32)))</f>
        <v/>
      </c>
      <c r="O483" s="49">
        <f>IF(OR(A483="",D483=""),0,MAX(0,NETWORKDAYS(MAX(D483,DATE(Einstellungen!$C$3,4,1)),MIN(J483,DATE(Einstellungen!$C$3,5,0)),Einstellungen!$F$13:$F$32)))</f>
        <v/>
      </c>
      <c r="P483" s="49">
        <f>IF(OR(A483="",D483=""),0,MAX(0,NETWORKDAYS(MAX(D483,DATE(Einstellungen!$C$3,5,1)),MIN(J483,DATE(Einstellungen!$C$3,6,0)),Einstellungen!$F$13:$F$32)))</f>
        <v/>
      </c>
      <c r="Q483" s="49">
        <f>IF(OR(A483="",D483=""),0,MAX(0,NETWORKDAYS(MAX(D483,DATE(Einstellungen!$C$3,6,1)),MIN(J483,DATE(Einstellungen!$C$3,7,0)),Einstellungen!$F$13:$F$32)))</f>
        <v/>
      </c>
      <c r="R483" s="49">
        <f>IF(OR(A483="",D483=""),0,MAX(0,NETWORKDAYS(MAX(D483,DATE(Einstellungen!$C$3,7,1)),MIN(J483,DATE(Einstellungen!$C$3,8,0)),Einstellungen!$F$13:$F$32)))</f>
        <v/>
      </c>
      <c r="S483" s="49">
        <f>IF(OR(A483="",D483=""),0,MAX(0,NETWORKDAYS(MAX(D483,DATE(Einstellungen!$C$3,8,1)),MIN(J483,DATE(Einstellungen!$C$3,9,0)),Einstellungen!$F$13:$F$32)))</f>
        <v/>
      </c>
      <c r="T483" s="49">
        <f>IF(OR(A483="",D483=""),0,MAX(0,NETWORKDAYS(MAX(D483,DATE(Einstellungen!$C$3,9,1)),MIN(J483,DATE(Einstellungen!$C$3,10,0)),Einstellungen!$F$13:$F$32)))</f>
        <v/>
      </c>
      <c r="U483" s="49">
        <f>IF(OR(A483="",D483=""),0,MAX(0,NETWORKDAYS(MAX(D483,DATE(Einstellungen!$C$3,10,1)),MIN(J483,DATE(Einstellungen!$C$3,11,0)),Einstellungen!$F$13:$F$32)))</f>
        <v/>
      </c>
      <c r="V483" s="49">
        <f>IF(OR(A483="",D483=""),0,MAX(0,NETWORKDAYS(MAX(D483,DATE(Einstellungen!$C$3,11,1)),MIN(J483,DATE(Einstellungen!$C$3,12,0)),Einstellungen!$F$13:$F$32)))</f>
        <v/>
      </c>
      <c r="W483" s="49">
        <f>IF(OR(A483="",D483=""),0,MAX(0,NETWORKDAYS(MAX(D483,DATE(Einstellungen!$C$3,12,1)),MIN(J483,DATE(Einstellungen!$C$3,13,0)),Einstellungen!$F$13:$F$32)))</f>
        <v/>
      </c>
      <c r="X483" s="50">
        <f>L483*K483</f>
        <v/>
      </c>
      <c r="Y483" s="50">
        <f>M483*K483</f>
        <v/>
      </c>
      <c r="Z483" s="50">
        <f>N483*K483</f>
        <v/>
      </c>
      <c r="AA483" s="50">
        <f>O483*K483</f>
        <v/>
      </c>
      <c r="AB483" s="50">
        <f>P483*K483</f>
        <v/>
      </c>
      <c r="AC483" s="50">
        <f>Q483*K483</f>
        <v/>
      </c>
      <c r="AD483" s="50">
        <f>R483*K483</f>
        <v/>
      </c>
      <c r="AE483" s="50">
        <f>S483*K483</f>
        <v/>
      </c>
      <c r="AF483" s="50">
        <f>T483*K483</f>
        <v/>
      </c>
      <c r="AG483" s="50">
        <f>U483*K483</f>
        <v/>
      </c>
      <c r="AH483" s="50">
        <f>V483*K483</f>
        <v/>
      </c>
      <c r="AI483" s="50">
        <f>W483*K483</f>
        <v/>
      </c>
    </row>
    <row r="484">
      <c r="A484" s="25" t="n"/>
      <c r="B484" s="45">
        <f>IF(A484="","",IFERROR(INDEX(Mitarbeiter!$B$6:$B$205,MATCH($A484,Mitarbeiter!$A$6:$A$205,0)),"?"))</f>
        <v/>
      </c>
      <c r="C484" s="46" t="n"/>
      <c r="D484" s="26" t="n"/>
      <c r="E484" s="26" t="n"/>
      <c r="F484" s="24">
        <f>IF(A484="","",SUM(L484:W484))</f>
        <v/>
      </c>
      <c r="G484" s="36">
        <f>IF(A484="","",SUM(X484:AI484))</f>
        <v/>
      </c>
      <c r="H484" s="8">
        <f>IF(A484="","",IF(ISNA(MATCH(A484,Mitarbeiter!$A$6:$A$205,0)),"Pers.-Nr. unbekannt",IF(D484="","Von fehlt",IF(AND(C484&lt;&gt;Einstellungen!$C$4,C484&lt;&gt;Einstellungen!$C$5),"Objekt fehlt",IF(J484&lt;D484,"Bis vor Von",IF(D484&lt;INDEX(Mitarbeiter!$C$6:$C$205,MATCH($A484,Mitarbeiter!$A$6:$A$205,0)),"vor Eintritt",IF(AND(INDEX(Mitarbeiter!$D$6:$D$205,MATCH($A484,Mitarbeiter!$A$6:$A$205,0))&lt;&gt;"",D484&gt;INDEX(Mitarbeiter!$D$6:$D$205,MATCH($A484,Mitarbeiter!$A$6:$A$205,0))),"nach Austritt",IF(E484="","offen","ok"))))))))</f>
        <v/>
      </c>
      <c r="J484" s="47">
        <f>IF(A484="","",IF(E484="",Einstellungen!$C$9,E484))</f>
        <v/>
      </c>
      <c r="K484" s="48">
        <f>IF(A484="",0,IFERROR(INDEX(Mitarbeiter!$F$6:$F$205,MATCH($A484,Mitarbeiter!$A$6:$A$205,0)),0))</f>
        <v/>
      </c>
      <c r="L484" s="49">
        <f>IF(OR(A484="",D484=""),0,MAX(0,NETWORKDAYS(MAX(D484,DATE(Einstellungen!$C$3,1,1)),MIN(J484,DATE(Einstellungen!$C$3,2,0)),Einstellungen!$F$13:$F$32)))</f>
        <v/>
      </c>
      <c r="M484" s="49">
        <f>IF(OR(A484="",D484=""),0,MAX(0,NETWORKDAYS(MAX(D484,DATE(Einstellungen!$C$3,2,1)),MIN(J484,DATE(Einstellungen!$C$3,3,0)),Einstellungen!$F$13:$F$32)))</f>
        <v/>
      </c>
      <c r="N484" s="49">
        <f>IF(OR(A484="",D484=""),0,MAX(0,NETWORKDAYS(MAX(D484,DATE(Einstellungen!$C$3,3,1)),MIN(J484,DATE(Einstellungen!$C$3,4,0)),Einstellungen!$F$13:$F$32)))</f>
        <v/>
      </c>
      <c r="O484" s="49">
        <f>IF(OR(A484="",D484=""),0,MAX(0,NETWORKDAYS(MAX(D484,DATE(Einstellungen!$C$3,4,1)),MIN(J484,DATE(Einstellungen!$C$3,5,0)),Einstellungen!$F$13:$F$32)))</f>
        <v/>
      </c>
      <c r="P484" s="49">
        <f>IF(OR(A484="",D484=""),0,MAX(0,NETWORKDAYS(MAX(D484,DATE(Einstellungen!$C$3,5,1)),MIN(J484,DATE(Einstellungen!$C$3,6,0)),Einstellungen!$F$13:$F$32)))</f>
        <v/>
      </c>
      <c r="Q484" s="49">
        <f>IF(OR(A484="",D484=""),0,MAX(0,NETWORKDAYS(MAX(D484,DATE(Einstellungen!$C$3,6,1)),MIN(J484,DATE(Einstellungen!$C$3,7,0)),Einstellungen!$F$13:$F$32)))</f>
        <v/>
      </c>
      <c r="R484" s="49">
        <f>IF(OR(A484="",D484=""),0,MAX(0,NETWORKDAYS(MAX(D484,DATE(Einstellungen!$C$3,7,1)),MIN(J484,DATE(Einstellungen!$C$3,8,0)),Einstellungen!$F$13:$F$32)))</f>
        <v/>
      </c>
      <c r="S484" s="49">
        <f>IF(OR(A484="",D484=""),0,MAX(0,NETWORKDAYS(MAX(D484,DATE(Einstellungen!$C$3,8,1)),MIN(J484,DATE(Einstellungen!$C$3,9,0)),Einstellungen!$F$13:$F$32)))</f>
        <v/>
      </c>
      <c r="T484" s="49">
        <f>IF(OR(A484="",D484=""),0,MAX(0,NETWORKDAYS(MAX(D484,DATE(Einstellungen!$C$3,9,1)),MIN(J484,DATE(Einstellungen!$C$3,10,0)),Einstellungen!$F$13:$F$32)))</f>
        <v/>
      </c>
      <c r="U484" s="49">
        <f>IF(OR(A484="",D484=""),0,MAX(0,NETWORKDAYS(MAX(D484,DATE(Einstellungen!$C$3,10,1)),MIN(J484,DATE(Einstellungen!$C$3,11,0)),Einstellungen!$F$13:$F$32)))</f>
        <v/>
      </c>
      <c r="V484" s="49">
        <f>IF(OR(A484="",D484=""),0,MAX(0,NETWORKDAYS(MAX(D484,DATE(Einstellungen!$C$3,11,1)),MIN(J484,DATE(Einstellungen!$C$3,12,0)),Einstellungen!$F$13:$F$32)))</f>
        <v/>
      </c>
      <c r="W484" s="49">
        <f>IF(OR(A484="",D484=""),0,MAX(0,NETWORKDAYS(MAX(D484,DATE(Einstellungen!$C$3,12,1)),MIN(J484,DATE(Einstellungen!$C$3,13,0)),Einstellungen!$F$13:$F$32)))</f>
        <v/>
      </c>
      <c r="X484" s="50">
        <f>L484*K484</f>
        <v/>
      </c>
      <c r="Y484" s="50">
        <f>M484*K484</f>
        <v/>
      </c>
      <c r="Z484" s="50">
        <f>N484*K484</f>
        <v/>
      </c>
      <c r="AA484" s="50">
        <f>O484*K484</f>
        <v/>
      </c>
      <c r="AB484" s="50">
        <f>P484*K484</f>
        <v/>
      </c>
      <c r="AC484" s="50">
        <f>Q484*K484</f>
        <v/>
      </c>
      <c r="AD484" s="50">
        <f>R484*K484</f>
        <v/>
      </c>
      <c r="AE484" s="50">
        <f>S484*K484</f>
        <v/>
      </c>
      <c r="AF484" s="50">
        <f>T484*K484</f>
        <v/>
      </c>
      <c r="AG484" s="50">
        <f>U484*K484</f>
        <v/>
      </c>
      <c r="AH484" s="50">
        <f>V484*K484</f>
        <v/>
      </c>
      <c r="AI484" s="50">
        <f>W484*K484</f>
        <v/>
      </c>
    </row>
    <row r="485">
      <c r="A485" s="25" t="n"/>
      <c r="B485" s="45">
        <f>IF(A485="","",IFERROR(INDEX(Mitarbeiter!$B$6:$B$205,MATCH($A485,Mitarbeiter!$A$6:$A$205,0)),"?"))</f>
        <v/>
      </c>
      <c r="C485" s="46" t="n"/>
      <c r="D485" s="26" t="n"/>
      <c r="E485" s="26" t="n"/>
      <c r="F485" s="24">
        <f>IF(A485="","",SUM(L485:W485))</f>
        <v/>
      </c>
      <c r="G485" s="36">
        <f>IF(A485="","",SUM(X485:AI485))</f>
        <v/>
      </c>
      <c r="H485" s="8">
        <f>IF(A485="","",IF(ISNA(MATCH(A485,Mitarbeiter!$A$6:$A$205,0)),"Pers.-Nr. unbekannt",IF(D485="","Von fehlt",IF(AND(C485&lt;&gt;Einstellungen!$C$4,C485&lt;&gt;Einstellungen!$C$5),"Objekt fehlt",IF(J485&lt;D485,"Bis vor Von",IF(D485&lt;INDEX(Mitarbeiter!$C$6:$C$205,MATCH($A485,Mitarbeiter!$A$6:$A$205,0)),"vor Eintritt",IF(AND(INDEX(Mitarbeiter!$D$6:$D$205,MATCH($A485,Mitarbeiter!$A$6:$A$205,0))&lt;&gt;"",D485&gt;INDEX(Mitarbeiter!$D$6:$D$205,MATCH($A485,Mitarbeiter!$A$6:$A$205,0))),"nach Austritt",IF(E485="","offen","ok"))))))))</f>
        <v/>
      </c>
      <c r="J485" s="47">
        <f>IF(A485="","",IF(E485="",Einstellungen!$C$9,E485))</f>
        <v/>
      </c>
      <c r="K485" s="48">
        <f>IF(A485="",0,IFERROR(INDEX(Mitarbeiter!$F$6:$F$205,MATCH($A485,Mitarbeiter!$A$6:$A$205,0)),0))</f>
        <v/>
      </c>
      <c r="L485" s="49">
        <f>IF(OR(A485="",D485=""),0,MAX(0,NETWORKDAYS(MAX(D485,DATE(Einstellungen!$C$3,1,1)),MIN(J485,DATE(Einstellungen!$C$3,2,0)),Einstellungen!$F$13:$F$32)))</f>
        <v/>
      </c>
      <c r="M485" s="49">
        <f>IF(OR(A485="",D485=""),0,MAX(0,NETWORKDAYS(MAX(D485,DATE(Einstellungen!$C$3,2,1)),MIN(J485,DATE(Einstellungen!$C$3,3,0)),Einstellungen!$F$13:$F$32)))</f>
        <v/>
      </c>
      <c r="N485" s="49">
        <f>IF(OR(A485="",D485=""),0,MAX(0,NETWORKDAYS(MAX(D485,DATE(Einstellungen!$C$3,3,1)),MIN(J485,DATE(Einstellungen!$C$3,4,0)),Einstellungen!$F$13:$F$32)))</f>
        <v/>
      </c>
      <c r="O485" s="49">
        <f>IF(OR(A485="",D485=""),0,MAX(0,NETWORKDAYS(MAX(D485,DATE(Einstellungen!$C$3,4,1)),MIN(J485,DATE(Einstellungen!$C$3,5,0)),Einstellungen!$F$13:$F$32)))</f>
        <v/>
      </c>
      <c r="P485" s="49">
        <f>IF(OR(A485="",D485=""),0,MAX(0,NETWORKDAYS(MAX(D485,DATE(Einstellungen!$C$3,5,1)),MIN(J485,DATE(Einstellungen!$C$3,6,0)),Einstellungen!$F$13:$F$32)))</f>
        <v/>
      </c>
      <c r="Q485" s="49">
        <f>IF(OR(A485="",D485=""),0,MAX(0,NETWORKDAYS(MAX(D485,DATE(Einstellungen!$C$3,6,1)),MIN(J485,DATE(Einstellungen!$C$3,7,0)),Einstellungen!$F$13:$F$32)))</f>
        <v/>
      </c>
      <c r="R485" s="49">
        <f>IF(OR(A485="",D485=""),0,MAX(0,NETWORKDAYS(MAX(D485,DATE(Einstellungen!$C$3,7,1)),MIN(J485,DATE(Einstellungen!$C$3,8,0)),Einstellungen!$F$13:$F$32)))</f>
        <v/>
      </c>
      <c r="S485" s="49">
        <f>IF(OR(A485="",D485=""),0,MAX(0,NETWORKDAYS(MAX(D485,DATE(Einstellungen!$C$3,8,1)),MIN(J485,DATE(Einstellungen!$C$3,9,0)),Einstellungen!$F$13:$F$32)))</f>
        <v/>
      </c>
      <c r="T485" s="49">
        <f>IF(OR(A485="",D485=""),0,MAX(0,NETWORKDAYS(MAX(D485,DATE(Einstellungen!$C$3,9,1)),MIN(J485,DATE(Einstellungen!$C$3,10,0)),Einstellungen!$F$13:$F$32)))</f>
        <v/>
      </c>
      <c r="U485" s="49">
        <f>IF(OR(A485="",D485=""),0,MAX(0,NETWORKDAYS(MAX(D485,DATE(Einstellungen!$C$3,10,1)),MIN(J485,DATE(Einstellungen!$C$3,11,0)),Einstellungen!$F$13:$F$32)))</f>
        <v/>
      </c>
      <c r="V485" s="49">
        <f>IF(OR(A485="",D485=""),0,MAX(0,NETWORKDAYS(MAX(D485,DATE(Einstellungen!$C$3,11,1)),MIN(J485,DATE(Einstellungen!$C$3,12,0)),Einstellungen!$F$13:$F$32)))</f>
        <v/>
      </c>
      <c r="W485" s="49">
        <f>IF(OR(A485="",D485=""),0,MAX(0,NETWORKDAYS(MAX(D485,DATE(Einstellungen!$C$3,12,1)),MIN(J485,DATE(Einstellungen!$C$3,13,0)),Einstellungen!$F$13:$F$32)))</f>
        <v/>
      </c>
      <c r="X485" s="50">
        <f>L485*K485</f>
        <v/>
      </c>
      <c r="Y485" s="50">
        <f>M485*K485</f>
        <v/>
      </c>
      <c r="Z485" s="50">
        <f>N485*K485</f>
        <v/>
      </c>
      <c r="AA485" s="50">
        <f>O485*K485</f>
        <v/>
      </c>
      <c r="AB485" s="50">
        <f>P485*K485</f>
        <v/>
      </c>
      <c r="AC485" s="50">
        <f>Q485*K485</f>
        <v/>
      </c>
      <c r="AD485" s="50">
        <f>R485*K485</f>
        <v/>
      </c>
      <c r="AE485" s="50">
        <f>S485*K485</f>
        <v/>
      </c>
      <c r="AF485" s="50">
        <f>T485*K485</f>
        <v/>
      </c>
      <c r="AG485" s="50">
        <f>U485*K485</f>
        <v/>
      </c>
      <c r="AH485" s="50">
        <f>V485*K485</f>
        <v/>
      </c>
      <c r="AI485" s="50">
        <f>W485*K485</f>
        <v/>
      </c>
    </row>
    <row r="486">
      <c r="A486" s="25" t="n"/>
      <c r="B486" s="45">
        <f>IF(A486="","",IFERROR(INDEX(Mitarbeiter!$B$6:$B$205,MATCH($A486,Mitarbeiter!$A$6:$A$205,0)),"?"))</f>
        <v/>
      </c>
      <c r="C486" s="46" t="n"/>
      <c r="D486" s="26" t="n"/>
      <c r="E486" s="26" t="n"/>
      <c r="F486" s="24">
        <f>IF(A486="","",SUM(L486:W486))</f>
        <v/>
      </c>
      <c r="G486" s="36">
        <f>IF(A486="","",SUM(X486:AI486))</f>
        <v/>
      </c>
      <c r="H486" s="8">
        <f>IF(A486="","",IF(ISNA(MATCH(A486,Mitarbeiter!$A$6:$A$205,0)),"Pers.-Nr. unbekannt",IF(D486="","Von fehlt",IF(AND(C486&lt;&gt;Einstellungen!$C$4,C486&lt;&gt;Einstellungen!$C$5),"Objekt fehlt",IF(J486&lt;D486,"Bis vor Von",IF(D486&lt;INDEX(Mitarbeiter!$C$6:$C$205,MATCH($A486,Mitarbeiter!$A$6:$A$205,0)),"vor Eintritt",IF(AND(INDEX(Mitarbeiter!$D$6:$D$205,MATCH($A486,Mitarbeiter!$A$6:$A$205,0))&lt;&gt;"",D486&gt;INDEX(Mitarbeiter!$D$6:$D$205,MATCH($A486,Mitarbeiter!$A$6:$A$205,0))),"nach Austritt",IF(E486="","offen","ok"))))))))</f>
        <v/>
      </c>
      <c r="J486" s="47">
        <f>IF(A486="","",IF(E486="",Einstellungen!$C$9,E486))</f>
        <v/>
      </c>
      <c r="K486" s="48">
        <f>IF(A486="",0,IFERROR(INDEX(Mitarbeiter!$F$6:$F$205,MATCH($A486,Mitarbeiter!$A$6:$A$205,0)),0))</f>
        <v/>
      </c>
      <c r="L486" s="49">
        <f>IF(OR(A486="",D486=""),0,MAX(0,NETWORKDAYS(MAX(D486,DATE(Einstellungen!$C$3,1,1)),MIN(J486,DATE(Einstellungen!$C$3,2,0)),Einstellungen!$F$13:$F$32)))</f>
        <v/>
      </c>
      <c r="M486" s="49">
        <f>IF(OR(A486="",D486=""),0,MAX(0,NETWORKDAYS(MAX(D486,DATE(Einstellungen!$C$3,2,1)),MIN(J486,DATE(Einstellungen!$C$3,3,0)),Einstellungen!$F$13:$F$32)))</f>
        <v/>
      </c>
      <c r="N486" s="49">
        <f>IF(OR(A486="",D486=""),0,MAX(0,NETWORKDAYS(MAX(D486,DATE(Einstellungen!$C$3,3,1)),MIN(J486,DATE(Einstellungen!$C$3,4,0)),Einstellungen!$F$13:$F$32)))</f>
        <v/>
      </c>
      <c r="O486" s="49">
        <f>IF(OR(A486="",D486=""),0,MAX(0,NETWORKDAYS(MAX(D486,DATE(Einstellungen!$C$3,4,1)),MIN(J486,DATE(Einstellungen!$C$3,5,0)),Einstellungen!$F$13:$F$32)))</f>
        <v/>
      </c>
      <c r="P486" s="49">
        <f>IF(OR(A486="",D486=""),0,MAX(0,NETWORKDAYS(MAX(D486,DATE(Einstellungen!$C$3,5,1)),MIN(J486,DATE(Einstellungen!$C$3,6,0)),Einstellungen!$F$13:$F$32)))</f>
        <v/>
      </c>
      <c r="Q486" s="49">
        <f>IF(OR(A486="",D486=""),0,MAX(0,NETWORKDAYS(MAX(D486,DATE(Einstellungen!$C$3,6,1)),MIN(J486,DATE(Einstellungen!$C$3,7,0)),Einstellungen!$F$13:$F$32)))</f>
        <v/>
      </c>
      <c r="R486" s="49">
        <f>IF(OR(A486="",D486=""),0,MAX(0,NETWORKDAYS(MAX(D486,DATE(Einstellungen!$C$3,7,1)),MIN(J486,DATE(Einstellungen!$C$3,8,0)),Einstellungen!$F$13:$F$32)))</f>
        <v/>
      </c>
      <c r="S486" s="49">
        <f>IF(OR(A486="",D486=""),0,MAX(0,NETWORKDAYS(MAX(D486,DATE(Einstellungen!$C$3,8,1)),MIN(J486,DATE(Einstellungen!$C$3,9,0)),Einstellungen!$F$13:$F$32)))</f>
        <v/>
      </c>
      <c r="T486" s="49">
        <f>IF(OR(A486="",D486=""),0,MAX(0,NETWORKDAYS(MAX(D486,DATE(Einstellungen!$C$3,9,1)),MIN(J486,DATE(Einstellungen!$C$3,10,0)),Einstellungen!$F$13:$F$32)))</f>
        <v/>
      </c>
      <c r="U486" s="49">
        <f>IF(OR(A486="",D486=""),0,MAX(0,NETWORKDAYS(MAX(D486,DATE(Einstellungen!$C$3,10,1)),MIN(J486,DATE(Einstellungen!$C$3,11,0)),Einstellungen!$F$13:$F$32)))</f>
        <v/>
      </c>
      <c r="V486" s="49">
        <f>IF(OR(A486="",D486=""),0,MAX(0,NETWORKDAYS(MAX(D486,DATE(Einstellungen!$C$3,11,1)),MIN(J486,DATE(Einstellungen!$C$3,12,0)),Einstellungen!$F$13:$F$32)))</f>
        <v/>
      </c>
      <c r="W486" s="49">
        <f>IF(OR(A486="",D486=""),0,MAX(0,NETWORKDAYS(MAX(D486,DATE(Einstellungen!$C$3,12,1)),MIN(J486,DATE(Einstellungen!$C$3,13,0)),Einstellungen!$F$13:$F$32)))</f>
        <v/>
      </c>
      <c r="X486" s="50">
        <f>L486*K486</f>
        <v/>
      </c>
      <c r="Y486" s="50">
        <f>M486*K486</f>
        <v/>
      </c>
      <c r="Z486" s="50">
        <f>N486*K486</f>
        <v/>
      </c>
      <c r="AA486" s="50">
        <f>O486*K486</f>
        <v/>
      </c>
      <c r="AB486" s="50">
        <f>P486*K486</f>
        <v/>
      </c>
      <c r="AC486" s="50">
        <f>Q486*K486</f>
        <v/>
      </c>
      <c r="AD486" s="50">
        <f>R486*K486</f>
        <v/>
      </c>
      <c r="AE486" s="50">
        <f>S486*K486</f>
        <v/>
      </c>
      <c r="AF486" s="50">
        <f>T486*K486</f>
        <v/>
      </c>
      <c r="AG486" s="50">
        <f>U486*K486</f>
        <v/>
      </c>
      <c r="AH486" s="50">
        <f>V486*K486</f>
        <v/>
      </c>
      <c r="AI486" s="50">
        <f>W486*K486</f>
        <v/>
      </c>
    </row>
    <row r="487">
      <c r="A487" s="25" t="n"/>
      <c r="B487" s="45">
        <f>IF(A487="","",IFERROR(INDEX(Mitarbeiter!$B$6:$B$205,MATCH($A487,Mitarbeiter!$A$6:$A$205,0)),"?"))</f>
        <v/>
      </c>
      <c r="C487" s="46" t="n"/>
      <c r="D487" s="26" t="n"/>
      <c r="E487" s="26" t="n"/>
      <c r="F487" s="24">
        <f>IF(A487="","",SUM(L487:W487))</f>
        <v/>
      </c>
      <c r="G487" s="36">
        <f>IF(A487="","",SUM(X487:AI487))</f>
        <v/>
      </c>
      <c r="H487" s="8">
        <f>IF(A487="","",IF(ISNA(MATCH(A487,Mitarbeiter!$A$6:$A$205,0)),"Pers.-Nr. unbekannt",IF(D487="","Von fehlt",IF(AND(C487&lt;&gt;Einstellungen!$C$4,C487&lt;&gt;Einstellungen!$C$5),"Objekt fehlt",IF(J487&lt;D487,"Bis vor Von",IF(D487&lt;INDEX(Mitarbeiter!$C$6:$C$205,MATCH($A487,Mitarbeiter!$A$6:$A$205,0)),"vor Eintritt",IF(AND(INDEX(Mitarbeiter!$D$6:$D$205,MATCH($A487,Mitarbeiter!$A$6:$A$205,0))&lt;&gt;"",D487&gt;INDEX(Mitarbeiter!$D$6:$D$205,MATCH($A487,Mitarbeiter!$A$6:$A$205,0))),"nach Austritt",IF(E487="","offen","ok"))))))))</f>
        <v/>
      </c>
      <c r="J487" s="47">
        <f>IF(A487="","",IF(E487="",Einstellungen!$C$9,E487))</f>
        <v/>
      </c>
      <c r="K487" s="48">
        <f>IF(A487="",0,IFERROR(INDEX(Mitarbeiter!$F$6:$F$205,MATCH($A487,Mitarbeiter!$A$6:$A$205,0)),0))</f>
        <v/>
      </c>
      <c r="L487" s="49">
        <f>IF(OR(A487="",D487=""),0,MAX(0,NETWORKDAYS(MAX(D487,DATE(Einstellungen!$C$3,1,1)),MIN(J487,DATE(Einstellungen!$C$3,2,0)),Einstellungen!$F$13:$F$32)))</f>
        <v/>
      </c>
      <c r="M487" s="49">
        <f>IF(OR(A487="",D487=""),0,MAX(0,NETWORKDAYS(MAX(D487,DATE(Einstellungen!$C$3,2,1)),MIN(J487,DATE(Einstellungen!$C$3,3,0)),Einstellungen!$F$13:$F$32)))</f>
        <v/>
      </c>
      <c r="N487" s="49">
        <f>IF(OR(A487="",D487=""),0,MAX(0,NETWORKDAYS(MAX(D487,DATE(Einstellungen!$C$3,3,1)),MIN(J487,DATE(Einstellungen!$C$3,4,0)),Einstellungen!$F$13:$F$32)))</f>
        <v/>
      </c>
      <c r="O487" s="49">
        <f>IF(OR(A487="",D487=""),0,MAX(0,NETWORKDAYS(MAX(D487,DATE(Einstellungen!$C$3,4,1)),MIN(J487,DATE(Einstellungen!$C$3,5,0)),Einstellungen!$F$13:$F$32)))</f>
        <v/>
      </c>
      <c r="P487" s="49">
        <f>IF(OR(A487="",D487=""),0,MAX(0,NETWORKDAYS(MAX(D487,DATE(Einstellungen!$C$3,5,1)),MIN(J487,DATE(Einstellungen!$C$3,6,0)),Einstellungen!$F$13:$F$32)))</f>
        <v/>
      </c>
      <c r="Q487" s="49">
        <f>IF(OR(A487="",D487=""),0,MAX(0,NETWORKDAYS(MAX(D487,DATE(Einstellungen!$C$3,6,1)),MIN(J487,DATE(Einstellungen!$C$3,7,0)),Einstellungen!$F$13:$F$32)))</f>
        <v/>
      </c>
      <c r="R487" s="49">
        <f>IF(OR(A487="",D487=""),0,MAX(0,NETWORKDAYS(MAX(D487,DATE(Einstellungen!$C$3,7,1)),MIN(J487,DATE(Einstellungen!$C$3,8,0)),Einstellungen!$F$13:$F$32)))</f>
        <v/>
      </c>
      <c r="S487" s="49">
        <f>IF(OR(A487="",D487=""),0,MAX(0,NETWORKDAYS(MAX(D487,DATE(Einstellungen!$C$3,8,1)),MIN(J487,DATE(Einstellungen!$C$3,9,0)),Einstellungen!$F$13:$F$32)))</f>
        <v/>
      </c>
      <c r="T487" s="49">
        <f>IF(OR(A487="",D487=""),0,MAX(0,NETWORKDAYS(MAX(D487,DATE(Einstellungen!$C$3,9,1)),MIN(J487,DATE(Einstellungen!$C$3,10,0)),Einstellungen!$F$13:$F$32)))</f>
        <v/>
      </c>
      <c r="U487" s="49">
        <f>IF(OR(A487="",D487=""),0,MAX(0,NETWORKDAYS(MAX(D487,DATE(Einstellungen!$C$3,10,1)),MIN(J487,DATE(Einstellungen!$C$3,11,0)),Einstellungen!$F$13:$F$32)))</f>
        <v/>
      </c>
      <c r="V487" s="49">
        <f>IF(OR(A487="",D487=""),0,MAX(0,NETWORKDAYS(MAX(D487,DATE(Einstellungen!$C$3,11,1)),MIN(J487,DATE(Einstellungen!$C$3,12,0)),Einstellungen!$F$13:$F$32)))</f>
        <v/>
      </c>
      <c r="W487" s="49">
        <f>IF(OR(A487="",D487=""),0,MAX(0,NETWORKDAYS(MAX(D487,DATE(Einstellungen!$C$3,12,1)),MIN(J487,DATE(Einstellungen!$C$3,13,0)),Einstellungen!$F$13:$F$32)))</f>
        <v/>
      </c>
      <c r="X487" s="50">
        <f>L487*K487</f>
        <v/>
      </c>
      <c r="Y487" s="50">
        <f>M487*K487</f>
        <v/>
      </c>
      <c r="Z487" s="50">
        <f>N487*K487</f>
        <v/>
      </c>
      <c r="AA487" s="50">
        <f>O487*K487</f>
        <v/>
      </c>
      <c r="AB487" s="50">
        <f>P487*K487</f>
        <v/>
      </c>
      <c r="AC487" s="50">
        <f>Q487*K487</f>
        <v/>
      </c>
      <c r="AD487" s="50">
        <f>R487*K487</f>
        <v/>
      </c>
      <c r="AE487" s="50">
        <f>S487*K487</f>
        <v/>
      </c>
      <c r="AF487" s="50">
        <f>T487*K487</f>
        <v/>
      </c>
      <c r="AG487" s="50">
        <f>U487*K487</f>
        <v/>
      </c>
      <c r="AH487" s="50">
        <f>V487*K487</f>
        <v/>
      </c>
      <c r="AI487" s="50">
        <f>W487*K487</f>
        <v/>
      </c>
    </row>
    <row r="488">
      <c r="A488" s="25" t="n"/>
      <c r="B488" s="45">
        <f>IF(A488="","",IFERROR(INDEX(Mitarbeiter!$B$6:$B$205,MATCH($A488,Mitarbeiter!$A$6:$A$205,0)),"?"))</f>
        <v/>
      </c>
      <c r="C488" s="46" t="n"/>
      <c r="D488" s="26" t="n"/>
      <c r="E488" s="26" t="n"/>
      <c r="F488" s="24">
        <f>IF(A488="","",SUM(L488:W488))</f>
        <v/>
      </c>
      <c r="G488" s="36">
        <f>IF(A488="","",SUM(X488:AI488))</f>
        <v/>
      </c>
      <c r="H488" s="8">
        <f>IF(A488="","",IF(ISNA(MATCH(A488,Mitarbeiter!$A$6:$A$205,0)),"Pers.-Nr. unbekannt",IF(D488="","Von fehlt",IF(AND(C488&lt;&gt;Einstellungen!$C$4,C488&lt;&gt;Einstellungen!$C$5),"Objekt fehlt",IF(J488&lt;D488,"Bis vor Von",IF(D488&lt;INDEX(Mitarbeiter!$C$6:$C$205,MATCH($A488,Mitarbeiter!$A$6:$A$205,0)),"vor Eintritt",IF(AND(INDEX(Mitarbeiter!$D$6:$D$205,MATCH($A488,Mitarbeiter!$A$6:$A$205,0))&lt;&gt;"",D488&gt;INDEX(Mitarbeiter!$D$6:$D$205,MATCH($A488,Mitarbeiter!$A$6:$A$205,0))),"nach Austritt",IF(E488="","offen","ok"))))))))</f>
        <v/>
      </c>
      <c r="J488" s="47">
        <f>IF(A488="","",IF(E488="",Einstellungen!$C$9,E488))</f>
        <v/>
      </c>
      <c r="K488" s="48">
        <f>IF(A488="",0,IFERROR(INDEX(Mitarbeiter!$F$6:$F$205,MATCH($A488,Mitarbeiter!$A$6:$A$205,0)),0))</f>
        <v/>
      </c>
      <c r="L488" s="49">
        <f>IF(OR(A488="",D488=""),0,MAX(0,NETWORKDAYS(MAX(D488,DATE(Einstellungen!$C$3,1,1)),MIN(J488,DATE(Einstellungen!$C$3,2,0)),Einstellungen!$F$13:$F$32)))</f>
        <v/>
      </c>
      <c r="M488" s="49">
        <f>IF(OR(A488="",D488=""),0,MAX(0,NETWORKDAYS(MAX(D488,DATE(Einstellungen!$C$3,2,1)),MIN(J488,DATE(Einstellungen!$C$3,3,0)),Einstellungen!$F$13:$F$32)))</f>
        <v/>
      </c>
      <c r="N488" s="49">
        <f>IF(OR(A488="",D488=""),0,MAX(0,NETWORKDAYS(MAX(D488,DATE(Einstellungen!$C$3,3,1)),MIN(J488,DATE(Einstellungen!$C$3,4,0)),Einstellungen!$F$13:$F$32)))</f>
        <v/>
      </c>
      <c r="O488" s="49">
        <f>IF(OR(A488="",D488=""),0,MAX(0,NETWORKDAYS(MAX(D488,DATE(Einstellungen!$C$3,4,1)),MIN(J488,DATE(Einstellungen!$C$3,5,0)),Einstellungen!$F$13:$F$32)))</f>
        <v/>
      </c>
      <c r="P488" s="49">
        <f>IF(OR(A488="",D488=""),0,MAX(0,NETWORKDAYS(MAX(D488,DATE(Einstellungen!$C$3,5,1)),MIN(J488,DATE(Einstellungen!$C$3,6,0)),Einstellungen!$F$13:$F$32)))</f>
        <v/>
      </c>
      <c r="Q488" s="49">
        <f>IF(OR(A488="",D488=""),0,MAX(0,NETWORKDAYS(MAX(D488,DATE(Einstellungen!$C$3,6,1)),MIN(J488,DATE(Einstellungen!$C$3,7,0)),Einstellungen!$F$13:$F$32)))</f>
        <v/>
      </c>
      <c r="R488" s="49">
        <f>IF(OR(A488="",D488=""),0,MAX(0,NETWORKDAYS(MAX(D488,DATE(Einstellungen!$C$3,7,1)),MIN(J488,DATE(Einstellungen!$C$3,8,0)),Einstellungen!$F$13:$F$32)))</f>
        <v/>
      </c>
      <c r="S488" s="49">
        <f>IF(OR(A488="",D488=""),0,MAX(0,NETWORKDAYS(MAX(D488,DATE(Einstellungen!$C$3,8,1)),MIN(J488,DATE(Einstellungen!$C$3,9,0)),Einstellungen!$F$13:$F$32)))</f>
        <v/>
      </c>
      <c r="T488" s="49">
        <f>IF(OR(A488="",D488=""),0,MAX(0,NETWORKDAYS(MAX(D488,DATE(Einstellungen!$C$3,9,1)),MIN(J488,DATE(Einstellungen!$C$3,10,0)),Einstellungen!$F$13:$F$32)))</f>
        <v/>
      </c>
      <c r="U488" s="49">
        <f>IF(OR(A488="",D488=""),0,MAX(0,NETWORKDAYS(MAX(D488,DATE(Einstellungen!$C$3,10,1)),MIN(J488,DATE(Einstellungen!$C$3,11,0)),Einstellungen!$F$13:$F$32)))</f>
        <v/>
      </c>
      <c r="V488" s="49">
        <f>IF(OR(A488="",D488=""),0,MAX(0,NETWORKDAYS(MAX(D488,DATE(Einstellungen!$C$3,11,1)),MIN(J488,DATE(Einstellungen!$C$3,12,0)),Einstellungen!$F$13:$F$32)))</f>
        <v/>
      </c>
      <c r="W488" s="49">
        <f>IF(OR(A488="",D488=""),0,MAX(0,NETWORKDAYS(MAX(D488,DATE(Einstellungen!$C$3,12,1)),MIN(J488,DATE(Einstellungen!$C$3,13,0)),Einstellungen!$F$13:$F$32)))</f>
        <v/>
      </c>
      <c r="X488" s="50">
        <f>L488*K488</f>
        <v/>
      </c>
      <c r="Y488" s="50">
        <f>M488*K488</f>
        <v/>
      </c>
      <c r="Z488" s="50">
        <f>N488*K488</f>
        <v/>
      </c>
      <c r="AA488" s="50">
        <f>O488*K488</f>
        <v/>
      </c>
      <c r="AB488" s="50">
        <f>P488*K488</f>
        <v/>
      </c>
      <c r="AC488" s="50">
        <f>Q488*K488</f>
        <v/>
      </c>
      <c r="AD488" s="50">
        <f>R488*K488</f>
        <v/>
      </c>
      <c r="AE488" s="50">
        <f>S488*K488</f>
        <v/>
      </c>
      <c r="AF488" s="50">
        <f>T488*K488</f>
        <v/>
      </c>
      <c r="AG488" s="50">
        <f>U488*K488</f>
        <v/>
      </c>
      <c r="AH488" s="50">
        <f>V488*K488</f>
        <v/>
      </c>
      <c r="AI488" s="50">
        <f>W488*K488</f>
        <v/>
      </c>
    </row>
    <row r="489">
      <c r="A489" s="25" t="n"/>
      <c r="B489" s="45">
        <f>IF(A489="","",IFERROR(INDEX(Mitarbeiter!$B$6:$B$205,MATCH($A489,Mitarbeiter!$A$6:$A$205,0)),"?"))</f>
        <v/>
      </c>
      <c r="C489" s="46" t="n"/>
      <c r="D489" s="26" t="n"/>
      <c r="E489" s="26" t="n"/>
      <c r="F489" s="24">
        <f>IF(A489="","",SUM(L489:W489))</f>
        <v/>
      </c>
      <c r="G489" s="36">
        <f>IF(A489="","",SUM(X489:AI489))</f>
        <v/>
      </c>
      <c r="H489" s="8">
        <f>IF(A489="","",IF(ISNA(MATCH(A489,Mitarbeiter!$A$6:$A$205,0)),"Pers.-Nr. unbekannt",IF(D489="","Von fehlt",IF(AND(C489&lt;&gt;Einstellungen!$C$4,C489&lt;&gt;Einstellungen!$C$5),"Objekt fehlt",IF(J489&lt;D489,"Bis vor Von",IF(D489&lt;INDEX(Mitarbeiter!$C$6:$C$205,MATCH($A489,Mitarbeiter!$A$6:$A$205,0)),"vor Eintritt",IF(AND(INDEX(Mitarbeiter!$D$6:$D$205,MATCH($A489,Mitarbeiter!$A$6:$A$205,0))&lt;&gt;"",D489&gt;INDEX(Mitarbeiter!$D$6:$D$205,MATCH($A489,Mitarbeiter!$A$6:$A$205,0))),"nach Austritt",IF(E489="","offen","ok"))))))))</f>
        <v/>
      </c>
      <c r="J489" s="47">
        <f>IF(A489="","",IF(E489="",Einstellungen!$C$9,E489))</f>
        <v/>
      </c>
      <c r="K489" s="48">
        <f>IF(A489="",0,IFERROR(INDEX(Mitarbeiter!$F$6:$F$205,MATCH($A489,Mitarbeiter!$A$6:$A$205,0)),0))</f>
        <v/>
      </c>
      <c r="L489" s="49">
        <f>IF(OR(A489="",D489=""),0,MAX(0,NETWORKDAYS(MAX(D489,DATE(Einstellungen!$C$3,1,1)),MIN(J489,DATE(Einstellungen!$C$3,2,0)),Einstellungen!$F$13:$F$32)))</f>
        <v/>
      </c>
      <c r="M489" s="49">
        <f>IF(OR(A489="",D489=""),0,MAX(0,NETWORKDAYS(MAX(D489,DATE(Einstellungen!$C$3,2,1)),MIN(J489,DATE(Einstellungen!$C$3,3,0)),Einstellungen!$F$13:$F$32)))</f>
        <v/>
      </c>
      <c r="N489" s="49">
        <f>IF(OR(A489="",D489=""),0,MAX(0,NETWORKDAYS(MAX(D489,DATE(Einstellungen!$C$3,3,1)),MIN(J489,DATE(Einstellungen!$C$3,4,0)),Einstellungen!$F$13:$F$32)))</f>
        <v/>
      </c>
      <c r="O489" s="49">
        <f>IF(OR(A489="",D489=""),0,MAX(0,NETWORKDAYS(MAX(D489,DATE(Einstellungen!$C$3,4,1)),MIN(J489,DATE(Einstellungen!$C$3,5,0)),Einstellungen!$F$13:$F$32)))</f>
        <v/>
      </c>
      <c r="P489" s="49">
        <f>IF(OR(A489="",D489=""),0,MAX(0,NETWORKDAYS(MAX(D489,DATE(Einstellungen!$C$3,5,1)),MIN(J489,DATE(Einstellungen!$C$3,6,0)),Einstellungen!$F$13:$F$32)))</f>
        <v/>
      </c>
      <c r="Q489" s="49">
        <f>IF(OR(A489="",D489=""),0,MAX(0,NETWORKDAYS(MAX(D489,DATE(Einstellungen!$C$3,6,1)),MIN(J489,DATE(Einstellungen!$C$3,7,0)),Einstellungen!$F$13:$F$32)))</f>
        <v/>
      </c>
      <c r="R489" s="49">
        <f>IF(OR(A489="",D489=""),0,MAX(0,NETWORKDAYS(MAX(D489,DATE(Einstellungen!$C$3,7,1)),MIN(J489,DATE(Einstellungen!$C$3,8,0)),Einstellungen!$F$13:$F$32)))</f>
        <v/>
      </c>
      <c r="S489" s="49">
        <f>IF(OR(A489="",D489=""),0,MAX(0,NETWORKDAYS(MAX(D489,DATE(Einstellungen!$C$3,8,1)),MIN(J489,DATE(Einstellungen!$C$3,9,0)),Einstellungen!$F$13:$F$32)))</f>
        <v/>
      </c>
      <c r="T489" s="49">
        <f>IF(OR(A489="",D489=""),0,MAX(0,NETWORKDAYS(MAX(D489,DATE(Einstellungen!$C$3,9,1)),MIN(J489,DATE(Einstellungen!$C$3,10,0)),Einstellungen!$F$13:$F$32)))</f>
        <v/>
      </c>
      <c r="U489" s="49">
        <f>IF(OR(A489="",D489=""),0,MAX(0,NETWORKDAYS(MAX(D489,DATE(Einstellungen!$C$3,10,1)),MIN(J489,DATE(Einstellungen!$C$3,11,0)),Einstellungen!$F$13:$F$32)))</f>
        <v/>
      </c>
      <c r="V489" s="49">
        <f>IF(OR(A489="",D489=""),0,MAX(0,NETWORKDAYS(MAX(D489,DATE(Einstellungen!$C$3,11,1)),MIN(J489,DATE(Einstellungen!$C$3,12,0)),Einstellungen!$F$13:$F$32)))</f>
        <v/>
      </c>
      <c r="W489" s="49">
        <f>IF(OR(A489="",D489=""),0,MAX(0,NETWORKDAYS(MAX(D489,DATE(Einstellungen!$C$3,12,1)),MIN(J489,DATE(Einstellungen!$C$3,13,0)),Einstellungen!$F$13:$F$32)))</f>
        <v/>
      </c>
      <c r="X489" s="50">
        <f>L489*K489</f>
        <v/>
      </c>
      <c r="Y489" s="50">
        <f>M489*K489</f>
        <v/>
      </c>
      <c r="Z489" s="50">
        <f>N489*K489</f>
        <v/>
      </c>
      <c r="AA489" s="50">
        <f>O489*K489</f>
        <v/>
      </c>
      <c r="AB489" s="50">
        <f>P489*K489</f>
        <v/>
      </c>
      <c r="AC489" s="50">
        <f>Q489*K489</f>
        <v/>
      </c>
      <c r="AD489" s="50">
        <f>R489*K489</f>
        <v/>
      </c>
      <c r="AE489" s="50">
        <f>S489*K489</f>
        <v/>
      </c>
      <c r="AF489" s="50">
        <f>T489*K489</f>
        <v/>
      </c>
      <c r="AG489" s="50">
        <f>U489*K489</f>
        <v/>
      </c>
      <c r="AH489" s="50">
        <f>V489*K489</f>
        <v/>
      </c>
      <c r="AI489" s="50">
        <f>W489*K489</f>
        <v/>
      </c>
    </row>
    <row r="490">
      <c r="A490" s="25" t="n"/>
      <c r="B490" s="45">
        <f>IF(A490="","",IFERROR(INDEX(Mitarbeiter!$B$6:$B$205,MATCH($A490,Mitarbeiter!$A$6:$A$205,0)),"?"))</f>
        <v/>
      </c>
      <c r="C490" s="46" t="n"/>
      <c r="D490" s="26" t="n"/>
      <c r="E490" s="26" t="n"/>
      <c r="F490" s="24">
        <f>IF(A490="","",SUM(L490:W490))</f>
        <v/>
      </c>
      <c r="G490" s="36">
        <f>IF(A490="","",SUM(X490:AI490))</f>
        <v/>
      </c>
      <c r="H490" s="8">
        <f>IF(A490="","",IF(ISNA(MATCH(A490,Mitarbeiter!$A$6:$A$205,0)),"Pers.-Nr. unbekannt",IF(D490="","Von fehlt",IF(AND(C490&lt;&gt;Einstellungen!$C$4,C490&lt;&gt;Einstellungen!$C$5),"Objekt fehlt",IF(J490&lt;D490,"Bis vor Von",IF(D490&lt;INDEX(Mitarbeiter!$C$6:$C$205,MATCH($A490,Mitarbeiter!$A$6:$A$205,0)),"vor Eintritt",IF(AND(INDEX(Mitarbeiter!$D$6:$D$205,MATCH($A490,Mitarbeiter!$A$6:$A$205,0))&lt;&gt;"",D490&gt;INDEX(Mitarbeiter!$D$6:$D$205,MATCH($A490,Mitarbeiter!$A$6:$A$205,0))),"nach Austritt",IF(E490="","offen","ok"))))))))</f>
        <v/>
      </c>
      <c r="J490" s="47">
        <f>IF(A490="","",IF(E490="",Einstellungen!$C$9,E490))</f>
        <v/>
      </c>
      <c r="K490" s="48">
        <f>IF(A490="",0,IFERROR(INDEX(Mitarbeiter!$F$6:$F$205,MATCH($A490,Mitarbeiter!$A$6:$A$205,0)),0))</f>
        <v/>
      </c>
      <c r="L490" s="49">
        <f>IF(OR(A490="",D490=""),0,MAX(0,NETWORKDAYS(MAX(D490,DATE(Einstellungen!$C$3,1,1)),MIN(J490,DATE(Einstellungen!$C$3,2,0)),Einstellungen!$F$13:$F$32)))</f>
        <v/>
      </c>
      <c r="M490" s="49">
        <f>IF(OR(A490="",D490=""),0,MAX(0,NETWORKDAYS(MAX(D490,DATE(Einstellungen!$C$3,2,1)),MIN(J490,DATE(Einstellungen!$C$3,3,0)),Einstellungen!$F$13:$F$32)))</f>
        <v/>
      </c>
      <c r="N490" s="49">
        <f>IF(OR(A490="",D490=""),0,MAX(0,NETWORKDAYS(MAX(D490,DATE(Einstellungen!$C$3,3,1)),MIN(J490,DATE(Einstellungen!$C$3,4,0)),Einstellungen!$F$13:$F$32)))</f>
        <v/>
      </c>
      <c r="O490" s="49">
        <f>IF(OR(A490="",D490=""),0,MAX(0,NETWORKDAYS(MAX(D490,DATE(Einstellungen!$C$3,4,1)),MIN(J490,DATE(Einstellungen!$C$3,5,0)),Einstellungen!$F$13:$F$32)))</f>
        <v/>
      </c>
      <c r="P490" s="49">
        <f>IF(OR(A490="",D490=""),0,MAX(0,NETWORKDAYS(MAX(D490,DATE(Einstellungen!$C$3,5,1)),MIN(J490,DATE(Einstellungen!$C$3,6,0)),Einstellungen!$F$13:$F$32)))</f>
        <v/>
      </c>
      <c r="Q490" s="49">
        <f>IF(OR(A490="",D490=""),0,MAX(0,NETWORKDAYS(MAX(D490,DATE(Einstellungen!$C$3,6,1)),MIN(J490,DATE(Einstellungen!$C$3,7,0)),Einstellungen!$F$13:$F$32)))</f>
        <v/>
      </c>
      <c r="R490" s="49">
        <f>IF(OR(A490="",D490=""),0,MAX(0,NETWORKDAYS(MAX(D490,DATE(Einstellungen!$C$3,7,1)),MIN(J490,DATE(Einstellungen!$C$3,8,0)),Einstellungen!$F$13:$F$32)))</f>
        <v/>
      </c>
      <c r="S490" s="49">
        <f>IF(OR(A490="",D490=""),0,MAX(0,NETWORKDAYS(MAX(D490,DATE(Einstellungen!$C$3,8,1)),MIN(J490,DATE(Einstellungen!$C$3,9,0)),Einstellungen!$F$13:$F$32)))</f>
        <v/>
      </c>
      <c r="T490" s="49">
        <f>IF(OR(A490="",D490=""),0,MAX(0,NETWORKDAYS(MAX(D490,DATE(Einstellungen!$C$3,9,1)),MIN(J490,DATE(Einstellungen!$C$3,10,0)),Einstellungen!$F$13:$F$32)))</f>
        <v/>
      </c>
      <c r="U490" s="49">
        <f>IF(OR(A490="",D490=""),0,MAX(0,NETWORKDAYS(MAX(D490,DATE(Einstellungen!$C$3,10,1)),MIN(J490,DATE(Einstellungen!$C$3,11,0)),Einstellungen!$F$13:$F$32)))</f>
        <v/>
      </c>
      <c r="V490" s="49">
        <f>IF(OR(A490="",D490=""),0,MAX(0,NETWORKDAYS(MAX(D490,DATE(Einstellungen!$C$3,11,1)),MIN(J490,DATE(Einstellungen!$C$3,12,0)),Einstellungen!$F$13:$F$32)))</f>
        <v/>
      </c>
      <c r="W490" s="49">
        <f>IF(OR(A490="",D490=""),0,MAX(0,NETWORKDAYS(MAX(D490,DATE(Einstellungen!$C$3,12,1)),MIN(J490,DATE(Einstellungen!$C$3,13,0)),Einstellungen!$F$13:$F$32)))</f>
        <v/>
      </c>
      <c r="X490" s="50">
        <f>L490*K490</f>
        <v/>
      </c>
      <c r="Y490" s="50">
        <f>M490*K490</f>
        <v/>
      </c>
      <c r="Z490" s="50">
        <f>N490*K490</f>
        <v/>
      </c>
      <c r="AA490" s="50">
        <f>O490*K490</f>
        <v/>
      </c>
      <c r="AB490" s="50">
        <f>P490*K490</f>
        <v/>
      </c>
      <c r="AC490" s="50">
        <f>Q490*K490</f>
        <v/>
      </c>
      <c r="AD490" s="50">
        <f>R490*K490</f>
        <v/>
      </c>
      <c r="AE490" s="50">
        <f>S490*K490</f>
        <v/>
      </c>
      <c r="AF490" s="50">
        <f>T490*K490</f>
        <v/>
      </c>
      <c r="AG490" s="50">
        <f>U490*K490</f>
        <v/>
      </c>
      <c r="AH490" s="50">
        <f>V490*K490</f>
        <v/>
      </c>
      <c r="AI490" s="50">
        <f>W490*K490</f>
        <v/>
      </c>
    </row>
    <row r="491">
      <c r="A491" s="25" t="n"/>
      <c r="B491" s="45">
        <f>IF(A491="","",IFERROR(INDEX(Mitarbeiter!$B$6:$B$205,MATCH($A491,Mitarbeiter!$A$6:$A$205,0)),"?"))</f>
        <v/>
      </c>
      <c r="C491" s="46" t="n"/>
      <c r="D491" s="26" t="n"/>
      <c r="E491" s="26" t="n"/>
      <c r="F491" s="24">
        <f>IF(A491="","",SUM(L491:W491))</f>
        <v/>
      </c>
      <c r="G491" s="36">
        <f>IF(A491="","",SUM(X491:AI491))</f>
        <v/>
      </c>
      <c r="H491" s="8">
        <f>IF(A491="","",IF(ISNA(MATCH(A491,Mitarbeiter!$A$6:$A$205,0)),"Pers.-Nr. unbekannt",IF(D491="","Von fehlt",IF(AND(C491&lt;&gt;Einstellungen!$C$4,C491&lt;&gt;Einstellungen!$C$5),"Objekt fehlt",IF(J491&lt;D491,"Bis vor Von",IF(D491&lt;INDEX(Mitarbeiter!$C$6:$C$205,MATCH($A491,Mitarbeiter!$A$6:$A$205,0)),"vor Eintritt",IF(AND(INDEX(Mitarbeiter!$D$6:$D$205,MATCH($A491,Mitarbeiter!$A$6:$A$205,0))&lt;&gt;"",D491&gt;INDEX(Mitarbeiter!$D$6:$D$205,MATCH($A491,Mitarbeiter!$A$6:$A$205,0))),"nach Austritt",IF(E491="","offen","ok"))))))))</f>
        <v/>
      </c>
      <c r="J491" s="47">
        <f>IF(A491="","",IF(E491="",Einstellungen!$C$9,E491))</f>
        <v/>
      </c>
      <c r="K491" s="48">
        <f>IF(A491="",0,IFERROR(INDEX(Mitarbeiter!$F$6:$F$205,MATCH($A491,Mitarbeiter!$A$6:$A$205,0)),0))</f>
        <v/>
      </c>
      <c r="L491" s="49">
        <f>IF(OR(A491="",D491=""),0,MAX(0,NETWORKDAYS(MAX(D491,DATE(Einstellungen!$C$3,1,1)),MIN(J491,DATE(Einstellungen!$C$3,2,0)),Einstellungen!$F$13:$F$32)))</f>
        <v/>
      </c>
      <c r="M491" s="49">
        <f>IF(OR(A491="",D491=""),0,MAX(0,NETWORKDAYS(MAX(D491,DATE(Einstellungen!$C$3,2,1)),MIN(J491,DATE(Einstellungen!$C$3,3,0)),Einstellungen!$F$13:$F$32)))</f>
        <v/>
      </c>
      <c r="N491" s="49">
        <f>IF(OR(A491="",D491=""),0,MAX(0,NETWORKDAYS(MAX(D491,DATE(Einstellungen!$C$3,3,1)),MIN(J491,DATE(Einstellungen!$C$3,4,0)),Einstellungen!$F$13:$F$32)))</f>
        <v/>
      </c>
      <c r="O491" s="49">
        <f>IF(OR(A491="",D491=""),0,MAX(0,NETWORKDAYS(MAX(D491,DATE(Einstellungen!$C$3,4,1)),MIN(J491,DATE(Einstellungen!$C$3,5,0)),Einstellungen!$F$13:$F$32)))</f>
        <v/>
      </c>
      <c r="P491" s="49">
        <f>IF(OR(A491="",D491=""),0,MAX(0,NETWORKDAYS(MAX(D491,DATE(Einstellungen!$C$3,5,1)),MIN(J491,DATE(Einstellungen!$C$3,6,0)),Einstellungen!$F$13:$F$32)))</f>
        <v/>
      </c>
      <c r="Q491" s="49">
        <f>IF(OR(A491="",D491=""),0,MAX(0,NETWORKDAYS(MAX(D491,DATE(Einstellungen!$C$3,6,1)),MIN(J491,DATE(Einstellungen!$C$3,7,0)),Einstellungen!$F$13:$F$32)))</f>
        <v/>
      </c>
      <c r="R491" s="49">
        <f>IF(OR(A491="",D491=""),0,MAX(0,NETWORKDAYS(MAX(D491,DATE(Einstellungen!$C$3,7,1)),MIN(J491,DATE(Einstellungen!$C$3,8,0)),Einstellungen!$F$13:$F$32)))</f>
        <v/>
      </c>
      <c r="S491" s="49">
        <f>IF(OR(A491="",D491=""),0,MAX(0,NETWORKDAYS(MAX(D491,DATE(Einstellungen!$C$3,8,1)),MIN(J491,DATE(Einstellungen!$C$3,9,0)),Einstellungen!$F$13:$F$32)))</f>
        <v/>
      </c>
      <c r="T491" s="49">
        <f>IF(OR(A491="",D491=""),0,MAX(0,NETWORKDAYS(MAX(D491,DATE(Einstellungen!$C$3,9,1)),MIN(J491,DATE(Einstellungen!$C$3,10,0)),Einstellungen!$F$13:$F$32)))</f>
        <v/>
      </c>
      <c r="U491" s="49">
        <f>IF(OR(A491="",D491=""),0,MAX(0,NETWORKDAYS(MAX(D491,DATE(Einstellungen!$C$3,10,1)),MIN(J491,DATE(Einstellungen!$C$3,11,0)),Einstellungen!$F$13:$F$32)))</f>
        <v/>
      </c>
      <c r="V491" s="49">
        <f>IF(OR(A491="",D491=""),0,MAX(0,NETWORKDAYS(MAX(D491,DATE(Einstellungen!$C$3,11,1)),MIN(J491,DATE(Einstellungen!$C$3,12,0)),Einstellungen!$F$13:$F$32)))</f>
        <v/>
      </c>
      <c r="W491" s="49">
        <f>IF(OR(A491="",D491=""),0,MAX(0,NETWORKDAYS(MAX(D491,DATE(Einstellungen!$C$3,12,1)),MIN(J491,DATE(Einstellungen!$C$3,13,0)),Einstellungen!$F$13:$F$32)))</f>
        <v/>
      </c>
      <c r="X491" s="50">
        <f>L491*K491</f>
        <v/>
      </c>
      <c r="Y491" s="50">
        <f>M491*K491</f>
        <v/>
      </c>
      <c r="Z491" s="50">
        <f>N491*K491</f>
        <v/>
      </c>
      <c r="AA491" s="50">
        <f>O491*K491</f>
        <v/>
      </c>
      <c r="AB491" s="50">
        <f>P491*K491</f>
        <v/>
      </c>
      <c r="AC491" s="50">
        <f>Q491*K491</f>
        <v/>
      </c>
      <c r="AD491" s="50">
        <f>R491*K491</f>
        <v/>
      </c>
      <c r="AE491" s="50">
        <f>S491*K491</f>
        <v/>
      </c>
      <c r="AF491" s="50">
        <f>T491*K491</f>
        <v/>
      </c>
      <c r="AG491" s="50">
        <f>U491*K491</f>
        <v/>
      </c>
      <c r="AH491" s="50">
        <f>V491*K491</f>
        <v/>
      </c>
      <c r="AI491" s="50">
        <f>W491*K491</f>
        <v/>
      </c>
    </row>
    <row r="492">
      <c r="A492" s="25" t="n"/>
      <c r="B492" s="45">
        <f>IF(A492="","",IFERROR(INDEX(Mitarbeiter!$B$6:$B$205,MATCH($A492,Mitarbeiter!$A$6:$A$205,0)),"?"))</f>
        <v/>
      </c>
      <c r="C492" s="46" t="n"/>
      <c r="D492" s="26" t="n"/>
      <c r="E492" s="26" t="n"/>
      <c r="F492" s="24">
        <f>IF(A492="","",SUM(L492:W492))</f>
        <v/>
      </c>
      <c r="G492" s="36">
        <f>IF(A492="","",SUM(X492:AI492))</f>
        <v/>
      </c>
      <c r="H492" s="8">
        <f>IF(A492="","",IF(ISNA(MATCH(A492,Mitarbeiter!$A$6:$A$205,0)),"Pers.-Nr. unbekannt",IF(D492="","Von fehlt",IF(AND(C492&lt;&gt;Einstellungen!$C$4,C492&lt;&gt;Einstellungen!$C$5),"Objekt fehlt",IF(J492&lt;D492,"Bis vor Von",IF(D492&lt;INDEX(Mitarbeiter!$C$6:$C$205,MATCH($A492,Mitarbeiter!$A$6:$A$205,0)),"vor Eintritt",IF(AND(INDEX(Mitarbeiter!$D$6:$D$205,MATCH($A492,Mitarbeiter!$A$6:$A$205,0))&lt;&gt;"",D492&gt;INDEX(Mitarbeiter!$D$6:$D$205,MATCH($A492,Mitarbeiter!$A$6:$A$205,0))),"nach Austritt",IF(E492="","offen","ok"))))))))</f>
        <v/>
      </c>
      <c r="J492" s="47">
        <f>IF(A492="","",IF(E492="",Einstellungen!$C$9,E492))</f>
        <v/>
      </c>
      <c r="K492" s="48">
        <f>IF(A492="",0,IFERROR(INDEX(Mitarbeiter!$F$6:$F$205,MATCH($A492,Mitarbeiter!$A$6:$A$205,0)),0))</f>
        <v/>
      </c>
      <c r="L492" s="49">
        <f>IF(OR(A492="",D492=""),0,MAX(0,NETWORKDAYS(MAX(D492,DATE(Einstellungen!$C$3,1,1)),MIN(J492,DATE(Einstellungen!$C$3,2,0)),Einstellungen!$F$13:$F$32)))</f>
        <v/>
      </c>
      <c r="M492" s="49">
        <f>IF(OR(A492="",D492=""),0,MAX(0,NETWORKDAYS(MAX(D492,DATE(Einstellungen!$C$3,2,1)),MIN(J492,DATE(Einstellungen!$C$3,3,0)),Einstellungen!$F$13:$F$32)))</f>
        <v/>
      </c>
      <c r="N492" s="49">
        <f>IF(OR(A492="",D492=""),0,MAX(0,NETWORKDAYS(MAX(D492,DATE(Einstellungen!$C$3,3,1)),MIN(J492,DATE(Einstellungen!$C$3,4,0)),Einstellungen!$F$13:$F$32)))</f>
        <v/>
      </c>
      <c r="O492" s="49">
        <f>IF(OR(A492="",D492=""),0,MAX(0,NETWORKDAYS(MAX(D492,DATE(Einstellungen!$C$3,4,1)),MIN(J492,DATE(Einstellungen!$C$3,5,0)),Einstellungen!$F$13:$F$32)))</f>
        <v/>
      </c>
      <c r="P492" s="49">
        <f>IF(OR(A492="",D492=""),0,MAX(0,NETWORKDAYS(MAX(D492,DATE(Einstellungen!$C$3,5,1)),MIN(J492,DATE(Einstellungen!$C$3,6,0)),Einstellungen!$F$13:$F$32)))</f>
        <v/>
      </c>
      <c r="Q492" s="49">
        <f>IF(OR(A492="",D492=""),0,MAX(0,NETWORKDAYS(MAX(D492,DATE(Einstellungen!$C$3,6,1)),MIN(J492,DATE(Einstellungen!$C$3,7,0)),Einstellungen!$F$13:$F$32)))</f>
        <v/>
      </c>
      <c r="R492" s="49">
        <f>IF(OR(A492="",D492=""),0,MAX(0,NETWORKDAYS(MAX(D492,DATE(Einstellungen!$C$3,7,1)),MIN(J492,DATE(Einstellungen!$C$3,8,0)),Einstellungen!$F$13:$F$32)))</f>
        <v/>
      </c>
      <c r="S492" s="49">
        <f>IF(OR(A492="",D492=""),0,MAX(0,NETWORKDAYS(MAX(D492,DATE(Einstellungen!$C$3,8,1)),MIN(J492,DATE(Einstellungen!$C$3,9,0)),Einstellungen!$F$13:$F$32)))</f>
        <v/>
      </c>
      <c r="T492" s="49">
        <f>IF(OR(A492="",D492=""),0,MAX(0,NETWORKDAYS(MAX(D492,DATE(Einstellungen!$C$3,9,1)),MIN(J492,DATE(Einstellungen!$C$3,10,0)),Einstellungen!$F$13:$F$32)))</f>
        <v/>
      </c>
      <c r="U492" s="49">
        <f>IF(OR(A492="",D492=""),0,MAX(0,NETWORKDAYS(MAX(D492,DATE(Einstellungen!$C$3,10,1)),MIN(J492,DATE(Einstellungen!$C$3,11,0)),Einstellungen!$F$13:$F$32)))</f>
        <v/>
      </c>
      <c r="V492" s="49">
        <f>IF(OR(A492="",D492=""),0,MAX(0,NETWORKDAYS(MAX(D492,DATE(Einstellungen!$C$3,11,1)),MIN(J492,DATE(Einstellungen!$C$3,12,0)),Einstellungen!$F$13:$F$32)))</f>
        <v/>
      </c>
      <c r="W492" s="49">
        <f>IF(OR(A492="",D492=""),0,MAX(0,NETWORKDAYS(MAX(D492,DATE(Einstellungen!$C$3,12,1)),MIN(J492,DATE(Einstellungen!$C$3,13,0)),Einstellungen!$F$13:$F$32)))</f>
        <v/>
      </c>
      <c r="X492" s="50">
        <f>L492*K492</f>
        <v/>
      </c>
      <c r="Y492" s="50">
        <f>M492*K492</f>
        <v/>
      </c>
      <c r="Z492" s="50">
        <f>N492*K492</f>
        <v/>
      </c>
      <c r="AA492" s="50">
        <f>O492*K492</f>
        <v/>
      </c>
      <c r="AB492" s="50">
        <f>P492*K492</f>
        <v/>
      </c>
      <c r="AC492" s="50">
        <f>Q492*K492</f>
        <v/>
      </c>
      <c r="AD492" s="50">
        <f>R492*K492</f>
        <v/>
      </c>
      <c r="AE492" s="50">
        <f>S492*K492</f>
        <v/>
      </c>
      <c r="AF492" s="50">
        <f>T492*K492</f>
        <v/>
      </c>
      <c r="AG492" s="50">
        <f>U492*K492</f>
        <v/>
      </c>
      <c r="AH492" s="50">
        <f>V492*K492</f>
        <v/>
      </c>
      <c r="AI492" s="50">
        <f>W492*K492</f>
        <v/>
      </c>
    </row>
    <row r="493">
      <c r="A493" s="25" t="n"/>
      <c r="B493" s="45">
        <f>IF(A493="","",IFERROR(INDEX(Mitarbeiter!$B$6:$B$205,MATCH($A493,Mitarbeiter!$A$6:$A$205,0)),"?"))</f>
        <v/>
      </c>
      <c r="C493" s="46" t="n"/>
      <c r="D493" s="26" t="n"/>
      <c r="E493" s="26" t="n"/>
      <c r="F493" s="24">
        <f>IF(A493="","",SUM(L493:W493))</f>
        <v/>
      </c>
      <c r="G493" s="36">
        <f>IF(A493="","",SUM(X493:AI493))</f>
        <v/>
      </c>
      <c r="H493" s="8">
        <f>IF(A493="","",IF(ISNA(MATCH(A493,Mitarbeiter!$A$6:$A$205,0)),"Pers.-Nr. unbekannt",IF(D493="","Von fehlt",IF(AND(C493&lt;&gt;Einstellungen!$C$4,C493&lt;&gt;Einstellungen!$C$5),"Objekt fehlt",IF(J493&lt;D493,"Bis vor Von",IF(D493&lt;INDEX(Mitarbeiter!$C$6:$C$205,MATCH($A493,Mitarbeiter!$A$6:$A$205,0)),"vor Eintritt",IF(AND(INDEX(Mitarbeiter!$D$6:$D$205,MATCH($A493,Mitarbeiter!$A$6:$A$205,0))&lt;&gt;"",D493&gt;INDEX(Mitarbeiter!$D$6:$D$205,MATCH($A493,Mitarbeiter!$A$6:$A$205,0))),"nach Austritt",IF(E493="","offen","ok"))))))))</f>
        <v/>
      </c>
      <c r="J493" s="47">
        <f>IF(A493="","",IF(E493="",Einstellungen!$C$9,E493))</f>
        <v/>
      </c>
      <c r="K493" s="48">
        <f>IF(A493="",0,IFERROR(INDEX(Mitarbeiter!$F$6:$F$205,MATCH($A493,Mitarbeiter!$A$6:$A$205,0)),0))</f>
        <v/>
      </c>
      <c r="L493" s="49">
        <f>IF(OR(A493="",D493=""),0,MAX(0,NETWORKDAYS(MAX(D493,DATE(Einstellungen!$C$3,1,1)),MIN(J493,DATE(Einstellungen!$C$3,2,0)),Einstellungen!$F$13:$F$32)))</f>
        <v/>
      </c>
      <c r="M493" s="49">
        <f>IF(OR(A493="",D493=""),0,MAX(0,NETWORKDAYS(MAX(D493,DATE(Einstellungen!$C$3,2,1)),MIN(J493,DATE(Einstellungen!$C$3,3,0)),Einstellungen!$F$13:$F$32)))</f>
        <v/>
      </c>
      <c r="N493" s="49">
        <f>IF(OR(A493="",D493=""),0,MAX(0,NETWORKDAYS(MAX(D493,DATE(Einstellungen!$C$3,3,1)),MIN(J493,DATE(Einstellungen!$C$3,4,0)),Einstellungen!$F$13:$F$32)))</f>
        <v/>
      </c>
      <c r="O493" s="49">
        <f>IF(OR(A493="",D493=""),0,MAX(0,NETWORKDAYS(MAX(D493,DATE(Einstellungen!$C$3,4,1)),MIN(J493,DATE(Einstellungen!$C$3,5,0)),Einstellungen!$F$13:$F$32)))</f>
        <v/>
      </c>
      <c r="P493" s="49">
        <f>IF(OR(A493="",D493=""),0,MAX(0,NETWORKDAYS(MAX(D493,DATE(Einstellungen!$C$3,5,1)),MIN(J493,DATE(Einstellungen!$C$3,6,0)),Einstellungen!$F$13:$F$32)))</f>
        <v/>
      </c>
      <c r="Q493" s="49">
        <f>IF(OR(A493="",D493=""),0,MAX(0,NETWORKDAYS(MAX(D493,DATE(Einstellungen!$C$3,6,1)),MIN(J493,DATE(Einstellungen!$C$3,7,0)),Einstellungen!$F$13:$F$32)))</f>
        <v/>
      </c>
      <c r="R493" s="49">
        <f>IF(OR(A493="",D493=""),0,MAX(0,NETWORKDAYS(MAX(D493,DATE(Einstellungen!$C$3,7,1)),MIN(J493,DATE(Einstellungen!$C$3,8,0)),Einstellungen!$F$13:$F$32)))</f>
        <v/>
      </c>
      <c r="S493" s="49">
        <f>IF(OR(A493="",D493=""),0,MAX(0,NETWORKDAYS(MAX(D493,DATE(Einstellungen!$C$3,8,1)),MIN(J493,DATE(Einstellungen!$C$3,9,0)),Einstellungen!$F$13:$F$32)))</f>
        <v/>
      </c>
      <c r="T493" s="49">
        <f>IF(OR(A493="",D493=""),0,MAX(0,NETWORKDAYS(MAX(D493,DATE(Einstellungen!$C$3,9,1)),MIN(J493,DATE(Einstellungen!$C$3,10,0)),Einstellungen!$F$13:$F$32)))</f>
        <v/>
      </c>
      <c r="U493" s="49">
        <f>IF(OR(A493="",D493=""),0,MAX(0,NETWORKDAYS(MAX(D493,DATE(Einstellungen!$C$3,10,1)),MIN(J493,DATE(Einstellungen!$C$3,11,0)),Einstellungen!$F$13:$F$32)))</f>
        <v/>
      </c>
      <c r="V493" s="49">
        <f>IF(OR(A493="",D493=""),0,MAX(0,NETWORKDAYS(MAX(D493,DATE(Einstellungen!$C$3,11,1)),MIN(J493,DATE(Einstellungen!$C$3,12,0)),Einstellungen!$F$13:$F$32)))</f>
        <v/>
      </c>
      <c r="W493" s="49">
        <f>IF(OR(A493="",D493=""),0,MAX(0,NETWORKDAYS(MAX(D493,DATE(Einstellungen!$C$3,12,1)),MIN(J493,DATE(Einstellungen!$C$3,13,0)),Einstellungen!$F$13:$F$32)))</f>
        <v/>
      </c>
      <c r="X493" s="50">
        <f>L493*K493</f>
        <v/>
      </c>
      <c r="Y493" s="50">
        <f>M493*K493</f>
        <v/>
      </c>
      <c r="Z493" s="50">
        <f>N493*K493</f>
        <v/>
      </c>
      <c r="AA493" s="50">
        <f>O493*K493</f>
        <v/>
      </c>
      <c r="AB493" s="50">
        <f>P493*K493</f>
        <v/>
      </c>
      <c r="AC493" s="50">
        <f>Q493*K493</f>
        <v/>
      </c>
      <c r="AD493" s="50">
        <f>R493*K493</f>
        <v/>
      </c>
      <c r="AE493" s="50">
        <f>S493*K493</f>
        <v/>
      </c>
      <c r="AF493" s="50">
        <f>T493*K493</f>
        <v/>
      </c>
      <c r="AG493" s="50">
        <f>U493*K493</f>
        <v/>
      </c>
      <c r="AH493" s="50">
        <f>V493*K493</f>
        <v/>
      </c>
      <c r="AI493" s="50">
        <f>W493*K493</f>
        <v/>
      </c>
    </row>
    <row r="494">
      <c r="A494" s="25" t="n"/>
      <c r="B494" s="45">
        <f>IF(A494="","",IFERROR(INDEX(Mitarbeiter!$B$6:$B$205,MATCH($A494,Mitarbeiter!$A$6:$A$205,0)),"?"))</f>
        <v/>
      </c>
      <c r="C494" s="46" t="n"/>
      <c r="D494" s="26" t="n"/>
      <c r="E494" s="26" t="n"/>
      <c r="F494" s="24">
        <f>IF(A494="","",SUM(L494:W494))</f>
        <v/>
      </c>
      <c r="G494" s="36">
        <f>IF(A494="","",SUM(X494:AI494))</f>
        <v/>
      </c>
      <c r="H494" s="8">
        <f>IF(A494="","",IF(ISNA(MATCH(A494,Mitarbeiter!$A$6:$A$205,0)),"Pers.-Nr. unbekannt",IF(D494="","Von fehlt",IF(AND(C494&lt;&gt;Einstellungen!$C$4,C494&lt;&gt;Einstellungen!$C$5),"Objekt fehlt",IF(J494&lt;D494,"Bis vor Von",IF(D494&lt;INDEX(Mitarbeiter!$C$6:$C$205,MATCH($A494,Mitarbeiter!$A$6:$A$205,0)),"vor Eintritt",IF(AND(INDEX(Mitarbeiter!$D$6:$D$205,MATCH($A494,Mitarbeiter!$A$6:$A$205,0))&lt;&gt;"",D494&gt;INDEX(Mitarbeiter!$D$6:$D$205,MATCH($A494,Mitarbeiter!$A$6:$A$205,0))),"nach Austritt",IF(E494="","offen","ok"))))))))</f>
        <v/>
      </c>
      <c r="J494" s="47">
        <f>IF(A494="","",IF(E494="",Einstellungen!$C$9,E494))</f>
        <v/>
      </c>
      <c r="K494" s="48">
        <f>IF(A494="",0,IFERROR(INDEX(Mitarbeiter!$F$6:$F$205,MATCH($A494,Mitarbeiter!$A$6:$A$205,0)),0))</f>
        <v/>
      </c>
      <c r="L494" s="49">
        <f>IF(OR(A494="",D494=""),0,MAX(0,NETWORKDAYS(MAX(D494,DATE(Einstellungen!$C$3,1,1)),MIN(J494,DATE(Einstellungen!$C$3,2,0)),Einstellungen!$F$13:$F$32)))</f>
        <v/>
      </c>
      <c r="M494" s="49">
        <f>IF(OR(A494="",D494=""),0,MAX(0,NETWORKDAYS(MAX(D494,DATE(Einstellungen!$C$3,2,1)),MIN(J494,DATE(Einstellungen!$C$3,3,0)),Einstellungen!$F$13:$F$32)))</f>
        <v/>
      </c>
      <c r="N494" s="49">
        <f>IF(OR(A494="",D494=""),0,MAX(0,NETWORKDAYS(MAX(D494,DATE(Einstellungen!$C$3,3,1)),MIN(J494,DATE(Einstellungen!$C$3,4,0)),Einstellungen!$F$13:$F$32)))</f>
        <v/>
      </c>
      <c r="O494" s="49">
        <f>IF(OR(A494="",D494=""),0,MAX(0,NETWORKDAYS(MAX(D494,DATE(Einstellungen!$C$3,4,1)),MIN(J494,DATE(Einstellungen!$C$3,5,0)),Einstellungen!$F$13:$F$32)))</f>
        <v/>
      </c>
      <c r="P494" s="49">
        <f>IF(OR(A494="",D494=""),0,MAX(0,NETWORKDAYS(MAX(D494,DATE(Einstellungen!$C$3,5,1)),MIN(J494,DATE(Einstellungen!$C$3,6,0)),Einstellungen!$F$13:$F$32)))</f>
        <v/>
      </c>
      <c r="Q494" s="49">
        <f>IF(OR(A494="",D494=""),0,MAX(0,NETWORKDAYS(MAX(D494,DATE(Einstellungen!$C$3,6,1)),MIN(J494,DATE(Einstellungen!$C$3,7,0)),Einstellungen!$F$13:$F$32)))</f>
        <v/>
      </c>
      <c r="R494" s="49">
        <f>IF(OR(A494="",D494=""),0,MAX(0,NETWORKDAYS(MAX(D494,DATE(Einstellungen!$C$3,7,1)),MIN(J494,DATE(Einstellungen!$C$3,8,0)),Einstellungen!$F$13:$F$32)))</f>
        <v/>
      </c>
      <c r="S494" s="49">
        <f>IF(OR(A494="",D494=""),0,MAX(0,NETWORKDAYS(MAX(D494,DATE(Einstellungen!$C$3,8,1)),MIN(J494,DATE(Einstellungen!$C$3,9,0)),Einstellungen!$F$13:$F$32)))</f>
        <v/>
      </c>
      <c r="T494" s="49">
        <f>IF(OR(A494="",D494=""),0,MAX(0,NETWORKDAYS(MAX(D494,DATE(Einstellungen!$C$3,9,1)),MIN(J494,DATE(Einstellungen!$C$3,10,0)),Einstellungen!$F$13:$F$32)))</f>
        <v/>
      </c>
      <c r="U494" s="49">
        <f>IF(OR(A494="",D494=""),0,MAX(0,NETWORKDAYS(MAX(D494,DATE(Einstellungen!$C$3,10,1)),MIN(J494,DATE(Einstellungen!$C$3,11,0)),Einstellungen!$F$13:$F$32)))</f>
        <v/>
      </c>
      <c r="V494" s="49">
        <f>IF(OR(A494="",D494=""),0,MAX(0,NETWORKDAYS(MAX(D494,DATE(Einstellungen!$C$3,11,1)),MIN(J494,DATE(Einstellungen!$C$3,12,0)),Einstellungen!$F$13:$F$32)))</f>
        <v/>
      </c>
      <c r="W494" s="49">
        <f>IF(OR(A494="",D494=""),0,MAX(0,NETWORKDAYS(MAX(D494,DATE(Einstellungen!$C$3,12,1)),MIN(J494,DATE(Einstellungen!$C$3,13,0)),Einstellungen!$F$13:$F$32)))</f>
        <v/>
      </c>
      <c r="X494" s="50">
        <f>L494*K494</f>
        <v/>
      </c>
      <c r="Y494" s="50">
        <f>M494*K494</f>
        <v/>
      </c>
      <c r="Z494" s="50">
        <f>N494*K494</f>
        <v/>
      </c>
      <c r="AA494" s="50">
        <f>O494*K494</f>
        <v/>
      </c>
      <c r="AB494" s="50">
        <f>P494*K494</f>
        <v/>
      </c>
      <c r="AC494" s="50">
        <f>Q494*K494</f>
        <v/>
      </c>
      <c r="AD494" s="50">
        <f>R494*K494</f>
        <v/>
      </c>
      <c r="AE494" s="50">
        <f>S494*K494</f>
        <v/>
      </c>
      <c r="AF494" s="50">
        <f>T494*K494</f>
        <v/>
      </c>
      <c r="AG494" s="50">
        <f>U494*K494</f>
        <v/>
      </c>
      <c r="AH494" s="50">
        <f>V494*K494</f>
        <v/>
      </c>
      <c r="AI494" s="50">
        <f>W494*K494</f>
        <v/>
      </c>
    </row>
    <row r="495">
      <c r="A495" s="25" t="n"/>
      <c r="B495" s="45">
        <f>IF(A495="","",IFERROR(INDEX(Mitarbeiter!$B$6:$B$205,MATCH($A495,Mitarbeiter!$A$6:$A$205,0)),"?"))</f>
        <v/>
      </c>
      <c r="C495" s="46" t="n"/>
      <c r="D495" s="26" t="n"/>
      <c r="E495" s="26" t="n"/>
      <c r="F495" s="24">
        <f>IF(A495="","",SUM(L495:W495))</f>
        <v/>
      </c>
      <c r="G495" s="36">
        <f>IF(A495="","",SUM(X495:AI495))</f>
        <v/>
      </c>
      <c r="H495" s="8">
        <f>IF(A495="","",IF(ISNA(MATCH(A495,Mitarbeiter!$A$6:$A$205,0)),"Pers.-Nr. unbekannt",IF(D495="","Von fehlt",IF(AND(C495&lt;&gt;Einstellungen!$C$4,C495&lt;&gt;Einstellungen!$C$5),"Objekt fehlt",IF(J495&lt;D495,"Bis vor Von",IF(D495&lt;INDEX(Mitarbeiter!$C$6:$C$205,MATCH($A495,Mitarbeiter!$A$6:$A$205,0)),"vor Eintritt",IF(AND(INDEX(Mitarbeiter!$D$6:$D$205,MATCH($A495,Mitarbeiter!$A$6:$A$205,0))&lt;&gt;"",D495&gt;INDEX(Mitarbeiter!$D$6:$D$205,MATCH($A495,Mitarbeiter!$A$6:$A$205,0))),"nach Austritt",IF(E495="","offen","ok"))))))))</f>
        <v/>
      </c>
      <c r="J495" s="47">
        <f>IF(A495="","",IF(E495="",Einstellungen!$C$9,E495))</f>
        <v/>
      </c>
      <c r="K495" s="48">
        <f>IF(A495="",0,IFERROR(INDEX(Mitarbeiter!$F$6:$F$205,MATCH($A495,Mitarbeiter!$A$6:$A$205,0)),0))</f>
        <v/>
      </c>
      <c r="L495" s="49">
        <f>IF(OR(A495="",D495=""),0,MAX(0,NETWORKDAYS(MAX(D495,DATE(Einstellungen!$C$3,1,1)),MIN(J495,DATE(Einstellungen!$C$3,2,0)),Einstellungen!$F$13:$F$32)))</f>
        <v/>
      </c>
      <c r="M495" s="49">
        <f>IF(OR(A495="",D495=""),0,MAX(0,NETWORKDAYS(MAX(D495,DATE(Einstellungen!$C$3,2,1)),MIN(J495,DATE(Einstellungen!$C$3,3,0)),Einstellungen!$F$13:$F$32)))</f>
        <v/>
      </c>
      <c r="N495" s="49">
        <f>IF(OR(A495="",D495=""),0,MAX(0,NETWORKDAYS(MAX(D495,DATE(Einstellungen!$C$3,3,1)),MIN(J495,DATE(Einstellungen!$C$3,4,0)),Einstellungen!$F$13:$F$32)))</f>
        <v/>
      </c>
      <c r="O495" s="49">
        <f>IF(OR(A495="",D495=""),0,MAX(0,NETWORKDAYS(MAX(D495,DATE(Einstellungen!$C$3,4,1)),MIN(J495,DATE(Einstellungen!$C$3,5,0)),Einstellungen!$F$13:$F$32)))</f>
        <v/>
      </c>
      <c r="P495" s="49">
        <f>IF(OR(A495="",D495=""),0,MAX(0,NETWORKDAYS(MAX(D495,DATE(Einstellungen!$C$3,5,1)),MIN(J495,DATE(Einstellungen!$C$3,6,0)),Einstellungen!$F$13:$F$32)))</f>
        <v/>
      </c>
      <c r="Q495" s="49">
        <f>IF(OR(A495="",D495=""),0,MAX(0,NETWORKDAYS(MAX(D495,DATE(Einstellungen!$C$3,6,1)),MIN(J495,DATE(Einstellungen!$C$3,7,0)),Einstellungen!$F$13:$F$32)))</f>
        <v/>
      </c>
      <c r="R495" s="49">
        <f>IF(OR(A495="",D495=""),0,MAX(0,NETWORKDAYS(MAX(D495,DATE(Einstellungen!$C$3,7,1)),MIN(J495,DATE(Einstellungen!$C$3,8,0)),Einstellungen!$F$13:$F$32)))</f>
        <v/>
      </c>
      <c r="S495" s="49">
        <f>IF(OR(A495="",D495=""),0,MAX(0,NETWORKDAYS(MAX(D495,DATE(Einstellungen!$C$3,8,1)),MIN(J495,DATE(Einstellungen!$C$3,9,0)),Einstellungen!$F$13:$F$32)))</f>
        <v/>
      </c>
      <c r="T495" s="49">
        <f>IF(OR(A495="",D495=""),0,MAX(0,NETWORKDAYS(MAX(D495,DATE(Einstellungen!$C$3,9,1)),MIN(J495,DATE(Einstellungen!$C$3,10,0)),Einstellungen!$F$13:$F$32)))</f>
        <v/>
      </c>
      <c r="U495" s="49">
        <f>IF(OR(A495="",D495=""),0,MAX(0,NETWORKDAYS(MAX(D495,DATE(Einstellungen!$C$3,10,1)),MIN(J495,DATE(Einstellungen!$C$3,11,0)),Einstellungen!$F$13:$F$32)))</f>
        <v/>
      </c>
      <c r="V495" s="49">
        <f>IF(OR(A495="",D495=""),0,MAX(0,NETWORKDAYS(MAX(D495,DATE(Einstellungen!$C$3,11,1)),MIN(J495,DATE(Einstellungen!$C$3,12,0)),Einstellungen!$F$13:$F$32)))</f>
        <v/>
      </c>
      <c r="W495" s="49">
        <f>IF(OR(A495="",D495=""),0,MAX(0,NETWORKDAYS(MAX(D495,DATE(Einstellungen!$C$3,12,1)),MIN(J495,DATE(Einstellungen!$C$3,13,0)),Einstellungen!$F$13:$F$32)))</f>
        <v/>
      </c>
      <c r="X495" s="50">
        <f>L495*K495</f>
        <v/>
      </c>
      <c r="Y495" s="50">
        <f>M495*K495</f>
        <v/>
      </c>
      <c r="Z495" s="50">
        <f>N495*K495</f>
        <v/>
      </c>
      <c r="AA495" s="50">
        <f>O495*K495</f>
        <v/>
      </c>
      <c r="AB495" s="50">
        <f>P495*K495</f>
        <v/>
      </c>
      <c r="AC495" s="50">
        <f>Q495*K495</f>
        <v/>
      </c>
      <c r="AD495" s="50">
        <f>R495*K495</f>
        <v/>
      </c>
      <c r="AE495" s="50">
        <f>S495*K495</f>
        <v/>
      </c>
      <c r="AF495" s="50">
        <f>T495*K495</f>
        <v/>
      </c>
      <c r="AG495" s="50">
        <f>U495*K495</f>
        <v/>
      </c>
      <c r="AH495" s="50">
        <f>V495*K495</f>
        <v/>
      </c>
      <c r="AI495" s="50">
        <f>W495*K495</f>
        <v/>
      </c>
    </row>
    <row r="496">
      <c r="A496" s="25" t="n"/>
      <c r="B496" s="45">
        <f>IF(A496="","",IFERROR(INDEX(Mitarbeiter!$B$6:$B$205,MATCH($A496,Mitarbeiter!$A$6:$A$205,0)),"?"))</f>
        <v/>
      </c>
      <c r="C496" s="46" t="n"/>
      <c r="D496" s="26" t="n"/>
      <c r="E496" s="26" t="n"/>
      <c r="F496" s="24">
        <f>IF(A496="","",SUM(L496:W496))</f>
        <v/>
      </c>
      <c r="G496" s="36">
        <f>IF(A496="","",SUM(X496:AI496))</f>
        <v/>
      </c>
      <c r="H496" s="8">
        <f>IF(A496="","",IF(ISNA(MATCH(A496,Mitarbeiter!$A$6:$A$205,0)),"Pers.-Nr. unbekannt",IF(D496="","Von fehlt",IF(AND(C496&lt;&gt;Einstellungen!$C$4,C496&lt;&gt;Einstellungen!$C$5),"Objekt fehlt",IF(J496&lt;D496,"Bis vor Von",IF(D496&lt;INDEX(Mitarbeiter!$C$6:$C$205,MATCH($A496,Mitarbeiter!$A$6:$A$205,0)),"vor Eintritt",IF(AND(INDEX(Mitarbeiter!$D$6:$D$205,MATCH($A496,Mitarbeiter!$A$6:$A$205,0))&lt;&gt;"",D496&gt;INDEX(Mitarbeiter!$D$6:$D$205,MATCH($A496,Mitarbeiter!$A$6:$A$205,0))),"nach Austritt",IF(E496="","offen","ok"))))))))</f>
        <v/>
      </c>
      <c r="J496" s="47">
        <f>IF(A496="","",IF(E496="",Einstellungen!$C$9,E496))</f>
        <v/>
      </c>
      <c r="K496" s="48">
        <f>IF(A496="",0,IFERROR(INDEX(Mitarbeiter!$F$6:$F$205,MATCH($A496,Mitarbeiter!$A$6:$A$205,0)),0))</f>
        <v/>
      </c>
      <c r="L496" s="49">
        <f>IF(OR(A496="",D496=""),0,MAX(0,NETWORKDAYS(MAX(D496,DATE(Einstellungen!$C$3,1,1)),MIN(J496,DATE(Einstellungen!$C$3,2,0)),Einstellungen!$F$13:$F$32)))</f>
        <v/>
      </c>
      <c r="M496" s="49">
        <f>IF(OR(A496="",D496=""),0,MAX(0,NETWORKDAYS(MAX(D496,DATE(Einstellungen!$C$3,2,1)),MIN(J496,DATE(Einstellungen!$C$3,3,0)),Einstellungen!$F$13:$F$32)))</f>
        <v/>
      </c>
      <c r="N496" s="49">
        <f>IF(OR(A496="",D496=""),0,MAX(0,NETWORKDAYS(MAX(D496,DATE(Einstellungen!$C$3,3,1)),MIN(J496,DATE(Einstellungen!$C$3,4,0)),Einstellungen!$F$13:$F$32)))</f>
        <v/>
      </c>
      <c r="O496" s="49">
        <f>IF(OR(A496="",D496=""),0,MAX(0,NETWORKDAYS(MAX(D496,DATE(Einstellungen!$C$3,4,1)),MIN(J496,DATE(Einstellungen!$C$3,5,0)),Einstellungen!$F$13:$F$32)))</f>
        <v/>
      </c>
      <c r="P496" s="49">
        <f>IF(OR(A496="",D496=""),0,MAX(0,NETWORKDAYS(MAX(D496,DATE(Einstellungen!$C$3,5,1)),MIN(J496,DATE(Einstellungen!$C$3,6,0)),Einstellungen!$F$13:$F$32)))</f>
        <v/>
      </c>
      <c r="Q496" s="49">
        <f>IF(OR(A496="",D496=""),0,MAX(0,NETWORKDAYS(MAX(D496,DATE(Einstellungen!$C$3,6,1)),MIN(J496,DATE(Einstellungen!$C$3,7,0)),Einstellungen!$F$13:$F$32)))</f>
        <v/>
      </c>
      <c r="R496" s="49">
        <f>IF(OR(A496="",D496=""),0,MAX(0,NETWORKDAYS(MAX(D496,DATE(Einstellungen!$C$3,7,1)),MIN(J496,DATE(Einstellungen!$C$3,8,0)),Einstellungen!$F$13:$F$32)))</f>
        <v/>
      </c>
      <c r="S496" s="49">
        <f>IF(OR(A496="",D496=""),0,MAX(0,NETWORKDAYS(MAX(D496,DATE(Einstellungen!$C$3,8,1)),MIN(J496,DATE(Einstellungen!$C$3,9,0)),Einstellungen!$F$13:$F$32)))</f>
        <v/>
      </c>
      <c r="T496" s="49">
        <f>IF(OR(A496="",D496=""),0,MAX(0,NETWORKDAYS(MAX(D496,DATE(Einstellungen!$C$3,9,1)),MIN(J496,DATE(Einstellungen!$C$3,10,0)),Einstellungen!$F$13:$F$32)))</f>
        <v/>
      </c>
      <c r="U496" s="49">
        <f>IF(OR(A496="",D496=""),0,MAX(0,NETWORKDAYS(MAX(D496,DATE(Einstellungen!$C$3,10,1)),MIN(J496,DATE(Einstellungen!$C$3,11,0)),Einstellungen!$F$13:$F$32)))</f>
        <v/>
      </c>
      <c r="V496" s="49">
        <f>IF(OR(A496="",D496=""),0,MAX(0,NETWORKDAYS(MAX(D496,DATE(Einstellungen!$C$3,11,1)),MIN(J496,DATE(Einstellungen!$C$3,12,0)),Einstellungen!$F$13:$F$32)))</f>
        <v/>
      </c>
      <c r="W496" s="49">
        <f>IF(OR(A496="",D496=""),0,MAX(0,NETWORKDAYS(MAX(D496,DATE(Einstellungen!$C$3,12,1)),MIN(J496,DATE(Einstellungen!$C$3,13,0)),Einstellungen!$F$13:$F$32)))</f>
        <v/>
      </c>
      <c r="X496" s="50">
        <f>L496*K496</f>
        <v/>
      </c>
      <c r="Y496" s="50">
        <f>M496*K496</f>
        <v/>
      </c>
      <c r="Z496" s="50">
        <f>N496*K496</f>
        <v/>
      </c>
      <c r="AA496" s="50">
        <f>O496*K496</f>
        <v/>
      </c>
      <c r="AB496" s="50">
        <f>P496*K496</f>
        <v/>
      </c>
      <c r="AC496" s="50">
        <f>Q496*K496</f>
        <v/>
      </c>
      <c r="AD496" s="50">
        <f>R496*K496</f>
        <v/>
      </c>
      <c r="AE496" s="50">
        <f>S496*K496</f>
        <v/>
      </c>
      <c r="AF496" s="50">
        <f>T496*K496</f>
        <v/>
      </c>
      <c r="AG496" s="50">
        <f>U496*K496</f>
        <v/>
      </c>
      <c r="AH496" s="50">
        <f>V496*K496</f>
        <v/>
      </c>
      <c r="AI496" s="50">
        <f>W496*K496</f>
        <v/>
      </c>
    </row>
    <row r="497">
      <c r="A497" s="25" t="n"/>
      <c r="B497" s="45">
        <f>IF(A497="","",IFERROR(INDEX(Mitarbeiter!$B$6:$B$205,MATCH($A497,Mitarbeiter!$A$6:$A$205,0)),"?"))</f>
        <v/>
      </c>
      <c r="C497" s="46" t="n"/>
      <c r="D497" s="26" t="n"/>
      <c r="E497" s="26" t="n"/>
      <c r="F497" s="24">
        <f>IF(A497="","",SUM(L497:W497))</f>
        <v/>
      </c>
      <c r="G497" s="36">
        <f>IF(A497="","",SUM(X497:AI497))</f>
        <v/>
      </c>
      <c r="H497" s="8">
        <f>IF(A497="","",IF(ISNA(MATCH(A497,Mitarbeiter!$A$6:$A$205,0)),"Pers.-Nr. unbekannt",IF(D497="","Von fehlt",IF(AND(C497&lt;&gt;Einstellungen!$C$4,C497&lt;&gt;Einstellungen!$C$5),"Objekt fehlt",IF(J497&lt;D497,"Bis vor Von",IF(D497&lt;INDEX(Mitarbeiter!$C$6:$C$205,MATCH($A497,Mitarbeiter!$A$6:$A$205,0)),"vor Eintritt",IF(AND(INDEX(Mitarbeiter!$D$6:$D$205,MATCH($A497,Mitarbeiter!$A$6:$A$205,0))&lt;&gt;"",D497&gt;INDEX(Mitarbeiter!$D$6:$D$205,MATCH($A497,Mitarbeiter!$A$6:$A$205,0))),"nach Austritt",IF(E497="","offen","ok"))))))))</f>
        <v/>
      </c>
      <c r="J497" s="47">
        <f>IF(A497="","",IF(E497="",Einstellungen!$C$9,E497))</f>
        <v/>
      </c>
      <c r="K497" s="48">
        <f>IF(A497="",0,IFERROR(INDEX(Mitarbeiter!$F$6:$F$205,MATCH($A497,Mitarbeiter!$A$6:$A$205,0)),0))</f>
        <v/>
      </c>
      <c r="L497" s="49">
        <f>IF(OR(A497="",D497=""),0,MAX(0,NETWORKDAYS(MAX(D497,DATE(Einstellungen!$C$3,1,1)),MIN(J497,DATE(Einstellungen!$C$3,2,0)),Einstellungen!$F$13:$F$32)))</f>
        <v/>
      </c>
      <c r="M497" s="49">
        <f>IF(OR(A497="",D497=""),0,MAX(0,NETWORKDAYS(MAX(D497,DATE(Einstellungen!$C$3,2,1)),MIN(J497,DATE(Einstellungen!$C$3,3,0)),Einstellungen!$F$13:$F$32)))</f>
        <v/>
      </c>
      <c r="N497" s="49">
        <f>IF(OR(A497="",D497=""),0,MAX(0,NETWORKDAYS(MAX(D497,DATE(Einstellungen!$C$3,3,1)),MIN(J497,DATE(Einstellungen!$C$3,4,0)),Einstellungen!$F$13:$F$32)))</f>
        <v/>
      </c>
      <c r="O497" s="49">
        <f>IF(OR(A497="",D497=""),0,MAX(0,NETWORKDAYS(MAX(D497,DATE(Einstellungen!$C$3,4,1)),MIN(J497,DATE(Einstellungen!$C$3,5,0)),Einstellungen!$F$13:$F$32)))</f>
        <v/>
      </c>
      <c r="P497" s="49">
        <f>IF(OR(A497="",D497=""),0,MAX(0,NETWORKDAYS(MAX(D497,DATE(Einstellungen!$C$3,5,1)),MIN(J497,DATE(Einstellungen!$C$3,6,0)),Einstellungen!$F$13:$F$32)))</f>
        <v/>
      </c>
      <c r="Q497" s="49">
        <f>IF(OR(A497="",D497=""),0,MAX(0,NETWORKDAYS(MAX(D497,DATE(Einstellungen!$C$3,6,1)),MIN(J497,DATE(Einstellungen!$C$3,7,0)),Einstellungen!$F$13:$F$32)))</f>
        <v/>
      </c>
      <c r="R497" s="49">
        <f>IF(OR(A497="",D497=""),0,MAX(0,NETWORKDAYS(MAX(D497,DATE(Einstellungen!$C$3,7,1)),MIN(J497,DATE(Einstellungen!$C$3,8,0)),Einstellungen!$F$13:$F$32)))</f>
        <v/>
      </c>
      <c r="S497" s="49">
        <f>IF(OR(A497="",D497=""),0,MAX(0,NETWORKDAYS(MAX(D497,DATE(Einstellungen!$C$3,8,1)),MIN(J497,DATE(Einstellungen!$C$3,9,0)),Einstellungen!$F$13:$F$32)))</f>
        <v/>
      </c>
      <c r="T497" s="49">
        <f>IF(OR(A497="",D497=""),0,MAX(0,NETWORKDAYS(MAX(D497,DATE(Einstellungen!$C$3,9,1)),MIN(J497,DATE(Einstellungen!$C$3,10,0)),Einstellungen!$F$13:$F$32)))</f>
        <v/>
      </c>
      <c r="U497" s="49">
        <f>IF(OR(A497="",D497=""),0,MAX(0,NETWORKDAYS(MAX(D497,DATE(Einstellungen!$C$3,10,1)),MIN(J497,DATE(Einstellungen!$C$3,11,0)),Einstellungen!$F$13:$F$32)))</f>
        <v/>
      </c>
      <c r="V497" s="49">
        <f>IF(OR(A497="",D497=""),0,MAX(0,NETWORKDAYS(MAX(D497,DATE(Einstellungen!$C$3,11,1)),MIN(J497,DATE(Einstellungen!$C$3,12,0)),Einstellungen!$F$13:$F$32)))</f>
        <v/>
      </c>
      <c r="W497" s="49">
        <f>IF(OR(A497="",D497=""),0,MAX(0,NETWORKDAYS(MAX(D497,DATE(Einstellungen!$C$3,12,1)),MIN(J497,DATE(Einstellungen!$C$3,13,0)),Einstellungen!$F$13:$F$32)))</f>
        <v/>
      </c>
      <c r="X497" s="50">
        <f>L497*K497</f>
        <v/>
      </c>
      <c r="Y497" s="50">
        <f>M497*K497</f>
        <v/>
      </c>
      <c r="Z497" s="50">
        <f>N497*K497</f>
        <v/>
      </c>
      <c r="AA497" s="50">
        <f>O497*K497</f>
        <v/>
      </c>
      <c r="AB497" s="50">
        <f>P497*K497</f>
        <v/>
      </c>
      <c r="AC497" s="50">
        <f>Q497*K497</f>
        <v/>
      </c>
      <c r="AD497" s="50">
        <f>R497*K497</f>
        <v/>
      </c>
      <c r="AE497" s="50">
        <f>S497*K497</f>
        <v/>
      </c>
      <c r="AF497" s="50">
        <f>T497*K497</f>
        <v/>
      </c>
      <c r="AG497" s="50">
        <f>U497*K497</f>
        <v/>
      </c>
      <c r="AH497" s="50">
        <f>V497*K497</f>
        <v/>
      </c>
      <c r="AI497" s="50">
        <f>W497*K497</f>
        <v/>
      </c>
    </row>
    <row r="498">
      <c r="A498" s="25" t="n"/>
      <c r="B498" s="45">
        <f>IF(A498="","",IFERROR(INDEX(Mitarbeiter!$B$6:$B$205,MATCH($A498,Mitarbeiter!$A$6:$A$205,0)),"?"))</f>
        <v/>
      </c>
      <c r="C498" s="46" t="n"/>
      <c r="D498" s="26" t="n"/>
      <c r="E498" s="26" t="n"/>
      <c r="F498" s="24">
        <f>IF(A498="","",SUM(L498:W498))</f>
        <v/>
      </c>
      <c r="G498" s="36">
        <f>IF(A498="","",SUM(X498:AI498))</f>
        <v/>
      </c>
      <c r="H498" s="8">
        <f>IF(A498="","",IF(ISNA(MATCH(A498,Mitarbeiter!$A$6:$A$205,0)),"Pers.-Nr. unbekannt",IF(D498="","Von fehlt",IF(AND(C498&lt;&gt;Einstellungen!$C$4,C498&lt;&gt;Einstellungen!$C$5),"Objekt fehlt",IF(J498&lt;D498,"Bis vor Von",IF(D498&lt;INDEX(Mitarbeiter!$C$6:$C$205,MATCH($A498,Mitarbeiter!$A$6:$A$205,0)),"vor Eintritt",IF(AND(INDEX(Mitarbeiter!$D$6:$D$205,MATCH($A498,Mitarbeiter!$A$6:$A$205,0))&lt;&gt;"",D498&gt;INDEX(Mitarbeiter!$D$6:$D$205,MATCH($A498,Mitarbeiter!$A$6:$A$205,0))),"nach Austritt",IF(E498="","offen","ok"))))))))</f>
        <v/>
      </c>
      <c r="J498" s="47">
        <f>IF(A498="","",IF(E498="",Einstellungen!$C$9,E498))</f>
        <v/>
      </c>
      <c r="K498" s="48">
        <f>IF(A498="",0,IFERROR(INDEX(Mitarbeiter!$F$6:$F$205,MATCH($A498,Mitarbeiter!$A$6:$A$205,0)),0))</f>
        <v/>
      </c>
      <c r="L498" s="49">
        <f>IF(OR(A498="",D498=""),0,MAX(0,NETWORKDAYS(MAX(D498,DATE(Einstellungen!$C$3,1,1)),MIN(J498,DATE(Einstellungen!$C$3,2,0)),Einstellungen!$F$13:$F$32)))</f>
        <v/>
      </c>
      <c r="M498" s="49">
        <f>IF(OR(A498="",D498=""),0,MAX(0,NETWORKDAYS(MAX(D498,DATE(Einstellungen!$C$3,2,1)),MIN(J498,DATE(Einstellungen!$C$3,3,0)),Einstellungen!$F$13:$F$32)))</f>
        <v/>
      </c>
      <c r="N498" s="49">
        <f>IF(OR(A498="",D498=""),0,MAX(0,NETWORKDAYS(MAX(D498,DATE(Einstellungen!$C$3,3,1)),MIN(J498,DATE(Einstellungen!$C$3,4,0)),Einstellungen!$F$13:$F$32)))</f>
        <v/>
      </c>
      <c r="O498" s="49">
        <f>IF(OR(A498="",D498=""),0,MAX(0,NETWORKDAYS(MAX(D498,DATE(Einstellungen!$C$3,4,1)),MIN(J498,DATE(Einstellungen!$C$3,5,0)),Einstellungen!$F$13:$F$32)))</f>
        <v/>
      </c>
      <c r="P498" s="49">
        <f>IF(OR(A498="",D498=""),0,MAX(0,NETWORKDAYS(MAX(D498,DATE(Einstellungen!$C$3,5,1)),MIN(J498,DATE(Einstellungen!$C$3,6,0)),Einstellungen!$F$13:$F$32)))</f>
        <v/>
      </c>
      <c r="Q498" s="49">
        <f>IF(OR(A498="",D498=""),0,MAX(0,NETWORKDAYS(MAX(D498,DATE(Einstellungen!$C$3,6,1)),MIN(J498,DATE(Einstellungen!$C$3,7,0)),Einstellungen!$F$13:$F$32)))</f>
        <v/>
      </c>
      <c r="R498" s="49">
        <f>IF(OR(A498="",D498=""),0,MAX(0,NETWORKDAYS(MAX(D498,DATE(Einstellungen!$C$3,7,1)),MIN(J498,DATE(Einstellungen!$C$3,8,0)),Einstellungen!$F$13:$F$32)))</f>
        <v/>
      </c>
      <c r="S498" s="49">
        <f>IF(OR(A498="",D498=""),0,MAX(0,NETWORKDAYS(MAX(D498,DATE(Einstellungen!$C$3,8,1)),MIN(J498,DATE(Einstellungen!$C$3,9,0)),Einstellungen!$F$13:$F$32)))</f>
        <v/>
      </c>
      <c r="T498" s="49">
        <f>IF(OR(A498="",D498=""),0,MAX(0,NETWORKDAYS(MAX(D498,DATE(Einstellungen!$C$3,9,1)),MIN(J498,DATE(Einstellungen!$C$3,10,0)),Einstellungen!$F$13:$F$32)))</f>
        <v/>
      </c>
      <c r="U498" s="49">
        <f>IF(OR(A498="",D498=""),0,MAX(0,NETWORKDAYS(MAX(D498,DATE(Einstellungen!$C$3,10,1)),MIN(J498,DATE(Einstellungen!$C$3,11,0)),Einstellungen!$F$13:$F$32)))</f>
        <v/>
      </c>
      <c r="V498" s="49">
        <f>IF(OR(A498="",D498=""),0,MAX(0,NETWORKDAYS(MAX(D498,DATE(Einstellungen!$C$3,11,1)),MIN(J498,DATE(Einstellungen!$C$3,12,0)),Einstellungen!$F$13:$F$32)))</f>
        <v/>
      </c>
      <c r="W498" s="49">
        <f>IF(OR(A498="",D498=""),0,MAX(0,NETWORKDAYS(MAX(D498,DATE(Einstellungen!$C$3,12,1)),MIN(J498,DATE(Einstellungen!$C$3,13,0)),Einstellungen!$F$13:$F$32)))</f>
        <v/>
      </c>
      <c r="X498" s="50">
        <f>L498*K498</f>
        <v/>
      </c>
      <c r="Y498" s="50">
        <f>M498*K498</f>
        <v/>
      </c>
      <c r="Z498" s="50">
        <f>N498*K498</f>
        <v/>
      </c>
      <c r="AA498" s="50">
        <f>O498*K498</f>
        <v/>
      </c>
      <c r="AB498" s="50">
        <f>P498*K498</f>
        <v/>
      </c>
      <c r="AC498" s="50">
        <f>Q498*K498</f>
        <v/>
      </c>
      <c r="AD498" s="50">
        <f>R498*K498</f>
        <v/>
      </c>
      <c r="AE498" s="50">
        <f>S498*K498</f>
        <v/>
      </c>
      <c r="AF498" s="50">
        <f>T498*K498</f>
        <v/>
      </c>
      <c r="AG498" s="50">
        <f>U498*K498</f>
        <v/>
      </c>
      <c r="AH498" s="50">
        <f>V498*K498</f>
        <v/>
      </c>
      <c r="AI498" s="50">
        <f>W498*K498</f>
        <v/>
      </c>
    </row>
    <row r="499">
      <c r="A499" s="25" t="n"/>
      <c r="B499" s="45">
        <f>IF(A499="","",IFERROR(INDEX(Mitarbeiter!$B$6:$B$205,MATCH($A499,Mitarbeiter!$A$6:$A$205,0)),"?"))</f>
        <v/>
      </c>
      <c r="C499" s="46" t="n"/>
      <c r="D499" s="26" t="n"/>
      <c r="E499" s="26" t="n"/>
      <c r="F499" s="24">
        <f>IF(A499="","",SUM(L499:W499))</f>
        <v/>
      </c>
      <c r="G499" s="36">
        <f>IF(A499="","",SUM(X499:AI499))</f>
        <v/>
      </c>
      <c r="H499" s="8">
        <f>IF(A499="","",IF(ISNA(MATCH(A499,Mitarbeiter!$A$6:$A$205,0)),"Pers.-Nr. unbekannt",IF(D499="","Von fehlt",IF(AND(C499&lt;&gt;Einstellungen!$C$4,C499&lt;&gt;Einstellungen!$C$5),"Objekt fehlt",IF(J499&lt;D499,"Bis vor Von",IF(D499&lt;INDEX(Mitarbeiter!$C$6:$C$205,MATCH($A499,Mitarbeiter!$A$6:$A$205,0)),"vor Eintritt",IF(AND(INDEX(Mitarbeiter!$D$6:$D$205,MATCH($A499,Mitarbeiter!$A$6:$A$205,0))&lt;&gt;"",D499&gt;INDEX(Mitarbeiter!$D$6:$D$205,MATCH($A499,Mitarbeiter!$A$6:$A$205,0))),"nach Austritt",IF(E499="","offen","ok"))))))))</f>
        <v/>
      </c>
      <c r="J499" s="47">
        <f>IF(A499="","",IF(E499="",Einstellungen!$C$9,E499))</f>
        <v/>
      </c>
      <c r="K499" s="48">
        <f>IF(A499="",0,IFERROR(INDEX(Mitarbeiter!$F$6:$F$205,MATCH($A499,Mitarbeiter!$A$6:$A$205,0)),0))</f>
        <v/>
      </c>
      <c r="L499" s="49">
        <f>IF(OR(A499="",D499=""),0,MAX(0,NETWORKDAYS(MAX(D499,DATE(Einstellungen!$C$3,1,1)),MIN(J499,DATE(Einstellungen!$C$3,2,0)),Einstellungen!$F$13:$F$32)))</f>
        <v/>
      </c>
      <c r="M499" s="49">
        <f>IF(OR(A499="",D499=""),0,MAX(0,NETWORKDAYS(MAX(D499,DATE(Einstellungen!$C$3,2,1)),MIN(J499,DATE(Einstellungen!$C$3,3,0)),Einstellungen!$F$13:$F$32)))</f>
        <v/>
      </c>
      <c r="N499" s="49">
        <f>IF(OR(A499="",D499=""),0,MAX(0,NETWORKDAYS(MAX(D499,DATE(Einstellungen!$C$3,3,1)),MIN(J499,DATE(Einstellungen!$C$3,4,0)),Einstellungen!$F$13:$F$32)))</f>
        <v/>
      </c>
      <c r="O499" s="49">
        <f>IF(OR(A499="",D499=""),0,MAX(0,NETWORKDAYS(MAX(D499,DATE(Einstellungen!$C$3,4,1)),MIN(J499,DATE(Einstellungen!$C$3,5,0)),Einstellungen!$F$13:$F$32)))</f>
        <v/>
      </c>
      <c r="P499" s="49">
        <f>IF(OR(A499="",D499=""),0,MAX(0,NETWORKDAYS(MAX(D499,DATE(Einstellungen!$C$3,5,1)),MIN(J499,DATE(Einstellungen!$C$3,6,0)),Einstellungen!$F$13:$F$32)))</f>
        <v/>
      </c>
      <c r="Q499" s="49">
        <f>IF(OR(A499="",D499=""),0,MAX(0,NETWORKDAYS(MAX(D499,DATE(Einstellungen!$C$3,6,1)),MIN(J499,DATE(Einstellungen!$C$3,7,0)),Einstellungen!$F$13:$F$32)))</f>
        <v/>
      </c>
      <c r="R499" s="49">
        <f>IF(OR(A499="",D499=""),0,MAX(0,NETWORKDAYS(MAX(D499,DATE(Einstellungen!$C$3,7,1)),MIN(J499,DATE(Einstellungen!$C$3,8,0)),Einstellungen!$F$13:$F$32)))</f>
        <v/>
      </c>
      <c r="S499" s="49">
        <f>IF(OR(A499="",D499=""),0,MAX(0,NETWORKDAYS(MAX(D499,DATE(Einstellungen!$C$3,8,1)),MIN(J499,DATE(Einstellungen!$C$3,9,0)),Einstellungen!$F$13:$F$32)))</f>
        <v/>
      </c>
      <c r="T499" s="49">
        <f>IF(OR(A499="",D499=""),0,MAX(0,NETWORKDAYS(MAX(D499,DATE(Einstellungen!$C$3,9,1)),MIN(J499,DATE(Einstellungen!$C$3,10,0)),Einstellungen!$F$13:$F$32)))</f>
        <v/>
      </c>
      <c r="U499" s="49">
        <f>IF(OR(A499="",D499=""),0,MAX(0,NETWORKDAYS(MAX(D499,DATE(Einstellungen!$C$3,10,1)),MIN(J499,DATE(Einstellungen!$C$3,11,0)),Einstellungen!$F$13:$F$32)))</f>
        <v/>
      </c>
      <c r="V499" s="49">
        <f>IF(OR(A499="",D499=""),0,MAX(0,NETWORKDAYS(MAX(D499,DATE(Einstellungen!$C$3,11,1)),MIN(J499,DATE(Einstellungen!$C$3,12,0)),Einstellungen!$F$13:$F$32)))</f>
        <v/>
      </c>
      <c r="W499" s="49">
        <f>IF(OR(A499="",D499=""),0,MAX(0,NETWORKDAYS(MAX(D499,DATE(Einstellungen!$C$3,12,1)),MIN(J499,DATE(Einstellungen!$C$3,13,0)),Einstellungen!$F$13:$F$32)))</f>
        <v/>
      </c>
      <c r="X499" s="50">
        <f>L499*K499</f>
        <v/>
      </c>
      <c r="Y499" s="50">
        <f>M499*K499</f>
        <v/>
      </c>
      <c r="Z499" s="50">
        <f>N499*K499</f>
        <v/>
      </c>
      <c r="AA499" s="50">
        <f>O499*K499</f>
        <v/>
      </c>
      <c r="AB499" s="50">
        <f>P499*K499</f>
        <v/>
      </c>
      <c r="AC499" s="50">
        <f>Q499*K499</f>
        <v/>
      </c>
      <c r="AD499" s="50">
        <f>R499*K499</f>
        <v/>
      </c>
      <c r="AE499" s="50">
        <f>S499*K499</f>
        <v/>
      </c>
      <c r="AF499" s="50">
        <f>T499*K499</f>
        <v/>
      </c>
      <c r="AG499" s="50">
        <f>U499*K499</f>
        <v/>
      </c>
      <c r="AH499" s="50">
        <f>V499*K499</f>
        <v/>
      </c>
      <c r="AI499" s="50">
        <f>W499*K499</f>
        <v/>
      </c>
    </row>
    <row r="500">
      <c r="A500" s="25" t="n"/>
      <c r="B500" s="45">
        <f>IF(A500="","",IFERROR(INDEX(Mitarbeiter!$B$6:$B$205,MATCH($A500,Mitarbeiter!$A$6:$A$205,0)),"?"))</f>
        <v/>
      </c>
      <c r="C500" s="46" t="n"/>
      <c r="D500" s="26" t="n"/>
      <c r="E500" s="26" t="n"/>
      <c r="F500" s="24">
        <f>IF(A500="","",SUM(L500:W500))</f>
        <v/>
      </c>
      <c r="G500" s="36">
        <f>IF(A500="","",SUM(X500:AI500))</f>
        <v/>
      </c>
      <c r="H500" s="8">
        <f>IF(A500="","",IF(ISNA(MATCH(A500,Mitarbeiter!$A$6:$A$205,0)),"Pers.-Nr. unbekannt",IF(D500="","Von fehlt",IF(AND(C500&lt;&gt;Einstellungen!$C$4,C500&lt;&gt;Einstellungen!$C$5),"Objekt fehlt",IF(J500&lt;D500,"Bis vor Von",IF(D500&lt;INDEX(Mitarbeiter!$C$6:$C$205,MATCH($A500,Mitarbeiter!$A$6:$A$205,0)),"vor Eintritt",IF(AND(INDEX(Mitarbeiter!$D$6:$D$205,MATCH($A500,Mitarbeiter!$A$6:$A$205,0))&lt;&gt;"",D500&gt;INDEX(Mitarbeiter!$D$6:$D$205,MATCH($A500,Mitarbeiter!$A$6:$A$205,0))),"nach Austritt",IF(E500="","offen","ok"))))))))</f>
        <v/>
      </c>
      <c r="J500" s="47">
        <f>IF(A500="","",IF(E500="",Einstellungen!$C$9,E500))</f>
        <v/>
      </c>
      <c r="K500" s="48">
        <f>IF(A500="",0,IFERROR(INDEX(Mitarbeiter!$F$6:$F$205,MATCH($A500,Mitarbeiter!$A$6:$A$205,0)),0))</f>
        <v/>
      </c>
      <c r="L500" s="49">
        <f>IF(OR(A500="",D500=""),0,MAX(0,NETWORKDAYS(MAX(D500,DATE(Einstellungen!$C$3,1,1)),MIN(J500,DATE(Einstellungen!$C$3,2,0)),Einstellungen!$F$13:$F$32)))</f>
        <v/>
      </c>
      <c r="M500" s="49">
        <f>IF(OR(A500="",D500=""),0,MAX(0,NETWORKDAYS(MAX(D500,DATE(Einstellungen!$C$3,2,1)),MIN(J500,DATE(Einstellungen!$C$3,3,0)),Einstellungen!$F$13:$F$32)))</f>
        <v/>
      </c>
      <c r="N500" s="49">
        <f>IF(OR(A500="",D500=""),0,MAX(0,NETWORKDAYS(MAX(D500,DATE(Einstellungen!$C$3,3,1)),MIN(J500,DATE(Einstellungen!$C$3,4,0)),Einstellungen!$F$13:$F$32)))</f>
        <v/>
      </c>
      <c r="O500" s="49">
        <f>IF(OR(A500="",D500=""),0,MAX(0,NETWORKDAYS(MAX(D500,DATE(Einstellungen!$C$3,4,1)),MIN(J500,DATE(Einstellungen!$C$3,5,0)),Einstellungen!$F$13:$F$32)))</f>
        <v/>
      </c>
      <c r="P500" s="49">
        <f>IF(OR(A500="",D500=""),0,MAX(0,NETWORKDAYS(MAX(D500,DATE(Einstellungen!$C$3,5,1)),MIN(J500,DATE(Einstellungen!$C$3,6,0)),Einstellungen!$F$13:$F$32)))</f>
        <v/>
      </c>
      <c r="Q500" s="49">
        <f>IF(OR(A500="",D500=""),0,MAX(0,NETWORKDAYS(MAX(D500,DATE(Einstellungen!$C$3,6,1)),MIN(J500,DATE(Einstellungen!$C$3,7,0)),Einstellungen!$F$13:$F$32)))</f>
        <v/>
      </c>
      <c r="R500" s="49">
        <f>IF(OR(A500="",D500=""),0,MAX(0,NETWORKDAYS(MAX(D500,DATE(Einstellungen!$C$3,7,1)),MIN(J500,DATE(Einstellungen!$C$3,8,0)),Einstellungen!$F$13:$F$32)))</f>
        <v/>
      </c>
      <c r="S500" s="49">
        <f>IF(OR(A500="",D500=""),0,MAX(0,NETWORKDAYS(MAX(D500,DATE(Einstellungen!$C$3,8,1)),MIN(J500,DATE(Einstellungen!$C$3,9,0)),Einstellungen!$F$13:$F$32)))</f>
        <v/>
      </c>
      <c r="T500" s="49">
        <f>IF(OR(A500="",D500=""),0,MAX(0,NETWORKDAYS(MAX(D500,DATE(Einstellungen!$C$3,9,1)),MIN(J500,DATE(Einstellungen!$C$3,10,0)),Einstellungen!$F$13:$F$32)))</f>
        <v/>
      </c>
      <c r="U500" s="49">
        <f>IF(OR(A500="",D500=""),0,MAX(0,NETWORKDAYS(MAX(D500,DATE(Einstellungen!$C$3,10,1)),MIN(J500,DATE(Einstellungen!$C$3,11,0)),Einstellungen!$F$13:$F$32)))</f>
        <v/>
      </c>
      <c r="V500" s="49">
        <f>IF(OR(A500="",D500=""),0,MAX(0,NETWORKDAYS(MAX(D500,DATE(Einstellungen!$C$3,11,1)),MIN(J500,DATE(Einstellungen!$C$3,12,0)),Einstellungen!$F$13:$F$32)))</f>
        <v/>
      </c>
      <c r="W500" s="49">
        <f>IF(OR(A500="",D500=""),0,MAX(0,NETWORKDAYS(MAX(D500,DATE(Einstellungen!$C$3,12,1)),MIN(J500,DATE(Einstellungen!$C$3,13,0)),Einstellungen!$F$13:$F$32)))</f>
        <v/>
      </c>
      <c r="X500" s="50">
        <f>L500*K500</f>
        <v/>
      </c>
      <c r="Y500" s="50">
        <f>M500*K500</f>
        <v/>
      </c>
      <c r="Z500" s="50">
        <f>N500*K500</f>
        <v/>
      </c>
      <c r="AA500" s="50">
        <f>O500*K500</f>
        <v/>
      </c>
      <c r="AB500" s="50">
        <f>P500*K500</f>
        <v/>
      </c>
      <c r="AC500" s="50">
        <f>Q500*K500</f>
        <v/>
      </c>
      <c r="AD500" s="50">
        <f>R500*K500</f>
        <v/>
      </c>
      <c r="AE500" s="50">
        <f>S500*K500</f>
        <v/>
      </c>
      <c r="AF500" s="50">
        <f>T500*K500</f>
        <v/>
      </c>
      <c r="AG500" s="50">
        <f>U500*K500</f>
        <v/>
      </c>
      <c r="AH500" s="50">
        <f>V500*K500</f>
        <v/>
      </c>
      <c r="AI500" s="50">
        <f>W500*K500</f>
        <v/>
      </c>
    </row>
    <row r="501">
      <c r="A501" s="25" t="n"/>
      <c r="B501" s="45">
        <f>IF(A501="","",IFERROR(INDEX(Mitarbeiter!$B$6:$B$205,MATCH($A501,Mitarbeiter!$A$6:$A$205,0)),"?"))</f>
        <v/>
      </c>
      <c r="C501" s="46" t="n"/>
      <c r="D501" s="26" t="n"/>
      <c r="E501" s="26" t="n"/>
      <c r="F501" s="24">
        <f>IF(A501="","",SUM(L501:W501))</f>
        <v/>
      </c>
      <c r="G501" s="36">
        <f>IF(A501="","",SUM(X501:AI501))</f>
        <v/>
      </c>
      <c r="H501" s="8">
        <f>IF(A501="","",IF(ISNA(MATCH(A501,Mitarbeiter!$A$6:$A$205,0)),"Pers.-Nr. unbekannt",IF(D501="","Von fehlt",IF(AND(C501&lt;&gt;Einstellungen!$C$4,C501&lt;&gt;Einstellungen!$C$5),"Objekt fehlt",IF(J501&lt;D501,"Bis vor Von",IF(D501&lt;INDEX(Mitarbeiter!$C$6:$C$205,MATCH($A501,Mitarbeiter!$A$6:$A$205,0)),"vor Eintritt",IF(AND(INDEX(Mitarbeiter!$D$6:$D$205,MATCH($A501,Mitarbeiter!$A$6:$A$205,0))&lt;&gt;"",D501&gt;INDEX(Mitarbeiter!$D$6:$D$205,MATCH($A501,Mitarbeiter!$A$6:$A$205,0))),"nach Austritt",IF(E501="","offen","ok"))))))))</f>
        <v/>
      </c>
      <c r="J501" s="47">
        <f>IF(A501="","",IF(E501="",Einstellungen!$C$9,E501))</f>
        <v/>
      </c>
      <c r="K501" s="48">
        <f>IF(A501="",0,IFERROR(INDEX(Mitarbeiter!$F$6:$F$205,MATCH($A501,Mitarbeiter!$A$6:$A$205,0)),0))</f>
        <v/>
      </c>
      <c r="L501" s="49">
        <f>IF(OR(A501="",D501=""),0,MAX(0,NETWORKDAYS(MAX(D501,DATE(Einstellungen!$C$3,1,1)),MIN(J501,DATE(Einstellungen!$C$3,2,0)),Einstellungen!$F$13:$F$32)))</f>
        <v/>
      </c>
      <c r="M501" s="49">
        <f>IF(OR(A501="",D501=""),0,MAX(0,NETWORKDAYS(MAX(D501,DATE(Einstellungen!$C$3,2,1)),MIN(J501,DATE(Einstellungen!$C$3,3,0)),Einstellungen!$F$13:$F$32)))</f>
        <v/>
      </c>
      <c r="N501" s="49">
        <f>IF(OR(A501="",D501=""),0,MAX(0,NETWORKDAYS(MAX(D501,DATE(Einstellungen!$C$3,3,1)),MIN(J501,DATE(Einstellungen!$C$3,4,0)),Einstellungen!$F$13:$F$32)))</f>
        <v/>
      </c>
      <c r="O501" s="49">
        <f>IF(OR(A501="",D501=""),0,MAX(0,NETWORKDAYS(MAX(D501,DATE(Einstellungen!$C$3,4,1)),MIN(J501,DATE(Einstellungen!$C$3,5,0)),Einstellungen!$F$13:$F$32)))</f>
        <v/>
      </c>
      <c r="P501" s="49">
        <f>IF(OR(A501="",D501=""),0,MAX(0,NETWORKDAYS(MAX(D501,DATE(Einstellungen!$C$3,5,1)),MIN(J501,DATE(Einstellungen!$C$3,6,0)),Einstellungen!$F$13:$F$32)))</f>
        <v/>
      </c>
      <c r="Q501" s="49">
        <f>IF(OR(A501="",D501=""),0,MAX(0,NETWORKDAYS(MAX(D501,DATE(Einstellungen!$C$3,6,1)),MIN(J501,DATE(Einstellungen!$C$3,7,0)),Einstellungen!$F$13:$F$32)))</f>
        <v/>
      </c>
      <c r="R501" s="49">
        <f>IF(OR(A501="",D501=""),0,MAX(0,NETWORKDAYS(MAX(D501,DATE(Einstellungen!$C$3,7,1)),MIN(J501,DATE(Einstellungen!$C$3,8,0)),Einstellungen!$F$13:$F$32)))</f>
        <v/>
      </c>
      <c r="S501" s="49">
        <f>IF(OR(A501="",D501=""),0,MAX(0,NETWORKDAYS(MAX(D501,DATE(Einstellungen!$C$3,8,1)),MIN(J501,DATE(Einstellungen!$C$3,9,0)),Einstellungen!$F$13:$F$32)))</f>
        <v/>
      </c>
      <c r="T501" s="49">
        <f>IF(OR(A501="",D501=""),0,MAX(0,NETWORKDAYS(MAX(D501,DATE(Einstellungen!$C$3,9,1)),MIN(J501,DATE(Einstellungen!$C$3,10,0)),Einstellungen!$F$13:$F$32)))</f>
        <v/>
      </c>
      <c r="U501" s="49">
        <f>IF(OR(A501="",D501=""),0,MAX(0,NETWORKDAYS(MAX(D501,DATE(Einstellungen!$C$3,10,1)),MIN(J501,DATE(Einstellungen!$C$3,11,0)),Einstellungen!$F$13:$F$32)))</f>
        <v/>
      </c>
      <c r="V501" s="49">
        <f>IF(OR(A501="",D501=""),0,MAX(0,NETWORKDAYS(MAX(D501,DATE(Einstellungen!$C$3,11,1)),MIN(J501,DATE(Einstellungen!$C$3,12,0)),Einstellungen!$F$13:$F$32)))</f>
        <v/>
      </c>
      <c r="W501" s="49">
        <f>IF(OR(A501="",D501=""),0,MAX(0,NETWORKDAYS(MAX(D501,DATE(Einstellungen!$C$3,12,1)),MIN(J501,DATE(Einstellungen!$C$3,13,0)),Einstellungen!$F$13:$F$32)))</f>
        <v/>
      </c>
      <c r="X501" s="50">
        <f>L501*K501</f>
        <v/>
      </c>
      <c r="Y501" s="50">
        <f>M501*K501</f>
        <v/>
      </c>
      <c r="Z501" s="50">
        <f>N501*K501</f>
        <v/>
      </c>
      <c r="AA501" s="50">
        <f>O501*K501</f>
        <v/>
      </c>
      <c r="AB501" s="50">
        <f>P501*K501</f>
        <v/>
      </c>
      <c r="AC501" s="50">
        <f>Q501*K501</f>
        <v/>
      </c>
      <c r="AD501" s="50">
        <f>R501*K501</f>
        <v/>
      </c>
      <c r="AE501" s="50">
        <f>S501*K501</f>
        <v/>
      </c>
      <c r="AF501" s="50">
        <f>T501*K501</f>
        <v/>
      </c>
      <c r="AG501" s="50">
        <f>U501*K501</f>
        <v/>
      </c>
      <c r="AH501" s="50">
        <f>V501*K501</f>
        <v/>
      </c>
      <c r="AI501" s="50">
        <f>W501*K501</f>
        <v/>
      </c>
    </row>
    <row r="502">
      <c r="A502" s="25" t="n"/>
      <c r="B502" s="45">
        <f>IF(A502="","",IFERROR(INDEX(Mitarbeiter!$B$6:$B$205,MATCH($A502,Mitarbeiter!$A$6:$A$205,0)),"?"))</f>
        <v/>
      </c>
      <c r="C502" s="46" t="n"/>
      <c r="D502" s="26" t="n"/>
      <c r="E502" s="26" t="n"/>
      <c r="F502" s="24">
        <f>IF(A502="","",SUM(L502:W502))</f>
        <v/>
      </c>
      <c r="G502" s="36">
        <f>IF(A502="","",SUM(X502:AI502))</f>
        <v/>
      </c>
      <c r="H502" s="8">
        <f>IF(A502="","",IF(ISNA(MATCH(A502,Mitarbeiter!$A$6:$A$205,0)),"Pers.-Nr. unbekannt",IF(D502="","Von fehlt",IF(AND(C502&lt;&gt;Einstellungen!$C$4,C502&lt;&gt;Einstellungen!$C$5),"Objekt fehlt",IF(J502&lt;D502,"Bis vor Von",IF(D502&lt;INDEX(Mitarbeiter!$C$6:$C$205,MATCH($A502,Mitarbeiter!$A$6:$A$205,0)),"vor Eintritt",IF(AND(INDEX(Mitarbeiter!$D$6:$D$205,MATCH($A502,Mitarbeiter!$A$6:$A$205,0))&lt;&gt;"",D502&gt;INDEX(Mitarbeiter!$D$6:$D$205,MATCH($A502,Mitarbeiter!$A$6:$A$205,0))),"nach Austritt",IF(E502="","offen","ok"))))))))</f>
        <v/>
      </c>
      <c r="J502" s="47">
        <f>IF(A502="","",IF(E502="",Einstellungen!$C$9,E502))</f>
        <v/>
      </c>
      <c r="K502" s="48">
        <f>IF(A502="",0,IFERROR(INDEX(Mitarbeiter!$F$6:$F$205,MATCH($A502,Mitarbeiter!$A$6:$A$205,0)),0))</f>
        <v/>
      </c>
      <c r="L502" s="49">
        <f>IF(OR(A502="",D502=""),0,MAX(0,NETWORKDAYS(MAX(D502,DATE(Einstellungen!$C$3,1,1)),MIN(J502,DATE(Einstellungen!$C$3,2,0)),Einstellungen!$F$13:$F$32)))</f>
        <v/>
      </c>
      <c r="M502" s="49">
        <f>IF(OR(A502="",D502=""),0,MAX(0,NETWORKDAYS(MAX(D502,DATE(Einstellungen!$C$3,2,1)),MIN(J502,DATE(Einstellungen!$C$3,3,0)),Einstellungen!$F$13:$F$32)))</f>
        <v/>
      </c>
      <c r="N502" s="49">
        <f>IF(OR(A502="",D502=""),0,MAX(0,NETWORKDAYS(MAX(D502,DATE(Einstellungen!$C$3,3,1)),MIN(J502,DATE(Einstellungen!$C$3,4,0)),Einstellungen!$F$13:$F$32)))</f>
        <v/>
      </c>
      <c r="O502" s="49">
        <f>IF(OR(A502="",D502=""),0,MAX(0,NETWORKDAYS(MAX(D502,DATE(Einstellungen!$C$3,4,1)),MIN(J502,DATE(Einstellungen!$C$3,5,0)),Einstellungen!$F$13:$F$32)))</f>
        <v/>
      </c>
      <c r="P502" s="49">
        <f>IF(OR(A502="",D502=""),0,MAX(0,NETWORKDAYS(MAX(D502,DATE(Einstellungen!$C$3,5,1)),MIN(J502,DATE(Einstellungen!$C$3,6,0)),Einstellungen!$F$13:$F$32)))</f>
        <v/>
      </c>
      <c r="Q502" s="49">
        <f>IF(OR(A502="",D502=""),0,MAX(0,NETWORKDAYS(MAX(D502,DATE(Einstellungen!$C$3,6,1)),MIN(J502,DATE(Einstellungen!$C$3,7,0)),Einstellungen!$F$13:$F$32)))</f>
        <v/>
      </c>
      <c r="R502" s="49">
        <f>IF(OR(A502="",D502=""),0,MAX(0,NETWORKDAYS(MAX(D502,DATE(Einstellungen!$C$3,7,1)),MIN(J502,DATE(Einstellungen!$C$3,8,0)),Einstellungen!$F$13:$F$32)))</f>
        <v/>
      </c>
      <c r="S502" s="49">
        <f>IF(OR(A502="",D502=""),0,MAX(0,NETWORKDAYS(MAX(D502,DATE(Einstellungen!$C$3,8,1)),MIN(J502,DATE(Einstellungen!$C$3,9,0)),Einstellungen!$F$13:$F$32)))</f>
        <v/>
      </c>
      <c r="T502" s="49">
        <f>IF(OR(A502="",D502=""),0,MAX(0,NETWORKDAYS(MAX(D502,DATE(Einstellungen!$C$3,9,1)),MIN(J502,DATE(Einstellungen!$C$3,10,0)),Einstellungen!$F$13:$F$32)))</f>
        <v/>
      </c>
      <c r="U502" s="49">
        <f>IF(OR(A502="",D502=""),0,MAX(0,NETWORKDAYS(MAX(D502,DATE(Einstellungen!$C$3,10,1)),MIN(J502,DATE(Einstellungen!$C$3,11,0)),Einstellungen!$F$13:$F$32)))</f>
        <v/>
      </c>
      <c r="V502" s="49">
        <f>IF(OR(A502="",D502=""),0,MAX(0,NETWORKDAYS(MAX(D502,DATE(Einstellungen!$C$3,11,1)),MIN(J502,DATE(Einstellungen!$C$3,12,0)),Einstellungen!$F$13:$F$32)))</f>
        <v/>
      </c>
      <c r="W502" s="49">
        <f>IF(OR(A502="",D502=""),0,MAX(0,NETWORKDAYS(MAX(D502,DATE(Einstellungen!$C$3,12,1)),MIN(J502,DATE(Einstellungen!$C$3,13,0)),Einstellungen!$F$13:$F$32)))</f>
        <v/>
      </c>
      <c r="X502" s="50">
        <f>L502*K502</f>
        <v/>
      </c>
      <c r="Y502" s="50">
        <f>M502*K502</f>
        <v/>
      </c>
      <c r="Z502" s="50">
        <f>N502*K502</f>
        <v/>
      </c>
      <c r="AA502" s="50">
        <f>O502*K502</f>
        <v/>
      </c>
      <c r="AB502" s="50">
        <f>P502*K502</f>
        <v/>
      </c>
      <c r="AC502" s="50">
        <f>Q502*K502</f>
        <v/>
      </c>
      <c r="AD502" s="50">
        <f>R502*K502</f>
        <v/>
      </c>
      <c r="AE502" s="50">
        <f>S502*K502</f>
        <v/>
      </c>
      <c r="AF502" s="50">
        <f>T502*K502</f>
        <v/>
      </c>
      <c r="AG502" s="50">
        <f>U502*K502</f>
        <v/>
      </c>
      <c r="AH502" s="50">
        <f>V502*K502</f>
        <v/>
      </c>
      <c r="AI502" s="50">
        <f>W502*K502</f>
        <v/>
      </c>
    </row>
    <row r="503">
      <c r="A503" s="25" t="n"/>
      <c r="B503" s="45">
        <f>IF(A503="","",IFERROR(INDEX(Mitarbeiter!$B$6:$B$205,MATCH($A503,Mitarbeiter!$A$6:$A$205,0)),"?"))</f>
        <v/>
      </c>
      <c r="C503" s="46" t="n"/>
      <c r="D503" s="26" t="n"/>
      <c r="E503" s="26" t="n"/>
      <c r="F503" s="24">
        <f>IF(A503="","",SUM(L503:W503))</f>
        <v/>
      </c>
      <c r="G503" s="36">
        <f>IF(A503="","",SUM(X503:AI503))</f>
        <v/>
      </c>
      <c r="H503" s="8">
        <f>IF(A503="","",IF(ISNA(MATCH(A503,Mitarbeiter!$A$6:$A$205,0)),"Pers.-Nr. unbekannt",IF(D503="","Von fehlt",IF(AND(C503&lt;&gt;Einstellungen!$C$4,C503&lt;&gt;Einstellungen!$C$5),"Objekt fehlt",IF(J503&lt;D503,"Bis vor Von",IF(D503&lt;INDEX(Mitarbeiter!$C$6:$C$205,MATCH($A503,Mitarbeiter!$A$6:$A$205,0)),"vor Eintritt",IF(AND(INDEX(Mitarbeiter!$D$6:$D$205,MATCH($A503,Mitarbeiter!$A$6:$A$205,0))&lt;&gt;"",D503&gt;INDEX(Mitarbeiter!$D$6:$D$205,MATCH($A503,Mitarbeiter!$A$6:$A$205,0))),"nach Austritt",IF(E503="","offen","ok"))))))))</f>
        <v/>
      </c>
      <c r="J503" s="47">
        <f>IF(A503="","",IF(E503="",Einstellungen!$C$9,E503))</f>
        <v/>
      </c>
      <c r="K503" s="48">
        <f>IF(A503="",0,IFERROR(INDEX(Mitarbeiter!$F$6:$F$205,MATCH($A503,Mitarbeiter!$A$6:$A$205,0)),0))</f>
        <v/>
      </c>
      <c r="L503" s="49">
        <f>IF(OR(A503="",D503=""),0,MAX(0,NETWORKDAYS(MAX(D503,DATE(Einstellungen!$C$3,1,1)),MIN(J503,DATE(Einstellungen!$C$3,2,0)),Einstellungen!$F$13:$F$32)))</f>
        <v/>
      </c>
      <c r="M503" s="49">
        <f>IF(OR(A503="",D503=""),0,MAX(0,NETWORKDAYS(MAX(D503,DATE(Einstellungen!$C$3,2,1)),MIN(J503,DATE(Einstellungen!$C$3,3,0)),Einstellungen!$F$13:$F$32)))</f>
        <v/>
      </c>
      <c r="N503" s="49">
        <f>IF(OR(A503="",D503=""),0,MAX(0,NETWORKDAYS(MAX(D503,DATE(Einstellungen!$C$3,3,1)),MIN(J503,DATE(Einstellungen!$C$3,4,0)),Einstellungen!$F$13:$F$32)))</f>
        <v/>
      </c>
      <c r="O503" s="49">
        <f>IF(OR(A503="",D503=""),0,MAX(0,NETWORKDAYS(MAX(D503,DATE(Einstellungen!$C$3,4,1)),MIN(J503,DATE(Einstellungen!$C$3,5,0)),Einstellungen!$F$13:$F$32)))</f>
        <v/>
      </c>
      <c r="P503" s="49">
        <f>IF(OR(A503="",D503=""),0,MAX(0,NETWORKDAYS(MAX(D503,DATE(Einstellungen!$C$3,5,1)),MIN(J503,DATE(Einstellungen!$C$3,6,0)),Einstellungen!$F$13:$F$32)))</f>
        <v/>
      </c>
      <c r="Q503" s="49">
        <f>IF(OR(A503="",D503=""),0,MAX(0,NETWORKDAYS(MAX(D503,DATE(Einstellungen!$C$3,6,1)),MIN(J503,DATE(Einstellungen!$C$3,7,0)),Einstellungen!$F$13:$F$32)))</f>
        <v/>
      </c>
      <c r="R503" s="49">
        <f>IF(OR(A503="",D503=""),0,MAX(0,NETWORKDAYS(MAX(D503,DATE(Einstellungen!$C$3,7,1)),MIN(J503,DATE(Einstellungen!$C$3,8,0)),Einstellungen!$F$13:$F$32)))</f>
        <v/>
      </c>
      <c r="S503" s="49">
        <f>IF(OR(A503="",D503=""),0,MAX(0,NETWORKDAYS(MAX(D503,DATE(Einstellungen!$C$3,8,1)),MIN(J503,DATE(Einstellungen!$C$3,9,0)),Einstellungen!$F$13:$F$32)))</f>
        <v/>
      </c>
      <c r="T503" s="49">
        <f>IF(OR(A503="",D503=""),0,MAX(0,NETWORKDAYS(MAX(D503,DATE(Einstellungen!$C$3,9,1)),MIN(J503,DATE(Einstellungen!$C$3,10,0)),Einstellungen!$F$13:$F$32)))</f>
        <v/>
      </c>
      <c r="U503" s="49">
        <f>IF(OR(A503="",D503=""),0,MAX(0,NETWORKDAYS(MAX(D503,DATE(Einstellungen!$C$3,10,1)),MIN(J503,DATE(Einstellungen!$C$3,11,0)),Einstellungen!$F$13:$F$32)))</f>
        <v/>
      </c>
      <c r="V503" s="49">
        <f>IF(OR(A503="",D503=""),0,MAX(0,NETWORKDAYS(MAX(D503,DATE(Einstellungen!$C$3,11,1)),MIN(J503,DATE(Einstellungen!$C$3,12,0)),Einstellungen!$F$13:$F$32)))</f>
        <v/>
      </c>
      <c r="W503" s="49">
        <f>IF(OR(A503="",D503=""),0,MAX(0,NETWORKDAYS(MAX(D503,DATE(Einstellungen!$C$3,12,1)),MIN(J503,DATE(Einstellungen!$C$3,13,0)),Einstellungen!$F$13:$F$32)))</f>
        <v/>
      </c>
      <c r="X503" s="50">
        <f>L503*K503</f>
        <v/>
      </c>
      <c r="Y503" s="50">
        <f>M503*K503</f>
        <v/>
      </c>
      <c r="Z503" s="50">
        <f>N503*K503</f>
        <v/>
      </c>
      <c r="AA503" s="50">
        <f>O503*K503</f>
        <v/>
      </c>
      <c r="AB503" s="50">
        <f>P503*K503</f>
        <v/>
      </c>
      <c r="AC503" s="50">
        <f>Q503*K503</f>
        <v/>
      </c>
      <c r="AD503" s="50">
        <f>R503*K503</f>
        <v/>
      </c>
      <c r="AE503" s="50">
        <f>S503*K503</f>
        <v/>
      </c>
      <c r="AF503" s="50">
        <f>T503*K503</f>
        <v/>
      </c>
      <c r="AG503" s="50">
        <f>U503*K503</f>
        <v/>
      </c>
      <c r="AH503" s="50">
        <f>V503*K503</f>
        <v/>
      </c>
      <c r="AI503" s="50">
        <f>W503*K503</f>
        <v/>
      </c>
    </row>
    <row r="504">
      <c r="A504" s="25" t="n"/>
      <c r="B504" s="45">
        <f>IF(A504="","",IFERROR(INDEX(Mitarbeiter!$B$6:$B$205,MATCH($A504,Mitarbeiter!$A$6:$A$205,0)),"?"))</f>
        <v/>
      </c>
      <c r="C504" s="46" t="n"/>
      <c r="D504" s="26" t="n"/>
      <c r="E504" s="26" t="n"/>
      <c r="F504" s="24">
        <f>IF(A504="","",SUM(L504:W504))</f>
        <v/>
      </c>
      <c r="G504" s="36">
        <f>IF(A504="","",SUM(X504:AI504))</f>
        <v/>
      </c>
      <c r="H504" s="8">
        <f>IF(A504="","",IF(ISNA(MATCH(A504,Mitarbeiter!$A$6:$A$205,0)),"Pers.-Nr. unbekannt",IF(D504="","Von fehlt",IF(AND(C504&lt;&gt;Einstellungen!$C$4,C504&lt;&gt;Einstellungen!$C$5),"Objekt fehlt",IF(J504&lt;D504,"Bis vor Von",IF(D504&lt;INDEX(Mitarbeiter!$C$6:$C$205,MATCH($A504,Mitarbeiter!$A$6:$A$205,0)),"vor Eintritt",IF(AND(INDEX(Mitarbeiter!$D$6:$D$205,MATCH($A504,Mitarbeiter!$A$6:$A$205,0))&lt;&gt;"",D504&gt;INDEX(Mitarbeiter!$D$6:$D$205,MATCH($A504,Mitarbeiter!$A$6:$A$205,0))),"nach Austritt",IF(E504="","offen","ok"))))))))</f>
        <v/>
      </c>
      <c r="J504" s="47">
        <f>IF(A504="","",IF(E504="",Einstellungen!$C$9,E504))</f>
        <v/>
      </c>
      <c r="K504" s="48">
        <f>IF(A504="",0,IFERROR(INDEX(Mitarbeiter!$F$6:$F$205,MATCH($A504,Mitarbeiter!$A$6:$A$205,0)),0))</f>
        <v/>
      </c>
      <c r="L504" s="49">
        <f>IF(OR(A504="",D504=""),0,MAX(0,NETWORKDAYS(MAX(D504,DATE(Einstellungen!$C$3,1,1)),MIN(J504,DATE(Einstellungen!$C$3,2,0)),Einstellungen!$F$13:$F$32)))</f>
        <v/>
      </c>
      <c r="M504" s="49">
        <f>IF(OR(A504="",D504=""),0,MAX(0,NETWORKDAYS(MAX(D504,DATE(Einstellungen!$C$3,2,1)),MIN(J504,DATE(Einstellungen!$C$3,3,0)),Einstellungen!$F$13:$F$32)))</f>
        <v/>
      </c>
      <c r="N504" s="49">
        <f>IF(OR(A504="",D504=""),0,MAX(0,NETWORKDAYS(MAX(D504,DATE(Einstellungen!$C$3,3,1)),MIN(J504,DATE(Einstellungen!$C$3,4,0)),Einstellungen!$F$13:$F$32)))</f>
        <v/>
      </c>
      <c r="O504" s="49">
        <f>IF(OR(A504="",D504=""),0,MAX(0,NETWORKDAYS(MAX(D504,DATE(Einstellungen!$C$3,4,1)),MIN(J504,DATE(Einstellungen!$C$3,5,0)),Einstellungen!$F$13:$F$32)))</f>
        <v/>
      </c>
      <c r="P504" s="49">
        <f>IF(OR(A504="",D504=""),0,MAX(0,NETWORKDAYS(MAX(D504,DATE(Einstellungen!$C$3,5,1)),MIN(J504,DATE(Einstellungen!$C$3,6,0)),Einstellungen!$F$13:$F$32)))</f>
        <v/>
      </c>
      <c r="Q504" s="49">
        <f>IF(OR(A504="",D504=""),0,MAX(0,NETWORKDAYS(MAX(D504,DATE(Einstellungen!$C$3,6,1)),MIN(J504,DATE(Einstellungen!$C$3,7,0)),Einstellungen!$F$13:$F$32)))</f>
        <v/>
      </c>
      <c r="R504" s="49">
        <f>IF(OR(A504="",D504=""),0,MAX(0,NETWORKDAYS(MAX(D504,DATE(Einstellungen!$C$3,7,1)),MIN(J504,DATE(Einstellungen!$C$3,8,0)),Einstellungen!$F$13:$F$32)))</f>
        <v/>
      </c>
      <c r="S504" s="49">
        <f>IF(OR(A504="",D504=""),0,MAX(0,NETWORKDAYS(MAX(D504,DATE(Einstellungen!$C$3,8,1)),MIN(J504,DATE(Einstellungen!$C$3,9,0)),Einstellungen!$F$13:$F$32)))</f>
        <v/>
      </c>
      <c r="T504" s="49">
        <f>IF(OR(A504="",D504=""),0,MAX(0,NETWORKDAYS(MAX(D504,DATE(Einstellungen!$C$3,9,1)),MIN(J504,DATE(Einstellungen!$C$3,10,0)),Einstellungen!$F$13:$F$32)))</f>
        <v/>
      </c>
      <c r="U504" s="49">
        <f>IF(OR(A504="",D504=""),0,MAX(0,NETWORKDAYS(MAX(D504,DATE(Einstellungen!$C$3,10,1)),MIN(J504,DATE(Einstellungen!$C$3,11,0)),Einstellungen!$F$13:$F$32)))</f>
        <v/>
      </c>
      <c r="V504" s="49">
        <f>IF(OR(A504="",D504=""),0,MAX(0,NETWORKDAYS(MAX(D504,DATE(Einstellungen!$C$3,11,1)),MIN(J504,DATE(Einstellungen!$C$3,12,0)),Einstellungen!$F$13:$F$32)))</f>
        <v/>
      </c>
      <c r="W504" s="49">
        <f>IF(OR(A504="",D504=""),0,MAX(0,NETWORKDAYS(MAX(D504,DATE(Einstellungen!$C$3,12,1)),MIN(J504,DATE(Einstellungen!$C$3,13,0)),Einstellungen!$F$13:$F$32)))</f>
        <v/>
      </c>
      <c r="X504" s="50">
        <f>L504*K504</f>
        <v/>
      </c>
      <c r="Y504" s="50">
        <f>M504*K504</f>
        <v/>
      </c>
      <c r="Z504" s="50">
        <f>N504*K504</f>
        <v/>
      </c>
      <c r="AA504" s="50">
        <f>O504*K504</f>
        <v/>
      </c>
      <c r="AB504" s="50">
        <f>P504*K504</f>
        <v/>
      </c>
      <c r="AC504" s="50">
        <f>Q504*K504</f>
        <v/>
      </c>
      <c r="AD504" s="50">
        <f>R504*K504</f>
        <v/>
      </c>
      <c r="AE504" s="50">
        <f>S504*K504</f>
        <v/>
      </c>
      <c r="AF504" s="50">
        <f>T504*K504</f>
        <v/>
      </c>
      <c r="AG504" s="50">
        <f>U504*K504</f>
        <v/>
      </c>
      <c r="AH504" s="50">
        <f>V504*K504</f>
        <v/>
      </c>
      <c r="AI504" s="50">
        <f>W504*K504</f>
        <v/>
      </c>
    </row>
    <row r="505">
      <c r="A505" s="25" t="n"/>
      <c r="B505" s="45">
        <f>IF(A505="","",IFERROR(INDEX(Mitarbeiter!$B$6:$B$205,MATCH($A505,Mitarbeiter!$A$6:$A$205,0)),"?"))</f>
        <v/>
      </c>
      <c r="C505" s="46" t="n"/>
      <c r="D505" s="26" t="n"/>
      <c r="E505" s="26" t="n"/>
      <c r="F505" s="24">
        <f>IF(A505="","",SUM(L505:W505))</f>
        <v/>
      </c>
      <c r="G505" s="36">
        <f>IF(A505="","",SUM(X505:AI505))</f>
        <v/>
      </c>
      <c r="H505" s="8">
        <f>IF(A505="","",IF(ISNA(MATCH(A505,Mitarbeiter!$A$6:$A$205,0)),"Pers.-Nr. unbekannt",IF(D505="","Von fehlt",IF(AND(C505&lt;&gt;Einstellungen!$C$4,C505&lt;&gt;Einstellungen!$C$5),"Objekt fehlt",IF(J505&lt;D505,"Bis vor Von",IF(D505&lt;INDEX(Mitarbeiter!$C$6:$C$205,MATCH($A505,Mitarbeiter!$A$6:$A$205,0)),"vor Eintritt",IF(AND(INDEX(Mitarbeiter!$D$6:$D$205,MATCH($A505,Mitarbeiter!$A$6:$A$205,0))&lt;&gt;"",D505&gt;INDEX(Mitarbeiter!$D$6:$D$205,MATCH($A505,Mitarbeiter!$A$6:$A$205,0))),"nach Austritt",IF(E505="","offen","ok"))))))))</f>
        <v/>
      </c>
      <c r="J505" s="47">
        <f>IF(A505="","",IF(E505="",Einstellungen!$C$9,E505))</f>
        <v/>
      </c>
      <c r="K505" s="48">
        <f>IF(A505="",0,IFERROR(INDEX(Mitarbeiter!$F$6:$F$205,MATCH($A505,Mitarbeiter!$A$6:$A$205,0)),0))</f>
        <v/>
      </c>
      <c r="L505" s="49">
        <f>IF(OR(A505="",D505=""),0,MAX(0,NETWORKDAYS(MAX(D505,DATE(Einstellungen!$C$3,1,1)),MIN(J505,DATE(Einstellungen!$C$3,2,0)),Einstellungen!$F$13:$F$32)))</f>
        <v/>
      </c>
      <c r="M505" s="49">
        <f>IF(OR(A505="",D505=""),0,MAX(0,NETWORKDAYS(MAX(D505,DATE(Einstellungen!$C$3,2,1)),MIN(J505,DATE(Einstellungen!$C$3,3,0)),Einstellungen!$F$13:$F$32)))</f>
        <v/>
      </c>
      <c r="N505" s="49">
        <f>IF(OR(A505="",D505=""),0,MAX(0,NETWORKDAYS(MAX(D505,DATE(Einstellungen!$C$3,3,1)),MIN(J505,DATE(Einstellungen!$C$3,4,0)),Einstellungen!$F$13:$F$32)))</f>
        <v/>
      </c>
      <c r="O505" s="49">
        <f>IF(OR(A505="",D505=""),0,MAX(0,NETWORKDAYS(MAX(D505,DATE(Einstellungen!$C$3,4,1)),MIN(J505,DATE(Einstellungen!$C$3,5,0)),Einstellungen!$F$13:$F$32)))</f>
        <v/>
      </c>
      <c r="P505" s="49">
        <f>IF(OR(A505="",D505=""),0,MAX(0,NETWORKDAYS(MAX(D505,DATE(Einstellungen!$C$3,5,1)),MIN(J505,DATE(Einstellungen!$C$3,6,0)),Einstellungen!$F$13:$F$32)))</f>
        <v/>
      </c>
      <c r="Q505" s="49">
        <f>IF(OR(A505="",D505=""),0,MAX(0,NETWORKDAYS(MAX(D505,DATE(Einstellungen!$C$3,6,1)),MIN(J505,DATE(Einstellungen!$C$3,7,0)),Einstellungen!$F$13:$F$32)))</f>
        <v/>
      </c>
      <c r="R505" s="49">
        <f>IF(OR(A505="",D505=""),0,MAX(0,NETWORKDAYS(MAX(D505,DATE(Einstellungen!$C$3,7,1)),MIN(J505,DATE(Einstellungen!$C$3,8,0)),Einstellungen!$F$13:$F$32)))</f>
        <v/>
      </c>
      <c r="S505" s="49">
        <f>IF(OR(A505="",D505=""),0,MAX(0,NETWORKDAYS(MAX(D505,DATE(Einstellungen!$C$3,8,1)),MIN(J505,DATE(Einstellungen!$C$3,9,0)),Einstellungen!$F$13:$F$32)))</f>
        <v/>
      </c>
      <c r="T505" s="49">
        <f>IF(OR(A505="",D505=""),0,MAX(0,NETWORKDAYS(MAX(D505,DATE(Einstellungen!$C$3,9,1)),MIN(J505,DATE(Einstellungen!$C$3,10,0)),Einstellungen!$F$13:$F$32)))</f>
        <v/>
      </c>
      <c r="U505" s="49">
        <f>IF(OR(A505="",D505=""),0,MAX(0,NETWORKDAYS(MAX(D505,DATE(Einstellungen!$C$3,10,1)),MIN(J505,DATE(Einstellungen!$C$3,11,0)),Einstellungen!$F$13:$F$32)))</f>
        <v/>
      </c>
      <c r="V505" s="49">
        <f>IF(OR(A505="",D505=""),0,MAX(0,NETWORKDAYS(MAX(D505,DATE(Einstellungen!$C$3,11,1)),MIN(J505,DATE(Einstellungen!$C$3,12,0)),Einstellungen!$F$13:$F$32)))</f>
        <v/>
      </c>
      <c r="W505" s="49">
        <f>IF(OR(A505="",D505=""),0,MAX(0,NETWORKDAYS(MAX(D505,DATE(Einstellungen!$C$3,12,1)),MIN(J505,DATE(Einstellungen!$C$3,13,0)),Einstellungen!$F$13:$F$32)))</f>
        <v/>
      </c>
      <c r="X505" s="50">
        <f>L505*K505</f>
        <v/>
      </c>
      <c r="Y505" s="50">
        <f>M505*K505</f>
        <v/>
      </c>
      <c r="Z505" s="50">
        <f>N505*K505</f>
        <v/>
      </c>
      <c r="AA505" s="50">
        <f>O505*K505</f>
        <v/>
      </c>
      <c r="AB505" s="50">
        <f>P505*K505</f>
        <v/>
      </c>
      <c r="AC505" s="50">
        <f>Q505*K505</f>
        <v/>
      </c>
      <c r="AD505" s="50">
        <f>R505*K505</f>
        <v/>
      </c>
      <c r="AE505" s="50">
        <f>S505*K505</f>
        <v/>
      </c>
      <c r="AF505" s="50">
        <f>T505*K505</f>
        <v/>
      </c>
      <c r="AG505" s="50">
        <f>U505*K505</f>
        <v/>
      </c>
      <c r="AH505" s="50">
        <f>V505*K505</f>
        <v/>
      </c>
      <c r="AI505" s="50">
        <f>W505*K505</f>
        <v/>
      </c>
    </row>
    <row r="506">
      <c r="A506" s="25" t="n"/>
      <c r="B506" s="45">
        <f>IF(A506="","",IFERROR(INDEX(Mitarbeiter!$B$6:$B$205,MATCH($A506,Mitarbeiter!$A$6:$A$205,0)),"?"))</f>
        <v/>
      </c>
      <c r="C506" s="46" t="n"/>
      <c r="D506" s="26" t="n"/>
      <c r="E506" s="26" t="n"/>
      <c r="F506" s="24">
        <f>IF(A506="","",SUM(L506:W506))</f>
        <v/>
      </c>
      <c r="G506" s="36">
        <f>IF(A506="","",SUM(X506:AI506))</f>
        <v/>
      </c>
      <c r="H506" s="8">
        <f>IF(A506="","",IF(ISNA(MATCH(A506,Mitarbeiter!$A$6:$A$205,0)),"Pers.-Nr. unbekannt",IF(D506="","Von fehlt",IF(AND(C506&lt;&gt;Einstellungen!$C$4,C506&lt;&gt;Einstellungen!$C$5),"Objekt fehlt",IF(J506&lt;D506,"Bis vor Von",IF(D506&lt;INDEX(Mitarbeiter!$C$6:$C$205,MATCH($A506,Mitarbeiter!$A$6:$A$205,0)),"vor Eintritt",IF(AND(INDEX(Mitarbeiter!$D$6:$D$205,MATCH($A506,Mitarbeiter!$A$6:$A$205,0))&lt;&gt;"",D506&gt;INDEX(Mitarbeiter!$D$6:$D$205,MATCH($A506,Mitarbeiter!$A$6:$A$205,0))),"nach Austritt",IF(E506="","offen","ok"))))))))</f>
        <v/>
      </c>
      <c r="J506" s="47">
        <f>IF(A506="","",IF(E506="",Einstellungen!$C$9,E506))</f>
        <v/>
      </c>
      <c r="K506" s="48">
        <f>IF(A506="",0,IFERROR(INDEX(Mitarbeiter!$F$6:$F$205,MATCH($A506,Mitarbeiter!$A$6:$A$205,0)),0))</f>
        <v/>
      </c>
      <c r="L506" s="49">
        <f>IF(OR(A506="",D506=""),0,MAX(0,NETWORKDAYS(MAX(D506,DATE(Einstellungen!$C$3,1,1)),MIN(J506,DATE(Einstellungen!$C$3,2,0)),Einstellungen!$F$13:$F$32)))</f>
        <v/>
      </c>
      <c r="M506" s="49">
        <f>IF(OR(A506="",D506=""),0,MAX(0,NETWORKDAYS(MAX(D506,DATE(Einstellungen!$C$3,2,1)),MIN(J506,DATE(Einstellungen!$C$3,3,0)),Einstellungen!$F$13:$F$32)))</f>
        <v/>
      </c>
      <c r="N506" s="49">
        <f>IF(OR(A506="",D506=""),0,MAX(0,NETWORKDAYS(MAX(D506,DATE(Einstellungen!$C$3,3,1)),MIN(J506,DATE(Einstellungen!$C$3,4,0)),Einstellungen!$F$13:$F$32)))</f>
        <v/>
      </c>
      <c r="O506" s="49">
        <f>IF(OR(A506="",D506=""),0,MAX(0,NETWORKDAYS(MAX(D506,DATE(Einstellungen!$C$3,4,1)),MIN(J506,DATE(Einstellungen!$C$3,5,0)),Einstellungen!$F$13:$F$32)))</f>
        <v/>
      </c>
      <c r="P506" s="49">
        <f>IF(OR(A506="",D506=""),0,MAX(0,NETWORKDAYS(MAX(D506,DATE(Einstellungen!$C$3,5,1)),MIN(J506,DATE(Einstellungen!$C$3,6,0)),Einstellungen!$F$13:$F$32)))</f>
        <v/>
      </c>
      <c r="Q506" s="49">
        <f>IF(OR(A506="",D506=""),0,MAX(0,NETWORKDAYS(MAX(D506,DATE(Einstellungen!$C$3,6,1)),MIN(J506,DATE(Einstellungen!$C$3,7,0)),Einstellungen!$F$13:$F$32)))</f>
        <v/>
      </c>
      <c r="R506" s="49">
        <f>IF(OR(A506="",D506=""),0,MAX(0,NETWORKDAYS(MAX(D506,DATE(Einstellungen!$C$3,7,1)),MIN(J506,DATE(Einstellungen!$C$3,8,0)),Einstellungen!$F$13:$F$32)))</f>
        <v/>
      </c>
      <c r="S506" s="49">
        <f>IF(OR(A506="",D506=""),0,MAX(0,NETWORKDAYS(MAX(D506,DATE(Einstellungen!$C$3,8,1)),MIN(J506,DATE(Einstellungen!$C$3,9,0)),Einstellungen!$F$13:$F$32)))</f>
        <v/>
      </c>
      <c r="T506" s="49">
        <f>IF(OR(A506="",D506=""),0,MAX(0,NETWORKDAYS(MAX(D506,DATE(Einstellungen!$C$3,9,1)),MIN(J506,DATE(Einstellungen!$C$3,10,0)),Einstellungen!$F$13:$F$32)))</f>
        <v/>
      </c>
      <c r="U506" s="49">
        <f>IF(OR(A506="",D506=""),0,MAX(0,NETWORKDAYS(MAX(D506,DATE(Einstellungen!$C$3,10,1)),MIN(J506,DATE(Einstellungen!$C$3,11,0)),Einstellungen!$F$13:$F$32)))</f>
        <v/>
      </c>
      <c r="V506" s="49">
        <f>IF(OR(A506="",D506=""),0,MAX(0,NETWORKDAYS(MAX(D506,DATE(Einstellungen!$C$3,11,1)),MIN(J506,DATE(Einstellungen!$C$3,12,0)),Einstellungen!$F$13:$F$32)))</f>
        <v/>
      </c>
      <c r="W506" s="49">
        <f>IF(OR(A506="",D506=""),0,MAX(0,NETWORKDAYS(MAX(D506,DATE(Einstellungen!$C$3,12,1)),MIN(J506,DATE(Einstellungen!$C$3,13,0)),Einstellungen!$F$13:$F$32)))</f>
        <v/>
      </c>
      <c r="X506" s="50">
        <f>L506*K506</f>
        <v/>
      </c>
      <c r="Y506" s="50">
        <f>M506*K506</f>
        <v/>
      </c>
      <c r="Z506" s="50">
        <f>N506*K506</f>
        <v/>
      </c>
      <c r="AA506" s="50">
        <f>O506*K506</f>
        <v/>
      </c>
      <c r="AB506" s="50">
        <f>P506*K506</f>
        <v/>
      </c>
      <c r="AC506" s="50">
        <f>Q506*K506</f>
        <v/>
      </c>
      <c r="AD506" s="50">
        <f>R506*K506</f>
        <v/>
      </c>
      <c r="AE506" s="50">
        <f>S506*K506</f>
        <v/>
      </c>
      <c r="AF506" s="50">
        <f>T506*K506</f>
        <v/>
      </c>
      <c r="AG506" s="50">
        <f>U506*K506</f>
        <v/>
      </c>
      <c r="AH506" s="50">
        <f>V506*K506</f>
        <v/>
      </c>
      <c r="AI506" s="50">
        <f>W506*K506</f>
        <v/>
      </c>
    </row>
    <row r="507">
      <c r="A507" s="25" t="n"/>
      <c r="B507" s="45">
        <f>IF(A507="","",IFERROR(INDEX(Mitarbeiter!$B$6:$B$205,MATCH($A507,Mitarbeiter!$A$6:$A$205,0)),"?"))</f>
        <v/>
      </c>
      <c r="C507" s="46" t="n"/>
      <c r="D507" s="26" t="n"/>
      <c r="E507" s="26" t="n"/>
      <c r="F507" s="24">
        <f>IF(A507="","",SUM(L507:W507))</f>
        <v/>
      </c>
      <c r="G507" s="36">
        <f>IF(A507="","",SUM(X507:AI507))</f>
        <v/>
      </c>
      <c r="H507" s="8">
        <f>IF(A507="","",IF(ISNA(MATCH(A507,Mitarbeiter!$A$6:$A$205,0)),"Pers.-Nr. unbekannt",IF(D507="","Von fehlt",IF(AND(C507&lt;&gt;Einstellungen!$C$4,C507&lt;&gt;Einstellungen!$C$5),"Objekt fehlt",IF(J507&lt;D507,"Bis vor Von",IF(D507&lt;INDEX(Mitarbeiter!$C$6:$C$205,MATCH($A507,Mitarbeiter!$A$6:$A$205,0)),"vor Eintritt",IF(AND(INDEX(Mitarbeiter!$D$6:$D$205,MATCH($A507,Mitarbeiter!$A$6:$A$205,0))&lt;&gt;"",D507&gt;INDEX(Mitarbeiter!$D$6:$D$205,MATCH($A507,Mitarbeiter!$A$6:$A$205,0))),"nach Austritt",IF(E507="","offen","ok"))))))))</f>
        <v/>
      </c>
      <c r="J507" s="47">
        <f>IF(A507="","",IF(E507="",Einstellungen!$C$9,E507))</f>
        <v/>
      </c>
      <c r="K507" s="48">
        <f>IF(A507="",0,IFERROR(INDEX(Mitarbeiter!$F$6:$F$205,MATCH($A507,Mitarbeiter!$A$6:$A$205,0)),0))</f>
        <v/>
      </c>
      <c r="L507" s="49">
        <f>IF(OR(A507="",D507=""),0,MAX(0,NETWORKDAYS(MAX(D507,DATE(Einstellungen!$C$3,1,1)),MIN(J507,DATE(Einstellungen!$C$3,2,0)),Einstellungen!$F$13:$F$32)))</f>
        <v/>
      </c>
      <c r="M507" s="49">
        <f>IF(OR(A507="",D507=""),0,MAX(0,NETWORKDAYS(MAX(D507,DATE(Einstellungen!$C$3,2,1)),MIN(J507,DATE(Einstellungen!$C$3,3,0)),Einstellungen!$F$13:$F$32)))</f>
        <v/>
      </c>
      <c r="N507" s="49">
        <f>IF(OR(A507="",D507=""),0,MAX(0,NETWORKDAYS(MAX(D507,DATE(Einstellungen!$C$3,3,1)),MIN(J507,DATE(Einstellungen!$C$3,4,0)),Einstellungen!$F$13:$F$32)))</f>
        <v/>
      </c>
      <c r="O507" s="49">
        <f>IF(OR(A507="",D507=""),0,MAX(0,NETWORKDAYS(MAX(D507,DATE(Einstellungen!$C$3,4,1)),MIN(J507,DATE(Einstellungen!$C$3,5,0)),Einstellungen!$F$13:$F$32)))</f>
        <v/>
      </c>
      <c r="P507" s="49">
        <f>IF(OR(A507="",D507=""),0,MAX(0,NETWORKDAYS(MAX(D507,DATE(Einstellungen!$C$3,5,1)),MIN(J507,DATE(Einstellungen!$C$3,6,0)),Einstellungen!$F$13:$F$32)))</f>
        <v/>
      </c>
      <c r="Q507" s="49">
        <f>IF(OR(A507="",D507=""),0,MAX(0,NETWORKDAYS(MAX(D507,DATE(Einstellungen!$C$3,6,1)),MIN(J507,DATE(Einstellungen!$C$3,7,0)),Einstellungen!$F$13:$F$32)))</f>
        <v/>
      </c>
      <c r="R507" s="49">
        <f>IF(OR(A507="",D507=""),0,MAX(0,NETWORKDAYS(MAX(D507,DATE(Einstellungen!$C$3,7,1)),MIN(J507,DATE(Einstellungen!$C$3,8,0)),Einstellungen!$F$13:$F$32)))</f>
        <v/>
      </c>
      <c r="S507" s="49">
        <f>IF(OR(A507="",D507=""),0,MAX(0,NETWORKDAYS(MAX(D507,DATE(Einstellungen!$C$3,8,1)),MIN(J507,DATE(Einstellungen!$C$3,9,0)),Einstellungen!$F$13:$F$32)))</f>
        <v/>
      </c>
      <c r="T507" s="49">
        <f>IF(OR(A507="",D507=""),0,MAX(0,NETWORKDAYS(MAX(D507,DATE(Einstellungen!$C$3,9,1)),MIN(J507,DATE(Einstellungen!$C$3,10,0)),Einstellungen!$F$13:$F$32)))</f>
        <v/>
      </c>
      <c r="U507" s="49">
        <f>IF(OR(A507="",D507=""),0,MAX(0,NETWORKDAYS(MAX(D507,DATE(Einstellungen!$C$3,10,1)),MIN(J507,DATE(Einstellungen!$C$3,11,0)),Einstellungen!$F$13:$F$32)))</f>
        <v/>
      </c>
      <c r="V507" s="49">
        <f>IF(OR(A507="",D507=""),0,MAX(0,NETWORKDAYS(MAX(D507,DATE(Einstellungen!$C$3,11,1)),MIN(J507,DATE(Einstellungen!$C$3,12,0)),Einstellungen!$F$13:$F$32)))</f>
        <v/>
      </c>
      <c r="W507" s="49">
        <f>IF(OR(A507="",D507=""),0,MAX(0,NETWORKDAYS(MAX(D507,DATE(Einstellungen!$C$3,12,1)),MIN(J507,DATE(Einstellungen!$C$3,13,0)),Einstellungen!$F$13:$F$32)))</f>
        <v/>
      </c>
      <c r="X507" s="50">
        <f>L507*K507</f>
        <v/>
      </c>
      <c r="Y507" s="50">
        <f>M507*K507</f>
        <v/>
      </c>
      <c r="Z507" s="50">
        <f>N507*K507</f>
        <v/>
      </c>
      <c r="AA507" s="50">
        <f>O507*K507</f>
        <v/>
      </c>
      <c r="AB507" s="50">
        <f>P507*K507</f>
        <v/>
      </c>
      <c r="AC507" s="50">
        <f>Q507*K507</f>
        <v/>
      </c>
      <c r="AD507" s="50">
        <f>R507*K507</f>
        <v/>
      </c>
      <c r="AE507" s="50">
        <f>S507*K507</f>
        <v/>
      </c>
      <c r="AF507" s="50">
        <f>T507*K507</f>
        <v/>
      </c>
      <c r="AG507" s="50">
        <f>U507*K507</f>
        <v/>
      </c>
      <c r="AH507" s="50">
        <f>V507*K507</f>
        <v/>
      </c>
      <c r="AI507" s="50">
        <f>W507*K507</f>
        <v/>
      </c>
    </row>
    <row r="508">
      <c r="A508" s="25" t="n"/>
      <c r="B508" s="45">
        <f>IF(A508="","",IFERROR(INDEX(Mitarbeiter!$B$6:$B$205,MATCH($A508,Mitarbeiter!$A$6:$A$205,0)),"?"))</f>
        <v/>
      </c>
      <c r="C508" s="46" t="n"/>
      <c r="D508" s="26" t="n"/>
      <c r="E508" s="26" t="n"/>
      <c r="F508" s="24">
        <f>IF(A508="","",SUM(L508:W508))</f>
        <v/>
      </c>
      <c r="G508" s="36">
        <f>IF(A508="","",SUM(X508:AI508))</f>
        <v/>
      </c>
      <c r="H508" s="8">
        <f>IF(A508="","",IF(ISNA(MATCH(A508,Mitarbeiter!$A$6:$A$205,0)),"Pers.-Nr. unbekannt",IF(D508="","Von fehlt",IF(AND(C508&lt;&gt;Einstellungen!$C$4,C508&lt;&gt;Einstellungen!$C$5),"Objekt fehlt",IF(J508&lt;D508,"Bis vor Von",IF(D508&lt;INDEX(Mitarbeiter!$C$6:$C$205,MATCH($A508,Mitarbeiter!$A$6:$A$205,0)),"vor Eintritt",IF(AND(INDEX(Mitarbeiter!$D$6:$D$205,MATCH($A508,Mitarbeiter!$A$6:$A$205,0))&lt;&gt;"",D508&gt;INDEX(Mitarbeiter!$D$6:$D$205,MATCH($A508,Mitarbeiter!$A$6:$A$205,0))),"nach Austritt",IF(E508="","offen","ok"))))))))</f>
        <v/>
      </c>
      <c r="J508" s="47">
        <f>IF(A508="","",IF(E508="",Einstellungen!$C$9,E508))</f>
        <v/>
      </c>
      <c r="K508" s="48">
        <f>IF(A508="",0,IFERROR(INDEX(Mitarbeiter!$F$6:$F$205,MATCH($A508,Mitarbeiter!$A$6:$A$205,0)),0))</f>
        <v/>
      </c>
      <c r="L508" s="49">
        <f>IF(OR(A508="",D508=""),0,MAX(0,NETWORKDAYS(MAX(D508,DATE(Einstellungen!$C$3,1,1)),MIN(J508,DATE(Einstellungen!$C$3,2,0)),Einstellungen!$F$13:$F$32)))</f>
        <v/>
      </c>
      <c r="M508" s="49">
        <f>IF(OR(A508="",D508=""),0,MAX(0,NETWORKDAYS(MAX(D508,DATE(Einstellungen!$C$3,2,1)),MIN(J508,DATE(Einstellungen!$C$3,3,0)),Einstellungen!$F$13:$F$32)))</f>
        <v/>
      </c>
      <c r="N508" s="49">
        <f>IF(OR(A508="",D508=""),0,MAX(0,NETWORKDAYS(MAX(D508,DATE(Einstellungen!$C$3,3,1)),MIN(J508,DATE(Einstellungen!$C$3,4,0)),Einstellungen!$F$13:$F$32)))</f>
        <v/>
      </c>
      <c r="O508" s="49">
        <f>IF(OR(A508="",D508=""),0,MAX(0,NETWORKDAYS(MAX(D508,DATE(Einstellungen!$C$3,4,1)),MIN(J508,DATE(Einstellungen!$C$3,5,0)),Einstellungen!$F$13:$F$32)))</f>
        <v/>
      </c>
      <c r="P508" s="49">
        <f>IF(OR(A508="",D508=""),0,MAX(0,NETWORKDAYS(MAX(D508,DATE(Einstellungen!$C$3,5,1)),MIN(J508,DATE(Einstellungen!$C$3,6,0)),Einstellungen!$F$13:$F$32)))</f>
        <v/>
      </c>
      <c r="Q508" s="49">
        <f>IF(OR(A508="",D508=""),0,MAX(0,NETWORKDAYS(MAX(D508,DATE(Einstellungen!$C$3,6,1)),MIN(J508,DATE(Einstellungen!$C$3,7,0)),Einstellungen!$F$13:$F$32)))</f>
        <v/>
      </c>
      <c r="R508" s="49">
        <f>IF(OR(A508="",D508=""),0,MAX(0,NETWORKDAYS(MAX(D508,DATE(Einstellungen!$C$3,7,1)),MIN(J508,DATE(Einstellungen!$C$3,8,0)),Einstellungen!$F$13:$F$32)))</f>
        <v/>
      </c>
      <c r="S508" s="49">
        <f>IF(OR(A508="",D508=""),0,MAX(0,NETWORKDAYS(MAX(D508,DATE(Einstellungen!$C$3,8,1)),MIN(J508,DATE(Einstellungen!$C$3,9,0)),Einstellungen!$F$13:$F$32)))</f>
        <v/>
      </c>
      <c r="T508" s="49">
        <f>IF(OR(A508="",D508=""),0,MAX(0,NETWORKDAYS(MAX(D508,DATE(Einstellungen!$C$3,9,1)),MIN(J508,DATE(Einstellungen!$C$3,10,0)),Einstellungen!$F$13:$F$32)))</f>
        <v/>
      </c>
      <c r="U508" s="49">
        <f>IF(OR(A508="",D508=""),0,MAX(0,NETWORKDAYS(MAX(D508,DATE(Einstellungen!$C$3,10,1)),MIN(J508,DATE(Einstellungen!$C$3,11,0)),Einstellungen!$F$13:$F$32)))</f>
        <v/>
      </c>
      <c r="V508" s="49">
        <f>IF(OR(A508="",D508=""),0,MAX(0,NETWORKDAYS(MAX(D508,DATE(Einstellungen!$C$3,11,1)),MIN(J508,DATE(Einstellungen!$C$3,12,0)),Einstellungen!$F$13:$F$32)))</f>
        <v/>
      </c>
      <c r="W508" s="49">
        <f>IF(OR(A508="",D508=""),0,MAX(0,NETWORKDAYS(MAX(D508,DATE(Einstellungen!$C$3,12,1)),MIN(J508,DATE(Einstellungen!$C$3,13,0)),Einstellungen!$F$13:$F$32)))</f>
        <v/>
      </c>
      <c r="X508" s="50">
        <f>L508*K508</f>
        <v/>
      </c>
      <c r="Y508" s="50">
        <f>M508*K508</f>
        <v/>
      </c>
      <c r="Z508" s="50">
        <f>N508*K508</f>
        <v/>
      </c>
      <c r="AA508" s="50">
        <f>O508*K508</f>
        <v/>
      </c>
      <c r="AB508" s="50">
        <f>P508*K508</f>
        <v/>
      </c>
      <c r="AC508" s="50">
        <f>Q508*K508</f>
        <v/>
      </c>
      <c r="AD508" s="50">
        <f>R508*K508</f>
        <v/>
      </c>
      <c r="AE508" s="50">
        <f>S508*K508</f>
        <v/>
      </c>
      <c r="AF508" s="50">
        <f>T508*K508</f>
        <v/>
      </c>
      <c r="AG508" s="50">
        <f>U508*K508</f>
        <v/>
      </c>
      <c r="AH508" s="50">
        <f>V508*K508</f>
        <v/>
      </c>
      <c r="AI508" s="50">
        <f>W508*K508</f>
        <v/>
      </c>
    </row>
    <row r="509">
      <c r="A509" s="25" t="n"/>
      <c r="B509" s="45">
        <f>IF(A509="","",IFERROR(INDEX(Mitarbeiter!$B$6:$B$205,MATCH($A509,Mitarbeiter!$A$6:$A$205,0)),"?"))</f>
        <v/>
      </c>
      <c r="C509" s="46" t="n"/>
      <c r="D509" s="26" t="n"/>
      <c r="E509" s="26" t="n"/>
      <c r="F509" s="24">
        <f>IF(A509="","",SUM(L509:W509))</f>
        <v/>
      </c>
      <c r="G509" s="36">
        <f>IF(A509="","",SUM(X509:AI509))</f>
        <v/>
      </c>
      <c r="H509" s="8">
        <f>IF(A509="","",IF(ISNA(MATCH(A509,Mitarbeiter!$A$6:$A$205,0)),"Pers.-Nr. unbekannt",IF(D509="","Von fehlt",IF(AND(C509&lt;&gt;Einstellungen!$C$4,C509&lt;&gt;Einstellungen!$C$5),"Objekt fehlt",IF(J509&lt;D509,"Bis vor Von",IF(D509&lt;INDEX(Mitarbeiter!$C$6:$C$205,MATCH($A509,Mitarbeiter!$A$6:$A$205,0)),"vor Eintritt",IF(AND(INDEX(Mitarbeiter!$D$6:$D$205,MATCH($A509,Mitarbeiter!$A$6:$A$205,0))&lt;&gt;"",D509&gt;INDEX(Mitarbeiter!$D$6:$D$205,MATCH($A509,Mitarbeiter!$A$6:$A$205,0))),"nach Austritt",IF(E509="","offen","ok"))))))))</f>
        <v/>
      </c>
      <c r="J509" s="47">
        <f>IF(A509="","",IF(E509="",Einstellungen!$C$9,E509))</f>
        <v/>
      </c>
      <c r="K509" s="48">
        <f>IF(A509="",0,IFERROR(INDEX(Mitarbeiter!$F$6:$F$205,MATCH($A509,Mitarbeiter!$A$6:$A$205,0)),0))</f>
        <v/>
      </c>
      <c r="L509" s="49">
        <f>IF(OR(A509="",D509=""),0,MAX(0,NETWORKDAYS(MAX(D509,DATE(Einstellungen!$C$3,1,1)),MIN(J509,DATE(Einstellungen!$C$3,2,0)),Einstellungen!$F$13:$F$32)))</f>
        <v/>
      </c>
      <c r="M509" s="49">
        <f>IF(OR(A509="",D509=""),0,MAX(0,NETWORKDAYS(MAX(D509,DATE(Einstellungen!$C$3,2,1)),MIN(J509,DATE(Einstellungen!$C$3,3,0)),Einstellungen!$F$13:$F$32)))</f>
        <v/>
      </c>
      <c r="N509" s="49">
        <f>IF(OR(A509="",D509=""),0,MAX(0,NETWORKDAYS(MAX(D509,DATE(Einstellungen!$C$3,3,1)),MIN(J509,DATE(Einstellungen!$C$3,4,0)),Einstellungen!$F$13:$F$32)))</f>
        <v/>
      </c>
      <c r="O509" s="49">
        <f>IF(OR(A509="",D509=""),0,MAX(0,NETWORKDAYS(MAX(D509,DATE(Einstellungen!$C$3,4,1)),MIN(J509,DATE(Einstellungen!$C$3,5,0)),Einstellungen!$F$13:$F$32)))</f>
        <v/>
      </c>
      <c r="P509" s="49">
        <f>IF(OR(A509="",D509=""),0,MAX(0,NETWORKDAYS(MAX(D509,DATE(Einstellungen!$C$3,5,1)),MIN(J509,DATE(Einstellungen!$C$3,6,0)),Einstellungen!$F$13:$F$32)))</f>
        <v/>
      </c>
      <c r="Q509" s="49">
        <f>IF(OR(A509="",D509=""),0,MAX(0,NETWORKDAYS(MAX(D509,DATE(Einstellungen!$C$3,6,1)),MIN(J509,DATE(Einstellungen!$C$3,7,0)),Einstellungen!$F$13:$F$32)))</f>
        <v/>
      </c>
      <c r="R509" s="49">
        <f>IF(OR(A509="",D509=""),0,MAX(0,NETWORKDAYS(MAX(D509,DATE(Einstellungen!$C$3,7,1)),MIN(J509,DATE(Einstellungen!$C$3,8,0)),Einstellungen!$F$13:$F$32)))</f>
        <v/>
      </c>
      <c r="S509" s="49">
        <f>IF(OR(A509="",D509=""),0,MAX(0,NETWORKDAYS(MAX(D509,DATE(Einstellungen!$C$3,8,1)),MIN(J509,DATE(Einstellungen!$C$3,9,0)),Einstellungen!$F$13:$F$32)))</f>
        <v/>
      </c>
      <c r="T509" s="49">
        <f>IF(OR(A509="",D509=""),0,MAX(0,NETWORKDAYS(MAX(D509,DATE(Einstellungen!$C$3,9,1)),MIN(J509,DATE(Einstellungen!$C$3,10,0)),Einstellungen!$F$13:$F$32)))</f>
        <v/>
      </c>
      <c r="U509" s="49">
        <f>IF(OR(A509="",D509=""),0,MAX(0,NETWORKDAYS(MAX(D509,DATE(Einstellungen!$C$3,10,1)),MIN(J509,DATE(Einstellungen!$C$3,11,0)),Einstellungen!$F$13:$F$32)))</f>
        <v/>
      </c>
      <c r="V509" s="49">
        <f>IF(OR(A509="",D509=""),0,MAX(0,NETWORKDAYS(MAX(D509,DATE(Einstellungen!$C$3,11,1)),MIN(J509,DATE(Einstellungen!$C$3,12,0)),Einstellungen!$F$13:$F$32)))</f>
        <v/>
      </c>
      <c r="W509" s="49">
        <f>IF(OR(A509="",D509=""),0,MAX(0,NETWORKDAYS(MAX(D509,DATE(Einstellungen!$C$3,12,1)),MIN(J509,DATE(Einstellungen!$C$3,13,0)),Einstellungen!$F$13:$F$32)))</f>
        <v/>
      </c>
      <c r="X509" s="50">
        <f>L509*K509</f>
        <v/>
      </c>
      <c r="Y509" s="50">
        <f>M509*K509</f>
        <v/>
      </c>
      <c r="Z509" s="50">
        <f>N509*K509</f>
        <v/>
      </c>
      <c r="AA509" s="50">
        <f>O509*K509</f>
        <v/>
      </c>
      <c r="AB509" s="50">
        <f>P509*K509</f>
        <v/>
      </c>
      <c r="AC509" s="50">
        <f>Q509*K509</f>
        <v/>
      </c>
      <c r="AD509" s="50">
        <f>R509*K509</f>
        <v/>
      </c>
      <c r="AE509" s="50">
        <f>S509*K509</f>
        <v/>
      </c>
      <c r="AF509" s="50">
        <f>T509*K509</f>
        <v/>
      </c>
      <c r="AG509" s="50">
        <f>U509*K509</f>
        <v/>
      </c>
      <c r="AH509" s="50">
        <f>V509*K509</f>
        <v/>
      </c>
      <c r="AI509" s="50">
        <f>W509*K509</f>
        <v/>
      </c>
    </row>
    <row r="510">
      <c r="A510" s="25" t="n"/>
      <c r="B510" s="45">
        <f>IF(A510="","",IFERROR(INDEX(Mitarbeiter!$B$6:$B$205,MATCH($A510,Mitarbeiter!$A$6:$A$205,0)),"?"))</f>
        <v/>
      </c>
      <c r="C510" s="46" t="n"/>
      <c r="D510" s="26" t="n"/>
      <c r="E510" s="26" t="n"/>
      <c r="F510" s="24">
        <f>IF(A510="","",SUM(L510:W510))</f>
        <v/>
      </c>
      <c r="G510" s="36">
        <f>IF(A510="","",SUM(X510:AI510))</f>
        <v/>
      </c>
      <c r="H510" s="8">
        <f>IF(A510="","",IF(ISNA(MATCH(A510,Mitarbeiter!$A$6:$A$205,0)),"Pers.-Nr. unbekannt",IF(D510="","Von fehlt",IF(AND(C510&lt;&gt;Einstellungen!$C$4,C510&lt;&gt;Einstellungen!$C$5),"Objekt fehlt",IF(J510&lt;D510,"Bis vor Von",IF(D510&lt;INDEX(Mitarbeiter!$C$6:$C$205,MATCH($A510,Mitarbeiter!$A$6:$A$205,0)),"vor Eintritt",IF(AND(INDEX(Mitarbeiter!$D$6:$D$205,MATCH($A510,Mitarbeiter!$A$6:$A$205,0))&lt;&gt;"",D510&gt;INDEX(Mitarbeiter!$D$6:$D$205,MATCH($A510,Mitarbeiter!$A$6:$A$205,0))),"nach Austritt",IF(E510="","offen","ok"))))))))</f>
        <v/>
      </c>
      <c r="J510" s="47">
        <f>IF(A510="","",IF(E510="",Einstellungen!$C$9,E510))</f>
        <v/>
      </c>
      <c r="K510" s="48">
        <f>IF(A510="",0,IFERROR(INDEX(Mitarbeiter!$F$6:$F$205,MATCH($A510,Mitarbeiter!$A$6:$A$205,0)),0))</f>
        <v/>
      </c>
      <c r="L510" s="49">
        <f>IF(OR(A510="",D510=""),0,MAX(0,NETWORKDAYS(MAX(D510,DATE(Einstellungen!$C$3,1,1)),MIN(J510,DATE(Einstellungen!$C$3,2,0)),Einstellungen!$F$13:$F$32)))</f>
        <v/>
      </c>
      <c r="M510" s="49">
        <f>IF(OR(A510="",D510=""),0,MAX(0,NETWORKDAYS(MAX(D510,DATE(Einstellungen!$C$3,2,1)),MIN(J510,DATE(Einstellungen!$C$3,3,0)),Einstellungen!$F$13:$F$32)))</f>
        <v/>
      </c>
      <c r="N510" s="49">
        <f>IF(OR(A510="",D510=""),0,MAX(0,NETWORKDAYS(MAX(D510,DATE(Einstellungen!$C$3,3,1)),MIN(J510,DATE(Einstellungen!$C$3,4,0)),Einstellungen!$F$13:$F$32)))</f>
        <v/>
      </c>
      <c r="O510" s="49">
        <f>IF(OR(A510="",D510=""),0,MAX(0,NETWORKDAYS(MAX(D510,DATE(Einstellungen!$C$3,4,1)),MIN(J510,DATE(Einstellungen!$C$3,5,0)),Einstellungen!$F$13:$F$32)))</f>
        <v/>
      </c>
      <c r="P510" s="49">
        <f>IF(OR(A510="",D510=""),0,MAX(0,NETWORKDAYS(MAX(D510,DATE(Einstellungen!$C$3,5,1)),MIN(J510,DATE(Einstellungen!$C$3,6,0)),Einstellungen!$F$13:$F$32)))</f>
        <v/>
      </c>
      <c r="Q510" s="49">
        <f>IF(OR(A510="",D510=""),0,MAX(0,NETWORKDAYS(MAX(D510,DATE(Einstellungen!$C$3,6,1)),MIN(J510,DATE(Einstellungen!$C$3,7,0)),Einstellungen!$F$13:$F$32)))</f>
        <v/>
      </c>
      <c r="R510" s="49">
        <f>IF(OR(A510="",D510=""),0,MAX(0,NETWORKDAYS(MAX(D510,DATE(Einstellungen!$C$3,7,1)),MIN(J510,DATE(Einstellungen!$C$3,8,0)),Einstellungen!$F$13:$F$32)))</f>
        <v/>
      </c>
      <c r="S510" s="49">
        <f>IF(OR(A510="",D510=""),0,MAX(0,NETWORKDAYS(MAX(D510,DATE(Einstellungen!$C$3,8,1)),MIN(J510,DATE(Einstellungen!$C$3,9,0)),Einstellungen!$F$13:$F$32)))</f>
        <v/>
      </c>
      <c r="T510" s="49">
        <f>IF(OR(A510="",D510=""),0,MAX(0,NETWORKDAYS(MAX(D510,DATE(Einstellungen!$C$3,9,1)),MIN(J510,DATE(Einstellungen!$C$3,10,0)),Einstellungen!$F$13:$F$32)))</f>
        <v/>
      </c>
      <c r="U510" s="49">
        <f>IF(OR(A510="",D510=""),0,MAX(0,NETWORKDAYS(MAX(D510,DATE(Einstellungen!$C$3,10,1)),MIN(J510,DATE(Einstellungen!$C$3,11,0)),Einstellungen!$F$13:$F$32)))</f>
        <v/>
      </c>
      <c r="V510" s="49">
        <f>IF(OR(A510="",D510=""),0,MAX(0,NETWORKDAYS(MAX(D510,DATE(Einstellungen!$C$3,11,1)),MIN(J510,DATE(Einstellungen!$C$3,12,0)),Einstellungen!$F$13:$F$32)))</f>
        <v/>
      </c>
      <c r="W510" s="49">
        <f>IF(OR(A510="",D510=""),0,MAX(0,NETWORKDAYS(MAX(D510,DATE(Einstellungen!$C$3,12,1)),MIN(J510,DATE(Einstellungen!$C$3,13,0)),Einstellungen!$F$13:$F$32)))</f>
        <v/>
      </c>
      <c r="X510" s="50">
        <f>L510*K510</f>
        <v/>
      </c>
      <c r="Y510" s="50">
        <f>M510*K510</f>
        <v/>
      </c>
      <c r="Z510" s="50">
        <f>N510*K510</f>
        <v/>
      </c>
      <c r="AA510" s="50">
        <f>O510*K510</f>
        <v/>
      </c>
      <c r="AB510" s="50">
        <f>P510*K510</f>
        <v/>
      </c>
      <c r="AC510" s="50">
        <f>Q510*K510</f>
        <v/>
      </c>
      <c r="AD510" s="50">
        <f>R510*K510</f>
        <v/>
      </c>
      <c r="AE510" s="50">
        <f>S510*K510</f>
        <v/>
      </c>
      <c r="AF510" s="50">
        <f>T510*K510</f>
        <v/>
      </c>
      <c r="AG510" s="50">
        <f>U510*K510</f>
        <v/>
      </c>
      <c r="AH510" s="50">
        <f>V510*K510</f>
        <v/>
      </c>
      <c r="AI510" s="50">
        <f>W510*K510</f>
        <v/>
      </c>
    </row>
    <row r="511">
      <c r="A511" s="25" t="n"/>
      <c r="B511" s="45">
        <f>IF(A511="","",IFERROR(INDEX(Mitarbeiter!$B$6:$B$205,MATCH($A511,Mitarbeiter!$A$6:$A$205,0)),"?"))</f>
        <v/>
      </c>
      <c r="C511" s="46" t="n"/>
      <c r="D511" s="26" t="n"/>
      <c r="E511" s="26" t="n"/>
      <c r="F511" s="24">
        <f>IF(A511="","",SUM(L511:W511))</f>
        <v/>
      </c>
      <c r="G511" s="36">
        <f>IF(A511="","",SUM(X511:AI511))</f>
        <v/>
      </c>
      <c r="H511" s="8">
        <f>IF(A511="","",IF(ISNA(MATCH(A511,Mitarbeiter!$A$6:$A$205,0)),"Pers.-Nr. unbekannt",IF(D511="","Von fehlt",IF(AND(C511&lt;&gt;Einstellungen!$C$4,C511&lt;&gt;Einstellungen!$C$5),"Objekt fehlt",IF(J511&lt;D511,"Bis vor Von",IF(D511&lt;INDEX(Mitarbeiter!$C$6:$C$205,MATCH($A511,Mitarbeiter!$A$6:$A$205,0)),"vor Eintritt",IF(AND(INDEX(Mitarbeiter!$D$6:$D$205,MATCH($A511,Mitarbeiter!$A$6:$A$205,0))&lt;&gt;"",D511&gt;INDEX(Mitarbeiter!$D$6:$D$205,MATCH($A511,Mitarbeiter!$A$6:$A$205,0))),"nach Austritt",IF(E511="","offen","ok"))))))))</f>
        <v/>
      </c>
      <c r="J511" s="47">
        <f>IF(A511="","",IF(E511="",Einstellungen!$C$9,E511))</f>
        <v/>
      </c>
      <c r="K511" s="48">
        <f>IF(A511="",0,IFERROR(INDEX(Mitarbeiter!$F$6:$F$205,MATCH($A511,Mitarbeiter!$A$6:$A$205,0)),0))</f>
        <v/>
      </c>
      <c r="L511" s="49">
        <f>IF(OR(A511="",D511=""),0,MAX(0,NETWORKDAYS(MAX(D511,DATE(Einstellungen!$C$3,1,1)),MIN(J511,DATE(Einstellungen!$C$3,2,0)),Einstellungen!$F$13:$F$32)))</f>
        <v/>
      </c>
      <c r="M511" s="49">
        <f>IF(OR(A511="",D511=""),0,MAX(0,NETWORKDAYS(MAX(D511,DATE(Einstellungen!$C$3,2,1)),MIN(J511,DATE(Einstellungen!$C$3,3,0)),Einstellungen!$F$13:$F$32)))</f>
        <v/>
      </c>
      <c r="N511" s="49">
        <f>IF(OR(A511="",D511=""),0,MAX(0,NETWORKDAYS(MAX(D511,DATE(Einstellungen!$C$3,3,1)),MIN(J511,DATE(Einstellungen!$C$3,4,0)),Einstellungen!$F$13:$F$32)))</f>
        <v/>
      </c>
      <c r="O511" s="49">
        <f>IF(OR(A511="",D511=""),0,MAX(0,NETWORKDAYS(MAX(D511,DATE(Einstellungen!$C$3,4,1)),MIN(J511,DATE(Einstellungen!$C$3,5,0)),Einstellungen!$F$13:$F$32)))</f>
        <v/>
      </c>
      <c r="P511" s="49">
        <f>IF(OR(A511="",D511=""),0,MAX(0,NETWORKDAYS(MAX(D511,DATE(Einstellungen!$C$3,5,1)),MIN(J511,DATE(Einstellungen!$C$3,6,0)),Einstellungen!$F$13:$F$32)))</f>
        <v/>
      </c>
      <c r="Q511" s="49">
        <f>IF(OR(A511="",D511=""),0,MAX(0,NETWORKDAYS(MAX(D511,DATE(Einstellungen!$C$3,6,1)),MIN(J511,DATE(Einstellungen!$C$3,7,0)),Einstellungen!$F$13:$F$32)))</f>
        <v/>
      </c>
      <c r="R511" s="49">
        <f>IF(OR(A511="",D511=""),0,MAX(0,NETWORKDAYS(MAX(D511,DATE(Einstellungen!$C$3,7,1)),MIN(J511,DATE(Einstellungen!$C$3,8,0)),Einstellungen!$F$13:$F$32)))</f>
        <v/>
      </c>
      <c r="S511" s="49">
        <f>IF(OR(A511="",D511=""),0,MAX(0,NETWORKDAYS(MAX(D511,DATE(Einstellungen!$C$3,8,1)),MIN(J511,DATE(Einstellungen!$C$3,9,0)),Einstellungen!$F$13:$F$32)))</f>
        <v/>
      </c>
      <c r="T511" s="49">
        <f>IF(OR(A511="",D511=""),0,MAX(0,NETWORKDAYS(MAX(D511,DATE(Einstellungen!$C$3,9,1)),MIN(J511,DATE(Einstellungen!$C$3,10,0)),Einstellungen!$F$13:$F$32)))</f>
        <v/>
      </c>
      <c r="U511" s="49">
        <f>IF(OR(A511="",D511=""),0,MAX(0,NETWORKDAYS(MAX(D511,DATE(Einstellungen!$C$3,10,1)),MIN(J511,DATE(Einstellungen!$C$3,11,0)),Einstellungen!$F$13:$F$32)))</f>
        <v/>
      </c>
      <c r="V511" s="49">
        <f>IF(OR(A511="",D511=""),0,MAX(0,NETWORKDAYS(MAX(D511,DATE(Einstellungen!$C$3,11,1)),MIN(J511,DATE(Einstellungen!$C$3,12,0)),Einstellungen!$F$13:$F$32)))</f>
        <v/>
      </c>
      <c r="W511" s="49">
        <f>IF(OR(A511="",D511=""),0,MAX(0,NETWORKDAYS(MAX(D511,DATE(Einstellungen!$C$3,12,1)),MIN(J511,DATE(Einstellungen!$C$3,13,0)),Einstellungen!$F$13:$F$32)))</f>
        <v/>
      </c>
      <c r="X511" s="50">
        <f>L511*K511</f>
        <v/>
      </c>
      <c r="Y511" s="50">
        <f>M511*K511</f>
        <v/>
      </c>
      <c r="Z511" s="50">
        <f>N511*K511</f>
        <v/>
      </c>
      <c r="AA511" s="50">
        <f>O511*K511</f>
        <v/>
      </c>
      <c r="AB511" s="50">
        <f>P511*K511</f>
        <v/>
      </c>
      <c r="AC511" s="50">
        <f>Q511*K511</f>
        <v/>
      </c>
      <c r="AD511" s="50">
        <f>R511*K511</f>
        <v/>
      </c>
      <c r="AE511" s="50">
        <f>S511*K511</f>
        <v/>
      </c>
      <c r="AF511" s="50">
        <f>T511*K511</f>
        <v/>
      </c>
      <c r="AG511" s="50">
        <f>U511*K511</f>
        <v/>
      </c>
      <c r="AH511" s="50">
        <f>V511*K511</f>
        <v/>
      </c>
      <c r="AI511" s="50">
        <f>W511*K511</f>
        <v/>
      </c>
    </row>
    <row r="512">
      <c r="A512" s="25" t="n"/>
      <c r="B512" s="45">
        <f>IF(A512="","",IFERROR(INDEX(Mitarbeiter!$B$6:$B$205,MATCH($A512,Mitarbeiter!$A$6:$A$205,0)),"?"))</f>
        <v/>
      </c>
      <c r="C512" s="46" t="n"/>
      <c r="D512" s="26" t="n"/>
      <c r="E512" s="26" t="n"/>
      <c r="F512" s="24">
        <f>IF(A512="","",SUM(L512:W512))</f>
        <v/>
      </c>
      <c r="G512" s="36">
        <f>IF(A512="","",SUM(X512:AI512))</f>
        <v/>
      </c>
      <c r="H512" s="8">
        <f>IF(A512="","",IF(ISNA(MATCH(A512,Mitarbeiter!$A$6:$A$205,0)),"Pers.-Nr. unbekannt",IF(D512="","Von fehlt",IF(AND(C512&lt;&gt;Einstellungen!$C$4,C512&lt;&gt;Einstellungen!$C$5),"Objekt fehlt",IF(J512&lt;D512,"Bis vor Von",IF(D512&lt;INDEX(Mitarbeiter!$C$6:$C$205,MATCH($A512,Mitarbeiter!$A$6:$A$205,0)),"vor Eintritt",IF(AND(INDEX(Mitarbeiter!$D$6:$D$205,MATCH($A512,Mitarbeiter!$A$6:$A$205,0))&lt;&gt;"",D512&gt;INDEX(Mitarbeiter!$D$6:$D$205,MATCH($A512,Mitarbeiter!$A$6:$A$205,0))),"nach Austritt",IF(E512="","offen","ok"))))))))</f>
        <v/>
      </c>
      <c r="J512" s="47">
        <f>IF(A512="","",IF(E512="",Einstellungen!$C$9,E512))</f>
        <v/>
      </c>
      <c r="K512" s="48">
        <f>IF(A512="",0,IFERROR(INDEX(Mitarbeiter!$F$6:$F$205,MATCH($A512,Mitarbeiter!$A$6:$A$205,0)),0))</f>
        <v/>
      </c>
      <c r="L512" s="49">
        <f>IF(OR(A512="",D512=""),0,MAX(0,NETWORKDAYS(MAX(D512,DATE(Einstellungen!$C$3,1,1)),MIN(J512,DATE(Einstellungen!$C$3,2,0)),Einstellungen!$F$13:$F$32)))</f>
        <v/>
      </c>
      <c r="M512" s="49">
        <f>IF(OR(A512="",D512=""),0,MAX(0,NETWORKDAYS(MAX(D512,DATE(Einstellungen!$C$3,2,1)),MIN(J512,DATE(Einstellungen!$C$3,3,0)),Einstellungen!$F$13:$F$32)))</f>
        <v/>
      </c>
      <c r="N512" s="49">
        <f>IF(OR(A512="",D512=""),0,MAX(0,NETWORKDAYS(MAX(D512,DATE(Einstellungen!$C$3,3,1)),MIN(J512,DATE(Einstellungen!$C$3,4,0)),Einstellungen!$F$13:$F$32)))</f>
        <v/>
      </c>
      <c r="O512" s="49">
        <f>IF(OR(A512="",D512=""),0,MAX(0,NETWORKDAYS(MAX(D512,DATE(Einstellungen!$C$3,4,1)),MIN(J512,DATE(Einstellungen!$C$3,5,0)),Einstellungen!$F$13:$F$32)))</f>
        <v/>
      </c>
      <c r="P512" s="49">
        <f>IF(OR(A512="",D512=""),0,MAX(0,NETWORKDAYS(MAX(D512,DATE(Einstellungen!$C$3,5,1)),MIN(J512,DATE(Einstellungen!$C$3,6,0)),Einstellungen!$F$13:$F$32)))</f>
        <v/>
      </c>
      <c r="Q512" s="49">
        <f>IF(OR(A512="",D512=""),0,MAX(0,NETWORKDAYS(MAX(D512,DATE(Einstellungen!$C$3,6,1)),MIN(J512,DATE(Einstellungen!$C$3,7,0)),Einstellungen!$F$13:$F$32)))</f>
        <v/>
      </c>
      <c r="R512" s="49">
        <f>IF(OR(A512="",D512=""),0,MAX(0,NETWORKDAYS(MAX(D512,DATE(Einstellungen!$C$3,7,1)),MIN(J512,DATE(Einstellungen!$C$3,8,0)),Einstellungen!$F$13:$F$32)))</f>
        <v/>
      </c>
      <c r="S512" s="49">
        <f>IF(OR(A512="",D512=""),0,MAX(0,NETWORKDAYS(MAX(D512,DATE(Einstellungen!$C$3,8,1)),MIN(J512,DATE(Einstellungen!$C$3,9,0)),Einstellungen!$F$13:$F$32)))</f>
        <v/>
      </c>
      <c r="T512" s="49">
        <f>IF(OR(A512="",D512=""),0,MAX(0,NETWORKDAYS(MAX(D512,DATE(Einstellungen!$C$3,9,1)),MIN(J512,DATE(Einstellungen!$C$3,10,0)),Einstellungen!$F$13:$F$32)))</f>
        <v/>
      </c>
      <c r="U512" s="49">
        <f>IF(OR(A512="",D512=""),0,MAX(0,NETWORKDAYS(MAX(D512,DATE(Einstellungen!$C$3,10,1)),MIN(J512,DATE(Einstellungen!$C$3,11,0)),Einstellungen!$F$13:$F$32)))</f>
        <v/>
      </c>
      <c r="V512" s="49">
        <f>IF(OR(A512="",D512=""),0,MAX(0,NETWORKDAYS(MAX(D512,DATE(Einstellungen!$C$3,11,1)),MIN(J512,DATE(Einstellungen!$C$3,12,0)),Einstellungen!$F$13:$F$32)))</f>
        <v/>
      </c>
      <c r="W512" s="49">
        <f>IF(OR(A512="",D512=""),0,MAX(0,NETWORKDAYS(MAX(D512,DATE(Einstellungen!$C$3,12,1)),MIN(J512,DATE(Einstellungen!$C$3,13,0)),Einstellungen!$F$13:$F$32)))</f>
        <v/>
      </c>
      <c r="X512" s="50">
        <f>L512*K512</f>
        <v/>
      </c>
      <c r="Y512" s="50">
        <f>M512*K512</f>
        <v/>
      </c>
      <c r="Z512" s="50">
        <f>N512*K512</f>
        <v/>
      </c>
      <c r="AA512" s="50">
        <f>O512*K512</f>
        <v/>
      </c>
      <c r="AB512" s="50">
        <f>P512*K512</f>
        <v/>
      </c>
      <c r="AC512" s="50">
        <f>Q512*K512</f>
        <v/>
      </c>
      <c r="AD512" s="50">
        <f>R512*K512</f>
        <v/>
      </c>
      <c r="AE512" s="50">
        <f>S512*K512</f>
        <v/>
      </c>
      <c r="AF512" s="50">
        <f>T512*K512</f>
        <v/>
      </c>
      <c r="AG512" s="50">
        <f>U512*K512</f>
        <v/>
      </c>
      <c r="AH512" s="50">
        <f>V512*K512</f>
        <v/>
      </c>
      <c r="AI512" s="50">
        <f>W512*K512</f>
        <v/>
      </c>
    </row>
    <row r="513">
      <c r="A513" s="25" t="n"/>
      <c r="B513" s="45">
        <f>IF(A513="","",IFERROR(INDEX(Mitarbeiter!$B$6:$B$205,MATCH($A513,Mitarbeiter!$A$6:$A$205,0)),"?"))</f>
        <v/>
      </c>
      <c r="C513" s="46" t="n"/>
      <c r="D513" s="26" t="n"/>
      <c r="E513" s="26" t="n"/>
      <c r="F513" s="24">
        <f>IF(A513="","",SUM(L513:W513))</f>
        <v/>
      </c>
      <c r="G513" s="36">
        <f>IF(A513="","",SUM(X513:AI513))</f>
        <v/>
      </c>
      <c r="H513" s="8">
        <f>IF(A513="","",IF(ISNA(MATCH(A513,Mitarbeiter!$A$6:$A$205,0)),"Pers.-Nr. unbekannt",IF(D513="","Von fehlt",IF(AND(C513&lt;&gt;Einstellungen!$C$4,C513&lt;&gt;Einstellungen!$C$5),"Objekt fehlt",IF(J513&lt;D513,"Bis vor Von",IF(D513&lt;INDEX(Mitarbeiter!$C$6:$C$205,MATCH($A513,Mitarbeiter!$A$6:$A$205,0)),"vor Eintritt",IF(AND(INDEX(Mitarbeiter!$D$6:$D$205,MATCH($A513,Mitarbeiter!$A$6:$A$205,0))&lt;&gt;"",D513&gt;INDEX(Mitarbeiter!$D$6:$D$205,MATCH($A513,Mitarbeiter!$A$6:$A$205,0))),"nach Austritt",IF(E513="","offen","ok"))))))))</f>
        <v/>
      </c>
      <c r="J513" s="47">
        <f>IF(A513="","",IF(E513="",Einstellungen!$C$9,E513))</f>
        <v/>
      </c>
      <c r="K513" s="48">
        <f>IF(A513="",0,IFERROR(INDEX(Mitarbeiter!$F$6:$F$205,MATCH($A513,Mitarbeiter!$A$6:$A$205,0)),0))</f>
        <v/>
      </c>
      <c r="L513" s="49">
        <f>IF(OR(A513="",D513=""),0,MAX(0,NETWORKDAYS(MAX(D513,DATE(Einstellungen!$C$3,1,1)),MIN(J513,DATE(Einstellungen!$C$3,2,0)),Einstellungen!$F$13:$F$32)))</f>
        <v/>
      </c>
      <c r="M513" s="49">
        <f>IF(OR(A513="",D513=""),0,MAX(0,NETWORKDAYS(MAX(D513,DATE(Einstellungen!$C$3,2,1)),MIN(J513,DATE(Einstellungen!$C$3,3,0)),Einstellungen!$F$13:$F$32)))</f>
        <v/>
      </c>
      <c r="N513" s="49">
        <f>IF(OR(A513="",D513=""),0,MAX(0,NETWORKDAYS(MAX(D513,DATE(Einstellungen!$C$3,3,1)),MIN(J513,DATE(Einstellungen!$C$3,4,0)),Einstellungen!$F$13:$F$32)))</f>
        <v/>
      </c>
      <c r="O513" s="49">
        <f>IF(OR(A513="",D513=""),0,MAX(0,NETWORKDAYS(MAX(D513,DATE(Einstellungen!$C$3,4,1)),MIN(J513,DATE(Einstellungen!$C$3,5,0)),Einstellungen!$F$13:$F$32)))</f>
        <v/>
      </c>
      <c r="P513" s="49">
        <f>IF(OR(A513="",D513=""),0,MAX(0,NETWORKDAYS(MAX(D513,DATE(Einstellungen!$C$3,5,1)),MIN(J513,DATE(Einstellungen!$C$3,6,0)),Einstellungen!$F$13:$F$32)))</f>
        <v/>
      </c>
      <c r="Q513" s="49">
        <f>IF(OR(A513="",D513=""),0,MAX(0,NETWORKDAYS(MAX(D513,DATE(Einstellungen!$C$3,6,1)),MIN(J513,DATE(Einstellungen!$C$3,7,0)),Einstellungen!$F$13:$F$32)))</f>
        <v/>
      </c>
      <c r="R513" s="49">
        <f>IF(OR(A513="",D513=""),0,MAX(0,NETWORKDAYS(MAX(D513,DATE(Einstellungen!$C$3,7,1)),MIN(J513,DATE(Einstellungen!$C$3,8,0)),Einstellungen!$F$13:$F$32)))</f>
        <v/>
      </c>
      <c r="S513" s="49">
        <f>IF(OR(A513="",D513=""),0,MAX(0,NETWORKDAYS(MAX(D513,DATE(Einstellungen!$C$3,8,1)),MIN(J513,DATE(Einstellungen!$C$3,9,0)),Einstellungen!$F$13:$F$32)))</f>
        <v/>
      </c>
      <c r="T513" s="49">
        <f>IF(OR(A513="",D513=""),0,MAX(0,NETWORKDAYS(MAX(D513,DATE(Einstellungen!$C$3,9,1)),MIN(J513,DATE(Einstellungen!$C$3,10,0)),Einstellungen!$F$13:$F$32)))</f>
        <v/>
      </c>
      <c r="U513" s="49">
        <f>IF(OR(A513="",D513=""),0,MAX(0,NETWORKDAYS(MAX(D513,DATE(Einstellungen!$C$3,10,1)),MIN(J513,DATE(Einstellungen!$C$3,11,0)),Einstellungen!$F$13:$F$32)))</f>
        <v/>
      </c>
      <c r="V513" s="49">
        <f>IF(OR(A513="",D513=""),0,MAX(0,NETWORKDAYS(MAX(D513,DATE(Einstellungen!$C$3,11,1)),MIN(J513,DATE(Einstellungen!$C$3,12,0)),Einstellungen!$F$13:$F$32)))</f>
        <v/>
      </c>
      <c r="W513" s="49">
        <f>IF(OR(A513="",D513=""),0,MAX(0,NETWORKDAYS(MAX(D513,DATE(Einstellungen!$C$3,12,1)),MIN(J513,DATE(Einstellungen!$C$3,13,0)),Einstellungen!$F$13:$F$32)))</f>
        <v/>
      </c>
      <c r="X513" s="50">
        <f>L513*K513</f>
        <v/>
      </c>
      <c r="Y513" s="50">
        <f>M513*K513</f>
        <v/>
      </c>
      <c r="Z513" s="50">
        <f>N513*K513</f>
        <v/>
      </c>
      <c r="AA513" s="50">
        <f>O513*K513</f>
        <v/>
      </c>
      <c r="AB513" s="50">
        <f>P513*K513</f>
        <v/>
      </c>
      <c r="AC513" s="50">
        <f>Q513*K513</f>
        <v/>
      </c>
      <c r="AD513" s="50">
        <f>R513*K513</f>
        <v/>
      </c>
      <c r="AE513" s="50">
        <f>S513*K513</f>
        <v/>
      </c>
      <c r="AF513" s="50">
        <f>T513*K513</f>
        <v/>
      </c>
      <c r="AG513" s="50">
        <f>U513*K513</f>
        <v/>
      </c>
      <c r="AH513" s="50">
        <f>V513*K513</f>
        <v/>
      </c>
      <c r="AI513" s="50">
        <f>W513*K513</f>
        <v/>
      </c>
    </row>
    <row r="514">
      <c r="A514" s="25" t="n"/>
      <c r="B514" s="45">
        <f>IF(A514="","",IFERROR(INDEX(Mitarbeiter!$B$6:$B$205,MATCH($A514,Mitarbeiter!$A$6:$A$205,0)),"?"))</f>
        <v/>
      </c>
      <c r="C514" s="46" t="n"/>
      <c r="D514" s="26" t="n"/>
      <c r="E514" s="26" t="n"/>
      <c r="F514" s="24">
        <f>IF(A514="","",SUM(L514:W514))</f>
        <v/>
      </c>
      <c r="G514" s="36">
        <f>IF(A514="","",SUM(X514:AI514))</f>
        <v/>
      </c>
      <c r="H514" s="8">
        <f>IF(A514="","",IF(ISNA(MATCH(A514,Mitarbeiter!$A$6:$A$205,0)),"Pers.-Nr. unbekannt",IF(D514="","Von fehlt",IF(AND(C514&lt;&gt;Einstellungen!$C$4,C514&lt;&gt;Einstellungen!$C$5),"Objekt fehlt",IF(J514&lt;D514,"Bis vor Von",IF(D514&lt;INDEX(Mitarbeiter!$C$6:$C$205,MATCH($A514,Mitarbeiter!$A$6:$A$205,0)),"vor Eintritt",IF(AND(INDEX(Mitarbeiter!$D$6:$D$205,MATCH($A514,Mitarbeiter!$A$6:$A$205,0))&lt;&gt;"",D514&gt;INDEX(Mitarbeiter!$D$6:$D$205,MATCH($A514,Mitarbeiter!$A$6:$A$205,0))),"nach Austritt",IF(E514="","offen","ok"))))))))</f>
        <v/>
      </c>
      <c r="J514" s="47">
        <f>IF(A514="","",IF(E514="",Einstellungen!$C$9,E514))</f>
        <v/>
      </c>
      <c r="K514" s="48">
        <f>IF(A514="",0,IFERROR(INDEX(Mitarbeiter!$F$6:$F$205,MATCH($A514,Mitarbeiter!$A$6:$A$205,0)),0))</f>
        <v/>
      </c>
      <c r="L514" s="49">
        <f>IF(OR(A514="",D514=""),0,MAX(0,NETWORKDAYS(MAX(D514,DATE(Einstellungen!$C$3,1,1)),MIN(J514,DATE(Einstellungen!$C$3,2,0)),Einstellungen!$F$13:$F$32)))</f>
        <v/>
      </c>
      <c r="M514" s="49">
        <f>IF(OR(A514="",D514=""),0,MAX(0,NETWORKDAYS(MAX(D514,DATE(Einstellungen!$C$3,2,1)),MIN(J514,DATE(Einstellungen!$C$3,3,0)),Einstellungen!$F$13:$F$32)))</f>
        <v/>
      </c>
      <c r="N514" s="49">
        <f>IF(OR(A514="",D514=""),0,MAX(0,NETWORKDAYS(MAX(D514,DATE(Einstellungen!$C$3,3,1)),MIN(J514,DATE(Einstellungen!$C$3,4,0)),Einstellungen!$F$13:$F$32)))</f>
        <v/>
      </c>
      <c r="O514" s="49">
        <f>IF(OR(A514="",D514=""),0,MAX(0,NETWORKDAYS(MAX(D514,DATE(Einstellungen!$C$3,4,1)),MIN(J514,DATE(Einstellungen!$C$3,5,0)),Einstellungen!$F$13:$F$32)))</f>
        <v/>
      </c>
      <c r="P514" s="49">
        <f>IF(OR(A514="",D514=""),0,MAX(0,NETWORKDAYS(MAX(D514,DATE(Einstellungen!$C$3,5,1)),MIN(J514,DATE(Einstellungen!$C$3,6,0)),Einstellungen!$F$13:$F$32)))</f>
        <v/>
      </c>
      <c r="Q514" s="49">
        <f>IF(OR(A514="",D514=""),0,MAX(0,NETWORKDAYS(MAX(D514,DATE(Einstellungen!$C$3,6,1)),MIN(J514,DATE(Einstellungen!$C$3,7,0)),Einstellungen!$F$13:$F$32)))</f>
        <v/>
      </c>
      <c r="R514" s="49">
        <f>IF(OR(A514="",D514=""),0,MAX(0,NETWORKDAYS(MAX(D514,DATE(Einstellungen!$C$3,7,1)),MIN(J514,DATE(Einstellungen!$C$3,8,0)),Einstellungen!$F$13:$F$32)))</f>
        <v/>
      </c>
      <c r="S514" s="49">
        <f>IF(OR(A514="",D514=""),0,MAX(0,NETWORKDAYS(MAX(D514,DATE(Einstellungen!$C$3,8,1)),MIN(J514,DATE(Einstellungen!$C$3,9,0)),Einstellungen!$F$13:$F$32)))</f>
        <v/>
      </c>
      <c r="T514" s="49">
        <f>IF(OR(A514="",D514=""),0,MAX(0,NETWORKDAYS(MAX(D514,DATE(Einstellungen!$C$3,9,1)),MIN(J514,DATE(Einstellungen!$C$3,10,0)),Einstellungen!$F$13:$F$32)))</f>
        <v/>
      </c>
      <c r="U514" s="49">
        <f>IF(OR(A514="",D514=""),0,MAX(0,NETWORKDAYS(MAX(D514,DATE(Einstellungen!$C$3,10,1)),MIN(J514,DATE(Einstellungen!$C$3,11,0)),Einstellungen!$F$13:$F$32)))</f>
        <v/>
      </c>
      <c r="V514" s="49">
        <f>IF(OR(A514="",D514=""),0,MAX(0,NETWORKDAYS(MAX(D514,DATE(Einstellungen!$C$3,11,1)),MIN(J514,DATE(Einstellungen!$C$3,12,0)),Einstellungen!$F$13:$F$32)))</f>
        <v/>
      </c>
      <c r="W514" s="49">
        <f>IF(OR(A514="",D514=""),0,MAX(0,NETWORKDAYS(MAX(D514,DATE(Einstellungen!$C$3,12,1)),MIN(J514,DATE(Einstellungen!$C$3,13,0)),Einstellungen!$F$13:$F$32)))</f>
        <v/>
      </c>
      <c r="X514" s="50">
        <f>L514*K514</f>
        <v/>
      </c>
      <c r="Y514" s="50">
        <f>M514*K514</f>
        <v/>
      </c>
      <c r="Z514" s="50">
        <f>N514*K514</f>
        <v/>
      </c>
      <c r="AA514" s="50">
        <f>O514*K514</f>
        <v/>
      </c>
      <c r="AB514" s="50">
        <f>P514*K514</f>
        <v/>
      </c>
      <c r="AC514" s="50">
        <f>Q514*K514</f>
        <v/>
      </c>
      <c r="AD514" s="50">
        <f>R514*K514</f>
        <v/>
      </c>
      <c r="AE514" s="50">
        <f>S514*K514</f>
        <v/>
      </c>
      <c r="AF514" s="50">
        <f>T514*K514</f>
        <v/>
      </c>
      <c r="AG514" s="50">
        <f>U514*K514</f>
        <v/>
      </c>
      <c r="AH514" s="50">
        <f>V514*K514</f>
        <v/>
      </c>
      <c r="AI514" s="50">
        <f>W514*K514</f>
        <v/>
      </c>
    </row>
    <row r="515">
      <c r="A515" s="25" t="n"/>
      <c r="B515" s="45">
        <f>IF(A515="","",IFERROR(INDEX(Mitarbeiter!$B$6:$B$205,MATCH($A515,Mitarbeiter!$A$6:$A$205,0)),"?"))</f>
        <v/>
      </c>
      <c r="C515" s="46" t="n"/>
      <c r="D515" s="26" t="n"/>
      <c r="E515" s="26" t="n"/>
      <c r="F515" s="24">
        <f>IF(A515="","",SUM(L515:W515))</f>
        <v/>
      </c>
      <c r="G515" s="36">
        <f>IF(A515="","",SUM(X515:AI515))</f>
        <v/>
      </c>
      <c r="H515" s="8">
        <f>IF(A515="","",IF(ISNA(MATCH(A515,Mitarbeiter!$A$6:$A$205,0)),"Pers.-Nr. unbekannt",IF(D515="","Von fehlt",IF(AND(C515&lt;&gt;Einstellungen!$C$4,C515&lt;&gt;Einstellungen!$C$5),"Objekt fehlt",IF(J515&lt;D515,"Bis vor Von",IF(D515&lt;INDEX(Mitarbeiter!$C$6:$C$205,MATCH($A515,Mitarbeiter!$A$6:$A$205,0)),"vor Eintritt",IF(AND(INDEX(Mitarbeiter!$D$6:$D$205,MATCH($A515,Mitarbeiter!$A$6:$A$205,0))&lt;&gt;"",D515&gt;INDEX(Mitarbeiter!$D$6:$D$205,MATCH($A515,Mitarbeiter!$A$6:$A$205,0))),"nach Austritt",IF(E515="","offen","ok"))))))))</f>
        <v/>
      </c>
      <c r="J515" s="47">
        <f>IF(A515="","",IF(E515="",Einstellungen!$C$9,E515))</f>
        <v/>
      </c>
      <c r="K515" s="48">
        <f>IF(A515="",0,IFERROR(INDEX(Mitarbeiter!$F$6:$F$205,MATCH($A515,Mitarbeiter!$A$6:$A$205,0)),0))</f>
        <v/>
      </c>
      <c r="L515" s="49">
        <f>IF(OR(A515="",D515=""),0,MAX(0,NETWORKDAYS(MAX(D515,DATE(Einstellungen!$C$3,1,1)),MIN(J515,DATE(Einstellungen!$C$3,2,0)),Einstellungen!$F$13:$F$32)))</f>
        <v/>
      </c>
      <c r="M515" s="49">
        <f>IF(OR(A515="",D515=""),0,MAX(0,NETWORKDAYS(MAX(D515,DATE(Einstellungen!$C$3,2,1)),MIN(J515,DATE(Einstellungen!$C$3,3,0)),Einstellungen!$F$13:$F$32)))</f>
        <v/>
      </c>
      <c r="N515" s="49">
        <f>IF(OR(A515="",D515=""),0,MAX(0,NETWORKDAYS(MAX(D515,DATE(Einstellungen!$C$3,3,1)),MIN(J515,DATE(Einstellungen!$C$3,4,0)),Einstellungen!$F$13:$F$32)))</f>
        <v/>
      </c>
      <c r="O515" s="49">
        <f>IF(OR(A515="",D515=""),0,MAX(0,NETWORKDAYS(MAX(D515,DATE(Einstellungen!$C$3,4,1)),MIN(J515,DATE(Einstellungen!$C$3,5,0)),Einstellungen!$F$13:$F$32)))</f>
        <v/>
      </c>
      <c r="P515" s="49">
        <f>IF(OR(A515="",D515=""),0,MAX(0,NETWORKDAYS(MAX(D515,DATE(Einstellungen!$C$3,5,1)),MIN(J515,DATE(Einstellungen!$C$3,6,0)),Einstellungen!$F$13:$F$32)))</f>
        <v/>
      </c>
      <c r="Q515" s="49">
        <f>IF(OR(A515="",D515=""),0,MAX(0,NETWORKDAYS(MAX(D515,DATE(Einstellungen!$C$3,6,1)),MIN(J515,DATE(Einstellungen!$C$3,7,0)),Einstellungen!$F$13:$F$32)))</f>
        <v/>
      </c>
      <c r="R515" s="49">
        <f>IF(OR(A515="",D515=""),0,MAX(0,NETWORKDAYS(MAX(D515,DATE(Einstellungen!$C$3,7,1)),MIN(J515,DATE(Einstellungen!$C$3,8,0)),Einstellungen!$F$13:$F$32)))</f>
        <v/>
      </c>
      <c r="S515" s="49">
        <f>IF(OR(A515="",D515=""),0,MAX(0,NETWORKDAYS(MAX(D515,DATE(Einstellungen!$C$3,8,1)),MIN(J515,DATE(Einstellungen!$C$3,9,0)),Einstellungen!$F$13:$F$32)))</f>
        <v/>
      </c>
      <c r="T515" s="49">
        <f>IF(OR(A515="",D515=""),0,MAX(0,NETWORKDAYS(MAX(D515,DATE(Einstellungen!$C$3,9,1)),MIN(J515,DATE(Einstellungen!$C$3,10,0)),Einstellungen!$F$13:$F$32)))</f>
        <v/>
      </c>
      <c r="U515" s="49">
        <f>IF(OR(A515="",D515=""),0,MAX(0,NETWORKDAYS(MAX(D515,DATE(Einstellungen!$C$3,10,1)),MIN(J515,DATE(Einstellungen!$C$3,11,0)),Einstellungen!$F$13:$F$32)))</f>
        <v/>
      </c>
      <c r="V515" s="49">
        <f>IF(OR(A515="",D515=""),0,MAX(0,NETWORKDAYS(MAX(D515,DATE(Einstellungen!$C$3,11,1)),MIN(J515,DATE(Einstellungen!$C$3,12,0)),Einstellungen!$F$13:$F$32)))</f>
        <v/>
      </c>
      <c r="W515" s="49">
        <f>IF(OR(A515="",D515=""),0,MAX(0,NETWORKDAYS(MAX(D515,DATE(Einstellungen!$C$3,12,1)),MIN(J515,DATE(Einstellungen!$C$3,13,0)),Einstellungen!$F$13:$F$32)))</f>
        <v/>
      </c>
      <c r="X515" s="50">
        <f>L515*K515</f>
        <v/>
      </c>
      <c r="Y515" s="50">
        <f>M515*K515</f>
        <v/>
      </c>
      <c r="Z515" s="50">
        <f>N515*K515</f>
        <v/>
      </c>
      <c r="AA515" s="50">
        <f>O515*K515</f>
        <v/>
      </c>
      <c r="AB515" s="50">
        <f>P515*K515</f>
        <v/>
      </c>
      <c r="AC515" s="50">
        <f>Q515*K515</f>
        <v/>
      </c>
      <c r="AD515" s="50">
        <f>R515*K515</f>
        <v/>
      </c>
      <c r="AE515" s="50">
        <f>S515*K515</f>
        <v/>
      </c>
      <c r="AF515" s="50">
        <f>T515*K515</f>
        <v/>
      </c>
      <c r="AG515" s="50">
        <f>U515*K515</f>
        <v/>
      </c>
      <c r="AH515" s="50">
        <f>V515*K515</f>
        <v/>
      </c>
      <c r="AI515" s="50">
        <f>W515*K515</f>
        <v/>
      </c>
    </row>
    <row r="516">
      <c r="A516" s="25" t="n"/>
      <c r="B516" s="45">
        <f>IF(A516="","",IFERROR(INDEX(Mitarbeiter!$B$6:$B$205,MATCH($A516,Mitarbeiter!$A$6:$A$205,0)),"?"))</f>
        <v/>
      </c>
      <c r="C516" s="46" t="n"/>
      <c r="D516" s="26" t="n"/>
      <c r="E516" s="26" t="n"/>
      <c r="F516" s="24">
        <f>IF(A516="","",SUM(L516:W516))</f>
        <v/>
      </c>
      <c r="G516" s="36">
        <f>IF(A516="","",SUM(X516:AI516))</f>
        <v/>
      </c>
      <c r="H516" s="8">
        <f>IF(A516="","",IF(ISNA(MATCH(A516,Mitarbeiter!$A$6:$A$205,0)),"Pers.-Nr. unbekannt",IF(D516="","Von fehlt",IF(AND(C516&lt;&gt;Einstellungen!$C$4,C516&lt;&gt;Einstellungen!$C$5),"Objekt fehlt",IF(J516&lt;D516,"Bis vor Von",IF(D516&lt;INDEX(Mitarbeiter!$C$6:$C$205,MATCH($A516,Mitarbeiter!$A$6:$A$205,0)),"vor Eintritt",IF(AND(INDEX(Mitarbeiter!$D$6:$D$205,MATCH($A516,Mitarbeiter!$A$6:$A$205,0))&lt;&gt;"",D516&gt;INDEX(Mitarbeiter!$D$6:$D$205,MATCH($A516,Mitarbeiter!$A$6:$A$205,0))),"nach Austritt",IF(E516="","offen","ok"))))))))</f>
        <v/>
      </c>
      <c r="J516" s="47">
        <f>IF(A516="","",IF(E516="",Einstellungen!$C$9,E516))</f>
        <v/>
      </c>
      <c r="K516" s="48">
        <f>IF(A516="",0,IFERROR(INDEX(Mitarbeiter!$F$6:$F$205,MATCH($A516,Mitarbeiter!$A$6:$A$205,0)),0))</f>
        <v/>
      </c>
      <c r="L516" s="49">
        <f>IF(OR(A516="",D516=""),0,MAX(0,NETWORKDAYS(MAX(D516,DATE(Einstellungen!$C$3,1,1)),MIN(J516,DATE(Einstellungen!$C$3,2,0)),Einstellungen!$F$13:$F$32)))</f>
        <v/>
      </c>
      <c r="M516" s="49">
        <f>IF(OR(A516="",D516=""),0,MAX(0,NETWORKDAYS(MAX(D516,DATE(Einstellungen!$C$3,2,1)),MIN(J516,DATE(Einstellungen!$C$3,3,0)),Einstellungen!$F$13:$F$32)))</f>
        <v/>
      </c>
      <c r="N516" s="49">
        <f>IF(OR(A516="",D516=""),0,MAX(0,NETWORKDAYS(MAX(D516,DATE(Einstellungen!$C$3,3,1)),MIN(J516,DATE(Einstellungen!$C$3,4,0)),Einstellungen!$F$13:$F$32)))</f>
        <v/>
      </c>
      <c r="O516" s="49">
        <f>IF(OR(A516="",D516=""),0,MAX(0,NETWORKDAYS(MAX(D516,DATE(Einstellungen!$C$3,4,1)),MIN(J516,DATE(Einstellungen!$C$3,5,0)),Einstellungen!$F$13:$F$32)))</f>
        <v/>
      </c>
      <c r="P516" s="49">
        <f>IF(OR(A516="",D516=""),0,MAX(0,NETWORKDAYS(MAX(D516,DATE(Einstellungen!$C$3,5,1)),MIN(J516,DATE(Einstellungen!$C$3,6,0)),Einstellungen!$F$13:$F$32)))</f>
        <v/>
      </c>
      <c r="Q516" s="49">
        <f>IF(OR(A516="",D516=""),0,MAX(0,NETWORKDAYS(MAX(D516,DATE(Einstellungen!$C$3,6,1)),MIN(J516,DATE(Einstellungen!$C$3,7,0)),Einstellungen!$F$13:$F$32)))</f>
        <v/>
      </c>
      <c r="R516" s="49">
        <f>IF(OR(A516="",D516=""),0,MAX(0,NETWORKDAYS(MAX(D516,DATE(Einstellungen!$C$3,7,1)),MIN(J516,DATE(Einstellungen!$C$3,8,0)),Einstellungen!$F$13:$F$32)))</f>
        <v/>
      </c>
      <c r="S516" s="49">
        <f>IF(OR(A516="",D516=""),0,MAX(0,NETWORKDAYS(MAX(D516,DATE(Einstellungen!$C$3,8,1)),MIN(J516,DATE(Einstellungen!$C$3,9,0)),Einstellungen!$F$13:$F$32)))</f>
        <v/>
      </c>
      <c r="T516" s="49">
        <f>IF(OR(A516="",D516=""),0,MAX(0,NETWORKDAYS(MAX(D516,DATE(Einstellungen!$C$3,9,1)),MIN(J516,DATE(Einstellungen!$C$3,10,0)),Einstellungen!$F$13:$F$32)))</f>
        <v/>
      </c>
      <c r="U516" s="49">
        <f>IF(OR(A516="",D516=""),0,MAX(0,NETWORKDAYS(MAX(D516,DATE(Einstellungen!$C$3,10,1)),MIN(J516,DATE(Einstellungen!$C$3,11,0)),Einstellungen!$F$13:$F$32)))</f>
        <v/>
      </c>
      <c r="V516" s="49">
        <f>IF(OR(A516="",D516=""),0,MAX(0,NETWORKDAYS(MAX(D516,DATE(Einstellungen!$C$3,11,1)),MIN(J516,DATE(Einstellungen!$C$3,12,0)),Einstellungen!$F$13:$F$32)))</f>
        <v/>
      </c>
      <c r="W516" s="49">
        <f>IF(OR(A516="",D516=""),0,MAX(0,NETWORKDAYS(MAX(D516,DATE(Einstellungen!$C$3,12,1)),MIN(J516,DATE(Einstellungen!$C$3,13,0)),Einstellungen!$F$13:$F$32)))</f>
        <v/>
      </c>
      <c r="X516" s="50">
        <f>L516*K516</f>
        <v/>
      </c>
      <c r="Y516" s="50">
        <f>M516*K516</f>
        <v/>
      </c>
      <c r="Z516" s="50">
        <f>N516*K516</f>
        <v/>
      </c>
      <c r="AA516" s="50">
        <f>O516*K516</f>
        <v/>
      </c>
      <c r="AB516" s="50">
        <f>P516*K516</f>
        <v/>
      </c>
      <c r="AC516" s="50">
        <f>Q516*K516</f>
        <v/>
      </c>
      <c r="AD516" s="50">
        <f>R516*K516</f>
        <v/>
      </c>
      <c r="AE516" s="50">
        <f>S516*K516</f>
        <v/>
      </c>
      <c r="AF516" s="50">
        <f>T516*K516</f>
        <v/>
      </c>
      <c r="AG516" s="50">
        <f>U516*K516</f>
        <v/>
      </c>
      <c r="AH516" s="50">
        <f>V516*K516</f>
        <v/>
      </c>
      <c r="AI516" s="50">
        <f>W516*K516</f>
        <v/>
      </c>
    </row>
    <row r="517">
      <c r="A517" s="25" t="n"/>
      <c r="B517" s="45">
        <f>IF(A517="","",IFERROR(INDEX(Mitarbeiter!$B$6:$B$205,MATCH($A517,Mitarbeiter!$A$6:$A$205,0)),"?"))</f>
        <v/>
      </c>
      <c r="C517" s="46" t="n"/>
      <c r="D517" s="26" t="n"/>
      <c r="E517" s="26" t="n"/>
      <c r="F517" s="24">
        <f>IF(A517="","",SUM(L517:W517))</f>
        <v/>
      </c>
      <c r="G517" s="36">
        <f>IF(A517="","",SUM(X517:AI517))</f>
        <v/>
      </c>
      <c r="H517" s="8">
        <f>IF(A517="","",IF(ISNA(MATCH(A517,Mitarbeiter!$A$6:$A$205,0)),"Pers.-Nr. unbekannt",IF(D517="","Von fehlt",IF(AND(C517&lt;&gt;Einstellungen!$C$4,C517&lt;&gt;Einstellungen!$C$5),"Objekt fehlt",IF(J517&lt;D517,"Bis vor Von",IF(D517&lt;INDEX(Mitarbeiter!$C$6:$C$205,MATCH($A517,Mitarbeiter!$A$6:$A$205,0)),"vor Eintritt",IF(AND(INDEX(Mitarbeiter!$D$6:$D$205,MATCH($A517,Mitarbeiter!$A$6:$A$205,0))&lt;&gt;"",D517&gt;INDEX(Mitarbeiter!$D$6:$D$205,MATCH($A517,Mitarbeiter!$A$6:$A$205,0))),"nach Austritt",IF(E517="","offen","ok"))))))))</f>
        <v/>
      </c>
      <c r="J517" s="47">
        <f>IF(A517="","",IF(E517="",Einstellungen!$C$9,E517))</f>
        <v/>
      </c>
      <c r="K517" s="48">
        <f>IF(A517="",0,IFERROR(INDEX(Mitarbeiter!$F$6:$F$205,MATCH($A517,Mitarbeiter!$A$6:$A$205,0)),0))</f>
        <v/>
      </c>
      <c r="L517" s="49">
        <f>IF(OR(A517="",D517=""),0,MAX(0,NETWORKDAYS(MAX(D517,DATE(Einstellungen!$C$3,1,1)),MIN(J517,DATE(Einstellungen!$C$3,2,0)),Einstellungen!$F$13:$F$32)))</f>
        <v/>
      </c>
      <c r="M517" s="49">
        <f>IF(OR(A517="",D517=""),0,MAX(0,NETWORKDAYS(MAX(D517,DATE(Einstellungen!$C$3,2,1)),MIN(J517,DATE(Einstellungen!$C$3,3,0)),Einstellungen!$F$13:$F$32)))</f>
        <v/>
      </c>
      <c r="N517" s="49">
        <f>IF(OR(A517="",D517=""),0,MAX(0,NETWORKDAYS(MAX(D517,DATE(Einstellungen!$C$3,3,1)),MIN(J517,DATE(Einstellungen!$C$3,4,0)),Einstellungen!$F$13:$F$32)))</f>
        <v/>
      </c>
      <c r="O517" s="49">
        <f>IF(OR(A517="",D517=""),0,MAX(0,NETWORKDAYS(MAX(D517,DATE(Einstellungen!$C$3,4,1)),MIN(J517,DATE(Einstellungen!$C$3,5,0)),Einstellungen!$F$13:$F$32)))</f>
        <v/>
      </c>
      <c r="P517" s="49">
        <f>IF(OR(A517="",D517=""),0,MAX(0,NETWORKDAYS(MAX(D517,DATE(Einstellungen!$C$3,5,1)),MIN(J517,DATE(Einstellungen!$C$3,6,0)),Einstellungen!$F$13:$F$32)))</f>
        <v/>
      </c>
      <c r="Q517" s="49">
        <f>IF(OR(A517="",D517=""),0,MAX(0,NETWORKDAYS(MAX(D517,DATE(Einstellungen!$C$3,6,1)),MIN(J517,DATE(Einstellungen!$C$3,7,0)),Einstellungen!$F$13:$F$32)))</f>
        <v/>
      </c>
      <c r="R517" s="49">
        <f>IF(OR(A517="",D517=""),0,MAX(0,NETWORKDAYS(MAX(D517,DATE(Einstellungen!$C$3,7,1)),MIN(J517,DATE(Einstellungen!$C$3,8,0)),Einstellungen!$F$13:$F$32)))</f>
        <v/>
      </c>
      <c r="S517" s="49">
        <f>IF(OR(A517="",D517=""),0,MAX(0,NETWORKDAYS(MAX(D517,DATE(Einstellungen!$C$3,8,1)),MIN(J517,DATE(Einstellungen!$C$3,9,0)),Einstellungen!$F$13:$F$32)))</f>
        <v/>
      </c>
      <c r="T517" s="49">
        <f>IF(OR(A517="",D517=""),0,MAX(0,NETWORKDAYS(MAX(D517,DATE(Einstellungen!$C$3,9,1)),MIN(J517,DATE(Einstellungen!$C$3,10,0)),Einstellungen!$F$13:$F$32)))</f>
        <v/>
      </c>
      <c r="U517" s="49">
        <f>IF(OR(A517="",D517=""),0,MAX(0,NETWORKDAYS(MAX(D517,DATE(Einstellungen!$C$3,10,1)),MIN(J517,DATE(Einstellungen!$C$3,11,0)),Einstellungen!$F$13:$F$32)))</f>
        <v/>
      </c>
      <c r="V517" s="49">
        <f>IF(OR(A517="",D517=""),0,MAX(0,NETWORKDAYS(MAX(D517,DATE(Einstellungen!$C$3,11,1)),MIN(J517,DATE(Einstellungen!$C$3,12,0)),Einstellungen!$F$13:$F$32)))</f>
        <v/>
      </c>
      <c r="W517" s="49">
        <f>IF(OR(A517="",D517=""),0,MAX(0,NETWORKDAYS(MAX(D517,DATE(Einstellungen!$C$3,12,1)),MIN(J517,DATE(Einstellungen!$C$3,13,0)),Einstellungen!$F$13:$F$32)))</f>
        <v/>
      </c>
      <c r="X517" s="50">
        <f>L517*K517</f>
        <v/>
      </c>
      <c r="Y517" s="50">
        <f>M517*K517</f>
        <v/>
      </c>
      <c r="Z517" s="50">
        <f>N517*K517</f>
        <v/>
      </c>
      <c r="AA517" s="50">
        <f>O517*K517</f>
        <v/>
      </c>
      <c r="AB517" s="50">
        <f>P517*K517</f>
        <v/>
      </c>
      <c r="AC517" s="50">
        <f>Q517*K517</f>
        <v/>
      </c>
      <c r="AD517" s="50">
        <f>R517*K517</f>
        <v/>
      </c>
      <c r="AE517" s="50">
        <f>S517*K517</f>
        <v/>
      </c>
      <c r="AF517" s="50">
        <f>T517*K517</f>
        <v/>
      </c>
      <c r="AG517" s="50">
        <f>U517*K517</f>
        <v/>
      </c>
      <c r="AH517" s="50">
        <f>V517*K517</f>
        <v/>
      </c>
      <c r="AI517" s="50">
        <f>W517*K517</f>
        <v/>
      </c>
    </row>
    <row r="518">
      <c r="A518" s="25" t="n"/>
      <c r="B518" s="45">
        <f>IF(A518="","",IFERROR(INDEX(Mitarbeiter!$B$6:$B$205,MATCH($A518,Mitarbeiter!$A$6:$A$205,0)),"?"))</f>
        <v/>
      </c>
      <c r="C518" s="46" t="n"/>
      <c r="D518" s="26" t="n"/>
      <c r="E518" s="26" t="n"/>
      <c r="F518" s="24">
        <f>IF(A518="","",SUM(L518:W518))</f>
        <v/>
      </c>
      <c r="G518" s="36">
        <f>IF(A518="","",SUM(X518:AI518))</f>
        <v/>
      </c>
      <c r="H518" s="8">
        <f>IF(A518="","",IF(ISNA(MATCH(A518,Mitarbeiter!$A$6:$A$205,0)),"Pers.-Nr. unbekannt",IF(D518="","Von fehlt",IF(AND(C518&lt;&gt;Einstellungen!$C$4,C518&lt;&gt;Einstellungen!$C$5),"Objekt fehlt",IF(J518&lt;D518,"Bis vor Von",IF(D518&lt;INDEX(Mitarbeiter!$C$6:$C$205,MATCH($A518,Mitarbeiter!$A$6:$A$205,0)),"vor Eintritt",IF(AND(INDEX(Mitarbeiter!$D$6:$D$205,MATCH($A518,Mitarbeiter!$A$6:$A$205,0))&lt;&gt;"",D518&gt;INDEX(Mitarbeiter!$D$6:$D$205,MATCH($A518,Mitarbeiter!$A$6:$A$205,0))),"nach Austritt",IF(E518="","offen","ok"))))))))</f>
        <v/>
      </c>
      <c r="J518" s="47">
        <f>IF(A518="","",IF(E518="",Einstellungen!$C$9,E518))</f>
        <v/>
      </c>
      <c r="K518" s="48">
        <f>IF(A518="",0,IFERROR(INDEX(Mitarbeiter!$F$6:$F$205,MATCH($A518,Mitarbeiter!$A$6:$A$205,0)),0))</f>
        <v/>
      </c>
      <c r="L518" s="49">
        <f>IF(OR(A518="",D518=""),0,MAX(0,NETWORKDAYS(MAX(D518,DATE(Einstellungen!$C$3,1,1)),MIN(J518,DATE(Einstellungen!$C$3,2,0)),Einstellungen!$F$13:$F$32)))</f>
        <v/>
      </c>
      <c r="M518" s="49">
        <f>IF(OR(A518="",D518=""),0,MAX(0,NETWORKDAYS(MAX(D518,DATE(Einstellungen!$C$3,2,1)),MIN(J518,DATE(Einstellungen!$C$3,3,0)),Einstellungen!$F$13:$F$32)))</f>
        <v/>
      </c>
      <c r="N518" s="49">
        <f>IF(OR(A518="",D518=""),0,MAX(0,NETWORKDAYS(MAX(D518,DATE(Einstellungen!$C$3,3,1)),MIN(J518,DATE(Einstellungen!$C$3,4,0)),Einstellungen!$F$13:$F$32)))</f>
        <v/>
      </c>
      <c r="O518" s="49">
        <f>IF(OR(A518="",D518=""),0,MAX(0,NETWORKDAYS(MAX(D518,DATE(Einstellungen!$C$3,4,1)),MIN(J518,DATE(Einstellungen!$C$3,5,0)),Einstellungen!$F$13:$F$32)))</f>
        <v/>
      </c>
      <c r="P518" s="49">
        <f>IF(OR(A518="",D518=""),0,MAX(0,NETWORKDAYS(MAX(D518,DATE(Einstellungen!$C$3,5,1)),MIN(J518,DATE(Einstellungen!$C$3,6,0)),Einstellungen!$F$13:$F$32)))</f>
        <v/>
      </c>
      <c r="Q518" s="49">
        <f>IF(OR(A518="",D518=""),0,MAX(0,NETWORKDAYS(MAX(D518,DATE(Einstellungen!$C$3,6,1)),MIN(J518,DATE(Einstellungen!$C$3,7,0)),Einstellungen!$F$13:$F$32)))</f>
        <v/>
      </c>
      <c r="R518" s="49">
        <f>IF(OR(A518="",D518=""),0,MAX(0,NETWORKDAYS(MAX(D518,DATE(Einstellungen!$C$3,7,1)),MIN(J518,DATE(Einstellungen!$C$3,8,0)),Einstellungen!$F$13:$F$32)))</f>
        <v/>
      </c>
      <c r="S518" s="49">
        <f>IF(OR(A518="",D518=""),0,MAX(0,NETWORKDAYS(MAX(D518,DATE(Einstellungen!$C$3,8,1)),MIN(J518,DATE(Einstellungen!$C$3,9,0)),Einstellungen!$F$13:$F$32)))</f>
        <v/>
      </c>
      <c r="T518" s="49">
        <f>IF(OR(A518="",D518=""),0,MAX(0,NETWORKDAYS(MAX(D518,DATE(Einstellungen!$C$3,9,1)),MIN(J518,DATE(Einstellungen!$C$3,10,0)),Einstellungen!$F$13:$F$32)))</f>
        <v/>
      </c>
      <c r="U518" s="49">
        <f>IF(OR(A518="",D518=""),0,MAX(0,NETWORKDAYS(MAX(D518,DATE(Einstellungen!$C$3,10,1)),MIN(J518,DATE(Einstellungen!$C$3,11,0)),Einstellungen!$F$13:$F$32)))</f>
        <v/>
      </c>
      <c r="V518" s="49">
        <f>IF(OR(A518="",D518=""),0,MAX(0,NETWORKDAYS(MAX(D518,DATE(Einstellungen!$C$3,11,1)),MIN(J518,DATE(Einstellungen!$C$3,12,0)),Einstellungen!$F$13:$F$32)))</f>
        <v/>
      </c>
      <c r="W518" s="49">
        <f>IF(OR(A518="",D518=""),0,MAX(0,NETWORKDAYS(MAX(D518,DATE(Einstellungen!$C$3,12,1)),MIN(J518,DATE(Einstellungen!$C$3,13,0)),Einstellungen!$F$13:$F$32)))</f>
        <v/>
      </c>
      <c r="X518" s="50">
        <f>L518*K518</f>
        <v/>
      </c>
      <c r="Y518" s="50">
        <f>M518*K518</f>
        <v/>
      </c>
      <c r="Z518" s="50">
        <f>N518*K518</f>
        <v/>
      </c>
      <c r="AA518" s="50">
        <f>O518*K518</f>
        <v/>
      </c>
      <c r="AB518" s="50">
        <f>P518*K518</f>
        <v/>
      </c>
      <c r="AC518" s="50">
        <f>Q518*K518</f>
        <v/>
      </c>
      <c r="AD518" s="50">
        <f>R518*K518</f>
        <v/>
      </c>
      <c r="AE518" s="50">
        <f>S518*K518</f>
        <v/>
      </c>
      <c r="AF518" s="50">
        <f>T518*K518</f>
        <v/>
      </c>
      <c r="AG518" s="50">
        <f>U518*K518</f>
        <v/>
      </c>
      <c r="AH518" s="50">
        <f>V518*K518</f>
        <v/>
      </c>
      <c r="AI518" s="50">
        <f>W518*K518</f>
        <v/>
      </c>
    </row>
    <row r="519">
      <c r="A519" s="25" t="n"/>
      <c r="B519" s="45">
        <f>IF(A519="","",IFERROR(INDEX(Mitarbeiter!$B$6:$B$205,MATCH($A519,Mitarbeiter!$A$6:$A$205,0)),"?"))</f>
        <v/>
      </c>
      <c r="C519" s="46" t="n"/>
      <c r="D519" s="26" t="n"/>
      <c r="E519" s="26" t="n"/>
      <c r="F519" s="24">
        <f>IF(A519="","",SUM(L519:W519))</f>
        <v/>
      </c>
      <c r="G519" s="36">
        <f>IF(A519="","",SUM(X519:AI519))</f>
        <v/>
      </c>
      <c r="H519" s="8">
        <f>IF(A519="","",IF(ISNA(MATCH(A519,Mitarbeiter!$A$6:$A$205,0)),"Pers.-Nr. unbekannt",IF(D519="","Von fehlt",IF(AND(C519&lt;&gt;Einstellungen!$C$4,C519&lt;&gt;Einstellungen!$C$5),"Objekt fehlt",IF(J519&lt;D519,"Bis vor Von",IF(D519&lt;INDEX(Mitarbeiter!$C$6:$C$205,MATCH($A519,Mitarbeiter!$A$6:$A$205,0)),"vor Eintritt",IF(AND(INDEX(Mitarbeiter!$D$6:$D$205,MATCH($A519,Mitarbeiter!$A$6:$A$205,0))&lt;&gt;"",D519&gt;INDEX(Mitarbeiter!$D$6:$D$205,MATCH($A519,Mitarbeiter!$A$6:$A$205,0))),"nach Austritt",IF(E519="","offen","ok"))))))))</f>
        <v/>
      </c>
      <c r="J519" s="47">
        <f>IF(A519="","",IF(E519="",Einstellungen!$C$9,E519))</f>
        <v/>
      </c>
      <c r="K519" s="48">
        <f>IF(A519="",0,IFERROR(INDEX(Mitarbeiter!$F$6:$F$205,MATCH($A519,Mitarbeiter!$A$6:$A$205,0)),0))</f>
        <v/>
      </c>
      <c r="L519" s="49">
        <f>IF(OR(A519="",D519=""),0,MAX(0,NETWORKDAYS(MAX(D519,DATE(Einstellungen!$C$3,1,1)),MIN(J519,DATE(Einstellungen!$C$3,2,0)),Einstellungen!$F$13:$F$32)))</f>
        <v/>
      </c>
      <c r="M519" s="49">
        <f>IF(OR(A519="",D519=""),0,MAX(0,NETWORKDAYS(MAX(D519,DATE(Einstellungen!$C$3,2,1)),MIN(J519,DATE(Einstellungen!$C$3,3,0)),Einstellungen!$F$13:$F$32)))</f>
        <v/>
      </c>
      <c r="N519" s="49">
        <f>IF(OR(A519="",D519=""),0,MAX(0,NETWORKDAYS(MAX(D519,DATE(Einstellungen!$C$3,3,1)),MIN(J519,DATE(Einstellungen!$C$3,4,0)),Einstellungen!$F$13:$F$32)))</f>
        <v/>
      </c>
      <c r="O519" s="49">
        <f>IF(OR(A519="",D519=""),0,MAX(0,NETWORKDAYS(MAX(D519,DATE(Einstellungen!$C$3,4,1)),MIN(J519,DATE(Einstellungen!$C$3,5,0)),Einstellungen!$F$13:$F$32)))</f>
        <v/>
      </c>
      <c r="P519" s="49">
        <f>IF(OR(A519="",D519=""),0,MAX(0,NETWORKDAYS(MAX(D519,DATE(Einstellungen!$C$3,5,1)),MIN(J519,DATE(Einstellungen!$C$3,6,0)),Einstellungen!$F$13:$F$32)))</f>
        <v/>
      </c>
      <c r="Q519" s="49">
        <f>IF(OR(A519="",D519=""),0,MAX(0,NETWORKDAYS(MAX(D519,DATE(Einstellungen!$C$3,6,1)),MIN(J519,DATE(Einstellungen!$C$3,7,0)),Einstellungen!$F$13:$F$32)))</f>
        <v/>
      </c>
      <c r="R519" s="49">
        <f>IF(OR(A519="",D519=""),0,MAX(0,NETWORKDAYS(MAX(D519,DATE(Einstellungen!$C$3,7,1)),MIN(J519,DATE(Einstellungen!$C$3,8,0)),Einstellungen!$F$13:$F$32)))</f>
        <v/>
      </c>
      <c r="S519" s="49">
        <f>IF(OR(A519="",D519=""),0,MAX(0,NETWORKDAYS(MAX(D519,DATE(Einstellungen!$C$3,8,1)),MIN(J519,DATE(Einstellungen!$C$3,9,0)),Einstellungen!$F$13:$F$32)))</f>
        <v/>
      </c>
      <c r="T519" s="49">
        <f>IF(OR(A519="",D519=""),0,MAX(0,NETWORKDAYS(MAX(D519,DATE(Einstellungen!$C$3,9,1)),MIN(J519,DATE(Einstellungen!$C$3,10,0)),Einstellungen!$F$13:$F$32)))</f>
        <v/>
      </c>
      <c r="U519" s="49">
        <f>IF(OR(A519="",D519=""),0,MAX(0,NETWORKDAYS(MAX(D519,DATE(Einstellungen!$C$3,10,1)),MIN(J519,DATE(Einstellungen!$C$3,11,0)),Einstellungen!$F$13:$F$32)))</f>
        <v/>
      </c>
      <c r="V519" s="49">
        <f>IF(OR(A519="",D519=""),0,MAX(0,NETWORKDAYS(MAX(D519,DATE(Einstellungen!$C$3,11,1)),MIN(J519,DATE(Einstellungen!$C$3,12,0)),Einstellungen!$F$13:$F$32)))</f>
        <v/>
      </c>
      <c r="W519" s="49">
        <f>IF(OR(A519="",D519=""),0,MAX(0,NETWORKDAYS(MAX(D519,DATE(Einstellungen!$C$3,12,1)),MIN(J519,DATE(Einstellungen!$C$3,13,0)),Einstellungen!$F$13:$F$32)))</f>
        <v/>
      </c>
      <c r="X519" s="50">
        <f>L519*K519</f>
        <v/>
      </c>
      <c r="Y519" s="50">
        <f>M519*K519</f>
        <v/>
      </c>
      <c r="Z519" s="50">
        <f>N519*K519</f>
        <v/>
      </c>
      <c r="AA519" s="50">
        <f>O519*K519</f>
        <v/>
      </c>
      <c r="AB519" s="50">
        <f>P519*K519</f>
        <v/>
      </c>
      <c r="AC519" s="50">
        <f>Q519*K519</f>
        <v/>
      </c>
      <c r="AD519" s="50">
        <f>R519*K519</f>
        <v/>
      </c>
      <c r="AE519" s="50">
        <f>S519*K519</f>
        <v/>
      </c>
      <c r="AF519" s="50">
        <f>T519*K519</f>
        <v/>
      </c>
      <c r="AG519" s="50">
        <f>U519*K519</f>
        <v/>
      </c>
      <c r="AH519" s="50">
        <f>V519*K519</f>
        <v/>
      </c>
      <c r="AI519" s="50">
        <f>W519*K519</f>
        <v/>
      </c>
    </row>
    <row r="520">
      <c r="A520" s="25" t="n"/>
      <c r="B520" s="45">
        <f>IF(A520="","",IFERROR(INDEX(Mitarbeiter!$B$6:$B$205,MATCH($A520,Mitarbeiter!$A$6:$A$205,0)),"?"))</f>
        <v/>
      </c>
      <c r="C520" s="46" t="n"/>
      <c r="D520" s="26" t="n"/>
      <c r="E520" s="26" t="n"/>
      <c r="F520" s="24">
        <f>IF(A520="","",SUM(L520:W520))</f>
        <v/>
      </c>
      <c r="G520" s="36">
        <f>IF(A520="","",SUM(X520:AI520))</f>
        <v/>
      </c>
      <c r="H520" s="8">
        <f>IF(A520="","",IF(ISNA(MATCH(A520,Mitarbeiter!$A$6:$A$205,0)),"Pers.-Nr. unbekannt",IF(D520="","Von fehlt",IF(AND(C520&lt;&gt;Einstellungen!$C$4,C520&lt;&gt;Einstellungen!$C$5),"Objekt fehlt",IF(J520&lt;D520,"Bis vor Von",IF(D520&lt;INDEX(Mitarbeiter!$C$6:$C$205,MATCH($A520,Mitarbeiter!$A$6:$A$205,0)),"vor Eintritt",IF(AND(INDEX(Mitarbeiter!$D$6:$D$205,MATCH($A520,Mitarbeiter!$A$6:$A$205,0))&lt;&gt;"",D520&gt;INDEX(Mitarbeiter!$D$6:$D$205,MATCH($A520,Mitarbeiter!$A$6:$A$205,0))),"nach Austritt",IF(E520="","offen","ok"))))))))</f>
        <v/>
      </c>
      <c r="J520" s="47">
        <f>IF(A520="","",IF(E520="",Einstellungen!$C$9,E520))</f>
        <v/>
      </c>
      <c r="K520" s="48">
        <f>IF(A520="",0,IFERROR(INDEX(Mitarbeiter!$F$6:$F$205,MATCH($A520,Mitarbeiter!$A$6:$A$205,0)),0))</f>
        <v/>
      </c>
      <c r="L520" s="49">
        <f>IF(OR(A520="",D520=""),0,MAX(0,NETWORKDAYS(MAX(D520,DATE(Einstellungen!$C$3,1,1)),MIN(J520,DATE(Einstellungen!$C$3,2,0)),Einstellungen!$F$13:$F$32)))</f>
        <v/>
      </c>
      <c r="M520" s="49">
        <f>IF(OR(A520="",D520=""),0,MAX(0,NETWORKDAYS(MAX(D520,DATE(Einstellungen!$C$3,2,1)),MIN(J520,DATE(Einstellungen!$C$3,3,0)),Einstellungen!$F$13:$F$32)))</f>
        <v/>
      </c>
      <c r="N520" s="49">
        <f>IF(OR(A520="",D520=""),0,MAX(0,NETWORKDAYS(MAX(D520,DATE(Einstellungen!$C$3,3,1)),MIN(J520,DATE(Einstellungen!$C$3,4,0)),Einstellungen!$F$13:$F$32)))</f>
        <v/>
      </c>
      <c r="O520" s="49">
        <f>IF(OR(A520="",D520=""),0,MAX(0,NETWORKDAYS(MAX(D520,DATE(Einstellungen!$C$3,4,1)),MIN(J520,DATE(Einstellungen!$C$3,5,0)),Einstellungen!$F$13:$F$32)))</f>
        <v/>
      </c>
      <c r="P520" s="49">
        <f>IF(OR(A520="",D520=""),0,MAX(0,NETWORKDAYS(MAX(D520,DATE(Einstellungen!$C$3,5,1)),MIN(J520,DATE(Einstellungen!$C$3,6,0)),Einstellungen!$F$13:$F$32)))</f>
        <v/>
      </c>
      <c r="Q520" s="49">
        <f>IF(OR(A520="",D520=""),0,MAX(0,NETWORKDAYS(MAX(D520,DATE(Einstellungen!$C$3,6,1)),MIN(J520,DATE(Einstellungen!$C$3,7,0)),Einstellungen!$F$13:$F$32)))</f>
        <v/>
      </c>
      <c r="R520" s="49">
        <f>IF(OR(A520="",D520=""),0,MAX(0,NETWORKDAYS(MAX(D520,DATE(Einstellungen!$C$3,7,1)),MIN(J520,DATE(Einstellungen!$C$3,8,0)),Einstellungen!$F$13:$F$32)))</f>
        <v/>
      </c>
      <c r="S520" s="49">
        <f>IF(OR(A520="",D520=""),0,MAX(0,NETWORKDAYS(MAX(D520,DATE(Einstellungen!$C$3,8,1)),MIN(J520,DATE(Einstellungen!$C$3,9,0)),Einstellungen!$F$13:$F$32)))</f>
        <v/>
      </c>
      <c r="T520" s="49">
        <f>IF(OR(A520="",D520=""),0,MAX(0,NETWORKDAYS(MAX(D520,DATE(Einstellungen!$C$3,9,1)),MIN(J520,DATE(Einstellungen!$C$3,10,0)),Einstellungen!$F$13:$F$32)))</f>
        <v/>
      </c>
      <c r="U520" s="49">
        <f>IF(OR(A520="",D520=""),0,MAX(0,NETWORKDAYS(MAX(D520,DATE(Einstellungen!$C$3,10,1)),MIN(J520,DATE(Einstellungen!$C$3,11,0)),Einstellungen!$F$13:$F$32)))</f>
        <v/>
      </c>
      <c r="V520" s="49">
        <f>IF(OR(A520="",D520=""),0,MAX(0,NETWORKDAYS(MAX(D520,DATE(Einstellungen!$C$3,11,1)),MIN(J520,DATE(Einstellungen!$C$3,12,0)),Einstellungen!$F$13:$F$32)))</f>
        <v/>
      </c>
      <c r="W520" s="49">
        <f>IF(OR(A520="",D520=""),0,MAX(0,NETWORKDAYS(MAX(D520,DATE(Einstellungen!$C$3,12,1)),MIN(J520,DATE(Einstellungen!$C$3,13,0)),Einstellungen!$F$13:$F$32)))</f>
        <v/>
      </c>
      <c r="X520" s="50">
        <f>L520*K520</f>
        <v/>
      </c>
      <c r="Y520" s="50">
        <f>M520*K520</f>
        <v/>
      </c>
      <c r="Z520" s="50">
        <f>N520*K520</f>
        <v/>
      </c>
      <c r="AA520" s="50">
        <f>O520*K520</f>
        <v/>
      </c>
      <c r="AB520" s="50">
        <f>P520*K520</f>
        <v/>
      </c>
      <c r="AC520" s="50">
        <f>Q520*K520</f>
        <v/>
      </c>
      <c r="AD520" s="50">
        <f>R520*K520</f>
        <v/>
      </c>
      <c r="AE520" s="50">
        <f>S520*K520</f>
        <v/>
      </c>
      <c r="AF520" s="50">
        <f>T520*K520</f>
        <v/>
      </c>
      <c r="AG520" s="50">
        <f>U520*K520</f>
        <v/>
      </c>
      <c r="AH520" s="50">
        <f>V520*K520</f>
        <v/>
      </c>
      <c r="AI520" s="50">
        <f>W520*K520</f>
        <v/>
      </c>
    </row>
    <row r="521">
      <c r="A521" s="25" t="n"/>
      <c r="B521" s="45">
        <f>IF(A521="","",IFERROR(INDEX(Mitarbeiter!$B$6:$B$205,MATCH($A521,Mitarbeiter!$A$6:$A$205,0)),"?"))</f>
        <v/>
      </c>
      <c r="C521" s="46" t="n"/>
      <c r="D521" s="26" t="n"/>
      <c r="E521" s="26" t="n"/>
      <c r="F521" s="24">
        <f>IF(A521="","",SUM(L521:W521))</f>
        <v/>
      </c>
      <c r="G521" s="36">
        <f>IF(A521="","",SUM(X521:AI521))</f>
        <v/>
      </c>
      <c r="H521" s="8">
        <f>IF(A521="","",IF(ISNA(MATCH(A521,Mitarbeiter!$A$6:$A$205,0)),"Pers.-Nr. unbekannt",IF(D521="","Von fehlt",IF(AND(C521&lt;&gt;Einstellungen!$C$4,C521&lt;&gt;Einstellungen!$C$5),"Objekt fehlt",IF(J521&lt;D521,"Bis vor Von",IF(D521&lt;INDEX(Mitarbeiter!$C$6:$C$205,MATCH($A521,Mitarbeiter!$A$6:$A$205,0)),"vor Eintritt",IF(AND(INDEX(Mitarbeiter!$D$6:$D$205,MATCH($A521,Mitarbeiter!$A$6:$A$205,0))&lt;&gt;"",D521&gt;INDEX(Mitarbeiter!$D$6:$D$205,MATCH($A521,Mitarbeiter!$A$6:$A$205,0))),"nach Austritt",IF(E521="","offen","ok"))))))))</f>
        <v/>
      </c>
      <c r="J521" s="47">
        <f>IF(A521="","",IF(E521="",Einstellungen!$C$9,E521))</f>
        <v/>
      </c>
      <c r="K521" s="48">
        <f>IF(A521="",0,IFERROR(INDEX(Mitarbeiter!$F$6:$F$205,MATCH($A521,Mitarbeiter!$A$6:$A$205,0)),0))</f>
        <v/>
      </c>
      <c r="L521" s="49">
        <f>IF(OR(A521="",D521=""),0,MAX(0,NETWORKDAYS(MAX(D521,DATE(Einstellungen!$C$3,1,1)),MIN(J521,DATE(Einstellungen!$C$3,2,0)),Einstellungen!$F$13:$F$32)))</f>
        <v/>
      </c>
      <c r="M521" s="49">
        <f>IF(OR(A521="",D521=""),0,MAX(0,NETWORKDAYS(MAX(D521,DATE(Einstellungen!$C$3,2,1)),MIN(J521,DATE(Einstellungen!$C$3,3,0)),Einstellungen!$F$13:$F$32)))</f>
        <v/>
      </c>
      <c r="N521" s="49">
        <f>IF(OR(A521="",D521=""),0,MAX(0,NETWORKDAYS(MAX(D521,DATE(Einstellungen!$C$3,3,1)),MIN(J521,DATE(Einstellungen!$C$3,4,0)),Einstellungen!$F$13:$F$32)))</f>
        <v/>
      </c>
      <c r="O521" s="49">
        <f>IF(OR(A521="",D521=""),0,MAX(0,NETWORKDAYS(MAX(D521,DATE(Einstellungen!$C$3,4,1)),MIN(J521,DATE(Einstellungen!$C$3,5,0)),Einstellungen!$F$13:$F$32)))</f>
        <v/>
      </c>
      <c r="P521" s="49">
        <f>IF(OR(A521="",D521=""),0,MAX(0,NETWORKDAYS(MAX(D521,DATE(Einstellungen!$C$3,5,1)),MIN(J521,DATE(Einstellungen!$C$3,6,0)),Einstellungen!$F$13:$F$32)))</f>
        <v/>
      </c>
      <c r="Q521" s="49">
        <f>IF(OR(A521="",D521=""),0,MAX(0,NETWORKDAYS(MAX(D521,DATE(Einstellungen!$C$3,6,1)),MIN(J521,DATE(Einstellungen!$C$3,7,0)),Einstellungen!$F$13:$F$32)))</f>
        <v/>
      </c>
      <c r="R521" s="49">
        <f>IF(OR(A521="",D521=""),0,MAX(0,NETWORKDAYS(MAX(D521,DATE(Einstellungen!$C$3,7,1)),MIN(J521,DATE(Einstellungen!$C$3,8,0)),Einstellungen!$F$13:$F$32)))</f>
        <v/>
      </c>
      <c r="S521" s="49">
        <f>IF(OR(A521="",D521=""),0,MAX(0,NETWORKDAYS(MAX(D521,DATE(Einstellungen!$C$3,8,1)),MIN(J521,DATE(Einstellungen!$C$3,9,0)),Einstellungen!$F$13:$F$32)))</f>
        <v/>
      </c>
      <c r="T521" s="49">
        <f>IF(OR(A521="",D521=""),0,MAX(0,NETWORKDAYS(MAX(D521,DATE(Einstellungen!$C$3,9,1)),MIN(J521,DATE(Einstellungen!$C$3,10,0)),Einstellungen!$F$13:$F$32)))</f>
        <v/>
      </c>
      <c r="U521" s="49">
        <f>IF(OR(A521="",D521=""),0,MAX(0,NETWORKDAYS(MAX(D521,DATE(Einstellungen!$C$3,10,1)),MIN(J521,DATE(Einstellungen!$C$3,11,0)),Einstellungen!$F$13:$F$32)))</f>
        <v/>
      </c>
      <c r="V521" s="49">
        <f>IF(OR(A521="",D521=""),0,MAX(0,NETWORKDAYS(MAX(D521,DATE(Einstellungen!$C$3,11,1)),MIN(J521,DATE(Einstellungen!$C$3,12,0)),Einstellungen!$F$13:$F$32)))</f>
        <v/>
      </c>
      <c r="W521" s="49">
        <f>IF(OR(A521="",D521=""),0,MAX(0,NETWORKDAYS(MAX(D521,DATE(Einstellungen!$C$3,12,1)),MIN(J521,DATE(Einstellungen!$C$3,13,0)),Einstellungen!$F$13:$F$32)))</f>
        <v/>
      </c>
      <c r="X521" s="50">
        <f>L521*K521</f>
        <v/>
      </c>
      <c r="Y521" s="50">
        <f>M521*K521</f>
        <v/>
      </c>
      <c r="Z521" s="50">
        <f>N521*K521</f>
        <v/>
      </c>
      <c r="AA521" s="50">
        <f>O521*K521</f>
        <v/>
      </c>
      <c r="AB521" s="50">
        <f>P521*K521</f>
        <v/>
      </c>
      <c r="AC521" s="50">
        <f>Q521*K521</f>
        <v/>
      </c>
      <c r="AD521" s="50">
        <f>R521*K521</f>
        <v/>
      </c>
      <c r="AE521" s="50">
        <f>S521*K521</f>
        <v/>
      </c>
      <c r="AF521" s="50">
        <f>T521*K521</f>
        <v/>
      </c>
      <c r="AG521" s="50">
        <f>U521*K521</f>
        <v/>
      </c>
      <c r="AH521" s="50">
        <f>V521*K521</f>
        <v/>
      </c>
      <c r="AI521" s="50">
        <f>W521*K521</f>
        <v/>
      </c>
    </row>
    <row r="522">
      <c r="A522" s="25" t="n"/>
      <c r="B522" s="45">
        <f>IF(A522="","",IFERROR(INDEX(Mitarbeiter!$B$6:$B$205,MATCH($A522,Mitarbeiter!$A$6:$A$205,0)),"?"))</f>
        <v/>
      </c>
      <c r="C522" s="46" t="n"/>
      <c r="D522" s="26" t="n"/>
      <c r="E522" s="26" t="n"/>
      <c r="F522" s="24">
        <f>IF(A522="","",SUM(L522:W522))</f>
        <v/>
      </c>
      <c r="G522" s="36">
        <f>IF(A522="","",SUM(X522:AI522))</f>
        <v/>
      </c>
      <c r="H522" s="8">
        <f>IF(A522="","",IF(ISNA(MATCH(A522,Mitarbeiter!$A$6:$A$205,0)),"Pers.-Nr. unbekannt",IF(D522="","Von fehlt",IF(AND(C522&lt;&gt;Einstellungen!$C$4,C522&lt;&gt;Einstellungen!$C$5),"Objekt fehlt",IF(J522&lt;D522,"Bis vor Von",IF(D522&lt;INDEX(Mitarbeiter!$C$6:$C$205,MATCH($A522,Mitarbeiter!$A$6:$A$205,0)),"vor Eintritt",IF(AND(INDEX(Mitarbeiter!$D$6:$D$205,MATCH($A522,Mitarbeiter!$A$6:$A$205,0))&lt;&gt;"",D522&gt;INDEX(Mitarbeiter!$D$6:$D$205,MATCH($A522,Mitarbeiter!$A$6:$A$205,0))),"nach Austritt",IF(E522="","offen","ok"))))))))</f>
        <v/>
      </c>
      <c r="J522" s="47">
        <f>IF(A522="","",IF(E522="",Einstellungen!$C$9,E522))</f>
        <v/>
      </c>
      <c r="K522" s="48">
        <f>IF(A522="",0,IFERROR(INDEX(Mitarbeiter!$F$6:$F$205,MATCH($A522,Mitarbeiter!$A$6:$A$205,0)),0))</f>
        <v/>
      </c>
      <c r="L522" s="49">
        <f>IF(OR(A522="",D522=""),0,MAX(0,NETWORKDAYS(MAX(D522,DATE(Einstellungen!$C$3,1,1)),MIN(J522,DATE(Einstellungen!$C$3,2,0)),Einstellungen!$F$13:$F$32)))</f>
        <v/>
      </c>
      <c r="M522" s="49">
        <f>IF(OR(A522="",D522=""),0,MAX(0,NETWORKDAYS(MAX(D522,DATE(Einstellungen!$C$3,2,1)),MIN(J522,DATE(Einstellungen!$C$3,3,0)),Einstellungen!$F$13:$F$32)))</f>
        <v/>
      </c>
      <c r="N522" s="49">
        <f>IF(OR(A522="",D522=""),0,MAX(0,NETWORKDAYS(MAX(D522,DATE(Einstellungen!$C$3,3,1)),MIN(J522,DATE(Einstellungen!$C$3,4,0)),Einstellungen!$F$13:$F$32)))</f>
        <v/>
      </c>
      <c r="O522" s="49">
        <f>IF(OR(A522="",D522=""),0,MAX(0,NETWORKDAYS(MAX(D522,DATE(Einstellungen!$C$3,4,1)),MIN(J522,DATE(Einstellungen!$C$3,5,0)),Einstellungen!$F$13:$F$32)))</f>
        <v/>
      </c>
      <c r="P522" s="49">
        <f>IF(OR(A522="",D522=""),0,MAX(0,NETWORKDAYS(MAX(D522,DATE(Einstellungen!$C$3,5,1)),MIN(J522,DATE(Einstellungen!$C$3,6,0)),Einstellungen!$F$13:$F$32)))</f>
        <v/>
      </c>
      <c r="Q522" s="49">
        <f>IF(OR(A522="",D522=""),0,MAX(0,NETWORKDAYS(MAX(D522,DATE(Einstellungen!$C$3,6,1)),MIN(J522,DATE(Einstellungen!$C$3,7,0)),Einstellungen!$F$13:$F$32)))</f>
        <v/>
      </c>
      <c r="R522" s="49">
        <f>IF(OR(A522="",D522=""),0,MAX(0,NETWORKDAYS(MAX(D522,DATE(Einstellungen!$C$3,7,1)),MIN(J522,DATE(Einstellungen!$C$3,8,0)),Einstellungen!$F$13:$F$32)))</f>
        <v/>
      </c>
      <c r="S522" s="49">
        <f>IF(OR(A522="",D522=""),0,MAX(0,NETWORKDAYS(MAX(D522,DATE(Einstellungen!$C$3,8,1)),MIN(J522,DATE(Einstellungen!$C$3,9,0)),Einstellungen!$F$13:$F$32)))</f>
        <v/>
      </c>
      <c r="T522" s="49">
        <f>IF(OR(A522="",D522=""),0,MAX(0,NETWORKDAYS(MAX(D522,DATE(Einstellungen!$C$3,9,1)),MIN(J522,DATE(Einstellungen!$C$3,10,0)),Einstellungen!$F$13:$F$32)))</f>
        <v/>
      </c>
      <c r="U522" s="49">
        <f>IF(OR(A522="",D522=""),0,MAX(0,NETWORKDAYS(MAX(D522,DATE(Einstellungen!$C$3,10,1)),MIN(J522,DATE(Einstellungen!$C$3,11,0)),Einstellungen!$F$13:$F$32)))</f>
        <v/>
      </c>
      <c r="V522" s="49">
        <f>IF(OR(A522="",D522=""),0,MAX(0,NETWORKDAYS(MAX(D522,DATE(Einstellungen!$C$3,11,1)),MIN(J522,DATE(Einstellungen!$C$3,12,0)),Einstellungen!$F$13:$F$32)))</f>
        <v/>
      </c>
      <c r="W522" s="49">
        <f>IF(OR(A522="",D522=""),0,MAX(0,NETWORKDAYS(MAX(D522,DATE(Einstellungen!$C$3,12,1)),MIN(J522,DATE(Einstellungen!$C$3,13,0)),Einstellungen!$F$13:$F$32)))</f>
        <v/>
      </c>
      <c r="X522" s="50">
        <f>L522*K522</f>
        <v/>
      </c>
      <c r="Y522" s="50">
        <f>M522*K522</f>
        <v/>
      </c>
      <c r="Z522" s="50">
        <f>N522*K522</f>
        <v/>
      </c>
      <c r="AA522" s="50">
        <f>O522*K522</f>
        <v/>
      </c>
      <c r="AB522" s="50">
        <f>P522*K522</f>
        <v/>
      </c>
      <c r="AC522" s="50">
        <f>Q522*K522</f>
        <v/>
      </c>
      <c r="AD522" s="50">
        <f>R522*K522</f>
        <v/>
      </c>
      <c r="AE522" s="50">
        <f>S522*K522</f>
        <v/>
      </c>
      <c r="AF522" s="50">
        <f>T522*K522</f>
        <v/>
      </c>
      <c r="AG522" s="50">
        <f>U522*K522</f>
        <v/>
      </c>
      <c r="AH522" s="50">
        <f>V522*K522</f>
        <v/>
      </c>
      <c r="AI522" s="50">
        <f>W522*K522</f>
        <v/>
      </c>
    </row>
    <row r="523">
      <c r="A523" s="25" t="n"/>
      <c r="B523" s="45">
        <f>IF(A523="","",IFERROR(INDEX(Mitarbeiter!$B$6:$B$205,MATCH($A523,Mitarbeiter!$A$6:$A$205,0)),"?"))</f>
        <v/>
      </c>
      <c r="C523" s="46" t="n"/>
      <c r="D523" s="26" t="n"/>
      <c r="E523" s="26" t="n"/>
      <c r="F523" s="24">
        <f>IF(A523="","",SUM(L523:W523))</f>
        <v/>
      </c>
      <c r="G523" s="36">
        <f>IF(A523="","",SUM(X523:AI523))</f>
        <v/>
      </c>
      <c r="H523" s="8">
        <f>IF(A523="","",IF(ISNA(MATCH(A523,Mitarbeiter!$A$6:$A$205,0)),"Pers.-Nr. unbekannt",IF(D523="","Von fehlt",IF(AND(C523&lt;&gt;Einstellungen!$C$4,C523&lt;&gt;Einstellungen!$C$5),"Objekt fehlt",IF(J523&lt;D523,"Bis vor Von",IF(D523&lt;INDEX(Mitarbeiter!$C$6:$C$205,MATCH($A523,Mitarbeiter!$A$6:$A$205,0)),"vor Eintritt",IF(AND(INDEX(Mitarbeiter!$D$6:$D$205,MATCH($A523,Mitarbeiter!$A$6:$A$205,0))&lt;&gt;"",D523&gt;INDEX(Mitarbeiter!$D$6:$D$205,MATCH($A523,Mitarbeiter!$A$6:$A$205,0))),"nach Austritt",IF(E523="","offen","ok"))))))))</f>
        <v/>
      </c>
      <c r="J523" s="47">
        <f>IF(A523="","",IF(E523="",Einstellungen!$C$9,E523))</f>
        <v/>
      </c>
      <c r="K523" s="48">
        <f>IF(A523="",0,IFERROR(INDEX(Mitarbeiter!$F$6:$F$205,MATCH($A523,Mitarbeiter!$A$6:$A$205,0)),0))</f>
        <v/>
      </c>
      <c r="L523" s="49">
        <f>IF(OR(A523="",D523=""),0,MAX(0,NETWORKDAYS(MAX(D523,DATE(Einstellungen!$C$3,1,1)),MIN(J523,DATE(Einstellungen!$C$3,2,0)),Einstellungen!$F$13:$F$32)))</f>
        <v/>
      </c>
      <c r="M523" s="49">
        <f>IF(OR(A523="",D523=""),0,MAX(0,NETWORKDAYS(MAX(D523,DATE(Einstellungen!$C$3,2,1)),MIN(J523,DATE(Einstellungen!$C$3,3,0)),Einstellungen!$F$13:$F$32)))</f>
        <v/>
      </c>
      <c r="N523" s="49">
        <f>IF(OR(A523="",D523=""),0,MAX(0,NETWORKDAYS(MAX(D523,DATE(Einstellungen!$C$3,3,1)),MIN(J523,DATE(Einstellungen!$C$3,4,0)),Einstellungen!$F$13:$F$32)))</f>
        <v/>
      </c>
      <c r="O523" s="49">
        <f>IF(OR(A523="",D523=""),0,MAX(0,NETWORKDAYS(MAX(D523,DATE(Einstellungen!$C$3,4,1)),MIN(J523,DATE(Einstellungen!$C$3,5,0)),Einstellungen!$F$13:$F$32)))</f>
        <v/>
      </c>
      <c r="P523" s="49">
        <f>IF(OR(A523="",D523=""),0,MAX(0,NETWORKDAYS(MAX(D523,DATE(Einstellungen!$C$3,5,1)),MIN(J523,DATE(Einstellungen!$C$3,6,0)),Einstellungen!$F$13:$F$32)))</f>
        <v/>
      </c>
      <c r="Q523" s="49">
        <f>IF(OR(A523="",D523=""),0,MAX(0,NETWORKDAYS(MAX(D523,DATE(Einstellungen!$C$3,6,1)),MIN(J523,DATE(Einstellungen!$C$3,7,0)),Einstellungen!$F$13:$F$32)))</f>
        <v/>
      </c>
      <c r="R523" s="49">
        <f>IF(OR(A523="",D523=""),0,MAX(0,NETWORKDAYS(MAX(D523,DATE(Einstellungen!$C$3,7,1)),MIN(J523,DATE(Einstellungen!$C$3,8,0)),Einstellungen!$F$13:$F$32)))</f>
        <v/>
      </c>
      <c r="S523" s="49">
        <f>IF(OR(A523="",D523=""),0,MAX(0,NETWORKDAYS(MAX(D523,DATE(Einstellungen!$C$3,8,1)),MIN(J523,DATE(Einstellungen!$C$3,9,0)),Einstellungen!$F$13:$F$32)))</f>
        <v/>
      </c>
      <c r="T523" s="49">
        <f>IF(OR(A523="",D523=""),0,MAX(0,NETWORKDAYS(MAX(D523,DATE(Einstellungen!$C$3,9,1)),MIN(J523,DATE(Einstellungen!$C$3,10,0)),Einstellungen!$F$13:$F$32)))</f>
        <v/>
      </c>
      <c r="U523" s="49">
        <f>IF(OR(A523="",D523=""),0,MAX(0,NETWORKDAYS(MAX(D523,DATE(Einstellungen!$C$3,10,1)),MIN(J523,DATE(Einstellungen!$C$3,11,0)),Einstellungen!$F$13:$F$32)))</f>
        <v/>
      </c>
      <c r="V523" s="49">
        <f>IF(OR(A523="",D523=""),0,MAX(0,NETWORKDAYS(MAX(D523,DATE(Einstellungen!$C$3,11,1)),MIN(J523,DATE(Einstellungen!$C$3,12,0)),Einstellungen!$F$13:$F$32)))</f>
        <v/>
      </c>
      <c r="W523" s="49">
        <f>IF(OR(A523="",D523=""),0,MAX(0,NETWORKDAYS(MAX(D523,DATE(Einstellungen!$C$3,12,1)),MIN(J523,DATE(Einstellungen!$C$3,13,0)),Einstellungen!$F$13:$F$32)))</f>
        <v/>
      </c>
      <c r="X523" s="50">
        <f>L523*K523</f>
        <v/>
      </c>
      <c r="Y523" s="50">
        <f>M523*K523</f>
        <v/>
      </c>
      <c r="Z523" s="50">
        <f>N523*K523</f>
        <v/>
      </c>
      <c r="AA523" s="50">
        <f>O523*K523</f>
        <v/>
      </c>
      <c r="AB523" s="50">
        <f>P523*K523</f>
        <v/>
      </c>
      <c r="AC523" s="50">
        <f>Q523*K523</f>
        <v/>
      </c>
      <c r="AD523" s="50">
        <f>R523*K523</f>
        <v/>
      </c>
      <c r="AE523" s="50">
        <f>S523*K523</f>
        <v/>
      </c>
      <c r="AF523" s="50">
        <f>T523*K523</f>
        <v/>
      </c>
      <c r="AG523" s="50">
        <f>U523*K523</f>
        <v/>
      </c>
      <c r="AH523" s="50">
        <f>V523*K523</f>
        <v/>
      </c>
      <c r="AI523" s="50">
        <f>W523*K523</f>
        <v/>
      </c>
    </row>
    <row r="524">
      <c r="A524" s="25" t="n"/>
      <c r="B524" s="45">
        <f>IF(A524="","",IFERROR(INDEX(Mitarbeiter!$B$6:$B$205,MATCH($A524,Mitarbeiter!$A$6:$A$205,0)),"?"))</f>
        <v/>
      </c>
      <c r="C524" s="46" t="n"/>
      <c r="D524" s="26" t="n"/>
      <c r="E524" s="26" t="n"/>
      <c r="F524" s="24">
        <f>IF(A524="","",SUM(L524:W524))</f>
        <v/>
      </c>
      <c r="G524" s="36">
        <f>IF(A524="","",SUM(X524:AI524))</f>
        <v/>
      </c>
      <c r="H524" s="8">
        <f>IF(A524="","",IF(ISNA(MATCH(A524,Mitarbeiter!$A$6:$A$205,0)),"Pers.-Nr. unbekannt",IF(D524="","Von fehlt",IF(AND(C524&lt;&gt;Einstellungen!$C$4,C524&lt;&gt;Einstellungen!$C$5),"Objekt fehlt",IF(J524&lt;D524,"Bis vor Von",IF(D524&lt;INDEX(Mitarbeiter!$C$6:$C$205,MATCH($A524,Mitarbeiter!$A$6:$A$205,0)),"vor Eintritt",IF(AND(INDEX(Mitarbeiter!$D$6:$D$205,MATCH($A524,Mitarbeiter!$A$6:$A$205,0))&lt;&gt;"",D524&gt;INDEX(Mitarbeiter!$D$6:$D$205,MATCH($A524,Mitarbeiter!$A$6:$A$205,0))),"nach Austritt",IF(E524="","offen","ok"))))))))</f>
        <v/>
      </c>
      <c r="J524" s="47">
        <f>IF(A524="","",IF(E524="",Einstellungen!$C$9,E524))</f>
        <v/>
      </c>
      <c r="K524" s="48">
        <f>IF(A524="",0,IFERROR(INDEX(Mitarbeiter!$F$6:$F$205,MATCH($A524,Mitarbeiter!$A$6:$A$205,0)),0))</f>
        <v/>
      </c>
      <c r="L524" s="49">
        <f>IF(OR(A524="",D524=""),0,MAX(0,NETWORKDAYS(MAX(D524,DATE(Einstellungen!$C$3,1,1)),MIN(J524,DATE(Einstellungen!$C$3,2,0)),Einstellungen!$F$13:$F$32)))</f>
        <v/>
      </c>
      <c r="M524" s="49">
        <f>IF(OR(A524="",D524=""),0,MAX(0,NETWORKDAYS(MAX(D524,DATE(Einstellungen!$C$3,2,1)),MIN(J524,DATE(Einstellungen!$C$3,3,0)),Einstellungen!$F$13:$F$32)))</f>
        <v/>
      </c>
      <c r="N524" s="49">
        <f>IF(OR(A524="",D524=""),0,MAX(0,NETWORKDAYS(MAX(D524,DATE(Einstellungen!$C$3,3,1)),MIN(J524,DATE(Einstellungen!$C$3,4,0)),Einstellungen!$F$13:$F$32)))</f>
        <v/>
      </c>
      <c r="O524" s="49">
        <f>IF(OR(A524="",D524=""),0,MAX(0,NETWORKDAYS(MAX(D524,DATE(Einstellungen!$C$3,4,1)),MIN(J524,DATE(Einstellungen!$C$3,5,0)),Einstellungen!$F$13:$F$32)))</f>
        <v/>
      </c>
      <c r="P524" s="49">
        <f>IF(OR(A524="",D524=""),0,MAX(0,NETWORKDAYS(MAX(D524,DATE(Einstellungen!$C$3,5,1)),MIN(J524,DATE(Einstellungen!$C$3,6,0)),Einstellungen!$F$13:$F$32)))</f>
        <v/>
      </c>
      <c r="Q524" s="49">
        <f>IF(OR(A524="",D524=""),0,MAX(0,NETWORKDAYS(MAX(D524,DATE(Einstellungen!$C$3,6,1)),MIN(J524,DATE(Einstellungen!$C$3,7,0)),Einstellungen!$F$13:$F$32)))</f>
        <v/>
      </c>
      <c r="R524" s="49">
        <f>IF(OR(A524="",D524=""),0,MAX(0,NETWORKDAYS(MAX(D524,DATE(Einstellungen!$C$3,7,1)),MIN(J524,DATE(Einstellungen!$C$3,8,0)),Einstellungen!$F$13:$F$32)))</f>
        <v/>
      </c>
      <c r="S524" s="49">
        <f>IF(OR(A524="",D524=""),0,MAX(0,NETWORKDAYS(MAX(D524,DATE(Einstellungen!$C$3,8,1)),MIN(J524,DATE(Einstellungen!$C$3,9,0)),Einstellungen!$F$13:$F$32)))</f>
        <v/>
      </c>
      <c r="T524" s="49">
        <f>IF(OR(A524="",D524=""),0,MAX(0,NETWORKDAYS(MAX(D524,DATE(Einstellungen!$C$3,9,1)),MIN(J524,DATE(Einstellungen!$C$3,10,0)),Einstellungen!$F$13:$F$32)))</f>
        <v/>
      </c>
      <c r="U524" s="49">
        <f>IF(OR(A524="",D524=""),0,MAX(0,NETWORKDAYS(MAX(D524,DATE(Einstellungen!$C$3,10,1)),MIN(J524,DATE(Einstellungen!$C$3,11,0)),Einstellungen!$F$13:$F$32)))</f>
        <v/>
      </c>
      <c r="V524" s="49">
        <f>IF(OR(A524="",D524=""),0,MAX(0,NETWORKDAYS(MAX(D524,DATE(Einstellungen!$C$3,11,1)),MIN(J524,DATE(Einstellungen!$C$3,12,0)),Einstellungen!$F$13:$F$32)))</f>
        <v/>
      </c>
      <c r="W524" s="49">
        <f>IF(OR(A524="",D524=""),0,MAX(0,NETWORKDAYS(MAX(D524,DATE(Einstellungen!$C$3,12,1)),MIN(J524,DATE(Einstellungen!$C$3,13,0)),Einstellungen!$F$13:$F$32)))</f>
        <v/>
      </c>
      <c r="X524" s="50">
        <f>L524*K524</f>
        <v/>
      </c>
      <c r="Y524" s="50">
        <f>M524*K524</f>
        <v/>
      </c>
      <c r="Z524" s="50">
        <f>N524*K524</f>
        <v/>
      </c>
      <c r="AA524" s="50">
        <f>O524*K524</f>
        <v/>
      </c>
      <c r="AB524" s="50">
        <f>P524*K524</f>
        <v/>
      </c>
      <c r="AC524" s="50">
        <f>Q524*K524</f>
        <v/>
      </c>
      <c r="AD524" s="50">
        <f>R524*K524</f>
        <v/>
      </c>
      <c r="AE524" s="50">
        <f>S524*K524</f>
        <v/>
      </c>
      <c r="AF524" s="50">
        <f>T524*K524</f>
        <v/>
      </c>
      <c r="AG524" s="50">
        <f>U524*K524</f>
        <v/>
      </c>
      <c r="AH524" s="50">
        <f>V524*K524</f>
        <v/>
      </c>
      <c r="AI524" s="50">
        <f>W524*K524</f>
        <v/>
      </c>
    </row>
    <row r="525">
      <c r="A525" s="25" t="n"/>
      <c r="B525" s="45">
        <f>IF(A525="","",IFERROR(INDEX(Mitarbeiter!$B$6:$B$205,MATCH($A525,Mitarbeiter!$A$6:$A$205,0)),"?"))</f>
        <v/>
      </c>
      <c r="C525" s="46" t="n"/>
      <c r="D525" s="26" t="n"/>
      <c r="E525" s="26" t="n"/>
      <c r="F525" s="24">
        <f>IF(A525="","",SUM(L525:W525))</f>
        <v/>
      </c>
      <c r="G525" s="36">
        <f>IF(A525="","",SUM(X525:AI525))</f>
        <v/>
      </c>
      <c r="H525" s="8">
        <f>IF(A525="","",IF(ISNA(MATCH(A525,Mitarbeiter!$A$6:$A$205,0)),"Pers.-Nr. unbekannt",IF(D525="","Von fehlt",IF(AND(C525&lt;&gt;Einstellungen!$C$4,C525&lt;&gt;Einstellungen!$C$5),"Objekt fehlt",IF(J525&lt;D525,"Bis vor Von",IF(D525&lt;INDEX(Mitarbeiter!$C$6:$C$205,MATCH($A525,Mitarbeiter!$A$6:$A$205,0)),"vor Eintritt",IF(AND(INDEX(Mitarbeiter!$D$6:$D$205,MATCH($A525,Mitarbeiter!$A$6:$A$205,0))&lt;&gt;"",D525&gt;INDEX(Mitarbeiter!$D$6:$D$205,MATCH($A525,Mitarbeiter!$A$6:$A$205,0))),"nach Austritt",IF(E525="","offen","ok"))))))))</f>
        <v/>
      </c>
      <c r="J525" s="47">
        <f>IF(A525="","",IF(E525="",Einstellungen!$C$9,E525))</f>
        <v/>
      </c>
      <c r="K525" s="48">
        <f>IF(A525="",0,IFERROR(INDEX(Mitarbeiter!$F$6:$F$205,MATCH($A525,Mitarbeiter!$A$6:$A$205,0)),0))</f>
        <v/>
      </c>
      <c r="L525" s="49">
        <f>IF(OR(A525="",D525=""),0,MAX(0,NETWORKDAYS(MAX(D525,DATE(Einstellungen!$C$3,1,1)),MIN(J525,DATE(Einstellungen!$C$3,2,0)),Einstellungen!$F$13:$F$32)))</f>
        <v/>
      </c>
      <c r="M525" s="49">
        <f>IF(OR(A525="",D525=""),0,MAX(0,NETWORKDAYS(MAX(D525,DATE(Einstellungen!$C$3,2,1)),MIN(J525,DATE(Einstellungen!$C$3,3,0)),Einstellungen!$F$13:$F$32)))</f>
        <v/>
      </c>
      <c r="N525" s="49">
        <f>IF(OR(A525="",D525=""),0,MAX(0,NETWORKDAYS(MAX(D525,DATE(Einstellungen!$C$3,3,1)),MIN(J525,DATE(Einstellungen!$C$3,4,0)),Einstellungen!$F$13:$F$32)))</f>
        <v/>
      </c>
      <c r="O525" s="49">
        <f>IF(OR(A525="",D525=""),0,MAX(0,NETWORKDAYS(MAX(D525,DATE(Einstellungen!$C$3,4,1)),MIN(J525,DATE(Einstellungen!$C$3,5,0)),Einstellungen!$F$13:$F$32)))</f>
        <v/>
      </c>
      <c r="P525" s="49">
        <f>IF(OR(A525="",D525=""),0,MAX(0,NETWORKDAYS(MAX(D525,DATE(Einstellungen!$C$3,5,1)),MIN(J525,DATE(Einstellungen!$C$3,6,0)),Einstellungen!$F$13:$F$32)))</f>
        <v/>
      </c>
      <c r="Q525" s="49">
        <f>IF(OR(A525="",D525=""),0,MAX(0,NETWORKDAYS(MAX(D525,DATE(Einstellungen!$C$3,6,1)),MIN(J525,DATE(Einstellungen!$C$3,7,0)),Einstellungen!$F$13:$F$32)))</f>
        <v/>
      </c>
      <c r="R525" s="49">
        <f>IF(OR(A525="",D525=""),0,MAX(0,NETWORKDAYS(MAX(D525,DATE(Einstellungen!$C$3,7,1)),MIN(J525,DATE(Einstellungen!$C$3,8,0)),Einstellungen!$F$13:$F$32)))</f>
        <v/>
      </c>
      <c r="S525" s="49">
        <f>IF(OR(A525="",D525=""),0,MAX(0,NETWORKDAYS(MAX(D525,DATE(Einstellungen!$C$3,8,1)),MIN(J525,DATE(Einstellungen!$C$3,9,0)),Einstellungen!$F$13:$F$32)))</f>
        <v/>
      </c>
      <c r="T525" s="49">
        <f>IF(OR(A525="",D525=""),0,MAX(0,NETWORKDAYS(MAX(D525,DATE(Einstellungen!$C$3,9,1)),MIN(J525,DATE(Einstellungen!$C$3,10,0)),Einstellungen!$F$13:$F$32)))</f>
        <v/>
      </c>
      <c r="U525" s="49">
        <f>IF(OR(A525="",D525=""),0,MAX(0,NETWORKDAYS(MAX(D525,DATE(Einstellungen!$C$3,10,1)),MIN(J525,DATE(Einstellungen!$C$3,11,0)),Einstellungen!$F$13:$F$32)))</f>
        <v/>
      </c>
      <c r="V525" s="49">
        <f>IF(OR(A525="",D525=""),0,MAX(0,NETWORKDAYS(MAX(D525,DATE(Einstellungen!$C$3,11,1)),MIN(J525,DATE(Einstellungen!$C$3,12,0)),Einstellungen!$F$13:$F$32)))</f>
        <v/>
      </c>
      <c r="W525" s="49">
        <f>IF(OR(A525="",D525=""),0,MAX(0,NETWORKDAYS(MAX(D525,DATE(Einstellungen!$C$3,12,1)),MIN(J525,DATE(Einstellungen!$C$3,13,0)),Einstellungen!$F$13:$F$32)))</f>
        <v/>
      </c>
      <c r="X525" s="50">
        <f>L525*K525</f>
        <v/>
      </c>
      <c r="Y525" s="50">
        <f>M525*K525</f>
        <v/>
      </c>
      <c r="Z525" s="50">
        <f>N525*K525</f>
        <v/>
      </c>
      <c r="AA525" s="50">
        <f>O525*K525</f>
        <v/>
      </c>
      <c r="AB525" s="50">
        <f>P525*K525</f>
        <v/>
      </c>
      <c r="AC525" s="50">
        <f>Q525*K525</f>
        <v/>
      </c>
      <c r="AD525" s="50">
        <f>R525*K525</f>
        <v/>
      </c>
      <c r="AE525" s="50">
        <f>S525*K525</f>
        <v/>
      </c>
      <c r="AF525" s="50">
        <f>T525*K525</f>
        <v/>
      </c>
      <c r="AG525" s="50">
        <f>U525*K525</f>
        <v/>
      </c>
      <c r="AH525" s="50">
        <f>V525*K525</f>
        <v/>
      </c>
      <c r="AI525" s="50">
        <f>W525*K525</f>
        <v/>
      </c>
    </row>
    <row r="526">
      <c r="A526" s="25" t="n"/>
      <c r="B526" s="45">
        <f>IF(A526="","",IFERROR(INDEX(Mitarbeiter!$B$6:$B$205,MATCH($A526,Mitarbeiter!$A$6:$A$205,0)),"?"))</f>
        <v/>
      </c>
      <c r="C526" s="46" t="n"/>
      <c r="D526" s="26" t="n"/>
      <c r="E526" s="26" t="n"/>
      <c r="F526" s="24">
        <f>IF(A526="","",SUM(L526:W526))</f>
        <v/>
      </c>
      <c r="G526" s="36">
        <f>IF(A526="","",SUM(X526:AI526))</f>
        <v/>
      </c>
      <c r="H526" s="8">
        <f>IF(A526="","",IF(ISNA(MATCH(A526,Mitarbeiter!$A$6:$A$205,0)),"Pers.-Nr. unbekannt",IF(D526="","Von fehlt",IF(AND(C526&lt;&gt;Einstellungen!$C$4,C526&lt;&gt;Einstellungen!$C$5),"Objekt fehlt",IF(J526&lt;D526,"Bis vor Von",IF(D526&lt;INDEX(Mitarbeiter!$C$6:$C$205,MATCH($A526,Mitarbeiter!$A$6:$A$205,0)),"vor Eintritt",IF(AND(INDEX(Mitarbeiter!$D$6:$D$205,MATCH($A526,Mitarbeiter!$A$6:$A$205,0))&lt;&gt;"",D526&gt;INDEX(Mitarbeiter!$D$6:$D$205,MATCH($A526,Mitarbeiter!$A$6:$A$205,0))),"nach Austritt",IF(E526="","offen","ok"))))))))</f>
        <v/>
      </c>
      <c r="J526" s="47">
        <f>IF(A526="","",IF(E526="",Einstellungen!$C$9,E526))</f>
        <v/>
      </c>
      <c r="K526" s="48">
        <f>IF(A526="",0,IFERROR(INDEX(Mitarbeiter!$F$6:$F$205,MATCH($A526,Mitarbeiter!$A$6:$A$205,0)),0))</f>
        <v/>
      </c>
      <c r="L526" s="49">
        <f>IF(OR(A526="",D526=""),0,MAX(0,NETWORKDAYS(MAX(D526,DATE(Einstellungen!$C$3,1,1)),MIN(J526,DATE(Einstellungen!$C$3,2,0)),Einstellungen!$F$13:$F$32)))</f>
        <v/>
      </c>
      <c r="M526" s="49">
        <f>IF(OR(A526="",D526=""),0,MAX(0,NETWORKDAYS(MAX(D526,DATE(Einstellungen!$C$3,2,1)),MIN(J526,DATE(Einstellungen!$C$3,3,0)),Einstellungen!$F$13:$F$32)))</f>
        <v/>
      </c>
      <c r="N526" s="49">
        <f>IF(OR(A526="",D526=""),0,MAX(0,NETWORKDAYS(MAX(D526,DATE(Einstellungen!$C$3,3,1)),MIN(J526,DATE(Einstellungen!$C$3,4,0)),Einstellungen!$F$13:$F$32)))</f>
        <v/>
      </c>
      <c r="O526" s="49">
        <f>IF(OR(A526="",D526=""),0,MAX(0,NETWORKDAYS(MAX(D526,DATE(Einstellungen!$C$3,4,1)),MIN(J526,DATE(Einstellungen!$C$3,5,0)),Einstellungen!$F$13:$F$32)))</f>
        <v/>
      </c>
      <c r="P526" s="49">
        <f>IF(OR(A526="",D526=""),0,MAX(0,NETWORKDAYS(MAX(D526,DATE(Einstellungen!$C$3,5,1)),MIN(J526,DATE(Einstellungen!$C$3,6,0)),Einstellungen!$F$13:$F$32)))</f>
        <v/>
      </c>
      <c r="Q526" s="49">
        <f>IF(OR(A526="",D526=""),0,MAX(0,NETWORKDAYS(MAX(D526,DATE(Einstellungen!$C$3,6,1)),MIN(J526,DATE(Einstellungen!$C$3,7,0)),Einstellungen!$F$13:$F$32)))</f>
        <v/>
      </c>
      <c r="R526" s="49">
        <f>IF(OR(A526="",D526=""),0,MAX(0,NETWORKDAYS(MAX(D526,DATE(Einstellungen!$C$3,7,1)),MIN(J526,DATE(Einstellungen!$C$3,8,0)),Einstellungen!$F$13:$F$32)))</f>
        <v/>
      </c>
      <c r="S526" s="49">
        <f>IF(OR(A526="",D526=""),0,MAX(0,NETWORKDAYS(MAX(D526,DATE(Einstellungen!$C$3,8,1)),MIN(J526,DATE(Einstellungen!$C$3,9,0)),Einstellungen!$F$13:$F$32)))</f>
        <v/>
      </c>
      <c r="T526" s="49">
        <f>IF(OR(A526="",D526=""),0,MAX(0,NETWORKDAYS(MAX(D526,DATE(Einstellungen!$C$3,9,1)),MIN(J526,DATE(Einstellungen!$C$3,10,0)),Einstellungen!$F$13:$F$32)))</f>
        <v/>
      </c>
      <c r="U526" s="49">
        <f>IF(OR(A526="",D526=""),0,MAX(0,NETWORKDAYS(MAX(D526,DATE(Einstellungen!$C$3,10,1)),MIN(J526,DATE(Einstellungen!$C$3,11,0)),Einstellungen!$F$13:$F$32)))</f>
        <v/>
      </c>
      <c r="V526" s="49">
        <f>IF(OR(A526="",D526=""),0,MAX(0,NETWORKDAYS(MAX(D526,DATE(Einstellungen!$C$3,11,1)),MIN(J526,DATE(Einstellungen!$C$3,12,0)),Einstellungen!$F$13:$F$32)))</f>
        <v/>
      </c>
      <c r="W526" s="49">
        <f>IF(OR(A526="",D526=""),0,MAX(0,NETWORKDAYS(MAX(D526,DATE(Einstellungen!$C$3,12,1)),MIN(J526,DATE(Einstellungen!$C$3,13,0)),Einstellungen!$F$13:$F$32)))</f>
        <v/>
      </c>
      <c r="X526" s="50">
        <f>L526*K526</f>
        <v/>
      </c>
      <c r="Y526" s="50">
        <f>M526*K526</f>
        <v/>
      </c>
      <c r="Z526" s="50">
        <f>N526*K526</f>
        <v/>
      </c>
      <c r="AA526" s="50">
        <f>O526*K526</f>
        <v/>
      </c>
      <c r="AB526" s="50">
        <f>P526*K526</f>
        <v/>
      </c>
      <c r="AC526" s="50">
        <f>Q526*K526</f>
        <v/>
      </c>
      <c r="AD526" s="50">
        <f>R526*K526</f>
        <v/>
      </c>
      <c r="AE526" s="50">
        <f>S526*K526</f>
        <v/>
      </c>
      <c r="AF526" s="50">
        <f>T526*K526</f>
        <v/>
      </c>
      <c r="AG526" s="50">
        <f>U526*K526</f>
        <v/>
      </c>
      <c r="AH526" s="50">
        <f>V526*K526</f>
        <v/>
      </c>
      <c r="AI526" s="50">
        <f>W526*K526</f>
        <v/>
      </c>
    </row>
    <row r="527">
      <c r="A527" s="25" t="n"/>
      <c r="B527" s="45">
        <f>IF(A527="","",IFERROR(INDEX(Mitarbeiter!$B$6:$B$205,MATCH($A527,Mitarbeiter!$A$6:$A$205,0)),"?"))</f>
        <v/>
      </c>
      <c r="C527" s="46" t="n"/>
      <c r="D527" s="26" t="n"/>
      <c r="E527" s="26" t="n"/>
      <c r="F527" s="24">
        <f>IF(A527="","",SUM(L527:W527))</f>
        <v/>
      </c>
      <c r="G527" s="36">
        <f>IF(A527="","",SUM(X527:AI527))</f>
        <v/>
      </c>
      <c r="H527" s="8">
        <f>IF(A527="","",IF(ISNA(MATCH(A527,Mitarbeiter!$A$6:$A$205,0)),"Pers.-Nr. unbekannt",IF(D527="","Von fehlt",IF(AND(C527&lt;&gt;Einstellungen!$C$4,C527&lt;&gt;Einstellungen!$C$5),"Objekt fehlt",IF(J527&lt;D527,"Bis vor Von",IF(D527&lt;INDEX(Mitarbeiter!$C$6:$C$205,MATCH($A527,Mitarbeiter!$A$6:$A$205,0)),"vor Eintritt",IF(AND(INDEX(Mitarbeiter!$D$6:$D$205,MATCH($A527,Mitarbeiter!$A$6:$A$205,0))&lt;&gt;"",D527&gt;INDEX(Mitarbeiter!$D$6:$D$205,MATCH($A527,Mitarbeiter!$A$6:$A$205,0))),"nach Austritt",IF(E527="","offen","ok"))))))))</f>
        <v/>
      </c>
      <c r="J527" s="47">
        <f>IF(A527="","",IF(E527="",Einstellungen!$C$9,E527))</f>
        <v/>
      </c>
      <c r="K527" s="48">
        <f>IF(A527="",0,IFERROR(INDEX(Mitarbeiter!$F$6:$F$205,MATCH($A527,Mitarbeiter!$A$6:$A$205,0)),0))</f>
        <v/>
      </c>
      <c r="L527" s="49">
        <f>IF(OR(A527="",D527=""),0,MAX(0,NETWORKDAYS(MAX(D527,DATE(Einstellungen!$C$3,1,1)),MIN(J527,DATE(Einstellungen!$C$3,2,0)),Einstellungen!$F$13:$F$32)))</f>
        <v/>
      </c>
      <c r="M527" s="49">
        <f>IF(OR(A527="",D527=""),0,MAX(0,NETWORKDAYS(MAX(D527,DATE(Einstellungen!$C$3,2,1)),MIN(J527,DATE(Einstellungen!$C$3,3,0)),Einstellungen!$F$13:$F$32)))</f>
        <v/>
      </c>
      <c r="N527" s="49">
        <f>IF(OR(A527="",D527=""),0,MAX(0,NETWORKDAYS(MAX(D527,DATE(Einstellungen!$C$3,3,1)),MIN(J527,DATE(Einstellungen!$C$3,4,0)),Einstellungen!$F$13:$F$32)))</f>
        <v/>
      </c>
      <c r="O527" s="49">
        <f>IF(OR(A527="",D527=""),0,MAX(0,NETWORKDAYS(MAX(D527,DATE(Einstellungen!$C$3,4,1)),MIN(J527,DATE(Einstellungen!$C$3,5,0)),Einstellungen!$F$13:$F$32)))</f>
        <v/>
      </c>
      <c r="P527" s="49">
        <f>IF(OR(A527="",D527=""),0,MAX(0,NETWORKDAYS(MAX(D527,DATE(Einstellungen!$C$3,5,1)),MIN(J527,DATE(Einstellungen!$C$3,6,0)),Einstellungen!$F$13:$F$32)))</f>
        <v/>
      </c>
      <c r="Q527" s="49">
        <f>IF(OR(A527="",D527=""),0,MAX(0,NETWORKDAYS(MAX(D527,DATE(Einstellungen!$C$3,6,1)),MIN(J527,DATE(Einstellungen!$C$3,7,0)),Einstellungen!$F$13:$F$32)))</f>
        <v/>
      </c>
      <c r="R527" s="49">
        <f>IF(OR(A527="",D527=""),0,MAX(0,NETWORKDAYS(MAX(D527,DATE(Einstellungen!$C$3,7,1)),MIN(J527,DATE(Einstellungen!$C$3,8,0)),Einstellungen!$F$13:$F$32)))</f>
        <v/>
      </c>
      <c r="S527" s="49">
        <f>IF(OR(A527="",D527=""),0,MAX(0,NETWORKDAYS(MAX(D527,DATE(Einstellungen!$C$3,8,1)),MIN(J527,DATE(Einstellungen!$C$3,9,0)),Einstellungen!$F$13:$F$32)))</f>
        <v/>
      </c>
      <c r="T527" s="49">
        <f>IF(OR(A527="",D527=""),0,MAX(0,NETWORKDAYS(MAX(D527,DATE(Einstellungen!$C$3,9,1)),MIN(J527,DATE(Einstellungen!$C$3,10,0)),Einstellungen!$F$13:$F$32)))</f>
        <v/>
      </c>
      <c r="U527" s="49">
        <f>IF(OR(A527="",D527=""),0,MAX(0,NETWORKDAYS(MAX(D527,DATE(Einstellungen!$C$3,10,1)),MIN(J527,DATE(Einstellungen!$C$3,11,0)),Einstellungen!$F$13:$F$32)))</f>
        <v/>
      </c>
      <c r="V527" s="49">
        <f>IF(OR(A527="",D527=""),0,MAX(0,NETWORKDAYS(MAX(D527,DATE(Einstellungen!$C$3,11,1)),MIN(J527,DATE(Einstellungen!$C$3,12,0)),Einstellungen!$F$13:$F$32)))</f>
        <v/>
      </c>
      <c r="W527" s="49">
        <f>IF(OR(A527="",D527=""),0,MAX(0,NETWORKDAYS(MAX(D527,DATE(Einstellungen!$C$3,12,1)),MIN(J527,DATE(Einstellungen!$C$3,13,0)),Einstellungen!$F$13:$F$32)))</f>
        <v/>
      </c>
      <c r="X527" s="50">
        <f>L527*K527</f>
        <v/>
      </c>
      <c r="Y527" s="50">
        <f>M527*K527</f>
        <v/>
      </c>
      <c r="Z527" s="50">
        <f>N527*K527</f>
        <v/>
      </c>
      <c r="AA527" s="50">
        <f>O527*K527</f>
        <v/>
      </c>
      <c r="AB527" s="50">
        <f>P527*K527</f>
        <v/>
      </c>
      <c r="AC527" s="50">
        <f>Q527*K527</f>
        <v/>
      </c>
      <c r="AD527" s="50">
        <f>R527*K527</f>
        <v/>
      </c>
      <c r="AE527" s="50">
        <f>S527*K527</f>
        <v/>
      </c>
      <c r="AF527" s="50">
        <f>T527*K527</f>
        <v/>
      </c>
      <c r="AG527" s="50">
        <f>U527*K527</f>
        <v/>
      </c>
      <c r="AH527" s="50">
        <f>V527*K527</f>
        <v/>
      </c>
      <c r="AI527" s="50">
        <f>W527*K527</f>
        <v/>
      </c>
    </row>
    <row r="528">
      <c r="A528" s="25" t="n"/>
      <c r="B528" s="45">
        <f>IF(A528="","",IFERROR(INDEX(Mitarbeiter!$B$6:$B$205,MATCH($A528,Mitarbeiter!$A$6:$A$205,0)),"?"))</f>
        <v/>
      </c>
      <c r="C528" s="46" t="n"/>
      <c r="D528" s="26" t="n"/>
      <c r="E528" s="26" t="n"/>
      <c r="F528" s="24">
        <f>IF(A528="","",SUM(L528:W528))</f>
        <v/>
      </c>
      <c r="G528" s="36">
        <f>IF(A528="","",SUM(X528:AI528))</f>
        <v/>
      </c>
      <c r="H528" s="8">
        <f>IF(A528="","",IF(ISNA(MATCH(A528,Mitarbeiter!$A$6:$A$205,0)),"Pers.-Nr. unbekannt",IF(D528="","Von fehlt",IF(AND(C528&lt;&gt;Einstellungen!$C$4,C528&lt;&gt;Einstellungen!$C$5),"Objekt fehlt",IF(J528&lt;D528,"Bis vor Von",IF(D528&lt;INDEX(Mitarbeiter!$C$6:$C$205,MATCH($A528,Mitarbeiter!$A$6:$A$205,0)),"vor Eintritt",IF(AND(INDEX(Mitarbeiter!$D$6:$D$205,MATCH($A528,Mitarbeiter!$A$6:$A$205,0))&lt;&gt;"",D528&gt;INDEX(Mitarbeiter!$D$6:$D$205,MATCH($A528,Mitarbeiter!$A$6:$A$205,0))),"nach Austritt",IF(E528="","offen","ok"))))))))</f>
        <v/>
      </c>
      <c r="J528" s="47">
        <f>IF(A528="","",IF(E528="",Einstellungen!$C$9,E528))</f>
        <v/>
      </c>
      <c r="K528" s="48">
        <f>IF(A528="",0,IFERROR(INDEX(Mitarbeiter!$F$6:$F$205,MATCH($A528,Mitarbeiter!$A$6:$A$205,0)),0))</f>
        <v/>
      </c>
      <c r="L528" s="49">
        <f>IF(OR(A528="",D528=""),0,MAX(0,NETWORKDAYS(MAX(D528,DATE(Einstellungen!$C$3,1,1)),MIN(J528,DATE(Einstellungen!$C$3,2,0)),Einstellungen!$F$13:$F$32)))</f>
        <v/>
      </c>
      <c r="M528" s="49">
        <f>IF(OR(A528="",D528=""),0,MAX(0,NETWORKDAYS(MAX(D528,DATE(Einstellungen!$C$3,2,1)),MIN(J528,DATE(Einstellungen!$C$3,3,0)),Einstellungen!$F$13:$F$32)))</f>
        <v/>
      </c>
      <c r="N528" s="49">
        <f>IF(OR(A528="",D528=""),0,MAX(0,NETWORKDAYS(MAX(D528,DATE(Einstellungen!$C$3,3,1)),MIN(J528,DATE(Einstellungen!$C$3,4,0)),Einstellungen!$F$13:$F$32)))</f>
        <v/>
      </c>
      <c r="O528" s="49">
        <f>IF(OR(A528="",D528=""),0,MAX(0,NETWORKDAYS(MAX(D528,DATE(Einstellungen!$C$3,4,1)),MIN(J528,DATE(Einstellungen!$C$3,5,0)),Einstellungen!$F$13:$F$32)))</f>
        <v/>
      </c>
      <c r="P528" s="49">
        <f>IF(OR(A528="",D528=""),0,MAX(0,NETWORKDAYS(MAX(D528,DATE(Einstellungen!$C$3,5,1)),MIN(J528,DATE(Einstellungen!$C$3,6,0)),Einstellungen!$F$13:$F$32)))</f>
        <v/>
      </c>
      <c r="Q528" s="49">
        <f>IF(OR(A528="",D528=""),0,MAX(0,NETWORKDAYS(MAX(D528,DATE(Einstellungen!$C$3,6,1)),MIN(J528,DATE(Einstellungen!$C$3,7,0)),Einstellungen!$F$13:$F$32)))</f>
        <v/>
      </c>
      <c r="R528" s="49">
        <f>IF(OR(A528="",D528=""),0,MAX(0,NETWORKDAYS(MAX(D528,DATE(Einstellungen!$C$3,7,1)),MIN(J528,DATE(Einstellungen!$C$3,8,0)),Einstellungen!$F$13:$F$32)))</f>
        <v/>
      </c>
      <c r="S528" s="49">
        <f>IF(OR(A528="",D528=""),0,MAX(0,NETWORKDAYS(MAX(D528,DATE(Einstellungen!$C$3,8,1)),MIN(J528,DATE(Einstellungen!$C$3,9,0)),Einstellungen!$F$13:$F$32)))</f>
        <v/>
      </c>
      <c r="T528" s="49">
        <f>IF(OR(A528="",D528=""),0,MAX(0,NETWORKDAYS(MAX(D528,DATE(Einstellungen!$C$3,9,1)),MIN(J528,DATE(Einstellungen!$C$3,10,0)),Einstellungen!$F$13:$F$32)))</f>
        <v/>
      </c>
      <c r="U528" s="49">
        <f>IF(OR(A528="",D528=""),0,MAX(0,NETWORKDAYS(MAX(D528,DATE(Einstellungen!$C$3,10,1)),MIN(J528,DATE(Einstellungen!$C$3,11,0)),Einstellungen!$F$13:$F$32)))</f>
        <v/>
      </c>
      <c r="V528" s="49">
        <f>IF(OR(A528="",D528=""),0,MAX(0,NETWORKDAYS(MAX(D528,DATE(Einstellungen!$C$3,11,1)),MIN(J528,DATE(Einstellungen!$C$3,12,0)),Einstellungen!$F$13:$F$32)))</f>
        <v/>
      </c>
      <c r="W528" s="49">
        <f>IF(OR(A528="",D528=""),0,MAX(0,NETWORKDAYS(MAX(D528,DATE(Einstellungen!$C$3,12,1)),MIN(J528,DATE(Einstellungen!$C$3,13,0)),Einstellungen!$F$13:$F$32)))</f>
        <v/>
      </c>
      <c r="X528" s="50">
        <f>L528*K528</f>
        <v/>
      </c>
      <c r="Y528" s="50">
        <f>M528*K528</f>
        <v/>
      </c>
      <c r="Z528" s="50">
        <f>N528*K528</f>
        <v/>
      </c>
      <c r="AA528" s="50">
        <f>O528*K528</f>
        <v/>
      </c>
      <c r="AB528" s="50">
        <f>P528*K528</f>
        <v/>
      </c>
      <c r="AC528" s="50">
        <f>Q528*K528</f>
        <v/>
      </c>
      <c r="AD528" s="50">
        <f>R528*K528</f>
        <v/>
      </c>
      <c r="AE528" s="50">
        <f>S528*K528</f>
        <v/>
      </c>
      <c r="AF528" s="50">
        <f>T528*K528</f>
        <v/>
      </c>
      <c r="AG528" s="50">
        <f>U528*K528</f>
        <v/>
      </c>
      <c r="AH528" s="50">
        <f>V528*K528</f>
        <v/>
      </c>
      <c r="AI528" s="50">
        <f>W528*K528</f>
        <v/>
      </c>
    </row>
    <row r="529">
      <c r="A529" s="25" t="n"/>
      <c r="B529" s="45">
        <f>IF(A529="","",IFERROR(INDEX(Mitarbeiter!$B$6:$B$205,MATCH($A529,Mitarbeiter!$A$6:$A$205,0)),"?"))</f>
        <v/>
      </c>
      <c r="C529" s="46" t="n"/>
      <c r="D529" s="26" t="n"/>
      <c r="E529" s="26" t="n"/>
      <c r="F529" s="24">
        <f>IF(A529="","",SUM(L529:W529))</f>
        <v/>
      </c>
      <c r="G529" s="36">
        <f>IF(A529="","",SUM(X529:AI529))</f>
        <v/>
      </c>
      <c r="H529" s="8">
        <f>IF(A529="","",IF(ISNA(MATCH(A529,Mitarbeiter!$A$6:$A$205,0)),"Pers.-Nr. unbekannt",IF(D529="","Von fehlt",IF(AND(C529&lt;&gt;Einstellungen!$C$4,C529&lt;&gt;Einstellungen!$C$5),"Objekt fehlt",IF(J529&lt;D529,"Bis vor Von",IF(D529&lt;INDEX(Mitarbeiter!$C$6:$C$205,MATCH($A529,Mitarbeiter!$A$6:$A$205,0)),"vor Eintritt",IF(AND(INDEX(Mitarbeiter!$D$6:$D$205,MATCH($A529,Mitarbeiter!$A$6:$A$205,0))&lt;&gt;"",D529&gt;INDEX(Mitarbeiter!$D$6:$D$205,MATCH($A529,Mitarbeiter!$A$6:$A$205,0))),"nach Austritt",IF(E529="","offen","ok"))))))))</f>
        <v/>
      </c>
      <c r="J529" s="47">
        <f>IF(A529="","",IF(E529="",Einstellungen!$C$9,E529))</f>
        <v/>
      </c>
      <c r="K529" s="48">
        <f>IF(A529="",0,IFERROR(INDEX(Mitarbeiter!$F$6:$F$205,MATCH($A529,Mitarbeiter!$A$6:$A$205,0)),0))</f>
        <v/>
      </c>
      <c r="L529" s="49">
        <f>IF(OR(A529="",D529=""),0,MAX(0,NETWORKDAYS(MAX(D529,DATE(Einstellungen!$C$3,1,1)),MIN(J529,DATE(Einstellungen!$C$3,2,0)),Einstellungen!$F$13:$F$32)))</f>
        <v/>
      </c>
      <c r="M529" s="49">
        <f>IF(OR(A529="",D529=""),0,MAX(0,NETWORKDAYS(MAX(D529,DATE(Einstellungen!$C$3,2,1)),MIN(J529,DATE(Einstellungen!$C$3,3,0)),Einstellungen!$F$13:$F$32)))</f>
        <v/>
      </c>
      <c r="N529" s="49">
        <f>IF(OR(A529="",D529=""),0,MAX(0,NETWORKDAYS(MAX(D529,DATE(Einstellungen!$C$3,3,1)),MIN(J529,DATE(Einstellungen!$C$3,4,0)),Einstellungen!$F$13:$F$32)))</f>
        <v/>
      </c>
      <c r="O529" s="49">
        <f>IF(OR(A529="",D529=""),0,MAX(0,NETWORKDAYS(MAX(D529,DATE(Einstellungen!$C$3,4,1)),MIN(J529,DATE(Einstellungen!$C$3,5,0)),Einstellungen!$F$13:$F$32)))</f>
        <v/>
      </c>
      <c r="P529" s="49">
        <f>IF(OR(A529="",D529=""),0,MAX(0,NETWORKDAYS(MAX(D529,DATE(Einstellungen!$C$3,5,1)),MIN(J529,DATE(Einstellungen!$C$3,6,0)),Einstellungen!$F$13:$F$32)))</f>
        <v/>
      </c>
      <c r="Q529" s="49">
        <f>IF(OR(A529="",D529=""),0,MAX(0,NETWORKDAYS(MAX(D529,DATE(Einstellungen!$C$3,6,1)),MIN(J529,DATE(Einstellungen!$C$3,7,0)),Einstellungen!$F$13:$F$32)))</f>
        <v/>
      </c>
      <c r="R529" s="49">
        <f>IF(OR(A529="",D529=""),0,MAX(0,NETWORKDAYS(MAX(D529,DATE(Einstellungen!$C$3,7,1)),MIN(J529,DATE(Einstellungen!$C$3,8,0)),Einstellungen!$F$13:$F$32)))</f>
        <v/>
      </c>
      <c r="S529" s="49">
        <f>IF(OR(A529="",D529=""),0,MAX(0,NETWORKDAYS(MAX(D529,DATE(Einstellungen!$C$3,8,1)),MIN(J529,DATE(Einstellungen!$C$3,9,0)),Einstellungen!$F$13:$F$32)))</f>
        <v/>
      </c>
      <c r="T529" s="49">
        <f>IF(OR(A529="",D529=""),0,MAX(0,NETWORKDAYS(MAX(D529,DATE(Einstellungen!$C$3,9,1)),MIN(J529,DATE(Einstellungen!$C$3,10,0)),Einstellungen!$F$13:$F$32)))</f>
        <v/>
      </c>
      <c r="U529" s="49">
        <f>IF(OR(A529="",D529=""),0,MAX(0,NETWORKDAYS(MAX(D529,DATE(Einstellungen!$C$3,10,1)),MIN(J529,DATE(Einstellungen!$C$3,11,0)),Einstellungen!$F$13:$F$32)))</f>
        <v/>
      </c>
      <c r="V529" s="49">
        <f>IF(OR(A529="",D529=""),0,MAX(0,NETWORKDAYS(MAX(D529,DATE(Einstellungen!$C$3,11,1)),MIN(J529,DATE(Einstellungen!$C$3,12,0)),Einstellungen!$F$13:$F$32)))</f>
        <v/>
      </c>
      <c r="W529" s="49">
        <f>IF(OR(A529="",D529=""),0,MAX(0,NETWORKDAYS(MAX(D529,DATE(Einstellungen!$C$3,12,1)),MIN(J529,DATE(Einstellungen!$C$3,13,0)),Einstellungen!$F$13:$F$32)))</f>
        <v/>
      </c>
      <c r="X529" s="50">
        <f>L529*K529</f>
        <v/>
      </c>
      <c r="Y529" s="50">
        <f>M529*K529</f>
        <v/>
      </c>
      <c r="Z529" s="50">
        <f>N529*K529</f>
        <v/>
      </c>
      <c r="AA529" s="50">
        <f>O529*K529</f>
        <v/>
      </c>
      <c r="AB529" s="50">
        <f>P529*K529</f>
        <v/>
      </c>
      <c r="AC529" s="50">
        <f>Q529*K529</f>
        <v/>
      </c>
      <c r="AD529" s="50">
        <f>R529*K529</f>
        <v/>
      </c>
      <c r="AE529" s="50">
        <f>S529*K529</f>
        <v/>
      </c>
      <c r="AF529" s="50">
        <f>T529*K529</f>
        <v/>
      </c>
      <c r="AG529" s="50">
        <f>U529*K529</f>
        <v/>
      </c>
      <c r="AH529" s="50">
        <f>V529*K529</f>
        <v/>
      </c>
      <c r="AI529" s="50">
        <f>W529*K529</f>
        <v/>
      </c>
    </row>
    <row r="530">
      <c r="A530" s="25" t="n"/>
      <c r="B530" s="45">
        <f>IF(A530="","",IFERROR(INDEX(Mitarbeiter!$B$6:$B$205,MATCH($A530,Mitarbeiter!$A$6:$A$205,0)),"?"))</f>
        <v/>
      </c>
      <c r="C530" s="46" t="n"/>
      <c r="D530" s="26" t="n"/>
      <c r="E530" s="26" t="n"/>
      <c r="F530" s="24">
        <f>IF(A530="","",SUM(L530:W530))</f>
        <v/>
      </c>
      <c r="G530" s="36">
        <f>IF(A530="","",SUM(X530:AI530))</f>
        <v/>
      </c>
      <c r="H530" s="8">
        <f>IF(A530="","",IF(ISNA(MATCH(A530,Mitarbeiter!$A$6:$A$205,0)),"Pers.-Nr. unbekannt",IF(D530="","Von fehlt",IF(AND(C530&lt;&gt;Einstellungen!$C$4,C530&lt;&gt;Einstellungen!$C$5),"Objekt fehlt",IF(J530&lt;D530,"Bis vor Von",IF(D530&lt;INDEX(Mitarbeiter!$C$6:$C$205,MATCH($A530,Mitarbeiter!$A$6:$A$205,0)),"vor Eintritt",IF(AND(INDEX(Mitarbeiter!$D$6:$D$205,MATCH($A530,Mitarbeiter!$A$6:$A$205,0))&lt;&gt;"",D530&gt;INDEX(Mitarbeiter!$D$6:$D$205,MATCH($A530,Mitarbeiter!$A$6:$A$205,0))),"nach Austritt",IF(E530="","offen","ok"))))))))</f>
        <v/>
      </c>
      <c r="J530" s="47">
        <f>IF(A530="","",IF(E530="",Einstellungen!$C$9,E530))</f>
        <v/>
      </c>
      <c r="K530" s="48">
        <f>IF(A530="",0,IFERROR(INDEX(Mitarbeiter!$F$6:$F$205,MATCH($A530,Mitarbeiter!$A$6:$A$205,0)),0))</f>
        <v/>
      </c>
      <c r="L530" s="49">
        <f>IF(OR(A530="",D530=""),0,MAX(0,NETWORKDAYS(MAX(D530,DATE(Einstellungen!$C$3,1,1)),MIN(J530,DATE(Einstellungen!$C$3,2,0)),Einstellungen!$F$13:$F$32)))</f>
        <v/>
      </c>
      <c r="M530" s="49">
        <f>IF(OR(A530="",D530=""),0,MAX(0,NETWORKDAYS(MAX(D530,DATE(Einstellungen!$C$3,2,1)),MIN(J530,DATE(Einstellungen!$C$3,3,0)),Einstellungen!$F$13:$F$32)))</f>
        <v/>
      </c>
      <c r="N530" s="49">
        <f>IF(OR(A530="",D530=""),0,MAX(0,NETWORKDAYS(MAX(D530,DATE(Einstellungen!$C$3,3,1)),MIN(J530,DATE(Einstellungen!$C$3,4,0)),Einstellungen!$F$13:$F$32)))</f>
        <v/>
      </c>
      <c r="O530" s="49">
        <f>IF(OR(A530="",D530=""),0,MAX(0,NETWORKDAYS(MAX(D530,DATE(Einstellungen!$C$3,4,1)),MIN(J530,DATE(Einstellungen!$C$3,5,0)),Einstellungen!$F$13:$F$32)))</f>
        <v/>
      </c>
      <c r="P530" s="49">
        <f>IF(OR(A530="",D530=""),0,MAX(0,NETWORKDAYS(MAX(D530,DATE(Einstellungen!$C$3,5,1)),MIN(J530,DATE(Einstellungen!$C$3,6,0)),Einstellungen!$F$13:$F$32)))</f>
        <v/>
      </c>
      <c r="Q530" s="49">
        <f>IF(OR(A530="",D530=""),0,MAX(0,NETWORKDAYS(MAX(D530,DATE(Einstellungen!$C$3,6,1)),MIN(J530,DATE(Einstellungen!$C$3,7,0)),Einstellungen!$F$13:$F$32)))</f>
        <v/>
      </c>
      <c r="R530" s="49">
        <f>IF(OR(A530="",D530=""),0,MAX(0,NETWORKDAYS(MAX(D530,DATE(Einstellungen!$C$3,7,1)),MIN(J530,DATE(Einstellungen!$C$3,8,0)),Einstellungen!$F$13:$F$32)))</f>
        <v/>
      </c>
      <c r="S530" s="49">
        <f>IF(OR(A530="",D530=""),0,MAX(0,NETWORKDAYS(MAX(D530,DATE(Einstellungen!$C$3,8,1)),MIN(J530,DATE(Einstellungen!$C$3,9,0)),Einstellungen!$F$13:$F$32)))</f>
        <v/>
      </c>
      <c r="T530" s="49">
        <f>IF(OR(A530="",D530=""),0,MAX(0,NETWORKDAYS(MAX(D530,DATE(Einstellungen!$C$3,9,1)),MIN(J530,DATE(Einstellungen!$C$3,10,0)),Einstellungen!$F$13:$F$32)))</f>
        <v/>
      </c>
      <c r="U530" s="49">
        <f>IF(OR(A530="",D530=""),0,MAX(0,NETWORKDAYS(MAX(D530,DATE(Einstellungen!$C$3,10,1)),MIN(J530,DATE(Einstellungen!$C$3,11,0)),Einstellungen!$F$13:$F$32)))</f>
        <v/>
      </c>
      <c r="V530" s="49">
        <f>IF(OR(A530="",D530=""),0,MAX(0,NETWORKDAYS(MAX(D530,DATE(Einstellungen!$C$3,11,1)),MIN(J530,DATE(Einstellungen!$C$3,12,0)),Einstellungen!$F$13:$F$32)))</f>
        <v/>
      </c>
      <c r="W530" s="49">
        <f>IF(OR(A530="",D530=""),0,MAX(0,NETWORKDAYS(MAX(D530,DATE(Einstellungen!$C$3,12,1)),MIN(J530,DATE(Einstellungen!$C$3,13,0)),Einstellungen!$F$13:$F$32)))</f>
        <v/>
      </c>
      <c r="X530" s="50">
        <f>L530*K530</f>
        <v/>
      </c>
      <c r="Y530" s="50">
        <f>M530*K530</f>
        <v/>
      </c>
      <c r="Z530" s="50">
        <f>N530*K530</f>
        <v/>
      </c>
      <c r="AA530" s="50">
        <f>O530*K530</f>
        <v/>
      </c>
      <c r="AB530" s="50">
        <f>P530*K530</f>
        <v/>
      </c>
      <c r="AC530" s="50">
        <f>Q530*K530</f>
        <v/>
      </c>
      <c r="AD530" s="50">
        <f>R530*K530</f>
        <v/>
      </c>
      <c r="AE530" s="50">
        <f>S530*K530</f>
        <v/>
      </c>
      <c r="AF530" s="50">
        <f>T530*K530</f>
        <v/>
      </c>
      <c r="AG530" s="50">
        <f>U530*K530</f>
        <v/>
      </c>
      <c r="AH530" s="50">
        <f>V530*K530</f>
        <v/>
      </c>
      <c r="AI530" s="50">
        <f>W530*K530</f>
        <v/>
      </c>
    </row>
    <row r="531">
      <c r="A531" s="25" t="n"/>
      <c r="B531" s="45">
        <f>IF(A531="","",IFERROR(INDEX(Mitarbeiter!$B$6:$B$205,MATCH($A531,Mitarbeiter!$A$6:$A$205,0)),"?"))</f>
        <v/>
      </c>
      <c r="C531" s="46" t="n"/>
      <c r="D531" s="26" t="n"/>
      <c r="E531" s="26" t="n"/>
      <c r="F531" s="24">
        <f>IF(A531="","",SUM(L531:W531))</f>
        <v/>
      </c>
      <c r="G531" s="36">
        <f>IF(A531="","",SUM(X531:AI531))</f>
        <v/>
      </c>
      <c r="H531" s="8">
        <f>IF(A531="","",IF(ISNA(MATCH(A531,Mitarbeiter!$A$6:$A$205,0)),"Pers.-Nr. unbekannt",IF(D531="","Von fehlt",IF(AND(C531&lt;&gt;Einstellungen!$C$4,C531&lt;&gt;Einstellungen!$C$5),"Objekt fehlt",IF(J531&lt;D531,"Bis vor Von",IF(D531&lt;INDEX(Mitarbeiter!$C$6:$C$205,MATCH($A531,Mitarbeiter!$A$6:$A$205,0)),"vor Eintritt",IF(AND(INDEX(Mitarbeiter!$D$6:$D$205,MATCH($A531,Mitarbeiter!$A$6:$A$205,0))&lt;&gt;"",D531&gt;INDEX(Mitarbeiter!$D$6:$D$205,MATCH($A531,Mitarbeiter!$A$6:$A$205,0))),"nach Austritt",IF(E531="","offen","ok"))))))))</f>
        <v/>
      </c>
      <c r="J531" s="47">
        <f>IF(A531="","",IF(E531="",Einstellungen!$C$9,E531))</f>
        <v/>
      </c>
      <c r="K531" s="48">
        <f>IF(A531="",0,IFERROR(INDEX(Mitarbeiter!$F$6:$F$205,MATCH($A531,Mitarbeiter!$A$6:$A$205,0)),0))</f>
        <v/>
      </c>
      <c r="L531" s="49">
        <f>IF(OR(A531="",D531=""),0,MAX(0,NETWORKDAYS(MAX(D531,DATE(Einstellungen!$C$3,1,1)),MIN(J531,DATE(Einstellungen!$C$3,2,0)),Einstellungen!$F$13:$F$32)))</f>
        <v/>
      </c>
      <c r="M531" s="49">
        <f>IF(OR(A531="",D531=""),0,MAX(0,NETWORKDAYS(MAX(D531,DATE(Einstellungen!$C$3,2,1)),MIN(J531,DATE(Einstellungen!$C$3,3,0)),Einstellungen!$F$13:$F$32)))</f>
        <v/>
      </c>
      <c r="N531" s="49">
        <f>IF(OR(A531="",D531=""),0,MAX(0,NETWORKDAYS(MAX(D531,DATE(Einstellungen!$C$3,3,1)),MIN(J531,DATE(Einstellungen!$C$3,4,0)),Einstellungen!$F$13:$F$32)))</f>
        <v/>
      </c>
      <c r="O531" s="49">
        <f>IF(OR(A531="",D531=""),0,MAX(0,NETWORKDAYS(MAX(D531,DATE(Einstellungen!$C$3,4,1)),MIN(J531,DATE(Einstellungen!$C$3,5,0)),Einstellungen!$F$13:$F$32)))</f>
        <v/>
      </c>
      <c r="P531" s="49">
        <f>IF(OR(A531="",D531=""),0,MAX(0,NETWORKDAYS(MAX(D531,DATE(Einstellungen!$C$3,5,1)),MIN(J531,DATE(Einstellungen!$C$3,6,0)),Einstellungen!$F$13:$F$32)))</f>
        <v/>
      </c>
      <c r="Q531" s="49">
        <f>IF(OR(A531="",D531=""),0,MAX(0,NETWORKDAYS(MAX(D531,DATE(Einstellungen!$C$3,6,1)),MIN(J531,DATE(Einstellungen!$C$3,7,0)),Einstellungen!$F$13:$F$32)))</f>
        <v/>
      </c>
      <c r="R531" s="49">
        <f>IF(OR(A531="",D531=""),0,MAX(0,NETWORKDAYS(MAX(D531,DATE(Einstellungen!$C$3,7,1)),MIN(J531,DATE(Einstellungen!$C$3,8,0)),Einstellungen!$F$13:$F$32)))</f>
        <v/>
      </c>
      <c r="S531" s="49">
        <f>IF(OR(A531="",D531=""),0,MAX(0,NETWORKDAYS(MAX(D531,DATE(Einstellungen!$C$3,8,1)),MIN(J531,DATE(Einstellungen!$C$3,9,0)),Einstellungen!$F$13:$F$32)))</f>
        <v/>
      </c>
      <c r="T531" s="49">
        <f>IF(OR(A531="",D531=""),0,MAX(0,NETWORKDAYS(MAX(D531,DATE(Einstellungen!$C$3,9,1)),MIN(J531,DATE(Einstellungen!$C$3,10,0)),Einstellungen!$F$13:$F$32)))</f>
        <v/>
      </c>
      <c r="U531" s="49">
        <f>IF(OR(A531="",D531=""),0,MAX(0,NETWORKDAYS(MAX(D531,DATE(Einstellungen!$C$3,10,1)),MIN(J531,DATE(Einstellungen!$C$3,11,0)),Einstellungen!$F$13:$F$32)))</f>
        <v/>
      </c>
      <c r="V531" s="49">
        <f>IF(OR(A531="",D531=""),0,MAX(0,NETWORKDAYS(MAX(D531,DATE(Einstellungen!$C$3,11,1)),MIN(J531,DATE(Einstellungen!$C$3,12,0)),Einstellungen!$F$13:$F$32)))</f>
        <v/>
      </c>
      <c r="W531" s="49">
        <f>IF(OR(A531="",D531=""),0,MAX(0,NETWORKDAYS(MAX(D531,DATE(Einstellungen!$C$3,12,1)),MIN(J531,DATE(Einstellungen!$C$3,13,0)),Einstellungen!$F$13:$F$32)))</f>
        <v/>
      </c>
      <c r="X531" s="50">
        <f>L531*K531</f>
        <v/>
      </c>
      <c r="Y531" s="50">
        <f>M531*K531</f>
        <v/>
      </c>
      <c r="Z531" s="50">
        <f>N531*K531</f>
        <v/>
      </c>
      <c r="AA531" s="50">
        <f>O531*K531</f>
        <v/>
      </c>
      <c r="AB531" s="50">
        <f>P531*K531</f>
        <v/>
      </c>
      <c r="AC531" s="50">
        <f>Q531*K531</f>
        <v/>
      </c>
      <c r="AD531" s="50">
        <f>R531*K531</f>
        <v/>
      </c>
      <c r="AE531" s="50">
        <f>S531*K531</f>
        <v/>
      </c>
      <c r="AF531" s="50">
        <f>T531*K531</f>
        <v/>
      </c>
      <c r="AG531" s="50">
        <f>U531*K531</f>
        <v/>
      </c>
      <c r="AH531" s="50">
        <f>V531*K531</f>
        <v/>
      </c>
      <c r="AI531" s="50">
        <f>W531*K531</f>
        <v/>
      </c>
    </row>
    <row r="532">
      <c r="A532" s="25" t="n"/>
      <c r="B532" s="45">
        <f>IF(A532="","",IFERROR(INDEX(Mitarbeiter!$B$6:$B$205,MATCH($A532,Mitarbeiter!$A$6:$A$205,0)),"?"))</f>
        <v/>
      </c>
      <c r="C532" s="46" t="n"/>
      <c r="D532" s="26" t="n"/>
      <c r="E532" s="26" t="n"/>
      <c r="F532" s="24">
        <f>IF(A532="","",SUM(L532:W532))</f>
        <v/>
      </c>
      <c r="G532" s="36">
        <f>IF(A532="","",SUM(X532:AI532))</f>
        <v/>
      </c>
      <c r="H532" s="8">
        <f>IF(A532="","",IF(ISNA(MATCH(A532,Mitarbeiter!$A$6:$A$205,0)),"Pers.-Nr. unbekannt",IF(D532="","Von fehlt",IF(AND(C532&lt;&gt;Einstellungen!$C$4,C532&lt;&gt;Einstellungen!$C$5),"Objekt fehlt",IF(J532&lt;D532,"Bis vor Von",IF(D532&lt;INDEX(Mitarbeiter!$C$6:$C$205,MATCH($A532,Mitarbeiter!$A$6:$A$205,0)),"vor Eintritt",IF(AND(INDEX(Mitarbeiter!$D$6:$D$205,MATCH($A532,Mitarbeiter!$A$6:$A$205,0))&lt;&gt;"",D532&gt;INDEX(Mitarbeiter!$D$6:$D$205,MATCH($A532,Mitarbeiter!$A$6:$A$205,0))),"nach Austritt",IF(E532="","offen","ok"))))))))</f>
        <v/>
      </c>
      <c r="J532" s="47">
        <f>IF(A532="","",IF(E532="",Einstellungen!$C$9,E532))</f>
        <v/>
      </c>
      <c r="K532" s="48">
        <f>IF(A532="",0,IFERROR(INDEX(Mitarbeiter!$F$6:$F$205,MATCH($A532,Mitarbeiter!$A$6:$A$205,0)),0))</f>
        <v/>
      </c>
      <c r="L532" s="49">
        <f>IF(OR(A532="",D532=""),0,MAX(0,NETWORKDAYS(MAX(D532,DATE(Einstellungen!$C$3,1,1)),MIN(J532,DATE(Einstellungen!$C$3,2,0)),Einstellungen!$F$13:$F$32)))</f>
        <v/>
      </c>
      <c r="M532" s="49">
        <f>IF(OR(A532="",D532=""),0,MAX(0,NETWORKDAYS(MAX(D532,DATE(Einstellungen!$C$3,2,1)),MIN(J532,DATE(Einstellungen!$C$3,3,0)),Einstellungen!$F$13:$F$32)))</f>
        <v/>
      </c>
      <c r="N532" s="49">
        <f>IF(OR(A532="",D532=""),0,MAX(0,NETWORKDAYS(MAX(D532,DATE(Einstellungen!$C$3,3,1)),MIN(J532,DATE(Einstellungen!$C$3,4,0)),Einstellungen!$F$13:$F$32)))</f>
        <v/>
      </c>
      <c r="O532" s="49">
        <f>IF(OR(A532="",D532=""),0,MAX(0,NETWORKDAYS(MAX(D532,DATE(Einstellungen!$C$3,4,1)),MIN(J532,DATE(Einstellungen!$C$3,5,0)),Einstellungen!$F$13:$F$32)))</f>
        <v/>
      </c>
      <c r="P532" s="49">
        <f>IF(OR(A532="",D532=""),0,MAX(0,NETWORKDAYS(MAX(D532,DATE(Einstellungen!$C$3,5,1)),MIN(J532,DATE(Einstellungen!$C$3,6,0)),Einstellungen!$F$13:$F$32)))</f>
        <v/>
      </c>
      <c r="Q532" s="49">
        <f>IF(OR(A532="",D532=""),0,MAX(0,NETWORKDAYS(MAX(D532,DATE(Einstellungen!$C$3,6,1)),MIN(J532,DATE(Einstellungen!$C$3,7,0)),Einstellungen!$F$13:$F$32)))</f>
        <v/>
      </c>
      <c r="R532" s="49">
        <f>IF(OR(A532="",D532=""),0,MAX(0,NETWORKDAYS(MAX(D532,DATE(Einstellungen!$C$3,7,1)),MIN(J532,DATE(Einstellungen!$C$3,8,0)),Einstellungen!$F$13:$F$32)))</f>
        <v/>
      </c>
      <c r="S532" s="49">
        <f>IF(OR(A532="",D532=""),0,MAX(0,NETWORKDAYS(MAX(D532,DATE(Einstellungen!$C$3,8,1)),MIN(J532,DATE(Einstellungen!$C$3,9,0)),Einstellungen!$F$13:$F$32)))</f>
        <v/>
      </c>
      <c r="T532" s="49">
        <f>IF(OR(A532="",D532=""),0,MAX(0,NETWORKDAYS(MAX(D532,DATE(Einstellungen!$C$3,9,1)),MIN(J532,DATE(Einstellungen!$C$3,10,0)),Einstellungen!$F$13:$F$32)))</f>
        <v/>
      </c>
      <c r="U532" s="49">
        <f>IF(OR(A532="",D532=""),0,MAX(0,NETWORKDAYS(MAX(D532,DATE(Einstellungen!$C$3,10,1)),MIN(J532,DATE(Einstellungen!$C$3,11,0)),Einstellungen!$F$13:$F$32)))</f>
        <v/>
      </c>
      <c r="V532" s="49">
        <f>IF(OR(A532="",D532=""),0,MAX(0,NETWORKDAYS(MAX(D532,DATE(Einstellungen!$C$3,11,1)),MIN(J532,DATE(Einstellungen!$C$3,12,0)),Einstellungen!$F$13:$F$32)))</f>
        <v/>
      </c>
      <c r="W532" s="49">
        <f>IF(OR(A532="",D532=""),0,MAX(0,NETWORKDAYS(MAX(D532,DATE(Einstellungen!$C$3,12,1)),MIN(J532,DATE(Einstellungen!$C$3,13,0)),Einstellungen!$F$13:$F$32)))</f>
        <v/>
      </c>
      <c r="X532" s="50">
        <f>L532*K532</f>
        <v/>
      </c>
      <c r="Y532" s="50">
        <f>M532*K532</f>
        <v/>
      </c>
      <c r="Z532" s="50">
        <f>N532*K532</f>
        <v/>
      </c>
      <c r="AA532" s="50">
        <f>O532*K532</f>
        <v/>
      </c>
      <c r="AB532" s="50">
        <f>P532*K532</f>
        <v/>
      </c>
      <c r="AC532" s="50">
        <f>Q532*K532</f>
        <v/>
      </c>
      <c r="AD532" s="50">
        <f>R532*K532</f>
        <v/>
      </c>
      <c r="AE532" s="50">
        <f>S532*K532</f>
        <v/>
      </c>
      <c r="AF532" s="50">
        <f>T532*K532</f>
        <v/>
      </c>
      <c r="AG532" s="50">
        <f>U532*K532</f>
        <v/>
      </c>
      <c r="AH532" s="50">
        <f>V532*K532</f>
        <v/>
      </c>
      <c r="AI532" s="50">
        <f>W532*K532</f>
        <v/>
      </c>
    </row>
    <row r="533">
      <c r="A533" s="25" t="n"/>
      <c r="B533" s="45">
        <f>IF(A533="","",IFERROR(INDEX(Mitarbeiter!$B$6:$B$205,MATCH($A533,Mitarbeiter!$A$6:$A$205,0)),"?"))</f>
        <v/>
      </c>
      <c r="C533" s="46" t="n"/>
      <c r="D533" s="26" t="n"/>
      <c r="E533" s="26" t="n"/>
      <c r="F533" s="24">
        <f>IF(A533="","",SUM(L533:W533))</f>
        <v/>
      </c>
      <c r="G533" s="36">
        <f>IF(A533="","",SUM(X533:AI533))</f>
        <v/>
      </c>
      <c r="H533" s="8">
        <f>IF(A533="","",IF(ISNA(MATCH(A533,Mitarbeiter!$A$6:$A$205,0)),"Pers.-Nr. unbekannt",IF(D533="","Von fehlt",IF(AND(C533&lt;&gt;Einstellungen!$C$4,C533&lt;&gt;Einstellungen!$C$5),"Objekt fehlt",IF(J533&lt;D533,"Bis vor Von",IF(D533&lt;INDEX(Mitarbeiter!$C$6:$C$205,MATCH($A533,Mitarbeiter!$A$6:$A$205,0)),"vor Eintritt",IF(AND(INDEX(Mitarbeiter!$D$6:$D$205,MATCH($A533,Mitarbeiter!$A$6:$A$205,0))&lt;&gt;"",D533&gt;INDEX(Mitarbeiter!$D$6:$D$205,MATCH($A533,Mitarbeiter!$A$6:$A$205,0))),"nach Austritt",IF(E533="","offen","ok"))))))))</f>
        <v/>
      </c>
      <c r="J533" s="47">
        <f>IF(A533="","",IF(E533="",Einstellungen!$C$9,E533))</f>
        <v/>
      </c>
      <c r="K533" s="48">
        <f>IF(A533="",0,IFERROR(INDEX(Mitarbeiter!$F$6:$F$205,MATCH($A533,Mitarbeiter!$A$6:$A$205,0)),0))</f>
        <v/>
      </c>
      <c r="L533" s="49">
        <f>IF(OR(A533="",D533=""),0,MAX(0,NETWORKDAYS(MAX(D533,DATE(Einstellungen!$C$3,1,1)),MIN(J533,DATE(Einstellungen!$C$3,2,0)),Einstellungen!$F$13:$F$32)))</f>
        <v/>
      </c>
      <c r="M533" s="49">
        <f>IF(OR(A533="",D533=""),0,MAX(0,NETWORKDAYS(MAX(D533,DATE(Einstellungen!$C$3,2,1)),MIN(J533,DATE(Einstellungen!$C$3,3,0)),Einstellungen!$F$13:$F$32)))</f>
        <v/>
      </c>
      <c r="N533" s="49">
        <f>IF(OR(A533="",D533=""),0,MAX(0,NETWORKDAYS(MAX(D533,DATE(Einstellungen!$C$3,3,1)),MIN(J533,DATE(Einstellungen!$C$3,4,0)),Einstellungen!$F$13:$F$32)))</f>
        <v/>
      </c>
      <c r="O533" s="49">
        <f>IF(OR(A533="",D533=""),0,MAX(0,NETWORKDAYS(MAX(D533,DATE(Einstellungen!$C$3,4,1)),MIN(J533,DATE(Einstellungen!$C$3,5,0)),Einstellungen!$F$13:$F$32)))</f>
        <v/>
      </c>
      <c r="P533" s="49">
        <f>IF(OR(A533="",D533=""),0,MAX(0,NETWORKDAYS(MAX(D533,DATE(Einstellungen!$C$3,5,1)),MIN(J533,DATE(Einstellungen!$C$3,6,0)),Einstellungen!$F$13:$F$32)))</f>
        <v/>
      </c>
      <c r="Q533" s="49">
        <f>IF(OR(A533="",D533=""),0,MAX(0,NETWORKDAYS(MAX(D533,DATE(Einstellungen!$C$3,6,1)),MIN(J533,DATE(Einstellungen!$C$3,7,0)),Einstellungen!$F$13:$F$32)))</f>
        <v/>
      </c>
      <c r="R533" s="49">
        <f>IF(OR(A533="",D533=""),0,MAX(0,NETWORKDAYS(MAX(D533,DATE(Einstellungen!$C$3,7,1)),MIN(J533,DATE(Einstellungen!$C$3,8,0)),Einstellungen!$F$13:$F$32)))</f>
        <v/>
      </c>
      <c r="S533" s="49">
        <f>IF(OR(A533="",D533=""),0,MAX(0,NETWORKDAYS(MAX(D533,DATE(Einstellungen!$C$3,8,1)),MIN(J533,DATE(Einstellungen!$C$3,9,0)),Einstellungen!$F$13:$F$32)))</f>
        <v/>
      </c>
      <c r="T533" s="49">
        <f>IF(OR(A533="",D533=""),0,MAX(0,NETWORKDAYS(MAX(D533,DATE(Einstellungen!$C$3,9,1)),MIN(J533,DATE(Einstellungen!$C$3,10,0)),Einstellungen!$F$13:$F$32)))</f>
        <v/>
      </c>
      <c r="U533" s="49">
        <f>IF(OR(A533="",D533=""),0,MAX(0,NETWORKDAYS(MAX(D533,DATE(Einstellungen!$C$3,10,1)),MIN(J533,DATE(Einstellungen!$C$3,11,0)),Einstellungen!$F$13:$F$32)))</f>
        <v/>
      </c>
      <c r="V533" s="49">
        <f>IF(OR(A533="",D533=""),0,MAX(0,NETWORKDAYS(MAX(D533,DATE(Einstellungen!$C$3,11,1)),MIN(J533,DATE(Einstellungen!$C$3,12,0)),Einstellungen!$F$13:$F$32)))</f>
        <v/>
      </c>
      <c r="W533" s="49">
        <f>IF(OR(A533="",D533=""),0,MAX(0,NETWORKDAYS(MAX(D533,DATE(Einstellungen!$C$3,12,1)),MIN(J533,DATE(Einstellungen!$C$3,13,0)),Einstellungen!$F$13:$F$32)))</f>
        <v/>
      </c>
      <c r="X533" s="50">
        <f>L533*K533</f>
        <v/>
      </c>
      <c r="Y533" s="50">
        <f>M533*K533</f>
        <v/>
      </c>
      <c r="Z533" s="50">
        <f>N533*K533</f>
        <v/>
      </c>
      <c r="AA533" s="50">
        <f>O533*K533</f>
        <v/>
      </c>
      <c r="AB533" s="50">
        <f>P533*K533</f>
        <v/>
      </c>
      <c r="AC533" s="50">
        <f>Q533*K533</f>
        <v/>
      </c>
      <c r="AD533" s="50">
        <f>R533*K533</f>
        <v/>
      </c>
      <c r="AE533" s="50">
        <f>S533*K533</f>
        <v/>
      </c>
      <c r="AF533" s="50">
        <f>T533*K533</f>
        <v/>
      </c>
      <c r="AG533" s="50">
        <f>U533*K533</f>
        <v/>
      </c>
      <c r="AH533" s="50">
        <f>V533*K533</f>
        <v/>
      </c>
      <c r="AI533" s="50">
        <f>W533*K533</f>
        <v/>
      </c>
    </row>
    <row r="534">
      <c r="A534" s="25" t="n"/>
      <c r="B534" s="45">
        <f>IF(A534="","",IFERROR(INDEX(Mitarbeiter!$B$6:$B$205,MATCH($A534,Mitarbeiter!$A$6:$A$205,0)),"?"))</f>
        <v/>
      </c>
      <c r="C534" s="46" t="n"/>
      <c r="D534" s="26" t="n"/>
      <c r="E534" s="26" t="n"/>
      <c r="F534" s="24">
        <f>IF(A534="","",SUM(L534:W534))</f>
        <v/>
      </c>
      <c r="G534" s="36">
        <f>IF(A534="","",SUM(X534:AI534))</f>
        <v/>
      </c>
      <c r="H534" s="8">
        <f>IF(A534="","",IF(ISNA(MATCH(A534,Mitarbeiter!$A$6:$A$205,0)),"Pers.-Nr. unbekannt",IF(D534="","Von fehlt",IF(AND(C534&lt;&gt;Einstellungen!$C$4,C534&lt;&gt;Einstellungen!$C$5),"Objekt fehlt",IF(J534&lt;D534,"Bis vor Von",IF(D534&lt;INDEX(Mitarbeiter!$C$6:$C$205,MATCH($A534,Mitarbeiter!$A$6:$A$205,0)),"vor Eintritt",IF(AND(INDEX(Mitarbeiter!$D$6:$D$205,MATCH($A534,Mitarbeiter!$A$6:$A$205,0))&lt;&gt;"",D534&gt;INDEX(Mitarbeiter!$D$6:$D$205,MATCH($A534,Mitarbeiter!$A$6:$A$205,0))),"nach Austritt",IF(E534="","offen","ok"))))))))</f>
        <v/>
      </c>
      <c r="J534" s="47">
        <f>IF(A534="","",IF(E534="",Einstellungen!$C$9,E534))</f>
        <v/>
      </c>
      <c r="K534" s="48">
        <f>IF(A534="",0,IFERROR(INDEX(Mitarbeiter!$F$6:$F$205,MATCH($A534,Mitarbeiter!$A$6:$A$205,0)),0))</f>
        <v/>
      </c>
      <c r="L534" s="49">
        <f>IF(OR(A534="",D534=""),0,MAX(0,NETWORKDAYS(MAX(D534,DATE(Einstellungen!$C$3,1,1)),MIN(J534,DATE(Einstellungen!$C$3,2,0)),Einstellungen!$F$13:$F$32)))</f>
        <v/>
      </c>
      <c r="M534" s="49">
        <f>IF(OR(A534="",D534=""),0,MAX(0,NETWORKDAYS(MAX(D534,DATE(Einstellungen!$C$3,2,1)),MIN(J534,DATE(Einstellungen!$C$3,3,0)),Einstellungen!$F$13:$F$32)))</f>
        <v/>
      </c>
      <c r="N534" s="49">
        <f>IF(OR(A534="",D534=""),0,MAX(0,NETWORKDAYS(MAX(D534,DATE(Einstellungen!$C$3,3,1)),MIN(J534,DATE(Einstellungen!$C$3,4,0)),Einstellungen!$F$13:$F$32)))</f>
        <v/>
      </c>
      <c r="O534" s="49">
        <f>IF(OR(A534="",D534=""),0,MAX(0,NETWORKDAYS(MAX(D534,DATE(Einstellungen!$C$3,4,1)),MIN(J534,DATE(Einstellungen!$C$3,5,0)),Einstellungen!$F$13:$F$32)))</f>
        <v/>
      </c>
      <c r="P534" s="49">
        <f>IF(OR(A534="",D534=""),0,MAX(0,NETWORKDAYS(MAX(D534,DATE(Einstellungen!$C$3,5,1)),MIN(J534,DATE(Einstellungen!$C$3,6,0)),Einstellungen!$F$13:$F$32)))</f>
        <v/>
      </c>
      <c r="Q534" s="49">
        <f>IF(OR(A534="",D534=""),0,MAX(0,NETWORKDAYS(MAX(D534,DATE(Einstellungen!$C$3,6,1)),MIN(J534,DATE(Einstellungen!$C$3,7,0)),Einstellungen!$F$13:$F$32)))</f>
        <v/>
      </c>
      <c r="R534" s="49">
        <f>IF(OR(A534="",D534=""),0,MAX(0,NETWORKDAYS(MAX(D534,DATE(Einstellungen!$C$3,7,1)),MIN(J534,DATE(Einstellungen!$C$3,8,0)),Einstellungen!$F$13:$F$32)))</f>
        <v/>
      </c>
      <c r="S534" s="49">
        <f>IF(OR(A534="",D534=""),0,MAX(0,NETWORKDAYS(MAX(D534,DATE(Einstellungen!$C$3,8,1)),MIN(J534,DATE(Einstellungen!$C$3,9,0)),Einstellungen!$F$13:$F$32)))</f>
        <v/>
      </c>
      <c r="T534" s="49">
        <f>IF(OR(A534="",D534=""),0,MAX(0,NETWORKDAYS(MAX(D534,DATE(Einstellungen!$C$3,9,1)),MIN(J534,DATE(Einstellungen!$C$3,10,0)),Einstellungen!$F$13:$F$32)))</f>
        <v/>
      </c>
      <c r="U534" s="49">
        <f>IF(OR(A534="",D534=""),0,MAX(0,NETWORKDAYS(MAX(D534,DATE(Einstellungen!$C$3,10,1)),MIN(J534,DATE(Einstellungen!$C$3,11,0)),Einstellungen!$F$13:$F$32)))</f>
        <v/>
      </c>
      <c r="V534" s="49">
        <f>IF(OR(A534="",D534=""),0,MAX(0,NETWORKDAYS(MAX(D534,DATE(Einstellungen!$C$3,11,1)),MIN(J534,DATE(Einstellungen!$C$3,12,0)),Einstellungen!$F$13:$F$32)))</f>
        <v/>
      </c>
      <c r="W534" s="49">
        <f>IF(OR(A534="",D534=""),0,MAX(0,NETWORKDAYS(MAX(D534,DATE(Einstellungen!$C$3,12,1)),MIN(J534,DATE(Einstellungen!$C$3,13,0)),Einstellungen!$F$13:$F$32)))</f>
        <v/>
      </c>
      <c r="X534" s="50">
        <f>L534*K534</f>
        <v/>
      </c>
      <c r="Y534" s="50">
        <f>M534*K534</f>
        <v/>
      </c>
      <c r="Z534" s="50">
        <f>N534*K534</f>
        <v/>
      </c>
      <c r="AA534" s="50">
        <f>O534*K534</f>
        <v/>
      </c>
      <c r="AB534" s="50">
        <f>P534*K534</f>
        <v/>
      </c>
      <c r="AC534" s="50">
        <f>Q534*K534</f>
        <v/>
      </c>
      <c r="AD534" s="50">
        <f>R534*K534</f>
        <v/>
      </c>
      <c r="AE534" s="50">
        <f>S534*K534</f>
        <v/>
      </c>
      <c r="AF534" s="50">
        <f>T534*K534</f>
        <v/>
      </c>
      <c r="AG534" s="50">
        <f>U534*K534</f>
        <v/>
      </c>
      <c r="AH534" s="50">
        <f>V534*K534</f>
        <v/>
      </c>
      <c r="AI534" s="50">
        <f>W534*K534</f>
        <v/>
      </c>
    </row>
    <row r="535">
      <c r="A535" s="25" t="n"/>
      <c r="B535" s="45">
        <f>IF(A535="","",IFERROR(INDEX(Mitarbeiter!$B$6:$B$205,MATCH($A535,Mitarbeiter!$A$6:$A$205,0)),"?"))</f>
        <v/>
      </c>
      <c r="C535" s="46" t="n"/>
      <c r="D535" s="26" t="n"/>
      <c r="E535" s="26" t="n"/>
      <c r="F535" s="24">
        <f>IF(A535="","",SUM(L535:W535))</f>
        <v/>
      </c>
      <c r="G535" s="36">
        <f>IF(A535="","",SUM(X535:AI535))</f>
        <v/>
      </c>
      <c r="H535" s="8">
        <f>IF(A535="","",IF(ISNA(MATCH(A535,Mitarbeiter!$A$6:$A$205,0)),"Pers.-Nr. unbekannt",IF(D535="","Von fehlt",IF(AND(C535&lt;&gt;Einstellungen!$C$4,C535&lt;&gt;Einstellungen!$C$5),"Objekt fehlt",IF(J535&lt;D535,"Bis vor Von",IF(D535&lt;INDEX(Mitarbeiter!$C$6:$C$205,MATCH($A535,Mitarbeiter!$A$6:$A$205,0)),"vor Eintritt",IF(AND(INDEX(Mitarbeiter!$D$6:$D$205,MATCH($A535,Mitarbeiter!$A$6:$A$205,0))&lt;&gt;"",D535&gt;INDEX(Mitarbeiter!$D$6:$D$205,MATCH($A535,Mitarbeiter!$A$6:$A$205,0))),"nach Austritt",IF(E535="","offen","ok"))))))))</f>
        <v/>
      </c>
      <c r="J535" s="47">
        <f>IF(A535="","",IF(E535="",Einstellungen!$C$9,E535))</f>
        <v/>
      </c>
      <c r="K535" s="48">
        <f>IF(A535="",0,IFERROR(INDEX(Mitarbeiter!$F$6:$F$205,MATCH($A535,Mitarbeiter!$A$6:$A$205,0)),0))</f>
        <v/>
      </c>
      <c r="L535" s="49">
        <f>IF(OR(A535="",D535=""),0,MAX(0,NETWORKDAYS(MAX(D535,DATE(Einstellungen!$C$3,1,1)),MIN(J535,DATE(Einstellungen!$C$3,2,0)),Einstellungen!$F$13:$F$32)))</f>
        <v/>
      </c>
      <c r="M535" s="49">
        <f>IF(OR(A535="",D535=""),0,MAX(0,NETWORKDAYS(MAX(D535,DATE(Einstellungen!$C$3,2,1)),MIN(J535,DATE(Einstellungen!$C$3,3,0)),Einstellungen!$F$13:$F$32)))</f>
        <v/>
      </c>
      <c r="N535" s="49">
        <f>IF(OR(A535="",D535=""),0,MAX(0,NETWORKDAYS(MAX(D535,DATE(Einstellungen!$C$3,3,1)),MIN(J535,DATE(Einstellungen!$C$3,4,0)),Einstellungen!$F$13:$F$32)))</f>
        <v/>
      </c>
      <c r="O535" s="49">
        <f>IF(OR(A535="",D535=""),0,MAX(0,NETWORKDAYS(MAX(D535,DATE(Einstellungen!$C$3,4,1)),MIN(J535,DATE(Einstellungen!$C$3,5,0)),Einstellungen!$F$13:$F$32)))</f>
        <v/>
      </c>
      <c r="P535" s="49">
        <f>IF(OR(A535="",D535=""),0,MAX(0,NETWORKDAYS(MAX(D535,DATE(Einstellungen!$C$3,5,1)),MIN(J535,DATE(Einstellungen!$C$3,6,0)),Einstellungen!$F$13:$F$32)))</f>
        <v/>
      </c>
      <c r="Q535" s="49">
        <f>IF(OR(A535="",D535=""),0,MAX(0,NETWORKDAYS(MAX(D535,DATE(Einstellungen!$C$3,6,1)),MIN(J535,DATE(Einstellungen!$C$3,7,0)),Einstellungen!$F$13:$F$32)))</f>
        <v/>
      </c>
      <c r="R535" s="49">
        <f>IF(OR(A535="",D535=""),0,MAX(0,NETWORKDAYS(MAX(D535,DATE(Einstellungen!$C$3,7,1)),MIN(J535,DATE(Einstellungen!$C$3,8,0)),Einstellungen!$F$13:$F$32)))</f>
        <v/>
      </c>
      <c r="S535" s="49">
        <f>IF(OR(A535="",D535=""),0,MAX(0,NETWORKDAYS(MAX(D535,DATE(Einstellungen!$C$3,8,1)),MIN(J535,DATE(Einstellungen!$C$3,9,0)),Einstellungen!$F$13:$F$32)))</f>
        <v/>
      </c>
      <c r="T535" s="49">
        <f>IF(OR(A535="",D535=""),0,MAX(0,NETWORKDAYS(MAX(D535,DATE(Einstellungen!$C$3,9,1)),MIN(J535,DATE(Einstellungen!$C$3,10,0)),Einstellungen!$F$13:$F$32)))</f>
        <v/>
      </c>
      <c r="U535" s="49">
        <f>IF(OR(A535="",D535=""),0,MAX(0,NETWORKDAYS(MAX(D535,DATE(Einstellungen!$C$3,10,1)),MIN(J535,DATE(Einstellungen!$C$3,11,0)),Einstellungen!$F$13:$F$32)))</f>
        <v/>
      </c>
      <c r="V535" s="49">
        <f>IF(OR(A535="",D535=""),0,MAX(0,NETWORKDAYS(MAX(D535,DATE(Einstellungen!$C$3,11,1)),MIN(J535,DATE(Einstellungen!$C$3,12,0)),Einstellungen!$F$13:$F$32)))</f>
        <v/>
      </c>
      <c r="W535" s="49">
        <f>IF(OR(A535="",D535=""),0,MAX(0,NETWORKDAYS(MAX(D535,DATE(Einstellungen!$C$3,12,1)),MIN(J535,DATE(Einstellungen!$C$3,13,0)),Einstellungen!$F$13:$F$32)))</f>
        <v/>
      </c>
      <c r="X535" s="50">
        <f>L535*K535</f>
        <v/>
      </c>
      <c r="Y535" s="50">
        <f>M535*K535</f>
        <v/>
      </c>
      <c r="Z535" s="50">
        <f>N535*K535</f>
        <v/>
      </c>
      <c r="AA535" s="50">
        <f>O535*K535</f>
        <v/>
      </c>
      <c r="AB535" s="50">
        <f>P535*K535</f>
        <v/>
      </c>
      <c r="AC535" s="50">
        <f>Q535*K535</f>
        <v/>
      </c>
      <c r="AD535" s="50">
        <f>R535*K535</f>
        <v/>
      </c>
      <c r="AE535" s="50">
        <f>S535*K535</f>
        <v/>
      </c>
      <c r="AF535" s="50">
        <f>T535*K535</f>
        <v/>
      </c>
      <c r="AG535" s="50">
        <f>U535*K535</f>
        <v/>
      </c>
      <c r="AH535" s="50">
        <f>V535*K535</f>
        <v/>
      </c>
      <c r="AI535" s="50">
        <f>W535*K535</f>
        <v/>
      </c>
    </row>
    <row r="536">
      <c r="A536" s="25" t="n"/>
      <c r="B536" s="45">
        <f>IF(A536="","",IFERROR(INDEX(Mitarbeiter!$B$6:$B$205,MATCH($A536,Mitarbeiter!$A$6:$A$205,0)),"?"))</f>
        <v/>
      </c>
      <c r="C536" s="46" t="n"/>
      <c r="D536" s="26" t="n"/>
      <c r="E536" s="26" t="n"/>
      <c r="F536" s="24">
        <f>IF(A536="","",SUM(L536:W536))</f>
        <v/>
      </c>
      <c r="G536" s="36">
        <f>IF(A536="","",SUM(X536:AI536))</f>
        <v/>
      </c>
      <c r="H536" s="8">
        <f>IF(A536="","",IF(ISNA(MATCH(A536,Mitarbeiter!$A$6:$A$205,0)),"Pers.-Nr. unbekannt",IF(D536="","Von fehlt",IF(AND(C536&lt;&gt;Einstellungen!$C$4,C536&lt;&gt;Einstellungen!$C$5),"Objekt fehlt",IF(J536&lt;D536,"Bis vor Von",IF(D536&lt;INDEX(Mitarbeiter!$C$6:$C$205,MATCH($A536,Mitarbeiter!$A$6:$A$205,0)),"vor Eintritt",IF(AND(INDEX(Mitarbeiter!$D$6:$D$205,MATCH($A536,Mitarbeiter!$A$6:$A$205,0))&lt;&gt;"",D536&gt;INDEX(Mitarbeiter!$D$6:$D$205,MATCH($A536,Mitarbeiter!$A$6:$A$205,0))),"nach Austritt",IF(E536="","offen","ok"))))))))</f>
        <v/>
      </c>
      <c r="J536" s="47">
        <f>IF(A536="","",IF(E536="",Einstellungen!$C$9,E536))</f>
        <v/>
      </c>
      <c r="K536" s="48">
        <f>IF(A536="",0,IFERROR(INDEX(Mitarbeiter!$F$6:$F$205,MATCH($A536,Mitarbeiter!$A$6:$A$205,0)),0))</f>
        <v/>
      </c>
      <c r="L536" s="49">
        <f>IF(OR(A536="",D536=""),0,MAX(0,NETWORKDAYS(MAX(D536,DATE(Einstellungen!$C$3,1,1)),MIN(J536,DATE(Einstellungen!$C$3,2,0)),Einstellungen!$F$13:$F$32)))</f>
        <v/>
      </c>
      <c r="M536" s="49">
        <f>IF(OR(A536="",D536=""),0,MAX(0,NETWORKDAYS(MAX(D536,DATE(Einstellungen!$C$3,2,1)),MIN(J536,DATE(Einstellungen!$C$3,3,0)),Einstellungen!$F$13:$F$32)))</f>
        <v/>
      </c>
      <c r="N536" s="49">
        <f>IF(OR(A536="",D536=""),0,MAX(0,NETWORKDAYS(MAX(D536,DATE(Einstellungen!$C$3,3,1)),MIN(J536,DATE(Einstellungen!$C$3,4,0)),Einstellungen!$F$13:$F$32)))</f>
        <v/>
      </c>
      <c r="O536" s="49">
        <f>IF(OR(A536="",D536=""),0,MAX(0,NETWORKDAYS(MAX(D536,DATE(Einstellungen!$C$3,4,1)),MIN(J536,DATE(Einstellungen!$C$3,5,0)),Einstellungen!$F$13:$F$32)))</f>
        <v/>
      </c>
      <c r="P536" s="49">
        <f>IF(OR(A536="",D536=""),0,MAX(0,NETWORKDAYS(MAX(D536,DATE(Einstellungen!$C$3,5,1)),MIN(J536,DATE(Einstellungen!$C$3,6,0)),Einstellungen!$F$13:$F$32)))</f>
        <v/>
      </c>
      <c r="Q536" s="49">
        <f>IF(OR(A536="",D536=""),0,MAX(0,NETWORKDAYS(MAX(D536,DATE(Einstellungen!$C$3,6,1)),MIN(J536,DATE(Einstellungen!$C$3,7,0)),Einstellungen!$F$13:$F$32)))</f>
        <v/>
      </c>
      <c r="R536" s="49">
        <f>IF(OR(A536="",D536=""),0,MAX(0,NETWORKDAYS(MAX(D536,DATE(Einstellungen!$C$3,7,1)),MIN(J536,DATE(Einstellungen!$C$3,8,0)),Einstellungen!$F$13:$F$32)))</f>
        <v/>
      </c>
      <c r="S536" s="49">
        <f>IF(OR(A536="",D536=""),0,MAX(0,NETWORKDAYS(MAX(D536,DATE(Einstellungen!$C$3,8,1)),MIN(J536,DATE(Einstellungen!$C$3,9,0)),Einstellungen!$F$13:$F$32)))</f>
        <v/>
      </c>
      <c r="T536" s="49">
        <f>IF(OR(A536="",D536=""),0,MAX(0,NETWORKDAYS(MAX(D536,DATE(Einstellungen!$C$3,9,1)),MIN(J536,DATE(Einstellungen!$C$3,10,0)),Einstellungen!$F$13:$F$32)))</f>
        <v/>
      </c>
      <c r="U536" s="49">
        <f>IF(OR(A536="",D536=""),0,MAX(0,NETWORKDAYS(MAX(D536,DATE(Einstellungen!$C$3,10,1)),MIN(J536,DATE(Einstellungen!$C$3,11,0)),Einstellungen!$F$13:$F$32)))</f>
        <v/>
      </c>
      <c r="V536" s="49">
        <f>IF(OR(A536="",D536=""),0,MAX(0,NETWORKDAYS(MAX(D536,DATE(Einstellungen!$C$3,11,1)),MIN(J536,DATE(Einstellungen!$C$3,12,0)),Einstellungen!$F$13:$F$32)))</f>
        <v/>
      </c>
      <c r="W536" s="49">
        <f>IF(OR(A536="",D536=""),0,MAX(0,NETWORKDAYS(MAX(D536,DATE(Einstellungen!$C$3,12,1)),MIN(J536,DATE(Einstellungen!$C$3,13,0)),Einstellungen!$F$13:$F$32)))</f>
        <v/>
      </c>
      <c r="X536" s="50">
        <f>L536*K536</f>
        <v/>
      </c>
      <c r="Y536" s="50">
        <f>M536*K536</f>
        <v/>
      </c>
      <c r="Z536" s="50">
        <f>N536*K536</f>
        <v/>
      </c>
      <c r="AA536" s="50">
        <f>O536*K536</f>
        <v/>
      </c>
      <c r="AB536" s="50">
        <f>P536*K536</f>
        <v/>
      </c>
      <c r="AC536" s="50">
        <f>Q536*K536</f>
        <v/>
      </c>
      <c r="AD536" s="50">
        <f>R536*K536</f>
        <v/>
      </c>
      <c r="AE536" s="50">
        <f>S536*K536</f>
        <v/>
      </c>
      <c r="AF536" s="50">
        <f>T536*K536</f>
        <v/>
      </c>
      <c r="AG536" s="50">
        <f>U536*K536</f>
        <v/>
      </c>
      <c r="AH536" s="50">
        <f>V536*K536</f>
        <v/>
      </c>
      <c r="AI536" s="50">
        <f>W536*K536</f>
        <v/>
      </c>
    </row>
    <row r="537">
      <c r="A537" s="25" t="n"/>
      <c r="B537" s="45">
        <f>IF(A537="","",IFERROR(INDEX(Mitarbeiter!$B$6:$B$205,MATCH($A537,Mitarbeiter!$A$6:$A$205,0)),"?"))</f>
        <v/>
      </c>
      <c r="C537" s="46" t="n"/>
      <c r="D537" s="26" t="n"/>
      <c r="E537" s="26" t="n"/>
      <c r="F537" s="24">
        <f>IF(A537="","",SUM(L537:W537))</f>
        <v/>
      </c>
      <c r="G537" s="36">
        <f>IF(A537="","",SUM(X537:AI537))</f>
        <v/>
      </c>
      <c r="H537" s="8">
        <f>IF(A537="","",IF(ISNA(MATCH(A537,Mitarbeiter!$A$6:$A$205,0)),"Pers.-Nr. unbekannt",IF(D537="","Von fehlt",IF(AND(C537&lt;&gt;Einstellungen!$C$4,C537&lt;&gt;Einstellungen!$C$5),"Objekt fehlt",IF(J537&lt;D537,"Bis vor Von",IF(D537&lt;INDEX(Mitarbeiter!$C$6:$C$205,MATCH($A537,Mitarbeiter!$A$6:$A$205,0)),"vor Eintritt",IF(AND(INDEX(Mitarbeiter!$D$6:$D$205,MATCH($A537,Mitarbeiter!$A$6:$A$205,0))&lt;&gt;"",D537&gt;INDEX(Mitarbeiter!$D$6:$D$205,MATCH($A537,Mitarbeiter!$A$6:$A$205,0))),"nach Austritt",IF(E537="","offen","ok"))))))))</f>
        <v/>
      </c>
      <c r="J537" s="47">
        <f>IF(A537="","",IF(E537="",Einstellungen!$C$9,E537))</f>
        <v/>
      </c>
      <c r="K537" s="48">
        <f>IF(A537="",0,IFERROR(INDEX(Mitarbeiter!$F$6:$F$205,MATCH($A537,Mitarbeiter!$A$6:$A$205,0)),0))</f>
        <v/>
      </c>
      <c r="L537" s="49">
        <f>IF(OR(A537="",D537=""),0,MAX(0,NETWORKDAYS(MAX(D537,DATE(Einstellungen!$C$3,1,1)),MIN(J537,DATE(Einstellungen!$C$3,2,0)),Einstellungen!$F$13:$F$32)))</f>
        <v/>
      </c>
      <c r="M537" s="49">
        <f>IF(OR(A537="",D537=""),0,MAX(0,NETWORKDAYS(MAX(D537,DATE(Einstellungen!$C$3,2,1)),MIN(J537,DATE(Einstellungen!$C$3,3,0)),Einstellungen!$F$13:$F$32)))</f>
        <v/>
      </c>
      <c r="N537" s="49">
        <f>IF(OR(A537="",D537=""),0,MAX(0,NETWORKDAYS(MAX(D537,DATE(Einstellungen!$C$3,3,1)),MIN(J537,DATE(Einstellungen!$C$3,4,0)),Einstellungen!$F$13:$F$32)))</f>
        <v/>
      </c>
      <c r="O537" s="49">
        <f>IF(OR(A537="",D537=""),0,MAX(0,NETWORKDAYS(MAX(D537,DATE(Einstellungen!$C$3,4,1)),MIN(J537,DATE(Einstellungen!$C$3,5,0)),Einstellungen!$F$13:$F$32)))</f>
        <v/>
      </c>
      <c r="P537" s="49">
        <f>IF(OR(A537="",D537=""),0,MAX(0,NETWORKDAYS(MAX(D537,DATE(Einstellungen!$C$3,5,1)),MIN(J537,DATE(Einstellungen!$C$3,6,0)),Einstellungen!$F$13:$F$32)))</f>
        <v/>
      </c>
      <c r="Q537" s="49">
        <f>IF(OR(A537="",D537=""),0,MAX(0,NETWORKDAYS(MAX(D537,DATE(Einstellungen!$C$3,6,1)),MIN(J537,DATE(Einstellungen!$C$3,7,0)),Einstellungen!$F$13:$F$32)))</f>
        <v/>
      </c>
      <c r="R537" s="49">
        <f>IF(OR(A537="",D537=""),0,MAX(0,NETWORKDAYS(MAX(D537,DATE(Einstellungen!$C$3,7,1)),MIN(J537,DATE(Einstellungen!$C$3,8,0)),Einstellungen!$F$13:$F$32)))</f>
        <v/>
      </c>
      <c r="S537" s="49">
        <f>IF(OR(A537="",D537=""),0,MAX(0,NETWORKDAYS(MAX(D537,DATE(Einstellungen!$C$3,8,1)),MIN(J537,DATE(Einstellungen!$C$3,9,0)),Einstellungen!$F$13:$F$32)))</f>
        <v/>
      </c>
      <c r="T537" s="49">
        <f>IF(OR(A537="",D537=""),0,MAX(0,NETWORKDAYS(MAX(D537,DATE(Einstellungen!$C$3,9,1)),MIN(J537,DATE(Einstellungen!$C$3,10,0)),Einstellungen!$F$13:$F$32)))</f>
        <v/>
      </c>
      <c r="U537" s="49">
        <f>IF(OR(A537="",D537=""),0,MAX(0,NETWORKDAYS(MAX(D537,DATE(Einstellungen!$C$3,10,1)),MIN(J537,DATE(Einstellungen!$C$3,11,0)),Einstellungen!$F$13:$F$32)))</f>
        <v/>
      </c>
      <c r="V537" s="49">
        <f>IF(OR(A537="",D537=""),0,MAX(0,NETWORKDAYS(MAX(D537,DATE(Einstellungen!$C$3,11,1)),MIN(J537,DATE(Einstellungen!$C$3,12,0)),Einstellungen!$F$13:$F$32)))</f>
        <v/>
      </c>
      <c r="W537" s="49">
        <f>IF(OR(A537="",D537=""),0,MAX(0,NETWORKDAYS(MAX(D537,DATE(Einstellungen!$C$3,12,1)),MIN(J537,DATE(Einstellungen!$C$3,13,0)),Einstellungen!$F$13:$F$32)))</f>
        <v/>
      </c>
      <c r="X537" s="50">
        <f>L537*K537</f>
        <v/>
      </c>
      <c r="Y537" s="50">
        <f>M537*K537</f>
        <v/>
      </c>
      <c r="Z537" s="50">
        <f>N537*K537</f>
        <v/>
      </c>
      <c r="AA537" s="50">
        <f>O537*K537</f>
        <v/>
      </c>
      <c r="AB537" s="50">
        <f>P537*K537</f>
        <v/>
      </c>
      <c r="AC537" s="50">
        <f>Q537*K537</f>
        <v/>
      </c>
      <c r="AD537" s="50">
        <f>R537*K537</f>
        <v/>
      </c>
      <c r="AE537" s="50">
        <f>S537*K537</f>
        <v/>
      </c>
      <c r="AF537" s="50">
        <f>T537*K537</f>
        <v/>
      </c>
      <c r="AG537" s="50">
        <f>U537*K537</f>
        <v/>
      </c>
      <c r="AH537" s="50">
        <f>V537*K537</f>
        <v/>
      </c>
      <c r="AI537" s="50">
        <f>W537*K537</f>
        <v/>
      </c>
    </row>
    <row r="538">
      <c r="A538" s="25" t="n"/>
      <c r="B538" s="45">
        <f>IF(A538="","",IFERROR(INDEX(Mitarbeiter!$B$6:$B$205,MATCH($A538,Mitarbeiter!$A$6:$A$205,0)),"?"))</f>
        <v/>
      </c>
      <c r="C538" s="46" t="n"/>
      <c r="D538" s="26" t="n"/>
      <c r="E538" s="26" t="n"/>
      <c r="F538" s="24">
        <f>IF(A538="","",SUM(L538:W538))</f>
        <v/>
      </c>
      <c r="G538" s="36">
        <f>IF(A538="","",SUM(X538:AI538))</f>
        <v/>
      </c>
      <c r="H538" s="8">
        <f>IF(A538="","",IF(ISNA(MATCH(A538,Mitarbeiter!$A$6:$A$205,0)),"Pers.-Nr. unbekannt",IF(D538="","Von fehlt",IF(AND(C538&lt;&gt;Einstellungen!$C$4,C538&lt;&gt;Einstellungen!$C$5),"Objekt fehlt",IF(J538&lt;D538,"Bis vor Von",IF(D538&lt;INDEX(Mitarbeiter!$C$6:$C$205,MATCH($A538,Mitarbeiter!$A$6:$A$205,0)),"vor Eintritt",IF(AND(INDEX(Mitarbeiter!$D$6:$D$205,MATCH($A538,Mitarbeiter!$A$6:$A$205,0))&lt;&gt;"",D538&gt;INDEX(Mitarbeiter!$D$6:$D$205,MATCH($A538,Mitarbeiter!$A$6:$A$205,0))),"nach Austritt",IF(E538="","offen","ok"))))))))</f>
        <v/>
      </c>
      <c r="J538" s="47">
        <f>IF(A538="","",IF(E538="",Einstellungen!$C$9,E538))</f>
        <v/>
      </c>
      <c r="K538" s="48">
        <f>IF(A538="",0,IFERROR(INDEX(Mitarbeiter!$F$6:$F$205,MATCH($A538,Mitarbeiter!$A$6:$A$205,0)),0))</f>
        <v/>
      </c>
      <c r="L538" s="49">
        <f>IF(OR(A538="",D538=""),0,MAX(0,NETWORKDAYS(MAX(D538,DATE(Einstellungen!$C$3,1,1)),MIN(J538,DATE(Einstellungen!$C$3,2,0)),Einstellungen!$F$13:$F$32)))</f>
        <v/>
      </c>
      <c r="M538" s="49">
        <f>IF(OR(A538="",D538=""),0,MAX(0,NETWORKDAYS(MAX(D538,DATE(Einstellungen!$C$3,2,1)),MIN(J538,DATE(Einstellungen!$C$3,3,0)),Einstellungen!$F$13:$F$32)))</f>
        <v/>
      </c>
      <c r="N538" s="49">
        <f>IF(OR(A538="",D538=""),0,MAX(0,NETWORKDAYS(MAX(D538,DATE(Einstellungen!$C$3,3,1)),MIN(J538,DATE(Einstellungen!$C$3,4,0)),Einstellungen!$F$13:$F$32)))</f>
        <v/>
      </c>
      <c r="O538" s="49">
        <f>IF(OR(A538="",D538=""),0,MAX(0,NETWORKDAYS(MAX(D538,DATE(Einstellungen!$C$3,4,1)),MIN(J538,DATE(Einstellungen!$C$3,5,0)),Einstellungen!$F$13:$F$32)))</f>
        <v/>
      </c>
      <c r="P538" s="49">
        <f>IF(OR(A538="",D538=""),0,MAX(0,NETWORKDAYS(MAX(D538,DATE(Einstellungen!$C$3,5,1)),MIN(J538,DATE(Einstellungen!$C$3,6,0)),Einstellungen!$F$13:$F$32)))</f>
        <v/>
      </c>
      <c r="Q538" s="49">
        <f>IF(OR(A538="",D538=""),0,MAX(0,NETWORKDAYS(MAX(D538,DATE(Einstellungen!$C$3,6,1)),MIN(J538,DATE(Einstellungen!$C$3,7,0)),Einstellungen!$F$13:$F$32)))</f>
        <v/>
      </c>
      <c r="R538" s="49">
        <f>IF(OR(A538="",D538=""),0,MAX(0,NETWORKDAYS(MAX(D538,DATE(Einstellungen!$C$3,7,1)),MIN(J538,DATE(Einstellungen!$C$3,8,0)),Einstellungen!$F$13:$F$32)))</f>
        <v/>
      </c>
      <c r="S538" s="49">
        <f>IF(OR(A538="",D538=""),0,MAX(0,NETWORKDAYS(MAX(D538,DATE(Einstellungen!$C$3,8,1)),MIN(J538,DATE(Einstellungen!$C$3,9,0)),Einstellungen!$F$13:$F$32)))</f>
        <v/>
      </c>
      <c r="T538" s="49">
        <f>IF(OR(A538="",D538=""),0,MAX(0,NETWORKDAYS(MAX(D538,DATE(Einstellungen!$C$3,9,1)),MIN(J538,DATE(Einstellungen!$C$3,10,0)),Einstellungen!$F$13:$F$32)))</f>
        <v/>
      </c>
      <c r="U538" s="49">
        <f>IF(OR(A538="",D538=""),0,MAX(0,NETWORKDAYS(MAX(D538,DATE(Einstellungen!$C$3,10,1)),MIN(J538,DATE(Einstellungen!$C$3,11,0)),Einstellungen!$F$13:$F$32)))</f>
        <v/>
      </c>
      <c r="V538" s="49">
        <f>IF(OR(A538="",D538=""),0,MAX(0,NETWORKDAYS(MAX(D538,DATE(Einstellungen!$C$3,11,1)),MIN(J538,DATE(Einstellungen!$C$3,12,0)),Einstellungen!$F$13:$F$32)))</f>
        <v/>
      </c>
      <c r="W538" s="49">
        <f>IF(OR(A538="",D538=""),0,MAX(0,NETWORKDAYS(MAX(D538,DATE(Einstellungen!$C$3,12,1)),MIN(J538,DATE(Einstellungen!$C$3,13,0)),Einstellungen!$F$13:$F$32)))</f>
        <v/>
      </c>
      <c r="X538" s="50">
        <f>L538*K538</f>
        <v/>
      </c>
      <c r="Y538" s="50">
        <f>M538*K538</f>
        <v/>
      </c>
      <c r="Z538" s="50">
        <f>N538*K538</f>
        <v/>
      </c>
      <c r="AA538" s="50">
        <f>O538*K538</f>
        <v/>
      </c>
      <c r="AB538" s="50">
        <f>P538*K538</f>
        <v/>
      </c>
      <c r="AC538" s="50">
        <f>Q538*K538</f>
        <v/>
      </c>
      <c r="AD538" s="50">
        <f>R538*K538</f>
        <v/>
      </c>
      <c r="AE538" s="50">
        <f>S538*K538</f>
        <v/>
      </c>
      <c r="AF538" s="50">
        <f>T538*K538</f>
        <v/>
      </c>
      <c r="AG538" s="50">
        <f>U538*K538</f>
        <v/>
      </c>
      <c r="AH538" s="50">
        <f>V538*K538</f>
        <v/>
      </c>
      <c r="AI538" s="50">
        <f>W538*K538</f>
        <v/>
      </c>
    </row>
    <row r="539">
      <c r="A539" s="25" t="n"/>
      <c r="B539" s="45">
        <f>IF(A539="","",IFERROR(INDEX(Mitarbeiter!$B$6:$B$205,MATCH($A539,Mitarbeiter!$A$6:$A$205,0)),"?"))</f>
        <v/>
      </c>
      <c r="C539" s="46" t="n"/>
      <c r="D539" s="26" t="n"/>
      <c r="E539" s="26" t="n"/>
      <c r="F539" s="24">
        <f>IF(A539="","",SUM(L539:W539))</f>
        <v/>
      </c>
      <c r="G539" s="36">
        <f>IF(A539="","",SUM(X539:AI539))</f>
        <v/>
      </c>
      <c r="H539" s="8">
        <f>IF(A539="","",IF(ISNA(MATCH(A539,Mitarbeiter!$A$6:$A$205,0)),"Pers.-Nr. unbekannt",IF(D539="","Von fehlt",IF(AND(C539&lt;&gt;Einstellungen!$C$4,C539&lt;&gt;Einstellungen!$C$5),"Objekt fehlt",IF(J539&lt;D539,"Bis vor Von",IF(D539&lt;INDEX(Mitarbeiter!$C$6:$C$205,MATCH($A539,Mitarbeiter!$A$6:$A$205,0)),"vor Eintritt",IF(AND(INDEX(Mitarbeiter!$D$6:$D$205,MATCH($A539,Mitarbeiter!$A$6:$A$205,0))&lt;&gt;"",D539&gt;INDEX(Mitarbeiter!$D$6:$D$205,MATCH($A539,Mitarbeiter!$A$6:$A$205,0))),"nach Austritt",IF(E539="","offen","ok"))))))))</f>
        <v/>
      </c>
      <c r="J539" s="47">
        <f>IF(A539="","",IF(E539="",Einstellungen!$C$9,E539))</f>
        <v/>
      </c>
      <c r="K539" s="48">
        <f>IF(A539="",0,IFERROR(INDEX(Mitarbeiter!$F$6:$F$205,MATCH($A539,Mitarbeiter!$A$6:$A$205,0)),0))</f>
        <v/>
      </c>
      <c r="L539" s="49">
        <f>IF(OR(A539="",D539=""),0,MAX(0,NETWORKDAYS(MAX(D539,DATE(Einstellungen!$C$3,1,1)),MIN(J539,DATE(Einstellungen!$C$3,2,0)),Einstellungen!$F$13:$F$32)))</f>
        <v/>
      </c>
      <c r="M539" s="49">
        <f>IF(OR(A539="",D539=""),0,MAX(0,NETWORKDAYS(MAX(D539,DATE(Einstellungen!$C$3,2,1)),MIN(J539,DATE(Einstellungen!$C$3,3,0)),Einstellungen!$F$13:$F$32)))</f>
        <v/>
      </c>
      <c r="N539" s="49">
        <f>IF(OR(A539="",D539=""),0,MAX(0,NETWORKDAYS(MAX(D539,DATE(Einstellungen!$C$3,3,1)),MIN(J539,DATE(Einstellungen!$C$3,4,0)),Einstellungen!$F$13:$F$32)))</f>
        <v/>
      </c>
      <c r="O539" s="49">
        <f>IF(OR(A539="",D539=""),0,MAX(0,NETWORKDAYS(MAX(D539,DATE(Einstellungen!$C$3,4,1)),MIN(J539,DATE(Einstellungen!$C$3,5,0)),Einstellungen!$F$13:$F$32)))</f>
        <v/>
      </c>
      <c r="P539" s="49">
        <f>IF(OR(A539="",D539=""),0,MAX(0,NETWORKDAYS(MAX(D539,DATE(Einstellungen!$C$3,5,1)),MIN(J539,DATE(Einstellungen!$C$3,6,0)),Einstellungen!$F$13:$F$32)))</f>
        <v/>
      </c>
      <c r="Q539" s="49">
        <f>IF(OR(A539="",D539=""),0,MAX(0,NETWORKDAYS(MAX(D539,DATE(Einstellungen!$C$3,6,1)),MIN(J539,DATE(Einstellungen!$C$3,7,0)),Einstellungen!$F$13:$F$32)))</f>
        <v/>
      </c>
      <c r="R539" s="49">
        <f>IF(OR(A539="",D539=""),0,MAX(0,NETWORKDAYS(MAX(D539,DATE(Einstellungen!$C$3,7,1)),MIN(J539,DATE(Einstellungen!$C$3,8,0)),Einstellungen!$F$13:$F$32)))</f>
        <v/>
      </c>
      <c r="S539" s="49">
        <f>IF(OR(A539="",D539=""),0,MAX(0,NETWORKDAYS(MAX(D539,DATE(Einstellungen!$C$3,8,1)),MIN(J539,DATE(Einstellungen!$C$3,9,0)),Einstellungen!$F$13:$F$32)))</f>
        <v/>
      </c>
      <c r="T539" s="49">
        <f>IF(OR(A539="",D539=""),0,MAX(0,NETWORKDAYS(MAX(D539,DATE(Einstellungen!$C$3,9,1)),MIN(J539,DATE(Einstellungen!$C$3,10,0)),Einstellungen!$F$13:$F$32)))</f>
        <v/>
      </c>
      <c r="U539" s="49">
        <f>IF(OR(A539="",D539=""),0,MAX(0,NETWORKDAYS(MAX(D539,DATE(Einstellungen!$C$3,10,1)),MIN(J539,DATE(Einstellungen!$C$3,11,0)),Einstellungen!$F$13:$F$32)))</f>
        <v/>
      </c>
      <c r="V539" s="49">
        <f>IF(OR(A539="",D539=""),0,MAX(0,NETWORKDAYS(MAX(D539,DATE(Einstellungen!$C$3,11,1)),MIN(J539,DATE(Einstellungen!$C$3,12,0)),Einstellungen!$F$13:$F$32)))</f>
        <v/>
      </c>
      <c r="W539" s="49">
        <f>IF(OR(A539="",D539=""),0,MAX(0,NETWORKDAYS(MAX(D539,DATE(Einstellungen!$C$3,12,1)),MIN(J539,DATE(Einstellungen!$C$3,13,0)),Einstellungen!$F$13:$F$32)))</f>
        <v/>
      </c>
      <c r="X539" s="50">
        <f>L539*K539</f>
        <v/>
      </c>
      <c r="Y539" s="50">
        <f>M539*K539</f>
        <v/>
      </c>
      <c r="Z539" s="50">
        <f>N539*K539</f>
        <v/>
      </c>
      <c r="AA539" s="50">
        <f>O539*K539</f>
        <v/>
      </c>
      <c r="AB539" s="50">
        <f>P539*K539</f>
        <v/>
      </c>
      <c r="AC539" s="50">
        <f>Q539*K539</f>
        <v/>
      </c>
      <c r="AD539" s="50">
        <f>R539*K539</f>
        <v/>
      </c>
      <c r="AE539" s="50">
        <f>S539*K539</f>
        <v/>
      </c>
      <c r="AF539" s="50">
        <f>T539*K539</f>
        <v/>
      </c>
      <c r="AG539" s="50">
        <f>U539*K539</f>
        <v/>
      </c>
      <c r="AH539" s="50">
        <f>V539*K539</f>
        <v/>
      </c>
      <c r="AI539" s="50">
        <f>W539*K539</f>
        <v/>
      </c>
    </row>
    <row r="540">
      <c r="A540" s="25" t="n"/>
      <c r="B540" s="45">
        <f>IF(A540="","",IFERROR(INDEX(Mitarbeiter!$B$6:$B$205,MATCH($A540,Mitarbeiter!$A$6:$A$205,0)),"?"))</f>
        <v/>
      </c>
      <c r="C540" s="46" t="n"/>
      <c r="D540" s="26" t="n"/>
      <c r="E540" s="26" t="n"/>
      <c r="F540" s="24">
        <f>IF(A540="","",SUM(L540:W540))</f>
        <v/>
      </c>
      <c r="G540" s="36">
        <f>IF(A540="","",SUM(X540:AI540))</f>
        <v/>
      </c>
      <c r="H540" s="8">
        <f>IF(A540="","",IF(ISNA(MATCH(A540,Mitarbeiter!$A$6:$A$205,0)),"Pers.-Nr. unbekannt",IF(D540="","Von fehlt",IF(AND(C540&lt;&gt;Einstellungen!$C$4,C540&lt;&gt;Einstellungen!$C$5),"Objekt fehlt",IF(J540&lt;D540,"Bis vor Von",IF(D540&lt;INDEX(Mitarbeiter!$C$6:$C$205,MATCH($A540,Mitarbeiter!$A$6:$A$205,0)),"vor Eintritt",IF(AND(INDEX(Mitarbeiter!$D$6:$D$205,MATCH($A540,Mitarbeiter!$A$6:$A$205,0))&lt;&gt;"",D540&gt;INDEX(Mitarbeiter!$D$6:$D$205,MATCH($A540,Mitarbeiter!$A$6:$A$205,0))),"nach Austritt",IF(E540="","offen","ok"))))))))</f>
        <v/>
      </c>
      <c r="J540" s="47">
        <f>IF(A540="","",IF(E540="",Einstellungen!$C$9,E540))</f>
        <v/>
      </c>
      <c r="K540" s="48">
        <f>IF(A540="",0,IFERROR(INDEX(Mitarbeiter!$F$6:$F$205,MATCH($A540,Mitarbeiter!$A$6:$A$205,0)),0))</f>
        <v/>
      </c>
      <c r="L540" s="49">
        <f>IF(OR(A540="",D540=""),0,MAX(0,NETWORKDAYS(MAX(D540,DATE(Einstellungen!$C$3,1,1)),MIN(J540,DATE(Einstellungen!$C$3,2,0)),Einstellungen!$F$13:$F$32)))</f>
        <v/>
      </c>
      <c r="M540" s="49">
        <f>IF(OR(A540="",D540=""),0,MAX(0,NETWORKDAYS(MAX(D540,DATE(Einstellungen!$C$3,2,1)),MIN(J540,DATE(Einstellungen!$C$3,3,0)),Einstellungen!$F$13:$F$32)))</f>
        <v/>
      </c>
      <c r="N540" s="49">
        <f>IF(OR(A540="",D540=""),0,MAX(0,NETWORKDAYS(MAX(D540,DATE(Einstellungen!$C$3,3,1)),MIN(J540,DATE(Einstellungen!$C$3,4,0)),Einstellungen!$F$13:$F$32)))</f>
        <v/>
      </c>
      <c r="O540" s="49">
        <f>IF(OR(A540="",D540=""),0,MAX(0,NETWORKDAYS(MAX(D540,DATE(Einstellungen!$C$3,4,1)),MIN(J540,DATE(Einstellungen!$C$3,5,0)),Einstellungen!$F$13:$F$32)))</f>
        <v/>
      </c>
      <c r="P540" s="49">
        <f>IF(OR(A540="",D540=""),0,MAX(0,NETWORKDAYS(MAX(D540,DATE(Einstellungen!$C$3,5,1)),MIN(J540,DATE(Einstellungen!$C$3,6,0)),Einstellungen!$F$13:$F$32)))</f>
        <v/>
      </c>
      <c r="Q540" s="49">
        <f>IF(OR(A540="",D540=""),0,MAX(0,NETWORKDAYS(MAX(D540,DATE(Einstellungen!$C$3,6,1)),MIN(J540,DATE(Einstellungen!$C$3,7,0)),Einstellungen!$F$13:$F$32)))</f>
        <v/>
      </c>
      <c r="R540" s="49">
        <f>IF(OR(A540="",D540=""),0,MAX(0,NETWORKDAYS(MAX(D540,DATE(Einstellungen!$C$3,7,1)),MIN(J540,DATE(Einstellungen!$C$3,8,0)),Einstellungen!$F$13:$F$32)))</f>
        <v/>
      </c>
      <c r="S540" s="49">
        <f>IF(OR(A540="",D540=""),0,MAX(0,NETWORKDAYS(MAX(D540,DATE(Einstellungen!$C$3,8,1)),MIN(J540,DATE(Einstellungen!$C$3,9,0)),Einstellungen!$F$13:$F$32)))</f>
        <v/>
      </c>
      <c r="T540" s="49">
        <f>IF(OR(A540="",D540=""),0,MAX(0,NETWORKDAYS(MAX(D540,DATE(Einstellungen!$C$3,9,1)),MIN(J540,DATE(Einstellungen!$C$3,10,0)),Einstellungen!$F$13:$F$32)))</f>
        <v/>
      </c>
      <c r="U540" s="49">
        <f>IF(OR(A540="",D540=""),0,MAX(0,NETWORKDAYS(MAX(D540,DATE(Einstellungen!$C$3,10,1)),MIN(J540,DATE(Einstellungen!$C$3,11,0)),Einstellungen!$F$13:$F$32)))</f>
        <v/>
      </c>
      <c r="V540" s="49">
        <f>IF(OR(A540="",D540=""),0,MAX(0,NETWORKDAYS(MAX(D540,DATE(Einstellungen!$C$3,11,1)),MIN(J540,DATE(Einstellungen!$C$3,12,0)),Einstellungen!$F$13:$F$32)))</f>
        <v/>
      </c>
      <c r="W540" s="49">
        <f>IF(OR(A540="",D540=""),0,MAX(0,NETWORKDAYS(MAX(D540,DATE(Einstellungen!$C$3,12,1)),MIN(J540,DATE(Einstellungen!$C$3,13,0)),Einstellungen!$F$13:$F$32)))</f>
        <v/>
      </c>
      <c r="X540" s="50">
        <f>L540*K540</f>
        <v/>
      </c>
      <c r="Y540" s="50">
        <f>M540*K540</f>
        <v/>
      </c>
      <c r="Z540" s="50">
        <f>N540*K540</f>
        <v/>
      </c>
      <c r="AA540" s="50">
        <f>O540*K540</f>
        <v/>
      </c>
      <c r="AB540" s="50">
        <f>P540*K540</f>
        <v/>
      </c>
      <c r="AC540" s="50">
        <f>Q540*K540</f>
        <v/>
      </c>
      <c r="AD540" s="50">
        <f>R540*K540</f>
        <v/>
      </c>
      <c r="AE540" s="50">
        <f>S540*K540</f>
        <v/>
      </c>
      <c r="AF540" s="50">
        <f>T540*K540</f>
        <v/>
      </c>
      <c r="AG540" s="50">
        <f>U540*K540</f>
        <v/>
      </c>
      <c r="AH540" s="50">
        <f>V540*K540</f>
        <v/>
      </c>
      <c r="AI540" s="50">
        <f>W540*K540</f>
        <v/>
      </c>
    </row>
    <row r="541">
      <c r="A541" s="25" t="n"/>
      <c r="B541" s="45">
        <f>IF(A541="","",IFERROR(INDEX(Mitarbeiter!$B$6:$B$205,MATCH($A541,Mitarbeiter!$A$6:$A$205,0)),"?"))</f>
        <v/>
      </c>
      <c r="C541" s="46" t="n"/>
      <c r="D541" s="26" t="n"/>
      <c r="E541" s="26" t="n"/>
      <c r="F541" s="24">
        <f>IF(A541="","",SUM(L541:W541))</f>
        <v/>
      </c>
      <c r="G541" s="36">
        <f>IF(A541="","",SUM(X541:AI541))</f>
        <v/>
      </c>
      <c r="H541" s="8">
        <f>IF(A541="","",IF(ISNA(MATCH(A541,Mitarbeiter!$A$6:$A$205,0)),"Pers.-Nr. unbekannt",IF(D541="","Von fehlt",IF(AND(C541&lt;&gt;Einstellungen!$C$4,C541&lt;&gt;Einstellungen!$C$5),"Objekt fehlt",IF(J541&lt;D541,"Bis vor Von",IF(D541&lt;INDEX(Mitarbeiter!$C$6:$C$205,MATCH($A541,Mitarbeiter!$A$6:$A$205,0)),"vor Eintritt",IF(AND(INDEX(Mitarbeiter!$D$6:$D$205,MATCH($A541,Mitarbeiter!$A$6:$A$205,0))&lt;&gt;"",D541&gt;INDEX(Mitarbeiter!$D$6:$D$205,MATCH($A541,Mitarbeiter!$A$6:$A$205,0))),"nach Austritt",IF(E541="","offen","ok"))))))))</f>
        <v/>
      </c>
      <c r="J541" s="47">
        <f>IF(A541="","",IF(E541="",Einstellungen!$C$9,E541))</f>
        <v/>
      </c>
      <c r="K541" s="48">
        <f>IF(A541="",0,IFERROR(INDEX(Mitarbeiter!$F$6:$F$205,MATCH($A541,Mitarbeiter!$A$6:$A$205,0)),0))</f>
        <v/>
      </c>
      <c r="L541" s="49">
        <f>IF(OR(A541="",D541=""),0,MAX(0,NETWORKDAYS(MAX(D541,DATE(Einstellungen!$C$3,1,1)),MIN(J541,DATE(Einstellungen!$C$3,2,0)),Einstellungen!$F$13:$F$32)))</f>
        <v/>
      </c>
      <c r="M541" s="49">
        <f>IF(OR(A541="",D541=""),0,MAX(0,NETWORKDAYS(MAX(D541,DATE(Einstellungen!$C$3,2,1)),MIN(J541,DATE(Einstellungen!$C$3,3,0)),Einstellungen!$F$13:$F$32)))</f>
        <v/>
      </c>
      <c r="N541" s="49">
        <f>IF(OR(A541="",D541=""),0,MAX(0,NETWORKDAYS(MAX(D541,DATE(Einstellungen!$C$3,3,1)),MIN(J541,DATE(Einstellungen!$C$3,4,0)),Einstellungen!$F$13:$F$32)))</f>
        <v/>
      </c>
      <c r="O541" s="49">
        <f>IF(OR(A541="",D541=""),0,MAX(0,NETWORKDAYS(MAX(D541,DATE(Einstellungen!$C$3,4,1)),MIN(J541,DATE(Einstellungen!$C$3,5,0)),Einstellungen!$F$13:$F$32)))</f>
        <v/>
      </c>
      <c r="P541" s="49">
        <f>IF(OR(A541="",D541=""),0,MAX(0,NETWORKDAYS(MAX(D541,DATE(Einstellungen!$C$3,5,1)),MIN(J541,DATE(Einstellungen!$C$3,6,0)),Einstellungen!$F$13:$F$32)))</f>
        <v/>
      </c>
      <c r="Q541" s="49">
        <f>IF(OR(A541="",D541=""),0,MAX(0,NETWORKDAYS(MAX(D541,DATE(Einstellungen!$C$3,6,1)),MIN(J541,DATE(Einstellungen!$C$3,7,0)),Einstellungen!$F$13:$F$32)))</f>
        <v/>
      </c>
      <c r="R541" s="49">
        <f>IF(OR(A541="",D541=""),0,MAX(0,NETWORKDAYS(MAX(D541,DATE(Einstellungen!$C$3,7,1)),MIN(J541,DATE(Einstellungen!$C$3,8,0)),Einstellungen!$F$13:$F$32)))</f>
        <v/>
      </c>
      <c r="S541" s="49">
        <f>IF(OR(A541="",D541=""),0,MAX(0,NETWORKDAYS(MAX(D541,DATE(Einstellungen!$C$3,8,1)),MIN(J541,DATE(Einstellungen!$C$3,9,0)),Einstellungen!$F$13:$F$32)))</f>
        <v/>
      </c>
      <c r="T541" s="49">
        <f>IF(OR(A541="",D541=""),0,MAX(0,NETWORKDAYS(MAX(D541,DATE(Einstellungen!$C$3,9,1)),MIN(J541,DATE(Einstellungen!$C$3,10,0)),Einstellungen!$F$13:$F$32)))</f>
        <v/>
      </c>
      <c r="U541" s="49">
        <f>IF(OR(A541="",D541=""),0,MAX(0,NETWORKDAYS(MAX(D541,DATE(Einstellungen!$C$3,10,1)),MIN(J541,DATE(Einstellungen!$C$3,11,0)),Einstellungen!$F$13:$F$32)))</f>
        <v/>
      </c>
      <c r="V541" s="49">
        <f>IF(OR(A541="",D541=""),0,MAX(0,NETWORKDAYS(MAX(D541,DATE(Einstellungen!$C$3,11,1)),MIN(J541,DATE(Einstellungen!$C$3,12,0)),Einstellungen!$F$13:$F$32)))</f>
        <v/>
      </c>
      <c r="W541" s="49">
        <f>IF(OR(A541="",D541=""),0,MAX(0,NETWORKDAYS(MAX(D541,DATE(Einstellungen!$C$3,12,1)),MIN(J541,DATE(Einstellungen!$C$3,13,0)),Einstellungen!$F$13:$F$32)))</f>
        <v/>
      </c>
      <c r="X541" s="50">
        <f>L541*K541</f>
        <v/>
      </c>
      <c r="Y541" s="50">
        <f>M541*K541</f>
        <v/>
      </c>
      <c r="Z541" s="50">
        <f>N541*K541</f>
        <v/>
      </c>
      <c r="AA541" s="50">
        <f>O541*K541</f>
        <v/>
      </c>
      <c r="AB541" s="50">
        <f>P541*K541</f>
        <v/>
      </c>
      <c r="AC541" s="50">
        <f>Q541*K541</f>
        <v/>
      </c>
      <c r="AD541" s="50">
        <f>R541*K541</f>
        <v/>
      </c>
      <c r="AE541" s="50">
        <f>S541*K541</f>
        <v/>
      </c>
      <c r="AF541" s="50">
        <f>T541*K541</f>
        <v/>
      </c>
      <c r="AG541" s="50">
        <f>U541*K541</f>
        <v/>
      </c>
      <c r="AH541" s="50">
        <f>V541*K541</f>
        <v/>
      </c>
      <c r="AI541" s="50">
        <f>W541*K541</f>
        <v/>
      </c>
    </row>
    <row r="542">
      <c r="A542" s="25" t="n"/>
      <c r="B542" s="45">
        <f>IF(A542="","",IFERROR(INDEX(Mitarbeiter!$B$6:$B$205,MATCH($A542,Mitarbeiter!$A$6:$A$205,0)),"?"))</f>
        <v/>
      </c>
      <c r="C542" s="46" t="n"/>
      <c r="D542" s="26" t="n"/>
      <c r="E542" s="26" t="n"/>
      <c r="F542" s="24">
        <f>IF(A542="","",SUM(L542:W542))</f>
        <v/>
      </c>
      <c r="G542" s="36">
        <f>IF(A542="","",SUM(X542:AI542))</f>
        <v/>
      </c>
      <c r="H542" s="8">
        <f>IF(A542="","",IF(ISNA(MATCH(A542,Mitarbeiter!$A$6:$A$205,0)),"Pers.-Nr. unbekannt",IF(D542="","Von fehlt",IF(AND(C542&lt;&gt;Einstellungen!$C$4,C542&lt;&gt;Einstellungen!$C$5),"Objekt fehlt",IF(J542&lt;D542,"Bis vor Von",IF(D542&lt;INDEX(Mitarbeiter!$C$6:$C$205,MATCH($A542,Mitarbeiter!$A$6:$A$205,0)),"vor Eintritt",IF(AND(INDEX(Mitarbeiter!$D$6:$D$205,MATCH($A542,Mitarbeiter!$A$6:$A$205,0))&lt;&gt;"",D542&gt;INDEX(Mitarbeiter!$D$6:$D$205,MATCH($A542,Mitarbeiter!$A$6:$A$205,0))),"nach Austritt",IF(E542="","offen","ok"))))))))</f>
        <v/>
      </c>
      <c r="J542" s="47">
        <f>IF(A542="","",IF(E542="",Einstellungen!$C$9,E542))</f>
        <v/>
      </c>
      <c r="K542" s="48">
        <f>IF(A542="",0,IFERROR(INDEX(Mitarbeiter!$F$6:$F$205,MATCH($A542,Mitarbeiter!$A$6:$A$205,0)),0))</f>
        <v/>
      </c>
      <c r="L542" s="49">
        <f>IF(OR(A542="",D542=""),0,MAX(0,NETWORKDAYS(MAX(D542,DATE(Einstellungen!$C$3,1,1)),MIN(J542,DATE(Einstellungen!$C$3,2,0)),Einstellungen!$F$13:$F$32)))</f>
        <v/>
      </c>
      <c r="M542" s="49">
        <f>IF(OR(A542="",D542=""),0,MAX(0,NETWORKDAYS(MAX(D542,DATE(Einstellungen!$C$3,2,1)),MIN(J542,DATE(Einstellungen!$C$3,3,0)),Einstellungen!$F$13:$F$32)))</f>
        <v/>
      </c>
      <c r="N542" s="49">
        <f>IF(OR(A542="",D542=""),0,MAX(0,NETWORKDAYS(MAX(D542,DATE(Einstellungen!$C$3,3,1)),MIN(J542,DATE(Einstellungen!$C$3,4,0)),Einstellungen!$F$13:$F$32)))</f>
        <v/>
      </c>
      <c r="O542" s="49">
        <f>IF(OR(A542="",D542=""),0,MAX(0,NETWORKDAYS(MAX(D542,DATE(Einstellungen!$C$3,4,1)),MIN(J542,DATE(Einstellungen!$C$3,5,0)),Einstellungen!$F$13:$F$32)))</f>
        <v/>
      </c>
      <c r="P542" s="49">
        <f>IF(OR(A542="",D542=""),0,MAX(0,NETWORKDAYS(MAX(D542,DATE(Einstellungen!$C$3,5,1)),MIN(J542,DATE(Einstellungen!$C$3,6,0)),Einstellungen!$F$13:$F$32)))</f>
        <v/>
      </c>
      <c r="Q542" s="49">
        <f>IF(OR(A542="",D542=""),0,MAX(0,NETWORKDAYS(MAX(D542,DATE(Einstellungen!$C$3,6,1)),MIN(J542,DATE(Einstellungen!$C$3,7,0)),Einstellungen!$F$13:$F$32)))</f>
        <v/>
      </c>
      <c r="R542" s="49">
        <f>IF(OR(A542="",D542=""),0,MAX(0,NETWORKDAYS(MAX(D542,DATE(Einstellungen!$C$3,7,1)),MIN(J542,DATE(Einstellungen!$C$3,8,0)),Einstellungen!$F$13:$F$32)))</f>
        <v/>
      </c>
      <c r="S542" s="49">
        <f>IF(OR(A542="",D542=""),0,MAX(0,NETWORKDAYS(MAX(D542,DATE(Einstellungen!$C$3,8,1)),MIN(J542,DATE(Einstellungen!$C$3,9,0)),Einstellungen!$F$13:$F$32)))</f>
        <v/>
      </c>
      <c r="T542" s="49">
        <f>IF(OR(A542="",D542=""),0,MAX(0,NETWORKDAYS(MAX(D542,DATE(Einstellungen!$C$3,9,1)),MIN(J542,DATE(Einstellungen!$C$3,10,0)),Einstellungen!$F$13:$F$32)))</f>
        <v/>
      </c>
      <c r="U542" s="49">
        <f>IF(OR(A542="",D542=""),0,MAX(0,NETWORKDAYS(MAX(D542,DATE(Einstellungen!$C$3,10,1)),MIN(J542,DATE(Einstellungen!$C$3,11,0)),Einstellungen!$F$13:$F$32)))</f>
        <v/>
      </c>
      <c r="V542" s="49">
        <f>IF(OR(A542="",D542=""),0,MAX(0,NETWORKDAYS(MAX(D542,DATE(Einstellungen!$C$3,11,1)),MIN(J542,DATE(Einstellungen!$C$3,12,0)),Einstellungen!$F$13:$F$32)))</f>
        <v/>
      </c>
      <c r="W542" s="49">
        <f>IF(OR(A542="",D542=""),0,MAX(0,NETWORKDAYS(MAX(D542,DATE(Einstellungen!$C$3,12,1)),MIN(J542,DATE(Einstellungen!$C$3,13,0)),Einstellungen!$F$13:$F$32)))</f>
        <v/>
      </c>
      <c r="X542" s="50">
        <f>L542*K542</f>
        <v/>
      </c>
      <c r="Y542" s="50">
        <f>M542*K542</f>
        <v/>
      </c>
      <c r="Z542" s="50">
        <f>N542*K542</f>
        <v/>
      </c>
      <c r="AA542" s="50">
        <f>O542*K542</f>
        <v/>
      </c>
      <c r="AB542" s="50">
        <f>P542*K542</f>
        <v/>
      </c>
      <c r="AC542" s="50">
        <f>Q542*K542</f>
        <v/>
      </c>
      <c r="AD542" s="50">
        <f>R542*K542</f>
        <v/>
      </c>
      <c r="AE542" s="50">
        <f>S542*K542</f>
        <v/>
      </c>
      <c r="AF542" s="50">
        <f>T542*K542</f>
        <v/>
      </c>
      <c r="AG542" s="50">
        <f>U542*K542</f>
        <v/>
      </c>
      <c r="AH542" s="50">
        <f>V542*K542</f>
        <v/>
      </c>
      <c r="AI542" s="50">
        <f>W542*K542</f>
        <v/>
      </c>
    </row>
    <row r="543">
      <c r="A543" s="25" t="n"/>
      <c r="B543" s="45">
        <f>IF(A543="","",IFERROR(INDEX(Mitarbeiter!$B$6:$B$205,MATCH($A543,Mitarbeiter!$A$6:$A$205,0)),"?"))</f>
        <v/>
      </c>
      <c r="C543" s="46" t="n"/>
      <c r="D543" s="26" t="n"/>
      <c r="E543" s="26" t="n"/>
      <c r="F543" s="24">
        <f>IF(A543="","",SUM(L543:W543))</f>
        <v/>
      </c>
      <c r="G543" s="36">
        <f>IF(A543="","",SUM(X543:AI543))</f>
        <v/>
      </c>
      <c r="H543" s="8">
        <f>IF(A543="","",IF(ISNA(MATCH(A543,Mitarbeiter!$A$6:$A$205,0)),"Pers.-Nr. unbekannt",IF(D543="","Von fehlt",IF(AND(C543&lt;&gt;Einstellungen!$C$4,C543&lt;&gt;Einstellungen!$C$5),"Objekt fehlt",IF(J543&lt;D543,"Bis vor Von",IF(D543&lt;INDEX(Mitarbeiter!$C$6:$C$205,MATCH($A543,Mitarbeiter!$A$6:$A$205,0)),"vor Eintritt",IF(AND(INDEX(Mitarbeiter!$D$6:$D$205,MATCH($A543,Mitarbeiter!$A$6:$A$205,0))&lt;&gt;"",D543&gt;INDEX(Mitarbeiter!$D$6:$D$205,MATCH($A543,Mitarbeiter!$A$6:$A$205,0))),"nach Austritt",IF(E543="","offen","ok"))))))))</f>
        <v/>
      </c>
      <c r="J543" s="47">
        <f>IF(A543="","",IF(E543="",Einstellungen!$C$9,E543))</f>
        <v/>
      </c>
      <c r="K543" s="48">
        <f>IF(A543="",0,IFERROR(INDEX(Mitarbeiter!$F$6:$F$205,MATCH($A543,Mitarbeiter!$A$6:$A$205,0)),0))</f>
        <v/>
      </c>
      <c r="L543" s="49">
        <f>IF(OR(A543="",D543=""),0,MAX(0,NETWORKDAYS(MAX(D543,DATE(Einstellungen!$C$3,1,1)),MIN(J543,DATE(Einstellungen!$C$3,2,0)),Einstellungen!$F$13:$F$32)))</f>
        <v/>
      </c>
      <c r="M543" s="49">
        <f>IF(OR(A543="",D543=""),0,MAX(0,NETWORKDAYS(MAX(D543,DATE(Einstellungen!$C$3,2,1)),MIN(J543,DATE(Einstellungen!$C$3,3,0)),Einstellungen!$F$13:$F$32)))</f>
        <v/>
      </c>
      <c r="N543" s="49">
        <f>IF(OR(A543="",D543=""),0,MAX(0,NETWORKDAYS(MAX(D543,DATE(Einstellungen!$C$3,3,1)),MIN(J543,DATE(Einstellungen!$C$3,4,0)),Einstellungen!$F$13:$F$32)))</f>
        <v/>
      </c>
      <c r="O543" s="49">
        <f>IF(OR(A543="",D543=""),0,MAX(0,NETWORKDAYS(MAX(D543,DATE(Einstellungen!$C$3,4,1)),MIN(J543,DATE(Einstellungen!$C$3,5,0)),Einstellungen!$F$13:$F$32)))</f>
        <v/>
      </c>
      <c r="P543" s="49">
        <f>IF(OR(A543="",D543=""),0,MAX(0,NETWORKDAYS(MAX(D543,DATE(Einstellungen!$C$3,5,1)),MIN(J543,DATE(Einstellungen!$C$3,6,0)),Einstellungen!$F$13:$F$32)))</f>
        <v/>
      </c>
      <c r="Q543" s="49">
        <f>IF(OR(A543="",D543=""),0,MAX(0,NETWORKDAYS(MAX(D543,DATE(Einstellungen!$C$3,6,1)),MIN(J543,DATE(Einstellungen!$C$3,7,0)),Einstellungen!$F$13:$F$32)))</f>
        <v/>
      </c>
      <c r="R543" s="49">
        <f>IF(OR(A543="",D543=""),0,MAX(0,NETWORKDAYS(MAX(D543,DATE(Einstellungen!$C$3,7,1)),MIN(J543,DATE(Einstellungen!$C$3,8,0)),Einstellungen!$F$13:$F$32)))</f>
        <v/>
      </c>
      <c r="S543" s="49">
        <f>IF(OR(A543="",D543=""),0,MAX(0,NETWORKDAYS(MAX(D543,DATE(Einstellungen!$C$3,8,1)),MIN(J543,DATE(Einstellungen!$C$3,9,0)),Einstellungen!$F$13:$F$32)))</f>
        <v/>
      </c>
      <c r="T543" s="49">
        <f>IF(OR(A543="",D543=""),0,MAX(0,NETWORKDAYS(MAX(D543,DATE(Einstellungen!$C$3,9,1)),MIN(J543,DATE(Einstellungen!$C$3,10,0)),Einstellungen!$F$13:$F$32)))</f>
        <v/>
      </c>
      <c r="U543" s="49">
        <f>IF(OR(A543="",D543=""),0,MAX(0,NETWORKDAYS(MAX(D543,DATE(Einstellungen!$C$3,10,1)),MIN(J543,DATE(Einstellungen!$C$3,11,0)),Einstellungen!$F$13:$F$32)))</f>
        <v/>
      </c>
      <c r="V543" s="49">
        <f>IF(OR(A543="",D543=""),0,MAX(0,NETWORKDAYS(MAX(D543,DATE(Einstellungen!$C$3,11,1)),MIN(J543,DATE(Einstellungen!$C$3,12,0)),Einstellungen!$F$13:$F$32)))</f>
        <v/>
      </c>
      <c r="W543" s="49">
        <f>IF(OR(A543="",D543=""),0,MAX(0,NETWORKDAYS(MAX(D543,DATE(Einstellungen!$C$3,12,1)),MIN(J543,DATE(Einstellungen!$C$3,13,0)),Einstellungen!$F$13:$F$32)))</f>
        <v/>
      </c>
      <c r="X543" s="50">
        <f>L543*K543</f>
        <v/>
      </c>
      <c r="Y543" s="50">
        <f>M543*K543</f>
        <v/>
      </c>
      <c r="Z543" s="50">
        <f>N543*K543</f>
        <v/>
      </c>
      <c r="AA543" s="50">
        <f>O543*K543</f>
        <v/>
      </c>
      <c r="AB543" s="50">
        <f>P543*K543</f>
        <v/>
      </c>
      <c r="AC543" s="50">
        <f>Q543*K543</f>
        <v/>
      </c>
      <c r="AD543" s="50">
        <f>R543*K543</f>
        <v/>
      </c>
      <c r="AE543" s="50">
        <f>S543*K543</f>
        <v/>
      </c>
      <c r="AF543" s="50">
        <f>T543*K543</f>
        <v/>
      </c>
      <c r="AG543" s="50">
        <f>U543*K543</f>
        <v/>
      </c>
      <c r="AH543" s="50">
        <f>V543*K543</f>
        <v/>
      </c>
      <c r="AI543" s="50">
        <f>W543*K543</f>
        <v/>
      </c>
    </row>
    <row r="544">
      <c r="A544" s="25" t="n"/>
      <c r="B544" s="45">
        <f>IF(A544="","",IFERROR(INDEX(Mitarbeiter!$B$6:$B$205,MATCH($A544,Mitarbeiter!$A$6:$A$205,0)),"?"))</f>
        <v/>
      </c>
      <c r="C544" s="46" t="n"/>
      <c r="D544" s="26" t="n"/>
      <c r="E544" s="26" t="n"/>
      <c r="F544" s="24">
        <f>IF(A544="","",SUM(L544:W544))</f>
        <v/>
      </c>
      <c r="G544" s="36">
        <f>IF(A544="","",SUM(X544:AI544))</f>
        <v/>
      </c>
      <c r="H544" s="8">
        <f>IF(A544="","",IF(ISNA(MATCH(A544,Mitarbeiter!$A$6:$A$205,0)),"Pers.-Nr. unbekannt",IF(D544="","Von fehlt",IF(AND(C544&lt;&gt;Einstellungen!$C$4,C544&lt;&gt;Einstellungen!$C$5),"Objekt fehlt",IF(J544&lt;D544,"Bis vor Von",IF(D544&lt;INDEX(Mitarbeiter!$C$6:$C$205,MATCH($A544,Mitarbeiter!$A$6:$A$205,0)),"vor Eintritt",IF(AND(INDEX(Mitarbeiter!$D$6:$D$205,MATCH($A544,Mitarbeiter!$A$6:$A$205,0))&lt;&gt;"",D544&gt;INDEX(Mitarbeiter!$D$6:$D$205,MATCH($A544,Mitarbeiter!$A$6:$A$205,0))),"nach Austritt",IF(E544="","offen","ok"))))))))</f>
        <v/>
      </c>
      <c r="J544" s="47">
        <f>IF(A544="","",IF(E544="",Einstellungen!$C$9,E544))</f>
        <v/>
      </c>
      <c r="K544" s="48">
        <f>IF(A544="",0,IFERROR(INDEX(Mitarbeiter!$F$6:$F$205,MATCH($A544,Mitarbeiter!$A$6:$A$205,0)),0))</f>
        <v/>
      </c>
      <c r="L544" s="49">
        <f>IF(OR(A544="",D544=""),0,MAX(0,NETWORKDAYS(MAX(D544,DATE(Einstellungen!$C$3,1,1)),MIN(J544,DATE(Einstellungen!$C$3,2,0)),Einstellungen!$F$13:$F$32)))</f>
        <v/>
      </c>
      <c r="M544" s="49">
        <f>IF(OR(A544="",D544=""),0,MAX(0,NETWORKDAYS(MAX(D544,DATE(Einstellungen!$C$3,2,1)),MIN(J544,DATE(Einstellungen!$C$3,3,0)),Einstellungen!$F$13:$F$32)))</f>
        <v/>
      </c>
      <c r="N544" s="49">
        <f>IF(OR(A544="",D544=""),0,MAX(0,NETWORKDAYS(MAX(D544,DATE(Einstellungen!$C$3,3,1)),MIN(J544,DATE(Einstellungen!$C$3,4,0)),Einstellungen!$F$13:$F$32)))</f>
        <v/>
      </c>
      <c r="O544" s="49">
        <f>IF(OR(A544="",D544=""),0,MAX(0,NETWORKDAYS(MAX(D544,DATE(Einstellungen!$C$3,4,1)),MIN(J544,DATE(Einstellungen!$C$3,5,0)),Einstellungen!$F$13:$F$32)))</f>
        <v/>
      </c>
      <c r="P544" s="49">
        <f>IF(OR(A544="",D544=""),0,MAX(0,NETWORKDAYS(MAX(D544,DATE(Einstellungen!$C$3,5,1)),MIN(J544,DATE(Einstellungen!$C$3,6,0)),Einstellungen!$F$13:$F$32)))</f>
        <v/>
      </c>
      <c r="Q544" s="49">
        <f>IF(OR(A544="",D544=""),0,MAX(0,NETWORKDAYS(MAX(D544,DATE(Einstellungen!$C$3,6,1)),MIN(J544,DATE(Einstellungen!$C$3,7,0)),Einstellungen!$F$13:$F$32)))</f>
        <v/>
      </c>
      <c r="R544" s="49">
        <f>IF(OR(A544="",D544=""),0,MAX(0,NETWORKDAYS(MAX(D544,DATE(Einstellungen!$C$3,7,1)),MIN(J544,DATE(Einstellungen!$C$3,8,0)),Einstellungen!$F$13:$F$32)))</f>
        <v/>
      </c>
      <c r="S544" s="49">
        <f>IF(OR(A544="",D544=""),0,MAX(0,NETWORKDAYS(MAX(D544,DATE(Einstellungen!$C$3,8,1)),MIN(J544,DATE(Einstellungen!$C$3,9,0)),Einstellungen!$F$13:$F$32)))</f>
        <v/>
      </c>
      <c r="T544" s="49">
        <f>IF(OR(A544="",D544=""),0,MAX(0,NETWORKDAYS(MAX(D544,DATE(Einstellungen!$C$3,9,1)),MIN(J544,DATE(Einstellungen!$C$3,10,0)),Einstellungen!$F$13:$F$32)))</f>
        <v/>
      </c>
      <c r="U544" s="49">
        <f>IF(OR(A544="",D544=""),0,MAX(0,NETWORKDAYS(MAX(D544,DATE(Einstellungen!$C$3,10,1)),MIN(J544,DATE(Einstellungen!$C$3,11,0)),Einstellungen!$F$13:$F$32)))</f>
        <v/>
      </c>
      <c r="V544" s="49">
        <f>IF(OR(A544="",D544=""),0,MAX(0,NETWORKDAYS(MAX(D544,DATE(Einstellungen!$C$3,11,1)),MIN(J544,DATE(Einstellungen!$C$3,12,0)),Einstellungen!$F$13:$F$32)))</f>
        <v/>
      </c>
      <c r="W544" s="49">
        <f>IF(OR(A544="",D544=""),0,MAX(0,NETWORKDAYS(MAX(D544,DATE(Einstellungen!$C$3,12,1)),MIN(J544,DATE(Einstellungen!$C$3,13,0)),Einstellungen!$F$13:$F$32)))</f>
        <v/>
      </c>
      <c r="X544" s="50">
        <f>L544*K544</f>
        <v/>
      </c>
      <c r="Y544" s="50">
        <f>M544*K544</f>
        <v/>
      </c>
      <c r="Z544" s="50">
        <f>N544*K544</f>
        <v/>
      </c>
      <c r="AA544" s="50">
        <f>O544*K544</f>
        <v/>
      </c>
      <c r="AB544" s="50">
        <f>P544*K544</f>
        <v/>
      </c>
      <c r="AC544" s="50">
        <f>Q544*K544</f>
        <v/>
      </c>
      <c r="AD544" s="50">
        <f>R544*K544</f>
        <v/>
      </c>
      <c r="AE544" s="50">
        <f>S544*K544</f>
        <v/>
      </c>
      <c r="AF544" s="50">
        <f>T544*K544</f>
        <v/>
      </c>
      <c r="AG544" s="50">
        <f>U544*K544</f>
        <v/>
      </c>
      <c r="AH544" s="50">
        <f>V544*K544</f>
        <v/>
      </c>
      <c r="AI544" s="50">
        <f>W544*K544</f>
        <v/>
      </c>
    </row>
    <row r="545">
      <c r="A545" s="25" t="n"/>
      <c r="B545" s="45">
        <f>IF(A545="","",IFERROR(INDEX(Mitarbeiter!$B$6:$B$205,MATCH($A545,Mitarbeiter!$A$6:$A$205,0)),"?"))</f>
        <v/>
      </c>
      <c r="C545" s="46" t="n"/>
      <c r="D545" s="26" t="n"/>
      <c r="E545" s="26" t="n"/>
      <c r="F545" s="24">
        <f>IF(A545="","",SUM(L545:W545))</f>
        <v/>
      </c>
      <c r="G545" s="36">
        <f>IF(A545="","",SUM(X545:AI545))</f>
        <v/>
      </c>
      <c r="H545" s="8">
        <f>IF(A545="","",IF(ISNA(MATCH(A545,Mitarbeiter!$A$6:$A$205,0)),"Pers.-Nr. unbekannt",IF(D545="","Von fehlt",IF(AND(C545&lt;&gt;Einstellungen!$C$4,C545&lt;&gt;Einstellungen!$C$5),"Objekt fehlt",IF(J545&lt;D545,"Bis vor Von",IF(D545&lt;INDEX(Mitarbeiter!$C$6:$C$205,MATCH($A545,Mitarbeiter!$A$6:$A$205,0)),"vor Eintritt",IF(AND(INDEX(Mitarbeiter!$D$6:$D$205,MATCH($A545,Mitarbeiter!$A$6:$A$205,0))&lt;&gt;"",D545&gt;INDEX(Mitarbeiter!$D$6:$D$205,MATCH($A545,Mitarbeiter!$A$6:$A$205,0))),"nach Austritt",IF(E545="","offen","ok"))))))))</f>
        <v/>
      </c>
      <c r="J545" s="47">
        <f>IF(A545="","",IF(E545="",Einstellungen!$C$9,E545))</f>
        <v/>
      </c>
      <c r="K545" s="48">
        <f>IF(A545="",0,IFERROR(INDEX(Mitarbeiter!$F$6:$F$205,MATCH($A545,Mitarbeiter!$A$6:$A$205,0)),0))</f>
        <v/>
      </c>
      <c r="L545" s="49">
        <f>IF(OR(A545="",D545=""),0,MAX(0,NETWORKDAYS(MAX(D545,DATE(Einstellungen!$C$3,1,1)),MIN(J545,DATE(Einstellungen!$C$3,2,0)),Einstellungen!$F$13:$F$32)))</f>
        <v/>
      </c>
      <c r="M545" s="49">
        <f>IF(OR(A545="",D545=""),0,MAX(0,NETWORKDAYS(MAX(D545,DATE(Einstellungen!$C$3,2,1)),MIN(J545,DATE(Einstellungen!$C$3,3,0)),Einstellungen!$F$13:$F$32)))</f>
        <v/>
      </c>
      <c r="N545" s="49">
        <f>IF(OR(A545="",D545=""),0,MAX(0,NETWORKDAYS(MAX(D545,DATE(Einstellungen!$C$3,3,1)),MIN(J545,DATE(Einstellungen!$C$3,4,0)),Einstellungen!$F$13:$F$32)))</f>
        <v/>
      </c>
      <c r="O545" s="49">
        <f>IF(OR(A545="",D545=""),0,MAX(0,NETWORKDAYS(MAX(D545,DATE(Einstellungen!$C$3,4,1)),MIN(J545,DATE(Einstellungen!$C$3,5,0)),Einstellungen!$F$13:$F$32)))</f>
        <v/>
      </c>
      <c r="P545" s="49">
        <f>IF(OR(A545="",D545=""),0,MAX(0,NETWORKDAYS(MAX(D545,DATE(Einstellungen!$C$3,5,1)),MIN(J545,DATE(Einstellungen!$C$3,6,0)),Einstellungen!$F$13:$F$32)))</f>
        <v/>
      </c>
      <c r="Q545" s="49">
        <f>IF(OR(A545="",D545=""),0,MAX(0,NETWORKDAYS(MAX(D545,DATE(Einstellungen!$C$3,6,1)),MIN(J545,DATE(Einstellungen!$C$3,7,0)),Einstellungen!$F$13:$F$32)))</f>
        <v/>
      </c>
      <c r="R545" s="49">
        <f>IF(OR(A545="",D545=""),0,MAX(0,NETWORKDAYS(MAX(D545,DATE(Einstellungen!$C$3,7,1)),MIN(J545,DATE(Einstellungen!$C$3,8,0)),Einstellungen!$F$13:$F$32)))</f>
        <v/>
      </c>
      <c r="S545" s="49">
        <f>IF(OR(A545="",D545=""),0,MAX(0,NETWORKDAYS(MAX(D545,DATE(Einstellungen!$C$3,8,1)),MIN(J545,DATE(Einstellungen!$C$3,9,0)),Einstellungen!$F$13:$F$32)))</f>
        <v/>
      </c>
      <c r="T545" s="49">
        <f>IF(OR(A545="",D545=""),0,MAX(0,NETWORKDAYS(MAX(D545,DATE(Einstellungen!$C$3,9,1)),MIN(J545,DATE(Einstellungen!$C$3,10,0)),Einstellungen!$F$13:$F$32)))</f>
        <v/>
      </c>
      <c r="U545" s="49">
        <f>IF(OR(A545="",D545=""),0,MAX(0,NETWORKDAYS(MAX(D545,DATE(Einstellungen!$C$3,10,1)),MIN(J545,DATE(Einstellungen!$C$3,11,0)),Einstellungen!$F$13:$F$32)))</f>
        <v/>
      </c>
      <c r="V545" s="49">
        <f>IF(OR(A545="",D545=""),0,MAX(0,NETWORKDAYS(MAX(D545,DATE(Einstellungen!$C$3,11,1)),MIN(J545,DATE(Einstellungen!$C$3,12,0)),Einstellungen!$F$13:$F$32)))</f>
        <v/>
      </c>
      <c r="W545" s="49">
        <f>IF(OR(A545="",D545=""),0,MAX(0,NETWORKDAYS(MAX(D545,DATE(Einstellungen!$C$3,12,1)),MIN(J545,DATE(Einstellungen!$C$3,13,0)),Einstellungen!$F$13:$F$32)))</f>
        <v/>
      </c>
      <c r="X545" s="50">
        <f>L545*K545</f>
        <v/>
      </c>
      <c r="Y545" s="50">
        <f>M545*K545</f>
        <v/>
      </c>
      <c r="Z545" s="50">
        <f>N545*K545</f>
        <v/>
      </c>
      <c r="AA545" s="50">
        <f>O545*K545</f>
        <v/>
      </c>
      <c r="AB545" s="50">
        <f>P545*K545</f>
        <v/>
      </c>
      <c r="AC545" s="50">
        <f>Q545*K545</f>
        <v/>
      </c>
      <c r="AD545" s="50">
        <f>R545*K545</f>
        <v/>
      </c>
      <c r="AE545" s="50">
        <f>S545*K545</f>
        <v/>
      </c>
      <c r="AF545" s="50">
        <f>T545*K545</f>
        <v/>
      </c>
      <c r="AG545" s="50">
        <f>U545*K545</f>
        <v/>
      </c>
      <c r="AH545" s="50">
        <f>V545*K545</f>
        <v/>
      </c>
      <c r="AI545" s="50">
        <f>W545*K545</f>
        <v/>
      </c>
    </row>
    <row r="546">
      <c r="A546" s="25" t="n"/>
      <c r="B546" s="45">
        <f>IF(A546="","",IFERROR(INDEX(Mitarbeiter!$B$6:$B$205,MATCH($A546,Mitarbeiter!$A$6:$A$205,0)),"?"))</f>
        <v/>
      </c>
      <c r="C546" s="46" t="n"/>
      <c r="D546" s="26" t="n"/>
      <c r="E546" s="26" t="n"/>
      <c r="F546" s="24">
        <f>IF(A546="","",SUM(L546:W546))</f>
        <v/>
      </c>
      <c r="G546" s="36">
        <f>IF(A546="","",SUM(X546:AI546))</f>
        <v/>
      </c>
      <c r="H546" s="8">
        <f>IF(A546="","",IF(ISNA(MATCH(A546,Mitarbeiter!$A$6:$A$205,0)),"Pers.-Nr. unbekannt",IF(D546="","Von fehlt",IF(AND(C546&lt;&gt;Einstellungen!$C$4,C546&lt;&gt;Einstellungen!$C$5),"Objekt fehlt",IF(J546&lt;D546,"Bis vor Von",IF(D546&lt;INDEX(Mitarbeiter!$C$6:$C$205,MATCH($A546,Mitarbeiter!$A$6:$A$205,0)),"vor Eintritt",IF(AND(INDEX(Mitarbeiter!$D$6:$D$205,MATCH($A546,Mitarbeiter!$A$6:$A$205,0))&lt;&gt;"",D546&gt;INDEX(Mitarbeiter!$D$6:$D$205,MATCH($A546,Mitarbeiter!$A$6:$A$205,0))),"nach Austritt",IF(E546="","offen","ok"))))))))</f>
        <v/>
      </c>
      <c r="J546" s="47">
        <f>IF(A546="","",IF(E546="",Einstellungen!$C$9,E546))</f>
        <v/>
      </c>
      <c r="K546" s="48">
        <f>IF(A546="",0,IFERROR(INDEX(Mitarbeiter!$F$6:$F$205,MATCH($A546,Mitarbeiter!$A$6:$A$205,0)),0))</f>
        <v/>
      </c>
      <c r="L546" s="49">
        <f>IF(OR(A546="",D546=""),0,MAX(0,NETWORKDAYS(MAX(D546,DATE(Einstellungen!$C$3,1,1)),MIN(J546,DATE(Einstellungen!$C$3,2,0)),Einstellungen!$F$13:$F$32)))</f>
        <v/>
      </c>
      <c r="M546" s="49">
        <f>IF(OR(A546="",D546=""),0,MAX(0,NETWORKDAYS(MAX(D546,DATE(Einstellungen!$C$3,2,1)),MIN(J546,DATE(Einstellungen!$C$3,3,0)),Einstellungen!$F$13:$F$32)))</f>
        <v/>
      </c>
      <c r="N546" s="49">
        <f>IF(OR(A546="",D546=""),0,MAX(0,NETWORKDAYS(MAX(D546,DATE(Einstellungen!$C$3,3,1)),MIN(J546,DATE(Einstellungen!$C$3,4,0)),Einstellungen!$F$13:$F$32)))</f>
        <v/>
      </c>
      <c r="O546" s="49">
        <f>IF(OR(A546="",D546=""),0,MAX(0,NETWORKDAYS(MAX(D546,DATE(Einstellungen!$C$3,4,1)),MIN(J546,DATE(Einstellungen!$C$3,5,0)),Einstellungen!$F$13:$F$32)))</f>
        <v/>
      </c>
      <c r="P546" s="49">
        <f>IF(OR(A546="",D546=""),0,MAX(0,NETWORKDAYS(MAX(D546,DATE(Einstellungen!$C$3,5,1)),MIN(J546,DATE(Einstellungen!$C$3,6,0)),Einstellungen!$F$13:$F$32)))</f>
        <v/>
      </c>
      <c r="Q546" s="49">
        <f>IF(OR(A546="",D546=""),0,MAX(0,NETWORKDAYS(MAX(D546,DATE(Einstellungen!$C$3,6,1)),MIN(J546,DATE(Einstellungen!$C$3,7,0)),Einstellungen!$F$13:$F$32)))</f>
        <v/>
      </c>
      <c r="R546" s="49">
        <f>IF(OR(A546="",D546=""),0,MAX(0,NETWORKDAYS(MAX(D546,DATE(Einstellungen!$C$3,7,1)),MIN(J546,DATE(Einstellungen!$C$3,8,0)),Einstellungen!$F$13:$F$32)))</f>
        <v/>
      </c>
      <c r="S546" s="49">
        <f>IF(OR(A546="",D546=""),0,MAX(0,NETWORKDAYS(MAX(D546,DATE(Einstellungen!$C$3,8,1)),MIN(J546,DATE(Einstellungen!$C$3,9,0)),Einstellungen!$F$13:$F$32)))</f>
        <v/>
      </c>
      <c r="T546" s="49">
        <f>IF(OR(A546="",D546=""),0,MAX(0,NETWORKDAYS(MAX(D546,DATE(Einstellungen!$C$3,9,1)),MIN(J546,DATE(Einstellungen!$C$3,10,0)),Einstellungen!$F$13:$F$32)))</f>
        <v/>
      </c>
      <c r="U546" s="49">
        <f>IF(OR(A546="",D546=""),0,MAX(0,NETWORKDAYS(MAX(D546,DATE(Einstellungen!$C$3,10,1)),MIN(J546,DATE(Einstellungen!$C$3,11,0)),Einstellungen!$F$13:$F$32)))</f>
        <v/>
      </c>
      <c r="V546" s="49">
        <f>IF(OR(A546="",D546=""),0,MAX(0,NETWORKDAYS(MAX(D546,DATE(Einstellungen!$C$3,11,1)),MIN(J546,DATE(Einstellungen!$C$3,12,0)),Einstellungen!$F$13:$F$32)))</f>
        <v/>
      </c>
      <c r="W546" s="49">
        <f>IF(OR(A546="",D546=""),0,MAX(0,NETWORKDAYS(MAX(D546,DATE(Einstellungen!$C$3,12,1)),MIN(J546,DATE(Einstellungen!$C$3,13,0)),Einstellungen!$F$13:$F$32)))</f>
        <v/>
      </c>
      <c r="X546" s="50">
        <f>L546*K546</f>
        <v/>
      </c>
      <c r="Y546" s="50">
        <f>M546*K546</f>
        <v/>
      </c>
      <c r="Z546" s="50">
        <f>N546*K546</f>
        <v/>
      </c>
      <c r="AA546" s="50">
        <f>O546*K546</f>
        <v/>
      </c>
      <c r="AB546" s="50">
        <f>P546*K546</f>
        <v/>
      </c>
      <c r="AC546" s="50">
        <f>Q546*K546</f>
        <v/>
      </c>
      <c r="AD546" s="50">
        <f>R546*K546</f>
        <v/>
      </c>
      <c r="AE546" s="50">
        <f>S546*K546</f>
        <v/>
      </c>
      <c r="AF546" s="50">
        <f>T546*K546</f>
        <v/>
      </c>
      <c r="AG546" s="50">
        <f>U546*K546</f>
        <v/>
      </c>
      <c r="AH546" s="50">
        <f>V546*K546</f>
        <v/>
      </c>
      <c r="AI546" s="50">
        <f>W546*K546</f>
        <v/>
      </c>
    </row>
    <row r="547">
      <c r="A547" s="25" t="n"/>
      <c r="B547" s="45">
        <f>IF(A547="","",IFERROR(INDEX(Mitarbeiter!$B$6:$B$205,MATCH($A547,Mitarbeiter!$A$6:$A$205,0)),"?"))</f>
        <v/>
      </c>
      <c r="C547" s="46" t="n"/>
      <c r="D547" s="26" t="n"/>
      <c r="E547" s="26" t="n"/>
      <c r="F547" s="24">
        <f>IF(A547="","",SUM(L547:W547))</f>
        <v/>
      </c>
      <c r="G547" s="36">
        <f>IF(A547="","",SUM(X547:AI547))</f>
        <v/>
      </c>
      <c r="H547" s="8">
        <f>IF(A547="","",IF(ISNA(MATCH(A547,Mitarbeiter!$A$6:$A$205,0)),"Pers.-Nr. unbekannt",IF(D547="","Von fehlt",IF(AND(C547&lt;&gt;Einstellungen!$C$4,C547&lt;&gt;Einstellungen!$C$5),"Objekt fehlt",IF(J547&lt;D547,"Bis vor Von",IF(D547&lt;INDEX(Mitarbeiter!$C$6:$C$205,MATCH($A547,Mitarbeiter!$A$6:$A$205,0)),"vor Eintritt",IF(AND(INDEX(Mitarbeiter!$D$6:$D$205,MATCH($A547,Mitarbeiter!$A$6:$A$205,0))&lt;&gt;"",D547&gt;INDEX(Mitarbeiter!$D$6:$D$205,MATCH($A547,Mitarbeiter!$A$6:$A$205,0))),"nach Austritt",IF(E547="","offen","ok"))))))))</f>
        <v/>
      </c>
      <c r="J547" s="47">
        <f>IF(A547="","",IF(E547="",Einstellungen!$C$9,E547))</f>
        <v/>
      </c>
      <c r="K547" s="48">
        <f>IF(A547="",0,IFERROR(INDEX(Mitarbeiter!$F$6:$F$205,MATCH($A547,Mitarbeiter!$A$6:$A$205,0)),0))</f>
        <v/>
      </c>
      <c r="L547" s="49">
        <f>IF(OR(A547="",D547=""),0,MAX(0,NETWORKDAYS(MAX(D547,DATE(Einstellungen!$C$3,1,1)),MIN(J547,DATE(Einstellungen!$C$3,2,0)),Einstellungen!$F$13:$F$32)))</f>
        <v/>
      </c>
      <c r="M547" s="49">
        <f>IF(OR(A547="",D547=""),0,MAX(0,NETWORKDAYS(MAX(D547,DATE(Einstellungen!$C$3,2,1)),MIN(J547,DATE(Einstellungen!$C$3,3,0)),Einstellungen!$F$13:$F$32)))</f>
        <v/>
      </c>
      <c r="N547" s="49">
        <f>IF(OR(A547="",D547=""),0,MAX(0,NETWORKDAYS(MAX(D547,DATE(Einstellungen!$C$3,3,1)),MIN(J547,DATE(Einstellungen!$C$3,4,0)),Einstellungen!$F$13:$F$32)))</f>
        <v/>
      </c>
      <c r="O547" s="49">
        <f>IF(OR(A547="",D547=""),0,MAX(0,NETWORKDAYS(MAX(D547,DATE(Einstellungen!$C$3,4,1)),MIN(J547,DATE(Einstellungen!$C$3,5,0)),Einstellungen!$F$13:$F$32)))</f>
        <v/>
      </c>
      <c r="P547" s="49">
        <f>IF(OR(A547="",D547=""),0,MAX(0,NETWORKDAYS(MAX(D547,DATE(Einstellungen!$C$3,5,1)),MIN(J547,DATE(Einstellungen!$C$3,6,0)),Einstellungen!$F$13:$F$32)))</f>
        <v/>
      </c>
      <c r="Q547" s="49">
        <f>IF(OR(A547="",D547=""),0,MAX(0,NETWORKDAYS(MAX(D547,DATE(Einstellungen!$C$3,6,1)),MIN(J547,DATE(Einstellungen!$C$3,7,0)),Einstellungen!$F$13:$F$32)))</f>
        <v/>
      </c>
      <c r="R547" s="49">
        <f>IF(OR(A547="",D547=""),0,MAX(0,NETWORKDAYS(MAX(D547,DATE(Einstellungen!$C$3,7,1)),MIN(J547,DATE(Einstellungen!$C$3,8,0)),Einstellungen!$F$13:$F$32)))</f>
        <v/>
      </c>
      <c r="S547" s="49">
        <f>IF(OR(A547="",D547=""),0,MAX(0,NETWORKDAYS(MAX(D547,DATE(Einstellungen!$C$3,8,1)),MIN(J547,DATE(Einstellungen!$C$3,9,0)),Einstellungen!$F$13:$F$32)))</f>
        <v/>
      </c>
      <c r="T547" s="49">
        <f>IF(OR(A547="",D547=""),0,MAX(0,NETWORKDAYS(MAX(D547,DATE(Einstellungen!$C$3,9,1)),MIN(J547,DATE(Einstellungen!$C$3,10,0)),Einstellungen!$F$13:$F$32)))</f>
        <v/>
      </c>
      <c r="U547" s="49">
        <f>IF(OR(A547="",D547=""),0,MAX(0,NETWORKDAYS(MAX(D547,DATE(Einstellungen!$C$3,10,1)),MIN(J547,DATE(Einstellungen!$C$3,11,0)),Einstellungen!$F$13:$F$32)))</f>
        <v/>
      </c>
      <c r="V547" s="49">
        <f>IF(OR(A547="",D547=""),0,MAX(0,NETWORKDAYS(MAX(D547,DATE(Einstellungen!$C$3,11,1)),MIN(J547,DATE(Einstellungen!$C$3,12,0)),Einstellungen!$F$13:$F$32)))</f>
        <v/>
      </c>
      <c r="W547" s="49">
        <f>IF(OR(A547="",D547=""),0,MAX(0,NETWORKDAYS(MAX(D547,DATE(Einstellungen!$C$3,12,1)),MIN(J547,DATE(Einstellungen!$C$3,13,0)),Einstellungen!$F$13:$F$32)))</f>
        <v/>
      </c>
      <c r="X547" s="50">
        <f>L547*K547</f>
        <v/>
      </c>
      <c r="Y547" s="50">
        <f>M547*K547</f>
        <v/>
      </c>
      <c r="Z547" s="50">
        <f>N547*K547</f>
        <v/>
      </c>
      <c r="AA547" s="50">
        <f>O547*K547</f>
        <v/>
      </c>
      <c r="AB547" s="50">
        <f>P547*K547</f>
        <v/>
      </c>
      <c r="AC547" s="50">
        <f>Q547*K547</f>
        <v/>
      </c>
      <c r="AD547" s="50">
        <f>R547*K547</f>
        <v/>
      </c>
      <c r="AE547" s="50">
        <f>S547*K547</f>
        <v/>
      </c>
      <c r="AF547" s="50">
        <f>T547*K547</f>
        <v/>
      </c>
      <c r="AG547" s="50">
        <f>U547*K547</f>
        <v/>
      </c>
      <c r="AH547" s="50">
        <f>V547*K547</f>
        <v/>
      </c>
      <c r="AI547" s="50">
        <f>W547*K547</f>
        <v/>
      </c>
    </row>
    <row r="548">
      <c r="A548" s="25" t="n"/>
      <c r="B548" s="45">
        <f>IF(A548="","",IFERROR(INDEX(Mitarbeiter!$B$6:$B$205,MATCH($A548,Mitarbeiter!$A$6:$A$205,0)),"?"))</f>
        <v/>
      </c>
      <c r="C548" s="46" t="n"/>
      <c r="D548" s="26" t="n"/>
      <c r="E548" s="26" t="n"/>
      <c r="F548" s="24">
        <f>IF(A548="","",SUM(L548:W548))</f>
        <v/>
      </c>
      <c r="G548" s="36">
        <f>IF(A548="","",SUM(X548:AI548))</f>
        <v/>
      </c>
      <c r="H548" s="8">
        <f>IF(A548="","",IF(ISNA(MATCH(A548,Mitarbeiter!$A$6:$A$205,0)),"Pers.-Nr. unbekannt",IF(D548="","Von fehlt",IF(AND(C548&lt;&gt;Einstellungen!$C$4,C548&lt;&gt;Einstellungen!$C$5),"Objekt fehlt",IF(J548&lt;D548,"Bis vor Von",IF(D548&lt;INDEX(Mitarbeiter!$C$6:$C$205,MATCH($A548,Mitarbeiter!$A$6:$A$205,0)),"vor Eintritt",IF(AND(INDEX(Mitarbeiter!$D$6:$D$205,MATCH($A548,Mitarbeiter!$A$6:$A$205,0))&lt;&gt;"",D548&gt;INDEX(Mitarbeiter!$D$6:$D$205,MATCH($A548,Mitarbeiter!$A$6:$A$205,0))),"nach Austritt",IF(E548="","offen","ok"))))))))</f>
        <v/>
      </c>
      <c r="J548" s="47">
        <f>IF(A548="","",IF(E548="",Einstellungen!$C$9,E548))</f>
        <v/>
      </c>
      <c r="K548" s="48">
        <f>IF(A548="",0,IFERROR(INDEX(Mitarbeiter!$F$6:$F$205,MATCH($A548,Mitarbeiter!$A$6:$A$205,0)),0))</f>
        <v/>
      </c>
      <c r="L548" s="49">
        <f>IF(OR(A548="",D548=""),0,MAX(0,NETWORKDAYS(MAX(D548,DATE(Einstellungen!$C$3,1,1)),MIN(J548,DATE(Einstellungen!$C$3,2,0)),Einstellungen!$F$13:$F$32)))</f>
        <v/>
      </c>
      <c r="M548" s="49">
        <f>IF(OR(A548="",D548=""),0,MAX(0,NETWORKDAYS(MAX(D548,DATE(Einstellungen!$C$3,2,1)),MIN(J548,DATE(Einstellungen!$C$3,3,0)),Einstellungen!$F$13:$F$32)))</f>
        <v/>
      </c>
      <c r="N548" s="49">
        <f>IF(OR(A548="",D548=""),0,MAX(0,NETWORKDAYS(MAX(D548,DATE(Einstellungen!$C$3,3,1)),MIN(J548,DATE(Einstellungen!$C$3,4,0)),Einstellungen!$F$13:$F$32)))</f>
        <v/>
      </c>
      <c r="O548" s="49">
        <f>IF(OR(A548="",D548=""),0,MAX(0,NETWORKDAYS(MAX(D548,DATE(Einstellungen!$C$3,4,1)),MIN(J548,DATE(Einstellungen!$C$3,5,0)),Einstellungen!$F$13:$F$32)))</f>
        <v/>
      </c>
      <c r="P548" s="49">
        <f>IF(OR(A548="",D548=""),0,MAX(0,NETWORKDAYS(MAX(D548,DATE(Einstellungen!$C$3,5,1)),MIN(J548,DATE(Einstellungen!$C$3,6,0)),Einstellungen!$F$13:$F$32)))</f>
        <v/>
      </c>
      <c r="Q548" s="49">
        <f>IF(OR(A548="",D548=""),0,MAX(0,NETWORKDAYS(MAX(D548,DATE(Einstellungen!$C$3,6,1)),MIN(J548,DATE(Einstellungen!$C$3,7,0)),Einstellungen!$F$13:$F$32)))</f>
        <v/>
      </c>
      <c r="R548" s="49">
        <f>IF(OR(A548="",D548=""),0,MAX(0,NETWORKDAYS(MAX(D548,DATE(Einstellungen!$C$3,7,1)),MIN(J548,DATE(Einstellungen!$C$3,8,0)),Einstellungen!$F$13:$F$32)))</f>
        <v/>
      </c>
      <c r="S548" s="49">
        <f>IF(OR(A548="",D548=""),0,MAX(0,NETWORKDAYS(MAX(D548,DATE(Einstellungen!$C$3,8,1)),MIN(J548,DATE(Einstellungen!$C$3,9,0)),Einstellungen!$F$13:$F$32)))</f>
        <v/>
      </c>
      <c r="T548" s="49">
        <f>IF(OR(A548="",D548=""),0,MAX(0,NETWORKDAYS(MAX(D548,DATE(Einstellungen!$C$3,9,1)),MIN(J548,DATE(Einstellungen!$C$3,10,0)),Einstellungen!$F$13:$F$32)))</f>
        <v/>
      </c>
      <c r="U548" s="49">
        <f>IF(OR(A548="",D548=""),0,MAX(0,NETWORKDAYS(MAX(D548,DATE(Einstellungen!$C$3,10,1)),MIN(J548,DATE(Einstellungen!$C$3,11,0)),Einstellungen!$F$13:$F$32)))</f>
        <v/>
      </c>
      <c r="V548" s="49">
        <f>IF(OR(A548="",D548=""),0,MAX(0,NETWORKDAYS(MAX(D548,DATE(Einstellungen!$C$3,11,1)),MIN(J548,DATE(Einstellungen!$C$3,12,0)),Einstellungen!$F$13:$F$32)))</f>
        <v/>
      </c>
      <c r="W548" s="49">
        <f>IF(OR(A548="",D548=""),0,MAX(0,NETWORKDAYS(MAX(D548,DATE(Einstellungen!$C$3,12,1)),MIN(J548,DATE(Einstellungen!$C$3,13,0)),Einstellungen!$F$13:$F$32)))</f>
        <v/>
      </c>
      <c r="X548" s="50">
        <f>L548*K548</f>
        <v/>
      </c>
      <c r="Y548" s="50">
        <f>M548*K548</f>
        <v/>
      </c>
      <c r="Z548" s="50">
        <f>N548*K548</f>
        <v/>
      </c>
      <c r="AA548" s="50">
        <f>O548*K548</f>
        <v/>
      </c>
      <c r="AB548" s="50">
        <f>P548*K548</f>
        <v/>
      </c>
      <c r="AC548" s="50">
        <f>Q548*K548</f>
        <v/>
      </c>
      <c r="AD548" s="50">
        <f>R548*K548</f>
        <v/>
      </c>
      <c r="AE548" s="50">
        <f>S548*K548</f>
        <v/>
      </c>
      <c r="AF548" s="50">
        <f>T548*K548</f>
        <v/>
      </c>
      <c r="AG548" s="50">
        <f>U548*K548</f>
        <v/>
      </c>
      <c r="AH548" s="50">
        <f>V548*K548</f>
        <v/>
      </c>
      <c r="AI548" s="50">
        <f>W548*K548</f>
        <v/>
      </c>
    </row>
    <row r="549">
      <c r="A549" s="25" t="n"/>
      <c r="B549" s="45">
        <f>IF(A549="","",IFERROR(INDEX(Mitarbeiter!$B$6:$B$205,MATCH($A549,Mitarbeiter!$A$6:$A$205,0)),"?"))</f>
        <v/>
      </c>
      <c r="C549" s="46" t="n"/>
      <c r="D549" s="26" t="n"/>
      <c r="E549" s="26" t="n"/>
      <c r="F549" s="24">
        <f>IF(A549="","",SUM(L549:W549))</f>
        <v/>
      </c>
      <c r="G549" s="36">
        <f>IF(A549="","",SUM(X549:AI549))</f>
        <v/>
      </c>
      <c r="H549" s="8">
        <f>IF(A549="","",IF(ISNA(MATCH(A549,Mitarbeiter!$A$6:$A$205,0)),"Pers.-Nr. unbekannt",IF(D549="","Von fehlt",IF(AND(C549&lt;&gt;Einstellungen!$C$4,C549&lt;&gt;Einstellungen!$C$5),"Objekt fehlt",IF(J549&lt;D549,"Bis vor Von",IF(D549&lt;INDEX(Mitarbeiter!$C$6:$C$205,MATCH($A549,Mitarbeiter!$A$6:$A$205,0)),"vor Eintritt",IF(AND(INDEX(Mitarbeiter!$D$6:$D$205,MATCH($A549,Mitarbeiter!$A$6:$A$205,0))&lt;&gt;"",D549&gt;INDEX(Mitarbeiter!$D$6:$D$205,MATCH($A549,Mitarbeiter!$A$6:$A$205,0))),"nach Austritt",IF(E549="","offen","ok"))))))))</f>
        <v/>
      </c>
      <c r="J549" s="47">
        <f>IF(A549="","",IF(E549="",Einstellungen!$C$9,E549))</f>
        <v/>
      </c>
      <c r="K549" s="48">
        <f>IF(A549="",0,IFERROR(INDEX(Mitarbeiter!$F$6:$F$205,MATCH($A549,Mitarbeiter!$A$6:$A$205,0)),0))</f>
        <v/>
      </c>
      <c r="L549" s="49">
        <f>IF(OR(A549="",D549=""),0,MAX(0,NETWORKDAYS(MAX(D549,DATE(Einstellungen!$C$3,1,1)),MIN(J549,DATE(Einstellungen!$C$3,2,0)),Einstellungen!$F$13:$F$32)))</f>
        <v/>
      </c>
      <c r="M549" s="49">
        <f>IF(OR(A549="",D549=""),0,MAX(0,NETWORKDAYS(MAX(D549,DATE(Einstellungen!$C$3,2,1)),MIN(J549,DATE(Einstellungen!$C$3,3,0)),Einstellungen!$F$13:$F$32)))</f>
        <v/>
      </c>
      <c r="N549" s="49">
        <f>IF(OR(A549="",D549=""),0,MAX(0,NETWORKDAYS(MAX(D549,DATE(Einstellungen!$C$3,3,1)),MIN(J549,DATE(Einstellungen!$C$3,4,0)),Einstellungen!$F$13:$F$32)))</f>
        <v/>
      </c>
      <c r="O549" s="49">
        <f>IF(OR(A549="",D549=""),0,MAX(0,NETWORKDAYS(MAX(D549,DATE(Einstellungen!$C$3,4,1)),MIN(J549,DATE(Einstellungen!$C$3,5,0)),Einstellungen!$F$13:$F$32)))</f>
        <v/>
      </c>
      <c r="P549" s="49">
        <f>IF(OR(A549="",D549=""),0,MAX(0,NETWORKDAYS(MAX(D549,DATE(Einstellungen!$C$3,5,1)),MIN(J549,DATE(Einstellungen!$C$3,6,0)),Einstellungen!$F$13:$F$32)))</f>
        <v/>
      </c>
      <c r="Q549" s="49">
        <f>IF(OR(A549="",D549=""),0,MAX(0,NETWORKDAYS(MAX(D549,DATE(Einstellungen!$C$3,6,1)),MIN(J549,DATE(Einstellungen!$C$3,7,0)),Einstellungen!$F$13:$F$32)))</f>
        <v/>
      </c>
      <c r="R549" s="49">
        <f>IF(OR(A549="",D549=""),0,MAX(0,NETWORKDAYS(MAX(D549,DATE(Einstellungen!$C$3,7,1)),MIN(J549,DATE(Einstellungen!$C$3,8,0)),Einstellungen!$F$13:$F$32)))</f>
        <v/>
      </c>
      <c r="S549" s="49">
        <f>IF(OR(A549="",D549=""),0,MAX(0,NETWORKDAYS(MAX(D549,DATE(Einstellungen!$C$3,8,1)),MIN(J549,DATE(Einstellungen!$C$3,9,0)),Einstellungen!$F$13:$F$32)))</f>
        <v/>
      </c>
      <c r="T549" s="49">
        <f>IF(OR(A549="",D549=""),0,MAX(0,NETWORKDAYS(MAX(D549,DATE(Einstellungen!$C$3,9,1)),MIN(J549,DATE(Einstellungen!$C$3,10,0)),Einstellungen!$F$13:$F$32)))</f>
        <v/>
      </c>
      <c r="U549" s="49">
        <f>IF(OR(A549="",D549=""),0,MAX(0,NETWORKDAYS(MAX(D549,DATE(Einstellungen!$C$3,10,1)),MIN(J549,DATE(Einstellungen!$C$3,11,0)),Einstellungen!$F$13:$F$32)))</f>
        <v/>
      </c>
      <c r="V549" s="49">
        <f>IF(OR(A549="",D549=""),0,MAX(0,NETWORKDAYS(MAX(D549,DATE(Einstellungen!$C$3,11,1)),MIN(J549,DATE(Einstellungen!$C$3,12,0)),Einstellungen!$F$13:$F$32)))</f>
        <v/>
      </c>
      <c r="W549" s="49">
        <f>IF(OR(A549="",D549=""),0,MAX(0,NETWORKDAYS(MAX(D549,DATE(Einstellungen!$C$3,12,1)),MIN(J549,DATE(Einstellungen!$C$3,13,0)),Einstellungen!$F$13:$F$32)))</f>
        <v/>
      </c>
      <c r="X549" s="50">
        <f>L549*K549</f>
        <v/>
      </c>
      <c r="Y549" s="50">
        <f>M549*K549</f>
        <v/>
      </c>
      <c r="Z549" s="50">
        <f>N549*K549</f>
        <v/>
      </c>
      <c r="AA549" s="50">
        <f>O549*K549</f>
        <v/>
      </c>
      <c r="AB549" s="50">
        <f>P549*K549</f>
        <v/>
      </c>
      <c r="AC549" s="50">
        <f>Q549*K549</f>
        <v/>
      </c>
      <c r="AD549" s="50">
        <f>R549*K549</f>
        <v/>
      </c>
      <c r="AE549" s="50">
        <f>S549*K549</f>
        <v/>
      </c>
      <c r="AF549" s="50">
        <f>T549*K549</f>
        <v/>
      </c>
      <c r="AG549" s="50">
        <f>U549*K549</f>
        <v/>
      </c>
      <c r="AH549" s="50">
        <f>V549*K549</f>
        <v/>
      </c>
      <c r="AI549" s="50">
        <f>W549*K549</f>
        <v/>
      </c>
    </row>
    <row r="550">
      <c r="A550" s="25" t="n"/>
      <c r="B550" s="45">
        <f>IF(A550="","",IFERROR(INDEX(Mitarbeiter!$B$6:$B$205,MATCH($A550,Mitarbeiter!$A$6:$A$205,0)),"?"))</f>
        <v/>
      </c>
      <c r="C550" s="46" t="n"/>
      <c r="D550" s="26" t="n"/>
      <c r="E550" s="26" t="n"/>
      <c r="F550" s="24">
        <f>IF(A550="","",SUM(L550:W550))</f>
        <v/>
      </c>
      <c r="G550" s="36">
        <f>IF(A550="","",SUM(X550:AI550))</f>
        <v/>
      </c>
      <c r="H550" s="8">
        <f>IF(A550="","",IF(ISNA(MATCH(A550,Mitarbeiter!$A$6:$A$205,0)),"Pers.-Nr. unbekannt",IF(D550="","Von fehlt",IF(AND(C550&lt;&gt;Einstellungen!$C$4,C550&lt;&gt;Einstellungen!$C$5),"Objekt fehlt",IF(J550&lt;D550,"Bis vor Von",IF(D550&lt;INDEX(Mitarbeiter!$C$6:$C$205,MATCH($A550,Mitarbeiter!$A$6:$A$205,0)),"vor Eintritt",IF(AND(INDEX(Mitarbeiter!$D$6:$D$205,MATCH($A550,Mitarbeiter!$A$6:$A$205,0))&lt;&gt;"",D550&gt;INDEX(Mitarbeiter!$D$6:$D$205,MATCH($A550,Mitarbeiter!$A$6:$A$205,0))),"nach Austritt",IF(E550="","offen","ok"))))))))</f>
        <v/>
      </c>
      <c r="J550" s="47">
        <f>IF(A550="","",IF(E550="",Einstellungen!$C$9,E550))</f>
        <v/>
      </c>
      <c r="K550" s="48">
        <f>IF(A550="",0,IFERROR(INDEX(Mitarbeiter!$F$6:$F$205,MATCH($A550,Mitarbeiter!$A$6:$A$205,0)),0))</f>
        <v/>
      </c>
      <c r="L550" s="49">
        <f>IF(OR(A550="",D550=""),0,MAX(0,NETWORKDAYS(MAX(D550,DATE(Einstellungen!$C$3,1,1)),MIN(J550,DATE(Einstellungen!$C$3,2,0)),Einstellungen!$F$13:$F$32)))</f>
        <v/>
      </c>
      <c r="M550" s="49">
        <f>IF(OR(A550="",D550=""),0,MAX(0,NETWORKDAYS(MAX(D550,DATE(Einstellungen!$C$3,2,1)),MIN(J550,DATE(Einstellungen!$C$3,3,0)),Einstellungen!$F$13:$F$32)))</f>
        <v/>
      </c>
      <c r="N550" s="49">
        <f>IF(OR(A550="",D550=""),0,MAX(0,NETWORKDAYS(MAX(D550,DATE(Einstellungen!$C$3,3,1)),MIN(J550,DATE(Einstellungen!$C$3,4,0)),Einstellungen!$F$13:$F$32)))</f>
        <v/>
      </c>
      <c r="O550" s="49">
        <f>IF(OR(A550="",D550=""),0,MAX(0,NETWORKDAYS(MAX(D550,DATE(Einstellungen!$C$3,4,1)),MIN(J550,DATE(Einstellungen!$C$3,5,0)),Einstellungen!$F$13:$F$32)))</f>
        <v/>
      </c>
      <c r="P550" s="49">
        <f>IF(OR(A550="",D550=""),0,MAX(0,NETWORKDAYS(MAX(D550,DATE(Einstellungen!$C$3,5,1)),MIN(J550,DATE(Einstellungen!$C$3,6,0)),Einstellungen!$F$13:$F$32)))</f>
        <v/>
      </c>
      <c r="Q550" s="49">
        <f>IF(OR(A550="",D550=""),0,MAX(0,NETWORKDAYS(MAX(D550,DATE(Einstellungen!$C$3,6,1)),MIN(J550,DATE(Einstellungen!$C$3,7,0)),Einstellungen!$F$13:$F$32)))</f>
        <v/>
      </c>
      <c r="R550" s="49">
        <f>IF(OR(A550="",D550=""),0,MAX(0,NETWORKDAYS(MAX(D550,DATE(Einstellungen!$C$3,7,1)),MIN(J550,DATE(Einstellungen!$C$3,8,0)),Einstellungen!$F$13:$F$32)))</f>
        <v/>
      </c>
      <c r="S550" s="49">
        <f>IF(OR(A550="",D550=""),0,MAX(0,NETWORKDAYS(MAX(D550,DATE(Einstellungen!$C$3,8,1)),MIN(J550,DATE(Einstellungen!$C$3,9,0)),Einstellungen!$F$13:$F$32)))</f>
        <v/>
      </c>
      <c r="T550" s="49">
        <f>IF(OR(A550="",D550=""),0,MAX(0,NETWORKDAYS(MAX(D550,DATE(Einstellungen!$C$3,9,1)),MIN(J550,DATE(Einstellungen!$C$3,10,0)),Einstellungen!$F$13:$F$32)))</f>
        <v/>
      </c>
      <c r="U550" s="49">
        <f>IF(OR(A550="",D550=""),0,MAX(0,NETWORKDAYS(MAX(D550,DATE(Einstellungen!$C$3,10,1)),MIN(J550,DATE(Einstellungen!$C$3,11,0)),Einstellungen!$F$13:$F$32)))</f>
        <v/>
      </c>
      <c r="V550" s="49">
        <f>IF(OR(A550="",D550=""),0,MAX(0,NETWORKDAYS(MAX(D550,DATE(Einstellungen!$C$3,11,1)),MIN(J550,DATE(Einstellungen!$C$3,12,0)),Einstellungen!$F$13:$F$32)))</f>
        <v/>
      </c>
      <c r="W550" s="49">
        <f>IF(OR(A550="",D550=""),0,MAX(0,NETWORKDAYS(MAX(D550,DATE(Einstellungen!$C$3,12,1)),MIN(J550,DATE(Einstellungen!$C$3,13,0)),Einstellungen!$F$13:$F$32)))</f>
        <v/>
      </c>
      <c r="X550" s="50">
        <f>L550*K550</f>
        <v/>
      </c>
      <c r="Y550" s="50">
        <f>M550*K550</f>
        <v/>
      </c>
      <c r="Z550" s="50">
        <f>N550*K550</f>
        <v/>
      </c>
      <c r="AA550" s="50">
        <f>O550*K550</f>
        <v/>
      </c>
      <c r="AB550" s="50">
        <f>P550*K550</f>
        <v/>
      </c>
      <c r="AC550" s="50">
        <f>Q550*K550</f>
        <v/>
      </c>
      <c r="AD550" s="50">
        <f>R550*K550</f>
        <v/>
      </c>
      <c r="AE550" s="50">
        <f>S550*K550</f>
        <v/>
      </c>
      <c r="AF550" s="50">
        <f>T550*K550</f>
        <v/>
      </c>
      <c r="AG550" s="50">
        <f>U550*K550</f>
        <v/>
      </c>
      <c r="AH550" s="50">
        <f>V550*K550</f>
        <v/>
      </c>
      <c r="AI550" s="50">
        <f>W550*K550</f>
        <v/>
      </c>
    </row>
    <row r="551">
      <c r="A551" s="25" t="n"/>
      <c r="B551" s="45">
        <f>IF(A551="","",IFERROR(INDEX(Mitarbeiter!$B$6:$B$205,MATCH($A551,Mitarbeiter!$A$6:$A$205,0)),"?"))</f>
        <v/>
      </c>
      <c r="C551" s="46" t="n"/>
      <c r="D551" s="26" t="n"/>
      <c r="E551" s="26" t="n"/>
      <c r="F551" s="24">
        <f>IF(A551="","",SUM(L551:W551))</f>
        <v/>
      </c>
      <c r="G551" s="36">
        <f>IF(A551="","",SUM(X551:AI551))</f>
        <v/>
      </c>
      <c r="H551" s="8">
        <f>IF(A551="","",IF(ISNA(MATCH(A551,Mitarbeiter!$A$6:$A$205,0)),"Pers.-Nr. unbekannt",IF(D551="","Von fehlt",IF(AND(C551&lt;&gt;Einstellungen!$C$4,C551&lt;&gt;Einstellungen!$C$5),"Objekt fehlt",IF(J551&lt;D551,"Bis vor Von",IF(D551&lt;INDEX(Mitarbeiter!$C$6:$C$205,MATCH($A551,Mitarbeiter!$A$6:$A$205,0)),"vor Eintritt",IF(AND(INDEX(Mitarbeiter!$D$6:$D$205,MATCH($A551,Mitarbeiter!$A$6:$A$205,0))&lt;&gt;"",D551&gt;INDEX(Mitarbeiter!$D$6:$D$205,MATCH($A551,Mitarbeiter!$A$6:$A$205,0))),"nach Austritt",IF(E551="","offen","ok"))))))))</f>
        <v/>
      </c>
      <c r="J551" s="47">
        <f>IF(A551="","",IF(E551="",Einstellungen!$C$9,E551))</f>
        <v/>
      </c>
      <c r="K551" s="48">
        <f>IF(A551="",0,IFERROR(INDEX(Mitarbeiter!$F$6:$F$205,MATCH($A551,Mitarbeiter!$A$6:$A$205,0)),0))</f>
        <v/>
      </c>
      <c r="L551" s="49">
        <f>IF(OR(A551="",D551=""),0,MAX(0,NETWORKDAYS(MAX(D551,DATE(Einstellungen!$C$3,1,1)),MIN(J551,DATE(Einstellungen!$C$3,2,0)),Einstellungen!$F$13:$F$32)))</f>
        <v/>
      </c>
      <c r="M551" s="49">
        <f>IF(OR(A551="",D551=""),0,MAX(0,NETWORKDAYS(MAX(D551,DATE(Einstellungen!$C$3,2,1)),MIN(J551,DATE(Einstellungen!$C$3,3,0)),Einstellungen!$F$13:$F$32)))</f>
        <v/>
      </c>
      <c r="N551" s="49">
        <f>IF(OR(A551="",D551=""),0,MAX(0,NETWORKDAYS(MAX(D551,DATE(Einstellungen!$C$3,3,1)),MIN(J551,DATE(Einstellungen!$C$3,4,0)),Einstellungen!$F$13:$F$32)))</f>
        <v/>
      </c>
      <c r="O551" s="49">
        <f>IF(OR(A551="",D551=""),0,MAX(0,NETWORKDAYS(MAX(D551,DATE(Einstellungen!$C$3,4,1)),MIN(J551,DATE(Einstellungen!$C$3,5,0)),Einstellungen!$F$13:$F$32)))</f>
        <v/>
      </c>
      <c r="P551" s="49">
        <f>IF(OR(A551="",D551=""),0,MAX(0,NETWORKDAYS(MAX(D551,DATE(Einstellungen!$C$3,5,1)),MIN(J551,DATE(Einstellungen!$C$3,6,0)),Einstellungen!$F$13:$F$32)))</f>
        <v/>
      </c>
      <c r="Q551" s="49">
        <f>IF(OR(A551="",D551=""),0,MAX(0,NETWORKDAYS(MAX(D551,DATE(Einstellungen!$C$3,6,1)),MIN(J551,DATE(Einstellungen!$C$3,7,0)),Einstellungen!$F$13:$F$32)))</f>
        <v/>
      </c>
      <c r="R551" s="49">
        <f>IF(OR(A551="",D551=""),0,MAX(0,NETWORKDAYS(MAX(D551,DATE(Einstellungen!$C$3,7,1)),MIN(J551,DATE(Einstellungen!$C$3,8,0)),Einstellungen!$F$13:$F$32)))</f>
        <v/>
      </c>
      <c r="S551" s="49">
        <f>IF(OR(A551="",D551=""),0,MAX(0,NETWORKDAYS(MAX(D551,DATE(Einstellungen!$C$3,8,1)),MIN(J551,DATE(Einstellungen!$C$3,9,0)),Einstellungen!$F$13:$F$32)))</f>
        <v/>
      </c>
      <c r="T551" s="49">
        <f>IF(OR(A551="",D551=""),0,MAX(0,NETWORKDAYS(MAX(D551,DATE(Einstellungen!$C$3,9,1)),MIN(J551,DATE(Einstellungen!$C$3,10,0)),Einstellungen!$F$13:$F$32)))</f>
        <v/>
      </c>
      <c r="U551" s="49">
        <f>IF(OR(A551="",D551=""),0,MAX(0,NETWORKDAYS(MAX(D551,DATE(Einstellungen!$C$3,10,1)),MIN(J551,DATE(Einstellungen!$C$3,11,0)),Einstellungen!$F$13:$F$32)))</f>
        <v/>
      </c>
      <c r="V551" s="49">
        <f>IF(OR(A551="",D551=""),0,MAX(0,NETWORKDAYS(MAX(D551,DATE(Einstellungen!$C$3,11,1)),MIN(J551,DATE(Einstellungen!$C$3,12,0)),Einstellungen!$F$13:$F$32)))</f>
        <v/>
      </c>
      <c r="W551" s="49">
        <f>IF(OR(A551="",D551=""),0,MAX(0,NETWORKDAYS(MAX(D551,DATE(Einstellungen!$C$3,12,1)),MIN(J551,DATE(Einstellungen!$C$3,13,0)),Einstellungen!$F$13:$F$32)))</f>
        <v/>
      </c>
      <c r="X551" s="50">
        <f>L551*K551</f>
        <v/>
      </c>
      <c r="Y551" s="50">
        <f>M551*K551</f>
        <v/>
      </c>
      <c r="Z551" s="50">
        <f>N551*K551</f>
        <v/>
      </c>
      <c r="AA551" s="50">
        <f>O551*K551</f>
        <v/>
      </c>
      <c r="AB551" s="50">
        <f>P551*K551</f>
        <v/>
      </c>
      <c r="AC551" s="50">
        <f>Q551*K551</f>
        <v/>
      </c>
      <c r="AD551" s="50">
        <f>R551*K551</f>
        <v/>
      </c>
      <c r="AE551" s="50">
        <f>S551*K551</f>
        <v/>
      </c>
      <c r="AF551" s="50">
        <f>T551*K551</f>
        <v/>
      </c>
      <c r="AG551" s="50">
        <f>U551*K551</f>
        <v/>
      </c>
      <c r="AH551" s="50">
        <f>V551*K551</f>
        <v/>
      </c>
      <c r="AI551" s="50">
        <f>W551*K551</f>
        <v/>
      </c>
    </row>
    <row r="552">
      <c r="A552" s="25" t="n"/>
      <c r="B552" s="45">
        <f>IF(A552="","",IFERROR(INDEX(Mitarbeiter!$B$6:$B$205,MATCH($A552,Mitarbeiter!$A$6:$A$205,0)),"?"))</f>
        <v/>
      </c>
      <c r="C552" s="46" t="n"/>
      <c r="D552" s="26" t="n"/>
      <c r="E552" s="26" t="n"/>
      <c r="F552" s="24">
        <f>IF(A552="","",SUM(L552:W552))</f>
        <v/>
      </c>
      <c r="G552" s="36">
        <f>IF(A552="","",SUM(X552:AI552))</f>
        <v/>
      </c>
      <c r="H552" s="8">
        <f>IF(A552="","",IF(ISNA(MATCH(A552,Mitarbeiter!$A$6:$A$205,0)),"Pers.-Nr. unbekannt",IF(D552="","Von fehlt",IF(AND(C552&lt;&gt;Einstellungen!$C$4,C552&lt;&gt;Einstellungen!$C$5),"Objekt fehlt",IF(J552&lt;D552,"Bis vor Von",IF(D552&lt;INDEX(Mitarbeiter!$C$6:$C$205,MATCH($A552,Mitarbeiter!$A$6:$A$205,0)),"vor Eintritt",IF(AND(INDEX(Mitarbeiter!$D$6:$D$205,MATCH($A552,Mitarbeiter!$A$6:$A$205,0))&lt;&gt;"",D552&gt;INDEX(Mitarbeiter!$D$6:$D$205,MATCH($A552,Mitarbeiter!$A$6:$A$205,0))),"nach Austritt",IF(E552="","offen","ok"))))))))</f>
        <v/>
      </c>
      <c r="J552" s="47">
        <f>IF(A552="","",IF(E552="",Einstellungen!$C$9,E552))</f>
        <v/>
      </c>
      <c r="K552" s="48">
        <f>IF(A552="",0,IFERROR(INDEX(Mitarbeiter!$F$6:$F$205,MATCH($A552,Mitarbeiter!$A$6:$A$205,0)),0))</f>
        <v/>
      </c>
      <c r="L552" s="49">
        <f>IF(OR(A552="",D552=""),0,MAX(0,NETWORKDAYS(MAX(D552,DATE(Einstellungen!$C$3,1,1)),MIN(J552,DATE(Einstellungen!$C$3,2,0)),Einstellungen!$F$13:$F$32)))</f>
        <v/>
      </c>
      <c r="M552" s="49">
        <f>IF(OR(A552="",D552=""),0,MAX(0,NETWORKDAYS(MAX(D552,DATE(Einstellungen!$C$3,2,1)),MIN(J552,DATE(Einstellungen!$C$3,3,0)),Einstellungen!$F$13:$F$32)))</f>
        <v/>
      </c>
      <c r="N552" s="49">
        <f>IF(OR(A552="",D552=""),0,MAX(0,NETWORKDAYS(MAX(D552,DATE(Einstellungen!$C$3,3,1)),MIN(J552,DATE(Einstellungen!$C$3,4,0)),Einstellungen!$F$13:$F$32)))</f>
        <v/>
      </c>
      <c r="O552" s="49">
        <f>IF(OR(A552="",D552=""),0,MAX(0,NETWORKDAYS(MAX(D552,DATE(Einstellungen!$C$3,4,1)),MIN(J552,DATE(Einstellungen!$C$3,5,0)),Einstellungen!$F$13:$F$32)))</f>
        <v/>
      </c>
      <c r="P552" s="49">
        <f>IF(OR(A552="",D552=""),0,MAX(0,NETWORKDAYS(MAX(D552,DATE(Einstellungen!$C$3,5,1)),MIN(J552,DATE(Einstellungen!$C$3,6,0)),Einstellungen!$F$13:$F$32)))</f>
        <v/>
      </c>
      <c r="Q552" s="49">
        <f>IF(OR(A552="",D552=""),0,MAX(0,NETWORKDAYS(MAX(D552,DATE(Einstellungen!$C$3,6,1)),MIN(J552,DATE(Einstellungen!$C$3,7,0)),Einstellungen!$F$13:$F$32)))</f>
        <v/>
      </c>
      <c r="R552" s="49">
        <f>IF(OR(A552="",D552=""),0,MAX(0,NETWORKDAYS(MAX(D552,DATE(Einstellungen!$C$3,7,1)),MIN(J552,DATE(Einstellungen!$C$3,8,0)),Einstellungen!$F$13:$F$32)))</f>
        <v/>
      </c>
      <c r="S552" s="49">
        <f>IF(OR(A552="",D552=""),0,MAX(0,NETWORKDAYS(MAX(D552,DATE(Einstellungen!$C$3,8,1)),MIN(J552,DATE(Einstellungen!$C$3,9,0)),Einstellungen!$F$13:$F$32)))</f>
        <v/>
      </c>
      <c r="T552" s="49">
        <f>IF(OR(A552="",D552=""),0,MAX(0,NETWORKDAYS(MAX(D552,DATE(Einstellungen!$C$3,9,1)),MIN(J552,DATE(Einstellungen!$C$3,10,0)),Einstellungen!$F$13:$F$32)))</f>
        <v/>
      </c>
      <c r="U552" s="49">
        <f>IF(OR(A552="",D552=""),0,MAX(0,NETWORKDAYS(MAX(D552,DATE(Einstellungen!$C$3,10,1)),MIN(J552,DATE(Einstellungen!$C$3,11,0)),Einstellungen!$F$13:$F$32)))</f>
        <v/>
      </c>
      <c r="V552" s="49">
        <f>IF(OR(A552="",D552=""),0,MAX(0,NETWORKDAYS(MAX(D552,DATE(Einstellungen!$C$3,11,1)),MIN(J552,DATE(Einstellungen!$C$3,12,0)),Einstellungen!$F$13:$F$32)))</f>
        <v/>
      </c>
      <c r="W552" s="49">
        <f>IF(OR(A552="",D552=""),0,MAX(0,NETWORKDAYS(MAX(D552,DATE(Einstellungen!$C$3,12,1)),MIN(J552,DATE(Einstellungen!$C$3,13,0)),Einstellungen!$F$13:$F$32)))</f>
        <v/>
      </c>
      <c r="X552" s="50">
        <f>L552*K552</f>
        <v/>
      </c>
      <c r="Y552" s="50">
        <f>M552*K552</f>
        <v/>
      </c>
      <c r="Z552" s="50">
        <f>N552*K552</f>
        <v/>
      </c>
      <c r="AA552" s="50">
        <f>O552*K552</f>
        <v/>
      </c>
      <c r="AB552" s="50">
        <f>P552*K552</f>
        <v/>
      </c>
      <c r="AC552" s="50">
        <f>Q552*K552</f>
        <v/>
      </c>
      <c r="AD552" s="50">
        <f>R552*K552</f>
        <v/>
      </c>
      <c r="AE552" s="50">
        <f>S552*K552</f>
        <v/>
      </c>
      <c r="AF552" s="50">
        <f>T552*K552</f>
        <v/>
      </c>
      <c r="AG552" s="50">
        <f>U552*K552</f>
        <v/>
      </c>
      <c r="AH552" s="50">
        <f>V552*K552</f>
        <v/>
      </c>
      <c r="AI552" s="50">
        <f>W552*K552</f>
        <v/>
      </c>
    </row>
    <row r="553">
      <c r="A553" s="25" t="n"/>
      <c r="B553" s="45">
        <f>IF(A553="","",IFERROR(INDEX(Mitarbeiter!$B$6:$B$205,MATCH($A553,Mitarbeiter!$A$6:$A$205,0)),"?"))</f>
        <v/>
      </c>
      <c r="C553" s="46" t="n"/>
      <c r="D553" s="26" t="n"/>
      <c r="E553" s="26" t="n"/>
      <c r="F553" s="24">
        <f>IF(A553="","",SUM(L553:W553))</f>
        <v/>
      </c>
      <c r="G553" s="36">
        <f>IF(A553="","",SUM(X553:AI553))</f>
        <v/>
      </c>
      <c r="H553" s="8">
        <f>IF(A553="","",IF(ISNA(MATCH(A553,Mitarbeiter!$A$6:$A$205,0)),"Pers.-Nr. unbekannt",IF(D553="","Von fehlt",IF(AND(C553&lt;&gt;Einstellungen!$C$4,C553&lt;&gt;Einstellungen!$C$5),"Objekt fehlt",IF(J553&lt;D553,"Bis vor Von",IF(D553&lt;INDEX(Mitarbeiter!$C$6:$C$205,MATCH($A553,Mitarbeiter!$A$6:$A$205,0)),"vor Eintritt",IF(AND(INDEX(Mitarbeiter!$D$6:$D$205,MATCH($A553,Mitarbeiter!$A$6:$A$205,0))&lt;&gt;"",D553&gt;INDEX(Mitarbeiter!$D$6:$D$205,MATCH($A553,Mitarbeiter!$A$6:$A$205,0))),"nach Austritt",IF(E553="","offen","ok"))))))))</f>
        <v/>
      </c>
      <c r="J553" s="47">
        <f>IF(A553="","",IF(E553="",Einstellungen!$C$9,E553))</f>
        <v/>
      </c>
      <c r="K553" s="48">
        <f>IF(A553="",0,IFERROR(INDEX(Mitarbeiter!$F$6:$F$205,MATCH($A553,Mitarbeiter!$A$6:$A$205,0)),0))</f>
        <v/>
      </c>
      <c r="L553" s="49">
        <f>IF(OR(A553="",D553=""),0,MAX(0,NETWORKDAYS(MAX(D553,DATE(Einstellungen!$C$3,1,1)),MIN(J553,DATE(Einstellungen!$C$3,2,0)),Einstellungen!$F$13:$F$32)))</f>
        <v/>
      </c>
      <c r="M553" s="49">
        <f>IF(OR(A553="",D553=""),0,MAX(0,NETWORKDAYS(MAX(D553,DATE(Einstellungen!$C$3,2,1)),MIN(J553,DATE(Einstellungen!$C$3,3,0)),Einstellungen!$F$13:$F$32)))</f>
        <v/>
      </c>
      <c r="N553" s="49">
        <f>IF(OR(A553="",D553=""),0,MAX(0,NETWORKDAYS(MAX(D553,DATE(Einstellungen!$C$3,3,1)),MIN(J553,DATE(Einstellungen!$C$3,4,0)),Einstellungen!$F$13:$F$32)))</f>
        <v/>
      </c>
      <c r="O553" s="49">
        <f>IF(OR(A553="",D553=""),0,MAX(0,NETWORKDAYS(MAX(D553,DATE(Einstellungen!$C$3,4,1)),MIN(J553,DATE(Einstellungen!$C$3,5,0)),Einstellungen!$F$13:$F$32)))</f>
        <v/>
      </c>
      <c r="P553" s="49">
        <f>IF(OR(A553="",D553=""),0,MAX(0,NETWORKDAYS(MAX(D553,DATE(Einstellungen!$C$3,5,1)),MIN(J553,DATE(Einstellungen!$C$3,6,0)),Einstellungen!$F$13:$F$32)))</f>
        <v/>
      </c>
      <c r="Q553" s="49">
        <f>IF(OR(A553="",D553=""),0,MAX(0,NETWORKDAYS(MAX(D553,DATE(Einstellungen!$C$3,6,1)),MIN(J553,DATE(Einstellungen!$C$3,7,0)),Einstellungen!$F$13:$F$32)))</f>
        <v/>
      </c>
      <c r="R553" s="49">
        <f>IF(OR(A553="",D553=""),0,MAX(0,NETWORKDAYS(MAX(D553,DATE(Einstellungen!$C$3,7,1)),MIN(J553,DATE(Einstellungen!$C$3,8,0)),Einstellungen!$F$13:$F$32)))</f>
        <v/>
      </c>
      <c r="S553" s="49">
        <f>IF(OR(A553="",D553=""),0,MAX(0,NETWORKDAYS(MAX(D553,DATE(Einstellungen!$C$3,8,1)),MIN(J553,DATE(Einstellungen!$C$3,9,0)),Einstellungen!$F$13:$F$32)))</f>
        <v/>
      </c>
      <c r="T553" s="49">
        <f>IF(OR(A553="",D553=""),0,MAX(0,NETWORKDAYS(MAX(D553,DATE(Einstellungen!$C$3,9,1)),MIN(J553,DATE(Einstellungen!$C$3,10,0)),Einstellungen!$F$13:$F$32)))</f>
        <v/>
      </c>
      <c r="U553" s="49">
        <f>IF(OR(A553="",D553=""),0,MAX(0,NETWORKDAYS(MAX(D553,DATE(Einstellungen!$C$3,10,1)),MIN(J553,DATE(Einstellungen!$C$3,11,0)),Einstellungen!$F$13:$F$32)))</f>
        <v/>
      </c>
      <c r="V553" s="49">
        <f>IF(OR(A553="",D553=""),0,MAX(0,NETWORKDAYS(MAX(D553,DATE(Einstellungen!$C$3,11,1)),MIN(J553,DATE(Einstellungen!$C$3,12,0)),Einstellungen!$F$13:$F$32)))</f>
        <v/>
      </c>
      <c r="W553" s="49">
        <f>IF(OR(A553="",D553=""),0,MAX(0,NETWORKDAYS(MAX(D553,DATE(Einstellungen!$C$3,12,1)),MIN(J553,DATE(Einstellungen!$C$3,13,0)),Einstellungen!$F$13:$F$32)))</f>
        <v/>
      </c>
      <c r="X553" s="50">
        <f>L553*K553</f>
        <v/>
      </c>
      <c r="Y553" s="50">
        <f>M553*K553</f>
        <v/>
      </c>
      <c r="Z553" s="50">
        <f>N553*K553</f>
        <v/>
      </c>
      <c r="AA553" s="50">
        <f>O553*K553</f>
        <v/>
      </c>
      <c r="AB553" s="50">
        <f>P553*K553</f>
        <v/>
      </c>
      <c r="AC553" s="50">
        <f>Q553*K553</f>
        <v/>
      </c>
      <c r="AD553" s="50">
        <f>R553*K553</f>
        <v/>
      </c>
      <c r="AE553" s="50">
        <f>S553*K553</f>
        <v/>
      </c>
      <c r="AF553" s="50">
        <f>T553*K553</f>
        <v/>
      </c>
      <c r="AG553" s="50">
        <f>U553*K553</f>
        <v/>
      </c>
      <c r="AH553" s="50">
        <f>V553*K553</f>
        <v/>
      </c>
      <c r="AI553" s="50">
        <f>W553*K553</f>
        <v/>
      </c>
    </row>
    <row r="554">
      <c r="A554" s="25" t="n"/>
      <c r="B554" s="45">
        <f>IF(A554="","",IFERROR(INDEX(Mitarbeiter!$B$6:$B$205,MATCH($A554,Mitarbeiter!$A$6:$A$205,0)),"?"))</f>
        <v/>
      </c>
      <c r="C554" s="46" t="n"/>
      <c r="D554" s="26" t="n"/>
      <c r="E554" s="26" t="n"/>
      <c r="F554" s="24">
        <f>IF(A554="","",SUM(L554:W554))</f>
        <v/>
      </c>
      <c r="G554" s="36">
        <f>IF(A554="","",SUM(X554:AI554))</f>
        <v/>
      </c>
      <c r="H554" s="8">
        <f>IF(A554="","",IF(ISNA(MATCH(A554,Mitarbeiter!$A$6:$A$205,0)),"Pers.-Nr. unbekannt",IF(D554="","Von fehlt",IF(AND(C554&lt;&gt;Einstellungen!$C$4,C554&lt;&gt;Einstellungen!$C$5),"Objekt fehlt",IF(J554&lt;D554,"Bis vor Von",IF(D554&lt;INDEX(Mitarbeiter!$C$6:$C$205,MATCH($A554,Mitarbeiter!$A$6:$A$205,0)),"vor Eintritt",IF(AND(INDEX(Mitarbeiter!$D$6:$D$205,MATCH($A554,Mitarbeiter!$A$6:$A$205,0))&lt;&gt;"",D554&gt;INDEX(Mitarbeiter!$D$6:$D$205,MATCH($A554,Mitarbeiter!$A$6:$A$205,0))),"nach Austritt",IF(E554="","offen","ok"))))))))</f>
        <v/>
      </c>
      <c r="J554" s="47">
        <f>IF(A554="","",IF(E554="",Einstellungen!$C$9,E554))</f>
        <v/>
      </c>
      <c r="K554" s="48">
        <f>IF(A554="",0,IFERROR(INDEX(Mitarbeiter!$F$6:$F$205,MATCH($A554,Mitarbeiter!$A$6:$A$205,0)),0))</f>
        <v/>
      </c>
      <c r="L554" s="49">
        <f>IF(OR(A554="",D554=""),0,MAX(0,NETWORKDAYS(MAX(D554,DATE(Einstellungen!$C$3,1,1)),MIN(J554,DATE(Einstellungen!$C$3,2,0)),Einstellungen!$F$13:$F$32)))</f>
        <v/>
      </c>
      <c r="M554" s="49">
        <f>IF(OR(A554="",D554=""),0,MAX(0,NETWORKDAYS(MAX(D554,DATE(Einstellungen!$C$3,2,1)),MIN(J554,DATE(Einstellungen!$C$3,3,0)),Einstellungen!$F$13:$F$32)))</f>
        <v/>
      </c>
      <c r="N554" s="49">
        <f>IF(OR(A554="",D554=""),0,MAX(0,NETWORKDAYS(MAX(D554,DATE(Einstellungen!$C$3,3,1)),MIN(J554,DATE(Einstellungen!$C$3,4,0)),Einstellungen!$F$13:$F$32)))</f>
        <v/>
      </c>
      <c r="O554" s="49">
        <f>IF(OR(A554="",D554=""),0,MAX(0,NETWORKDAYS(MAX(D554,DATE(Einstellungen!$C$3,4,1)),MIN(J554,DATE(Einstellungen!$C$3,5,0)),Einstellungen!$F$13:$F$32)))</f>
        <v/>
      </c>
      <c r="P554" s="49">
        <f>IF(OR(A554="",D554=""),0,MAX(0,NETWORKDAYS(MAX(D554,DATE(Einstellungen!$C$3,5,1)),MIN(J554,DATE(Einstellungen!$C$3,6,0)),Einstellungen!$F$13:$F$32)))</f>
        <v/>
      </c>
      <c r="Q554" s="49">
        <f>IF(OR(A554="",D554=""),0,MAX(0,NETWORKDAYS(MAX(D554,DATE(Einstellungen!$C$3,6,1)),MIN(J554,DATE(Einstellungen!$C$3,7,0)),Einstellungen!$F$13:$F$32)))</f>
        <v/>
      </c>
      <c r="R554" s="49">
        <f>IF(OR(A554="",D554=""),0,MAX(0,NETWORKDAYS(MAX(D554,DATE(Einstellungen!$C$3,7,1)),MIN(J554,DATE(Einstellungen!$C$3,8,0)),Einstellungen!$F$13:$F$32)))</f>
        <v/>
      </c>
      <c r="S554" s="49">
        <f>IF(OR(A554="",D554=""),0,MAX(0,NETWORKDAYS(MAX(D554,DATE(Einstellungen!$C$3,8,1)),MIN(J554,DATE(Einstellungen!$C$3,9,0)),Einstellungen!$F$13:$F$32)))</f>
        <v/>
      </c>
      <c r="T554" s="49">
        <f>IF(OR(A554="",D554=""),0,MAX(0,NETWORKDAYS(MAX(D554,DATE(Einstellungen!$C$3,9,1)),MIN(J554,DATE(Einstellungen!$C$3,10,0)),Einstellungen!$F$13:$F$32)))</f>
        <v/>
      </c>
      <c r="U554" s="49">
        <f>IF(OR(A554="",D554=""),0,MAX(0,NETWORKDAYS(MAX(D554,DATE(Einstellungen!$C$3,10,1)),MIN(J554,DATE(Einstellungen!$C$3,11,0)),Einstellungen!$F$13:$F$32)))</f>
        <v/>
      </c>
      <c r="V554" s="49">
        <f>IF(OR(A554="",D554=""),0,MAX(0,NETWORKDAYS(MAX(D554,DATE(Einstellungen!$C$3,11,1)),MIN(J554,DATE(Einstellungen!$C$3,12,0)),Einstellungen!$F$13:$F$32)))</f>
        <v/>
      </c>
      <c r="W554" s="49">
        <f>IF(OR(A554="",D554=""),0,MAX(0,NETWORKDAYS(MAX(D554,DATE(Einstellungen!$C$3,12,1)),MIN(J554,DATE(Einstellungen!$C$3,13,0)),Einstellungen!$F$13:$F$32)))</f>
        <v/>
      </c>
      <c r="X554" s="50">
        <f>L554*K554</f>
        <v/>
      </c>
      <c r="Y554" s="50">
        <f>M554*K554</f>
        <v/>
      </c>
      <c r="Z554" s="50">
        <f>N554*K554</f>
        <v/>
      </c>
      <c r="AA554" s="50">
        <f>O554*K554</f>
        <v/>
      </c>
      <c r="AB554" s="50">
        <f>P554*K554</f>
        <v/>
      </c>
      <c r="AC554" s="50">
        <f>Q554*K554</f>
        <v/>
      </c>
      <c r="AD554" s="50">
        <f>R554*K554</f>
        <v/>
      </c>
      <c r="AE554" s="50">
        <f>S554*K554</f>
        <v/>
      </c>
      <c r="AF554" s="50">
        <f>T554*K554</f>
        <v/>
      </c>
      <c r="AG554" s="50">
        <f>U554*K554</f>
        <v/>
      </c>
      <c r="AH554" s="50">
        <f>V554*K554</f>
        <v/>
      </c>
      <c r="AI554" s="50">
        <f>W554*K554</f>
        <v/>
      </c>
    </row>
    <row r="555">
      <c r="A555" s="25" t="n"/>
      <c r="B555" s="45">
        <f>IF(A555="","",IFERROR(INDEX(Mitarbeiter!$B$6:$B$205,MATCH($A555,Mitarbeiter!$A$6:$A$205,0)),"?"))</f>
        <v/>
      </c>
      <c r="C555" s="46" t="n"/>
      <c r="D555" s="26" t="n"/>
      <c r="E555" s="26" t="n"/>
      <c r="F555" s="24">
        <f>IF(A555="","",SUM(L555:W555))</f>
        <v/>
      </c>
      <c r="G555" s="36">
        <f>IF(A555="","",SUM(X555:AI555))</f>
        <v/>
      </c>
      <c r="H555" s="8">
        <f>IF(A555="","",IF(ISNA(MATCH(A555,Mitarbeiter!$A$6:$A$205,0)),"Pers.-Nr. unbekannt",IF(D555="","Von fehlt",IF(AND(C555&lt;&gt;Einstellungen!$C$4,C555&lt;&gt;Einstellungen!$C$5),"Objekt fehlt",IF(J555&lt;D555,"Bis vor Von",IF(D555&lt;INDEX(Mitarbeiter!$C$6:$C$205,MATCH($A555,Mitarbeiter!$A$6:$A$205,0)),"vor Eintritt",IF(AND(INDEX(Mitarbeiter!$D$6:$D$205,MATCH($A555,Mitarbeiter!$A$6:$A$205,0))&lt;&gt;"",D555&gt;INDEX(Mitarbeiter!$D$6:$D$205,MATCH($A555,Mitarbeiter!$A$6:$A$205,0))),"nach Austritt",IF(E555="","offen","ok"))))))))</f>
        <v/>
      </c>
      <c r="J555" s="47">
        <f>IF(A555="","",IF(E555="",Einstellungen!$C$9,E555))</f>
        <v/>
      </c>
      <c r="K555" s="48">
        <f>IF(A555="",0,IFERROR(INDEX(Mitarbeiter!$F$6:$F$205,MATCH($A555,Mitarbeiter!$A$6:$A$205,0)),0))</f>
        <v/>
      </c>
      <c r="L555" s="49">
        <f>IF(OR(A555="",D555=""),0,MAX(0,NETWORKDAYS(MAX(D555,DATE(Einstellungen!$C$3,1,1)),MIN(J555,DATE(Einstellungen!$C$3,2,0)),Einstellungen!$F$13:$F$32)))</f>
        <v/>
      </c>
      <c r="M555" s="49">
        <f>IF(OR(A555="",D555=""),0,MAX(0,NETWORKDAYS(MAX(D555,DATE(Einstellungen!$C$3,2,1)),MIN(J555,DATE(Einstellungen!$C$3,3,0)),Einstellungen!$F$13:$F$32)))</f>
        <v/>
      </c>
      <c r="N555" s="49">
        <f>IF(OR(A555="",D555=""),0,MAX(0,NETWORKDAYS(MAX(D555,DATE(Einstellungen!$C$3,3,1)),MIN(J555,DATE(Einstellungen!$C$3,4,0)),Einstellungen!$F$13:$F$32)))</f>
        <v/>
      </c>
      <c r="O555" s="49">
        <f>IF(OR(A555="",D555=""),0,MAX(0,NETWORKDAYS(MAX(D555,DATE(Einstellungen!$C$3,4,1)),MIN(J555,DATE(Einstellungen!$C$3,5,0)),Einstellungen!$F$13:$F$32)))</f>
        <v/>
      </c>
      <c r="P555" s="49">
        <f>IF(OR(A555="",D555=""),0,MAX(0,NETWORKDAYS(MAX(D555,DATE(Einstellungen!$C$3,5,1)),MIN(J555,DATE(Einstellungen!$C$3,6,0)),Einstellungen!$F$13:$F$32)))</f>
        <v/>
      </c>
      <c r="Q555" s="49">
        <f>IF(OR(A555="",D555=""),0,MAX(0,NETWORKDAYS(MAX(D555,DATE(Einstellungen!$C$3,6,1)),MIN(J555,DATE(Einstellungen!$C$3,7,0)),Einstellungen!$F$13:$F$32)))</f>
        <v/>
      </c>
      <c r="R555" s="49">
        <f>IF(OR(A555="",D555=""),0,MAX(0,NETWORKDAYS(MAX(D555,DATE(Einstellungen!$C$3,7,1)),MIN(J555,DATE(Einstellungen!$C$3,8,0)),Einstellungen!$F$13:$F$32)))</f>
        <v/>
      </c>
      <c r="S555" s="49">
        <f>IF(OR(A555="",D555=""),0,MAX(0,NETWORKDAYS(MAX(D555,DATE(Einstellungen!$C$3,8,1)),MIN(J555,DATE(Einstellungen!$C$3,9,0)),Einstellungen!$F$13:$F$32)))</f>
        <v/>
      </c>
      <c r="T555" s="49">
        <f>IF(OR(A555="",D555=""),0,MAX(0,NETWORKDAYS(MAX(D555,DATE(Einstellungen!$C$3,9,1)),MIN(J555,DATE(Einstellungen!$C$3,10,0)),Einstellungen!$F$13:$F$32)))</f>
        <v/>
      </c>
      <c r="U555" s="49">
        <f>IF(OR(A555="",D555=""),0,MAX(0,NETWORKDAYS(MAX(D555,DATE(Einstellungen!$C$3,10,1)),MIN(J555,DATE(Einstellungen!$C$3,11,0)),Einstellungen!$F$13:$F$32)))</f>
        <v/>
      </c>
      <c r="V555" s="49">
        <f>IF(OR(A555="",D555=""),0,MAX(0,NETWORKDAYS(MAX(D555,DATE(Einstellungen!$C$3,11,1)),MIN(J555,DATE(Einstellungen!$C$3,12,0)),Einstellungen!$F$13:$F$32)))</f>
        <v/>
      </c>
      <c r="W555" s="49">
        <f>IF(OR(A555="",D555=""),0,MAX(0,NETWORKDAYS(MAX(D555,DATE(Einstellungen!$C$3,12,1)),MIN(J555,DATE(Einstellungen!$C$3,13,0)),Einstellungen!$F$13:$F$32)))</f>
        <v/>
      </c>
      <c r="X555" s="50">
        <f>L555*K555</f>
        <v/>
      </c>
      <c r="Y555" s="50">
        <f>M555*K555</f>
        <v/>
      </c>
      <c r="Z555" s="50">
        <f>N555*K555</f>
        <v/>
      </c>
      <c r="AA555" s="50">
        <f>O555*K555</f>
        <v/>
      </c>
      <c r="AB555" s="50">
        <f>P555*K555</f>
        <v/>
      </c>
      <c r="AC555" s="50">
        <f>Q555*K555</f>
        <v/>
      </c>
      <c r="AD555" s="50">
        <f>R555*K555</f>
        <v/>
      </c>
      <c r="AE555" s="50">
        <f>S555*K555</f>
        <v/>
      </c>
      <c r="AF555" s="50">
        <f>T555*K555</f>
        <v/>
      </c>
      <c r="AG555" s="50">
        <f>U555*K555</f>
        <v/>
      </c>
      <c r="AH555" s="50">
        <f>V555*K555</f>
        <v/>
      </c>
      <c r="AI555" s="50">
        <f>W555*K555</f>
        <v/>
      </c>
    </row>
    <row r="556">
      <c r="A556" s="25" t="n"/>
      <c r="B556" s="45">
        <f>IF(A556="","",IFERROR(INDEX(Mitarbeiter!$B$6:$B$205,MATCH($A556,Mitarbeiter!$A$6:$A$205,0)),"?"))</f>
        <v/>
      </c>
      <c r="C556" s="46" t="n"/>
      <c r="D556" s="26" t="n"/>
      <c r="E556" s="26" t="n"/>
      <c r="F556" s="24">
        <f>IF(A556="","",SUM(L556:W556))</f>
        <v/>
      </c>
      <c r="G556" s="36">
        <f>IF(A556="","",SUM(X556:AI556))</f>
        <v/>
      </c>
      <c r="H556" s="8">
        <f>IF(A556="","",IF(ISNA(MATCH(A556,Mitarbeiter!$A$6:$A$205,0)),"Pers.-Nr. unbekannt",IF(D556="","Von fehlt",IF(AND(C556&lt;&gt;Einstellungen!$C$4,C556&lt;&gt;Einstellungen!$C$5),"Objekt fehlt",IF(J556&lt;D556,"Bis vor Von",IF(D556&lt;INDEX(Mitarbeiter!$C$6:$C$205,MATCH($A556,Mitarbeiter!$A$6:$A$205,0)),"vor Eintritt",IF(AND(INDEX(Mitarbeiter!$D$6:$D$205,MATCH($A556,Mitarbeiter!$A$6:$A$205,0))&lt;&gt;"",D556&gt;INDEX(Mitarbeiter!$D$6:$D$205,MATCH($A556,Mitarbeiter!$A$6:$A$205,0))),"nach Austritt",IF(E556="","offen","ok"))))))))</f>
        <v/>
      </c>
      <c r="J556" s="47">
        <f>IF(A556="","",IF(E556="",Einstellungen!$C$9,E556))</f>
        <v/>
      </c>
      <c r="K556" s="48">
        <f>IF(A556="",0,IFERROR(INDEX(Mitarbeiter!$F$6:$F$205,MATCH($A556,Mitarbeiter!$A$6:$A$205,0)),0))</f>
        <v/>
      </c>
      <c r="L556" s="49">
        <f>IF(OR(A556="",D556=""),0,MAX(0,NETWORKDAYS(MAX(D556,DATE(Einstellungen!$C$3,1,1)),MIN(J556,DATE(Einstellungen!$C$3,2,0)),Einstellungen!$F$13:$F$32)))</f>
        <v/>
      </c>
      <c r="M556" s="49">
        <f>IF(OR(A556="",D556=""),0,MAX(0,NETWORKDAYS(MAX(D556,DATE(Einstellungen!$C$3,2,1)),MIN(J556,DATE(Einstellungen!$C$3,3,0)),Einstellungen!$F$13:$F$32)))</f>
        <v/>
      </c>
      <c r="N556" s="49">
        <f>IF(OR(A556="",D556=""),0,MAX(0,NETWORKDAYS(MAX(D556,DATE(Einstellungen!$C$3,3,1)),MIN(J556,DATE(Einstellungen!$C$3,4,0)),Einstellungen!$F$13:$F$32)))</f>
        <v/>
      </c>
      <c r="O556" s="49">
        <f>IF(OR(A556="",D556=""),0,MAX(0,NETWORKDAYS(MAX(D556,DATE(Einstellungen!$C$3,4,1)),MIN(J556,DATE(Einstellungen!$C$3,5,0)),Einstellungen!$F$13:$F$32)))</f>
        <v/>
      </c>
      <c r="P556" s="49">
        <f>IF(OR(A556="",D556=""),0,MAX(0,NETWORKDAYS(MAX(D556,DATE(Einstellungen!$C$3,5,1)),MIN(J556,DATE(Einstellungen!$C$3,6,0)),Einstellungen!$F$13:$F$32)))</f>
        <v/>
      </c>
      <c r="Q556" s="49">
        <f>IF(OR(A556="",D556=""),0,MAX(0,NETWORKDAYS(MAX(D556,DATE(Einstellungen!$C$3,6,1)),MIN(J556,DATE(Einstellungen!$C$3,7,0)),Einstellungen!$F$13:$F$32)))</f>
        <v/>
      </c>
      <c r="R556" s="49">
        <f>IF(OR(A556="",D556=""),0,MAX(0,NETWORKDAYS(MAX(D556,DATE(Einstellungen!$C$3,7,1)),MIN(J556,DATE(Einstellungen!$C$3,8,0)),Einstellungen!$F$13:$F$32)))</f>
        <v/>
      </c>
      <c r="S556" s="49">
        <f>IF(OR(A556="",D556=""),0,MAX(0,NETWORKDAYS(MAX(D556,DATE(Einstellungen!$C$3,8,1)),MIN(J556,DATE(Einstellungen!$C$3,9,0)),Einstellungen!$F$13:$F$32)))</f>
        <v/>
      </c>
      <c r="T556" s="49">
        <f>IF(OR(A556="",D556=""),0,MAX(0,NETWORKDAYS(MAX(D556,DATE(Einstellungen!$C$3,9,1)),MIN(J556,DATE(Einstellungen!$C$3,10,0)),Einstellungen!$F$13:$F$32)))</f>
        <v/>
      </c>
      <c r="U556" s="49">
        <f>IF(OR(A556="",D556=""),0,MAX(0,NETWORKDAYS(MAX(D556,DATE(Einstellungen!$C$3,10,1)),MIN(J556,DATE(Einstellungen!$C$3,11,0)),Einstellungen!$F$13:$F$32)))</f>
        <v/>
      </c>
      <c r="V556" s="49">
        <f>IF(OR(A556="",D556=""),0,MAX(0,NETWORKDAYS(MAX(D556,DATE(Einstellungen!$C$3,11,1)),MIN(J556,DATE(Einstellungen!$C$3,12,0)),Einstellungen!$F$13:$F$32)))</f>
        <v/>
      </c>
      <c r="W556" s="49">
        <f>IF(OR(A556="",D556=""),0,MAX(0,NETWORKDAYS(MAX(D556,DATE(Einstellungen!$C$3,12,1)),MIN(J556,DATE(Einstellungen!$C$3,13,0)),Einstellungen!$F$13:$F$32)))</f>
        <v/>
      </c>
      <c r="X556" s="50">
        <f>L556*K556</f>
        <v/>
      </c>
      <c r="Y556" s="50">
        <f>M556*K556</f>
        <v/>
      </c>
      <c r="Z556" s="50">
        <f>N556*K556</f>
        <v/>
      </c>
      <c r="AA556" s="50">
        <f>O556*K556</f>
        <v/>
      </c>
      <c r="AB556" s="50">
        <f>P556*K556</f>
        <v/>
      </c>
      <c r="AC556" s="50">
        <f>Q556*K556</f>
        <v/>
      </c>
      <c r="AD556" s="50">
        <f>R556*K556</f>
        <v/>
      </c>
      <c r="AE556" s="50">
        <f>S556*K556</f>
        <v/>
      </c>
      <c r="AF556" s="50">
        <f>T556*K556</f>
        <v/>
      </c>
      <c r="AG556" s="50">
        <f>U556*K556</f>
        <v/>
      </c>
      <c r="AH556" s="50">
        <f>V556*K556</f>
        <v/>
      </c>
      <c r="AI556" s="50">
        <f>W556*K556</f>
        <v/>
      </c>
    </row>
    <row r="557">
      <c r="A557" s="25" t="n"/>
      <c r="B557" s="45">
        <f>IF(A557="","",IFERROR(INDEX(Mitarbeiter!$B$6:$B$205,MATCH($A557,Mitarbeiter!$A$6:$A$205,0)),"?"))</f>
        <v/>
      </c>
      <c r="C557" s="46" t="n"/>
      <c r="D557" s="26" t="n"/>
      <c r="E557" s="26" t="n"/>
      <c r="F557" s="24">
        <f>IF(A557="","",SUM(L557:W557))</f>
        <v/>
      </c>
      <c r="G557" s="36">
        <f>IF(A557="","",SUM(X557:AI557))</f>
        <v/>
      </c>
      <c r="H557" s="8">
        <f>IF(A557="","",IF(ISNA(MATCH(A557,Mitarbeiter!$A$6:$A$205,0)),"Pers.-Nr. unbekannt",IF(D557="","Von fehlt",IF(AND(C557&lt;&gt;Einstellungen!$C$4,C557&lt;&gt;Einstellungen!$C$5),"Objekt fehlt",IF(J557&lt;D557,"Bis vor Von",IF(D557&lt;INDEX(Mitarbeiter!$C$6:$C$205,MATCH($A557,Mitarbeiter!$A$6:$A$205,0)),"vor Eintritt",IF(AND(INDEX(Mitarbeiter!$D$6:$D$205,MATCH($A557,Mitarbeiter!$A$6:$A$205,0))&lt;&gt;"",D557&gt;INDEX(Mitarbeiter!$D$6:$D$205,MATCH($A557,Mitarbeiter!$A$6:$A$205,0))),"nach Austritt",IF(E557="","offen","ok"))))))))</f>
        <v/>
      </c>
      <c r="J557" s="47">
        <f>IF(A557="","",IF(E557="",Einstellungen!$C$9,E557))</f>
        <v/>
      </c>
      <c r="K557" s="48">
        <f>IF(A557="",0,IFERROR(INDEX(Mitarbeiter!$F$6:$F$205,MATCH($A557,Mitarbeiter!$A$6:$A$205,0)),0))</f>
        <v/>
      </c>
      <c r="L557" s="49">
        <f>IF(OR(A557="",D557=""),0,MAX(0,NETWORKDAYS(MAX(D557,DATE(Einstellungen!$C$3,1,1)),MIN(J557,DATE(Einstellungen!$C$3,2,0)),Einstellungen!$F$13:$F$32)))</f>
        <v/>
      </c>
      <c r="M557" s="49">
        <f>IF(OR(A557="",D557=""),0,MAX(0,NETWORKDAYS(MAX(D557,DATE(Einstellungen!$C$3,2,1)),MIN(J557,DATE(Einstellungen!$C$3,3,0)),Einstellungen!$F$13:$F$32)))</f>
        <v/>
      </c>
      <c r="N557" s="49">
        <f>IF(OR(A557="",D557=""),0,MAX(0,NETWORKDAYS(MAX(D557,DATE(Einstellungen!$C$3,3,1)),MIN(J557,DATE(Einstellungen!$C$3,4,0)),Einstellungen!$F$13:$F$32)))</f>
        <v/>
      </c>
      <c r="O557" s="49">
        <f>IF(OR(A557="",D557=""),0,MAX(0,NETWORKDAYS(MAX(D557,DATE(Einstellungen!$C$3,4,1)),MIN(J557,DATE(Einstellungen!$C$3,5,0)),Einstellungen!$F$13:$F$32)))</f>
        <v/>
      </c>
      <c r="P557" s="49">
        <f>IF(OR(A557="",D557=""),0,MAX(0,NETWORKDAYS(MAX(D557,DATE(Einstellungen!$C$3,5,1)),MIN(J557,DATE(Einstellungen!$C$3,6,0)),Einstellungen!$F$13:$F$32)))</f>
        <v/>
      </c>
      <c r="Q557" s="49">
        <f>IF(OR(A557="",D557=""),0,MAX(0,NETWORKDAYS(MAX(D557,DATE(Einstellungen!$C$3,6,1)),MIN(J557,DATE(Einstellungen!$C$3,7,0)),Einstellungen!$F$13:$F$32)))</f>
        <v/>
      </c>
      <c r="R557" s="49">
        <f>IF(OR(A557="",D557=""),0,MAX(0,NETWORKDAYS(MAX(D557,DATE(Einstellungen!$C$3,7,1)),MIN(J557,DATE(Einstellungen!$C$3,8,0)),Einstellungen!$F$13:$F$32)))</f>
        <v/>
      </c>
      <c r="S557" s="49">
        <f>IF(OR(A557="",D557=""),0,MAX(0,NETWORKDAYS(MAX(D557,DATE(Einstellungen!$C$3,8,1)),MIN(J557,DATE(Einstellungen!$C$3,9,0)),Einstellungen!$F$13:$F$32)))</f>
        <v/>
      </c>
      <c r="T557" s="49">
        <f>IF(OR(A557="",D557=""),0,MAX(0,NETWORKDAYS(MAX(D557,DATE(Einstellungen!$C$3,9,1)),MIN(J557,DATE(Einstellungen!$C$3,10,0)),Einstellungen!$F$13:$F$32)))</f>
        <v/>
      </c>
      <c r="U557" s="49">
        <f>IF(OR(A557="",D557=""),0,MAX(0,NETWORKDAYS(MAX(D557,DATE(Einstellungen!$C$3,10,1)),MIN(J557,DATE(Einstellungen!$C$3,11,0)),Einstellungen!$F$13:$F$32)))</f>
        <v/>
      </c>
      <c r="V557" s="49">
        <f>IF(OR(A557="",D557=""),0,MAX(0,NETWORKDAYS(MAX(D557,DATE(Einstellungen!$C$3,11,1)),MIN(J557,DATE(Einstellungen!$C$3,12,0)),Einstellungen!$F$13:$F$32)))</f>
        <v/>
      </c>
      <c r="W557" s="49">
        <f>IF(OR(A557="",D557=""),0,MAX(0,NETWORKDAYS(MAX(D557,DATE(Einstellungen!$C$3,12,1)),MIN(J557,DATE(Einstellungen!$C$3,13,0)),Einstellungen!$F$13:$F$32)))</f>
        <v/>
      </c>
      <c r="X557" s="50">
        <f>L557*K557</f>
        <v/>
      </c>
      <c r="Y557" s="50">
        <f>M557*K557</f>
        <v/>
      </c>
      <c r="Z557" s="50">
        <f>N557*K557</f>
        <v/>
      </c>
      <c r="AA557" s="50">
        <f>O557*K557</f>
        <v/>
      </c>
      <c r="AB557" s="50">
        <f>P557*K557</f>
        <v/>
      </c>
      <c r="AC557" s="50">
        <f>Q557*K557</f>
        <v/>
      </c>
      <c r="AD557" s="50">
        <f>R557*K557</f>
        <v/>
      </c>
      <c r="AE557" s="50">
        <f>S557*K557</f>
        <v/>
      </c>
      <c r="AF557" s="50">
        <f>T557*K557</f>
        <v/>
      </c>
      <c r="AG557" s="50">
        <f>U557*K557</f>
        <v/>
      </c>
      <c r="AH557" s="50">
        <f>V557*K557</f>
        <v/>
      </c>
      <c r="AI557" s="50">
        <f>W557*K557</f>
        <v/>
      </c>
    </row>
    <row r="558">
      <c r="A558" s="25" t="n"/>
      <c r="B558" s="45">
        <f>IF(A558="","",IFERROR(INDEX(Mitarbeiter!$B$6:$B$205,MATCH($A558,Mitarbeiter!$A$6:$A$205,0)),"?"))</f>
        <v/>
      </c>
      <c r="C558" s="46" t="n"/>
      <c r="D558" s="26" t="n"/>
      <c r="E558" s="26" t="n"/>
      <c r="F558" s="24">
        <f>IF(A558="","",SUM(L558:W558))</f>
        <v/>
      </c>
      <c r="G558" s="36">
        <f>IF(A558="","",SUM(X558:AI558))</f>
        <v/>
      </c>
      <c r="H558" s="8">
        <f>IF(A558="","",IF(ISNA(MATCH(A558,Mitarbeiter!$A$6:$A$205,0)),"Pers.-Nr. unbekannt",IF(D558="","Von fehlt",IF(AND(C558&lt;&gt;Einstellungen!$C$4,C558&lt;&gt;Einstellungen!$C$5),"Objekt fehlt",IF(J558&lt;D558,"Bis vor Von",IF(D558&lt;INDEX(Mitarbeiter!$C$6:$C$205,MATCH($A558,Mitarbeiter!$A$6:$A$205,0)),"vor Eintritt",IF(AND(INDEX(Mitarbeiter!$D$6:$D$205,MATCH($A558,Mitarbeiter!$A$6:$A$205,0))&lt;&gt;"",D558&gt;INDEX(Mitarbeiter!$D$6:$D$205,MATCH($A558,Mitarbeiter!$A$6:$A$205,0))),"nach Austritt",IF(E558="","offen","ok"))))))))</f>
        <v/>
      </c>
      <c r="J558" s="47">
        <f>IF(A558="","",IF(E558="",Einstellungen!$C$9,E558))</f>
        <v/>
      </c>
      <c r="K558" s="48">
        <f>IF(A558="",0,IFERROR(INDEX(Mitarbeiter!$F$6:$F$205,MATCH($A558,Mitarbeiter!$A$6:$A$205,0)),0))</f>
        <v/>
      </c>
      <c r="L558" s="49">
        <f>IF(OR(A558="",D558=""),0,MAX(0,NETWORKDAYS(MAX(D558,DATE(Einstellungen!$C$3,1,1)),MIN(J558,DATE(Einstellungen!$C$3,2,0)),Einstellungen!$F$13:$F$32)))</f>
        <v/>
      </c>
      <c r="M558" s="49">
        <f>IF(OR(A558="",D558=""),0,MAX(0,NETWORKDAYS(MAX(D558,DATE(Einstellungen!$C$3,2,1)),MIN(J558,DATE(Einstellungen!$C$3,3,0)),Einstellungen!$F$13:$F$32)))</f>
        <v/>
      </c>
      <c r="N558" s="49">
        <f>IF(OR(A558="",D558=""),0,MAX(0,NETWORKDAYS(MAX(D558,DATE(Einstellungen!$C$3,3,1)),MIN(J558,DATE(Einstellungen!$C$3,4,0)),Einstellungen!$F$13:$F$32)))</f>
        <v/>
      </c>
      <c r="O558" s="49">
        <f>IF(OR(A558="",D558=""),0,MAX(0,NETWORKDAYS(MAX(D558,DATE(Einstellungen!$C$3,4,1)),MIN(J558,DATE(Einstellungen!$C$3,5,0)),Einstellungen!$F$13:$F$32)))</f>
        <v/>
      </c>
      <c r="P558" s="49">
        <f>IF(OR(A558="",D558=""),0,MAX(0,NETWORKDAYS(MAX(D558,DATE(Einstellungen!$C$3,5,1)),MIN(J558,DATE(Einstellungen!$C$3,6,0)),Einstellungen!$F$13:$F$32)))</f>
        <v/>
      </c>
      <c r="Q558" s="49">
        <f>IF(OR(A558="",D558=""),0,MAX(0,NETWORKDAYS(MAX(D558,DATE(Einstellungen!$C$3,6,1)),MIN(J558,DATE(Einstellungen!$C$3,7,0)),Einstellungen!$F$13:$F$32)))</f>
        <v/>
      </c>
      <c r="R558" s="49">
        <f>IF(OR(A558="",D558=""),0,MAX(0,NETWORKDAYS(MAX(D558,DATE(Einstellungen!$C$3,7,1)),MIN(J558,DATE(Einstellungen!$C$3,8,0)),Einstellungen!$F$13:$F$32)))</f>
        <v/>
      </c>
      <c r="S558" s="49">
        <f>IF(OR(A558="",D558=""),0,MAX(0,NETWORKDAYS(MAX(D558,DATE(Einstellungen!$C$3,8,1)),MIN(J558,DATE(Einstellungen!$C$3,9,0)),Einstellungen!$F$13:$F$32)))</f>
        <v/>
      </c>
      <c r="T558" s="49">
        <f>IF(OR(A558="",D558=""),0,MAX(0,NETWORKDAYS(MAX(D558,DATE(Einstellungen!$C$3,9,1)),MIN(J558,DATE(Einstellungen!$C$3,10,0)),Einstellungen!$F$13:$F$32)))</f>
        <v/>
      </c>
      <c r="U558" s="49">
        <f>IF(OR(A558="",D558=""),0,MAX(0,NETWORKDAYS(MAX(D558,DATE(Einstellungen!$C$3,10,1)),MIN(J558,DATE(Einstellungen!$C$3,11,0)),Einstellungen!$F$13:$F$32)))</f>
        <v/>
      </c>
      <c r="V558" s="49">
        <f>IF(OR(A558="",D558=""),0,MAX(0,NETWORKDAYS(MAX(D558,DATE(Einstellungen!$C$3,11,1)),MIN(J558,DATE(Einstellungen!$C$3,12,0)),Einstellungen!$F$13:$F$32)))</f>
        <v/>
      </c>
      <c r="W558" s="49">
        <f>IF(OR(A558="",D558=""),0,MAX(0,NETWORKDAYS(MAX(D558,DATE(Einstellungen!$C$3,12,1)),MIN(J558,DATE(Einstellungen!$C$3,13,0)),Einstellungen!$F$13:$F$32)))</f>
        <v/>
      </c>
      <c r="X558" s="50">
        <f>L558*K558</f>
        <v/>
      </c>
      <c r="Y558" s="50">
        <f>M558*K558</f>
        <v/>
      </c>
      <c r="Z558" s="50">
        <f>N558*K558</f>
        <v/>
      </c>
      <c r="AA558" s="50">
        <f>O558*K558</f>
        <v/>
      </c>
      <c r="AB558" s="50">
        <f>P558*K558</f>
        <v/>
      </c>
      <c r="AC558" s="50">
        <f>Q558*K558</f>
        <v/>
      </c>
      <c r="AD558" s="50">
        <f>R558*K558</f>
        <v/>
      </c>
      <c r="AE558" s="50">
        <f>S558*K558</f>
        <v/>
      </c>
      <c r="AF558" s="50">
        <f>T558*K558</f>
        <v/>
      </c>
      <c r="AG558" s="50">
        <f>U558*K558</f>
        <v/>
      </c>
      <c r="AH558" s="50">
        <f>V558*K558</f>
        <v/>
      </c>
      <c r="AI558" s="50">
        <f>W558*K558</f>
        <v/>
      </c>
    </row>
    <row r="559">
      <c r="A559" s="25" t="n"/>
      <c r="B559" s="45">
        <f>IF(A559="","",IFERROR(INDEX(Mitarbeiter!$B$6:$B$205,MATCH($A559,Mitarbeiter!$A$6:$A$205,0)),"?"))</f>
        <v/>
      </c>
      <c r="C559" s="46" t="n"/>
      <c r="D559" s="26" t="n"/>
      <c r="E559" s="26" t="n"/>
      <c r="F559" s="24">
        <f>IF(A559="","",SUM(L559:W559))</f>
        <v/>
      </c>
      <c r="G559" s="36">
        <f>IF(A559="","",SUM(X559:AI559))</f>
        <v/>
      </c>
      <c r="H559" s="8">
        <f>IF(A559="","",IF(ISNA(MATCH(A559,Mitarbeiter!$A$6:$A$205,0)),"Pers.-Nr. unbekannt",IF(D559="","Von fehlt",IF(AND(C559&lt;&gt;Einstellungen!$C$4,C559&lt;&gt;Einstellungen!$C$5),"Objekt fehlt",IF(J559&lt;D559,"Bis vor Von",IF(D559&lt;INDEX(Mitarbeiter!$C$6:$C$205,MATCH($A559,Mitarbeiter!$A$6:$A$205,0)),"vor Eintritt",IF(AND(INDEX(Mitarbeiter!$D$6:$D$205,MATCH($A559,Mitarbeiter!$A$6:$A$205,0))&lt;&gt;"",D559&gt;INDEX(Mitarbeiter!$D$6:$D$205,MATCH($A559,Mitarbeiter!$A$6:$A$205,0))),"nach Austritt",IF(E559="","offen","ok"))))))))</f>
        <v/>
      </c>
      <c r="J559" s="47">
        <f>IF(A559="","",IF(E559="",Einstellungen!$C$9,E559))</f>
        <v/>
      </c>
      <c r="K559" s="48">
        <f>IF(A559="",0,IFERROR(INDEX(Mitarbeiter!$F$6:$F$205,MATCH($A559,Mitarbeiter!$A$6:$A$205,0)),0))</f>
        <v/>
      </c>
      <c r="L559" s="49">
        <f>IF(OR(A559="",D559=""),0,MAX(0,NETWORKDAYS(MAX(D559,DATE(Einstellungen!$C$3,1,1)),MIN(J559,DATE(Einstellungen!$C$3,2,0)),Einstellungen!$F$13:$F$32)))</f>
        <v/>
      </c>
      <c r="M559" s="49">
        <f>IF(OR(A559="",D559=""),0,MAX(0,NETWORKDAYS(MAX(D559,DATE(Einstellungen!$C$3,2,1)),MIN(J559,DATE(Einstellungen!$C$3,3,0)),Einstellungen!$F$13:$F$32)))</f>
        <v/>
      </c>
      <c r="N559" s="49">
        <f>IF(OR(A559="",D559=""),0,MAX(0,NETWORKDAYS(MAX(D559,DATE(Einstellungen!$C$3,3,1)),MIN(J559,DATE(Einstellungen!$C$3,4,0)),Einstellungen!$F$13:$F$32)))</f>
        <v/>
      </c>
      <c r="O559" s="49">
        <f>IF(OR(A559="",D559=""),0,MAX(0,NETWORKDAYS(MAX(D559,DATE(Einstellungen!$C$3,4,1)),MIN(J559,DATE(Einstellungen!$C$3,5,0)),Einstellungen!$F$13:$F$32)))</f>
        <v/>
      </c>
      <c r="P559" s="49">
        <f>IF(OR(A559="",D559=""),0,MAX(0,NETWORKDAYS(MAX(D559,DATE(Einstellungen!$C$3,5,1)),MIN(J559,DATE(Einstellungen!$C$3,6,0)),Einstellungen!$F$13:$F$32)))</f>
        <v/>
      </c>
      <c r="Q559" s="49">
        <f>IF(OR(A559="",D559=""),0,MAX(0,NETWORKDAYS(MAX(D559,DATE(Einstellungen!$C$3,6,1)),MIN(J559,DATE(Einstellungen!$C$3,7,0)),Einstellungen!$F$13:$F$32)))</f>
        <v/>
      </c>
      <c r="R559" s="49">
        <f>IF(OR(A559="",D559=""),0,MAX(0,NETWORKDAYS(MAX(D559,DATE(Einstellungen!$C$3,7,1)),MIN(J559,DATE(Einstellungen!$C$3,8,0)),Einstellungen!$F$13:$F$32)))</f>
        <v/>
      </c>
      <c r="S559" s="49">
        <f>IF(OR(A559="",D559=""),0,MAX(0,NETWORKDAYS(MAX(D559,DATE(Einstellungen!$C$3,8,1)),MIN(J559,DATE(Einstellungen!$C$3,9,0)),Einstellungen!$F$13:$F$32)))</f>
        <v/>
      </c>
      <c r="T559" s="49">
        <f>IF(OR(A559="",D559=""),0,MAX(0,NETWORKDAYS(MAX(D559,DATE(Einstellungen!$C$3,9,1)),MIN(J559,DATE(Einstellungen!$C$3,10,0)),Einstellungen!$F$13:$F$32)))</f>
        <v/>
      </c>
      <c r="U559" s="49">
        <f>IF(OR(A559="",D559=""),0,MAX(0,NETWORKDAYS(MAX(D559,DATE(Einstellungen!$C$3,10,1)),MIN(J559,DATE(Einstellungen!$C$3,11,0)),Einstellungen!$F$13:$F$32)))</f>
        <v/>
      </c>
      <c r="V559" s="49">
        <f>IF(OR(A559="",D559=""),0,MAX(0,NETWORKDAYS(MAX(D559,DATE(Einstellungen!$C$3,11,1)),MIN(J559,DATE(Einstellungen!$C$3,12,0)),Einstellungen!$F$13:$F$32)))</f>
        <v/>
      </c>
      <c r="W559" s="49">
        <f>IF(OR(A559="",D559=""),0,MAX(0,NETWORKDAYS(MAX(D559,DATE(Einstellungen!$C$3,12,1)),MIN(J559,DATE(Einstellungen!$C$3,13,0)),Einstellungen!$F$13:$F$32)))</f>
        <v/>
      </c>
      <c r="X559" s="50">
        <f>L559*K559</f>
        <v/>
      </c>
      <c r="Y559" s="50">
        <f>M559*K559</f>
        <v/>
      </c>
      <c r="Z559" s="50">
        <f>N559*K559</f>
        <v/>
      </c>
      <c r="AA559" s="50">
        <f>O559*K559</f>
        <v/>
      </c>
      <c r="AB559" s="50">
        <f>P559*K559</f>
        <v/>
      </c>
      <c r="AC559" s="50">
        <f>Q559*K559</f>
        <v/>
      </c>
      <c r="AD559" s="50">
        <f>R559*K559</f>
        <v/>
      </c>
      <c r="AE559" s="50">
        <f>S559*K559</f>
        <v/>
      </c>
      <c r="AF559" s="50">
        <f>T559*K559</f>
        <v/>
      </c>
      <c r="AG559" s="50">
        <f>U559*K559</f>
        <v/>
      </c>
      <c r="AH559" s="50">
        <f>V559*K559</f>
        <v/>
      </c>
      <c r="AI559" s="50">
        <f>W559*K559</f>
        <v/>
      </c>
    </row>
    <row r="560">
      <c r="A560" s="25" t="n"/>
      <c r="B560" s="45">
        <f>IF(A560="","",IFERROR(INDEX(Mitarbeiter!$B$6:$B$205,MATCH($A560,Mitarbeiter!$A$6:$A$205,0)),"?"))</f>
        <v/>
      </c>
      <c r="C560" s="46" t="n"/>
      <c r="D560" s="26" t="n"/>
      <c r="E560" s="26" t="n"/>
      <c r="F560" s="24">
        <f>IF(A560="","",SUM(L560:W560))</f>
        <v/>
      </c>
      <c r="G560" s="36">
        <f>IF(A560="","",SUM(X560:AI560))</f>
        <v/>
      </c>
      <c r="H560" s="8">
        <f>IF(A560="","",IF(ISNA(MATCH(A560,Mitarbeiter!$A$6:$A$205,0)),"Pers.-Nr. unbekannt",IF(D560="","Von fehlt",IF(AND(C560&lt;&gt;Einstellungen!$C$4,C560&lt;&gt;Einstellungen!$C$5),"Objekt fehlt",IF(J560&lt;D560,"Bis vor Von",IF(D560&lt;INDEX(Mitarbeiter!$C$6:$C$205,MATCH($A560,Mitarbeiter!$A$6:$A$205,0)),"vor Eintritt",IF(AND(INDEX(Mitarbeiter!$D$6:$D$205,MATCH($A560,Mitarbeiter!$A$6:$A$205,0))&lt;&gt;"",D560&gt;INDEX(Mitarbeiter!$D$6:$D$205,MATCH($A560,Mitarbeiter!$A$6:$A$205,0))),"nach Austritt",IF(E560="","offen","ok"))))))))</f>
        <v/>
      </c>
      <c r="J560" s="47">
        <f>IF(A560="","",IF(E560="",Einstellungen!$C$9,E560))</f>
        <v/>
      </c>
      <c r="K560" s="48">
        <f>IF(A560="",0,IFERROR(INDEX(Mitarbeiter!$F$6:$F$205,MATCH($A560,Mitarbeiter!$A$6:$A$205,0)),0))</f>
        <v/>
      </c>
      <c r="L560" s="49">
        <f>IF(OR(A560="",D560=""),0,MAX(0,NETWORKDAYS(MAX(D560,DATE(Einstellungen!$C$3,1,1)),MIN(J560,DATE(Einstellungen!$C$3,2,0)),Einstellungen!$F$13:$F$32)))</f>
        <v/>
      </c>
      <c r="M560" s="49">
        <f>IF(OR(A560="",D560=""),0,MAX(0,NETWORKDAYS(MAX(D560,DATE(Einstellungen!$C$3,2,1)),MIN(J560,DATE(Einstellungen!$C$3,3,0)),Einstellungen!$F$13:$F$32)))</f>
        <v/>
      </c>
      <c r="N560" s="49">
        <f>IF(OR(A560="",D560=""),0,MAX(0,NETWORKDAYS(MAX(D560,DATE(Einstellungen!$C$3,3,1)),MIN(J560,DATE(Einstellungen!$C$3,4,0)),Einstellungen!$F$13:$F$32)))</f>
        <v/>
      </c>
      <c r="O560" s="49">
        <f>IF(OR(A560="",D560=""),0,MAX(0,NETWORKDAYS(MAX(D560,DATE(Einstellungen!$C$3,4,1)),MIN(J560,DATE(Einstellungen!$C$3,5,0)),Einstellungen!$F$13:$F$32)))</f>
        <v/>
      </c>
      <c r="P560" s="49">
        <f>IF(OR(A560="",D560=""),0,MAX(0,NETWORKDAYS(MAX(D560,DATE(Einstellungen!$C$3,5,1)),MIN(J560,DATE(Einstellungen!$C$3,6,0)),Einstellungen!$F$13:$F$32)))</f>
        <v/>
      </c>
      <c r="Q560" s="49">
        <f>IF(OR(A560="",D560=""),0,MAX(0,NETWORKDAYS(MAX(D560,DATE(Einstellungen!$C$3,6,1)),MIN(J560,DATE(Einstellungen!$C$3,7,0)),Einstellungen!$F$13:$F$32)))</f>
        <v/>
      </c>
      <c r="R560" s="49">
        <f>IF(OR(A560="",D560=""),0,MAX(0,NETWORKDAYS(MAX(D560,DATE(Einstellungen!$C$3,7,1)),MIN(J560,DATE(Einstellungen!$C$3,8,0)),Einstellungen!$F$13:$F$32)))</f>
        <v/>
      </c>
      <c r="S560" s="49">
        <f>IF(OR(A560="",D560=""),0,MAX(0,NETWORKDAYS(MAX(D560,DATE(Einstellungen!$C$3,8,1)),MIN(J560,DATE(Einstellungen!$C$3,9,0)),Einstellungen!$F$13:$F$32)))</f>
        <v/>
      </c>
      <c r="T560" s="49">
        <f>IF(OR(A560="",D560=""),0,MAX(0,NETWORKDAYS(MAX(D560,DATE(Einstellungen!$C$3,9,1)),MIN(J560,DATE(Einstellungen!$C$3,10,0)),Einstellungen!$F$13:$F$32)))</f>
        <v/>
      </c>
      <c r="U560" s="49">
        <f>IF(OR(A560="",D560=""),0,MAX(0,NETWORKDAYS(MAX(D560,DATE(Einstellungen!$C$3,10,1)),MIN(J560,DATE(Einstellungen!$C$3,11,0)),Einstellungen!$F$13:$F$32)))</f>
        <v/>
      </c>
      <c r="V560" s="49">
        <f>IF(OR(A560="",D560=""),0,MAX(0,NETWORKDAYS(MAX(D560,DATE(Einstellungen!$C$3,11,1)),MIN(J560,DATE(Einstellungen!$C$3,12,0)),Einstellungen!$F$13:$F$32)))</f>
        <v/>
      </c>
      <c r="W560" s="49">
        <f>IF(OR(A560="",D560=""),0,MAX(0,NETWORKDAYS(MAX(D560,DATE(Einstellungen!$C$3,12,1)),MIN(J560,DATE(Einstellungen!$C$3,13,0)),Einstellungen!$F$13:$F$32)))</f>
        <v/>
      </c>
      <c r="X560" s="50">
        <f>L560*K560</f>
        <v/>
      </c>
      <c r="Y560" s="50">
        <f>M560*K560</f>
        <v/>
      </c>
      <c r="Z560" s="50">
        <f>N560*K560</f>
        <v/>
      </c>
      <c r="AA560" s="50">
        <f>O560*K560</f>
        <v/>
      </c>
      <c r="AB560" s="50">
        <f>P560*K560</f>
        <v/>
      </c>
      <c r="AC560" s="50">
        <f>Q560*K560</f>
        <v/>
      </c>
      <c r="AD560" s="50">
        <f>R560*K560</f>
        <v/>
      </c>
      <c r="AE560" s="50">
        <f>S560*K560</f>
        <v/>
      </c>
      <c r="AF560" s="50">
        <f>T560*K560</f>
        <v/>
      </c>
      <c r="AG560" s="50">
        <f>U560*K560</f>
        <v/>
      </c>
      <c r="AH560" s="50">
        <f>V560*K560</f>
        <v/>
      </c>
      <c r="AI560" s="50">
        <f>W560*K560</f>
        <v/>
      </c>
    </row>
    <row r="561">
      <c r="A561" s="25" t="n"/>
      <c r="B561" s="45">
        <f>IF(A561="","",IFERROR(INDEX(Mitarbeiter!$B$6:$B$205,MATCH($A561,Mitarbeiter!$A$6:$A$205,0)),"?"))</f>
        <v/>
      </c>
      <c r="C561" s="46" t="n"/>
      <c r="D561" s="26" t="n"/>
      <c r="E561" s="26" t="n"/>
      <c r="F561" s="24">
        <f>IF(A561="","",SUM(L561:W561))</f>
        <v/>
      </c>
      <c r="G561" s="36">
        <f>IF(A561="","",SUM(X561:AI561))</f>
        <v/>
      </c>
      <c r="H561" s="8">
        <f>IF(A561="","",IF(ISNA(MATCH(A561,Mitarbeiter!$A$6:$A$205,0)),"Pers.-Nr. unbekannt",IF(D561="","Von fehlt",IF(AND(C561&lt;&gt;Einstellungen!$C$4,C561&lt;&gt;Einstellungen!$C$5),"Objekt fehlt",IF(J561&lt;D561,"Bis vor Von",IF(D561&lt;INDEX(Mitarbeiter!$C$6:$C$205,MATCH($A561,Mitarbeiter!$A$6:$A$205,0)),"vor Eintritt",IF(AND(INDEX(Mitarbeiter!$D$6:$D$205,MATCH($A561,Mitarbeiter!$A$6:$A$205,0))&lt;&gt;"",D561&gt;INDEX(Mitarbeiter!$D$6:$D$205,MATCH($A561,Mitarbeiter!$A$6:$A$205,0))),"nach Austritt",IF(E561="","offen","ok"))))))))</f>
        <v/>
      </c>
      <c r="J561" s="47">
        <f>IF(A561="","",IF(E561="",Einstellungen!$C$9,E561))</f>
        <v/>
      </c>
      <c r="K561" s="48">
        <f>IF(A561="",0,IFERROR(INDEX(Mitarbeiter!$F$6:$F$205,MATCH($A561,Mitarbeiter!$A$6:$A$205,0)),0))</f>
        <v/>
      </c>
      <c r="L561" s="49">
        <f>IF(OR(A561="",D561=""),0,MAX(0,NETWORKDAYS(MAX(D561,DATE(Einstellungen!$C$3,1,1)),MIN(J561,DATE(Einstellungen!$C$3,2,0)),Einstellungen!$F$13:$F$32)))</f>
        <v/>
      </c>
      <c r="M561" s="49">
        <f>IF(OR(A561="",D561=""),0,MAX(0,NETWORKDAYS(MAX(D561,DATE(Einstellungen!$C$3,2,1)),MIN(J561,DATE(Einstellungen!$C$3,3,0)),Einstellungen!$F$13:$F$32)))</f>
        <v/>
      </c>
      <c r="N561" s="49">
        <f>IF(OR(A561="",D561=""),0,MAX(0,NETWORKDAYS(MAX(D561,DATE(Einstellungen!$C$3,3,1)),MIN(J561,DATE(Einstellungen!$C$3,4,0)),Einstellungen!$F$13:$F$32)))</f>
        <v/>
      </c>
      <c r="O561" s="49">
        <f>IF(OR(A561="",D561=""),0,MAX(0,NETWORKDAYS(MAX(D561,DATE(Einstellungen!$C$3,4,1)),MIN(J561,DATE(Einstellungen!$C$3,5,0)),Einstellungen!$F$13:$F$32)))</f>
        <v/>
      </c>
      <c r="P561" s="49">
        <f>IF(OR(A561="",D561=""),0,MAX(0,NETWORKDAYS(MAX(D561,DATE(Einstellungen!$C$3,5,1)),MIN(J561,DATE(Einstellungen!$C$3,6,0)),Einstellungen!$F$13:$F$32)))</f>
        <v/>
      </c>
      <c r="Q561" s="49">
        <f>IF(OR(A561="",D561=""),0,MAX(0,NETWORKDAYS(MAX(D561,DATE(Einstellungen!$C$3,6,1)),MIN(J561,DATE(Einstellungen!$C$3,7,0)),Einstellungen!$F$13:$F$32)))</f>
        <v/>
      </c>
      <c r="R561" s="49">
        <f>IF(OR(A561="",D561=""),0,MAX(0,NETWORKDAYS(MAX(D561,DATE(Einstellungen!$C$3,7,1)),MIN(J561,DATE(Einstellungen!$C$3,8,0)),Einstellungen!$F$13:$F$32)))</f>
        <v/>
      </c>
      <c r="S561" s="49">
        <f>IF(OR(A561="",D561=""),0,MAX(0,NETWORKDAYS(MAX(D561,DATE(Einstellungen!$C$3,8,1)),MIN(J561,DATE(Einstellungen!$C$3,9,0)),Einstellungen!$F$13:$F$32)))</f>
        <v/>
      </c>
      <c r="T561" s="49">
        <f>IF(OR(A561="",D561=""),0,MAX(0,NETWORKDAYS(MAX(D561,DATE(Einstellungen!$C$3,9,1)),MIN(J561,DATE(Einstellungen!$C$3,10,0)),Einstellungen!$F$13:$F$32)))</f>
        <v/>
      </c>
      <c r="U561" s="49">
        <f>IF(OR(A561="",D561=""),0,MAX(0,NETWORKDAYS(MAX(D561,DATE(Einstellungen!$C$3,10,1)),MIN(J561,DATE(Einstellungen!$C$3,11,0)),Einstellungen!$F$13:$F$32)))</f>
        <v/>
      </c>
      <c r="V561" s="49">
        <f>IF(OR(A561="",D561=""),0,MAX(0,NETWORKDAYS(MAX(D561,DATE(Einstellungen!$C$3,11,1)),MIN(J561,DATE(Einstellungen!$C$3,12,0)),Einstellungen!$F$13:$F$32)))</f>
        <v/>
      </c>
      <c r="W561" s="49">
        <f>IF(OR(A561="",D561=""),0,MAX(0,NETWORKDAYS(MAX(D561,DATE(Einstellungen!$C$3,12,1)),MIN(J561,DATE(Einstellungen!$C$3,13,0)),Einstellungen!$F$13:$F$32)))</f>
        <v/>
      </c>
      <c r="X561" s="50">
        <f>L561*K561</f>
        <v/>
      </c>
      <c r="Y561" s="50">
        <f>M561*K561</f>
        <v/>
      </c>
      <c r="Z561" s="50">
        <f>N561*K561</f>
        <v/>
      </c>
      <c r="AA561" s="50">
        <f>O561*K561</f>
        <v/>
      </c>
      <c r="AB561" s="50">
        <f>P561*K561</f>
        <v/>
      </c>
      <c r="AC561" s="50">
        <f>Q561*K561</f>
        <v/>
      </c>
      <c r="AD561" s="50">
        <f>R561*K561</f>
        <v/>
      </c>
      <c r="AE561" s="50">
        <f>S561*K561</f>
        <v/>
      </c>
      <c r="AF561" s="50">
        <f>T561*K561</f>
        <v/>
      </c>
      <c r="AG561" s="50">
        <f>U561*K561</f>
        <v/>
      </c>
      <c r="AH561" s="50">
        <f>V561*K561</f>
        <v/>
      </c>
      <c r="AI561" s="50">
        <f>W561*K561</f>
        <v/>
      </c>
    </row>
    <row r="562">
      <c r="A562" s="25" t="n"/>
      <c r="B562" s="45">
        <f>IF(A562="","",IFERROR(INDEX(Mitarbeiter!$B$6:$B$205,MATCH($A562,Mitarbeiter!$A$6:$A$205,0)),"?"))</f>
        <v/>
      </c>
      <c r="C562" s="46" t="n"/>
      <c r="D562" s="26" t="n"/>
      <c r="E562" s="26" t="n"/>
      <c r="F562" s="24">
        <f>IF(A562="","",SUM(L562:W562))</f>
        <v/>
      </c>
      <c r="G562" s="36">
        <f>IF(A562="","",SUM(X562:AI562))</f>
        <v/>
      </c>
      <c r="H562" s="8">
        <f>IF(A562="","",IF(ISNA(MATCH(A562,Mitarbeiter!$A$6:$A$205,0)),"Pers.-Nr. unbekannt",IF(D562="","Von fehlt",IF(AND(C562&lt;&gt;Einstellungen!$C$4,C562&lt;&gt;Einstellungen!$C$5),"Objekt fehlt",IF(J562&lt;D562,"Bis vor Von",IF(D562&lt;INDEX(Mitarbeiter!$C$6:$C$205,MATCH($A562,Mitarbeiter!$A$6:$A$205,0)),"vor Eintritt",IF(AND(INDEX(Mitarbeiter!$D$6:$D$205,MATCH($A562,Mitarbeiter!$A$6:$A$205,0))&lt;&gt;"",D562&gt;INDEX(Mitarbeiter!$D$6:$D$205,MATCH($A562,Mitarbeiter!$A$6:$A$205,0))),"nach Austritt",IF(E562="","offen","ok"))))))))</f>
        <v/>
      </c>
      <c r="J562" s="47">
        <f>IF(A562="","",IF(E562="",Einstellungen!$C$9,E562))</f>
        <v/>
      </c>
      <c r="K562" s="48">
        <f>IF(A562="",0,IFERROR(INDEX(Mitarbeiter!$F$6:$F$205,MATCH($A562,Mitarbeiter!$A$6:$A$205,0)),0))</f>
        <v/>
      </c>
      <c r="L562" s="49">
        <f>IF(OR(A562="",D562=""),0,MAX(0,NETWORKDAYS(MAX(D562,DATE(Einstellungen!$C$3,1,1)),MIN(J562,DATE(Einstellungen!$C$3,2,0)),Einstellungen!$F$13:$F$32)))</f>
        <v/>
      </c>
      <c r="M562" s="49">
        <f>IF(OR(A562="",D562=""),0,MAX(0,NETWORKDAYS(MAX(D562,DATE(Einstellungen!$C$3,2,1)),MIN(J562,DATE(Einstellungen!$C$3,3,0)),Einstellungen!$F$13:$F$32)))</f>
        <v/>
      </c>
      <c r="N562" s="49">
        <f>IF(OR(A562="",D562=""),0,MAX(0,NETWORKDAYS(MAX(D562,DATE(Einstellungen!$C$3,3,1)),MIN(J562,DATE(Einstellungen!$C$3,4,0)),Einstellungen!$F$13:$F$32)))</f>
        <v/>
      </c>
      <c r="O562" s="49">
        <f>IF(OR(A562="",D562=""),0,MAX(0,NETWORKDAYS(MAX(D562,DATE(Einstellungen!$C$3,4,1)),MIN(J562,DATE(Einstellungen!$C$3,5,0)),Einstellungen!$F$13:$F$32)))</f>
        <v/>
      </c>
      <c r="P562" s="49">
        <f>IF(OR(A562="",D562=""),0,MAX(0,NETWORKDAYS(MAX(D562,DATE(Einstellungen!$C$3,5,1)),MIN(J562,DATE(Einstellungen!$C$3,6,0)),Einstellungen!$F$13:$F$32)))</f>
        <v/>
      </c>
      <c r="Q562" s="49">
        <f>IF(OR(A562="",D562=""),0,MAX(0,NETWORKDAYS(MAX(D562,DATE(Einstellungen!$C$3,6,1)),MIN(J562,DATE(Einstellungen!$C$3,7,0)),Einstellungen!$F$13:$F$32)))</f>
        <v/>
      </c>
      <c r="R562" s="49">
        <f>IF(OR(A562="",D562=""),0,MAX(0,NETWORKDAYS(MAX(D562,DATE(Einstellungen!$C$3,7,1)),MIN(J562,DATE(Einstellungen!$C$3,8,0)),Einstellungen!$F$13:$F$32)))</f>
        <v/>
      </c>
      <c r="S562" s="49">
        <f>IF(OR(A562="",D562=""),0,MAX(0,NETWORKDAYS(MAX(D562,DATE(Einstellungen!$C$3,8,1)),MIN(J562,DATE(Einstellungen!$C$3,9,0)),Einstellungen!$F$13:$F$32)))</f>
        <v/>
      </c>
      <c r="T562" s="49">
        <f>IF(OR(A562="",D562=""),0,MAX(0,NETWORKDAYS(MAX(D562,DATE(Einstellungen!$C$3,9,1)),MIN(J562,DATE(Einstellungen!$C$3,10,0)),Einstellungen!$F$13:$F$32)))</f>
        <v/>
      </c>
      <c r="U562" s="49">
        <f>IF(OR(A562="",D562=""),0,MAX(0,NETWORKDAYS(MAX(D562,DATE(Einstellungen!$C$3,10,1)),MIN(J562,DATE(Einstellungen!$C$3,11,0)),Einstellungen!$F$13:$F$32)))</f>
        <v/>
      </c>
      <c r="V562" s="49">
        <f>IF(OR(A562="",D562=""),0,MAX(0,NETWORKDAYS(MAX(D562,DATE(Einstellungen!$C$3,11,1)),MIN(J562,DATE(Einstellungen!$C$3,12,0)),Einstellungen!$F$13:$F$32)))</f>
        <v/>
      </c>
      <c r="W562" s="49">
        <f>IF(OR(A562="",D562=""),0,MAX(0,NETWORKDAYS(MAX(D562,DATE(Einstellungen!$C$3,12,1)),MIN(J562,DATE(Einstellungen!$C$3,13,0)),Einstellungen!$F$13:$F$32)))</f>
        <v/>
      </c>
      <c r="X562" s="50">
        <f>L562*K562</f>
        <v/>
      </c>
      <c r="Y562" s="50">
        <f>M562*K562</f>
        <v/>
      </c>
      <c r="Z562" s="50">
        <f>N562*K562</f>
        <v/>
      </c>
      <c r="AA562" s="50">
        <f>O562*K562</f>
        <v/>
      </c>
      <c r="AB562" s="50">
        <f>P562*K562</f>
        <v/>
      </c>
      <c r="AC562" s="50">
        <f>Q562*K562</f>
        <v/>
      </c>
      <c r="AD562" s="50">
        <f>R562*K562</f>
        <v/>
      </c>
      <c r="AE562" s="50">
        <f>S562*K562</f>
        <v/>
      </c>
      <c r="AF562" s="50">
        <f>T562*K562</f>
        <v/>
      </c>
      <c r="AG562" s="50">
        <f>U562*K562</f>
        <v/>
      </c>
      <c r="AH562" s="50">
        <f>V562*K562</f>
        <v/>
      </c>
      <c r="AI562" s="50">
        <f>W562*K562</f>
        <v/>
      </c>
    </row>
    <row r="563">
      <c r="A563" s="25" t="n"/>
      <c r="B563" s="45">
        <f>IF(A563="","",IFERROR(INDEX(Mitarbeiter!$B$6:$B$205,MATCH($A563,Mitarbeiter!$A$6:$A$205,0)),"?"))</f>
        <v/>
      </c>
      <c r="C563" s="46" t="n"/>
      <c r="D563" s="26" t="n"/>
      <c r="E563" s="26" t="n"/>
      <c r="F563" s="24">
        <f>IF(A563="","",SUM(L563:W563))</f>
        <v/>
      </c>
      <c r="G563" s="36">
        <f>IF(A563="","",SUM(X563:AI563))</f>
        <v/>
      </c>
      <c r="H563" s="8">
        <f>IF(A563="","",IF(ISNA(MATCH(A563,Mitarbeiter!$A$6:$A$205,0)),"Pers.-Nr. unbekannt",IF(D563="","Von fehlt",IF(AND(C563&lt;&gt;Einstellungen!$C$4,C563&lt;&gt;Einstellungen!$C$5),"Objekt fehlt",IF(J563&lt;D563,"Bis vor Von",IF(D563&lt;INDEX(Mitarbeiter!$C$6:$C$205,MATCH($A563,Mitarbeiter!$A$6:$A$205,0)),"vor Eintritt",IF(AND(INDEX(Mitarbeiter!$D$6:$D$205,MATCH($A563,Mitarbeiter!$A$6:$A$205,0))&lt;&gt;"",D563&gt;INDEX(Mitarbeiter!$D$6:$D$205,MATCH($A563,Mitarbeiter!$A$6:$A$205,0))),"nach Austritt",IF(E563="","offen","ok"))))))))</f>
        <v/>
      </c>
      <c r="J563" s="47">
        <f>IF(A563="","",IF(E563="",Einstellungen!$C$9,E563))</f>
        <v/>
      </c>
      <c r="K563" s="48">
        <f>IF(A563="",0,IFERROR(INDEX(Mitarbeiter!$F$6:$F$205,MATCH($A563,Mitarbeiter!$A$6:$A$205,0)),0))</f>
        <v/>
      </c>
      <c r="L563" s="49">
        <f>IF(OR(A563="",D563=""),0,MAX(0,NETWORKDAYS(MAX(D563,DATE(Einstellungen!$C$3,1,1)),MIN(J563,DATE(Einstellungen!$C$3,2,0)),Einstellungen!$F$13:$F$32)))</f>
        <v/>
      </c>
      <c r="M563" s="49">
        <f>IF(OR(A563="",D563=""),0,MAX(0,NETWORKDAYS(MAX(D563,DATE(Einstellungen!$C$3,2,1)),MIN(J563,DATE(Einstellungen!$C$3,3,0)),Einstellungen!$F$13:$F$32)))</f>
        <v/>
      </c>
      <c r="N563" s="49">
        <f>IF(OR(A563="",D563=""),0,MAX(0,NETWORKDAYS(MAX(D563,DATE(Einstellungen!$C$3,3,1)),MIN(J563,DATE(Einstellungen!$C$3,4,0)),Einstellungen!$F$13:$F$32)))</f>
        <v/>
      </c>
      <c r="O563" s="49">
        <f>IF(OR(A563="",D563=""),0,MAX(0,NETWORKDAYS(MAX(D563,DATE(Einstellungen!$C$3,4,1)),MIN(J563,DATE(Einstellungen!$C$3,5,0)),Einstellungen!$F$13:$F$32)))</f>
        <v/>
      </c>
      <c r="P563" s="49">
        <f>IF(OR(A563="",D563=""),0,MAX(0,NETWORKDAYS(MAX(D563,DATE(Einstellungen!$C$3,5,1)),MIN(J563,DATE(Einstellungen!$C$3,6,0)),Einstellungen!$F$13:$F$32)))</f>
        <v/>
      </c>
      <c r="Q563" s="49">
        <f>IF(OR(A563="",D563=""),0,MAX(0,NETWORKDAYS(MAX(D563,DATE(Einstellungen!$C$3,6,1)),MIN(J563,DATE(Einstellungen!$C$3,7,0)),Einstellungen!$F$13:$F$32)))</f>
        <v/>
      </c>
      <c r="R563" s="49">
        <f>IF(OR(A563="",D563=""),0,MAX(0,NETWORKDAYS(MAX(D563,DATE(Einstellungen!$C$3,7,1)),MIN(J563,DATE(Einstellungen!$C$3,8,0)),Einstellungen!$F$13:$F$32)))</f>
        <v/>
      </c>
      <c r="S563" s="49">
        <f>IF(OR(A563="",D563=""),0,MAX(0,NETWORKDAYS(MAX(D563,DATE(Einstellungen!$C$3,8,1)),MIN(J563,DATE(Einstellungen!$C$3,9,0)),Einstellungen!$F$13:$F$32)))</f>
        <v/>
      </c>
      <c r="T563" s="49">
        <f>IF(OR(A563="",D563=""),0,MAX(0,NETWORKDAYS(MAX(D563,DATE(Einstellungen!$C$3,9,1)),MIN(J563,DATE(Einstellungen!$C$3,10,0)),Einstellungen!$F$13:$F$32)))</f>
        <v/>
      </c>
      <c r="U563" s="49">
        <f>IF(OR(A563="",D563=""),0,MAX(0,NETWORKDAYS(MAX(D563,DATE(Einstellungen!$C$3,10,1)),MIN(J563,DATE(Einstellungen!$C$3,11,0)),Einstellungen!$F$13:$F$32)))</f>
        <v/>
      </c>
      <c r="V563" s="49">
        <f>IF(OR(A563="",D563=""),0,MAX(0,NETWORKDAYS(MAX(D563,DATE(Einstellungen!$C$3,11,1)),MIN(J563,DATE(Einstellungen!$C$3,12,0)),Einstellungen!$F$13:$F$32)))</f>
        <v/>
      </c>
      <c r="W563" s="49">
        <f>IF(OR(A563="",D563=""),0,MAX(0,NETWORKDAYS(MAX(D563,DATE(Einstellungen!$C$3,12,1)),MIN(J563,DATE(Einstellungen!$C$3,13,0)),Einstellungen!$F$13:$F$32)))</f>
        <v/>
      </c>
      <c r="X563" s="50">
        <f>L563*K563</f>
        <v/>
      </c>
      <c r="Y563" s="50">
        <f>M563*K563</f>
        <v/>
      </c>
      <c r="Z563" s="50">
        <f>N563*K563</f>
        <v/>
      </c>
      <c r="AA563" s="50">
        <f>O563*K563</f>
        <v/>
      </c>
      <c r="AB563" s="50">
        <f>P563*K563</f>
        <v/>
      </c>
      <c r="AC563" s="50">
        <f>Q563*K563</f>
        <v/>
      </c>
      <c r="AD563" s="50">
        <f>R563*K563</f>
        <v/>
      </c>
      <c r="AE563" s="50">
        <f>S563*K563</f>
        <v/>
      </c>
      <c r="AF563" s="50">
        <f>T563*K563</f>
        <v/>
      </c>
      <c r="AG563" s="50">
        <f>U563*K563</f>
        <v/>
      </c>
      <c r="AH563" s="50">
        <f>V563*K563</f>
        <v/>
      </c>
      <c r="AI563" s="50">
        <f>W563*K563</f>
        <v/>
      </c>
    </row>
    <row r="564">
      <c r="A564" s="25" t="n"/>
      <c r="B564" s="45">
        <f>IF(A564="","",IFERROR(INDEX(Mitarbeiter!$B$6:$B$205,MATCH($A564,Mitarbeiter!$A$6:$A$205,0)),"?"))</f>
        <v/>
      </c>
      <c r="C564" s="46" t="n"/>
      <c r="D564" s="26" t="n"/>
      <c r="E564" s="26" t="n"/>
      <c r="F564" s="24">
        <f>IF(A564="","",SUM(L564:W564))</f>
        <v/>
      </c>
      <c r="G564" s="36">
        <f>IF(A564="","",SUM(X564:AI564))</f>
        <v/>
      </c>
      <c r="H564" s="8">
        <f>IF(A564="","",IF(ISNA(MATCH(A564,Mitarbeiter!$A$6:$A$205,0)),"Pers.-Nr. unbekannt",IF(D564="","Von fehlt",IF(AND(C564&lt;&gt;Einstellungen!$C$4,C564&lt;&gt;Einstellungen!$C$5),"Objekt fehlt",IF(J564&lt;D564,"Bis vor Von",IF(D564&lt;INDEX(Mitarbeiter!$C$6:$C$205,MATCH($A564,Mitarbeiter!$A$6:$A$205,0)),"vor Eintritt",IF(AND(INDEX(Mitarbeiter!$D$6:$D$205,MATCH($A564,Mitarbeiter!$A$6:$A$205,0))&lt;&gt;"",D564&gt;INDEX(Mitarbeiter!$D$6:$D$205,MATCH($A564,Mitarbeiter!$A$6:$A$205,0))),"nach Austritt",IF(E564="","offen","ok"))))))))</f>
        <v/>
      </c>
      <c r="J564" s="47">
        <f>IF(A564="","",IF(E564="",Einstellungen!$C$9,E564))</f>
        <v/>
      </c>
      <c r="K564" s="48">
        <f>IF(A564="",0,IFERROR(INDEX(Mitarbeiter!$F$6:$F$205,MATCH($A564,Mitarbeiter!$A$6:$A$205,0)),0))</f>
        <v/>
      </c>
      <c r="L564" s="49">
        <f>IF(OR(A564="",D564=""),0,MAX(0,NETWORKDAYS(MAX(D564,DATE(Einstellungen!$C$3,1,1)),MIN(J564,DATE(Einstellungen!$C$3,2,0)),Einstellungen!$F$13:$F$32)))</f>
        <v/>
      </c>
      <c r="M564" s="49">
        <f>IF(OR(A564="",D564=""),0,MAX(0,NETWORKDAYS(MAX(D564,DATE(Einstellungen!$C$3,2,1)),MIN(J564,DATE(Einstellungen!$C$3,3,0)),Einstellungen!$F$13:$F$32)))</f>
        <v/>
      </c>
      <c r="N564" s="49">
        <f>IF(OR(A564="",D564=""),0,MAX(0,NETWORKDAYS(MAX(D564,DATE(Einstellungen!$C$3,3,1)),MIN(J564,DATE(Einstellungen!$C$3,4,0)),Einstellungen!$F$13:$F$32)))</f>
        <v/>
      </c>
      <c r="O564" s="49">
        <f>IF(OR(A564="",D564=""),0,MAX(0,NETWORKDAYS(MAX(D564,DATE(Einstellungen!$C$3,4,1)),MIN(J564,DATE(Einstellungen!$C$3,5,0)),Einstellungen!$F$13:$F$32)))</f>
        <v/>
      </c>
      <c r="P564" s="49">
        <f>IF(OR(A564="",D564=""),0,MAX(0,NETWORKDAYS(MAX(D564,DATE(Einstellungen!$C$3,5,1)),MIN(J564,DATE(Einstellungen!$C$3,6,0)),Einstellungen!$F$13:$F$32)))</f>
        <v/>
      </c>
      <c r="Q564" s="49">
        <f>IF(OR(A564="",D564=""),0,MAX(0,NETWORKDAYS(MAX(D564,DATE(Einstellungen!$C$3,6,1)),MIN(J564,DATE(Einstellungen!$C$3,7,0)),Einstellungen!$F$13:$F$32)))</f>
        <v/>
      </c>
      <c r="R564" s="49">
        <f>IF(OR(A564="",D564=""),0,MAX(0,NETWORKDAYS(MAX(D564,DATE(Einstellungen!$C$3,7,1)),MIN(J564,DATE(Einstellungen!$C$3,8,0)),Einstellungen!$F$13:$F$32)))</f>
        <v/>
      </c>
      <c r="S564" s="49">
        <f>IF(OR(A564="",D564=""),0,MAX(0,NETWORKDAYS(MAX(D564,DATE(Einstellungen!$C$3,8,1)),MIN(J564,DATE(Einstellungen!$C$3,9,0)),Einstellungen!$F$13:$F$32)))</f>
        <v/>
      </c>
      <c r="T564" s="49">
        <f>IF(OR(A564="",D564=""),0,MAX(0,NETWORKDAYS(MAX(D564,DATE(Einstellungen!$C$3,9,1)),MIN(J564,DATE(Einstellungen!$C$3,10,0)),Einstellungen!$F$13:$F$32)))</f>
        <v/>
      </c>
      <c r="U564" s="49">
        <f>IF(OR(A564="",D564=""),0,MAX(0,NETWORKDAYS(MAX(D564,DATE(Einstellungen!$C$3,10,1)),MIN(J564,DATE(Einstellungen!$C$3,11,0)),Einstellungen!$F$13:$F$32)))</f>
        <v/>
      </c>
      <c r="V564" s="49">
        <f>IF(OR(A564="",D564=""),0,MAX(0,NETWORKDAYS(MAX(D564,DATE(Einstellungen!$C$3,11,1)),MIN(J564,DATE(Einstellungen!$C$3,12,0)),Einstellungen!$F$13:$F$32)))</f>
        <v/>
      </c>
      <c r="W564" s="49">
        <f>IF(OR(A564="",D564=""),0,MAX(0,NETWORKDAYS(MAX(D564,DATE(Einstellungen!$C$3,12,1)),MIN(J564,DATE(Einstellungen!$C$3,13,0)),Einstellungen!$F$13:$F$32)))</f>
        <v/>
      </c>
      <c r="X564" s="50">
        <f>L564*K564</f>
        <v/>
      </c>
      <c r="Y564" s="50">
        <f>M564*K564</f>
        <v/>
      </c>
      <c r="Z564" s="50">
        <f>N564*K564</f>
        <v/>
      </c>
      <c r="AA564" s="50">
        <f>O564*K564</f>
        <v/>
      </c>
      <c r="AB564" s="50">
        <f>P564*K564</f>
        <v/>
      </c>
      <c r="AC564" s="50">
        <f>Q564*K564</f>
        <v/>
      </c>
      <c r="AD564" s="50">
        <f>R564*K564</f>
        <v/>
      </c>
      <c r="AE564" s="50">
        <f>S564*K564</f>
        <v/>
      </c>
      <c r="AF564" s="50">
        <f>T564*K564</f>
        <v/>
      </c>
      <c r="AG564" s="50">
        <f>U564*K564</f>
        <v/>
      </c>
      <c r="AH564" s="50">
        <f>V564*K564</f>
        <v/>
      </c>
      <c r="AI564" s="50">
        <f>W564*K564</f>
        <v/>
      </c>
    </row>
    <row r="565">
      <c r="A565" s="25" t="n"/>
      <c r="B565" s="45">
        <f>IF(A565="","",IFERROR(INDEX(Mitarbeiter!$B$6:$B$205,MATCH($A565,Mitarbeiter!$A$6:$A$205,0)),"?"))</f>
        <v/>
      </c>
      <c r="C565" s="46" t="n"/>
      <c r="D565" s="26" t="n"/>
      <c r="E565" s="26" t="n"/>
      <c r="F565" s="24">
        <f>IF(A565="","",SUM(L565:W565))</f>
        <v/>
      </c>
      <c r="G565" s="36">
        <f>IF(A565="","",SUM(X565:AI565))</f>
        <v/>
      </c>
      <c r="H565" s="8">
        <f>IF(A565="","",IF(ISNA(MATCH(A565,Mitarbeiter!$A$6:$A$205,0)),"Pers.-Nr. unbekannt",IF(D565="","Von fehlt",IF(AND(C565&lt;&gt;Einstellungen!$C$4,C565&lt;&gt;Einstellungen!$C$5),"Objekt fehlt",IF(J565&lt;D565,"Bis vor Von",IF(D565&lt;INDEX(Mitarbeiter!$C$6:$C$205,MATCH($A565,Mitarbeiter!$A$6:$A$205,0)),"vor Eintritt",IF(AND(INDEX(Mitarbeiter!$D$6:$D$205,MATCH($A565,Mitarbeiter!$A$6:$A$205,0))&lt;&gt;"",D565&gt;INDEX(Mitarbeiter!$D$6:$D$205,MATCH($A565,Mitarbeiter!$A$6:$A$205,0))),"nach Austritt",IF(E565="","offen","ok"))))))))</f>
        <v/>
      </c>
      <c r="J565" s="47">
        <f>IF(A565="","",IF(E565="",Einstellungen!$C$9,E565))</f>
        <v/>
      </c>
      <c r="K565" s="48">
        <f>IF(A565="",0,IFERROR(INDEX(Mitarbeiter!$F$6:$F$205,MATCH($A565,Mitarbeiter!$A$6:$A$205,0)),0))</f>
        <v/>
      </c>
      <c r="L565" s="49">
        <f>IF(OR(A565="",D565=""),0,MAX(0,NETWORKDAYS(MAX(D565,DATE(Einstellungen!$C$3,1,1)),MIN(J565,DATE(Einstellungen!$C$3,2,0)),Einstellungen!$F$13:$F$32)))</f>
        <v/>
      </c>
      <c r="M565" s="49">
        <f>IF(OR(A565="",D565=""),0,MAX(0,NETWORKDAYS(MAX(D565,DATE(Einstellungen!$C$3,2,1)),MIN(J565,DATE(Einstellungen!$C$3,3,0)),Einstellungen!$F$13:$F$32)))</f>
        <v/>
      </c>
      <c r="N565" s="49">
        <f>IF(OR(A565="",D565=""),0,MAX(0,NETWORKDAYS(MAX(D565,DATE(Einstellungen!$C$3,3,1)),MIN(J565,DATE(Einstellungen!$C$3,4,0)),Einstellungen!$F$13:$F$32)))</f>
        <v/>
      </c>
      <c r="O565" s="49">
        <f>IF(OR(A565="",D565=""),0,MAX(0,NETWORKDAYS(MAX(D565,DATE(Einstellungen!$C$3,4,1)),MIN(J565,DATE(Einstellungen!$C$3,5,0)),Einstellungen!$F$13:$F$32)))</f>
        <v/>
      </c>
      <c r="P565" s="49">
        <f>IF(OR(A565="",D565=""),0,MAX(0,NETWORKDAYS(MAX(D565,DATE(Einstellungen!$C$3,5,1)),MIN(J565,DATE(Einstellungen!$C$3,6,0)),Einstellungen!$F$13:$F$32)))</f>
        <v/>
      </c>
      <c r="Q565" s="49">
        <f>IF(OR(A565="",D565=""),0,MAX(0,NETWORKDAYS(MAX(D565,DATE(Einstellungen!$C$3,6,1)),MIN(J565,DATE(Einstellungen!$C$3,7,0)),Einstellungen!$F$13:$F$32)))</f>
        <v/>
      </c>
      <c r="R565" s="49">
        <f>IF(OR(A565="",D565=""),0,MAX(0,NETWORKDAYS(MAX(D565,DATE(Einstellungen!$C$3,7,1)),MIN(J565,DATE(Einstellungen!$C$3,8,0)),Einstellungen!$F$13:$F$32)))</f>
        <v/>
      </c>
      <c r="S565" s="49">
        <f>IF(OR(A565="",D565=""),0,MAX(0,NETWORKDAYS(MAX(D565,DATE(Einstellungen!$C$3,8,1)),MIN(J565,DATE(Einstellungen!$C$3,9,0)),Einstellungen!$F$13:$F$32)))</f>
        <v/>
      </c>
      <c r="T565" s="49">
        <f>IF(OR(A565="",D565=""),0,MAX(0,NETWORKDAYS(MAX(D565,DATE(Einstellungen!$C$3,9,1)),MIN(J565,DATE(Einstellungen!$C$3,10,0)),Einstellungen!$F$13:$F$32)))</f>
        <v/>
      </c>
      <c r="U565" s="49">
        <f>IF(OR(A565="",D565=""),0,MAX(0,NETWORKDAYS(MAX(D565,DATE(Einstellungen!$C$3,10,1)),MIN(J565,DATE(Einstellungen!$C$3,11,0)),Einstellungen!$F$13:$F$32)))</f>
        <v/>
      </c>
      <c r="V565" s="49">
        <f>IF(OR(A565="",D565=""),0,MAX(0,NETWORKDAYS(MAX(D565,DATE(Einstellungen!$C$3,11,1)),MIN(J565,DATE(Einstellungen!$C$3,12,0)),Einstellungen!$F$13:$F$32)))</f>
        <v/>
      </c>
      <c r="W565" s="49">
        <f>IF(OR(A565="",D565=""),0,MAX(0,NETWORKDAYS(MAX(D565,DATE(Einstellungen!$C$3,12,1)),MIN(J565,DATE(Einstellungen!$C$3,13,0)),Einstellungen!$F$13:$F$32)))</f>
        <v/>
      </c>
      <c r="X565" s="50">
        <f>L565*K565</f>
        <v/>
      </c>
      <c r="Y565" s="50">
        <f>M565*K565</f>
        <v/>
      </c>
      <c r="Z565" s="50">
        <f>N565*K565</f>
        <v/>
      </c>
      <c r="AA565" s="50">
        <f>O565*K565</f>
        <v/>
      </c>
      <c r="AB565" s="50">
        <f>P565*K565</f>
        <v/>
      </c>
      <c r="AC565" s="50">
        <f>Q565*K565</f>
        <v/>
      </c>
      <c r="AD565" s="50">
        <f>R565*K565</f>
        <v/>
      </c>
      <c r="AE565" s="50">
        <f>S565*K565</f>
        <v/>
      </c>
      <c r="AF565" s="50">
        <f>T565*K565</f>
        <v/>
      </c>
      <c r="AG565" s="50">
        <f>U565*K565</f>
        <v/>
      </c>
      <c r="AH565" s="50">
        <f>V565*K565</f>
        <v/>
      </c>
      <c r="AI565" s="50">
        <f>W565*K565</f>
        <v/>
      </c>
    </row>
    <row r="566">
      <c r="A566" s="25" t="n"/>
      <c r="B566" s="45">
        <f>IF(A566="","",IFERROR(INDEX(Mitarbeiter!$B$6:$B$205,MATCH($A566,Mitarbeiter!$A$6:$A$205,0)),"?"))</f>
        <v/>
      </c>
      <c r="C566" s="46" t="n"/>
      <c r="D566" s="26" t="n"/>
      <c r="E566" s="26" t="n"/>
      <c r="F566" s="24">
        <f>IF(A566="","",SUM(L566:W566))</f>
        <v/>
      </c>
      <c r="G566" s="36">
        <f>IF(A566="","",SUM(X566:AI566))</f>
        <v/>
      </c>
      <c r="H566" s="8">
        <f>IF(A566="","",IF(ISNA(MATCH(A566,Mitarbeiter!$A$6:$A$205,0)),"Pers.-Nr. unbekannt",IF(D566="","Von fehlt",IF(AND(C566&lt;&gt;Einstellungen!$C$4,C566&lt;&gt;Einstellungen!$C$5),"Objekt fehlt",IF(J566&lt;D566,"Bis vor Von",IF(D566&lt;INDEX(Mitarbeiter!$C$6:$C$205,MATCH($A566,Mitarbeiter!$A$6:$A$205,0)),"vor Eintritt",IF(AND(INDEX(Mitarbeiter!$D$6:$D$205,MATCH($A566,Mitarbeiter!$A$6:$A$205,0))&lt;&gt;"",D566&gt;INDEX(Mitarbeiter!$D$6:$D$205,MATCH($A566,Mitarbeiter!$A$6:$A$205,0))),"nach Austritt",IF(E566="","offen","ok"))))))))</f>
        <v/>
      </c>
      <c r="J566" s="47">
        <f>IF(A566="","",IF(E566="",Einstellungen!$C$9,E566))</f>
        <v/>
      </c>
      <c r="K566" s="48">
        <f>IF(A566="",0,IFERROR(INDEX(Mitarbeiter!$F$6:$F$205,MATCH($A566,Mitarbeiter!$A$6:$A$205,0)),0))</f>
        <v/>
      </c>
      <c r="L566" s="49">
        <f>IF(OR(A566="",D566=""),0,MAX(0,NETWORKDAYS(MAX(D566,DATE(Einstellungen!$C$3,1,1)),MIN(J566,DATE(Einstellungen!$C$3,2,0)),Einstellungen!$F$13:$F$32)))</f>
        <v/>
      </c>
      <c r="M566" s="49">
        <f>IF(OR(A566="",D566=""),0,MAX(0,NETWORKDAYS(MAX(D566,DATE(Einstellungen!$C$3,2,1)),MIN(J566,DATE(Einstellungen!$C$3,3,0)),Einstellungen!$F$13:$F$32)))</f>
        <v/>
      </c>
      <c r="N566" s="49">
        <f>IF(OR(A566="",D566=""),0,MAX(0,NETWORKDAYS(MAX(D566,DATE(Einstellungen!$C$3,3,1)),MIN(J566,DATE(Einstellungen!$C$3,4,0)),Einstellungen!$F$13:$F$32)))</f>
        <v/>
      </c>
      <c r="O566" s="49">
        <f>IF(OR(A566="",D566=""),0,MAX(0,NETWORKDAYS(MAX(D566,DATE(Einstellungen!$C$3,4,1)),MIN(J566,DATE(Einstellungen!$C$3,5,0)),Einstellungen!$F$13:$F$32)))</f>
        <v/>
      </c>
      <c r="P566" s="49">
        <f>IF(OR(A566="",D566=""),0,MAX(0,NETWORKDAYS(MAX(D566,DATE(Einstellungen!$C$3,5,1)),MIN(J566,DATE(Einstellungen!$C$3,6,0)),Einstellungen!$F$13:$F$32)))</f>
        <v/>
      </c>
      <c r="Q566" s="49">
        <f>IF(OR(A566="",D566=""),0,MAX(0,NETWORKDAYS(MAX(D566,DATE(Einstellungen!$C$3,6,1)),MIN(J566,DATE(Einstellungen!$C$3,7,0)),Einstellungen!$F$13:$F$32)))</f>
        <v/>
      </c>
      <c r="R566" s="49">
        <f>IF(OR(A566="",D566=""),0,MAX(0,NETWORKDAYS(MAX(D566,DATE(Einstellungen!$C$3,7,1)),MIN(J566,DATE(Einstellungen!$C$3,8,0)),Einstellungen!$F$13:$F$32)))</f>
        <v/>
      </c>
      <c r="S566" s="49">
        <f>IF(OR(A566="",D566=""),0,MAX(0,NETWORKDAYS(MAX(D566,DATE(Einstellungen!$C$3,8,1)),MIN(J566,DATE(Einstellungen!$C$3,9,0)),Einstellungen!$F$13:$F$32)))</f>
        <v/>
      </c>
      <c r="T566" s="49">
        <f>IF(OR(A566="",D566=""),0,MAX(0,NETWORKDAYS(MAX(D566,DATE(Einstellungen!$C$3,9,1)),MIN(J566,DATE(Einstellungen!$C$3,10,0)),Einstellungen!$F$13:$F$32)))</f>
        <v/>
      </c>
      <c r="U566" s="49">
        <f>IF(OR(A566="",D566=""),0,MAX(0,NETWORKDAYS(MAX(D566,DATE(Einstellungen!$C$3,10,1)),MIN(J566,DATE(Einstellungen!$C$3,11,0)),Einstellungen!$F$13:$F$32)))</f>
        <v/>
      </c>
      <c r="V566" s="49">
        <f>IF(OR(A566="",D566=""),0,MAX(0,NETWORKDAYS(MAX(D566,DATE(Einstellungen!$C$3,11,1)),MIN(J566,DATE(Einstellungen!$C$3,12,0)),Einstellungen!$F$13:$F$32)))</f>
        <v/>
      </c>
      <c r="W566" s="49">
        <f>IF(OR(A566="",D566=""),0,MAX(0,NETWORKDAYS(MAX(D566,DATE(Einstellungen!$C$3,12,1)),MIN(J566,DATE(Einstellungen!$C$3,13,0)),Einstellungen!$F$13:$F$32)))</f>
        <v/>
      </c>
      <c r="X566" s="50">
        <f>L566*K566</f>
        <v/>
      </c>
      <c r="Y566" s="50">
        <f>M566*K566</f>
        <v/>
      </c>
      <c r="Z566" s="50">
        <f>N566*K566</f>
        <v/>
      </c>
      <c r="AA566" s="50">
        <f>O566*K566</f>
        <v/>
      </c>
      <c r="AB566" s="50">
        <f>P566*K566</f>
        <v/>
      </c>
      <c r="AC566" s="50">
        <f>Q566*K566</f>
        <v/>
      </c>
      <c r="AD566" s="50">
        <f>R566*K566</f>
        <v/>
      </c>
      <c r="AE566" s="50">
        <f>S566*K566</f>
        <v/>
      </c>
      <c r="AF566" s="50">
        <f>T566*K566</f>
        <v/>
      </c>
      <c r="AG566" s="50">
        <f>U566*K566</f>
        <v/>
      </c>
      <c r="AH566" s="50">
        <f>V566*K566</f>
        <v/>
      </c>
      <c r="AI566" s="50">
        <f>W566*K566</f>
        <v/>
      </c>
    </row>
    <row r="567">
      <c r="A567" s="25" t="n"/>
      <c r="B567" s="45">
        <f>IF(A567="","",IFERROR(INDEX(Mitarbeiter!$B$6:$B$205,MATCH($A567,Mitarbeiter!$A$6:$A$205,0)),"?"))</f>
        <v/>
      </c>
      <c r="C567" s="46" t="n"/>
      <c r="D567" s="26" t="n"/>
      <c r="E567" s="26" t="n"/>
      <c r="F567" s="24">
        <f>IF(A567="","",SUM(L567:W567))</f>
        <v/>
      </c>
      <c r="G567" s="36">
        <f>IF(A567="","",SUM(X567:AI567))</f>
        <v/>
      </c>
      <c r="H567" s="8">
        <f>IF(A567="","",IF(ISNA(MATCH(A567,Mitarbeiter!$A$6:$A$205,0)),"Pers.-Nr. unbekannt",IF(D567="","Von fehlt",IF(AND(C567&lt;&gt;Einstellungen!$C$4,C567&lt;&gt;Einstellungen!$C$5),"Objekt fehlt",IF(J567&lt;D567,"Bis vor Von",IF(D567&lt;INDEX(Mitarbeiter!$C$6:$C$205,MATCH($A567,Mitarbeiter!$A$6:$A$205,0)),"vor Eintritt",IF(AND(INDEX(Mitarbeiter!$D$6:$D$205,MATCH($A567,Mitarbeiter!$A$6:$A$205,0))&lt;&gt;"",D567&gt;INDEX(Mitarbeiter!$D$6:$D$205,MATCH($A567,Mitarbeiter!$A$6:$A$205,0))),"nach Austritt",IF(E567="","offen","ok"))))))))</f>
        <v/>
      </c>
      <c r="J567" s="47">
        <f>IF(A567="","",IF(E567="",Einstellungen!$C$9,E567))</f>
        <v/>
      </c>
      <c r="K567" s="48">
        <f>IF(A567="",0,IFERROR(INDEX(Mitarbeiter!$F$6:$F$205,MATCH($A567,Mitarbeiter!$A$6:$A$205,0)),0))</f>
        <v/>
      </c>
      <c r="L567" s="49">
        <f>IF(OR(A567="",D567=""),0,MAX(0,NETWORKDAYS(MAX(D567,DATE(Einstellungen!$C$3,1,1)),MIN(J567,DATE(Einstellungen!$C$3,2,0)),Einstellungen!$F$13:$F$32)))</f>
        <v/>
      </c>
      <c r="M567" s="49">
        <f>IF(OR(A567="",D567=""),0,MAX(0,NETWORKDAYS(MAX(D567,DATE(Einstellungen!$C$3,2,1)),MIN(J567,DATE(Einstellungen!$C$3,3,0)),Einstellungen!$F$13:$F$32)))</f>
        <v/>
      </c>
      <c r="N567" s="49">
        <f>IF(OR(A567="",D567=""),0,MAX(0,NETWORKDAYS(MAX(D567,DATE(Einstellungen!$C$3,3,1)),MIN(J567,DATE(Einstellungen!$C$3,4,0)),Einstellungen!$F$13:$F$32)))</f>
        <v/>
      </c>
      <c r="O567" s="49">
        <f>IF(OR(A567="",D567=""),0,MAX(0,NETWORKDAYS(MAX(D567,DATE(Einstellungen!$C$3,4,1)),MIN(J567,DATE(Einstellungen!$C$3,5,0)),Einstellungen!$F$13:$F$32)))</f>
        <v/>
      </c>
      <c r="P567" s="49">
        <f>IF(OR(A567="",D567=""),0,MAX(0,NETWORKDAYS(MAX(D567,DATE(Einstellungen!$C$3,5,1)),MIN(J567,DATE(Einstellungen!$C$3,6,0)),Einstellungen!$F$13:$F$32)))</f>
        <v/>
      </c>
      <c r="Q567" s="49">
        <f>IF(OR(A567="",D567=""),0,MAX(0,NETWORKDAYS(MAX(D567,DATE(Einstellungen!$C$3,6,1)),MIN(J567,DATE(Einstellungen!$C$3,7,0)),Einstellungen!$F$13:$F$32)))</f>
        <v/>
      </c>
      <c r="R567" s="49">
        <f>IF(OR(A567="",D567=""),0,MAX(0,NETWORKDAYS(MAX(D567,DATE(Einstellungen!$C$3,7,1)),MIN(J567,DATE(Einstellungen!$C$3,8,0)),Einstellungen!$F$13:$F$32)))</f>
        <v/>
      </c>
      <c r="S567" s="49">
        <f>IF(OR(A567="",D567=""),0,MAX(0,NETWORKDAYS(MAX(D567,DATE(Einstellungen!$C$3,8,1)),MIN(J567,DATE(Einstellungen!$C$3,9,0)),Einstellungen!$F$13:$F$32)))</f>
        <v/>
      </c>
      <c r="T567" s="49">
        <f>IF(OR(A567="",D567=""),0,MAX(0,NETWORKDAYS(MAX(D567,DATE(Einstellungen!$C$3,9,1)),MIN(J567,DATE(Einstellungen!$C$3,10,0)),Einstellungen!$F$13:$F$32)))</f>
        <v/>
      </c>
      <c r="U567" s="49">
        <f>IF(OR(A567="",D567=""),0,MAX(0,NETWORKDAYS(MAX(D567,DATE(Einstellungen!$C$3,10,1)),MIN(J567,DATE(Einstellungen!$C$3,11,0)),Einstellungen!$F$13:$F$32)))</f>
        <v/>
      </c>
      <c r="V567" s="49">
        <f>IF(OR(A567="",D567=""),0,MAX(0,NETWORKDAYS(MAX(D567,DATE(Einstellungen!$C$3,11,1)),MIN(J567,DATE(Einstellungen!$C$3,12,0)),Einstellungen!$F$13:$F$32)))</f>
        <v/>
      </c>
      <c r="W567" s="49">
        <f>IF(OR(A567="",D567=""),0,MAX(0,NETWORKDAYS(MAX(D567,DATE(Einstellungen!$C$3,12,1)),MIN(J567,DATE(Einstellungen!$C$3,13,0)),Einstellungen!$F$13:$F$32)))</f>
        <v/>
      </c>
      <c r="X567" s="50">
        <f>L567*K567</f>
        <v/>
      </c>
      <c r="Y567" s="50">
        <f>M567*K567</f>
        <v/>
      </c>
      <c r="Z567" s="50">
        <f>N567*K567</f>
        <v/>
      </c>
      <c r="AA567" s="50">
        <f>O567*K567</f>
        <v/>
      </c>
      <c r="AB567" s="50">
        <f>P567*K567</f>
        <v/>
      </c>
      <c r="AC567" s="50">
        <f>Q567*K567</f>
        <v/>
      </c>
      <c r="AD567" s="50">
        <f>R567*K567</f>
        <v/>
      </c>
      <c r="AE567" s="50">
        <f>S567*K567</f>
        <v/>
      </c>
      <c r="AF567" s="50">
        <f>T567*K567</f>
        <v/>
      </c>
      <c r="AG567" s="50">
        <f>U567*K567</f>
        <v/>
      </c>
      <c r="AH567" s="50">
        <f>V567*K567</f>
        <v/>
      </c>
      <c r="AI567" s="50">
        <f>W567*K567</f>
        <v/>
      </c>
    </row>
    <row r="568">
      <c r="A568" s="25" t="n"/>
      <c r="B568" s="45">
        <f>IF(A568="","",IFERROR(INDEX(Mitarbeiter!$B$6:$B$205,MATCH($A568,Mitarbeiter!$A$6:$A$205,0)),"?"))</f>
        <v/>
      </c>
      <c r="C568" s="46" t="n"/>
      <c r="D568" s="26" t="n"/>
      <c r="E568" s="26" t="n"/>
      <c r="F568" s="24">
        <f>IF(A568="","",SUM(L568:W568))</f>
        <v/>
      </c>
      <c r="G568" s="36">
        <f>IF(A568="","",SUM(X568:AI568))</f>
        <v/>
      </c>
      <c r="H568" s="8">
        <f>IF(A568="","",IF(ISNA(MATCH(A568,Mitarbeiter!$A$6:$A$205,0)),"Pers.-Nr. unbekannt",IF(D568="","Von fehlt",IF(AND(C568&lt;&gt;Einstellungen!$C$4,C568&lt;&gt;Einstellungen!$C$5),"Objekt fehlt",IF(J568&lt;D568,"Bis vor Von",IF(D568&lt;INDEX(Mitarbeiter!$C$6:$C$205,MATCH($A568,Mitarbeiter!$A$6:$A$205,0)),"vor Eintritt",IF(AND(INDEX(Mitarbeiter!$D$6:$D$205,MATCH($A568,Mitarbeiter!$A$6:$A$205,0))&lt;&gt;"",D568&gt;INDEX(Mitarbeiter!$D$6:$D$205,MATCH($A568,Mitarbeiter!$A$6:$A$205,0))),"nach Austritt",IF(E568="","offen","ok"))))))))</f>
        <v/>
      </c>
      <c r="J568" s="47">
        <f>IF(A568="","",IF(E568="",Einstellungen!$C$9,E568))</f>
        <v/>
      </c>
      <c r="K568" s="48">
        <f>IF(A568="",0,IFERROR(INDEX(Mitarbeiter!$F$6:$F$205,MATCH($A568,Mitarbeiter!$A$6:$A$205,0)),0))</f>
        <v/>
      </c>
      <c r="L568" s="49">
        <f>IF(OR(A568="",D568=""),0,MAX(0,NETWORKDAYS(MAX(D568,DATE(Einstellungen!$C$3,1,1)),MIN(J568,DATE(Einstellungen!$C$3,2,0)),Einstellungen!$F$13:$F$32)))</f>
        <v/>
      </c>
      <c r="M568" s="49">
        <f>IF(OR(A568="",D568=""),0,MAX(0,NETWORKDAYS(MAX(D568,DATE(Einstellungen!$C$3,2,1)),MIN(J568,DATE(Einstellungen!$C$3,3,0)),Einstellungen!$F$13:$F$32)))</f>
        <v/>
      </c>
      <c r="N568" s="49">
        <f>IF(OR(A568="",D568=""),0,MAX(0,NETWORKDAYS(MAX(D568,DATE(Einstellungen!$C$3,3,1)),MIN(J568,DATE(Einstellungen!$C$3,4,0)),Einstellungen!$F$13:$F$32)))</f>
        <v/>
      </c>
      <c r="O568" s="49">
        <f>IF(OR(A568="",D568=""),0,MAX(0,NETWORKDAYS(MAX(D568,DATE(Einstellungen!$C$3,4,1)),MIN(J568,DATE(Einstellungen!$C$3,5,0)),Einstellungen!$F$13:$F$32)))</f>
        <v/>
      </c>
      <c r="P568" s="49">
        <f>IF(OR(A568="",D568=""),0,MAX(0,NETWORKDAYS(MAX(D568,DATE(Einstellungen!$C$3,5,1)),MIN(J568,DATE(Einstellungen!$C$3,6,0)),Einstellungen!$F$13:$F$32)))</f>
        <v/>
      </c>
      <c r="Q568" s="49">
        <f>IF(OR(A568="",D568=""),0,MAX(0,NETWORKDAYS(MAX(D568,DATE(Einstellungen!$C$3,6,1)),MIN(J568,DATE(Einstellungen!$C$3,7,0)),Einstellungen!$F$13:$F$32)))</f>
        <v/>
      </c>
      <c r="R568" s="49">
        <f>IF(OR(A568="",D568=""),0,MAX(0,NETWORKDAYS(MAX(D568,DATE(Einstellungen!$C$3,7,1)),MIN(J568,DATE(Einstellungen!$C$3,8,0)),Einstellungen!$F$13:$F$32)))</f>
        <v/>
      </c>
      <c r="S568" s="49">
        <f>IF(OR(A568="",D568=""),0,MAX(0,NETWORKDAYS(MAX(D568,DATE(Einstellungen!$C$3,8,1)),MIN(J568,DATE(Einstellungen!$C$3,9,0)),Einstellungen!$F$13:$F$32)))</f>
        <v/>
      </c>
      <c r="T568" s="49">
        <f>IF(OR(A568="",D568=""),0,MAX(0,NETWORKDAYS(MAX(D568,DATE(Einstellungen!$C$3,9,1)),MIN(J568,DATE(Einstellungen!$C$3,10,0)),Einstellungen!$F$13:$F$32)))</f>
        <v/>
      </c>
      <c r="U568" s="49">
        <f>IF(OR(A568="",D568=""),0,MAX(0,NETWORKDAYS(MAX(D568,DATE(Einstellungen!$C$3,10,1)),MIN(J568,DATE(Einstellungen!$C$3,11,0)),Einstellungen!$F$13:$F$32)))</f>
        <v/>
      </c>
      <c r="V568" s="49">
        <f>IF(OR(A568="",D568=""),0,MAX(0,NETWORKDAYS(MAX(D568,DATE(Einstellungen!$C$3,11,1)),MIN(J568,DATE(Einstellungen!$C$3,12,0)),Einstellungen!$F$13:$F$32)))</f>
        <v/>
      </c>
      <c r="W568" s="49">
        <f>IF(OR(A568="",D568=""),0,MAX(0,NETWORKDAYS(MAX(D568,DATE(Einstellungen!$C$3,12,1)),MIN(J568,DATE(Einstellungen!$C$3,13,0)),Einstellungen!$F$13:$F$32)))</f>
        <v/>
      </c>
      <c r="X568" s="50">
        <f>L568*K568</f>
        <v/>
      </c>
      <c r="Y568" s="50">
        <f>M568*K568</f>
        <v/>
      </c>
      <c r="Z568" s="50">
        <f>N568*K568</f>
        <v/>
      </c>
      <c r="AA568" s="50">
        <f>O568*K568</f>
        <v/>
      </c>
      <c r="AB568" s="50">
        <f>P568*K568</f>
        <v/>
      </c>
      <c r="AC568" s="50">
        <f>Q568*K568</f>
        <v/>
      </c>
      <c r="AD568" s="50">
        <f>R568*K568</f>
        <v/>
      </c>
      <c r="AE568" s="50">
        <f>S568*K568</f>
        <v/>
      </c>
      <c r="AF568" s="50">
        <f>T568*K568</f>
        <v/>
      </c>
      <c r="AG568" s="50">
        <f>U568*K568</f>
        <v/>
      </c>
      <c r="AH568" s="50">
        <f>V568*K568</f>
        <v/>
      </c>
      <c r="AI568" s="50">
        <f>W568*K568</f>
        <v/>
      </c>
    </row>
    <row r="569">
      <c r="A569" s="25" t="n"/>
      <c r="B569" s="45">
        <f>IF(A569="","",IFERROR(INDEX(Mitarbeiter!$B$6:$B$205,MATCH($A569,Mitarbeiter!$A$6:$A$205,0)),"?"))</f>
        <v/>
      </c>
      <c r="C569" s="46" t="n"/>
      <c r="D569" s="26" t="n"/>
      <c r="E569" s="26" t="n"/>
      <c r="F569" s="24">
        <f>IF(A569="","",SUM(L569:W569))</f>
        <v/>
      </c>
      <c r="G569" s="36">
        <f>IF(A569="","",SUM(X569:AI569))</f>
        <v/>
      </c>
      <c r="H569" s="8">
        <f>IF(A569="","",IF(ISNA(MATCH(A569,Mitarbeiter!$A$6:$A$205,0)),"Pers.-Nr. unbekannt",IF(D569="","Von fehlt",IF(AND(C569&lt;&gt;Einstellungen!$C$4,C569&lt;&gt;Einstellungen!$C$5),"Objekt fehlt",IF(J569&lt;D569,"Bis vor Von",IF(D569&lt;INDEX(Mitarbeiter!$C$6:$C$205,MATCH($A569,Mitarbeiter!$A$6:$A$205,0)),"vor Eintritt",IF(AND(INDEX(Mitarbeiter!$D$6:$D$205,MATCH($A569,Mitarbeiter!$A$6:$A$205,0))&lt;&gt;"",D569&gt;INDEX(Mitarbeiter!$D$6:$D$205,MATCH($A569,Mitarbeiter!$A$6:$A$205,0))),"nach Austritt",IF(E569="","offen","ok"))))))))</f>
        <v/>
      </c>
      <c r="J569" s="47">
        <f>IF(A569="","",IF(E569="",Einstellungen!$C$9,E569))</f>
        <v/>
      </c>
      <c r="K569" s="48">
        <f>IF(A569="",0,IFERROR(INDEX(Mitarbeiter!$F$6:$F$205,MATCH($A569,Mitarbeiter!$A$6:$A$205,0)),0))</f>
        <v/>
      </c>
      <c r="L569" s="49">
        <f>IF(OR(A569="",D569=""),0,MAX(0,NETWORKDAYS(MAX(D569,DATE(Einstellungen!$C$3,1,1)),MIN(J569,DATE(Einstellungen!$C$3,2,0)),Einstellungen!$F$13:$F$32)))</f>
        <v/>
      </c>
      <c r="M569" s="49">
        <f>IF(OR(A569="",D569=""),0,MAX(0,NETWORKDAYS(MAX(D569,DATE(Einstellungen!$C$3,2,1)),MIN(J569,DATE(Einstellungen!$C$3,3,0)),Einstellungen!$F$13:$F$32)))</f>
        <v/>
      </c>
      <c r="N569" s="49">
        <f>IF(OR(A569="",D569=""),0,MAX(0,NETWORKDAYS(MAX(D569,DATE(Einstellungen!$C$3,3,1)),MIN(J569,DATE(Einstellungen!$C$3,4,0)),Einstellungen!$F$13:$F$32)))</f>
        <v/>
      </c>
      <c r="O569" s="49">
        <f>IF(OR(A569="",D569=""),0,MAX(0,NETWORKDAYS(MAX(D569,DATE(Einstellungen!$C$3,4,1)),MIN(J569,DATE(Einstellungen!$C$3,5,0)),Einstellungen!$F$13:$F$32)))</f>
        <v/>
      </c>
      <c r="P569" s="49">
        <f>IF(OR(A569="",D569=""),0,MAX(0,NETWORKDAYS(MAX(D569,DATE(Einstellungen!$C$3,5,1)),MIN(J569,DATE(Einstellungen!$C$3,6,0)),Einstellungen!$F$13:$F$32)))</f>
        <v/>
      </c>
      <c r="Q569" s="49">
        <f>IF(OR(A569="",D569=""),0,MAX(0,NETWORKDAYS(MAX(D569,DATE(Einstellungen!$C$3,6,1)),MIN(J569,DATE(Einstellungen!$C$3,7,0)),Einstellungen!$F$13:$F$32)))</f>
        <v/>
      </c>
      <c r="R569" s="49">
        <f>IF(OR(A569="",D569=""),0,MAX(0,NETWORKDAYS(MAX(D569,DATE(Einstellungen!$C$3,7,1)),MIN(J569,DATE(Einstellungen!$C$3,8,0)),Einstellungen!$F$13:$F$32)))</f>
        <v/>
      </c>
      <c r="S569" s="49">
        <f>IF(OR(A569="",D569=""),0,MAX(0,NETWORKDAYS(MAX(D569,DATE(Einstellungen!$C$3,8,1)),MIN(J569,DATE(Einstellungen!$C$3,9,0)),Einstellungen!$F$13:$F$32)))</f>
        <v/>
      </c>
      <c r="T569" s="49">
        <f>IF(OR(A569="",D569=""),0,MAX(0,NETWORKDAYS(MAX(D569,DATE(Einstellungen!$C$3,9,1)),MIN(J569,DATE(Einstellungen!$C$3,10,0)),Einstellungen!$F$13:$F$32)))</f>
        <v/>
      </c>
      <c r="U569" s="49">
        <f>IF(OR(A569="",D569=""),0,MAX(0,NETWORKDAYS(MAX(D569,DATE(Einstellungen!$C$3,10,1)),MIN(J569,DATE(Einstellungen!$C$3,11,0)),Einstellungen!$F$13:$F$32)))</f>
        <v/>
      </c>
      <c r="V569" s="49">
        <f>IF(OR(A569="",D569=""),0,MAX(0,NETWORKDAYS(MAX(D569,DATE(Einstellungen!$C$3,11,1)),MIN(J569,DATE(Einstellungen!$C$3,12,0)),Einstellungen!$F$13:$F$32)))</f>
        <v/>
      </c>
      <c r="W569" s="49">
        <f>IF(OR(A569="",D569=""),0,MAX(0,NETWORKDAYS(MAX(D569,DATE(Einstellungen!$C$3,12,1)),MIN(J569,DATE(Einstellungen!$C$3,13,0)),Einstellungen!$F$13:$F$32)))</f>
        <v/>
      </c>
      <c r="X569" s="50">
        <f>L569*K569</f>
        <v/>
      </c>
      <c r="Y569" s="50">
        <f>M569*K569</f>
        <v/>
      </c>
      <c r="Z569" s="50">
        <f>N569*K569</f>
        <v/>
      </c>
      <c r="AA569" s="50">
        <f>O569*K569</f>
        <v/>
      </c>
      <c r="AB569" s="50">
        <f>P569*K569</f>
        <v/>
      </c>
      <c r="AC569" s="50">
        <f>Q569*K569</f>
        <v/>
      </c>
      <c r="AD569" s="50">
        <f>R569*K569</f>
        <v/>
      </c>
      <c r="AE569" s="50">
        <f>S569*K569</f>
        <v/>
      </c>
      <c r="AF569" s="50">
        <f>T569*K569</f>
        <v/>
      </c>
      <c r="AG569" s="50">
        <f>U569*K569</f>
        <v/>
      </c>
      <c r="AH569" s="50">
        <f>V569*K569</f>
        <v/>
      </c>
      <c r="AI569" s="50">
        <f>W569*K569</f>
        <v/>
      </c>
    </row>
    <row r="570">
      <c r="A570" s="25" t="n"/>
      <c r="B570" s="45">
        <f>IF(A570="","",IFERROR(INDEX(Mitarbeiter!$B$6:$B$205,MATCH($A570,Mitarbeiter!$A$6:$A$205,0)),"?"))</f>
        <v/>
      </c>
      <c r="C570" s="46" t="n"/>
      <c r="D570" s="26" t="n"/>
      <c r="E570" s="26" t="n"/>
      <c r="F570" s="24">
        <f>IF(A570="","",SUM(L570:W570))</f>
        <v/>
      </c>
      <c r="G570" s="36">
        <f>IF(A570="","",SUM(X570:AI570))</f>
        <v/>
      </c>
      <c r="H570" s="8">
        <f>IF(A570="","",IF(ISNA(MATCH(A570,Mitarbeiter!$A$6:$A$205,0)),"Pers.-Nr. unbekannt",IF(D570="","Von fehlt",IF(AND(C570&lt;&gt;Einstellungen!$C$4,C570&lt;&gt;Einstellungen!$C$5),"Objekt fehlt",IF(J570&lt;D570,"Bis vor Von",IF(D570&lt;INDEX(Mitarbeiter!$C$6:$C$205,MATCH($A570,Mitarbeiter!$A$6:$A$205,0)),"vor Eintritt",IF(AND(INDEX(Mitarbeiter!$D$6:$D$205,MATCH($A570,Mitarbeiter!$A$6:$A$205,0))&lt;&gt;"",D570&gt;INDEX(Mitarbeiter!$D$6:$D$205,MATCH($A570,Mitarbeiter!$A$6:$A$205,0))),"nach Austritt",IF(E570="","offen","ok"))))))))</f>
        <v/>
      </c>
      <c r="J570" s="47">
        <f>IF(A570="","",IF(E570="",Einstellungen!$C$9,E570))</f>
        <v/>
      </c>
      <c r="K570" s="48">
        <f>IF(A570="",0,IFERROR(INDEX(Mitarbeiter!$F$6:$F$205,MATCH($A570,Mitarbeiter!$A$6:$A$205,0)),0))</f>
        <v/>
      </c>
      <c r="L570" s="49">
        <f>IF(OR(A570="",D570=""),0,MAX(0,NETWORKDAYS(MAX(D570,DATE(Einstellungen!$C$3,1,1)),MIN(J570,DATE(Einstellungen!$C$3,2,0)),Einstellungen!$F$13:$F$32)))</f>
        <v/>
      </c>
      <c r="M570" s="49">
        <f>IF(OR(A570="",D570=""),0,MAX(0,NETWORKDAYS(MAX(D570,DATE(Einstellungen!$C$3,2,1)),MIN(J570,DATE(Einstellungen!$C$3,3,0)),Einstellungen!$F$13:$F$32)))</f>
        <v/>
      </c>
      <c r="N570" s="49">
        <f>IF(OR(A570="",D570=""),0,MAX(0,NETWORKDAYS(MAX(D570,DATE(Einstellungen!$C$3,3,1)),MIN(J570,DATE(Einstellungen!$C$3,4,0)),Einstellungen!$F$13:$F$32)))</f>
        <v/>
      </c>
      <c r="O570" s="49">
        <f>IF(OR(A570="",D570=""),0,MAX(0,NETWORKDAYS(MAX(D570,DATE(Einstellungen!$C$3,4,1)),MIN(J570,DATE(Einstellungen!$C$3,5,0)),Einstellungen!$F$13:$F$32)))</f>
        <v/>
      </c>
      <c r="P570" s="49">
        <f>IF(OR(A570="",D570=""),0,MAX(0,NETWORKDAYS(MAX(D570,DATE(Einstellungen!$C$3,5,1)),MIN(J570,DATE(Einstellungen!$C$3,6,0)),Einstellungen!$F$13:$F$32)))</f>
        <v/>
      </c>
      <c r="Q570" s="49">
        <f>IF(OR(A570="",D570=""),0,MAX(0,NETWORKDAYS(MAX(D570,DATE(Einstellungen!$C$3,6,1)),MIN(J570,DATE(Einstellungen!$C$3,7,0)),Einstellungen!$F$13:$F$32)))</f>
        <v/>
      </c>
      <c r="R570" s="49">
        <f>IF(OR(A570="",D570=""),0,MAX(0,NETWORKDAYS(MAX(D570,DATE(Einstellungen!$C$3,7,1)),MIN(J570,DATE(Einstellungen!$C$3,8,0)),Einstellungen!$F$13:$F$32)))</f>
        <v/>
      </c>
      <c r="S570" s="49">
        <f>IF(OR(A570="",D570=""),0,MAX(0,NETWORKDAYS(MAX(D570,DATE(Einstellungen!$C$3,8,1)),MIN(J570,DATE(Einstellungen!$C$3,9,0)),Einstellungen!$F$13:$F$32)))</f>
        <v/>
      </c>
      <c r="T570" s="49">
        <f>IF(OR(A570="",D570=""),0,MAX(0,NETWORKDAYS(MAX(D570,DATE(Einstellungen!$C$3,9,1)),MIN(J570,DATE(Einstellungen!$C$3,10,0)),Einstellungen!$F$13:$F$32)))</f>
        <v/>
      </c>
      <c r="U570" s="49">
        <f>IF(OR(A570="",D570=""),0,MAX(0,NETWORKDAYS(MAX(D570,DATE(Einstellungen!$C$3,10,1)),MIN(J570,DATE(Einstellungen!$C$3,11,0)),Einstellungen!$F$13:$F$32)))</f>
        <v/>
      </c>
      <c r="V570" s="49">
        <f>IF(OR(A570="",D570=""),0,MAX(0,NETWORKDAYS(MAX(D570,DATE(Einstellungen!$C$3,11,1)),MIN(J570,DATE(Einstellungen!$C$3,12,0)),Einstellungen!$F$13:$F$32)))</f>
        <v/>
      </c>
      <c r="W570" s="49">
        <f>IF(OR(A570="",D570=""),0,MAX(0,NETWORKDAYS(MAX(D570,DATE(Einstellungen!$C$3,12,1)),MIN(J570,DATE(Einstellungen!$C$3,13,0)),Einstellungen!$F$13:$F$32)))</f>
        <v/>
      </c>
      <c r="X570" s="50">
        <f>L570*K570</f>
        <v/>
      </c>
      <c r="Y570" s="50">
        <f>M570*K570</f>
        <v/>
      </c>
      <c r="Z570" s="50">
        <f>N570*K570</f>
        <v/>
      </c>
      <c r="AA570" s="50">
        <f>O570*K570</f>
        <v/>
      </c>
      <c r="AB570" s="50">
        <f>P570*K570</f>
        <v/>
      </c>
      <c r="AC570" s="50">
        <f>Q570*K570</f>
        <v/>
      </c>
      <c r="AD570" s="50">
        <f>R570*K570</f>
        <v/>
      </c>
      <c r="AE570" s="50">
        <f>S570*K570</f>
        <v/>
      </c>
      <c r="AF570" s="50">
        <f>T570*K570</f>
        <v/>
      </c>
      <c r="AG570" s="50">
        <f>U570*K570</f>
        <v/>
      </c>
      <c r="AH570" s="50">
        <f>V570*K570</f>
        <v/>
      </c>
      <c r="AI570" s="50">
        <f>W570*K570</f>
        <v/>
      </c>
    </row>
    <row r="571">
      <c r="A571" s="25" t="n"/>
      <c r="B571" s="45">
        <f>IF(A571="","",IFERROR(INDEX(Mitarbeiter!$B$6:$B$205,MATCH($A571,Mitarbeiter!$A$6:$A$205,0)),"?"))</f>
        <v/>
      </c>
      <c r="C571" s="46" t="n"/>
      <c r="D571" s="26" t="n"/>
      <c r="E571" s="26" t="n"/>
      <c r="F571" s="24">
        <f>IF(A571="","",SUM(L571:W571))</f>
        <v/>
      </c>
      <c r="G571" s="36">
        <f>IF(A571="","",SUM(X571:AI571))</f>
        <v/>
      </c>
      <c r="H571" s="8">
        <f>IF(A571="","",IF(ISNA(MATCH(A571,Mitarbeiter!$A$6:$A$205,0)),"Pers.-Nr. unbekannt",IF(D571="","Von fehlt",IF(AND(C571&lt;&gt;Einstellungen!$C$4,C571&lt;&gt;Einstellungen!$C$5),"Objekt fehlt",IF(J571&lt;D571,"Bis vor Von",IF(D571&lt;INDEX(Mitarbeiter!$C$6:$C$205,MATCH($A571,Mitarbeiter!$A$6:$A$205,0)),"vor Eintritt",IF(AND(INDEX(Mitarbeiter!$D$6:$D$205,MATCH($A571,Mitarbeiter!$A$6:$A$205,0))&lt;&gt;"",D571&gt;INDEX(Mitarbeiter!$D$6:$D$205,MATCH($A571,Mitarbeiter!$A$6:$A$205,0))),"nach Austritt",IF(E571="","offen","ok"))))))))</f>
        <v/>
      </c>
      <c r="J571" s="47">
        <f>IF(A571="","",IF(E571="",Einstellungen!$C$9,E571))</f>
        <v/>
      </c>
      <c r="K571" s="48">
        <f>IF(A571="",0,IFERROR(INDEX(Mitarbeiter!$F$6:$F$205,MATCH($A571,Mitarbeiter!$A$6:$A$205,0)),0))</f>
        <v/>
      </c>
      <c r="L571" s="49">
        <f>IF(OR(A571="",D571=""),0,MAX(0,NETWORKDAYS(MAX(D571,DATE(Einstellungen!$C$3,1,1)),MIN(J571,DATE(Einstellungen!$C$3,2,0)),Einstellungen!$F$13:$F$32)))</f>
        <v/>
      </c>
      <c r="M571" s="49">
        <f>IF(OR(A571="",D571=""),0,MAX(0,NETWORKDAYS(MAX(D571,DATE(Einstellungen!$C$3,2,1)),MIN(J571,DATE(Einstellungen!$C$3,3,0)),Einstellungen!$F$13:$F$32)))</f>
        <v/>
      </c>
      <c r="N571" s="49">
        <f>IF(OR(A571="",D571=""),0,MAX(0,NETWORKDAYS(MAX(D571,DATE(Einstellungen!$C$3,3,1)),MIN(J571,DATE(Einstellungen!$C$3,4,0)),Einstellungen!$F$13:$F$32)))</f>
        <v/>
      </c>
      <c r="O571" s="49">
        <f>IF(OR(A571="",D571=""),0,MAX(0,NETWORKDAYS(MAX(D571,DATE(Einstellungen!$C$3,4,1)),MIN(J571,DATE(Einstellungen!$C$3,5,0)),Einstellungen!$F$13:$F$32)))</f>
        <v/>
      </c>
      <c r="P571" s="49">
        <f>IF(OR(A571="",D571=""),0,MAX(0,NETWORKDAYS(MAX(D571,DATE(Einstellungen!$C$3,5,1)),MIN(J571,DATE(Einstellungen!$C$3,6,0)),Einstellungen!$F$13:$F$32)))</f>
        <v/>
      </c>
      <c r="Q571" s="49">
        <f>IF(OR(A571="",D571=""),0,MAX(0,NETWORKDAYS(MAX(D571,DATE(Einstellungen!$C$3,6,1)),MIN(J571,DATE(Einstellungen!$C$3,7,0)),Einstellungen!$F$13:$F$32)))</f>
        <v/>
      </c>
      <c r="R571" s="49">
        <f>IF(OR(A571="",D571=""),0,MAX(0,NETWORKDAYS(MAX(D571,DATE(Einstellungen!$C$3,7,1)),MIN(J571,DATE(Einstellungen!$C$3,8,0)),Einstellungen!$F$13:$F$32)))</f>
        <v/>
      </c>
      <c r="S571" s="49">
        <f>IF(OR(A571="",D571=""),0,MAX(0,NETWORKDAYS(MAX(D571,DATE(Einstellungen!$C$3,8,1)),MIN(J571,DATE(Einstellungen!$C$3,9,0)),Einstellungen!$F$13:$F$32)))</f>
        <v/>
      </c>
      <c r="T571" s="49">
        <f>IF(OR(A571="",D571=""),0,MAX(0,NETWORKDAYS(MAX(D571,DATE(Einstellungen!$C$3,9,1)),MIN(J571,DATE(Einstellungen!$C$3,10,0)),Einstellungen!$F$13:$F$32)))</f>
        <v/>
      </c>
      <c r="U571" s="49">
        <f>IF(OR(A571="",D571=""),0,MAX(0,NETWORKDAYS(MAX(D571,DATE(Einstellungen!$C$3,10,1)),MIN(J571,DATE(Einstellungen!$C$3,11,0)),Einstellungen!$F$13:$F$32)))</f>
        <v/>
      </c>
      <c r="V571" s="49">
        <f>IF(OR(A571="",D571=""),0,MAX(0,NETWORKDAYS(MAX(D571,DATE(Einstellungen!$C$3,11,1)),MIN(J571,DATE(Einstellungen!$C$3,12,0)),Einstellungen!$F$13:$F$32)))</f>
        <v/>
      </c>
      <c r="W571" s="49">
        <f>IF(OR(A571="",D571=""),0,MAX(0,NETWORKDAYS(MAX(D571,DATE(Einstellungen!$C$3,12,1)),MIN(J571,DATE(Einstellungen!$C$3,13,0)),Einstellungen!$F$13:$F$32)))</f>
        <v/>
      </c>
      <c r="X571" s="50">
        <f>L571*K571</f>
        <v/>
      </c>
      <c r="Y571" s="50">
        <f>M571*K571</f>
        <v/>
      </c>
      <c r="Z571" s="50">
        <f>N571*K571</f>
        <v/>
      </c>
      <c r="AA571" s="50">
        <f>O571*K571</f>
        <v/>
      </c>
      <c r="AB571" s="50">
        <f>P571*K571</f>
        <v/>
      </c>
      <c r="AC571" s="50">
        <f>Q571*K571</f>
        <v/>
      </c>
      <c r="AD571" s="50">
        <f>R571*K571</f>
        <v/>
      </c>
      <c r="AE571" s="50">
        <f>S571*K571</f>
        <v/>
      </c>
      <c r="AF571" s="50">
        <f>T571*K571</f>
        <v/>
      </c>
      <c r="AG571" s="50">
        <f>U571*K571</f>
        <v/>
      </c>
      <c r="AH571" s="50">
        <f>V571*K571</f>
        <v/>
      </c>
      <c r="AI571" s="50">
        <f>W571*K571</f>
        <v/>
      </c>
    </row>
    <row r="572">
      <c r="A572" s="25" t="n"/>
      <c r="B572" s="45">
        <f>IF(A572="","",IFERROR(INDEX(Mitarbeiter!$B$6:$B$205,MATCH($A572,Mitarbeiter!$A$6:$A$205,0)),"?"))</f>
        <v/>
      </c>
      <c r="C572" s="46" t="n"/>
      <c r="D572" s="26" t="n"/>
      <c r="E572" s="26" t="n"/>
      <c r="F572" s="24">
        <f>IF(A572="","",SUM(L572:W572))</f>
        <v/>
      </c>
      <c r="G572" s="36">
        <f>IF(A572="","",SUM(X572:AI572))</f>
        <v/>
      </c>
      <c r="H572" s="8">
        <f>IF(A572="","",IF(ISNA(MATCH(A572,Mitarbeiter!$A$6:$A$205,0)),"Pers.-Nr. unbekannt",IF(D572="","Von fehlt",IF(AND(C572&lt;&gt;Einstellungen!$C$4,C572&lt;&gt;Einstellungen!$C$5),"Objekt fehlt",IF(J572&lt;D572,"Bis vor Von",IF(D572&lt;INDEX(Mitarbeiter!$C$6:$C$205,MATCH($A572,Mitarbeiter!$A$6:$A$205,0)),"vor Eintritt",IF(AND(INDEX(Mitarbeiter!$D$6:$D$205,MATCH($A572,Mitarbeiter!$A$6:$A$205,0))&lt;&gt;"",D572&gt;INDEX(Mitarbeiter!$D$6:$D$205,MATCH($A572,Mitarbeiter!$A$6:$A$205,0))),"nach Austritt",IF(E572="","offen","ok"))))))))</f>
        <v/>
      </c>
      <c r="J572" s="47">
        <f>IF(A572="","",IF(E572="",Einstellungen!$C$9,E572))</f>
        <v/>
      </c>
      <c r="K572" s="48">
        <f>IF(A572="",0,IFERROR(INDEX(Mitarbeiter!$F$6:$F$205,MATCH($A572,Mitarbeiter!$A$6:$A$205,0)),0))</f>
        <v/>
      </c>
      <c r="L572" s="49">
        <f>IF(OR(A572="",D572=""),0,MAX(0,NETWORKDAYS(MAX(D572,DATE(Einstellungen!$C$3,1,1)),MIN(J572,DATE(Einstellungen!$C$3,2,0)),Einstellungen!$F$13:$F$32)))</f>
        <v/>
      </c>
      <c r="M572" s="49">
        <f>IF(OR(A572="",D572=""),0,MAX(0,NETWORKDAYS(MAX(D572,DATE(Einstellungen!$C$3,2,1)),MIN(J572,DATE(Einstellungen!$C$3,3,0)),Einstellungen!$F$13:$F$32)))</f>
        <v/>
      </c>
      <c r="N572" s="49">
        <f>IF(OR(A572="",D572=""),0,MAX(0,NETWORKDAYS(MAX(D572,DATE(Einstellungen!$C$3,3,1)),MIN(J572,DATE(Einstellungen!$C$3,4,0)),Einstellungen!$F$13:$F$32)))</f>
        <v/>
      </c>
      <c r="O572" s="49">
        <f>IF(OR(A572="",D572=""),0,MAX(0,NETWORKDAYS(MAX(D572,DATE(Einstellungen!$C$3,4,1)),MIN(J572,DATE(Einstellungen!$C$3,5,0)),Einstellungen!$F$13:$F$32)))</f>
        <v/>
      </c>
      <c r="P572" s="49">
        <f>IF(OR(A572="",D572=""),0,MAX(0,NETWORKDAYS(MAX(D572,DATE(Einstellungen!$C$3,5,1)),MIN(J572,DATE(Einstellungen!$C$3,6,0)),Einstellungen!$F$13:$F$32)))</f>
        <v/>
      </c>
      <c r="Q572" s="49">
        <f>IF(OR(A572="",D572=""),0,MAX(0,NETWORKDAYS(MAX(D572,DATE(Einstellungen!$C$3,6,1)),MIN(J572,DATE(Einstellungen!$C$3,7,0)),Einstellungen!$F$13:$F$32)))</f>
        <v/>
      </c>
      <c r="R572" s="49">
        <f>IF(OR(A572="",D572=""),0,MAX(0,NETWORKDAYS(MAX(D572,DATE(Einstellungen!$C$3,7,1)),MIN(J572,DATE(Einstellungen!$C$3,8,0)),Einstellungen!$F$13:$F$32)))</f>
        <v/>
      </c>
      <c r="S572" s="49">
        <f>IF(OR(A572="",D572=""),0,MAX(0,NETWORKDAYS(MAX(D572,DATE(Einstellungen!$C$3,8,1)),MIN(J572,DATE(Einstellungen!$C$3,9,0)),Einstellungen!$F$13:$F$32)))</f>
        <v/>
      </c>
      <c r="T572" s="49">
        <f>IF(OR(A572="",D572=""),0,MAX(0,NETWORKDAYS(MAX(D572,DATE(Einstellungen!$C$3,9,1)),MIN(J572,DATE(Einstellungen!$C$3,10,0)),Einstellungen!$F$13:$F$32)))</f>
        <v/>
      </c>
      <c r="U572" s="49">
        <f>IF(OR(A572="",D572=""),0,MAX(0,NETWORKDAYS(MAX(D572,DATE(Einstellungen!$C$3,10,1)),MIN(J572,DATE(Einstellungen!$C$3,11,0)),Einstellungen!$F$13:$F$32)))</f>
        <v/>
      </c>
      <c r="V572" s="49">
        <f>IF(OR(A572="",D572=""),0,MAX(0,NETWORKDAYS(MAX(D572,DATE(Einstellungen!$C$3,11,1)),MIN(J572,DATE(Einstellungen!$C$3,12,0)),Einstellungen!$F$13:$F$32)))</f>
        <v/>
      </c>
      <c r="W572" s="49">
        <f>IF(OR(A572="",D572=""),0,MAX(0,NETWORKDAYS(MAX(D572,DATE(Einstellungen!$C$3,12,1)),MIN(J572,DATE(Einstellungen!$C$3,13,0)),Einstellungen!$F$13:$F$32)))</f>
        <v/>
      </c>
      <c r="X572" s="50">
        <f>L572*K572</f>
        <v/>
      </c>
      <c r="Y572" s="50">
        <f>M572*K572</f>
        <v/>
      </c>
      <c r="Z572" s="50">
        <f>N572*K572</f>
        <v/>
      </c>
      <c r="AA572" s="50">
        <f>O572*K572</f>
        <v/>
      </c>
      <c r="AB572" s="50">
        <f>P572*K572</f>
        <v/>
      </c>
      <c r="AC572" s="50">
        <f>Q572*K572</f>
        <v/>
      </c>
      <c r="AD572" s="50">
        <f>R572*K572</f>
        <v/>
      </c>
      <c r="AE572" s="50">
        <f>S572*K572</f>
        <v/>
      </c>
      <c r="AF572" s="50">
        <f>T572*K572</f>
        <v/>
      </c>
      <c r="AG572" s="50">
        <f>U572*K572</f>
        <v/>
      </c>
      <c r="AH572" s="50">
        <f>V572*K572</f>
        <v/>
      </c>
      <c r="AI572" s="50">
        <f>W572*K572</f>
        <v/>
      </c>
    </row>
    <row r="573">
      <c r="A573" s="25" t="n"/>
      <c r="B573" s="45">
        <f>IF(A573="","",IFERROR(INDEX(Mitarbeiter!$B$6:$B$205,MATCH($A573,Mitarbeiter!$A$6:$A$205,0)),"?"))</f>
        <v/>
      </c>
      <c r="C573" s="46" t="n"/>
      <c r="D573" s="26" t="n"/>
      <c r="E573" s="26" t="n"/>
      <c r="F573" s="24">
        <f>IF(A573="","",SUM(L573:W573))</f>
        <v/>
      </c>
      <c r="G573" s="36">
        <f>IF(A573="","",SUM(X573:AI573))</f>
        <v/>
      </c>
      <c r="H573" s="8">
        <f>IF(A573="","",IF(ISNA(MATCH(A573,Mitarbeiter!$A$6:$A$205,0)),"Pers.-Nr. unbekannt",IF(D573="","Von fehlt",IF(AND(C573&lt;&gt;Einstellungen!$C$4,C573&lt;&gt;Einstellungen!$C$5),"Objekt fehlt",IF(J573&lt;D573,"Bis vor Von",IF(D573&lt;INDEX(Mitarbeiter!$C$6:$C$205,MATCH($A573,Mitarbeiter!$A$6:$A$205,0)),"vor Eintritt",IF(AND(INDEX(Mitarbeiter!$D$6:$D$205,MATCH($A573,Mitarbeiter!$A$6:$A$205,0))&lt;&gt;"",D573&gt;INDEX(Mitarbeiter!$D$6:$D$205,MATCH($A573,Mitarbeiter!$A$6:$A$205,0))),"nach Austritt",IF(E573="","offen","ok"))))))))</f>
        <v/>
      </c>
      <c r="J573" s="47">
        <f>IF(A573="","",IF(E573="",Einstellungen!$C$9,E573))</f>
        <v/>
      </c>
      <c r="K573" s="48">
        <f>IF(A573="",0,IFERROR(INDEX(Mitarbeiter!$F$6:$F$205,MATCH($A573,Mitarbeiter!$A$6:$A$205,0)),0))</f>
        <v/>
      </c>
      <c r="L573" s="49">
        <f>IF(OR(A573="",D573=""),0,MAX(0,NETWORKDAYS(MAX(D573,DATE(Einstellungen!$C$3,1,1)),MIN(J573,DATE(Einstellungen!$C$3,2,0)),Einstellungen!$F$13:$F$32)))</f>
        <v/>
      </c>
      <c r="M573" s="49">
        <f>IF(OR(A573="",D573=""),0,MAX(0,NETWORKDAYS(MAX(D573,DATE(Einstellungen!$C$3,2,1)),MIN(J573,DATE(Einstellungen!$C$3,3,0)),Einstellungen!$F$13:$F$32)))</f>
        <v/>
      </c>
      <c r="N573" s="49">
        <f>IF(OR(A573="",D573=""),0,MAX(0,NETWORKDAYS(MAX(D573,DATE(Einstellungen!$C$3,3,1)),MIN(J573,DATE(Einstellungen!$C$3,4,0)),Einstellungen!$F$13:$F$32)))</f>
        <v/>
      </c>
      <c r="O573" s="49">
        <f>IF(OR(A573="",D573=""),0,MAX(0,NETWORKDAYS(MAX(D573,DATE(Einstellungen!$C$3,4,1)),MIN(J573,DATE(Einstellungen!$C$3,5,0)),Einstellungen!$F$13:$F$32)))</f>
        <v/>
      </c>
      <c r="P573" s="49">
        <f>IF(OR(A573="",D573=""),0,MAX(0,NETWORKDAYS(MAX(D573,DATE(Einstellungen!$C$3,5,1)),MIN(J573,DATE(Einstellungen!$C$3,6,0)),Einstellungen!$F$13:$F$32)))</f>
        <v/>
      </c>
      <c r="Q573" s="49">
        <f>IF(OR(A573="",D573=""),0,MAX(0,NETWORKDAYS(MAX(D573,DATE(Einstellungen!$C$3,6,1)),MIN(J573,DATE(Einstellungen!$C$3,7,0)),Einstellungen!$F$13:$F$32)))</f>
        <v/>
      </c>
      <c r="R573" s="49">
        <f>IF(OR(A573="",D573=""),0,MAX(0,NETWORKDAYS(MAX(D573,DATE(Einstellungen!$C$3,7,1)),MIN(J573,DATE(Einstellungen!$C$3,8,0)),Einstellungen!$F$13:$F$32)))</f>
        <v/>
      </c>
      <c r="S573" s="49">
        <f>IF(OR(A573="",D573=""),0,MAX(0,NETWORKDAYS(MAX(D573,DATE(Einstellungen!$C$3,8,1)),MIN(J573,DATE(Einstellungen!$C$3,9,0)),Einstellungen!$F$13:$F$32)))</f>
        <v/>
      </c>
      <c r="T573" s="49">
        <f>IF(OR(A573="",D573=""),0,MAX(0,NETWORKDAYS(MAX(D573,DATE(Einstellungen!$C$3,9,1)),MIN(J573,DATE(Einstellungen!$C$3,10,0)),Einstellungen!$F$13:$F$32)))</f>
        <v/>
      </c>
      <c r="U573" s="49">
        <f>IF(OR(A573="",D573=""),0,MAX(0,NETWORKDAYS(MAX(D573,DATE(Einstellungen!$C$3,10,1)),MIN(J573,DATE(Einstellungen!$C$3,11,0)),Einstellungen!$F$13:$F$32)))</f>
        <v/>
      </c>
      <c r="V573" s="49">
        <f>IF(OR(A573="",D573=""),0,MAX(0,NETWORKDAYS(MAX(D573,DATE(Einstellungen!$C$3,11,1)),MIN(J573,DATE(Einstellungen!$C$3,12,0)),Einstellungen!$F$13:$F$32)))</f>
        <v/>
      </c>
      <c r="W573" s="49">
        <f>IF(OR(A573="",D573=""),0,MAX(0,NETWORKDAYS(MAX(D573,DATE(Einstellungen!$C$3,12,1)),MIN(J573,DATE(Einstellungen!$C$3,13,0)),Einstellungen!$F$13:$F$32)))</f>
        <v/>
      </c>
      <c r="X573" s="50">
        <f>L573*K573</f>
        <v/>
      </c>
      <c r="Y573" s="50">
        <f>M573*K573</f>
        <v/>
      </c>
      <c r="Z573" s="50">
        <f>N573*K573</f>
        <v/>
      </c>
      <c r="AA573" s="50">
        <f>O573*K573</f>
        <v/>
      </c>
      <c r="AB573" s="50">
        <f>P573*K573</f>
        <v/>
      </c>
      <c r="AC573" s="50">
        <f>Q573*K573</f>
        <v/>
      </c>
      <c r="AD573" s="50">
        <f>R573*K573</f>
        <v/>
      </c>
      <c r="AE573" s="50">
        <f>S573*K573</f>
        <v/>
      </c>
      <c r="AF573" s="50">
        <f>T573*K573</f>
        <v/>
      </c>
      <c r="AG573" s="50">
        <f>U573*K573</f>
        <v/>
      </c>
      <c r="AH573" s="50">
        <f>V573*K573</f>
        <v/>
      </c>
      <c r="AI573" s="50">
        <f>W573*K573</f>
        <v/>
      </c>
    </row>
    <row r="574">
      <c r="A574" s="25" t="n"/>
      <c r="B574" s="45">
        <f>IF(A574="","",IFERROR(INDEX(Mitarbeiter!$B$6:$B$205,MATCH($A574,Mitarbeiter!$A$6:$A$205,0)),"?"))</f>
        <v/>
      </c>
      <c r="C574" s="46" t="n"/>
      <c r="D574" s="26" t="n"/>
      <c r="E574" s="26" t="n"/>
      <c r="F574" s="24">
        <f>IF(A574="","",SUM(L574:W574))</f>
        <v/>
      </c>
      <c r="G574" s="36">
        <f>IF(A574="","",SUM(X574:AI574))</f>
        <v/>
      </c>
      <c r="H574" s="8">
        <f>IF(A574="","",IF(ISNA(MATCH(A574,Mitarbeiter!$A$6:$A$205,0)),"Pers.-Nr. unbekannt",IF(D574="","Von fehlt",IF(AND(C574&lt;&gt;Einstellungen!$C$4,C574&lt;&gt;Einstellungen!$C$5),"Objekt fehlt",IF(J574&lt;D574,"Bis vor Von",IF(D574&lt;INDEX(Mitarbeiter!$C$6:$C$205,MATCH($A574,Mitarbeiter!$A$6:$A$205,0)),"vor Eintritt",IF(AND(INDEX(Mitarbeiter!$D$6:$D$205,MATCH($A574,Mitarbeiter!$A$6:$A$205,0))&lt;&gt;"",D574&gt;INDEX(Mitarbeiter!$D$6:$D$205,MATCH($A574,Mitarbeiter!$A$6:$A$205,0))),"nach Austritt",IF(E574="","offen","ok"))))))))</f>
        <v/>
      </c>
      <c r="J574" s="47">
        <f>IF(A574="","",IF(E574="",Einstellungen!$C$9,E574))</f>
        <v/>
      </c>
      <c r="K574" s="48">
        <f>IF(A574="",0,IFERROR(INDEX(Mitarbeiter!$F$6:$F$205,MATCH($A574,Mitarbeiter!$A$6:$A$205,0)),0))</f>
        <v/>
      </c>
      <c r="L574" s="49">
        <f>IF(OR(A574="",D574=""),0,MAX(0,NETWORKDAYS(MAX(D574,DATE(Einstellungen!$C$3,1,1)),MIN(J574,DATE(Einstellungen!$C$3,2,0)),Einstellungen!$F$13:$F$32)))</f>
        <v/>
      </c>
      <c r="M574" s="49">
        <f>IF(OR(A574="",D574=""),0,MAX(0,NETWORKDAYS(MAX(D574,DATE(Einstellungen!$C$3,2,1)),MIN(J574,DATE(Einstellungen!$C$3,3,0)),Einstellungen!$F$13:$F$32)))</f>
        <v/>
      </c>
      <c r="N574" s="49">
        <f>IF(OR(A574="",D574=""),0,MAX(0,NETWORKDAYS(MAX(D574,DATE(Einstellungen!$C$3,3,1)),MIN(J574,DATE(Einstellungen!$C$3,4,0)),Einstellungen!$F$13:$F$32)))</f>
        <v/>
      </c>
      <c r="O574" s="49">
        <f>IF(OR(A574="",D574=""),0,MAX(0,NETWORKDAYS(MAX(D574,DATE(Einstellungen!$C$3,4,1)),MIN(J574,DATE(Einstellungen!$C$3,5,0)),Einstellungen!$F$13:$F$32)))</f>
        <v/>
      </c>
      <c r="P574" s="49">
        <f>IF(OR(A574="",D574=""),0,MAX(0,NETWORKDAYS(MAX(D574,DATE(Einstellungen!$C$3,5,1)),MIN(J574,DATE(Einstellungen!$C$3,6,0)),Einstellungen!$F$13:$F$32)))</f>
        <v/>
      </c>
      <c r="Q574" s="49">
        <f>IF(OR(A574="",D574=""),0,MAX(0,NETWORKDAYS(MAX(D574,DATE(Einstellungen!$C$3,6,1)),MIN(J574,DATE(Einstellungen!$C$3,7,0)),Einstellungen!$F$13:$F$32)))</f>
        <v/>
      </c>
      <c r="R574" s="49">
        <f>IF(OR(A574="",D574=""),0,MAX(0,NETWORKDAYS(MAX(D574,DATE(Einstellungen!$C$3,7,1)),MIN(J574,DATE(Einstellungen!$C$3,8,0)),Einstellungen!$F$13:$F$32)))</f>
        <v/>
      </c>
      <c r="S574" s="49">
        <f>IF(OR(A574="",D574=""),0,MAX(0,NETWORKDAYS(MAX(D574,DATE(Einstellungen!$C$3,8,1)),MIN(J574,DATE(Einstellungen!$C$3,9,0)),Einstellungen!$F$13:$F$32)))</f>
        <v/>
      </c>
      <c r="T574" s="49">
        <f>IF(OR(A574="",D574=""),0,MAX(0,NETWORKDAYS(MAX(D574,DATE(Einstellungen!$C$3,9,1)),MIN(J574,DATE(Einstellungen!$C$3,10,0)),Einstellungen!$F$13:$F$32)))</f>
        <v/>
      </c>
      <c r="U574" s="49">
        <f>IF(OR(A574="",D574=""),0,MAX(0,NETWORKDAYS(MAX(D574,DATE(Einstellungen!$C$3,10,1)),MIN(J574,DATE(Einstellungen!$C$3,11,0)),Einstellungen!$F$13:$F$32)))</f>
        <v/>
      </c>
      <c r="V574" s="49">
        <f>IF(OR(A574="",D574=""),0,MAX(0,NETWORKDAYS(MAX(D574,DATE(Einstellungen!$C$3,11,1)),MIN(J574,DATE(Einstellungen!$C$3,12,0)),Einstellungen!$F$13:$F$32)))</f>
        <v/>
      </c>
      <c r="W574" s="49">
        <f>IF(OR(A574="",D574=""),0,MAX(0,NETWORKDAYS(MAX(D574,DATE(Einstellungen!$C$3,12,1)),MIN(J574,DATE(Einstellungen!$C$3,13,0)),Einstellungen!$F$13:$F$32)))</f>
        <v/>
      </c>
      <c r="X574" s="50">
        <f>L574*K574</f>
        <v/>
      </c>
      <c r="Y574" s="50">
        <f>M574*K574</f>
        <v/>
      </c>
      <c r="Z574" s="50">
        <f>N574*K574</f>
        <v/>
      </c>
      <c r="AA574" s="50">
        <f>O574*K574</f>
        <v/>
      </c>
      <c r="AB574" s="50">
        <f>P574*K574</f>
        <v/>
      </c>
      <c r="AC574" s="50">
        <f>Q574*K574</f>
        <v/>
      </c>
      <c r="AD574" s="50">
        <f>R574*K574</f>
        <v/>
      </c>
      <c r="AE574" s="50">
        <f>S574*K574</f>
        <v/>
      </c>
      <c r="AF574" s="50">
        <f>T574*K574</f>
        <v/>
      </c>
      <c r="AG574" s="50">
        <f>U574*K574</f>
        <v/>
      </c>
      <c r="AH574" s="50">
        <f>V574*K574</f>
        <v/>
      </c>
      <c r="AI574" s="50">
        <f>W574*K574</f>
        <v/>
      </c>
    </row>
    <row r="575">
      <c r="A575" s="25" t="n"/>
      <c r="B575" s="45">
        <f>IF(A575="","",IFERROR(INDEX(Mitarbeiter!$B$6:$B$205,MATCH($A575,Mitarbeiter!$A$6:$A$205,0)),"?"))</f>
        <v/>
      </c>
      <c r="C575" s="46" t="n"/>
      <c r="D575" s="26" t="n"/>
      <c r="E575" s="26" t="n"/>
      <c r="F575" s="24">
        <f>IF(A575="","",SUM(L575:W575))</f>
        <v/>
      </c>
      <c r="G575" s="36">
        <f>IF(A575="","",SUM(X575:AI575))</f>
        <v/>
      </c>
      <c r="H575" s="8">
        <f>IF(A575="","",IF(ISNA(MATCH(A575,Mitarbeiter!$A$6:$A$205,0)),"Pers.-Nr. unbekannt",IF(D575="","Von fehlt",IF(AND(C575&lt;&gt;Einstellungen!$C$4,C575&lt;&gt;Einstellungen!$C$5),"Objekt fehlt",IF(J575&lt;D575,"Bis vor Von",IF(D575&lt;INDEX(Mitarbeiter!$C$6:$C$205,MATCH($A575,Mitarbeiter!$A$6:$A$205,0)),"vor Eintritt",IF(AND(INDEX(Mitarbeiter!$D$6:$D$205,MATCH($A575,Mitarbeiter!$A$6:$A$205,0))&lt;&gt;"",D575&gt;INDEX(Mitarbeiter!$D$6:$D$205,MATCH($A575,Mitarbeiter!$A$6:$A$205,0))),"nach Austritt",IF(E575="","offen","ok"))))))))</f>
        <v/>
      </c>
      <c r="J575" s="47">
        <f>IF(A575="","",IF(E575="",Einstellungen!$C$9,E575))</f>
        <v/>
      </c>
      <c r="K575" s="48">
        <f>IF(A575="",0,IFERROR(INDEX(Mitarbeiter!$F$6:$F$205,MATCH($A575,Mitarbeiter!$A$6:$A$205,0)),0))</f>
        <v/>
      </c>
      <c r="L575" s="49">
        <f>IF(OR(A575="",D575=""),0,MAX(0,NETWORKDAYS(MAX(D575,DATE(Einstellungen!$C$3,1,1)),MIN(J575,DATE(Einstellungen!$C$3,2,0)),Einstellungen!$F$13:$F$32)))</f>
        <v/>
      </c>
      <c r="M575" s="49">
        <f>IF(OR(A575="",D575=""),0,MAX(0,NETWORKDAYS(MAX(D575,DATE(Einstellungen!$C$3,2,1)),MIN(J575,DATE(Einstellungen!$C$3,3,0)),Einstellungen!$F$13:$F$32)))</f>
        <v/>
      </c>
      <c r="N575" s="49">
        <f>IF(OR(A575="",D575=""),0,MAX(0,NETWORKDAYS(MAX(D575,DATE(Einstellungen!$C$3,3,1)),MIN(J575,DATE(Einstellungen!$C$3,4,0)),Einstellungen!$F$13:$F$32)))</f>
        <v/>
      </c>
      <c r="O575" s="49">
        <f>IF(OR(A575="",D575=""),0,MAX(0,NETWORKDAYS(MAX(D575,DATE(Einstellungen!$C$3,4,1)),MIN(J575,DATE(Einstellungen!$C$3,5,0)),Einstellungen!$F$13:$F$32)))</f>
        <v/>
      </c>
      <c r="P575" s="49">
        <f>IF(OR(A575="",D575=""),0,MAX(0,NETWORKDAYS(MAX(D575,DATE(Einstellungen!$C$3,5,1)),MIN(J575,DATE(Einstellungen!$C$3,6,0)),Einstellungen!$F$13:$F$32)))</f>
        <v/>
      </c>
      <c r="Q575" s="49">
        <f>IF(OR(A575="",D575=""),0,MAX(0,NETWORKDAYS(MAX(D575,DATE(Einstellungen!$C$3,6,1)),MIN(J575,DATE(Einstellungen!$C$3,7,0)),Einstellungen!$F$13:$F$32)))</f>
        <v/>
      </c>
      <c r="R575" s="49">
        <f>IF(OR(A575="",D575=""),0,MAX(0,NETWORKDAYS(MAX(D575,DATE(Einstellungen!$C$3,7,1)),MIN(J575,DATE(Einstellungen!$C$3,8,0)),Einstellungen!$F$13:$F$32)))</f>
        <v/>
      </c>
      <c r="S575" s="49">
        <f>IF(OR(A575="",D575=""),0,MAX(0,NETWORKDAYS(MAX(D575,DATE(Einstellungen!$C$3,8,1)),MIN(J575,DATE(Einstellungen!$C$3,9,0)),Einstellungen!$F$13:$F$32)))</f>
        <v/>
      </c>
      <c r="T575" s="49">
        <f>IF(OR(A575="",D575=""),0,MAX(0,NETWORKDAYS(MAX(D575,DATE(Einstellungen!$C$3,9,1)),MIN(J575,DATE(Einstellungen!$C$3,10,0)),Einstellungen!$F$13:$F$32)))</f>
        <v/>
      </c>
      <c r="U575" s="49">
        <f>IF(OR(A575="",D575=""),0,MAX(0,NETWORKDAYS(MAX(D575,DATE(Einstellungen!$C$3,10,1)),MIN(J575,DATE(Einstellungen!$C$3,11,0)),Einstellungen!$F$13:$F$32)))</f>
        <v/>
      </c>
      <c r="V575" s="49">
        <f>IF(OR(A575="",D575=""),0,MAX(0,NETWORKDAYS(MAX(D575,DATE(Einstellungen!$C$3,11,1)),MIN(J575,DATE(Einstellungen!$C$3,12,0)),Einstellungen!$F$13:$F$32)))</f>
        <v/>
      </c>
      <c r="W575" s="49">
        <f>IF(OR(A575="",D575=""),0,MAX(0,NETWORKDAYS(MAX(D575,DATE(Einstellungen!$C$3,12,1)),MIN(J575,DATE(Einstellungen!$C$3,13,0)),Einstellungen!$F$13:$F$32)))</f>
        <v/>
      </c>
      <c r="X575" s="50">
        <f>L575*K575</f>
        <v/>
      </c>
      <c r="Y575" s="50">
        <f>M575*K575</f>
        <v/>
      </c>
      <c r="Z575" s="50">
        <f>N575*K575</f>
        <v/>
      </c>
      <c r="AA575" s="50">
        <f>O575*K575</f>
        <v/>
      </c>
      <c r="AB575" s="50">
        <f>P575*K575</f>
        <v/>
      </c>
      <c r="AC575" s="50">
        <f>Q575*K575</f>
        <v/>
      </c>
      <c r="AD575" s="50">
        <f>R575*K575</f>
        <v/>
      </c>
      <c r="AE575" s="50">
        <f>S575*K575</f>
        <v/>
      </c>
      <c r="AF575" s="50">
        <f>T575*K575</f>
        <v/>
      </c>
      <c r="AG575" s="50">
        <f>U575*K575</f>
        <v/>
      </c>
      <c r="AH575" s="50">
        <f>V575*K575</f>
        <v/>
      </c>
      <c r="AI575" s="50">
        <f>W575*K575</f>
        <v/>
      </c>
    </row>
    <row r="576">
      <c r="A576" s="25" t="n"/>
      <c r="B576" s="45">
        <f>IF(A576="","",IFERROR(INDEX(Mitarbeiter!$B$6:$B$205,MATCH($A576,Mitarbeiter!$A$6:$A$205,0)),"?"))</f>
        <v/>
      </c>
      <c r="C576" s="46" t="n"/>
      <c r="D576" s="26" t="n"/>
      <c r="E576" s="26" t="n"/>
      <c r="F576" s="24">
        <f>IF(A576="","",SUM(L576:W576))</f>
        <v/>
      </c>
      <c r="G576" s="36">
        <f>IF(A576="","",SUM(X576:AI576))</f>
        <v/>
      </c>
      <c r="H576" s="8">
        <f>IF(A576="","",IF(ISNA(MATCH(A576,Mitarbeiter!$A$6:$A$205,0)),"Pers.-Nr. unbekannt",IF(D576="","Von fehlt",IF(AND(C576&lt;&gt;Einstellungen!$C$4,C576&lt;&gt;Einstellungen!$C$5),"Objekt fehlt",IF(J576&lt;D576,"Bis vor Von",IF(D576&lt;INDEX(Mitarbeiter!$C$6:$C$205,MATCH($A576,Mitarbeiter!$A$6:$A$205,0)),"vor Eintritt",IF(AND(INDEX(Mitarbeiter!$D$6:$D$205,MATCH($A576,Mitarbeiter!$A$6:$A$205,0))&lt;&gt;"",D576&gt;INDEX(Mitarbeiter!$D$6:$D$205,MATCH($A576,Mitarbeiter!$A$6:$A$205,0))),"nach Austritt",IF(E576="","offen","ok"))))))))</f>
        <v/>
      </c>
      <c r="J576" s="47">
        <f>IF(A576="","",IF(E576="",Einstellungen!$C$9,E576))</f>
        <v/>
      </c>
      <c r="K576" s="48">
        <f>IF(A576="",0,IFERROR(INDEX(Mitarbeiter!$F$6:$F$205,MATCH($A576,Mitarbeiter!$A$6:$A$205,0)),0))</f>
        <v/>
      </c>
      <c r="L576" s="49">
        <f>IF(OR(A576="",D576=""),0,MAX(0,NETWORKDAYS(MAX(D576,DATE(Einstellungen!$C$3,1,1)),MIN(J576,DATE(Einstellungen!$C$3,2,0)),Einstellungen!$F$13:$F$32)))</f>
        <v/>
      </c>
      <c r="M576" s="49">
        <f>IF(OR(A576="",D576=""),0,MAX(0,NETWORKDAYS(MAX(D576,DATE(Einstellungen!$C$3,2,1)),MIN(J576,DATE(Einstellungen!$C$3,3,0)),Einstellungen!$F$13:$F$32)))</f>
        <v/>
      </c>
      <c r="N576" s="49">
        <f>IF(OR(A576="",D576=""),0,MAX(0,NETWORKDAYS(MAX(D576,DATE(Einstellungen!$C$3,3,1)),MIN(J576,DATE(Einstellungen!$C$3,4,0)),Einstellungen!$F$13:$F$32)))</f>
        <v/>
      </c>
      <c r="O576" s="49">
        <f>IF(OR(A576="",D576=""),0,MAX(0,NETWORKDAYS(MAX(D576,DATE(Einstellungen!$C$3,4,1)),MIN(J576,DATE(Einstellungen!$C$3,5,0)),Einstellungen!$F$13:$F$32)))</f>
        <v/>
      </c>
      <c r="P576" s="49">
        <f>IF(OR(A576="",D576=""),0,MAX(0,NETWORKDAYS(MAX(D576,DATE(Einstellungen!$C$3,5,1)),MIN(J576,DATE(Einstellungen!$C$3,6,0)),Einstellungen!$F$13:$F$32)))</f>
        <v/>
      </c>
      <c r="Q576" s="49">
        <f>IF(OR(A576="",D576=""),0,MAX(0,NETWORKDAYS(MAX(D576,DATE(Einstellungen!$C$3,6,1)),MIN(J576,DATE(Einstellungen!$C$3,7,0)),Einstellungen!$F$13:$F$32)))</f>
        <v/>
      </c>
      <c r="R576" s="49">
        <f>IF(OR(A576="",D576=""),0,MAX(0,NETWORKDAYS(MAX(D576,DATE(Einstellungen!$C$3,7,1)),MIN(J576,DATE(Einstellungen!$C$3,8,0)),Einstellungen!$F$13:$F$32)))</f>
        <v/>
      </c>
      <c r="S576" s="49">
        <f>IF(OR(A576="",D576=""),0,MAX(0,NETWORKDAYS(MAX(D576,DATE(Einstellungen!$C$3,8,1)),MIN(J576,DATE(Einstellungen!$C$3,9,0)),Einstellungen!$F$13:$F$32)))</f>
        <v/>
      </c>
      <c r="T576" s="49">
        <f>IF(OR(A576="",D576=""),0,MAX(0,NETWORKDAYS(MAX(D576,DATE(Einstellungen!$C$3,9,1)),MIN(J576,DATE(Einstellungen!$C$3,10,0)),Einstellungen!$F$13:$F$32)))</f>
        <v/>
      </c>
      <c r="U576" s="49">
        <f>IF(OR(A576="",D576=""),0,MAX(0,NETWORKDAYS(MAX(D576,DATE(Einstellungen!$C$3,10,1)),MIN(J576,DATE(Einstellungen!$C$3,11,0)),Einstellungen!$F$13:$F$32)))</f>
        <v/>
      </c>
      <c r="V576" s="49">
        <f>IF(OR(A576="",D576=""),0,MAX(0,NETWORKDAYS(MAX(D576,DATE(Einstellungen!$C$3,11,1)),MIN(J576,DATE(Einstellungen!$C$3,12,0)),Einstellungen!$F$13:$F$32)))</f>
        <v/>
      </c>
      <c r="W576" s="49">
        <f>IF(OR(A576="",D576=""),0,MAX(0,NETWORKDAYS(MAX(D576,DATE(Einstellungen!$C$3,12,1)),MIN(J576,DATE(Einstellungen!$C$3,13,0)),Einstellungen!$F$13:$F$32)))</f>
        <v/>
      </c>
      <c r="X576" s="50">
        <f>L576*K576</f>
        <v/>
      </c>
      <c r="Y576" s="50">
        <f>M576*K576</f>
        <v/>
      </c>
      <c r="Z576" s="50">
        <f>N576*K576</f>
        <v/>
      </c>
      <c r="AA576" s="50">
        <f>O576*K576</f>
        <v/>
      </c>
      <c r="AB576" s="50">
        <f>P576*K576</f>
        <v/>
      </c>
      <c r="AC576" s="50">
        <f>Q576*K576</f>
        <v/>
      </c>
      <c r="AD576" s="50">
        <f>R576*K576</f>
        <v/>
      </c>
      <c r="AE576" s="50">
        <f>S576*K576</f>
        <v/>
      </c>
      <c r="AF576" s="50">
        <f>T576*K576</f>
        <v/>
      </c>
      <c r="AG576" s="50">
        <f>U576*K576</f>
        <v/>
      </c>
      <c r="AH576" s="50">
        <f>V576*K576</f>
        <v/>
      </c>
      <c r="AI576" s="50">
        <f>W576*K576</f>
        <v/>
      </c>
    </row>
    <row r="577">
      <c r="A577" s="25" t="n"/>
      <c r="B577" s="45">
        <f>IF(A577="","",IFERROR(INDEX(Mitarbeiter!$B$6:$B$205,MATCH($A577,Mitarbeiter!$A$6:$A$205,0)),"?"))</f>
        <v/>
      </c>
      <c r="C577" s="46" t="n"/>
      <c r="D577" s="26" t="n"/>
      <c r="E577" s="26" t="n"/>
      <c r="F577" s="24">
        <f>IF(A577="","",SUM(L577:W577))</f>
        <v/>
      </c>
      <c r="G577" s="36">
        <f>IF(A577="","",SUM(X577:AI577))</f>
        <v/>
      </c>
      <c r="H577" s="8">
        <f>IF(A577="","",IF(ISNA(MATCH(A577,Mitarbeiter!$A$6:$A$205,0)),"Pers.-Nr. unbekannt",IF(D577="","Von fehlt",IF(AND(C577&lt;&gt;Einstellungen!$C$4,C577&lt;&gt;Einstellungen!$C$5),"Objekt fehlt",IF(J577&lt;D577,"Bis vor Von",IF(D577&lt;INDEX(Mitarbeiter!$C$6:$C$205,MATCH($A577,Mitarbeiter!$A$6:$A$205,0)),"vor Eintritt",IF(AND(INDEX(Mitarbeiter!$D$6:$D$205,MATCH($A577,Mitarbeiter!$A$6:$A$205,0))&lt;&gt;"",D577&gt;INDEX(Mitarbeiter!$D$6:$D$205,MATCH($A577,Mitarbeiter!$A$6:$A$205,0))),"nach Austritt",IF(E577="","offen","ok"))))))))</f>
        <v/>
      </c>
      <c r="J577" s="47">
        <f>IF(A577="","",IF(E577="",Einstellungen!$C$9,E577))</f>
        <v/>
      </c>
      <c r="K577" s="48">
        <f>IF(A577="",0,IFERROR(INDEX(Mitarbeiter!$F$6:$F$205,MATCH($A577,Mitarbeiter!$A$6:$A$205,0)),0))</f>
        <v/>
      </c>
      <c r="L577" s="49">
        <f>IF(OR(A577="",D577=""),0,MAX(0,NETWORKDAYS(MAX(D577,DATE(Einstellungen!$C$3,1,1)),MIN(J577,DATE(Einstellungen!$C$3,2,0)),Einstellungen!$F$13:$F$32)))</f>
        <v/>
      </c>
      <c r="M577" s="49">
        <f>IF(OR(A577="",D577=""),0,MAX(0,NETWORKDAYS(MAX(D577,DATE(Einstellungen!$C$3,2,1)),MIN(J577,DATE(Einstellungen!$C$3,3,0)),Einstellungen!$F$13:$F$32)))</f>
        <v/>
      </c>
      <c r="N577" s="49">
        <f>IF(OR(A577="",D577=""),0,MAX(0,NETWORKDAYS(MAX(D577,DATE(Einstellungen!$C$3,3,1)),MIN(J577,DATE(Einstellungen!$C$3,4,0)),Einstellungen!$F$13:$F$32)))</f>
        <v/>
      </c>
      <c r="O577" s="49">
        <f>IF(OR(A577="",D577=""),0,MAX(0,NETWORKDAYS(MAX(D577,DATE(Einstellungen!$C$3,4,1)),MIN(J577,DATE(Einstellungen!$C$3,5,0)),Einstellungen!$F$13:$F$32)))</f>
        <v/>
      </c>
      <c r="P577" s="49">
        <f>IF(OR(A577="",D577=""),0,MAX(0,NETWORKDAYS(MAX(D577,DATE(Einstellungen!$C$3,5,1)),MIN(J577,DATE(Einstellungen!$C$3,6,0)),Einstellungen!$F$13:$F$32)))</f>
        <v/>
      </c>
      <c r="Q577" s="49">
        <f>IF(OR(A577="",D577=""),0,MAX(0,NETWORKDAYS(MAX(D577,DATE(Einstellungen!$C$3,6,1)),MIN(J577,DATE(Einstellungen!$C$3,7,0)),Einstellungen!$F$13:$F$32)))</f>
        <v/>
      </c>
      <c r="R577" s="49">
        <f>IF(OR(A577="",D577=""),0,MAX(0,NETWORKDAYS(MAX(D577,DATE(Einstellungen!$C$3,7,1)),MIN(J577,DATE(Einstellungen!$C$3,8,0)),Einstellungen!$F$13:$F$32)))</f>
        <v/>
      </c>
      <c r="S577" s="49">
        <f>IF(OR(A577="",D577=""),0,MAX(0,NETWORKDAYS(MAX(D577,DATE(Einstellungen!$C$3,8,1)),MIN(J577,DATE(Einstellungen!$C$3,9,0)),Einstellungen!$F$13:$F$32)))</f>
        <v/>
      </c>
      <c r="T577" s="49">
        <f>IF(OR(A577="",D577=""),0,MAX(0,NETWORKDAYS(MAX(D577,DATE(Einstellungen!$C$3,9,1)),MIN(J577,DATE(Einstellungen!$C$3,10,0)),Einstellungen!$F$13:$F$32)))</f>
        <v/>
      </c>
      <c r="U577" s="49">
        <f>IF(OR(A577="",D577=""),0,MAX(0,NETWORKDAYS(MAX(D577,DATE(Einstellungen!$C$3,10,1)),MIN(J577,DATE(Einstellungen!$C$3,11,0)),Einstellungen!$F$13:$F$32)))</f>
        <v/>
      </c>
      <c r="V577" s="49">
        <f>IF(OR(A577="",D577=""),0,MAX(0,NETWORKDAYS(MAX(D577,DATE(Einstellungen!$C$3,11,1)),MIN(J577,DATE(Einstellungen!$C$3,12,0)),Einstellungen!$F$13:$F$32)))</f>
        <v/>
      </c>
      <c r="W577" s="49">
        <f>IF(OR(A577="",D577=""),0,MAX(0,NETWORKDAYS(MAX(D577,DATE(Einstellungen!$C$3,12,1)),MIN(J577,DATE(Einstellungen!$C$3,13,0)),Einstellungen!$F$13:$F$32)))</f>
        <v/>
      </c>
      <c r="X577" s="50">
        <f>L577*K577</f>
        <v/>
      </c>
      <c r="Y577" s="50">
        <f>M577*K577</f>
        <v/>
      </c>
      <c r="Z577" s="50">
        <f>N577*K577</f>
        <v/>
      </c>
      <c r="AA577" s="50">
        <f>O577*K577</f>
        <v/>
      </c>
      <c r="AB577" s="50">
        <f>P577*K577</f>
        <v/>
      </c>
      <c r="AC577" s="50">
        <f>Q577*K577</f>
        <v/>
      </c>
      <c r="AD577" s="50">
        <f>R577*K577</f>
        <v/>
      </c>
      <c r="AE577" s="50">
        <f>S577*K577</f>
        <v/>
      </c>
      <c r="AF577" s="50">
        <f>T577*K577</f>
        <v/>
      </c>
      <c r="AG577" s="50">
        <f>U577*K577</f>
        <v/>
      </c>
      <c r="AH577" s="50">
        <f>V577*K577</f>
        <v/>
      </c>
      <c r="AI577" s="50">
        <f>W577*K577</f>
        <v/>
      </c>
    </row>
    <row r="578">
      <c r="A578" s="25" t="n"/>
      <c r="B578" s="45">
        <f>IF(A578="","",IFERROR(INDEX(Mitarbeiter!$B$6:$B$205,MATCH($A578,Mitarbeiter!$A$6:$A$205,0)),"?"))</f>
        <v/>
      </c>
      <c r="C578" s="46" t="n"/>
      <c r="D578" s="26" t="n"/>
      <c r="E578" s="26" t="n"/>
      <c r="F578" s="24">
        <f>IF(A578="","",SUM(L578:W578))</f>
        <v/>
      </c>
      <c r="G578" s="36">
        <f>IF(A578="","",SUM(X578:AI578))</f>
        <v/>
      </c>
      <c r="H578" s="8">
        <f>IF(A578="","",IF(ISNA(MATCH(A578,Mitarbeiter!$A$6:$A$205,0)),"Pers.-Nr. unbekannt",IF(D578="","Von fehlt",IF(AND(C578&lt;&gt;Einstellungen!$C$4,C578&lt;&gt;Einstellungen!$C$5),"Objekt fehlt",IF(J578&lt;D578,"Bis vor Von",IF(D578&lt;INDEX(Mitarbeiter!$C$6:$C$205,MATCH($A578,Mitarbeiter!$A$6:$A$205,0)),"vor Eintritt",IF(AND(INDEX(Mitarbeiter!$D$6:$D$205,MATCH($A578,Mitarbeiter!$A$6:$A$205,0))&lt;&gt;"",D578&gt;INDEX(Mitarbeiter!$D$6:$D$205,MATCH($A578,Mitarbeiter!$A$6:$A$205,0))),"nach Austritt",IF(E578="","offen","ok"))))))))</f>
        <v/>
      </c>
      <c r="J578" s="47">
        <f>IF(A578="","",IF(E578="",Einstellungen!$C$9,E578))</f>
        <v/>
      </c>
      <c r="K578" s="48">
        <f>IF(A578="",0,IFERROR(INDEX(Mitarbeiter!$F$6:$F$205,MATCH($A578,Mitarbeiter!$A$6:$A$205,0)),0))</f>
        <v/>
      </c>
      <c r="L578" s="49">
        <f>IF(OR(A578="",D578=""),0,MAX(0,NETWORKDAYS(MAX(D578,DATE(Einstellungen!$C$3,1,1)),MIN(J578,DATE(Einstellungen!$C$3,2,0)),Einstellungen!$F$13:$F$32)))</f>
        <v/>
      </c>
      <c r="M578" s="49">
        <f>IF(OR(A578="",D578=""),0,MAX(0,NETWORKDAYS(MAX(D578,DATE(Einstellungen!$C$3,2,1)),MIN(J578,DATE(Einstellungen!$C$3,3,0)),Einstellungen!$F$13:$F$32)))</f>
        <v/>
      </c>
      <c r="N578" s="49">
        <f>IF(OR(A578="",D578=""),0,MAX(0,NETWORKDAYS(MAX(D578,DATE(Einstellungen!$C$3,3,1)),MIN(J578,DATE(Einstellungen!$C$3,4,0)),Einstellungen!$F$13:$F$32)))</f>
        <v/>
      </c>
      <c r="O578" s="49">
        <f>IF(OR(A578="",D578=""),0,MAX(0,NETWORKDAYS(MAX(D578,DATE(Einstellungen!$C$3,4,1)),MIN(J578,DATE(Einstellungen!$C$3,5,0)),Einstellungen!$F$13:$F$32)))</f>
        <v/>
      </c>
      <c r="P578" s="49">
        <f>IF(OR(A578="",D578=""),0,MAX(0,NETWORKDAYS(MAX(D578,DATE(Einstellungen!$C$3,5,1)),MIN(J578,DATE(Einstellungen!$C$3,6,0)),Einstellungen!$F$13:$F$32)))</f>
        <v/>
      </c>
      <c r="Q578" s="49">
        <f>IF(OR(A578="",D578=""),0,MAX(0,NETWORKDAYS(MAX(D578,DATE(Einstellungen!$C$3,6,1)),MIN(J578,DATE(Einstellungen!$C$3,7,0)),Einstellungen!$F$13:$F$32)))</f>
        <v/>
      </c>
      <c r="R578" s="49">
        <f>IF(OR(A578="",D578=""),0,MAX(0,NETWORKDAYS(MAX(D578,DATE(Einstellungen!$C$3,7,1)),MIN(J578,DATE(Einstellungen!$C$3,8,0)),Einstellungen!$F$13:$F$32)))</f>
        <v/>
      </c>
      <c r="S578" s="49">
        <f>IF(OR(A578="",D578=""),0,MAX(0,NETWORKDAYS(MAX(D578,DATE(Einstellungen!$C$3,8,1)),MIN(J578,DATE(Einstellungen!$C$3,9,0)),Einstellungen!$F$13:$F$32)))</f>
        <v/>
      </c>
      <c r="T578" s="49">
        <f>IF(OR(A578="",D578=""),0,MAX(0,NETWORKDAYS(MAX(D578,DATE(Einstellungen!$C$3,9,1)),MIN(J578,DATE(Einstellungen!$C$3,10,0)),Einstellungen!$F$13:$F$32)))</f>
        <v/>
      </c>
      <c r="U578" s="49">
        <f>IF(OR(A578="",D578=""),0,MAX(0,NETWORKDAYS(MAX(D578,DATE(Einstellungen!$C$3,10,1)),MIN(J578,DATE(Einstellungen!$C$3,11,0)),Einstellungen!$F$13:$F$32)))</f>
        <v/>
      </c>
      <c r="V578" s="49">
        <f>IF(OR(A578="",D578=""),0,MAX(0,NETWORKDAYS(MAX(D578,DATE(Einstellungen!$C$3,11,1)),MIN(J578,DATE(Einstellungen!$C$3,12,0)),Einstellungen!$F$13:$F$32)))</f>
        <v/>
      </c>
      <c r="W578" s="49">
        <f>IF(OR(A578="",D578=""),0,MAX(0,NETWORKDAYS(MAX(D578,DATE(Einstellungen!$C$3,12,1)),MIN(J578,DATE(Einstellungen!$C$3,13,0)),Einstellungen!$F$13:$F$32)))</f>
        <v/>
      </c>
      <c r="X578" s="50">
        <f>L578*K578</f>
        <v/>
      </c>
      <c r="Y578" s="50">
        <f>M578*K578</f>
        <v/>
      </c>
      <c r="Z578" s="50">
        <f>N578*K578</f>
        <v/>
      </c>
      <c r="AA578" s="50">
        <f>O578*K578</f>
        <v/>
      </c>
      <c r="AB578" s="50">
        <f>P578*K578</f>
        <v/>
      </c>
      <c r="AC578" s="50">
        <f>Q578*K578</f>
        <v/>
      </c>
      <c r="AD578" s="50">
        <f>R578*K578</f>
        <v/>
      </c>
      <c r="AE578" s="50">
        <f>S578*K578</f>
        <v/>
      </c>
      <c r="AF578" s="50">
        <f>T578*K578</f>
        <v/>
      </c>
      <c r="AG578" s="50">
        <f>U578*K578</f>
        <v/>
      </c>
      <c r="AH578" s="50">
        <f>V578*K578</f>
        <v/>
      </c>
      <c r="AI578" s="50">
        <f>W578*K578</f>
        <v/>
      </c>
    </row>
    <row r="579">
      <c r="A579" s="25" t="n"/>
      <c r="B579" s="45">
        <f>IF(A579="","",IFERROR(INDEX(Mitarbeiter!$B$6:$B$205,MATCH($A579,Mitarbeiter!$A$6:$A$205,0)),"?"))</f>
        <v/>
      </c>
      <c r="C579" s="46" t="n"/>
      <c r="D579" s="26" t="n"/>
      <c r="E579" s="26" t="n"/>
      <c r="F579" s="24">
        <f>IF(A579="","",SUM(L579:W579))</f>
        <v/>
      </c>
      <c r="G579" s="36">
        <f>IF(A579="","",SUM(X579:AI579))</f>
        <v/>
      </c>
      <c r="H579" s="8">
        <f>IF(A579="","",IF(ISNA(MATCH(A579,Mitarbeiter!$A$6:$A$205,0)),"Pers.-Nr. unbekannt",IF(D579="","Von fehlt",IF(AND(C579&lt;&gt;Einstellungen!$C$4,C579&lt;&gt;Einstellungen!$C$5),"Objekt fehlt",IF(J579&lt;D579,"Bis vor Von",IF(D579&lt;INDEX(Mitarbeiter!$C$6:$C$205,MATCH($A579,Mitarbeiter!$A$6:$A$205,0)),"vor Eintritt",IF(AND(INDEX(Mitarbeiter!$D$6:$D$205,MATCH($A579,Mitarbeiter!$A$6:$A$205,0))&lt;&gt;"",D579&gt;INDEX(Mitarbeiter!$D$6:$D$205,MATCH($A579,Mitarbeiter!$A$6:$A$205,0))),"nach Austritt",IF(E579="","offen","ok"))))))))</f>
        <v/>
      </c>
      <c r="J579" s="47">
        <f>IF(A579="","",IF(E579="",Einstellungen!$C$9,E579))</f>
        <v/>
      </c>
      <c r="K579" s="48">
        <f>IF(A579="",0,IFERROR(INDEX(Mitarbeiter!$F$6:$F$205,MATCH($A579,Mitarbeiter!$A$6:$A$205,0)),0))</f>
        <v/>
      </c>
      <c r="L579" s="49">
        <f>IF(OR(A579="",D579=""),0,MAX(0,NETWORKDAYS(MAX(D579,DATE(Einstellungen!$C$3,1,1)),MIN(J579,DATE(Einstellungen!$C$3,2,0)),Einstellungen!$F$13:$F$32)))</f>
        <v/>
      </c>
      <c r="M579" s="49">
        <f>IF(OR(A579="",D579=""),0,MAX(0,NETWORKDAYS(MAX(D579,DATE(Einstellungen!$C$3,2,1)),MIN(J579,DATE(Einstellungen!$C$3,3,0)),Einstellungen!$F$13:$F$32)))</f>
        <v/>
      </c>
      <c r="N579" s="49">
        <f>IF(OR(A579="",D579=""),0,MAX(0,NETWORKDAYS(MAX(D579,DATE(Einstellungen!$C$3,3,1)),MIN(J579,DATE(Einstellungen!$C$3,4,0)),Einstellungen!$F$13:$F$32)))</f>
        <v/>
      </c>
      <c r="O579" s="49">
        <f>IF(OR(A579="",D579=""),0,MAX(0,NETWORKDAYS(MAX(D579,DATE(Einstellungen!$C$3,4,1)),MIN(J579,DATE(Einstellungen!$C$3,5,0)),Einstellungen!$F$13:$F$32)))</f>
        <v/>
      </c>
      <c r="P579" s="49">
        <f>IF(OR(A579="",D579=""),0,MAX(0,NETWORKDAYS(MAX(D579,DATE(Einstellungen!$C$3,5,1)),MIN(J579,DATE(Einstellungen!$C$3,6,0)),Einstellungen!$F$13:$F$32)))</f>
        <v/>
      </c>
      <c r="Q579" s="49">
        <f>IF(OR(A579="",D579=""),0,MAX(0,NETWORKDAYS(MAX(D579,DATE(Einstellungen!$C$3,6,1)),MIN(J579,DATE(Einstellungen!$C$3,7,0)),Einstellungen!$F$13:$F$32)))</f>
        <v/>
      </c>
      <c r="R579" s="49">
        <f>IF(OR(A579="",D579=""),0,MAX(0,NETWORKDAYS(MAX(D579,DATE(Einstellungen!$C$3,7,1)),MIN(J579,DATE(Einstellungen!$C$3,8,0)),Einstellungen!$F$13:$F$32)))</f>
        <v/>
      </c>
      <c r="S579" s="49">
        <f>IF(OR(A579="",D579=""),0,MAX(0,NETWORKDAYS(MAX(D579,DATE(Einstellungen!$C$3,8,1)),MIN(J579,DATE(Einstellungen!$C$3,9,0)),Einstellungen!$F$13:$F$32)))</f>
        <v/>
      </c>
      <c r="T579" s="49">
        <f>IF(OR(A579="",D579=""),0,MAX(0,NETWORKDAYS(MAX(D579,DATE(Einstellungen!$C$3,9,1)),MIN(J579,DATE(Einstellungen!$C$3,10,0)),Einstellungen!$F$13:$F$32)))</f>
        <v/>
      </c>
      <c r="U579" s="49">
        <f>IF(OR(A579="",D579=""),0,MAX(0,NETWORKDAYS(MAX(D579,DATE(Einstellungen!$C$3,10,1)),MIN(J579,DATE(Einstellungen!$C$3,11,0)),Einstellungen!$F$13:$F$32)))</f>
        <v/>
      </c>
      <c r="V579" s="49">
        <f>IF(OR(A579="",D579=""),0,MAX(0,NETWORKDAYS(MAX(D579,DATE(Einstellungen!$C$3,11,1)),MIN(J579,DATE(Einstellungen!$C$3,12,0)),Einstellungen!$F$13:$F$32)))</f>
        <v/>
      </c>
      <c r="W579" s="49">
        <f>IF(OR(A579="",D579=""),0,MAX(0,NETWORKDAYS(MAX(D579,DATE(Einstellungen!$C$3,12,1)),MIN(J579,DATE(Einstellungen!$C$3,13,0)),Einstellungen!$F$13:$F$32)))</f>
        <v/>
      </c>
      <c r="X579" s="50">
        <f>L579*K579</f>
        <v/>
      </c>
      <c r="Y579" s="50">
        <f>M579*K579</f>
        <v/>
      </c>
      <c r="Z579" s="50">
        <f>N579*K579</f>
        <v/>
      </c>
      <c r="AA579" s="50">
        <f>O579*K579</f>
        <v/>
      </c>
      <c r="AB579" s="50">
        <f>P579*K579</f>
        <v/>
      </c>
      <c r="AC579" s="50">
        <f>Q579*K579</f>
        <v/>
      </c>
      <c r="AD579" s="50">
        <f>R579*K579</f>
        <v/>
      </c>
      <c r="AE579" s="50">
        <f>S579*K579</f>
        <v/>
      </c>
      <c r="AF579" s="50">
        <f>T579*K579</f>
        <v/>
      </c>
      <c r="AG579" s="50">
        <f>U579*K579</f>
        <v/>
      </c>
      <c r="AH579" s="50">
        <f>V579*K579</f>
        <v/>
      </c>
      <c r="AI579" s="50">
        <f>W579*K579</f>
        <v/>
      </c>
    </row>
    <row r="580">
      <c r="A580" s="25" t="n"/>
      <c r="B580" s="45">
        <f>IF(A580="","",IFERROR(INDEX(Mitarbeiter!$B$6:$B$205,MATCH($A580,Mitarbeiter!$A$6:$A$205,0)),"?"))</f>
        <v/>
      </c>
      <c r="C580" s="46" t="n"/>
      <c r="D580" s="26" t="n"/>
      <c r="E580" s="26" t="n"/>
      <c r="F580" s="24">
        <f>IF(A580="","",SUM(L580:W580))</f>
        <v/>
      </c>
      <c r="G580" s="36">
        <f>IF(A580="","",SUM(X580:AI580))</f>
        <v/>
      </c>
      <c r="H580" s="8">
        <f>IF(A580="","",IF(ISNA(MATCH(A580,Mitarbeiter!$A$6:$A$205,0)),"Pers.-Nr. unbekannt",IF(D580="","Von fehlt",IF(AND(C580&lt;&gt;Einstellungen!$C$4,C580&lt;&gt;Einstellungen!$C$5),"Objekt fehlt",IF(J580&lt;D580,"Bis vor Von",IF(D580&lt;INDEX(Mitarbeiter!$C$6:$C$205,MATCH($A580,Mitarbeiter!$A$6:$A$205,0)),"vor Eintritt",IF(AND(INDEX(Mitarbeiter!$D$6:$D$205,MATCH($A580,Mitarbeiter!$A$6:$A$205,0))&lt;&gt;"",D580&gt;INDEX(Mitarbeiter!$D$6:$D$205,MATCH($A580,Mitarbeiter!$A$6:$A$205,0))),"nach Austritt",IF(E580="","offen","ok"))))))))</f>
        <v/>
      </c>
      <c r="J580" s="47">
        <f>IF(A580="","",IF(E580="",Einstellungen!$C$9,E580))</f>
        <v/>
      </c>
      <c r="K580" s="48">
        <f>IF(A580="",0,IFERROR(INDEX(Mitarbeiter!$F$6:$F$205,MATCH($A580,Mitarbeiter!$A$6:$A$205,0)),0))</f>
        <v/>
      </c>
      <c r="L580" s="49">
        <f>IF(OR(A580="",D580=""),0,MAX(0,NETWORKDAYS(MAX(D580,DATE(Einstellungen!$C$3,1,1)),MIN(J580,DATE(Einstellungen!$C$3,2,0)),Einstellungen!$F$13:$F$32)))</f>
        <v/>
      </c>
      <c r="M580" s="49">
        <f>IF(OR(A580="",D580=""),0,MAX(0,NETWORKDAYS(MAX(D580,DATE(Einstellungen!$C$3,2,1)),MIN(J580,DATE(Einstellungen!$C$3,3,0)),Einstellungen!$F$13:$F$32)))</f>
        <v/>
      </c>
      <c r="N580" s="49">
        <f>IF(OR(A580="",D580=""),0,MAX(0,NETWORKDAYS(MAX(D580,DATE(Einstellungen!$C$3,3,1)),MIN(J580,DATE(Einstellungen!$C$3,4,0)),Einstellungen!$F$13:$F$32)))</f>
        <v/>
      </c>
      <c r="O580" s="49">
        <f>IF(OR(A580="",D580=""),0,MAX(0,NETWORKDAYS(MAX(D580,DATE(Einstellungen!$C$3,4,1)),MIN(J580,DATE(Einstellungen!$C$3,5,0)),Einstellungen!$F$13:$F$32)))</f>
        <v/>
      </c>
      <c r="P580" s="49">
        <f>IF(OR(A580="",D580=""),0,MAX(0,NETWORKDAYS(MAX(D580,DATE(Einstellungen!$C$3,5,1)),MIN(J580,DATE(Einstellungen!$C$3,6,0)),Einstellungen!$F$13:$F$32)))</f>
        <v/>
      </c>
      <c r="Q580" s="49">
        <f>IF(OR(A580="",D580=""),0,MAX(0,NETWORKDAYS(MAX(D580,DATE(Einstellungen!$C$3,6,1)),MIN(J580,DATE(Einstellungen!$C$3,7,0)),Einstellungen!$F$13:$F$32)))</f>
        <v/>
      </c>
      <c r="R580" s="49">
        <f>IF(OR(A580="",D580=""),0,MAX(0,NETWORKDAYS(MAX(D580,DATE(Einstellungen!$C$3,7,1)),MIN(J580,DATE(Einstellungen!$C$3,8,0)),Einstellungen!$F$13:$F$32)))</f>
        <v/>
      </c>
      <c r="S580" s="49">
        <f>IF(OR(A580="",D580=""),0,MAX(0,NETWORKDAYS(MAX(D580,DATE(Einstellungen!$C$3,8,1)),MIN(J580,DATE(Einstellungen!$C$3,9,0)),Einstellungen!$F$13:$F$32)))</f>
        <v/>
      </c>
      <c r="T580" s="49">
        <f>IF(OR(A580="",D580=""),0,MAX(0,NETWORKDAYS(MAX(D580,DATE(Einstellungen!$C$3,9,1)),MIN(J580,DATE(Einstellungen!$C$3,10,0)),Einstellungen!$F$13:$F$32)))</f>
        <v/>
      </c>
      <c r="U580" s="49">
        <f>IF(OR(A580="",D580=""),0,MAX(0,NETWORKDAYS(MAX(D580,DATE(Einstellungen!$C$3,10,1)),MIN(J580,DATE(Einstellungen!$C$3,11,0)),Einstellungen!$F$13:$F$32)))</f>
        <v/>
      </c>
      <c r="V580" s="49">
        <f>IF(OR(A580="",D580=""),0,MAX(0,NETWORKDAYS(MAX(D580,DATE(Einstellungen!$C$3,11,1)),MIN(J580,DATE(Einstellungen!$C$3,12,0)),Einstellungen!$F$13:$F$32)))</f>
        <v/>
      </c>
      <c r="W580" s="49">
        <f>IF(OR(A580="",D580=""),0,MAX(0,NETWORKDAYS(MAX(D580,DATE(Einstellungen!$C$3,12,1)),MIN(J580,DATE(Einstellungen!$C$3,13,0)),Einstellungen!$F$13:$F$32)))</f>
        <v/>
      </c>
      <c r="X580" s="50">
        <f>L580*K580</f>
        <v/>
      </c>
      <c r="Y580" s="50">
        <f>M580*K580</f>
        <v/>
      </c>
      <c r="Z580" s="50">
        <f>N580*K580</f>
        <v/>
      </c>
      <c r="AA580" s="50">
        <f>O580*K580</f>
        <v/>
      </c>
      <c r="AB580" s="50">
        <f>P580*K580</f>
        <v/>
      </c>
      <c r="AC580" s="50">
        <f>Q580*K580</f>
        <v/>
      </c>
      <c r="AD580" s="50">
        <f>R580*K580</f>
        <v/>
      </c>
      <c r="AE580" s="50">
        <f>S580*K580</f>
        <v/>
      </c>
      <c r="AF580" s="50">
        <f>T580*K580</f>
        <v/>
      </c>
      <c r="AG580" s="50">
        <f>U580*K580</f>
        <v/>
      </c>
      <c r="AH580" s="50">
        <f>V580*K580</f>
        <v/>
      </c>
      <c r="AI580" s="50">
        <f>W580*K580</f>
        <v/>
      </c>
    </row>
    <row r="581">
      <c r="A581" s="25" t="n"/>
      <c r="B581" s="45">
        <f>IF(A581="","",IFERROR(INDEX(Mitarbeiter!$B$6:$B$205,MATCH($A581,Mitarbeiter!$A$6:$A$205,0)),"?"))</f>
        <v/>
      </c>
      <c r="C581" s="46" t="n"/>
      <c r="D581" s="26" t="n"/>
      <c r="E581" s="26" t="n"/>
      <c r="F581" s="24">
        <f>IF(A581="","",SUM(L581:W581))</f>
        <v/>
      </c>
      <c r="G581" s="36">
        <f>IF(A581="","",SUM(X581:AI581))</f>
        <v/>
      </c>
      <c r="H581" s="8">
        <f>IF(A581="","",IF(ISNA(MATCH(A581,Mitarbeiter!$A$6:$A$205,0)),"Pers.-Nr. unbekannt",IF(D581="","Von fehlt",IF(AND(C581&lt;&gt;Einstellungen!$C$4,C581&lt;&gt;Einstellungen!$C$5),"Objekt fehlt",IF(J581&lt;D581,"Bis vor Von",IF(D581&lt;INDEX(Mitarbeiter!$C$6:$C$205,MATCH($A581,Mitarbeiter!$A$6:$A$205,0)),"vor Eintritt",IF(AND(INDEX(Mitarbeiter!$D$6:$D$205,MATCH($A581,Mitarbeiter!$A$6:$A$205,0))&lt;&gt;"",D581&gt;INDEX(Mitarbeiter!$D$6:$D$205,MATCH($A581,Mitarbeiter!$A$6:$A$205,0))),"nach Austritt",IF(E581="","offen","ok"))))))))</f>
        <v/>
      </c>
      <c r="J581" s="47">
        <f>IF(A581="","",IF(E581="",Einstellungen!$C$9,E581))</f>
        <v/>
      </c>
      <c r="K581" s="48">
        <f>IF(A581="",0,IFERROR(INDEX(Mitarbeiter!$F$6:$F$205,MATCH($A581,Mitarbeiter!$A$6:$A$205,0)),0))</f>
        <v/>
      </c>
      <c r="L581" s="49">
        <f>IF(OR(A581="",D581=""),0,MAX(0,NETWORKDAYS(MAX(D581,DATE(Einstellungen!$C$3,1,1)),MIN(J581,DATE(Einstellungen!$C$3,2,0)),Einstellungen!$F$13:$F$32)))</f>
        <v/>
      </c>
      <c r="M581" s="49">
        <f>IF(OR(A581="",D581=""),0,MAX(0,NETWORKDAYS(MAX(D581,DATE(Einstellungen!$C$3,2,1)),MIN(J581,DATE(Einstellungen!$C$3,3,0)),Einstellungen!$F$13:$F$32)))</f>
        <v/>
      </c>
      <c r="N581" s="49">
        <f>IF(OR(A581="",D581=""),0,MAX(0,NETWORKDAYS(MAX(D581,DATE(Einstellungen!$C$3,3,1)),MIN(J581,DATE(Einstellungen!$C$3,4,0)),Einstellungen!$F$13:$F$32)))</f>
        <v/>
      </c>
      <c r="O581" s="49">
        <f>IF(OR(A581="",D581=""),0,MAX(0,NETWORKDAYS(MAX(D581,DATE(Einstellungen!$C$3,4,1)),MIN(J581,DATE(Einstellungen!$C$3,5,0)),Einstellungen!$F$13:$F$32)))</f>
        <v/>
      </c>
      <c r="P581" s="49">
        <f>IF(OR(A581="",D581=""),0,MAX(0,NETWORKDAYS(MAX(D581,DATE(Einstellungen!$C$3,5,1)),MIN(J581,DATE(Einstellungen!$C$3,6,0)),Einstellungen!$F$13:$F$32)))</f>
        <v/>
      </c>
      <c r="Q581" s="49">
        <f>IF(OR(A581="",D581=""),0,MAX(0,NETWORKDAYS(MAX(D581,DATE(Einstellungen!$C$3,6,1)),MIN(J581,DATE(Einstellungen!$C$3,7,0)),Einstellungen!$F$13:$F$32)))</f>
        <v/>
      </c>
      <c r="R581" s="49">
        <f>IF(OR(A581="",D581=""),0,MAX(0,NETWORKDAYS(MAX(D581,DATE(Einstellungen!$C$3,7,1)),MIN(J581,DATE(Einstellungen!$C$3,8,0)),Einstellungen!$F$13:$F$32)))</f>
        <v/>
      </c>
      <c r="S581" s="49">
        <f>IF(OR(A581="",D581=""),0,MAX(0,NETWORKDAYS(MAX(D581,DATE(Einstellungen!$C$3,8,1)),MIN(J581,DATE(Einstellungen!$C$3,9,0)),Einstellungen!$F$13:$F$32)))</f>
        <v/>
      </c>
      <c r="T581" s="49">
        <f>IF(OR(A581="",D581=""),0,MAX(0,NETWORKDAYS(MAX(D581,DATE(Einstellungen!$C$3,9,1)),MIN(J581,DATE(Einstellungen!$C$3,10,0)),Einstellungen!$F$13:$F$32)))</f>
        <v/>
      </c>
      <c r="U581" s="49">
        <f>IF(OR(A581="",D581=""),0,MAX(0,NETWORKDAYS(MAX(D581,DATE(Einstellungen!$C$3,10,1)),MIN(J581,DATE(Einstellungen!$C$3,11,0)),Einstellungen!$F$13:$F$32)))</f>
        <v/>
      </c>
      <c r="V581" s="49">
        <f>IF(OR(A581="",D581=""),0,MAX(0,NETWORKDAYS(MAX(D581,DATE(Einstellungen!$C$3,11,1)),MIN(J581,DATE(Einstellungen!$C$3,12,0)),Einstellungen!$F$13:$F$32)))</f>
        <v/>
      </c>
      <c r="W581" s="49">
        <f>IF(OR(A581="",D581=""),0,MAX(0,NETWORKDAYS(MAX(D581,DATE(Einstellungen!$C$3,12,1)),MIN(J581,DATE(Einstellungen!$C$3,13,0)),Einstellungen!$F$13:$F$32)))</f>
        <v/>
      </c>
      <c r="X581" s="50">
        <f>L581*K581</f>
        <v/>
      </c>
      <c r="Y581" s="50">
        <f>M581*K581</f>
        <v/>
      </c>
      <c r="Z581" s="50">
        <f>N581*K581</f>
        <v/>
      </c>
      <c r="AA581" s="50">
        <f>O581*K581</f>
        <v/>
      </c>
      <c r="AB581" s="50">
        <f>P581*K581</f>
        <v/>
      </c>
      <c r="AC581" s="50">
        <f>Q581*K581</f>
        <v/>
      </c>
      <c r="AD581" s="50">
        <f>R581*K581</f>
        <v/>
      </c>
      <c r="AE581" s="50">
        <f>S581*K581</f>
        <v/>
      </c>
      <c r="AF581" s="50">
        <f>T581*K581</f>
        <v/>
      </c>
      <c r="AG581" s="50">
        <f>U581*K581</f>
        <v/>
      </c>
      <c r="AH581" s="50">
        <f>V581*K581</f>
        <v/>
      </c>
      <c r="AI581" s="50">
        <f>W581*K581</f>
        <v/>
      </c>
    </row>
    <row r="582">
      <c r="A582" s="25" t="n"/>
      <c r="B582" s="45">
        <f>IF(A582="","",IFERROR(INDEX(Mitarbeiter!$B$6:$B$205,MATCH($A582,Mitarbeiter!$A$6:$A$205,0)),"?"))</f>
        <v/>
      </c>
      <c r="C582" s="46" t="n"/>
      <c r="D582" s="26" t="n"/>
      <c r="E582" s="26" t="n"/>
      <c r="F582" s="24">
        <f>IF(A582="","",SUM(L582:W582))</f>
        <v/>
      </c>
      <c r="G582" s="36">
        <f>IF(A582="","",SUM(X582:AI582))</f>
        <v/>
      </c>
      <c r="H582" s="8">
        <f>IF(A582="","",IF(ISNA(MATCH(A582,Mitarbeiter!$A$6:$A$205,0)),"Pers.-Nr. unbekannt",IF(D582="","Von fehlt",IF(AND(C582&lt;&gt;Einstellungen!$C$4,C582&lt;&gt;Einstellungen!$C$5),"Objekt fehlt",IF(J582&lt;D582,"Bis vor Von",IF(D582&lt;INDEX(Mitarbeiter!$C$6:$C$205,MATCH($A582,Mitarbeiter!$A$6:$A$205,0)),"vor Eintritt",IF(AND(INDEX(Mitarbeiter!$D$6:$D$205,MATCH($A582,Mitarbeiter!$A$6:$A$205,0))&lt;&gt;"",D582&gt;INDEX(Mitarbeiter!$D$6:$D$205,MATCH($A582,Mitarbeiter!$A$6:$A$205,0))),"nach Austritt",IF(E582="","offen","ok"))))))))</f>
        <v/>
      </c>
      <c r="J582" s="47">
        <f>IF(A582="","",IF(E582="",Einstellungen!$C$9,E582))</f>
        <v/>
      </c>
      <c r="K582" s="48">
        <f>IF(A582="",0,IFERROR(INDEX(Mitarbeiter!$F$6:$F$205,MATCH($A582,Mitarbeiter!$A$6:$A$205,0)),0))</f>
        <v/>
      </c>
      <c r="L582" s="49">
        <f>IF(OR(A582="",D582=""),0,MAX(0,NETWORKDAYS(MAX(D582,DATE(Einstellungen!$C$3,1,1)),MIN(J582,DATE(Einstellungen!$C$3,2,0)),Einstellungen!$F$13:$F$32)))</f>
        <v/>
      </c>
      <c r="M582" s="49">
        <f>IF(OR(A582="",D582=""),0,MAX(0,NETWORKDAYS(MAX(D582,DATE(Einstellungen!$C$3,2,1)),MIN(J582,DATE(Einstellungen!$C$3,3,0)),Einstellungen!$F$13:$F$32)))</f>
        <v/>
      </c>
      <c r="N582" s="49">
        <f>IF(OR(A582="",D582=""),0,MAX(0,NETWORKDAYS(MAX(D582,DATE(Einstellungen!$C$3,3,1)),MIN(J582,DATE(Einstellungen!$C$3,4,0)),Einstellungen!$F$13:$F$32)))</f>
        <v/>
      </c>
      <c r="O582" s="49">
        <f>IF(OR(A582="",D582=""),0,MAX(0,NETWORKDAYS(MAX(D582,DATE(Einstellungen!$C$3,4,1)),MIN(J582,DATE(Einstellungen!$C$3,5,0)),Einstellungen!$F$13:$F$32)))</f>
        <v/>
      </c>
      <c r="P582" s="49">
        <f>IF(OR(A582="",D582=""),0,MAX(0,NETWORKDAYS(MAX(D582,DATE(Einstellungen!$C$3,5,1)),MIN(J582,DATE(Einstellungen!$C$3,6,0)),Einstellungen!$F$13:$F$32)))</f>
        <v/>
      </c>
      <c r="Q582" s="49">
        <f>IF(OR(A582="",D582=""),0,MAX(0,NETWORKDAYS(MAX(D582,DATE(Einstellungen!$C$3,6,1)),MIN(J582,DATE(Einstellungen!$C$3,7,0)),Einstellungen!$F$13:$F$32)))</f>
        <v/>
      </c>
      <c r="R582" s="49">
        <f>IF(OR(A582="",D582=""),0,MAX(0,NETWORKDAYS(MAX(D582,DATE(Einstellungen!$C$3,7,1)),MIN(J582,DATE(Einstellungen!$C$3,8,0)),Einstellungen!$F$13:$F$32)))</f>
        <v/>
      </c>
      <c r="S582" s="49">
        <f>IF(OR(A582="",D582=""),0,MAX(0,NETWORKDAYS(MAX(D582,DATE(Einstellungen!$C$3,8,1)),MIN(J582,DATE(Einstellungen!$C$3,9,0)),Einstellungen!$F$13:$F$32)))</f>
        <v/>
      </c>
      <c r="T582" s="49">
        <f>IF(OR(A582="",D582=""),0,MAX(0,NETWORKDAYS(MAX(D582,DATE(Einstellungen!$C$3,9,1)),MIN(J582,DATE(Einstellungen!$C$3,10,0)),Einstellungen!$F$13:$F$32)))</f>
        <v/>
      </c>
      <c r="U582" s="49">
        <f>IF(OR(A582="",D582=""),0,MAX(0,NETWORKDAYS(MAX(D582,DATE(Einstellungen!$C$3,10,1)),MIN(J582,DATE(Einstellungen!$C$3,11,0)),Einstellungen!$F$13:$F$32)))</f>
        <v/>
      </c>
      <c r="V582" s="49">
        <f>IF(OR(A582="",D582=""),0,MAX(0,NETWORKDAYS(MAX(D582,DATE(Einstellungen!$C$3,11,1)),MIN(J582,DATE(Einstellungen!$C$3,12,0)),Einstellungen!$F$13:$F$32)))</f>
        <v/>
      </c>
      <c r="W582" s="49">
        <f>IF(OR(A582="",D582=""),0,MAX(0,NETWORKDAYS(MAX(D582,DATE(Einstellungen!$C$3,12,1)),MIN(J582,DATE(Einstellungen!$C$3,13,0)),Einstellungen!$F$13:$F$32)))</f>
        <v/>
      </c>
      <c r="X582" s="50">
        <f>L582*K582</f>
        <v/>
      </c>
      <c r="Y582" s="50">
        <f>M582*K582</f>
        <v/>
      </c>
      <c r="Z582" s="50">
        <f>N582*K582</f>
        <v/>
      </c>
      <c r="AA582" s="50">
        <f>O582*K582</f>
        <v/>
      </c>
      <c r="AB582" s="50">
        <f>P582*K582</f>
        <v/>
      </c>
      <c r="AC582" s="50">
        <f>Q582*K582</f>
        <v/>
      </c>
      <c r="AD582" s="50">
        <f>R582*K582</f>
        <v/>
      </c>
      <c r="AE582" s="50">
        <f>S582*K582</f>
        <v/>
      </c>
      <c r="AF582" s="50">
        <f>T582*K582</f>
        <v/>
      </c>
      <c r="AG582" s="50">
        <f>U582*K582</f>
        <v/>
      </c>
      <c r="AH582" s="50">
        <f>V582*K582</f>
        <v/>
      </c>
      <c r="AI582" s="50">
        <f>W582*K582</f>
        <v/>
      </c>
    </row>
    <row r="583">
      <c r="A583" s="25" t="n"/>
      <c r="B583" s="45">
        <f>IF(A583="","",IFERROR(INDEX(Mitarbeiter!$B$6:$B$205,MATCH($A583,Mitarbeiter!$A$6:$A$205,0)),"?"))</f>
        <v/>
      </c>
      <c r="C583" s="46" t="n"/>
      <c r="D583" s="26" t="n"/>
      <c r="E583" s="26" t="n"/>
      <c r="F583" s="24">
        <f>IF(A583="","",SUM(L583:W583))</f>
        <v/>
      </c>
      <c r="G583" s="36">
        <f>IF(A583="","",SUM(X583:AI583))</f>
        <v/>
      </c>
      <c r="H583" s="8">
        <f>IF(A583="","",IF(ISNA(MATCH(A583,Mitarbeiter!$A$6:$A$205,0)),"Pers.-Nr. unbekannt",IF(D583="","Von fehlt",IF(AND(C583&lt;&gt;Einstellungen!$C$4,C583&lt;&gt;Einstellungen!$C$5),"Objekt fehlt",IF(J583&lt;D583,"Bis vor Von",IF(D583&lt;INDEX(Mitarbeiter!$C$6:$C$205,MATCH($A583,Mitarbeiter!$A$6:$A$205,0)),"vor Eintritt",IF(AND(INDEX(Mitarbeiter!$D$6:$D$205,MATCH($A583,Mitarbeiter!$A$6:$A$205,0))&lt;&gt;"",D583&gt;INDEX(Mitarbeiter!$D$6:$D$205,MATCH($A583,Mitarbeiter!$A$6:$A$205,0))),"nach Austritt",IF(E583="","offen","ok"))))))))</f>
        <v/>
      </c>
      <c r="J583" s="47">
        <f>IF(A583="","",IF(E583="",Einstellungen!$C$9,E583))</f>
        <v/>
      </c>
      <c r="K583" s="48">
        <f>IF(A583="",0,IFERROR(INDEX(Mitarbeiter!$F$6:$F$205,MATCH($A583,Mitarbeiter!$A$6:$A$205,0)),0))</f>
        <v/>
      </c>
      <c r="L583" s="49">
        <f>IF(OR(A583="",D583=""),0,MAX(0,NETWORKDAYS(MAX(D583,DATE(Einstellungen!$C$3,1,1)),MIN(J583,DATE(Einstellungen!$C$3,2,0)),Einstellungen!$F$13:$F$32)))</f>
        <v/>
      </c>
      <c r="M583" s="49">
        <f>IF(OR(A583="",D583=""),0,MAX(0,NETWORKDAYS(MAX(D583,DATE(Einstellungen!$C$3,2,1)),MIN(J583,DATE(Einstellungen!$C$3,3,0)),Einstellungen!$F$13:$F$32)))</f>
        <v/>
      </c>
      <c r="N583" s="49">
        <f>IF(OR(A583="",D583=""),0,MAX(0,NETWORKDAYS(MAX(D583,DATE(Einstellungen!$C$3,3,1)),MIN(J583,DATE(Einstellungen!$C$3,4,0)),Einstellungen!$F$13:$F$32)))</f>
        <v/>
      </c>
      <c r="O583" s="49">
        <f>IF(OR(A583="",D583=""),0,MAX(0,NETWORKDAYS(MAX(D583,DATE(Einstellungen!$C$3,4,1)),MIN(J583,DATE(Einstellungen!$C$3,5,0)),Einstellungen!$F$13:$F$32)))</f>
        <v/>
      </c>
      <c r="P583" s="49">
        <f>IF(OR(A583="",D583=""),0,MAX(0,NETWORKDAYS(MAX(D583,DATE(Einstellungen!$C$3,5,1)),MIN(J583,DATE(Einstellungen!$C$3,6,0)),Einstellungen!$F$13:$F$32)))</f>
        <v/>
      </c>
      <c r="Q583" s="49">
        <f>IF(OR(A583="",D583=""),0,MAX(0,NETWORKDAYS(MAX(D583,DATE(Einstellungen!$C$3,6,1)),MIN(J583,DATE(Einstellungen!$C$3,7,0)),Einstellungen!$F$13:$F$32)))</f>
        <v/>
      </c>
      <c r="R583" s="49">
        <f>IF(OR(A583="",D583=""),0,MAX(0,NETWORKDAYS(MAX(D583,DATE(Einstellungen!$C$3,7,1)),MIN(J583,DATE(Einstellungen!$C$3,8,0)),Einstellungen!$F$13:$F$32)))</f>
        <v/>
      </c>
      <c r="S583" s="49">
        <f>IF(OR(A583="",D583=""),0,MAX(0,NETWORKDAYS(MAX(D583,DATE(Einstellungen!$C$3,8,1)),MIN(J583,DATE(Einstellungen!$C$3,9,0)),Einstellungen!$F$13:$F$32)))</f>
        <v/>
      </c>
      <c r="T583" s="49">
        <f>IF(OR(A583="",D583=""),0,MAX(0,NETWORKDAYS(MAX(D583,DATE(Einstellungen!$C$3,9,1)),MIN(J583,DATE(Einstellungen!$C$3,10,0)),Einstellungen!$F$13:$F$32)))</f>
        <v/>
      </c>
      <c r="U583" s="49">
        <f>IF(OR(A583="",D583=""),0,MAX(0,NETWORKDAYS(MAX(D583,DATE(Einstellungen!$C$3,10,1)),MIN(J583,DATE(Einstellungen!$C$3,11,0)),Einstellungen!$F$13:$F$32)))</f>
        <v/>
      </c>
      <c r="V583" s="49">
        <f>IF(OR(A583="",D583=""),0,MAX(0,NETWORKDAYS(MAX(D583,DATE(Einstellungen!$C$3,11,1)),MIN(J583,DATE(Einstellungen!$C$3,12,0)),Einstellungen!$F$13:$F$32)))</f>
        <v/>
      </c>
      <c r="W583" s="49">
        <f>IF(OR(A583="",D583=""),0,MAX(0,NETWORKDAYS(MAX(D583,DATE(Einstellungen!$C$3,12,1)),MIN(J583,DATE(Einstellungen!$C$3,13,0)),Einstellungen!$F$13:$F$32)))</f>
        <v/>
      </c>
      <c r="X583" s="50">
        <f>L583*K583</f>
        <v/>
      </c>
      <c r="Y583" s="50">
        <f>M583*K583</f>
        <v/>
      </c>
      <c r="Z583" s="50">
        <f>N583*K583</f>
        <v/>
      </c>
      <c r="AA583" s="50">
        <f>O583*K583</f>
        <v/>
      </c>
      <c r="AB583" s="50">
        <f>P583*K583</f>
        <v/>
      </c>
      <c r="AC583" s="50">
        <f>Q583*K583</f>
        <v/>
      </c>
      <c r="AD583" s="50">
        <f>R583*K583</f>
        <v/>
      </c>
      <c r="AE583" s="50">
        <f>S583*K583</f>
        <v/>
      </c>
      <c r="AF583" s="50">
        <f>T583*K583</f>
        <v/>
      </c>
      <c r="AG583" s="50">
        <f>U583*K583</f>
        <v/>
      </c>
      <c r="AH583" s="50">
        <f>V583*K583</f>
        <v/>
      </c>
      <c r="AI583" s="50">
        <f>W583*K583</f>
        <v/>
      </c>
    </row>
    <row r="584">
      <c r="A584" s="25" t="n"/>
      <c r="B584" s="45">
        <f>IF(A584="","",IFERROR(INDEX(Mitarbeiter!$B$6:$B$205,MATCH($A584,Mitarbeiter!$A$6:$A$205,0)),"?"))</f>
        <v/>
      </c>
      <c r="C584" s="46" t="n"/>
      <c r="D584" s="26" t="n"/>
      <c r="E584" s="26" t="n"/>
      <c r="F584" s="24">
        <f>IF(A584="","",SUM(L584:W584))</f>
        <v/>
      </c>
      <c r="G584" s="36">
        <f>IF(A584="","",SUM(X584:AI584))</f>
        <v/>
      </c>
      <c r="H584" s="8">
        <f>IF(A584="","",IF(ISNA(MATCH(A584,Mitarbeiter!$A$6:$A$205,0)),"Pers.-Nr. unbekannt",IF(D584="","Von fehlt",IF(AND(C584&lt;&gt;Einstellungen!$C$4,C584&lt;&gt;Einstellungen!$C$5),"Objekt fehlt",IF(J584&lt;D584,"Bis vor Von",IF(D584&lt;INDEX(Mitarbeiter!$C$6:$C$205,MATCH($A584,Mitarbeiter!$A$6:$A$205,0)),"vor Eintritt",IF(AND(INDEX(Mitarbeiter!$D$6:$D$205,MATCH($A584,Mitarbeiter!$A$6:$A$205,0))&lt;&gt;"",D584&gt;INDEX(Mitarbeiter!$D$6:$D$205,MATCH($A584,Mitarbeiter!$A$6:$A$205,0))),"nach Austritt",IF(E584="","offen","ok"))))))))</f>
        <v/>
      </c>
      <c r="J584" s="47">
        <f>IF(A584="","",IF(E584="",Einstellungen!$C$9,E584))</f>
        <v/>
      </c>
      <c r="K584" s="48">
        <f>IF(A584="",0,IFERROR(INDEX(Mitarbeiter!$F$6:$F$205,MATCH($A584,Mitarbeiter!$A$6:$A$205,0)),0))</f>
        <v/>
      </c>
      <c r="L584" s="49">
        <f>IF(OR(A584="",D584=""),0,MAX(0,NETWORKDAYS(MAX(D584,DATE(Einstellungen!$C$3,1,1)),MIN(J584,DATE(Einstellungen!$C$3,2,0)),Einstellungen!$F$13:$F$32)))</f>
        <v/>
      </c>
      <c r="M584" s="49">
        <f>IF(OR(A584="",D584=""),0,MAX(0,NETWORKDAYS(MAX(D584,DATE(Einstellungen!$C$3,2,1)),MIN(J584,DATE(Einstellungen!$C$3,3,0)),Einstellungen!$F$13:$F$32)))</f>
        <v/>
      </c>
      <c r="N584" s="49">
        <f>IF(OR(A584="",D584=""),0,MAX(0,NETWORKDAYS(MAX(D584,DATE(Einstellungen!$C$3,3,1)),MIN(J584,DATE(Einstellungen!$C$3,4,0)),Einstellungen!$F$13:$F$32)))</f>
        <v/>
      </c>
      <c r="O584" s="49">
        <f>IF(OR(A584="",D584=""),0,MAX(0,NETWORKDAYS(MAX(D584,DATE(Einstellungen!$C$3,4,1)),MIN(J584,DATE(Einstellungen!$C$3,5,0)),Einstellungen!$F$13:$F$32)))</f>
        <v/>
      </c>
      <c r="P584" s="49">
        <f>IF(OR(A584="",D584=""),0,MAX(0,NETWORKDAYS(MAX(D584,DATE(Einstellungen!$C$3,5,1)),MIN(J584,DATE(Einstellungen!$C$3,6,0)),Einstellungen!$F$13:$F$32)))</f>
        <v/>
      </c>
      <c r="Q584" s="49">
        <f>IF(OR(A584="",D584=""),0,MAX(0,NETWORKDAYS(MAX(D584,DATE(Einstellungen!$C$3,6,1)),MIN(J584,DATE(Einstellungen!$C$3,7,0)),Einstellungen!$F$13:$F$32)))</f>
        <v/>
      </c>
      <c r="R584" s="49">
        <f>IF(OR(A584="",D584=""),0,MAX(0,NETWORKDAYS(MAX(D584,DATE(Einstellungen!$C$3,7,1)),MIN(J584,DATE(Einstellungen!$C$3,8,0)),Einstellungen!$F$13:$F$32)))</f>
        <v/>
      </c>
      <c r="S584" s="49">
        <f>IF(OR(A584="",D584=""),0,MAX(0,NETWORKDAYS(MAX(D584,DATE(Einstellungen!$C$3,8,1)),MIN(J584,DATE(Einstellungen!$C$3,9,0)),Einstellungen!$F$13:$F$32)))</f>
        <v/>
      </c>
      <c r="T584" s="49">
        <f>IF(OR(A584="",D584=""),0,MAX(0,NETWORKDAYS(MAX(D584,DATE(Einstellungen!$C$3,9,1)),MIN(J584,DATE(Einstellungen!$C$3,10,0)),Einstellungen!$F$13:$F$32)))</f>
        <v/>
      </c>
      <c r="U584" s="49">
        <f>IF(OR(A584="",D584=""),0,MAX(0,NETWORKDAYS(MAX(D584,DATE(Einstellungen!$C$3,10,1)),MIN(J584,DATE(Einstellungen!$C$3,11,0)),Einstellungen!$F$13:$F$32)))</f>
        <v/>
      </c>
      <c r="V584" s="49">
        <f>IF(OR(A584="",D584=""),0,MAX(0,NETWORKDAYS(MAX(D584,DATE(Einstellungen!$C$3,11,1)),MIN(J584,DATE(Einstellungen!$C$3,12,0)),Einstellungen!$F$13:$F$32)))</f>
        <v/>
      </c>
      <c r="W584" s="49">
        <f>IF(OR(A584="",D584=""),0,MAX(0,NETWORKDAYS(MAX(D584,DATE(Einstellungen!$C$3,12,1)),MIN(J584,DATE(Einstellungen!$C$3,13,0)),Einstellungen!$F$13:$F$32)))</f>
        <v/>
      </c>
      <c r="X584" s="50">
        <f>L584*K584</f>
        <v/>
      </c>
      <c r="Y584" s="50">
        <f>M584*K584</f>
        <v/>
      </c>
      <c r="Z584" s="50">
        <f>N584*K584</f>
        <v/>
      </c>
      <c r="AA584" s="50">
        <f>O584*K584</f>
        <v/>
      </c>
      <c r="AB584" s="50">
        <f>P584*K584</f>
        <v/>
      </c>
      <c r="AC584" s="50">
        <f>Q584*K584</f>
        <v/>
      </c>
      <c r="AD584" s="50">
        <f>R584*K584</f>
        <v/>
      </c>
      <c r="AE584" s="50">
        <f>S584*K584</f>
        <v/>
      </c>
      <c r="AF584" s="50">
        <f>T584*K584</f>
        <v/>
      </c>
      <c r="AG584" s="50">
        <f>U584*K584</f>
        <v/>
      </c>
      <c r="AH584" s="50">
        <f>V584*K584</f>
        <v/>
      </c>
      <c r="AI584" s="50">
        <f>W584*K584</f>
        <v/>
      </c>
    </row>
    <row r="585">
      <c r="A585" s="25" t="n"/>
      <c r="B585" s="45">
        <f>IF(A585="","",IFERROR(INDEX(Mitarbeiter!$B$6:$B$205,MATCH($A585,Mitarbeiter!$A$6:$A$205,0)),"?"))</f>
        <v/>
      </c>
      <c r="C585" s="46" t="n"/>
      <c r="D585" s="26" t="n"/>
      <c r="E585" s="26" t="n"/>
      <c r="F585" s="24">
        <f>IF(A585="","",SUM(L585:W585))</f>
        <v/>
      </c>
      <c r="G585" s="36">
        <f>IF(A585="","",SUM(X585:AI585))</f>
        <v/>
      </c>
      <c r="H585" s="8">
        <f>IF(A585="","",IF(ISNA(MATCH(A585,Mitarbeiter!$A$6:$A$205,0)),"Pers.-Nr. unbekannt",IF(D585="","Von fehlt",IF(AND(C585&lt;&gt;Einstellungen!$C$4,C585&lt;&gt;Einstellungen!$C$5),"Objekt fehlt",IF(J585&lt;D585,"Bis vor Von",IF(D585&lt;INDEX(Mitarbeiter!$C$6:$C$205,MATCH($A585,Mitarbeiter!$A$6:$A$205,0)),"vor Eintritt",IF(AND(INDEX(Mitarbeiter!$D$6:$D$205,MATCH($A585,Mitarbeiter!$A$6:$A$205,0))&lt;&gt;"",D585&gt;INDEX(Mitarbeiter!$D$6:$D$205,MATCH($A585,Mitarbeiter!$A$6:$A$205,0))),"nach Austritt",IF(E585="","offen","ok"))))))))</f>
        <v/>
      </c>
      <c r="J585" s="47">
        <f>IF(A585="","",IF(E585="",Einstellungen!$C$9,E585))</f>
        <v/>
      </c>
      <c r="K585" s="48">
        <f>IF(A585="",0,IFERROR(INDEX(Mitarbeiter!$F$6:$F$205,MATCH($A585,Mitarbeiter!$A$6:$A$205,0)),0))</f>
        <v/>
      </c>
      <c r="L585" s="49">
        <f>IF(OR(A585="",D585=""),0,MAX(0,NETWORKDAYS(MAX(D585,DATE(Einstellungen!$C$3,1,1)),MIN(J585,DATE(Einstellungen!$C$3,2,0)),Einstellungen!$F$13:$F$32)))</f>
        <v/>
      </c>
      <c r="M585" s="49">
        <f>IF(OR(A585="",D585=""),0,MAX(0,NETWORKDAYS(MAX(D585,DATE(Einstellungen!$C$3,2,1)),MIN(J585,DATE(Einstellungen!$C$3,3,0)),Einstellungen!$F$13:$F$32)))</f>
        <v/>
      </c>
      <c r="N585" s="49">
        <f>IF(OR(A585="",D585=""),0,MAX(0,NETWORKDAYS(MAX(D585,DATE(Einstellungen!$C$3,3,1)),MIN(J585,DATE(Einstellungen!$C$3,4,0)),Einstellungen!$F$13:$F$32)))</f>
        <v/>
      </c>
      <c r="O585" s="49">
        <f>IF(OR(A585="",D585=""),0,MAX(0,NETWORKDAYS(MAX(D585,DATE(Einstellungen!$C$3,4,1)),MIN(J585,DATE(Einstellungen!$C$3,5,0)),Einstellungen!$F$13:$F$32)))</f>
        <v/>
      </c>
      <c r="P585" s="49">
        <f>IF(OR(A585="",D585=""),0,MAX(0,NETWORKDAYS(MAX(D585,DATE(Einstellungen!$C$3,5,1)),MIN(J585,DATE(Einstellungen!$C$3,6,0)),Einstellungen!$F$13:$F$32)))</f>
        <v/>
      </c>
      <c r="Q585" s="49">
        <f>IF(OR(A585="",D585=""),0,MAX(0,NETWORKDAYS(MAX(D585,DATE(Einstellungen!$C$3,6,1)),MIN(J585,DATE(Einstellungen!$C$3,7,0)),Einstellungen!$F$13:$F$32)))</f>
        <v/>
      </c>
      <c r="R585" s="49">
        <f>IF(OR(A585="",D585=""),0,MAX(0,NETWORKDAYS(MAX(D585,DATE(Einstellungen!$C$3,7,1)),MIN(J585,DATE(Einstellungen!$C$3,8,0)),Einstellungen!$F$13:$F$32)))</f>
        <v/>
      </c>
      <c r="S585" s="49">
        <f>IF(OR(A585="",D585=""),0,MAX(0,NETWORKDAYS(MAX(D585,DATE(Einstellungen!$C$3,8,1)),MIN(J585,DATE(Einstellungen!$C$3,9,0)),Einstellungen!$F$13:$F$32)))</f>
        <v/>
      </c>
      <c r="T585" s="49">
        <f>IF(OR(A585="",D585=""),0,MAX(0,NETWORKDAYS(MAX(D585,DATE(Einstellungen!$C$3,9,1)),MIN(J585,DATE(Einstellungen!$C$3,10,0)),Einstellungen!$F$13:$F$32)))</f>
        <v/>
      </c>
      <c r="U585" s="49">
        <f>IF(OR(A585="",D585=""),0,MAX(0,NETWORKDAYS(MAX(D585,DATE(Einstellungen!$C$3,10,1)),MIN(J585,DATE(Einstellungen!$C$3,11,0)),Einstellungen!$F$13:$F$32)))</f>
        <v/>
      </c>
      <c r="V585" s="49">
        <f>IF(OR(A585="",D585=""),0,MAX(0,NETWORKDAYS(MAX(D585,DATE(Einstellungen!$C$3,11,1)),MIN(J585,DATE(Einstellungen!$C$3,12,0)),Einstellungen!$F$13:$F$32)))</f>
        <v/>
      </c>
      <c r="W585" s="49">
        <f>IF(OR(A585="",D585=""),0,MAX(0,NETWORKDAYS(MAX(D585,DATE(Einstellungen!$C$3,12,1)),MIN(J585,DATE(Einstellungen!$C$3,13,0)),Einstellungen!$F$13:$F$32)))</f>
        <v/>
      </c>
      <c r="X585" s="50">
        <f>L585*K585</f>
        <v/>
      </c>
      <c r="Y585" s="50">
        <f>M585*K585</f>
        <v/>
      </c>
      <c r="Z585" s="50">
        <f>N585*K585</f>
        <v/>
      </c>
      <c r="AA585" s="50">
        <f>O585*K585</f>
        <v/>
      </c>
      <c r="AB585" s="50">
        <f>P585*K585</f>
        <v/>
      </c>
      <c r="AC585" s="50">
        <f>Q585*K585</f>
        <v/>
      </c>
      <c r="AD585" s="50">
        <f>R585*K585</f>
        <v/>
      </c>
      <c r="AE585" s="50">
        <f>S585*K585</f>
        <v/>
      </c>
      <c r="AF585" s="50">
        <f>T585*K585</f>
        <v/>
      </c>
      <c r="AG585" s="50">
        <f>U585*K585</f>
        <v/>
      </c>
      <c r="AH585" s="50">
        <f>V585*K585</f>
        <v/>
      </c>
      <c r="AI585" s="50">
        <f>W585*K585</f>
        <v/>
      </c>
    </row>
    <row r="586">
      <c r="A586" s="25" t="n"/>
      <c r="B586" s="45">
        <f>IF(A586="","",IFERROR(INDEX(Mitarbeiter!$B$6:$B$205,MATCH($A586,Mitarbeiter!$A$6:$A$205,0)),"?"))</f>
        <v/>
      </c>
      <c r="C586" s="46" t="n"/>
      <c r="D586" s="26" t="n"/>
      <c r="E586" s="26" t="n"/>
      <c r="F586" s="24">
        <f>IF(A586="","",SUM(L586:W586))</f>
        <v/>
      </c>
      <c r="G586" s="36">
        <f>IF(A586="","",SUM(X586:AI586))</f>
        <v/>
      </c>
      <c r="H586" s="8">
        <f>IF(A586="","",IF(ISNA(MATCH(A586,Mitarbeiter!$A$6:$A$205,0)),"Pers.-Nr. unbekannt",IF(D586="","Von fehlt",IF(AND(C586&lt;&gt;Einstellungen!$C$4,C586&lt;&gt;Einstellungen!$C$5),"Objekt fehlt",IF(J586&lt;D586,"Bis vor Von",IF(D586&lt;INDEX(Mitarbeiter!$C$6:$C$205,MATCH($A586,Mitarbeiter!$A$6:$A$205,0)),"vor Eintritt",IF(AND(INDEX(Mitarbeiter!$D$6:$D$205,MATCH($A586,Mitarbeiter!$A$6:$A$205,0))&lt;&gt;"",D586&gt;INDEX(Mitarbeiter!$D$6:$D$205,MATCH($A586,Mitarbeiter!$A$6:$A$205,0))),"nach Austritt",IF(E586="","offen","ok"))))))))</f>
        <v/>
      </c>
      <c r="J586" s="47">
        <f>IF(A586="","",IF(E586="",Einstellungen!$C$9,E586))</f>
        <v/>
      </c>
      <c r="K586" s="48">
        <f>IF(A586="",0,IFERROR(INDEX(Mitarbeiter!$F$6:$F$205,MATCH($A586,Mitarbeiter!$A$6:$A$205,0)),0))</f>
        <v/>
      </c>
      <c r="L586" s="49">
        <f>IF(OR(A586="",D586=""),0,MAX(0,NETWORKDAYS(MAX(D586,DATE(Einstellungen!$C$3,1,1)),MIN(J586,DATE(Einstellungen!$C$3,2,0)),Einstellungen!$F$13:$F$32)))</f>
        <v/>
      </c>
      <c r="M586" s="49">
        <f>IF(OR(A586="",D586=""),0,MAX(0,NETWORKDAYS(MAX(D586,DATE(Einstellungen!$C$3,2,1)),MIN(J586,DATE(Einstellungen!$C$3,3,0)),Einstellungen!$F$13:$F$32)))</f>
        <v/>
      </c>
      <c r="N586" s="49">
        <f>IF(OR(A586="",D586=""),0,MAX(0,NETWORKDAYS(MAX(D586,DATE(Einstellungen!$C$3,3,1)),MIN(J586,DATE(Einstellungen!$C$3,4,0)),Einstellungen!$F$13:$F$32)))</f>
        <v/>
      </c>
      <c r="O586" s="49">
        <f>IF(OR(A586="",D586=""),0,MAX(0,NETWORKDAYS(MAX(D586,DATE(Einstellungen!$C$3,4,1)),MIN(J586,DATE(Einstellungen!$C$3,5,0)),Einstellungen!$F$13:$F$32)))</f>
        <v/>
      </c>
      <c r="P586" s="49">
        <f>IF(OR(A586="",D586=""),0,MAX(0,NETWORKDAYS(MAX(D586,DATE(Einstellungen!$C$3,5,1)),MIN(J586,DATE(Einstellungen!$C$3,6,0)),Einstellungen!$F$13:$F$32)))</f>
        <v/>
      </c>
      <c r="Q586" s="49">
        <f>IF(OR(A586="",D586=""),0,MAX(0,NETWORKDAYS(MAX(D586,DATE(Einstellungen!$C$3,6,1)),MIN(J586,DATE(Einstellungen!$C$3,7,0)),Einstellungen!$F$13:$F$32)))</f>
        <v/>
      </c>
      <c r="R586" s="49">
        <f>IF(OR(A586="",D586=""),0,MAX(0,NETWORKDAYS(MAX(D586,DATE(Einstellungen!$C$3,7,1)),MIN(J586,DATE(Einstellungen!$C$3,8,0)),Einstellungen!$F$13:$F$32)))</f>
        <v/>
      </c>
      <c r="S586" s="49">
        <f>IF(OR(A586="",D586=""),0,MAX(0,NETWORKDAYS(MAX(D586,DATE(Einstellungen!$C$3,8,1)),MIN(J586,DATE(Einstellungen!$C$3,9,0)),Einstellungen!$F$13:$F$32)))</f>
        <v/>
      </c>
      <c r="T586" s="49">
        <f>IF(OR(A586="",D586=""),0,MAX(0,NETWORKDAYS(MAX(D586,DATE(Einstellungen!$C$3,9,1)),MIN(J586,DATE(Einstellungen!$C$3,10,0)),Einstellungen!$F$13:$F$32)))</f>
        <v/>
      </c>
      <c r="U586" s="49">
        <f>IF(OR(A586="",D586=""),0,MAX(0,NETWORKDAYS(MAX(D586,DATE(Einstellungen!$C$3,10,1)),MIN(J586,DATE(Einstellungen!$C$3,11,0)),Einstellungen!$F$13:$F$32)))</f>
        <v/>
      </c>
      <c r="V586" s="49">
        <f>IF(OR(A586="",D586=""),0,MAX(0,NETWORKDAYS(MAX(D586,DATE(Einstellungen!$C$3,11,1)),MIN(J586,DATE(Einstellungen!$C$3,12,0)),Einstellungen!$F$13:$F$32)))</f>
        <v/>
      </c>
      <c r="W586" s="49">
        <f>IF(OR(A586="",D586=""),0,MAX(0,NETWORKDAYS(MAX(D586,DATE(Einstellungen!$C$3,12,1)),MIN(J586,DATE(Einstellungen!$C$3,13,0)),Einstellungen!$F$13:$F$32)))</f>
        <v/>
      </c>
      <c r="X586" s="50">
        <f>L586*K586</f>
        <v/>
      </c>
      <c r="Y586" s="50">
        <f>M586*K586</f>
        <v/>
      </c>
      <c r="Z586" s="50">
        <f>N586*K586</f>
        <v/>
      </c>
      <c r="AA586" s="50">
        <f>O586*K586</f>
        <v/>
      </c>
      <c r="AB586" s="50">
        <f>P586*K586</f>
        <v/>
      </c>
      <c r="AC586" s="50">
        <f>Q586*K586</f>
        <v/>
      </c>
      <c r="AD586" s="50">
        <f>R586*K586</f>
        <v/>
      </c>
      <c r="AE586" s="50">
        <f>S586*K586</f>
        <v/>
      </c>
      <c r="AF586" s="50">
        <f>T586*K586</f>
        <v/>
      </c>
      <c r="AG586" s="50">
        <f>U586*K586</f>
        <v/>
      </c>
      <c r="AH586" s="50">
        <f>V586*K586</f>
        <v/>
      </c>
      <c r="AI586" s="50">
        <f>W586*K586</f>
        <v/>
      </c>
    </row>
    <row r="587">
      <c r="A587" s="25" t="n"/>
      <c r="B587" s="45">
        <f>IF(A587="","",IFERROR(INDEX(Mitarbeiter!$B$6:$B$205,MATCH($A587,Mitarbeiter!$A$6:$A$205,0)),"?"))</f>
        <v/>
      </c>
      <c r="C587" s="46" t="n"/>
      <c r="D587" s="26" t="n"/>
      <c r="E587" s="26" t="n"/>
      <c r="F587" s="24">
        <f>IF(A587="","",SUM(L587:W587))</f>
        <v/>
      </c>
      <c r="G587" s="36">
        <f>IF(A587="","",SUM(X587:AI587))</f>
        <v/>
      </c>
      <c r="H587" s="8">
        <f>IF(A587="","",IF(ISNA(MATCH(A587,Mitarbeiter!$A$6:$A$205,0)),"Pers.-Nr. unbekannt",IF(D587="","Von fehlt",IF(AND(C587&lt;&gt;Einstellungen!$C$4,C587&lt;&gt;Einstellungen!$C$5),"Objekt fehlt",IF(J587&lt;D587,"Bis vor Von",IF(D587&lt;INDEX(Mitarbeiter!$C$6:$C$205,MATCH($A587,Mitarbeiter!$A$6:$A$205,0)),"vor Eintritt",IF(AND(INDEX(Mitarbeiter!$D$6:$D$205,MATCH($A587,Mitarbeiter!$A$6:$A$205,0))&lt;&gt;"",D587&gt;INDEX(Mitarbeiter!$D$6:$D$205,MATCH($A587,Mitarbeiter!$A$6:$A$205,0))),"nach Austritt",IF(E587="","offen","ok"))))))))</f>
        <v/>
      </c>
      <c r="J587" s="47">
        <f>IF(A587="","",IF(E587="",Einstellungen!$C$9,E587))</f>
        <v/>
      </c>
      <c r="K587" s="48">
        <f>IF(A587="",0,IFERROR(INDEX(Mitarbeiter!$F$6:$F$205,MATCH($A587,Mitarbeiter!$A$6:$A$205,0)),0))</f>
        <v/>
      </c>
      <c r="L587" s="49">
        <f>IF(OR(A587="",D587=""),0,MAX(0,NETWORKDAYS(MAX(D587,DATE(Einstellungen!$C$3,1,1)),MIN(J587,DATE(Einstellungen!$C$3,2,0)),Einstellungen!$F$13:$F$32)))</f>
        <v/>
      </c>
      <c r="M587" s="49">
        <f>IF(OR(A587="",D587=""),0,MAX(0,NETWORKDAYS(MAX(D587,DATE(Einstellungen!$C$3,2,1)),MIN(J587,DATE(Einstellungen!$C$3,3,0)),Einstellungen!$F$13:$F$32)))</f>
        <v/>
      </c>
      <c r="N587" s="49">
        <f>IF(OR(A587="",D587=""),0,MAX(0,NETWORKDAYS(MAX(D587,DATE(Einstellungen!$C$3,3,1)),MIN(J587,DATE(Einstellungen!$C$3,4,0)),Einstellungen!$F$13:$F$32)))</f>
        <v/>
      </c>
      <c r="O587" s="49">
        <f>IF(OR(A587="",D587=""),0,MAX(0,NETWORKDAYS(MAX(D587,DATE(Einstellungen!$C$3,4,1)),MIN(J587,DATE(Einstellungen!$C$3,5,0)),Einstellungen!$F$13:$F$32)))</f>
        <v/>
      </c>
      <c r="P587" s="49">
        <f>IF(OR(A587="",D587=""),0,MAX(0,NETWORKDAYS(MAX(D587,DATE(Einstellungen!$C$3,5,1)),MIN(J587,DATE(Einstellungen!$C$3,6,0)),Einstellungen!$F$13:$F$32)))</f>
        <v/>
      </c>
      <c r="Q587" s="49">
        <f>IF(OR(A587="",D587=""),0,MAX(0,NETWORKDAYS(MAX(D587,DATE(Einstellungen!$C$3,6,1)),MIN(J587,DATE(Einstellungen!$C$3,7,0)),Einstellungen!$F$13:$F$32)))</f>
        <v/>
      </c>
      <c r="R587" s="49">
        <f>IF(OR(A587="",D587=""),0,MAX(0,NETWORKDAYS(MAX(D587,DATE(Einstellungen!$C$3,7,1)),MIN(J587,DATE(Einstellungen!$C$3,8,0)),Einstellungen!$F$13:$F$32)))</f>
        <v/>
      </c>
      <c r="S587" s="49">
        <f>IF(OR(A587="",D587=""),0,MAX(0,NETWORKDAYS(MAX(D587,DATE(Einstellungen!$C$3,8,1)),MIN(J587,DATE(Einstellungen!$C$3,9,0)),Einstellungen!$F$13:$F$32)))</f>
        <v/>
      </c>
      <c r="T587" s="49">
        <f>IF(OR(A587="",D587=""),0,MAX(0,NETWORKDAYS(MAX(D587,DATE(Einstellungen!$C$3,9,1)),MIN(J587,DATE(Einstellungen!$C$3,10,0)),Einstellungen!$F$13:$F$32)))</f>
        <v/>
      </c>
      <c r="U587" s="49">
        <f>IF(OR(A587="",D587=""),0,MAX(0,NETWORKDAYS(MAX(D587,DATE(Einstellungen!$C$3,10,1)),MIN(J587,DATE(Einstellungen!$C$3,11,0)),Einstellungen!$F$13:$F$32)))</f>
        <v/>
      </c>
      <c r="V587" s="49">
        <f>IF(OR(A587="",D587=""),0,MAX(0,NETWORKDAYS(MAX(D587,DATE(Einstellungen!$C$3,11,1)),MIN(J587,DATE(Einstellungen!$C$3,12,0)),Einstellungen!$F$13:$F$32)))</f>
        <v/>
      </c>
      <c r="W587" s="49">
        <f>IF(OR(A587="",D587=""),0,MAX(0,NETWORKDAYS(MAX(D587,DATE(Einstellungen!$C$3,12,1)),MIN(J587,DATE(Einstellungen!$C$3,13,0)),Einstellungen!$F$13:$F$32)))</f>
        <v/>
      </c>
      <c r="X587" s="50">
        <f>L587*K587</f>
        <v/>
      </c>
      <c r="Y587" s="50">
        <f>M587*K587</f>
        <v/>
      </c>
      <c r="Z587" s="50">
        <f>N587*K587</f>
        <v/>
      </c>
      <c r="AA587" s="50">
        <f>O587*K587</f>
        <v/>
      </c>
      <c r="AB587" s="50">
        <f>P587*K587</f>
        <v/>
      </c>
      <c r="AC587" s="50">
        <f>Q587*K587</f>
        <v/>
      </c>
      <c r="AD587" s="50">
        <f>R587*K587</f>
        <v/>
      </c>
      <c r="AE587" s="50">
        <f>S587*K587</f>
        <v/>
      </c>
      <c r="AF587" s="50">
        <f>T587*K587</f>
        <v/>
      </c>
      <c r="AG587" s="50">
        <f>U587*K587</f>
        <v/>
      </c>
      <c r="AH587" s="50">
        <f>V587*K587</f>
        <v/>
      </c>
      <c r="AI587" s="50">
        <f>W587*K587</f>
        <v/>
      </c>
    </row>
    <row r="588">
      <c r="A588" s="25" t="n"/>
      <c r="B588" s="45">
        <f>IF(A588="","",IFERROR(INDEX(Mitarbeiter!$B$6:$B$205,MATCH($A588,Mitarbeiter!$A$6:$A$205,0)),"?"))</f>
        <v/>
      </c>
      <c r="C588" s="46" t="n"/>
      <c r="D588" s="26" t="n"/>
      <c r="E588" s="26" t="n"/>
      <c r="F588" s="24">
        <f>IF(A588="","",SUM(L588:W588))</f>
        <v/>
      </c>
      <c r="G588" s="36">
        <f>IF(A588="","",SUM(X588:AI588))</f>
        <v/>
      </c>
      <c r="H588" s="8">
        <f>IF(A588="","",IF(ISNA(MATCH(A588,Mitarbeiter!$A$6:$A$205,0)),"Pers.-Nr. unbekannt",IF(D588="","Von fehlt",IF(AND(C588&lt;&gt;Einstellungen!$C$4,C588&lt;&gt;Einstellungen!$C$5),"Objekt fehlt",IF(J588&lt;D588,"Bis vor Von",IF(D588&lt;INDEX(Mitarbeiter!$C$6:$C$205,MATCH($A588,Mitarbeiter!$A$6:$A$205,0)),"vor Eintritt",IF(AND(INDEX(Mitarbeiter!$D$6:$D$205,MATCH($A588,Mitarbeiter!$A$6:$A$205,0))&lt;&gt;"",D588&gt;INDEX(Mitarbeiter!$D$6:$D$205,MATCH($A588,Mitarbeiter!$A$6:$A$205,0))),"nach Austritt",IF(E588="","offen","ok"))))))))</f>
        <v/>
      </c>
      <c r="J588" s="47">
        <f>IF(A588="","",IF(E588="",Einstellungen!$C$9,E588))</f>
        <v/>
      </c>
      <c r="K588" s="48">
        <f>IF(A588="",0,IFERROR(INDEX(Mitarbeiter!$F$6:$F$205,MATCH($A588,Mitarbeiter!$A$6:$A$205,0)),0))</f>
        <v/>
      </c>
      <c r="L588" s="49">
        <f>IF(OR(A588="",D588=""),0,MAX(0,NETWORKDAYS(MAX(D588,DATE(Einstellungen!$C$3,1,1)),MIN(J588,DATE(Einstellungen!$C$3,2,0)),Einstellungen!$F$13:$F$32)))</f>
        <v/>
      </c>
      <c r="M588" s="49">
        <f>IF(OR(A588="",D588=""),0,MAX(0,NETWORKDAYS(MAX(D588,DATE(Einstellungen!$C$3,2,1)),MIN(J588,DATE(Einstellungen!$C$3,3,0)),Einstellungen!$F$13:$F$32)))</f>
        <v/>
      </c>
      <c r="N588" s="49">
        <f>IF(OR(A588="",D588=""),0,MAX(0,NETWORKDAYS(MAX(D588,DATE(Einstellungen!$C$3,3,1)),MIN(J588,DATE(Einstellungen!$C$3,4,0)),Einstellungen!$F$13:$F$32)))</f>
        <v/>
      </c>
      <c r="O588" s="49">
        <f>IF(OR(A588="",D588=""),0,MAX(0,NETWORKDAYS(MAX(D588,DATE(Einstellungen!$C$3,4,1)),MIN(J588,DATE(Einstellungen!$C$3,5,0)),Einstellungen!$F$13:$F$32)))</f>
        <v/>
      </c>
      <c r="P588" s="49">
        <f>IF(OR(A588="",D588=""),0,MAX(0,NETWORKDAYS(MAX(D588,DATE(Einstellungen!$C$3,5,1)),MIN(J588,DATE(Einstellungen!$C$3,6,0)),Einstellungen!$F$13:$F$32)))</f>
        <v/>
      </c>
      <c r="Q588" s="49">
        <f>IF(OR(A588="",D588=""),0,MAX(0,NETWORKDAYS(MAX(D588,DATE(Einstellungen!$C$3,6,1)),MIN(J588,DATE(Einstellungen!$C$3,7,0)),Einstellungen!$F$13:$F$32)))</f>
        <v/>
      </c>
      <c r="R588" s="49">
        <f>IF(OR(A588="",D588=""),0,MAX(0,NETWORKDAYS(MAX(D588,DATE(Einstellungen!$C$3,7,1)),MIN(J588,DATE(Einstellungen!$C$3,8,0)),Einstellungen!$F$13:$F$32)))</f>
        <v/>
      </c>
      <c r="S588" s="49">
        <f>IF(OR(A588="",D588=""),0,MAX(0,NETWORKDAYS(MAX(D588,DATE(Einstellungen!$C$3,8,1)),MIN(J588,DATE(Einstellungen!$C$3,9,0)),Einstellungen!$F$13:$F$32)))</f>
        <v/>
      </c>
      <c r="T588" s="49">
        <f>IF(OR(A588="",D588=""),0,MAX(0,NETWORKDAYS(MAX(D588,DATE(Einstellungen!$C$3,9,1)),MIN(J588,DATE(Einstellungen!$C$3,10,0)),Einstellungen!$F$13:$F$32)))</f>
        <v/>
      </c>
      <c r="U588" s="49">
        <f>IF(OR(A588="",D588=""),0,MAX(0,NETWORKDAYS(MAX(D588,DATE(Einstellungen!$C$3,10,1)),MIN(J588,DATE(Einstellungen!$C$3,11,0)),Einstellungen!$F$13:$F$32)))</f>
        <v/>
      </c>
      <c r="V588" s="49">
        <f>IF(OR(A588="",D588=""),0,MAX(0,NETWORKDAYS(MAX(D588,DATE(Einstellungen!$C$3,11,1)),MIN(J588,DATE(Einstellungen!$C$3,12,0)),Einstellungen!$F$13:$F$32)))</f>
        <v/>
      </c>
      <c r="W588" s="49">
        <f>IF(OR(A588="",D588=""),0,MAX(0,NETWORKDAYS(MAX(D588,DATE(Einstellungen!$C$3,12,1)),MIN(J588,DATE(Einstellungen!$C$3,13,0)),Einstellungen!$F$13:$F$32)))</f>
        <v/>
      </c>
      <c r="X588" s="50">
        <f>L588*K588</f>
        <v/>
      </c>
      <c r="Y588" s="50">
        <f>M588*K588</f>
        <v/>
      </c>
      <c r="Z588" s="50">
        <f>N588*K588</f>
        <v/>
      </c>
      <c r="AA588" s="50">
        <f>O588*K588</f>
        <v/>
      </c>
      <c r="AB588" s="50">
        <f>P588*K588</f>
        <v/>
      </c>
      <c r="AC588" s="50">
        <f>Q588*K588</f>
        <v/>
      </c>
      <c r="AD588" s="50">
        <f>R588*K588</f>
        <v/>
      </c>
      <c r="AE588" s="50">
        <f>S588*K588</f>
        <v/>
      </c>
      <c r="AF588" s="50">
        <f>T588*K588</f>
        <v/>
      </c>
      <c r="AG588" s="50">
        <f>U588*K588</f>
        <v/>
      </c>
      <c r="AH588" s="50">
        <f>V588*K588</f>
        <v/>
      </c>
      <c r="AI588" s="50">
        <f>W588*K588</f>
        <v/>
      </c>
    </row>
    <row r="589">
      <c r="A589" s="25" t="n"/>
      <c r="B589" s="45">
        <f>IF(A589="","",IFERROR(INDEX(Mitarbeiter!$B$6:$B$205,MATCH($A589,Mitarbeiter!$A$6:$A$205,0)),"?"))</f>
        <v/>
      </c>
      <c r="C589" s="46" t="n"/>
      <c r="D589" s="26" t="n"/>
      <c r="E589" s="26" t="n"/>
      <c r="F589" s="24">
        <f>IF(A589="","",SUM(L589:W589))</f>
        <v/>
      </c>
      <c r="G589" s="36">
        <f>IF(A589="","",SUM(X589:AI589))</f>
        <v/>
      </c>
      <c r="H589" s="8">
        <f>IF(A589="","",IF(ISNA(MATCH(A589,Mitarbeiter!$A$6:$A$205,0)),"Pers.-Nr. unbekannt",IF(D589="","Von fehlt",IF(AND(C589&lt;&gt;Einstellungen!$C$4,C589&lt;&gt;Einstellungen!$C$5),"Objekt fehlt",IF(J589&lt;D589,"Bis vor Von",IF(D589&lt;INDEX(Mitarbeiter!$C$6:$C$205,MATCH($A589,Mitarbeiter!$A$6:$A$205,0)),"vor Eintritt",IF(AND(INDEX(Mitarbeiter!$D$6:$D$205,MATCH($A589,Mitarbeiter!$A$6:$A$205,0))&lt;&gt;"",D589&gt;INDEX(Mitarbeiter!$D$6:$D$205,MATCH($A589,Mitarbeiter!$A$6:$A$205,0))),"nach Austritt",IF(E589="","offen","ok"))))))))</f>
        <v/>
      </c>
      <c r="J589" s="47">
        <f>IF(A589="","",IF(E589="",Einstellungen!$C$9,E589))</f>
        <v/>
      </c>
      <c r="K589" s="48">
        <f>IF(A589="",0,IFERROR(INDEX(Mitarbeiter!$F$6:$F$205,MATCH($A589,Mitarbeiter!$A$6:$A$205,0)),0))</f>
        <v/>
      </c>
      <c r="L589" s="49">
        <f>IF(OR(A589="",D589=""),0,MAX(0,NETWORKDAYS(MAX(D589,DATE(Einstellungen!$C$3,1,1)),MIN(J589,DATE(Einstellungen!$C$3,2,0)),Einstellungen!$F$13:$F$32)))</f>
        <v/>
      </c>
      <c r="M589" s="49">
        <f>IF(OR(A589="",D589=""),0,MAX(0,NETWORKDAYS(MAX(D589,DATE(Einstellungen!$C$3,2,1)),MIN(J589,DATE(Einstellungen!$C$3,3,0)),Einstellungen!$F$13:$F$32)))</f>
        <v/>
      </c>
      <c r="N589" s="49">
        <f>IF(OR(A589="",D589=""),0,MAX(0,NETWORKDAYS(MAX(D589,DATE(Einstellungen!$C$3,3,1)),MIN(J589,DATE(Einstellungen!$C$3,4,0)),Einstellungen!$F$13:$F$32)))</f>
        <v/>
      </c>
      <c r="O589" s="49">
        <f>IF(OR(A589="",D589=""),0,MAX(0,NETWORKDAYS(MAX(D589,DATE(Einstellungen!$C$3,4,1)),MIN(J589,DATE(Einstellungen!$C$3,5,0)),Einstellungen!$F$13:$F$32)))</f>
        <v/>
      </c>
      <c r="P589" s="49">
        <f>IF(OR(A589="",D589=""),0,MAX(0,NETWORKDAYS(MAX(D589,DATE(Einstellungen!$C$3,5,1)),MIN(J589,DATE(Einstellungen!$C$3,6,0)),Einstellungen!$F$13:$F$32)))</f>
        <v/>
      </c>
      <c r="Q589" s="49">
        <f>IF(OR(A589="",D589=""),0,MAX(0,NETWORKDAYS(MAX(D589,DATE(Einstellungen!$C$3,6,1)),MIN(J589,DATE(Einstellungen!$C$3,7,0)),Einstellungen!$F$13:$F$32)))</f>
        <v/>
      </c>
      <c r="R589" s="49">
        <f>IF(OR(A589="",D589=""),0,MAX(0,NETWORKDAYS(MAX(D589,DATE(Einstellungen!$C$3,7,1)),MIN(J589,DATE(Einstellungen!$C$3,8,0)),Einstellungen!$F$13:$F$32)))</f>
        <v/>
      </c>
      <c r="S589" s="49">
        <f>IF(OR(A589="",D589=""),0,MAX(0,NETWORKDAYS(MAX(D589,DATE(Einstellungen!$C$3,8,1)),MIN(J589,DATE(Einstellungen!$C$3,9,0)),Einstellungen!$F$13:$F$32)))</f>
        <v/>
      </c>
      <c r="T589" s="49">
        <f>IF(OR(A589="",D589=""),0,MAX(0,NETWORKDAYS(MAX(D589,DATE(Einstellungen!$C$3,9,1)),MIN(J589,DATE(Einstellungen!$C$3,10,0)),Einstellungen!$F$13:$F$32)))</f>
        <v/>
      </c>
      <c r="U589" s="49">
        <f>IF(OR(A589="",D589=""),0,MAX(0,NETWORKDAYS(MAX(D589,DATE(Einstellungen!$C$3,10,1)),MIN(J589,DATE(Einstellungen!$C$3,11,0)),Einstellungen!$F$13:$F$32)))</f>
        <v/>
      </c>
      <c r="V589" s="49">
        <f>IF(OR(A589="",D589=""),0,MAX(0,NETWORKDAYS(MAX(D589,DATE(Einstellungen!$C$3,11,1)),MIN(J589,DATE(Einstellungen!$C$3,12,0)),Einstellungen!$F$13:$F$32)))</f>
        <v/>
      </c>
      <c r="W589" s="49">
        <f>IF(OR(A589="",D589=""),0,MAX(0,NETWORKDAYS(MAX(D589,DATE(Einstellungen!$C$3,12,1)),MIN(J589,DATE(Einstellungen!$C$3,13,0)),Einstellungen!$F$13:$F$32)))</f>
        <v/>
      </c>
      <c r="X589" s="50">
        <f>L589*K589</f>
        <v/>
      </c>
      <c r="Y589" s="50">
        <f>M589*K589</f>
        <v/>
      </c>
      <c r="Z589" s="50">
        <f>N589*K589</f>
        <v/>
      </c>
      <c r="AA589" s="50">
        <f>O589*K589</f>
        <v/>
      </c>
      <c r="AB589" s="50">
        <f>P589*K589</f>
        <v/>
      </c>
      <c r="AC589" s="50">
        <f>Q589*K589</f>
        <v/>
      </c>
      <c r="AD589" s="50">
        <f>R589*K589</f>
        <v/>
      </c>
      <c r="AE589" s="50">
        <f>S589*K589</f>
        <v/>
      </c>
      <c r="AF589" s="50">
        <f>T589*K589</f>
        <v/>
      </c>
      <c r="AG589" s="50">
        <f>U589*K589</f>
        <v/>
      </c>
      <c r="AH589" s="50">
        <f>V589*K589</f>
        <v/>
      </c>
      <c r="AI589" s="50">
        <f>W589*K589</f>
        <v/>
      </c>
    </row>
    <row r="590">
      <c r="A590" s="25" t="n"/>
      <c r="B590" s="45">
        <f>IF(A590="","",IFERROR(INDEX(Mitarbeiter!$B$6:$B$205,MATCH($A590,Mitarbeiter!$A$6:$A$205,0)),"?"))</f>
        <v/>
      </c>
      <c r="C590" s="46" t="n"/>
      <c r="D590" s="26" t="n"/>
      <c r="E590" s="26" t="n"/>
      <c r="F590" s="24">
        <f>IF(A590="","",SUM(L590:W590))</f>
        <v/>
      </c>
      <c r="G590" s="36">
        <f>IF(A590="","",SUM(X590:AI590))</f>
        <v/>
      </c>
      <c r="H590" s="8">
        <f>IF(A590="","",IF(ISNA(MATCH(A590,Mitarbeiter!$A$6:$A$205,0)),"Pers.-Nr. unbekannt",IF(D590="","Von fehlt",IF(AND(C590&lt;&gt;Einstellungen!$C$4,C590&lt;&gt;Einstellungen!$C$5),"Objekt fehlt",IF(J590&lt;D590,"Bis vor Von",IF(D590&lt;INDEX(Mitarbeiter!$C$6:$C$205,MATCH($A590,Mitarbeiter!$A$6:$A$205,0)),"vor Eintritt",IF(AND(INDEX(Mitarbeiter!$D$6:$D$205,MATCH($A590,Mitarbeiter!$A$6:$A$205,0))&lt;&gt;"",D590&gt;INDEX(Mitarbeiter!$D$6:$D$205,MATCH($A590,Mitarbeiter!$A$6:$A$205,0))),"nach Austritt",IF(E590="","offen","ok"))))))))</f>
        <v/>
      </c>
      <c r="J590" s="47">
        <f>IF(A590="","",IF(E590="",Einstellungen!$C$9,E590))</f>
        <v/>
      </c>
      <c r="K590" s="48">
        <f>IF(A590="",0,IFERROR(INDEX(Mitarbeiter!$F$6:$F$205,MATCH($A590,Mitarbeiter!$A$6:$A$205,0)),0))</f>
        <v/>
      </c>
      <c r="L590" s="49">
        <f>IF(OR(A590="",D590=""),0,MAX(0,NETWORKDAYS(MAX(D590,DATE(Einstellungen!$C$3,1,1)),MIN(J590,DATE(Einstellungen!$C$3,2,0)),Einstellungen!$F$13:$F$32)))</f>
        <v/>
      </c>
      <c r="M590" s="49">
        <f>IF(OR(A590="",D590=""),0,MAX(0,NETWORKDAYS(MAX(D590,DATE(Einstellungen!$C$3,2,1)),MIN(J590,DATE(Einstellungen!$C$3,3,0)),Einstellungen!$F$13:$F$32)))</f>
        <v/>
      </c>
      <c r="N590" s="49">
        <f>IF(OR(A590="",D590=""),0,MAX(0,NETWORKDAYS(MAX(D590,DATE(Einstellungen!$C$3,3,1)),MIN(J590,DATE(Einstellungen!$C$3,4,0)),Einstellungen!$F$13:$F$32)))</f>
        <v/>
      </c>
      <c r="O590" s="49">
        <f>IF(OR(A590="",D590=""),0,MAX(0,NETWORKDAYS(MAX(D590,DATE(Einstellungen!$C$3,4,1)),MIN(J590,DATE(Einstellungen!$C$3,5,0)),Einstellungen!$F$13:$F$32)))</f>
        <v/>
      </c>
      <c r="P590" s="49">
        <f>IF(OR(A590="",D590=""),0,MAX(0,NETWORKDAYS(MAX(D590,DATE(Einstellungen!$C$3,5,1)),MIN(J590,DATE(Einstellungen!$C$3,6,0)),Einstellungen!$F$13:$F$32)))</f>
        <v/>
      </c>
      <c r="Q590" s="49">
        <f>IF(OR(A590="",D590=""),0,MAX(0,NETWORKDAYS(MAX(D590,DATE(Einstellungen!$C$3,6,1)),MIN(J590,DATE(Einstellungen!$C$3,7,0)),Einstellungen!$F$13:$F$32)))</f>
        <v/>
      </c>
      <c r="R590" s="49">
        <f>IF(OR(A590="",D590=""),0,MAX(0,NETWORKDAYS(MAX(D590,DATE(Einstellungen!$C$3,7,1)),MIN(J590,DATE(Einstellungen!$C$3,8,0)),Einstellungen!$F$13:$F$32)))</f>
        <v/>
      </c>
      <c r="S590" s="49">
        <f>IF(OR(A590="",D590=""),0,MAX(0,NETWORKDAYS(MAX(D590,DATE(Einstellungen!$C$3,8,1)),MIN(J590,DATE(Einstellungen!$C$3,9,0)),Einstellungen!$F$13:$F$32)))</f>
        <v/>
      </c>
      <c r="T590" s="49">
        <f>IF(OR(A590="",D590=""),0,MAX(0,NETWORKDAYS(MAX(D590,DATE(Einstellungen!$C$3,9,1)),MIN(J590,DATE(Einstellungen!$C$3,10,0)),Einstellungen!$F$13:$F$32)))</f>
        <v/>
      </c>
      <c r="U590" s="49">
        <f>IF(OR(A590="",D590=""),0,MAX(0,NETWORKDAYS(MAX(D590,DATE(Einstellungen!$C$3,10,1)),MIN(J590,DATE(Einstellungen!$C$3,11,0)),Einstellungen!$F$13:$F$32)))</f>
        <v/>
      </c>
      <c r="V590" s="49">
        <f>IF(OR(A590="",D590=""),0,MAX(0,NETWORKDAYS(MAX(D590,DATE(Einstellungen!$C$3,11,1)),MIN(J590,DATE(Einstellungen!$C$3,12,0)),Einstellungen!$F$13:$F$32)))</f>
        <v/>
      </c>
      <c r="W590" s="49">
        <f>IF(OR(A590="",D590=""),0,MAX(0,NETWORKDAYS(MAX(D590,DATE(Einstellungen!$C$3,12,1)),MIN(J590,DATE(Einstellungen!$C$3,13,0)),Einstellungen!$F$13:$F$32)))</f>
        <v/>
      </c>
      <c r="X590" s="50">
        <f>L590*K590</f>
        <v/>
      </c>
      <c r="Y590" s="50">
        <f>M590*K590</f>
        <v/>
      </c>
      <c r="Z590" s="50">
        <f>N590*K590</f>
        <v/>
      </c>
      <c r="AA590" s="50">
        <f>O590*K590</f>
        <v/>
      </c>
      <c r="AB590" s="50">
        <f>P590*K590</f>
        <v/>
      </c>
      <c r="AC590" s="50">
        <f>Q590*K590</f>
        <v/>
      </c>
      <c r="AD590" s="50">
        <f>R590*K590</f>
        <v/>
      </c>
      <c r="AE590" s="50">
        <f>S590*K590</f>
        <v/>
      </c>
      <c r="AF590" s="50">
        <f>T590*K590</f>
        <v/>
      </c>
      <c r="AG590" s="50">
        <f>U590*K590</f>
        <v/>
      </c>
      <c r="AH590" s="50">
        <f>V590*K590</f>
        <v/>
      </c>
      <c r="AI590" s="50">
        <f>W590*K590</f>
        <v/>
      </c>
    </row>
    <row r="591">
      <c r="A591" s="25" t="n"/>
      <c r="B591" s="45">
        <f>IF(A591="","",IFERROR(INDEX(Mitarbeiter!$B$6:$B$205,MATCH($A591,Mitarbeiter!$A$6:$A$205,0)),"?"))</f>
        <v/>
      </c>
      <c r="C591" s="46" t="n"/>
      <c r="D591" s="26" t="n"/>
      <c r="E591" s="26" t="n"/>
      <c r="F591" s="24">
        <f>IF(A591="","",SUM(L591:W591))</f>
        <v/>
      </c>
      <c r="G591" s="36">
        <f>IF(A591="","",SUM(X591:AI591))</f>
        <v/>
      </c>
      <c r="H591" s="8">
        <f>IF(A591="","",IF(ISNA(MATCH(A591,Mitarbeiter!$A$6:$A$205,0)),"Pers.-Nr. unbekannt",IF(D591="","Von fehlt",IF(AND(C591&lt;&gt;Einstellungen!$C$4,C591&lt;&gt;Einstellungen!$C$5),"Objekt fehlt",IF(J591&lt;D591,"Bis vor Von",IF(D591&lt;INDEX(Mitarbeiter!$C$6:$C$205,MATCH($A591,Mitarbeiter!$A$6:$A$205,0)),"vor Eintritt",IF(AND(INDEX(Mitarbeiter!$D$6:$D$205,MATCH($A591,Mitarbeiter!$A$6:$A$205,0))&lt;&gt;"",D591&gt;INDEX(Mitarbeiter!$D$6:$D$205,MATCH($A591,Mitarbeiter!$A$6:$A$205,0))),"nach Austritt",IF(E591="","offen","ok"))))))))</f>
        <v/>
      </c>
      <c r="J591" s="47">
        <f>IF(A591="","",IF(E591="",Einstellungen!$C$9,E591))</f>
        <v/>
      </c>
      <c r="K591" s="48">
        <f>IF(A591="",0,IFERROR(INDEX(Mitarbeiter!$F$6:$F$205,MATCH($A591,Mitarbeiter!$A$6:$A$205,0)),0))</f>
        <v/>
      </c>
      <c r="L591" s="49">
        <f>IF(OR(A591="",D591=""),0,MAX(0,NETWORKDAYS(MAX(D591,DATE(Einstellungen!$C$3,1,1)),MIN(J591,DATE(Einstellungen!$C$3,2,0)),Einstellungen!$F$13:$F$32)))</f>
        <v/>
      </c>
      <c r="M591" s="49">
        <f>IF(OR(A591="",D591=""),0,MAX(0,NETWORKDAYS(MAX(D591,DATE(Einstellungen!$C$3,2,1)),MIN(J591,DATE(Einstellungen!$C$3,3,0)),Einstellungen!$F$13:$F$32)))</f>
        <v/>
      </c>
      <c r="N591" s="49">
        <f>IF(OR(A591="",D591=""),0,MAX(0,NETWORKDAYS(MAX(D591,DATE(Einstellungen!$C$3,3,1)),MIN(J591,DATE(Einstellungen!$C$3,4,0)),Einstellungen!$F$13:$F$32)))</f>
        <v/>
      </c>
      <c r="O591" s="49">
        <f>IF(OR(A591="",D591=""),0,MAX(0,NETWORKDAYS(MAX(D591,DATE(Einstellungen!$C$3,4,1)),MIN(J591,DATE(Einstellungen!$C$3,5,0)),Einstellungen!$F$13:$F$32)))</f>
        <v/>
      </c>
      <c r="P591" s="49">
        <f>IF(OR(A591="",D591=""),0,MAX(0,NETWORKDAYS(MAX(D591,DATE(Einstellungen!$C$3,5,1)),MIN(J591,DATE(Einstellungen!$C$3,6,0)),Einstellungen!$F$13:$F$32)))</f>
        <v/>
      </c>
      <c r="Q591" s="49">
        <f>IF(OR(A591="",D591=""),0,MAX(0,NETWORKDAYS(MAX(D591,DATE(Einstellungen!$C$3,6,1)),MIN(J591,DATE(Einstellungen!$C$3,7,0)),Einstellungen!$F$13:$F$32)))</f>
        <v/>
      </c>
      <c r="R591" s="49">
        <f>IF(OR(A591="",D591=""),0,MAX(0,NETWORKDAYS(MAX(D591,DATE(Einstellungen!$C$3,7,1)),MIN(J591,DATE(Einstellungen!$C$3,8,0)),Einstellungen!$F$13:$F$32)))</f>
        <v/>
      </c>
      <c r="S591" s="49">
        <f>IF(OR(A591="",D591=""),0,MAX(0,NETWORKDAYS(MAX(D591,DATE(Einstellungen!$C$3,8,1)),MIN(J591,DATE(Einstellungen!$C$3,9,0)),Einstellungen!$F$13:$F$32)))</f>
        <v/>
      </c>
      <c r="T591" s="49">
        <f>IF(OR(A591="",D591=""),0,MAX(0,NETWORKDAYS(MAX(D591,DATE(Einstellungen!$C$3,9,1)),MIN(J591,DATE(Einstellungen!$C$3,10,0)),Einstellungen!$F$13:$F$32)))</f>
        <v/>
      </c>
      <c r="U591" s="49">
        <f>IF(OR(A591="",D591=""),0,MAX(0,NETWORKDAYS(MAX(D591,DATE(Einstellungen!$C$3,10,1)),MIN(J591,DATE(Einstellungen!$C$3,11,0)),Einstellungen!$F$13:$F$32)))</f>
        <v/>
      </c>
      <c r="V591" s="49">
        <f>IF(OR(A591="",D591=""),0,MAX(0,NETWORKDAYS(MAX(D591,DATE(Einstellungen!$C$3,11,1)),MIN(J591,DATE(Einstellungen!$C$3,12,0)),Einstellungen!$F$13:$F$32)))</f>
        <v/>
      </c>
      <c r="W591" s="49">
        <f>IF(OR(A591="",D591=""),0,MAX(0,NETWORKDAYS(MAX(D591,DATE(Einstellungen!$C$3,12,1)),MIN(J591,DATE(Einstellungen!$C$3,13,0)),Einstellungen!$F$13:$F$32)))</f>
        <v/>
      </c>
      <c r="X591" s="50">
        <f>L591*K591</f>
        <v/>
      </c>
      <c r="Y591" s="50">
        <f>M591*K591</f>
        <v/>
      </c>
      <c r="Z591" s="50">
        <f>N591*K591</f>
        <v/>
      </c>
      <c r="AA591" s="50">
        <f>O591*K591</f>
        <v/>
      </c>
      <c r="AB591" s="50">
        <f>P591*K591</f>
        <v/>
      </c>
      <c r="AC591" s="50">
        <f>Q591*K591</f>
        <v/>
      </c>
      <c r="AD591" s="50">
        <f>R591*K591</f>
        <v/>
      </c>
      <c r="AE591" s="50">
        <f>S591*K591</f>
        <v/>
      </c>
      <c r="AF591" s="50">
        <f>T591*K591</f>
        <v/>
      </c>
      <c r="AG591" s="50">
        <f>U591*K591</f>
        <v/>
      </c>
      <c r="AH591" s="50">
        <f>V591*K591</f>
        <v/>
      </c>
      <c r="AI591" s="50">
        <f>W591*K591</f>
        <v/>
      </c>
    </row>
    <row r="592">
      <c r="A592" s="25" t="n"/>
      <c r="B592" s="45">
        <f>IF(A592="","",IFERROR(INDEX(Mitarbeiter!$B$6:$B$205,MATCH($A592,Mitarbeiter!$A$6:$A$205,0)),"?"))</f>
        <v/>
      </c>
      <c r="C592" s="46" t="n"/>
      <c r="D592" s="26" t="n"/>
      <c r="E592" s="26" t="n"/>
      <c r="F592" s="24">
        <f>IF(A592="","",SUM(L592:W592))</f>
        <v/>
      </c>
      <c r="G592" s="36">
        <f>IF(A592="","",SUM(X592:AI592))</f>
        <v/>
      </c>
      <c r="H592" s="8">
        <f>IF(A592="","",IF(ISNA(MATCH(A592,Mitarbeiter!$A$6:$A$205,0)),"Pers.-Nr. unbekannt",IF(D592="","Von fehlt",IF(AND(C592&lt;&gt;Einstellungen!$C$4,C592&lt;&gt;Einstellungen!$C$5),"Objekt fehlt",IF(J592&lt;D592,"Bis vor Von",IF(D592&lt;INDEX(Mitarbeiter!$C$6:$C$205,MATCH($A592,Mitarbeiter!$A$6:$A$205,0)),"vor Eintritt",IF(AND(INDEX(Mitarbeiter!$D$6:$D$205,MATCH($A592,Mitarbeiter!$A$6:$A$205,0))&lt;&gt;"",D592&gt;INDEX(Mitarbeiter!$D$6:$D$205,MATCH($A592,Mitarbeiter!$A$6:$A$205,0))),"nach Austritt",IF(E592="","offen","ok"))))))))</f>
        <v/>
      </c>
      <c r="J592" s="47">
        <f>IF(A592="","",IF(E592="",Einstellungen!$C$9,E592))</f>
        <v/>
      </c>
      <c r="K592" s="48">
        <f>IF(A592="",0,IFERROR(INDEX(Mitarbeiter!$F$6:$F$205,MATCH($A592,Mitarbeiter!$A$6:$A$205,0)),0))</f>
        <v/>
      </c>
      <c r="L592" s="49">
        <f>IF(OR(A592="",D592=""),0,MAX(0,NETWORKDAYS(MAX(D592,DATE(Einstellungen!$C$3,1,1)),MIN(J592,DATE(Einstellungen!$C$3,2,0)),Einstellungen!$F$13:$F$32)))</f>
        <v/>
      </c>
      <c r="M592" s="49">
        <f>IF(OR(A592="",D592=""),0,MAX(0,NETWORKDAYS(MAX(D592,DATE(Einstellungen!$C$3,2,1)),MIN(J592,DATE(Einstellungen!$C$3,3,0)),Einstellungen!$F$13:$F$32)))</f>
        <v/>
      </c>
      <c r="N592" s="49">
        <f>IF(OR(A592="",D592=""),0,MAX(0,NETWORKDAYS(MAX(D592,DATE(Einstellungen!$C$3,3,1)),MIN(J592,DATE(Einstellungen!$C$3,4,0)),Einstellungen!$F$13:$F$32)))</f>
        <v/>
      </c>
      <c r="O592" s="49">
        <f>IF(OR(A592="",D592=""),0,MAX(0,NETWORKDAYS(MAX(D592,DATE(Einstellungen!$C$3,4,1)),MIN(J592,DATE(Einstellungen!$C$3,5,0)),Einstellungen!$F$13:$F$32)))</f>
        <v/>
      </c>
      <c r="P592" s="49">
        <f>IF(OR(A592="",D592=""),0,MAX(0,NETWORKDAYS(MAX(D592,DATE(Einstellungen!$C$3,5,1)),MIN(J592,DATE(Einstellungen!$C$3,6,0)),Einstellungen!$F$13:$F$32)))</f>
        <v/>
      </c>
      <c r="Q592" s="49">
        <f>IF(OR(A592="",D592=""),0,MAX(0,NETWORKDAYS(MAX(D592,DATE(Einstellungen!$C$3,6,1)),MIN(J592,DATE(Einstellungen!$C$3,7,0)),Einstellungen!$F$13:$F$32)))</f>
        <v/>
      </c>
      <c r="R592" s="49">
        <f>IF(OR(A592="",D592=""),0,MAX(0,NETWORKDAYS(MAX(D592,DATE(Einstellungen!$C$3,7,1)),MIN(J592,DATE(Einstellungen!$C$3,8,0)),Einstellungen!$F$13:$F$32)))</f>
        <v/>
      </c>
      <c r="S592" s="49">
        <f>IF(OR(A592="",D592=""),0,MAX(0,NETWORKDAYS(MAX(D592,DATE(Einstellungen!$C$3,8,1)),MIN(J592,DATE(Einstellungen!$C$3,9,0)),Einstellungen!$F$13:$F$32)))</f>
        <v/>
      </c>
      <c r="T592" s="49">
        <f>IF(OR(A592="",D592=""),0,MAX(0,NETWORKDAYS(MAX(D592,DATE(Einstellungen!$C$3,9,1)),MIN(J592,DATE(Einstellungen!$C$3,10,0)),Einstellungen!$F$13:$F$32)))</f>
        <v/>
      </c>
      <c r="U592" s="49">
        <f>IF(OR(A592="",D592=""),0,MAX(0,NETWORKDAYS(MAX(D592,DATE(Einstellungen!$C$3,10,1)),MIN(J592,DATE(Einstellungen!$C$3,11,0)),Einstellungen!$F$13:$F$32)))</f>
        <v/>
      </c>
      <c r="V592" s="49">
        <f>IF(OR(A592="",D592=""),0,MAX(0,NETWORKDAYS(MAX(D592,DATE(Einstellungen!$C$3,11,1)),MIN(J592,DATE(Einstellungen!$C$3,12,0)),Einstellungen!$F$13:$F$32)))</f>
        <v/>
      </c>
      <c r="W592" s="49">
        <f>IF(OR(A592="",D592=""),0,MAX(0,NETWORKDAYS(MAX(D592,DATE(Einstellungen!$C$3,12,1)),MIN(J592,DATE(Einstellungen!$C$3,13,0)),Einstellungen!$F$13:$F$32)))</f>
        <v/>
      </c>
      <c r="X592" s="50">
        <f>L592*K592</f>
        <v/>
      </c>
      <c r="Y592" s="50">
        <f>M592*K592</f>
        <v/>
      </c>
      <c r="Z592" s="50">
        <f>N592*K592</f>
        <v/>
      </c>
      <c r="AA592" s="50">
        <f>O592*K592</f>
        <v/>
      </c>
      <c r="AB592" s="50">
        <f>P592*K592</f>
        <v/>
      </c>
      <c r="AC592" s="50">
        <f>Q592*K592</f>
        <v/>
      </c>
      <c r="AD592" s="50">
        <f>R592*K592</f>
        <v/>
      </c>
      <c r="AE592" s="50">
        <f>S592*K592</f>
        <v/>
      </c>
      <c r="AF592" s="50">
        <f>T592*K592</f>
        <v/>
      </c>
      <c r="AG592" s="50">
        <f>U592*K592</f>
        <v/>
      </c>
      <c r="AH592" s="50">
        <f>V592*K592</f>
        <v/>
      </c>
      <c r="AI592" s="50">
        <f>W592*K592</f>
        <v/>
      </c>
    </row>
    <row r="593">
      <c r="A593" s="25" t="n"/>
      <c r="B593" s="45">
        <f>IF(A593="","",IFERROR(INDEX(Mitarbeiter!$B$6:$B$205,MATCH($A593,Mitarbeiter!$A$6:$A$205,0)),"?"))</f>
        <v/>
      </c>
      <c r="C593" s="46" t="n"/>
      <c r="D593" s="26" t="n"/>
      <c r="E593" s="26" t="n"/>
      <c r="F593" s="24">
        <f>IF(A593="","",SUM(L593:W593))</f>
        <v/>
      </c>
      <c r="G593" s="36">
        <f>IF(A593="","",SUM(X593:AI593))</f>
        <v/>
      </c>
      <c r="H593" s="8">
        <f>IF(A593="","",IF(ISNA(MATCH(A593,Mitarbeiter!$A$6:$A$205,0)),"Pers.-Nr. unbekannt",IF(D593="","Von fehlt",IF(AND(C593&lt;&gt;Einstellungen!$C$4,C593&lt;&gt;Einstellungen!$C$5),"Objekt fehlt",IF(J593&lt;D593,"Bis vor Von",IF(D593&lt;INDEX(Mitarbeiter!$C$6:$C$205,MATCH($A593,Mitarbeiter!$A$6:$A$205,0)),"vor Eintritt",IF(AND(INDEX(Mitarbeiter!$D$6:$D$205,MATCH($A593,Mitarbeiter!$A$6:$A$205,0))&lt;&gt;"",D593&gt;INDEX(Mitarbeiter!$D$6:$D$205,MATCH($A593,Mitarbeiter!$A$6:$A$205,0))),"nach Austritt",IF(E593="","offen","ok"))))))))</f>
        <v/>
      </c>
      <c r="J593" s="47">
        <f>IF(A593="","",IF(E593="",Einstellungen!$C$9,E593))</f>
        <v/>
      </c>
      <c r="K593" s="48">
        <f>IF(A593="",0,IFERROR(INDEX(Mitarbeiter!$F$6:$F$205,MATCH($A593,Mitarbeiter!$A$6:$A$205,0)),0))</f>
        <v/>
      </c>
      <c r="L593" s="49">
        <f>IF(OR(A593="",D593=""),0,MAX(0,NETWORKDAYS(MAX(D593,DATE(Einstellungen!$C$3,1,1)),MIN(J593,DATE(Einstellungen!$C$3,2,0)),Einstellungen!$F$13:$F$32)))</f>
        <v/>
      </c>
      <c r="M593" s="49">
        <f>IF(OR(A593="",D593=""),0,MAX(0,NETWORKDAYS(MAX(D593,DATE(Einstellungen!$C$3,2,1)),MIN(J593,DATE(Einstellungen!$C$3,3,0)),Einstellungen!$F$13:$F$32)))</f>
        <v/>
      </c>
      <c r="N593" s="49">
        <f>IF(OR(A593="",D593=""),0,MAX(0,NETWORKDAYS(MAX(D593,DATE(Einstellungen!$C$3,3,1)),MIN(J593,DATE(Einstellungen!$C$3,4,0)),Einstellungen!$F$13:$F$32)))</f>
        <v/>
      </c>
      <c r="O593" s="49">
        <f>IF(OR(A593="",D593=""),0,MAX(0,NETWORKDAYS(MAX(D593,DATE(Einstellungen!$C$3,4,1)),MIN(J593,DATE(Einstellungen!$C$3,5,0)),Einstellungen!$F$13:$F$32)))</f>
        <v/>
      </c>
      <c r="P593" s="49">
        <f>IF(OR(A593="",D593=""),0,MAX(0,NETWORKDAYS(MAX(D593,DATE(Einstellungen!$C$3,5,1)),MIN(J593,DATE(Einstellungen!$C$3,6,0)),Einstellungen!$F$13:$F$32)))</f>
        <v/>
      </c>
      <c r="Q593" s="49">
        <f>IF(OR(A593="",D593=""),0,MAX(0,NETWORKDAYS(MAX(D593,DATE(Einstellungen!$C$3,6,1)),MIN(J593,DATE(Einstellungen!$C$3,7,0)),Einstellungen!$F$13:$F$32)))</f>
        <v/>
      </c>
      <c r="R593" s="49">
        <f>IF(OR(A593="",D593=""),0,MAX(0,NETWORKDAYS(MAX(D593,DATE(Einstellungen!$C$3,7,1)),MIN(J593,DATE(Einstellungen!$C$3,8,0)),Einstellungen!$F$13:$F$32)))</f>
        <v/>
      </c>
      <c r="S593" s="49">
        <f>IF(OR(A593="",D593=""),0,MAX(0,NETWORKDAYS(MAX(D593,DATE(Einstellungen!$C$3,8,1)),MIN(J593,DATE(Einstellungen!$C$3,9,0)),Einstellungen!$F$13:$F$32)))</f>
        <v/>
      </c>
      <c r="T593" s="49">
        <f>IF(OR(A593="",D593=""),0,MAX(0,NETWORKDAYS(MAX(D593,DATE(Einstellungen!$C$3,9,1)),MIN(J593,DATE(Einstellungen!$C$3,10,0)),Einstellungen!$F$13:$F$32)))</f>
        <v/>
      </c>
      <c r="U593" s="49">
        <f>IF(OR(A593="",D593=""),0,MAX(0,NETWORKDAYS(MAX(D593,DATE(Einstellungen!$C$3,10,1)),MIN(J593,DATE(Einstellungen!$C$3,11,0)),Einstellungen!$F$13:$F$32)))</f>
        <v/>
      </c>
      <c r="V593" s="49">
        <f>IF(OR(A593="",D593=""),0,MAX(0,NETWORKDAYS(MAX(D593,DATE(Einstellungen!$C$3,11,1)),MIN(J593,DATE(Einstellungen!$C$3,12,0)),Einstellungen!$F$13:$F$32)))</f>
        <v/>
      </c>
      <c r="W593" s="49">
        <f>IF(OR(A593="",D593=""),0,MAX(0,NETWORKDAYS(MAX(D593,DATE(Einstellungen!$C$3,12,1)),MIN(J593,DATE(Einstellungen!$C$3,13,0)),Einstellungen!$F$13:$F$32)))</f>
        <v/>
      </c>
      <c r="X593" s="50">
        <f>L593*K593</f>
        <v/>
      </c>
      <c r="Y593" s="50">
        <f>M593*K593</f>
        <v/>
      </c>
      <c r="Z593" s="50">
        <f>N593*K593</f>
        <v/>
      </c>
      <c r="AA593" s="50">
        <f>O593*K593</f>
        <v/>
      </c>
      <c r="AB593" s="50">
        <f>P593*K593</f>
        <v/>
      </c>
      <c r="AC593" s="50">
        <f>Q593*K593</f>
        <v/>
      </c>
      <c r="AD593" s="50">
        <f>R593*K593</f>
        <v/>
      </c>
      <c r="AE593" s="50">
        <f>S593*K593</f>
        <v/>
      </c>
      <c r="AF593" s="50">
        <f>T593*K593</f>
        <v/>
      </c>
      <c r="AG593" s="50">
        <f>U593*K593</f>
        <v/>
      </c>
      <c r="AH593" s="50">
        <f>V593*K593</f>
        <v/>
      </c>
      <c r="AI593" s="50">
        <f>W593*K593</f>
        <v/>
      </c>
    </row>
    <row r="594">
      <c r="A594" s="25" t="n"/>
      <c r="B594" s="45">
        <f>IF(A594="","",IFERROR(INDEX(Mitarbeiter!$B$6:$B$205,MATCH($A594,Mitarbeiter!$A$6:$A$205,0)),"?"))</f>
        <v/>
      </c>
      <c r="C594" s="46" t="n"/>
      <c r="D594" s="26" t="n"/>
      <c r="E594" s="26" t="n"/>
      <c r="F594" s="24">
        <f>IF(A594="","",SUM(L594:W594))</f>
        <v/>
      </c>
      <c r="G594" s="36">
        <f>IF(A594="","",SUM(X594:AI594))</f>
        <v/>
      </c>
      <c r="H594" s="8">
        <f>IF(A594="","",IF(ISNA(MATCH(A594,Mitarbeiter!$A$6:$A$205,0)),"Pers.-Nr. unbekannt",IF(D594="","Von fehlt",IF(AND(C594&lt;&gt;Einstellungen!$C$4,C594&lt;&gt;Einstellungen!$C$5),"Objekt fehlt",IF(J594&lt;D594,"Bis vor Von",IF(D594&lt;INDEX(Mitarbeiter!$C$6:$C$205,MATCH($A594,Mitarbeiter!$A$6:$A$205,0)),"vor Eintritt",IF(AND(INDEX(Mitarbeiter!$D$6:$D$205,MATCH($A594,Mitarbeiter!$A$6:$A$205,0))&lt;&gt;"",D594&gt;INDEX(Mitarbeiter!$D$6:$D$205,MATCH($A594,Mitarbeiter!$A$6:$A$205,0))),"nach Austritt",IF(E594="","offen","ok"))))))))</f>
        <v/>
      </c>
      <c r="J594" s="47">
        <f>IF(A594="","",IF(E594="",Einstellungen!$C$9,E594))</f>
        <v/>
      </c>
      <c r="K594" s="48">
        <f>IF(A594="",0,IFERROR(INDEX(Mitarbeiter!$F$6:$F$205,MATCH($A594,Mitarbeiter!$A$6:$A$205,0)),0))</f>
        <v/>
      </c>
      <c r="L594" s="49">
        <f>IF(OR(A594="",D594=""),0,MAX(0,NETWORKDAYS(MAX(D594,DATE(Einstellungen!$C$3,1,1)),MIN(J594,DATE(Einstellungen!$C$3,2,0)),Einstellungen!$F$13:$F$32)))</f>
        <v/>
      </c>
      <c r="M594" s="49">
        <f>IF(OR(A594="",D594=""),0,MAX(0,NETWORKDAYS(MAX(D594,DATE(Einstellungen!$C$3,2,1)),MIN(J594,DATE(Einstellungen!$C$3,3,0)),Einstellungen!$F$13:$F$32)))</f>
        <v/>
      </c>
      <c r="N594" s="49">
        <f>IF(OR(A594="",D594=""),0,MAX(0,NETWORKDAYS(MAX(D594,DATE(Einstellungen!$C$3,3,1)),MIN(J594,DATE(Einstellungen!$C$3,4,0)),Einstellungen!$F$13:$F$32)))</f>
        <v/>
      </c>
      <c r="O594" s="49">
        <f>IF(OR(A594="",D594=""),0,MAX(0,NETWORKDAYS(MAX(D594,DATE(Einstellungen!$C$3,4,1)),MIN(J594,DATE(Einstellungen!$C$3,5,0)),Einstellungen!$F$13:$F$32)))</f>
        <v/>
      </c>
      <c r="P594" s="49">
        <f>IF(OR(A594="",D594=""),0,MAX(0,NETWORKDAYS(MAX(D594,DATE(Einstellungen!$C$3,5,1)),MIN(J594,DATE(Einstellungen!$C$3,6,0)),Einstellungen!$F$13:$F$32)))</f>
        <v/>
      </c>
      <c r="Q594" s="49">
        <f>IF(OR(A594="",D594=""),0,MAX(0,NETWORKDAYS(MAX(D594,DATE(Einstellungen!$C$3,6,1)),MIN(J594,DATE(Einstellungen!$C$3,7,0)),Einstellungen!$F$13:$F$32)))</f>
        <v/>
      </c>
      <c r="R594" s="49">
        <f>IF(OR(A594="",D594=""),0,MAX(0,NETWORKDAYS(MAX(D594,DATE(Einstellungen!$C$3,7,1)),MIN(J594,DATE(Einstellungen!$C$3,8,0)),Einstellungen!$F$13:$F$32)))</f>
        <v/>
      </c>
      <c r="S594" s="49">
        <f>IF(OR(A594="",D594=""),0,MAX(0,NETWORKDAYS(MAX(D594,DATE(Einstellungen!$C$3,8,1)),MIN(J594,DATE(Einstellungen!$C$3,9,0)),Einstellungen!$F$13:$F$32)))</f>
        <v/>
      </c>
      <c r="T594" s="49">
        <f>IF(OR(A594="",D594=""),0,MAX(0,NETWORKDAYS(MAX(D594,DATE(Einstellungen!$C$3,9,1)),MIN(J594,DATE(Einstellungen!$C$3,10,0)),Einstellungen!$F$13:$F$32)))</f>
        <v/>
      </c>
      <c r="U594" s="49">
        <f>IF(OR(A594="",D594=""),0,MAX(0,NETWORKDAYS(MAX(D594,DATE(Einstellungen!$C$3,10,1)),MIN(J594,DATE(Einstellungen!$C$3,11,0)),Einstellungen!$F$13:$F$32)))</f>
        <v/>
      </c>
      <c r="V594" s="49">
        <f>IF(OR(A594="",D594=""),0,MAX(0,NETWORKDAYS(MAX(D594,DATE(Einstellungen!$C$3,11,1)),MIN(J594,DATE(Einstellungen!$C$3,12,0)),Einstellungen!$F$13:$F$32)))</f>
        <v/>
      </c>
      <c r="W594" s="49">
        <f>IF(OR(A594="",D594=""),0,MAX(0,NETWORKDAYS(MAX(D594,DATE(Einstellungen!$C$3,12,1)),MIN(J594,DATE(Einstellungen!$C$3,13,0)),Einstellungen!$F$13:$F$32)))</f>
        <v/>
      </c>
      <c r="X594" s="50">
        <f>L594*K594</f>
        <v/>
      </c>
      <c r="Y594" s="50">
        <f>M594*K594</f>
        <v/>
      </c>
      <c r="Z594" s="50">
        <f>N594*K594</f>
        <v/>
      </c>
      <c r="AA594" s="50">
        <f>O594*K594</f>
        <v/>
      </c>
      <c r="AB594" s="50">
        <f>P594*K594</f>
        <v/>
      </c>
      <c r="AC594" s="50">
        <f>Q594*K594</f>
        <v/>
      </c>
      <c r="AD594" s="50">
        <f>R594*K594</f>
        <v/>
      </c>
      <c r="AE594" s="50">
        <f>S594*K594</f>
        <v/>
      </c>
      <c r="AF594" s="50">
        <f>T594*K594</f>
        <v/>
      </c>
      <c r="AG594" s="50">
        <f>U594*K594</f>
        <v/>
      </c>
      <c r="AH594" s="50">
        <f>V594*K594</f>
        <v/>
      </c>
      <c r="AI594" s="50">
        <f>W594*K594</f>
        <v/>
      </c>
    </row>
    <row r="595">
      <c r="A595" s="25" t="n"/>
      <c r="B595" s="45">
        <f>IF(A595="","",IFERROR(INDEX(Mitarbeiter!$B$6:$B$205,MATCH($A595,Mitarbeiter!$A$6:$A$205,0)),"?"))</f>
        <v/>
      </c>
      <c r="C595" s="46" t="n"/>
      <c r="D595" s="26" t="n"/>
      <c r="E595" s="26" t="n"/>
      <c r="F595" s="24">
        <f>IF(A595="","",SUM(L595:W595))</f>
        <v/>
      </c>
      <c r="G595" s="36">
        <f>IF(A595="","",SUM(X595:AI595))</f>
        <v/>
      </c>
      <c r="H595" s="8">
        <f>IF(A595="","",IF(ISNA(MATCH(A595,Mitarbeiter!$A$6:$A$205,0)),"Pers.-Nr. unbekannt",IF(D595="","Von fehlt",IF(AND(C595&lt;&gt;Einstellungen!$C$4,C595&lt;&gt;Einstellungen!$C$5),"Objekt fehlt",IF(J595&lt;D595,"Bis vor Von",IF(D595&lt;INDEX(Mitarbeiter!$C$6:$C$205,MATCH($A595,Mitarbeiter!$A$6:$A$205,0)),"vor Eintritt",IF(AND(INDEX(Mitarbeiter!$D$6:$D$205,MATCH($A595,Mitarbeiter!$A$6:$A$205,0))&lt;&gt;"",D595&gt;INDEX(Mitarbeiter!$D$6:$D$205,MATCH($A595,Mitarbeiter!$A$6:$A$205,0))),"nach Austritt",IF(E595="","offen","ok"))))))))</f>
        <v/>
      </c>
      <c r="J595" s="47">
        <f>IF(A595="","",IF(E595="",Einstellungen!$C$9,E595))</f>
        <v/>
      </c>
      <c r="K595" s="48">
        <f>IF(A595="",0,IFERROR(INDEX(Mitarbeiter!$F$6:$F$205,MATCH($A595,Mitarbeiter!$A$6:$A$205,0)),0))</f>
        <v/>
      </c>
      <c r="L595" s="49">
        <f>IF(OR(A595="",D595=""),0,MAX(0,NETWORKDAYS(MAX(D595,DATE(Einstellungen!$C$3,1,1)),MIN(J595,DATE(Einstellungen!$C$3,2,0)),Einstellungen!$F$13:$F$32)))</f>
        <v/>
      </c>
      <c r="M595" s="49">
        <f>IF(OR(A595="",D595=""),0,MAX(0,NETWORKDAYS(MAX(D595,DATE(Einstellungen!$C$3,2,1)),MIN(J595,DATE(Einstellungen!$C$3,3,0)),Einstellungen!$F$13:$F$32)))</f>
        <v/>
      </c>
      <c r="N595" s="49">
        <f>IF(OR(A595="",D595=""),0,MAX(0,NETWORKDAYS(MAX(D595,DATE(Einstellungen!$C$3,3,1)),MIN(J595,DATE(Einstellungen!$C$3,4,0)),Einstellungen!$F$13:$F$32)))</f>
        <v/>
      </c>
      <c r="O595" s="49">
        <f>IF(OR(A595="",D595=""),0,MAX(0,NETWORKDAYS(MAX(D595,DATE(Einstellungen!$C$3,4,1)),MIN(J595,DATE(Einstellungen!$C$3,5,0)),Einstellungen!$F$13:$F$32)))</f>
        <v/>
      </c>
      <c r="P595" s="49">
        <f>IF(OR(A595="",D595=""),0,MAX(0,NETWORKDAYS(MAX(D595,DATE(Einstellungen!$C$3,5,1)),MIN(J595,DATE(Einstellungen!$C$3,6,0)),Einstellungen!$F$13:$F$32)))</f>
        <v/>
      </c>
      <c r="Q595" s="49">
        <f>IF(OR(A595="",D595=""),0,MAX(0,NETWORKDAYS(MAX(D595,DATE(Einstellungen!$C$3,6,1)),MIN(J595,DATE(Einstellungen!$C$3,7,0)),Einstellungen!$F$13:$F$32)))</f>
        <v/>
      </c>
      <c r="R595" s="49">
        <f>IF(OR(A595="",D595=""),0,MAX(0,NETWORKDAYS(MAX(D595,DATE(Einstellungen!$C$3,7,1)),MIN(J595,DATE(Einstellungen!$C$3,8,0)),Einstellungen!$F$13:$F$32)))</f>
        <v/>
      </c>
      <c r="S595" s="49">
        <f>IF(OR(A595="",D595=""),0,MAX(0,NETWORKDAYS(MAX(D595,DATE(Einstellungen!$C$3,8,1)),MIN(J595,DATE(Einstellungen!$C$3,9,0)),Einstellungen!$F$13:$F$32)))</f>
        <v/>
      </c>
      <c r="T595" s="49">
        <f>IF(OR(A595="",D595=""),0,MAX(0,NETWORKDAYS(MAX(D595,DATE(Einstellungen!$C$3,9,1)),MIN(J595,DATE(Einstellungen!$C$3,10,0)),Einstellungen!$F$13:$F$32)))</f>
        <v/>
      </c>
      <c r="U595" s="49">
        <f>IF(OR(A595="",D595=""),0,MAX(0,NETWORKDAYS(MAX(D595,DATE(Einstellungen!$C$3,10,1)),MIN(J595,DATE(Einstellungen!$C$3,11,0)),Einstellungen!$F$13:$F$32)))</f>
        <v/>
      </c>
      <c r="V595" s="49">
        <f>IF(OR(A595="",D595=""),0,MAX(0,NETWORKDAYS(MAX(D595,DATE(Einstellungen!$C$3,11,1)),MIN(J595,DATE(Einstellungen!$C$3,12,0)),Einstellungen!$F$13:$F$32)))</f>
        <v/>
      </c>
      <c r="W595" s="49">
        <f>IF(OR(A595="",D595=""),0,MAX(0,NETWORKDAYS(MAX(D595,DATE(Einstellungen!$C$3,12,1)),MIN(J595,DATE(Einstellungen!$C$3,13,0)),Einstellungen!$F$13:$F$32)))</f>
        <v/>
      </c>
      <c r="X595" s="50">
        <f>L595*K595</f>
        <v/>
      </c>
      <c r="Y595" s="50">
        <f>M595*K595</f>
        <v/>
      </c>
      <c r="Z595" s="50">
        <f>N595*K595</f>
        <v/>
      </c>
      <c r="AA595" s="50">
        <f>O595*K595</f>
        <v/>
      </c>
      <c r="AB595" s="50">
        <f>P595*K595</f>
        <v/>
      </c>
      <c r="AC595" s="50">
        <f>Q595*K595</f>
        <v/>
      </c>
      <c r="AD595" s="50">
        <f>R595*K595</f>
        <v/>
      </c>
      <c r="AE595" s="50">
        <f>S595*K595</f>
        <v/>
      </c>
      <c r="AF595" s="50">
        <f>T595*K595</f>
        <v/>
      </c>
      <c r="AG595" s="50">
        <f>U595*K595</f>
        <v/>
      </c>
      <c r="AH595" s="50">
        <f>V595*K595</f>
        <v/>
      </c>
      <c r="AI595" s="50">
        <f>W595*K595</f>
        <v/>
      </c>
    </row>
    <row r="596">
      <c r="A596" s="25" t="n"/>
      <c r="B596" s="45">
        <f>IF(A596="","",IFERROR(INDEX(Mitarbeiter!$B$6:$B$205,MATCH($A596,Mitarbeiter!$A$6:$A$205,0)),"?"))</f>
        <v/>
      </c>
      <c r="C596" s="46" t="n"/>
      <c r="D596" s="26" t="n"/>
      <c r="E596" s="26" t="n"/>
      <c r="F596" s="24">
        <f>IF(A596="","",SUM(L596:W596))</f>
        <v/>
      </c>
      <c r="G596" s="36">
        <f>IF(A596="","",SUM(X596:AI596))</f>
        <v/>
      </c>
      <c r="H596" s="8">
        <f>IF(A596="","",IF(ISNA(MATCH(A596,Mitarbeiter!$A$6:$A$205,0)),"Pers.-Nr. unbekannt",IF(D596="","Von fehlt",IF(AND(C596&lt;&gt;Einstellungen!$C$4,C596&lt;&gt;Einstellungen!$C$5),"Objekt fehlt",IF(J596&lt;D596,"Bis vor Von",IF(D596&lt;INDEX(Mitarbeiter!$C$6:$C$205,MATCH($A596,Mitarbeiter!$A$6:$A$205,0)),"vor Eintritt",IF(AND(INDEX(Mitarbeiter!$D$6:$D$205,MATCH($A596,Mitarbeiter!$A$6:$A$205,0))&lt;&gt;"",D596&gt;INDEX(Mitarbeiter!$D$6:$D$205,MATCH($A596,Mitarbeiter!$A$6:$A$205,0))),"nach Austritt",IF(E596="","offen","ok"))))))))</f>
        <v/>
      </c>
      <c r="J596" s="47">
        <f>IF(A596="","",IF(E596="",Einstellungen!$C$9,E596))</f>
        <v/>
      </c>
      <c r="K596" s="48">
        <f>IF(A596="",0,IFERROR(INDEX(Mitarbeiter!$F$6:$F$205,MATCH($A596,Mitarbeiter!$A$6:$A$205,0)),0))</f>
        <v/>
      </c>
      <c r="L596" s="49">
        <f>IF(OR(A596="",D596=""),0,MAX(0,NETWORKDAYS(MAX(D596,DATE(Einstellungen!$C$3,1,1)),MIN(J596,DATE(Einstellungen!$C$3,2,0)),Einstellungen!$F$13:$F$32)))</f>
        <v/>
      </c>
      <c r="M596" s="49">
        <f>IF(OR(A596="",D596=""),0,MAX(0,NETWORKDAYS(MAX(D596,DATE(Einstellungen!$C$3,2,1)),MIN(J596,DATE(Einstellungen!$C$3,3,0)),Einstellungen!$F$13:$F$32)))</f>
        <v/>
      </c>
      <c r="N596" s="49">
        <f>IF(OR(A596="",D596=""),0,MAX(0,NETWORKDAYS(MAX(D596,DATE(Einstellungen!$C$3,3,1)),MIN(J596,DATE(Einstellungen!$C$3,4,0)),Einstellungen!$F$13:$F$32)))</f>
        <v/>
      </c>
      <c r="O596" s="49">
        <f>IF(OR(A596="",D596=""),0,MAX(0,NETWORKDAYS(MAX(D596,DATE(Einstellungen!$C$3,4,1)),MIN(J596,DATE(Einstellungen!$C$3,5,0)),Einstellungen!$F$13:$F$32)))</f>
        <v/>
      </c>
      <c r="P596" s="49">
        <f>IF(OR(A596="",D596=""),0,MAX(0,NETWORKDAYS(MAX(D596,DATE(Einstellungen!$C$3,5,1)),MIN(J596,DATE(Einstellungen!$C$3,6,0)),Einstellungen!$F$13:$F$32)))</f>
        <v/>
      </c>
      <c r="Q596" s="49">
        <f>IF(OR(A596="",D596=""),0,MAX(0,NETWORKDAYS(MAX(D596,DATE(Einstellungen!$C$3,6,1)),MIN(J596,DATE(Einstellungen!$C$3,7,0)),Einstellungen!$F$13:$F$32)))</f>
        <v/>
      </c>
      <c r="R596" s="49">
        <f>IF(OR(A596="",D596=""),0,MAX(0,NETWORKDAYS(MAX(D596,DATE(Einstellungen!$C$3,7,1)),MIN(J596,DATE(Einstellungen!$C$3,8,0)),Einstellungen!$F$13:$F$32)))</f>
        <v/>
      </c>
      <c r="S596" s="49">
        <f>IF(OR(A596="",D596=""),0,MAX(0,NETWORKDAYS(MAX(D596,DATE(Einstellungen!$C$3,8,1)),MIN(J596,DATE(Einstellungen!$C$3,9,0)),Einstellungen!$F$13:$F$32)))</f>
        <v/>
      </c>
      <c r="T596" s="49">
        <f>IF(OR(A596="",D596=""),0,MAX(0,NETWORKDAYS(MAX(D596,DATE(Einstellungen!$C$3,9,1)),MIN(J596,DATE(Einstellungen!$C$3,10,0)),Einstellungen!$F$13:$F$32)))</f>
        <v/>
      </c>
      <c r="U596" s="49">
        <f>IF(OR(A596="",D596=""),0,MAX(0,NETWORKDAYS(MAX(D596,DATE(Einstellungen!$C$3,10,1)),MIN(J596,DATE(Einstellungen!$C$3,11,0)),Einstellungen!$F$13:$F$32)))</f>
        <v/>
      </c>
      <c r="V596" s="49">
        <f>IF(OR(A596="",D596=""),0,MAX(0,NETWORKDAYS(MAX(D596,DATE(Einstellungen!$C$3,11,1)),MIN(J596,DATE(Einstellungen!$C$3,12,0)),Einstellungen!$F$13:$F$32)))</f>
        <v/>
      </c>
      <c r="W596" s="49">
        <f>IF(OR(A596="",D596=""),0,MAX(0,NETWORKDAYS(MAX(D596,DATE(Einstellungen!$C$3,12,1)),MIN(J596,DATE(Einstellungen!$C$3,13,0)),Einstellungen!$F$13:$F$32)))</f>
        <v/>
      </c>
      <c r="X596" s="50">
        <f>L596*K596</f>
        <v/>
      </c>
      <c r="Y596" s="50">
        <f>M596*K596</f>
        <v/>
      </c>
      <c r="Z596" s="50">
        <f>N596*K596</f>
        <v/>
      </c>
      <c r="AA596" s="50">
        <f>O596*K596</f>
        <v/>
      </c>
      <c r="AB596" s="50">
        <f>P596*K596</f>
        <v/>
      </c>
      <c r="AC596" s="50">
        <f>Q596*K596</f>
        <v/>
      </c>
      <c r="AD596" s="50">
        <f>R596*K596</f>
        <v/>
      </c>
      <c r="AE596" s="50">
        <f>S596*K596</f>
        <v/>
      </c>
      <c r="AF596" s="50">
        <f>T596*K596</f>
        <v/>
      </c>
      <c r="AG596" s="50">
        <f>U596*K596</f>
        <v/>
      </c>
      <c r="AH596" s="50">
        <f>V596*K596</f>
        <v/>
      </c>
      <c r="AI596" s="50">
        <f>W596*K596</f>
        <v/>
      </c>
    </row>
    <row r="597">
      <c r="A597" s="25" t="n"/>
      <c r="B597" s="45">
        <f>IF(A597="","",IFERROR(INDEX(Mitarbeiter!$B$6:$B$205,MATCH($A597,Mitarbeiter!$A$6:$A$205,0)),"?"))</f>
        <v/>
      </c>
      <c r="C597" s="46" t="n"/>
      <c r="D597" s="26" t="n"/>
      <c r="E597" s="26" t="n"/>
      <c r="F597" s="24">
        <f>IF(A597="","",SUM(L597:W597))</f>
        <v/>
      </c>
      <c r="G597" s="36">
        <f>IF(A597="","",SUM(X597:AI597))</f>
        <v/>
      </c>
      <c r="H597" s="8">
        <f>IF(A597="","",IF(ISNA(MATCH(A597,Mitarbeiter!$A$6:$A$205,0)),"Pers.-Nr. unbekannt",IF(D597="","Von fehlt",IF(AND(C597&lt;&gt;Einstellungen!$C$4,C597&lt;&gt;Einstellungen!$C$5),"Objekt fehlt",IF(J597&lt;D597,"Bis vor Von",IF(D597&lt;INDEX(Mitarbeiter!$C$6:$C$205,MATCH($A597,Mitarbeiter!$A$6:$A$205,0)),"vor Eintritt",IF(AND(INDEX(Mitarbeiter!$D$6:$D$205,MATCH($A597,Mitarbeiter!$A$6:$A$205,0))&lt;&gt;"",D597&gt;INDEX(Mitarbeiter!$D$6:$D$205,MATCH($A597,Mitarbeiter!$A$6:$A$205,0))),"nach Austritt",IF(E597="","offen","ok"))))))))</f>
        <v/>
      </c>
      <c r="J597" s="47">
        <f>IF(A597="","",IF(E597="",Einstellungen!$C$9,E597))</f>
        <v/>
      </c>
      <c r="K597" s="48">
        <f>IF(A597="",0,IFERROR(INDEX(Mitarbeiter!$F$6:$F$205,MATCH($A597,Mitarbeiter!$A$6:$A$205,0)),0))</f>
        <v/>
      </c>
      <c r="L597" s="49">
        <f>IF(OR(A597="",D597=""),0,MAX(0,NETWORKDAYS(MAX(D597,DATE(Einstellungen!$C$3,1,1)),MIN(J597,DATE(Einstellungen!$C$3,2,0)),Einstellungen!$F$13:$F$32)))</f>
        <v/>
      </c>
      <c r="M597" s="49">
        <f>IF(OR(A597="",D597=""),0,MAX(0,NETWORKDAYS(MAX(D597,DATE(Einstellungen!$C$3,2,1)),MIN(J597,DATE(Einstellungen!$C$3,3,0)),Einstellungen!$F$13:$F$32)))</f>
        <v/>
      </c>
      <c r="N597" s="49">
        <f>IF(OR(A597="",D597=""),0,MAX(0,NETWORKDAYS(MAX(D597,DATE(Einstellungen!$C$3,3,1)),MIN(J597,DATE(Einstellungen!$C$3,4,0)),Einstellungen!$F$13:$F$32)))</f>
        <v/>
      </c>
      <c r="O597" s="49">
        <f>IF(OR(A597="",D597=""),0,MAX(0,NETWORKDAYS(MAX(D597,DATE(Einstellungen!$C$3,4,1)),MIN(J597,DATE(Einstellungen!$C$3,5,0)),Einstellungen!$F$13:$F$32)))</f>
        <v/>
      </c>
      <c r="P597" s="49">
        <f>IF(OR(A597="",D597=""),0,MAX(0,NETWORKDAYS(MAX(D597,DATE(Einstellungen!$C$3,5,1)),MIN(J597,DATE(Einstellungen!$C$3,6,0)),Einstellungen!$F$13:$F$32)))</f>
        <v/>
      </c>
      <c r="Q597" s="49">
        <f>IF(OR(A597="",D597=""),0,MAX(0,NETWORKDAYS(MAX(D597,DATE(Einstellungen!$C$3,6,1)),MIN(J597,DATE(Einstellungen!$C$3,7,0)),Einstellungen!$F$13:$F$32)))</f>
        <v/>
      </c>
      <c r="R597" s="49">
        <f>IF(OR(A597="",D597=""),0,MAX(0,NETWORKDAYS(MAX(D597,DATE(Einstellungen!$C$3,7,1)),MIN(J597,DATE(Einstellungen!$C$3,8,0)),Einstellungen!$F$13:$F$32)))</f>
        <v/>
      </c>
      <c r="S597" s="49">
        <f>IF(OR(A597="",D597=""),0,MAX(0,NETWORKDAYS(MAX(D597,DATE(Einstellungen!$C$3,8,1)),MIN(J597,DATE(Einstellungen!$C$3,9,0)),Einstellungen!$F$13:$F$32)))</f>
        <v/>
      </c>
      <c r="T597" s="49">
        <f>IF(OR(A597="",D597=""),0,MAX(0,NETWORKDAYS(MAX(D597,DATE(Einstellungen!$C$3,9,1)),MIN(J597,DATE(Einstellungen!$C$3,10,0)),Einstellungen!$F$13:$F$32)))</f>
        <v/>
      </c>
      <c r="U597" s="49">
        <f>IF(OR(A597="",D597=""),0,MAX(0,NETWORKDAYS(MAX(D597,DATE(Einstellungen!$C$3,10,1)),MIN(J597,DATE(Einstellungen!$C$3,11,0)),Einstellungen!$F$13:$F$32)))</f>
        <v/>
      </c>
      <c r="V597" s="49">
        <f>IF(OR(A597="",D597=""),0,MAX(0,NETWORKDAYS(MAX(D597,DATE(Einstellungen!$C$3,11,1)),MIN(J597,DATE(Einstellungen!$C$3,12,0)),Einstellungen!$F$13:$F$32)))</f>
        <v/>
      </c>
      <c r="W597" s="49">
        <f>IF(OR(A597="",D597=""),0,MAX(0,NETWORKDAYS(MAX(D597,DATE(Einstellungen!$C$3,12,1)),MIN(J597,DATE(Einstellungen!$C$3,13,0)),Einstellungen!$F$13:$F$32)))</f>
        <v/>
      </c>
      <c r="X597" s="50">
        <f>L597*K597</f>
        <v/>
      </c>
      <c r="Y597" s="50">
        <f>M597*K597</f>
        <v/>
      </c>
      <c r="Z597" s="50">
        <f>N597*K597</f>
        <v/>
      </c>
      <c r="AA597" s="50">
        <f>O597*K597</f>
        <v/>
      </c>
      <c r="AB597" s="50">
        <f>P597*K597</f>
        <v/>
      </c>
      <c r="AC597" s="50">
        <f>Q597*K597</f>
        <v/>
      </c>
      <c r="AD597" s="50">
        <f>R597*K597</f>
        <v/>
      </c>
      <c r="AE597" s="50">
        <f>S597*K597</f>
        <v/>
      </c>
      <c r="AF597" s="50">
        <f>T597*K597</f>
        <v/>
      </c>
      <c r="AG597" s="50">
        <f>U597*K597</f>
        <v/>
      </c>
      <c r="AH597" s="50">
        <f>V597*K597</f>
        <v/>
      </c>
      <c r="AI597" s="50">
        <f>W597*K597</f>
        <v/>
      </c>
    </row>
    <row r="598">
      <c r="A598" s="25" t="n"/>
      <c r="B598" s="45">
        <f>IF(A598="","",IFERROR(INDEX(Mitarbeiter!$B$6:$B$205,MATCH($A598,Mitarbeiter!$A$6:$A$205,0)),"?"))</f>
        <v/>
      </c>
      <c r="C598" s="46" t="n"/>
      <c r="D598" s="26" t="n"/>
      <c r="E598" s="26" t="n"/>
      <c r="F598" s="24">
        <f>IF(A598="","",SUM(L598:W598))</f>
        <v/>
      </c>
      <c r="G598" s="36">
        <f>IF(A598="","",SUM(X598:AI598))</f>
        <v/>
      </c>
      <c r="H598" s="8">
        <f>IF(A598="","",IF(ISNA(MATCH(A598,Mitarbeiter!$A$6:$A$205,0)),"Pers.-Nr. unbekannt",IF(D598="","Von fehlt",IF(AND(C598&lt;&gt;Einstellungen!$C$4,C598&lt;&gt;Einstellungen!$C$5),"Objekt fehlt",IF(J598&lt;D598,"Bis vor Von",IF(D598&lt;INDEX(Mitarbeiter!$C$6:$C$205,MATCH($A598,Mitarbeiter!$A$6:$A$205,0)),"vor Eintritt",IF(AND(INDEX(Mitarbeiter!$D$6:$D$205,MATCH($A598,Mitarbeiter!$A$6:$A$205,0))&lt;&gt;"",D598&gt;INDEX(Mitarbeiter!$D$6:$D$205,MATCH($A598,Mitarbeiter!$A$6:$A$205,0))),"nach Austritt",IF(E598="","offen","ok"))))))))</f>
        <v/>
      </c>
      <c r="J598" s="47">
        <f>IF(A598="","",IF(E598="",Einstellungen!$C$9,E598))</f>
        <v/>
      </c>
      <c r="K598" s="48">
        <f>IF(A598="",0,IFERROR(INDEX(Mitarbeiter!$F$6:$F$205,MATCH($A598,Mitarbeiter!$A$6:$A$205,0)),0))</f>
        <v/>
      </c>
      <c r="L598" s="49">
        <f>IF(OR(A598="",D598=""),0,MAX(0,NETWORKDAYS(MAX(D598,DATE(Einstellungen!$C$3,1,1)),MIN(J598,DATE(Einstellungen!$C$3,2,0)),Einstellungen!$F$13:$F$32)))</f>
        <v/>
      </c>
      <c r="M598" s="49">
        <f>IF(OR(A598="",D598=""),0,MAX(0,NETWORKDAYS(MAX(D598,DATE(Einstellungen!$C$3,2,1)),MIN(J598,DATE(Einstellungen!$C$3,3,0)),Einstellungen!$F$13:$F$32)))</f>
        <v/>
      </c>
      <c r="N598" s="49">
        <f>IF(OR(A598="",D598=""),0,MAX(0,NETWORKDAYS(MAX(D598,DATE(Einstellungen!$C$3,3,1)),MIN(J598,DATE(Einstellungen!$C$3,4,0)),Einstellungen!$F$13:$F$32)))</f>
        <v/>
      </c>
      <c r="O598" s="49">
        <f>IF(OR(A598="",D598=""),0,MAX(0,NETWORKDAYS(MAX(D598,DATE(Einstellungen!$C$3,4,1)),MIN(J598,DATE(Einstellungen!$C$3,5,0)),Einstellungen!$F$13:$F$32)))</f>
        <v/>
      </c>
      <c r="P598" s="49">
        <f>IF(OR(A598="",D598=""),0,MAX(0,NETWORKDAYS(MAX(D598,DATE(Einstellungen!$C$3,5,1)),MIN(J598,DATE(Einstellungen!$C$3,6,0)),Einstellungen!$F$13:$F$32)))</f>
        <v/>
      </c>
      <c r="Q598" s="49">
        <f>IF(OR(A598="",D598=""),0,MAX(0,NETWORKDAYS(MAX(D598,DATE(Einstellungen!$C$3,6,1)),MIN(J598,DATE(Einstellungen!$C$3,7,0)),Einstellungen!$F$13:$F$32)))</f>
        <v/>
      </c>
      <c r="R598" s="49">
        <f>IF(OR(A598="",D598=""),0,MAX(0,NETWORKDAYS(MAX(D598,DATE(Einstellungen!$C$3,7,1)),MIN(J598,DATE(Einstellungen!$C$3,8,0)),Einstellungen!$F$13:$F$32)))</f>
        <v/>
      </c>
      <c r="S598" s="49">
        <f>IF(OR(A598="",D598=""),0,MAX(0,NETWORKDAYS(MAX(D598,DATE(Einstellungen!$C$3,8,1)),MIN(J598,DATE(Einstellungen!$C$3,9,0)),Einstellungen!$F$13:$F$32)))</f>
        <v/>
      </c>
      <c r="T598" s="49">
        <f>IF(OR(A598="",D598=""),0,MAX(0,NETWORKDAYS(MAX(D598,DATE(Einstellungen!$C$3,9,1)),MIN(J598,DATE(Einstellungen!$C$3,10,0)),Einstellungen!$F$13:$F$32)))</f>
        <v/>
      </c>
      <c r="U598" s="49">
        <f>IF(OR(A598="",D598=""),0,MAX(0,NETWORKDAYS(MAX(D598,DATE(Einstellungen!$C$3,10,1)),MIN(J598,DATE(Einstellungen!$C$3,11,0)),Einstellungen!$F$13:$F$32)))</f>
        <v/>
      </c>
      <c r="V598" s="49">
        <f>IF(OR(A598="",D598=""),0,MAX(0,NETWORKDAYS(MAX(D598,DATE(Einstellungen!$C$3,11,1)),MIN(J598,DATE(Einstellungen!$C$3,12,0)),Einstellungen!$F$13:$F$32)))</f>
        <v/>
      </c>
      <c r="W598" s="49">
        <f>IF(OR(A598="",D598=""),0,MAX(0,NETWORKDAYS(MAX(D598,DATE(Einstellungen!$C$3,12,1)),MIN(J598,DATE(Einstellungen!$C$3,13,0)),Einstellungen!$F$13:$F$32)))</f>
        <v/>
      </c>
      <c r="X598" s="50">
        <f>L598*K598</f>
        <v/>
      </c>
      <c r="Y598" s="50">
        <f>M598*K598</f>
        <v/>
      </c>
      <c r="Z598" s="50">
        <f>N598*K598</f>
        <v/>
      </c>
      <c r="AA598" s="50">
        <f>O598*K598</f>
        <v/>
      </c>
      <c r="AB598" s="50">
        <f>P598*K598</f>
        <v/>
      </c>
      <c r="AC598" s="50">
        <f>Q598*K598</f>
        <v/>
      </c>
      <c r="AD598" s="50">
        <f>R598*K598</f>
        <v/>
      </c>
      <c r="AE598" s="50">
        <f>S598*K598</f>
        <v/>
      </c>
      <c r="AF598" s="50">
        <f>T598*K598</f>
        <v/>
      </c>
      <c r="AG598" s="50">
        <f>U598*K598</f>
        <v/>
      </c>
      <c r="AH598" s="50">
        <f>V598*K598</f>
        <v/>
      </c>
      <c r="AI598" s="50">
        <f>W598*K598</f>
        <v/>
      </c>
    </row>
    <row r="599">
      <c r="A599" s="25" t="n"/>
      <c r="B599" s="45">
        <f>IF(A599="","",IFERROR(INDEX(Mitarbeiter!$B$6:$B$205,MATCH($A599,Mitarbeiter!$A$6:$A$205,0)),"?"))</f>
        <v/>
      </c>
      <c r="C599" s="46" t="n"/>
      <c r="D599" s="26" t="n"/>
      <c r="E599" s="26" t="n"/>
      <c r="F599" s="24">
        <f>IF(A599="","",SUM(L599:W599))</f>
        <v/>
      </c>
      <c r="G599" s="36">
        <f>IF(A599="","",SUM(X599:AI599))</f>
        <v/>
      </c>
      <c r="H599" s="8">
        <f>IF(A599="","",IF(ISNA(MATCH(A599,Mitarbeiter!$A$6:$A$205,0)),"Pers.-Nr. unbekannt",IF(D599="","Von fehlt",IF(AND(C599&lt;&gt;Einstellungen!$C$4,C599&lt;&gt;Einstellungen!$C$5),"Objekt fehlt",IF(J599&lt;D599,"Bis vor Von",IF(D599&lt;INDEX(Mitarbeiter!$C$6:$C$205,MATCH($A599,Mitarbeiter!$A$6:$A$205,0)),"vor Eintritt",IF(AND(INDEX(Mitarbeiter!$D$6:$D$205,MATCH($A599,Mitarbeiter!$A$6:$A$205,0))&lt;&gt;"",D599&gt;INDEX(Mitarbeiter!$D$6:$D$205,MATCH($A599,Mitarbeiter!$A$6:$A$205,0))),"nach Austritt",IF(E599="","offen","ok"))))))))</f>
        <v/>
      </c>
      <c r="J599" s="47">
        <f>IF(A599="","",IF(E599="",Einstellungen!$C$9,E599))</f>
        <v/>
      </c>
      <c r="K599" s="48">
        <f>IF(A599="",0,IFERROR(INDEX(Mitarbeiter!$F$6:$F$205,MATCH($A599,Mitarbeiter!$A$6:$A$205,0)),0))</f>
        <v/>
      </c>
      <c r="L599" s="49">
        <f>IF(OR(A599="",D599=""),0,MAX(0,NETWORKDAYS(MAX(D599,DATE(Einstellungen!$C$3,1,1)),MIN(J599,DATE(Einstellungen!$C$3,2,0)),Einstellungen!$F$13:$F$32)))</f>
        <v/>
      </c>
      <c r="M599" s="49">
        <f>IF(OR(A599="",D599=""),0,MAX(0,NETWORKDAYS(MAX(D599,DATE(Einstellungen!$C$3,2,1)),MIN(J599,DATE(Einstellungen!$C$3,3,0)),Einstellungen!$F$13:$F$32)))</f>
        <v/>
      </c>
      <c r="N599" s="49">
        <f>IF(OR(A599="",D599=""),0,MAX(0,NETWORKDAYS(MAX(D599,DATE(Einstellungen!$C$3,3,1)),MIN(J599,DATE(Einstellungen!$C$3,4,0)),Einstellungen!$F$13:$F$32)))</f>
        <v/>
      </c>
      <c r="O599" s="49">
        <f>IF(OR(A599="",D599=""),0,MAX(0,NETWORKDAYS(MAX(D599,DATE(Einstellungen!$C$3,4,1)),MIN(J599,DATE(Einstellungen!$C$3,5,0)),Einstellungen!$F$13:$F$32)))</f>
        <v/>
      </c>
      <c r="P599" s="49">
        <f>IF(OR(A599="",D599=""),0,MAX(0,NETWORKDAYS(MAX(D599,DATE(Einstellungen!$C$3,5,1)),MIN(J599,DATE(Einstellungen!$C$3,6,0)),Einstellungen!$F$13:$F$32)))</f>
        <v/>
      </c>
      <c r="Q599" s="49">
        <f>IF(OR(A599="",D599=""),0,MAX(0,NETWORKDAYS(MAX(D599,DATE(Einstellungen!$C$3,6,1)),MIN(J599,DATE(Einstellungen!$C$3,7,0)),Einstellungen!$F$13:$F$32)))</f>
        <v/>
      </c>
      <c r="R599" s="49">
        <f>IF(OR(A599="",D599=""),0,MAX(0,NETWORKDAYS(MAX(D599,DATE(Einstellungen!$C$3,7,1)),MIN(J599,DATE(Einstellungen!$C$3,8,0)),Einstellungen!$F$13:$F$32)))</f>
        <v/>
      </c>
      <c r="S599" s="49">
        <f>IF(OR(A599="",D599=""),0,MAX(0,NETWORKDAYS(MAX(D599,DATE(Einstellungen!$C$3,8,1)),MIN(J599,DATE(Einstellungen!$C$3,9,0)),Einstellungen!$F$13:$F$32)))</f>
        <v/>
      </c>
      <c r="T599" s="49">
        <f>IF(OR(A599="",D599=""),0,MAX(0,NETWORKDAYS(MAX(D599,DATE(Einstellungen!$C$3,9,1)),MIN(J599,DATE(Einstellungen!$C$3,10,0)),Einstellungen!$F$13:$F$32)))</f>
        <v/>
      </c>
      <c r="U599" s="49">
        <f>IF(OR(A599="",D599=""),0,MAX(0,NETWORKDAYS(MAX(D599,DATE(Einstellungen!$C$3,10,1)),MIN(J599,DATE(Einstellungen!$C$3,11,0)),Einstellungen!$F$13:$F$32)))</f>
        <v/>
      </c>
      <c r="V599" s="49">
        <f>IF(OR(A599="",D599=""),0,MAX(0,NETWORKDAYS(MAX(D599,DATE(Einstellungen!$C$3,11,1)),MIN(J599,DATE(Einstellungen!$C$3,12,0)),Einstellungen!$F$13:$F$32)))</f>
        <v/>
      </c>
      <c r="W599" s="49">
        <f>IF(OR(A599="",D599=""),0,MAX(0,NETWORKDAYS(MAX(D599,DATE(Einstellungen!$C$3,12,1)),MIN(J599,DATE(Einstellungen!$C$3,13,0)),Einstellungen!$F$13:$F$32)))</f>
        <v/>
      </c>
      <c r="X599" s="50">
        <f>L599*K599</f>
        <v/>
      </c>
      <c r="Y599" s="50">
        <f>M599*K599</f>
        <v/>
      </c>
      <c r="Z599" s="50">
        <f>N599*K599</f>
        <v/>
      </c>
      <c r="AA599" s="50">
        <f>O599*K599</f>
        <v/>
      </c>
      <c r="AB599" s="50">
        <f>P599*K599</f>
        <v/>
      </c>
      <c r="AC599" s="50">
        <f>Q599*K599</f>
        <v/>
      </c>
      <c r="AD599" s="50">
        <f>R599*K599</f>
        <v/>
      </c>
      <c r="AE599" s="50">
        <f>S599*K599</f>
        <v/>
      </c>
      <c r="AF599" s="50">
        <f>T599*K599</f>
        <v/>
      </c>
      <c r="AG599" s="50">
        <f>U599*K599</f>
        <v/>
      </c>
      <c r="AH599" s="50">
        <f>V599*K599</f>
        <v/>
      </c>
      <c r="AI599" s="50">
        <f>W599*K599</f>
        <v/>
      </c>
    </row>
    <row r="600">
      <c r="A600" s="25" t="n"/>
      <c r="B600" s="45">
        <f>IF(A600="","",IFERROR(INDEX(Mitarbeiter!$B$6:$B$205,MATCH($A600,Mitarbeiter!$A$6:$A$205,0)),"?"))</f>
        <v/>
      </c>
      <c r="C600" s="46" t="n"/>
      <c r="D600" s="26" t="n"/>
      <c r="E600" s="26" t="n"/>
      <c r="F600" s="24">
        <f>IF(A600="","",SUM(L600:W600))</f>
        <v/>
      </c>
      <c r="G600" s="36">
        <f>IF(A600="","",SUM(X600:AI600))</f>
        <v/>
      </c>
      <c r="H600" s="8">
        <f>IF(A600="","",IF(ISNA(MATCH(A600,Mitarbeiter!$A$6:$A$205,0)),"Pers.-Nr. unbekannt",IF(D600="","Von fehlt",IF(AND(C600&lt;&gt;Einstellungen!$C$4,C600&lt;&gt;Einstellungen!$C$5),"Objekt fehlt",IF(J600&lt;D600,"Bis vor Von",IF(D600&lt;INDEX(Mitarbeiter!$C$6:$C$205,MATCH($A600,Mitarbeiter!$A$6:$A$205,0)),"vor Eintritt",IF(AND(INDEX(Mitarbeiter!$D$6:$D$205,MATCH($A600,Mitarbeiter!$A$6:$A$205,0))&lt;&gt;"",D600&gt;INDEX(Mitarbeiter!$D$6:$D$205,MATCH($A600,Mitarbeiter!$A$6:$A$205,0))),"nach Austritt",IF(E600="","offen","ok"))))))))</f>
        <v/>
      </c>
      <c r="J600" s="47">
        <f>IF(A600="","",IF(E600="",Einstellungen!$C$9,E600))</f>
        <v/>
      </c>
      <c r="K600" s="48">
        <f>IF(A600="",0,IFERROR(INDEX(Mitarbeiter!$F$6:$F$205,MATCH($A600,Mitarbeiter!$A$6:$A$205,0)),0))</f>
        <v/>
      </c>
      <c r="L600" s="49">
        <f>IF(OR(A600="",D600=""),0,MAX(0,NETWORKDAYS(MAX(D600,DATE(Einstellungen!$C$3,1,1)),MIN(J600,DATE(Einstellungen!$C$3,2,0)),Einstellungen!$F$13:$F$32)))</f>
        <v/>
      </c>
      <c r="M600" s="49">
        <f>IF(OR(A600="",D600=""),0,MAX(0,NETWORKDAYS(MAX(D600,DATE(Einstellungen!$C$3,2,1)),MIN(J600,DATE(Einstellungen!$C$3,3,0)),Einstellungen!$F$13:$F$32)))</f>
        <v/>
      </c>
      <c r="N600" s="49">
        <f>IF(OR(A600="",D600=""),0,MAX(0,NETWORKDAYS(MAX(D600,DATE(Einstellungen!$C$3,3,1)),MIN(J600,DATE(Einstellungen!$C$3,4,0)),Einstellungen!$F$13:$F$32)))</f>
        <v/>
      </c>
      <c r="O600" s="49">
        <f>IF(OR(A600="",D600=""),0,MAX(0,NETWORKDAYS(MAX(D600,DATE(Einstellungen!$C$3,4,1)),MIN(J600,DATE(Einstellungen!$C$3,5,0)),Einstellungen!$F$13:$F$32)))</f>
        <v/>
      </c>
      <c r="P600" s="49">
        <f>IF(OR(A600="",D600=""),0,MAX(0,NETWORKDAYS(MAX(D600,DATE(Einstellungen!$C$3,5,1)),MIN(J600,DATE(Einstellungen!$C$3,6,0)),Einstellungen!$F$13:$F$32)))</f>
        <v/>
      </c>
      <c r="Q600" s="49">
        <f>IF(OR(A600="",D600=""),0,MAX(0,NETWORKDAYS(MAX(D600,DATE(Einstellungen!$C$3,6,1)),MIN(J600,DATE(Einstellungen!$C$3,7,0)),Einstellungen!$F$13:$F$32)))</f>
        <v/>
      </c>
      <c r="R600" s="49">
        <f>IF(OR(A600="",D600=""),0,MAX(0,NETWORKDAYS(MAX(D600,DATE(Einstellungen!$C$3,7,1)),MIN(J600,DATE(Einstellungen!$C$3,8,0)),Einstellungen!$F$13:$F$32)))</f>
        <v/>
      </c>
      <c r="S600" s="49">
        <f>IF(OR(A600="",D600=""),0,MAX(0,NETWORKDAYS(MAX(D600,DATE(Einstellungen!$C$3,8,1)),MIN(J600,DATE(Einstellungen!$C$3,9,0)),Einstellungen!$F$13:$F$32)))</f>
        <v/>
      </c>
      <c r="T600" s="49">
        <f>IF(OR(A600="",D600=""),0,MAX(0,NETWORKDAYS(MAX(D600,DATE(Einstellungen!$C$3,9,1)),MIN(J600,DATE(Einstellungen!$C$3,10,0)),Einstellungen!$F$13:$F$32)))</f>
        <v/>
      </c>
      <c r="U600" s="49">
        <f>IF(OR(A600="",D600=""),0,MAX(0,NETWORKDAYS(MAX(D600,DATE(Einstellungen!$C$3,10,1)),MIN(J600,DATE(Einstellungen!$C$3,11,0)),Einstellungen!$F$13:$F$32)))</f>
        <v/>
      </c>
      <c r="V600" s="49">
        <f>IF(OR(A600="",D600=""),0,MAX(0,NETWORKDAYS(MAX(D600,DATE(Einstellungen!$C$3,11,1)),MIN(J600,DATE(Einstellungen!$C$3,12,0)),Einstellungen!$F$13:$F$32)))</f>
        <v/>
      </c>
      <c r="W600" s="49">
        <f>IF(OR(A600="",D600=""),0,MAX(0,NETWORKDAYS(MAX(D600,DATE(Einstellungen!$C$3,12,1)),MIN(J600,DATE(Einstellungen!$C$3,13,0)),Einstellungen!$F$13:$F$32)))</f>
        <v/>
      </c>
      <c r="X600" s="50">
        <f>L600*K600</f>
        <v/>
      </c>
      <c r="Y600" s="50">
        <f>M600*K600</f>
        <v/>
      </c>
      <c r="Z600" s="50">
        <f>N600*K600</f>
        <v/>
      </c>
      <c r="AA600" s="50">
        <f>O600*K600</f>
        <v/>
      </c>
      <c r="AB600" s="50">
        <f>P600*K600</f>
        <v/>
      </c>
      <c r="AC600" s="50">
        <f>Q600*K600</f>
        <v/>
      </c>
      <c r="AD600" s="50">
        <f>R600*K600</f>
        <v/>
      </c>
      <c r="AE600" s="50">
        <f>S600*K600</f>
        <v/>
      </c>
      <c r="AF600" s="50">
        <f>T600*K600</f>
        <v/>
      </c>
      <c r="AG600" s="50">
        <f>U600*K600</f>
        <v/>
      </c>
      <c r="AH600" s="50">
        <f>V600*K600</f>
        <v/>
      </c>
      <c r="AI600" s="50">
        <f>W600*K600</f>
        <v/>
      </c>
    </row>
    <row r="601">
      <c r="A601" s="25" t="n"/>
      <c r="B601" s="45">
        <f>IF(A601="","",IFERROR(INDEX(Mitarbeiter!$B$6:$B$205,MATCH($A601,Mitarbeiter!$A$6:$A$205,0)),"?"))</f>
        <v/>
      </c>
      <c r="C601" s="46" t="n"/>
      <c r="D601" s="26" t="n"/>
      <c r="E601" s="26" t="n"/>
      <c r="F601" s="24">
        <f>IF(A601="","",SUM(L601:W601))</f>
        <v/>
      </c>
      <c r="G601" s="36">
        <f>IF(A601="","",SUM(X601:AI601))</f>
        <v/>
      </c>
      <c r="H601" s="8">
        <f>IF(A601="","",IF(ISNA(MATCH(A601,Mitarbeiter!$A$6:$A$205,0)),"Pers.-Nr. unbekannt",IF(D601="","Von fehlt",IF(AND(C601&lt;&gt;Einstellungen!$C$4,C601&lt;&gt;Einstellungen!$C$5),"Objekt fehlt",IF(J601&lt;D601,"Bis vor Von",IF(D601&lt;INDEX(Mitarbeiter!$C$6:$C$205,MATCH($A601,Mitarbeiter!$A$6:$A$205,0)),"vor Eintritt",IF(AND(INDEX(Mitarbeiter!$D$6:$D$205,MATCH($A601,Mitarbeiter!$A$6:$A$205,0))&lt;&gt;"",D601&gt;INDEX(Mitarbeiter!$D$6:$D$205,MATCH($A601,Mitarbeiter!$A$6:$A$205,0))),"nach Austritt",IF(E601="","offen","ok"))))))))</f>
        <v/>
      </c>
      <c r="J601" s="47">
        <f>IF(A601="","",IF(E601="",Einstellungen!$C$9,E601))</f>
        <v/>
      </c>
      <c r="K601" s="48">
        <f>IF(A601="",0,IFERROR(INDEX(Mitarbeiter!$F$6:$F$205,MATCH($A601,Mitarbeiter!$A$6:$A$205,0)),0))</f>
        <v/>
      </c>
      <c r="L601" s="49">
        <f>IF(OR(A601="",D601=""),0,MAX(0,NETWORKDAYS(MAX(D601,DATE(Einstellungen!$C$3,1,1)),MIN(J601,DATE(Einstellungen!$C$3,2,0)),Einstellungen!$F$13:$F$32)))</f>
        <v/>
      </c>
      <c r="M601" s="49">
        <f>IF(OR(A601="",D601=""),0,MAX(0,NETWORKDAYS(MAX(D601,DATE(Einstellungen!$C$3,2,1)),MIN(J601,DATE(Einstellungen!$C$3,3,0)),Einstellungen!$F$13:$F$32)))</f>
        <v/>
      </c>
      <c r="N601" s="49">
        <f>IF(OR(A601="",D601=""),0,MAX(0,NETWORKDAYS(MAX(D601,DATE(Einstellungen!$C$3,3,1)),MIN(J601,DATE(Einstellungen!$C$3,4,0)),Einstellungen!$F$13:$F$32)))</f>
        <v/>
      </c>
      <c r="O601" s="49">
        <f>IF(OR(A601="",D601=""),0,MAX(0,NETWORKDAYS(MAX(D601,DATE(Einstellungen!$C$3,4,1)),MIN(J601,DATE(Einstellungen!$C$3,5,0)),Einstellungen!$F$13:$F$32)))</f>
        <v/>
      </c>
      <c r="P601" s="49">
        <f>IF(OR(A601="",D601=""),0,MAX(0,NETWORKDAYS(MAX(D601,DATE(Einstellungen!$C$3,5,1)),MIN(J601,DATE(Einstellungen!$C$3,6,0)),Einstellungen!$F$13:$F$32)))</f>
        <v/>
      </c>
      <c r="Q601" s="49">
        <f>IF(OR(A601="",D601=""),0,MAX(0,NETWORKDAYS(MAX(D601,DATE(Einstellungen!$C$3,6,1)),MIN(J601,DATE(Einstellungen!$C$3,7,0)),Einstellungen!$F$13:$F$32)))</f>
        <v/>
      </c>
      <c r="R601" s="49">
        <f>IF(OR(A601="",D601=""),0,MAX(0,NETWORKDAYS(MAX(D601,DATE(Einstellungen!$C$3,7,1)),MIN(J601,DATE(Einstellungen!$C$3,8,0)),Einstellungen!$F$13:$F$32)))</f>
        <v/>
      </c>
      <c r="S601" s="49">
        <f>IF(OR(A601="",D601=""),0,MAX(0,NETWORKDAYS(MAX(D601,DATE(Einstellungen!$C$3,8,1)),MIN(J601,DATE(Einstellungen!$C$3,9,0)),Einstellungen!$F$13:$F$32)))</f>
        <v/>
      </c>
      <c r="T601" s="49">
        <f>IF(OR(A601="",D601=""),0,MAX(0,NETWORKDAYS(MAX(D601,DATE(Einstellungen!$C$3,9,1)),MIN(J601,DATE(Einstellungen!$C$3,10,0)),Einstellungen!$F$13:$F$32)))</f>
        <v/>
      </c>
      <c r="U601" s="49">
        <f>IF(OR(A601="",D601=""),0,MAX(0,NETWORKDAYS(MAX(D601,DATE(Einstellungen!$C$3,10,1)),MIN(J601,DATE(Einstellungen!$C$3,11,0)),Einstellungen!$F$13:$F$32)))</f>
        <v/>
      </c>
      <c r="V601" s="49">
        <f>IF(OR(A601="",D601=""),0,MAX(0,NETWORKDAYS(MAX(D601,DATE(Einstellungen!$C$3,11,1)),MIN(J601,DATE(Einstellungen!$C$3,12,0)),Einstellungen!$F$13:$F$32)))</f>
        <v/>
      </c>
      <c r="W601" s="49">
        <f>IF(OR(A601="",D601=""),0,MAX(0,NETWORKDAYS(MAX(D601,DATE(Einstellungen!$C$3,12,1)),MIN(J601,DATE(Einstellungen!$C$3,13,0)),Einstellungen!$F$13:$F$32)))</f>
        <v/>
      </c>
      <c r="X601" s="50">
        <f>L601*K601</f>
        <v/>
      </c>
      <c r="Y601" s="50">
        <f>M601*K601</f>
        <v/>
      </c>
      <c r="Z601" s="50">
        <f>N601*K601</f>
        <v/>
      </c>
      <c r="AA601" s="50">
        <f>O601*K601</f>
        <v/>
      </c>
      <c r="AB601" s="50">
        <f>P601*K601</f>
        <v/>
      </c>
      <c r="AC601" s="50">
        <f>Q601*K601</f>
        <v/>
      </c>
      <c r="AD601" s="50">
        <f>R601*K601</f>
        <v/>
      </c>
      <c r="AE601" s="50">
        <f>S601*K601</f>
        <v/>
      </c>
      <c r="AF601" s="50">
        <f>T601*K601</f>
        <v/>
      </c>
      <c r="AG601" s="50">
        <f>U601*K601</f>
        <v/>
      </c>
      <c r="AH601" s="50">
        <f>V601*K601</f>
        <v/>
      </c>
      <c r="AI601" s="50">
        <f>W601*K601</f>
        <v/>
      </c>
    </row>
    <row r="602">
      <c r="A602" s="25" t="n"/>
      <c r="B602" s="45">
        <f>IF(A602="","",IFERROR(INDEX(Mitarbeiter!$B$6:$B$205,MATCH($A602,Mitarbeiter!$A$6:$A$205,0)),"?"))</f>
        <v/>
      </c>
      <c r="C602" s="46" t="n"/>
      <c r="D602" s="26" t="n"/>
      <c r="E602" s="26" t="n"/>
      <c r="F602" s="24">
        <f>IF(A602="","",SUM(L602:W602))</f>
        <v/>
      </c>
      <c r="G602" s="36">
        <f>IF(A602="","",SUM(X602:AI602))</f>
        <v/>
      </c>
      <c r="H602" s="8">
        <f>IF(A602="","",IF(ISNA(MATCH(A602,Mitarbeiter!$A$6:$A$205,0)),"Pers.-Nr. unbekannt",IF(D602="","Von fehlt",IF(AND(C602&lt;&gt;Einstellungen!$C$4,C602&lt;&gt;Einstellungen!$C$5),"Objekt fehlt",IF(J602&lt;D602,"Bis vor Von",IF(D602&lt;INDEX(Mitarbeiter!$C$6:$C$205,MATCH($A602,Mitarbeiter!$A$6:$A$205,0)),"vor Eintritt",IF(AND(INDEX(Mitarbeiter!$D$6:$D$205,MATCH($A602,Mitarbeiter!$A$6:$A$205,0))&lt;&gt;"",D602&gt;INDEX(Mitarbeiter!$D$6:$D$205,MATCH($A602,Mitarbeiter!$A$6:$A$205,0))),"nach Austritt",IF(E602="","offen","ok"))))))))</f>
        <v/>
      </c>
      <c r="J602" s="47">
        <f>IF(A602="","",IF(E602="",Einstellungen!$C$9,E602))</f>
        <v/>
      </c>
      <c r="K602" s="48">
        <f>IF(A602="",0,IFERROR(INDEX(Mitarbeiter!$F$6:$F$205,MATCH($A602,Mitarbeiter!$A$6:$A$205,0)),0))</f>
        <v/>
      </c>
      <c r="L602" s="49">
        <f>IF(OR(A602="",D602=""),0,MAX(0,NETWORKDAYS(MAX(D602,DATE(Einstellungen!$C$3,1,1)),MIN(J602,DATE(Einstellungen!$C$3,2,0)),Einstellungen!$F$13:$F$32)))</f>
        <v/>
      </c>
      <c r="M602" s="49">
        <f>IF(OR(A602="",D602=""),0,MAX(0,NETWORKDAYS(MAX(D602,DATE(Einstellungen!$C$3,2,1)),MIN(J602,DATE(Einstellungen!$C$3,3,0)),Einstellungen!$F$13:$F$32)))</f>
        <v/>
      </c>
      <c r="N602" s="49">
        <f>IF(OR(A602="",D602=""),0,MAX(0,NETWORKDAYS(MAX(D602,DATE(Einstellungen!$C$3,3,1)),MIN(J602,DATE(Einstellungen!$C$3,4,0)),Einstellungen!$F$13:$F$32)))</f>
        <v/>
      </c>
      <c r="O602" s="49">
        <f>IF(OR(A602="",D602=""),0,MAX(0,NETWORKDAYS(MAX(D602,DATE(Einstellungen!$C$3,4,1)),MIN(J602,DATE(Einstellungen!$C$3,5,0)),Einstellungen!$F$13:$F$32)))</f>
        <v/>
      </c>
      <c r="P602" s="49">
        <f>IF(OR(A602="",D602=""),0,MAX(0,NETWORKDAYS(MAX(D602,DATE(Einstellungen!$C$3,5,1)),MIN(J602,DATE(Einstellungen!$C$3,6,0)),Einstellungen!$F$13:$F$32)))</f>
        <v/>
      </c>
      <c r="Q602" s="49">
        <f>IF(OR(A602="",D602=""),0,MAX(0,NETWORKDAYS(MAX(D602,DATE(Einstellungen!$C$3,6,1)),MIN(J602,DATE(Einstellungen!$C$3,7,0)),Einstellungen!$F$13:$F$32)))</f>
        <v/>
      </c>
      <c r="R602" s="49">
        <f>IF(OR(A602="",D602=""),0,MAX(0,NETWORKDAYS(MAX(D602,DATE(Einstellungen!$C$3,7,1)),MIN(J602,DATE(Einstellungen!$C$3,8,0)),Einstellungen!$F$13:$F$32)))</f>
        <v/>
      </c>
      <c r="S602" s="49">
        <f>IF(OR(A602="",D602=""),0,MAX(0,NETWORKDAYS(MAX(D602,DATE(Einstellungen!$C$3,8,1)),MIN(J602,DATE(Einstellungen!$C$3,9,0)),Einstellungen!$F$13:$F$32)))</f>
        <v/>
      </c>
      <c r="T602" s="49">
        <f>IF(OR(A602="",D602=""),0,MAX(0,NETWORKDAYS(MAX(D602,DATE(Einstellungen!$C$3,9,1)),MIN(J602,DATE(Einstellungen!$C$3,10,0)),Einstellungen!$F$13:$F$32)))</f>
        <v/>
      </c>
      <c r="U602" s="49">
        <f>IF(OR(A602="",D602=""),0,MAX(0,NETWORKDAYS(MAX(D602,DATE(Einstellungen!$C$3,10,1)),MIN(J602,DATE(Einstellungen!$C$3,11,0)),Einstellungen!$F$13:$F$32)))</f>
        <v/>
      </c>
      <c r="V602" s="49">
        <f>IF(OR(A602="",D602=""),0,MAX(0,NETWORKDAYS(MAX(D602,DATE(Einstellungen!$C$3,11,1)),MIN(J602,DATE(Einstellungen!$C$3,12,0)),Einstellungen!$F$13:$F$32)))</f>
        <v/>
      </c>
      <c r="W602" s="49">
        <f>IF(OR(A602="",D602=""),0,MAX(0,NETWORKDAYS(MAX(D602,DATE(Einstellungen!$C$3,12,1)),MIN(J602,DATE(Einstellungen!$C$3,13,0)),Einstellungen!$F$13:$F$32)))</f>
        <v/>
      </c>
      <c r="X602" s="50">
        <f>L602*K602</f>
        <v/>
      </c>
      <c r="Y602" s="50">
        <f>M602*K602</f>
        <v/>
      </c>
      <c r="Z602" s="50">
        <f>N602*K602</f>
        <v/>
      </c>
      <c r="AA602" s="50">
        <f>O602*K602</f>
        <v/>
      </c>
      <c r="AB602" s="50">
        <f>P602*K602</f>
        <v/>
      </c>
      <c r="AC602" s="50">
        <f>Q602*K602</f>
        <v/>
      </c>
      <c r="AD602" s="50">
        <f>R602*K602</f>
        <v/>
      </c>
      <c r="AE602" s="50">
        <f>S602*K602</f>
        <v/>
      </c>
      <c r="AF602" s="50">
        <f>T602*K602</f>
        <v/>
      </c>
      <c r="AG602" s="50">
        <f>U602*K602</f>
        <v/>
      </c>
      <c r="AH602" s="50">
        <f>V602*K602</f>
        <v/>
      </c>
      <c r="AI602" s="50">
        <f>W602*K602</f>
        <v/>
      </c>
    </row>
    <row r="603">
      <c r="A603" s="25" t="n"/>
      <c r="B603" s="45">
        <f>IF(A603="","",IFERROR(INDEX(Mitarbeiter!$B$6:$B$205,MATCH($A603,Mitarbeiter!$A$6:$A$205,0)),"?"))</f>
        <v/>
      </c>
      <c r="C603" s="46" t="n"/>
      <c r="D603" s="26" t="n"/>
      <c r="E603" s="26" t="n"/>
      <c r="F603" s="24">
        <f>IF(A603="","",SUM(L603:W603))</f>
        <v/>
      </c>
      <c r="G603" s="36">
        <f>IF(A603="","",SUM(X603:AI603))</f>
        <v/>
      </c>
      <c r="H603" s="8">
        <f>IF(A603="","",IF(ISNA(MATCH(A603,Mitarbeiter!$A$6:$A$205,0)),"Pers.-Nr. unbekannt",IF(D603="","Von fehlt",IF(AND(C603&lt;&gt;Einstellungen!$C$4,C603&lt;&gt;Einstellungen!$C$5),"Objekt fehlt",IF(J603&lt;D603,"Bis vor Von",IF(D603&lt;INDEX(Mitarbeiter!$C$6:$C$205,MATCH($A603,Mitarbeiter!$A$6:$A$205,0)),"vor Eintritt",IF(AND(INDEX(Mitarbeiter!$D$6:$D$205,MATCH($A603,Mitarbeiter!$A$6:$A$205,0))&lt;&gt;"",D603&gt;INDEX(Mitarbeiter!$D$6:$D$205,MATCH($A603,Mitarbeiter!$A$6:$A$205,0))),"nach Austritt",IF(E603="","offen","ok"))))))))</f>
        <v/>
      </c>
      <c r="J603" s="47">
        <f>IF(A603="","",IF(E603="",Einstellungen!$C$9,E603))</f>
        <v/>
      </c>
      <c r="K603" s="48">
        <f>IF(A603="",0,IFERROR(INDEX(Mitarbeiter!$F$6:$F$205,MATCH($A603,Mitarbeiter!$A$6:$A$205,0)),0))</f>
        <v/>
      </c>
      <c r="L603" s="49">
        <f>IF(OR(A603="",D603=""),0,MAX(0,NETWORKDAYS(MAX(D603,DATE(Einstellungen!$C$3,1,1)),MIN(J603,DATE(Einstellungen!$C$3,2,0)),Einstellungen!$F$13:$F$32)))</f>
        <v/>
      </c>
      <c r="M603" s="49">
        <f>IF(OR(A603="",D603=""),0,MAX(0,NETWORKDAYS(MAX(D603,DATE(Einstellungen!$C$3,2,1)),MIN(J603,DATE(Einstellungen!$C$3,3,0)),Einstellungen!$F$13:$F$32)))</f>
        <v/>
      </c>
      <c r="N603" s="49">
        <f>IF(OR(A603="",D603=""),0,MAX(0,NETWORKDAYS(MAX(D603,DATE(Einstellungen!$C$3,3,1)),MIN(J603,DATE(Einstellungen!$C$3,4,0)),Einstellungen!$F$13:$F$32)))</f>
        <v/>
      </c>
      <c r="O603" s="49">
        <f>IF(OR(A603="",D603=""),0,MAX(0,NETWORKDAYS(MAX(D603,DATE(Einstellungen!$C$3,4,1)),MIN(J603,DATE(Einstellungen!$C$3,5,0)),Einstellungen!$F$13:$F$32)))</f>
        <v/>
      </c>
      <c r="P603" s="49">
        <f>IF(OR(A603="",D603=""),0,MAX(0,NETWORKDAYS(MAX(D603,DATE(Einstellungen!$C$3,5,1)),MIN(J603,DATE(Einstellungen!$C$3,6,0)),Einstellungen!$F$13:$F$32)))</f>
        <v/>
      </c>
      <c r="Q603" s="49">
        <f>IF(OR(A603="",D603=""),0,MAX(0,NETWORKDAYS(MAX(D603,DATE(Einstellungen!$C$3,6,1)),MIN(J603,DATE(Einstellungen!$C$3,7,0)),Einstellungen!$F$13:$F$32)))</f>
        <v/>
      </c>
      <c r="R603" s="49">
        <f>IF(OR(A603="",D603=""),0,MAX(0,NETWORKDAYS(MAX(D603,DATE(Einstellungen!$C$3,7,1)),MIN(J603,DATE(Einstellungen!$C$3,8,0)),Einstellungen!$F$13:$F$32)))</f>
        <v/>
      </c>
      <c r="S603" s="49">
        <f>IF(OR(A603="",D603=""),0,MAX(0,NETWORKDAYS(MAX(D603,DATE(Einstellungen!$C$3,8,1)),MIN(J603,DATE(Einstellungen!$C$3,9,0)),Einstellungen!$F$13:$F$32)))</f>
        <v/>
      </c>
      <c r="T603" s="49">
        <f>IF(OR(A603="",D603=""),0,MAX(0,NETWORKDAYS(MAX(D603,DATE(Einstellungen!$C$3,9,1)),MIN(J603,DATE(Einstellungen!$C$3,10,0)),Einstellungen!$F$13:$F$32)))</f>
        <v/>
      </c>
      <c r="U603" s="49">
        <f>IF(OR(A603="",D603=""),0,MAX(0,NETWORKDAYS(MAX(D603,DATE(Einstellungen!$C$3,10,1)),MIN(J603,DATE(Einstellungen!$C$3,11,0)),Einstellungen!$F$13:$F$32)))</f>
        <v/>
      </c>
      <c r="V603" s="49">
        <f>IF(OR(A603="",D603=""),0,MAX(0,NETWORKDAYS(MAX(D603,DATE(Einstellungen!$C$3,11,1)),MIN(J603,DATE(Einstellungen!$C$3,12,0)),Einstellungen!$F$13:$F$32)))</f>
        <v/>
      </c>
      <c r="W603" s="49">
        <f>IF(OR(A603="",D603=""),0,MAX(0,NETWORKDAYS(MAX(D603,DATE(Einstellungen!$C$3,12,1)),MIN(J603,DATE(Einstellungen!$C$3,13,0)),Einstellungen!$F$13:$F$32)))</f>
        <v/>
      </c>
      <c r="X603" s="50">
        <f>L603*K603</f>
        <v/>
      </c>
      <c r="Y603" s="50">
        <f>M603*K603</f>
        <v/>
      </c>
      <c r="Z603" s="50">
        <f>N603*K603</f>
        <v/>
      </c>
      <c r="AA603" s="50">
        <f>O603*K603</f>
        <v/>
      </c>
      <c r="AB603" s="50">
        <f>P603*K603</f>
        <v/>
      </c>
      <c r="AC603" s="50">
        <f>Q603*K603</f>
        <v/>
      </c>
      <c r="AD603" s="50">
        <f>R603*K603</f>
        <v/>
      </c>
      <c r="AE603" s="50">
        <f>S603*K603</f>
        <v/>
      </c>
      <c r="AF603" s="50">
        <f>T603*K603</f>
        <v/>
      </c>
      <c r="AG603" s="50">
        <f>U603*K603</f>
        <v/>
      </c>
      <c r="AH603" s="50">
        <f>V603*K603</f>
        <v/>
      </c>
      <c r="AI603" s="50">
        <f>W603*K603</f>
        <v/>
      </c>
    </row>
    <row r="604">
      <c r="A604" s="25" t="n"/>
      <c r="B604" s="45">
        <f>IF(A604="","",IFERROR(INDEX(Mitarbeiter!$B$6:$B$205,MATCH($A604,Mitarbeiter!$A$6:$A$205,0)),"?"))</f>
        <v/>
      </c>
      <c r="C604" s="46" t="n"/>
      <c r="D604" s="26" t="n"/>
      <c r="E604" s="26" t="n"/>
      <c r="F604" s="24">
        <f>IF(A604="","",SUM(L604:W604))</f>
        <v/>
      </c>
      <c r="G604" s="36">
        <f>IF(A604="","",SUM(X604:AI604))</f>
        <v/>
      </c>
      <c r="H604" s="8">
        <f>IF(A604="","",IF(ISNA(MATCH(A604,Mitarbeiter!$A$6:$A$205,0)),"Pers.-Nr. unbekannt",IF(D604="","Von fehlt",IF(AND(C604&lt;&gt;Einstellungen!$C$4,C604&lt;&gt;Einstellungen!$C$5),"Objekt fehlt",IF(J604&lt;D604,"Bis vor Von",IF(D604&lt;INDEX(Mitarbeiter!$C$6:$C$205,MATCH($A604,Mitarbeiter!$A$6:$A$205,0)),"vor Eintritt",IF(AND(INDEX(Mitarbeiter!$D$6:$D$205,MATCH($A604,Mitarbeiter!$A$6:$A$205,0))&lt;&gt;"",D604&gt;INDEX(Mitarbeiter!$D$6:$D$205,MATCH($A604,Mitarbeiter!$A$6:$A$205,0))),"nach Austritt",IF(E604="","offen","ok"))))))))</f>
        <v/>
      </c>
      <c r="J604" s="47">
        <f>IF(A604="","",IF(E604="",Einstellungen!$C$9,E604))</f>
        <v/>
      </c>
      <c r="K604" s="48">
        <f>IF(A604="",0,IFERROR(INDEX(Mitarbeiter!$F$6:$F$205,MATCH($A604,Mitarbeiter!$A$6:$A$205,0)),0))</f>
        <v/>
      </c>
      <c r="L604" s="49">
        <f>IF(OR(A604="",D604=""),0,MAX(0,NETWORKDAYS(MAX(D604,DATE(Einstellungen!$C$3,1,1)),MIN(J604,DATE(Einstellungen!$C$3,2,0)),Einstellungen!$F$13:$F$32)))</f>
        <v/>
      </c>
      <c r="M604" s="49">
        <f>IF(OR(A604="",D604=""),0,MAX(0,NETWORKDAYS(MAX(D604,DATE(Einstellungen!$C$3,2,1)),MIN(J604,DATE(Einstellungen!$C$3,3,0)),Einstellungen!$F$13:$F$32)))</f>
        <v/>
      </c>
      <c r="N604" s="49">
        <f>IF(OR(A604="",D604=""),0,MAX(0,NETWORKDAYS(MAX(D604,DATE(Einstellungen!$C$3,3,1)),MIN(J604,DATE(Einstellungen!$C$3,4,0)),Einstellungen!$F$13:$F$32)))</f>
        <v/>
      </c>
      <c r="O604" s="49">
        <f>IF(OR(A604="",D604=""),0,MAX(0,NETWORKDAYS(MAX(D604,DATE(Einstellungen!$C$3,4,1)),MIN(J604,DATE(Einstellungen!$C$3,5,0)),Einstellungen!$F$13:$F$32)))</f>
        <v/>
      </c>
      <c r="P604" s="49">
        <f>IF(OR(A604="",D604=""),0,MAX(0,NETWORKDAYS(MAX(D604,DATE(Einstellungen!$C$3,5,1)),MIN(J604,DATE(Einstellungen!$C$3,6,0)),Einstellungen!$F$13:$F$32)))</f>
        <v/>
      </c>
      <c r="Q604" s="49">
        <f>IF(OR(A604="",D604=""),0,MAX(0,NETWORKDAYS(MAX(D604,DATE(Einstellungen!$C$3,6,1)),MIN(J604,DATE(Einstellungen!$C$3,7,0)),Einstellungen!$F$13:$F$32)))</f>
        <v/>
      </c>
      <c r="R604" s="49">
        <f>IF(OR(A604="",D604=""),0,MAX(0,NETWORKDAYS(MAX(D604,DATE(Einstellungen!$C$3,7,1)),MIN(J604,DATE(Einstellungen!$C$3,8,0)),Einstellungen!$F$13:$F$32)))</f>
        <v/>
      </c>
      <c r="S604" s="49">
        <f>IF(OR(A604="",D604=""),0,MAX(0,NETWORKDAYS(MAX(D604,DATE(Einstellungen!$C$3,8,1)),MIN(J604,DATE(Einstellungen!$C$3,9,0)),Einstellungen!$F$13:$F$32)))</f>
        <v/>
      </c>
      <c r="T604" s="49">
        <f>IF(OR(A604="",D604=""),0,MAX(0,NETWORKDAYS(MAX(D604,DATE(Einstellungen!$C$3,9,1)),MIN(J604,DATE(Einstellungen!$C$3,10,0)),Einstellungen!$F$13:$F$32)))</f>
        <v/>
      </c>
      <c r="U604" s="49">
        <f>IF(OR(A604="",D604=""),0,MAX(0,NETWORKDAYS(MAX(D604,DATE(Einstellungen!$C$3,10,1)),MIN(J604,DATE(Einstellungen!$C$3,11,0)),Einstellungen!$F$13:$F$32)))</f>
        <v/>
      </c>
      <c r="V604" s="49">
        <f>IF(OR(A604="",D604=""),0,MAX(0,NETWORKDAYS(MAX(D604,DATE(Einstellungen!$C$3,11,1)),MIN(J604,DATE(Einstellungen!$C$3,12,0)),Einstellungen!$F$13:$F$32)))</f>
        <v/>
      </c>
      <c r="W604" s="49">
        <f>IF(OR(A604="",D604=""),0,MAX(0,NETWORKDAYS(MAX(D604,DATE(Einstellungen!$C$3,12,1)),MIN(J604,DATE(Einstellungen!$C$3,13,0)),Einstellungen!$F$13:$F$32)))</f>
        <v/>
      </c>
      <c r="X604" s="50">
        <f>L604*K604</f>
        <v/>
      </c>
      <c r="Y604" s="50">
        <f>M604*K604</f>
        <v/>
      </c>
      <c r="Z604" s="50">
        <f>N604*K604</f>
        <v/>
      </c>
      <c r="AA604" s="50">
        <f>O604*K604</f>
        <v/>
      </c>
      <c r="AB604" s="50">
        <f>P604*K604</f>
        <v/>
      </c>
      <c r="AC604" s="50">
        <f>Q604*K604</f>
        <v/>
      </c>
      <c r="AD604" s="50">
        <f>R604*K604</f>
        <v/>
      </c>
      <c r="AE604" s="50">
        <f>S604*K604</f>
        <v/>
      </c>
      <c r="AF604" s="50">
        <f>T604*K604</f>
        <v/>
      </c>
      <c r="AG604" s="50">
        <f>U604*K604</f>
        <v/>
      </c>
      <c r="AH604" s="50">
        <f>V604*K604</f>
        <v/>
      </c>
      <c r="AI604" s="50">
        <f>W604*K604</f>
        <v/>
      </c>
    </row>
    <row r="605">
      <c r="A605" s="25" t="n"/>
      <c r="B605" s="45">
        <f>IF(A605="","",IFERROR(INDEX(Mitarbeiter!$B$6:$B$205,MATCH($A605,Mitarbeiter!$A$6:$A$205,0)),"?"))</f>
        <v/>
      </c>
      <c r="C605" s="46" t="n"/>
      <c r="D605" s="26" t="n"/>
      <c r="E605" s="26" t="n"/>
      <c r="F605" s="24">
        <f>IF(A605="","",SUM(L605:W605))</f>
        <v/>
      </c>
      <c r="G605" s="36">
        <f>IF(A605="","",SUM(X605:AI605))</f>
        <v/>
      </c>
      <c r="H605" s="8">
        <f>IF(A605="","",IF(ISNA(MATCH(A605,Mitarbeiter!$A$6:$A$205,0)),"Pers.-Nr. unbekannt",IF(D605="","Von fehlt",IF(AND(C605&lt;&gt;Einstellungen!$C$4,C605&lt;&gt;Einstellungen!$C$5),"Objekt fehlt",IF(J605&lt;D605,"Bis vor Von",IF(D605&lt;INDEX(Mitarbeiter!$C$6:$C$205,MATCH($A605,Mitarbeiter!$A$6:$A$205,0)),"vor Eintritt",IF(AND(INDEX(Mitarbeiter!$D$6:$D$205,MATCH($A605,Mitarbeiter!$A$6:$A$205,0))&lt;&gt;"",D605&gt;INDEX(Mitarbeiter!$D$6:$D$205,MATCH($A605,Mitarbeiter!$A$6:$A$205,0))),"nach Austritt",IF(E605="","offen","ok"))))))))</f>
        <v/>
      </c>
      <c r="J605" s="47">
        <f>IF(A605="","",IF(E605="",Einstellungen!$C$9,E605))</f>
        <v/>
      </c>
      <c r="K605" s="48">
        <f>IF(A605="",0,IFERROR(INDEX(Mitarbeiter!$F$6:$F$205,MATCH($A605,Mitarbeiter!$A$6:$A$205,0)),0))</f>
        <v/>
      </c>
      <c r="L605" s="49">
        <f>IF(OR(A605="",D605=""),0,MAX(0,NETWORKDAYS(MAX(D605,DATE(Einstellungen!$C$3,1,1)),MIN(J605,DATE(Einstellungen!$C$3,2,0)),Einstellungen!$F$13:$F$32)))</f>
        <v/>
      </c>
      <c r="M605" s="49">
        <f>IF(OR(A605="",D605=""),0,MAX(0,NETWORKDAYS(MAX(D605,DATE(Einstellungen!$C$3,2,1)),MIN(J605,DATE(Einstellungen!$C$3,3,0)),Einstellungen!$F$13:$F$32)))</f>
        <v/>
      </c>
      <c r="N605" s="49">
        <f>IF(OR(A605="",D605=""),0,MAX(0,NETWORKDAYS(MAX(D605,DATE(Einstellungen!$C$3,3,1)),MIN(J605,DATE(Einstellungen!$C$3,4,0)),Einstellungen!$F$13:$F$32)))</f>
        <v/>
      </c>
      <c r="O605" s="49">
        <f>IF(OR(A605="",D605=""),0,MAX(0,NETWORKDAYS(MAX(D605,DATE(Einstellungen!$C$3,4,1)),MIN(J605,DATE(Einstellungen!$C$3,5,0)),Einstellungen!$F$13:$F$32)))</f>
        <v/>
      </c>
      <c r="P605" s="49">
        <f>IF(OR(A605="",D605=""),0,MAX(0,NETWORKDAYS(MAX(D605,DATE(Einstellungen!$C$3,5,1)),MIN(J605,DATE(Einstellungen!$C$3,6,0)),Einstellungen!$F$13:$F$32)))</f>
        <v/>
      </c>
      <c r="Q605" s="49">
        <f>IF(OR(A605="",D605=""),0,MAX(0,NETWORKDAYS(MAX(D605,DATE(Einstellungen!$C$3,6,1)),MIN(J605,DATE(Einstellungen!$C$3,7,0)),Einstellungen!$F$13:$F$32)))</f>
        <v/>
      </c>
      <c r="R605" s="49">
        <f>IF(OR(A605="",D605=""),0,MAX(0,NETWORKDAYS(MAX(D605,DATE(Einstellungen!$C$3,7,1)),MIN(J605,DATE(Einstellungen!$C$3,8,0)),Einstellungen!$F$13:$F$32)))</f>
        <v/>
      </c>
      <c r="S605" s="49">
        <f>IF(OR(A605="",D605=""),0,MAX(0,NETWORKDAYS(MAX(D605,DATE(Einstellungen!$C$3,8,1)),MIN(J605,DATE(Einstellungen!$C$3,9,0)),Einstellungen!$F$13:$F$32)))</f>
        <v/>
      </c>
      <c r="T605" s="49">
        <f>IF(OR(A605="",D605=""),0,MAX(0,NETWORKDAYS(MAX(D605,DATE(Einstellungen!$C$3,9,1)),MIN(J605,DATE(Einstellungen!$C$3,10,0)),Einstellungen!$F$13:$F$32)))</f>
        <v/>
      </c>
      <c r="U605" s="49">
        <f>IF(OR(A605="",D605=""),0,MAX(0,NETWORKDAYS(MAX(D605,DATE(Einstellungen!$C$3,10,1)),MIN(J605,DATE(Einstellungen!$C$3,11,0)),Einstellungen!$F$13:$F$32)))</f>
        <v/>
      </c>
      <c r="V605" s="49">
        <f>IF(OR(A605="",D605=""),0,MAX(0,NETWORKDAYS(MAX(D605,DATE(Einstellungen!$C$3,11,1)),MIN(J605,DATE(Einstellungen!$C$3,12,0)),Einstellungen!$F$13:$F$32)))</f>
        <v/>
      </c>
      <c r="W605" s="49">
        <f>IF(OR(A605="",D605=""),0,MAX(0,NETWORKDAYS(MAX(D605,DATE(Einstellungen!$C$3,12,1)),MIN(J605,DATE(Einstellungen!$C$3,13,0)),Einstellungen!$F$13:$F$32)))</f>
        <v/>
      </c>
      <c r="X605" s="50">
        <f>L605*K605</f>
        <v/>
      </c>
      <c r="Y605" s="50">
        <f>M605*K605</f>
        <v/>
      </c>
      <c r="Z605" s="50">
        <f>N605*K605</f>
        <v/>
      </c>
      <c r="AA605" s="50">
        <f>O605*K605</f>
        <v/>
      </c>
      <c r="AB605" s="50">
        <f>P605*K605</f>
        <v/>
      </c>
      <c r="AC605" s="50">
        <f>Q605*K605</f>
        <v/>
      </c>
      <c r="AD605" s="50">
        <f>R605*K605</f>
        <v/>
      </c>
      <c r="AE605" s="50">
        <f>S605*K605</f>
        <v/>
      </c>
      <c r="AF605" s="50">
        <f>T605*K605</f>
        <v/>
      </c>
      <c r="AG605" s="50">
        <f>U605*K605</f>
        <v/>
      </c>
      <c r="AH605" s="50">
        <f>V605*K605</f>
        <v/>
      </c>
      <c r="AI605" s="50">
        <f>W605*K605</f>
        <v/>
      </c>
    </row>
    <row r="606">
      <c r="A606" s="25" t="n"/>
      <c r="B606" s="45">
        <f>IF(A606="","",IFERROR(INDEX(Mitarbeiter!$B$6:$B$205,MATCH($A606,Mitarbeiter!$A$6:$A$205,0)),"?"))</f>
        <v/>
      </c>
      <c r="C606" s="46" t="n"/>
      <c r="D606" s="26" t="n"/>
      <c r="E606" s="26" t="n"/>
      <c r="F606" s="24">
        <f>IF(A606="","",SUM(L606:W606))</f>
        <v/>
      </c>
      <c r="G606" s="36">
        <f>IF(A606="","",SUM(X606:AI606))</f>
        <v/>
      </c>
      <c r="H606" s="8">
        <f>IF(A606="","",IF(ISNA(MATCH(A606,Mitarbeiter!$A$6:$A$205,0)),"Pers.-Nr. unbekannt",IF(D606="","Von fehlt",IF(AND(C606&lt;&gt;Einstellungen!$C$4,C606&lt;&gt;Einstellungen!$C$5),"Objekt fehlt",IF(J606&lt;D606,"Bis vor Von",IF(D606&lt;INDEX(Mitarbeiter!$C$6:$C$205,MATCH($A606,Mitarbeiter!$A$6:$A$205,0)),"vor Eintritt",IF(AND(INDEX(Mitarbeiter!$D$6:$D$205,MATCH($A606,Mitarbeiter!$A$6:$A$205,0))&lt;&gt;"",D606&gt;INDEX(Mitarbeiter!$D$6:$D$205,MATCH($A606,Mitarbeiter!$A$6:$A$205,0))),"nach Austritt",IF(E606="","offen","ok"))))))))</f>
        <v/>
      </c>
      <c r="J606" s="47">
        <f>IF(A606="","",IF(E606="",Einstellungen!$C$9,E606))</f>
        <v/>
      </c>
      <c r="K606" s="48">
        <f>IF(A606="",0,IFERROR(INDEX(Mitarbeiter!$F$6:$F$205,MATCH($A606,Mitarbeiter!$A$6:$A$205,0)),0))</f>
        <v/>
      </c>
      <c r="L606" s="49">
        <f>IF(OR(A606="",D606=""),0,MAX(0,NETWORKDAYS(MAX(D606,DATE(Einstellungen!$C$3,1,1)),MIN(J606,DATE(Einstellungen!$C$3,2,0)),Einstellungen!$F$13:$F$32)))</f>
        <v/>
      </c>
      <c r="M606" s="49">
        <f>IF(OR(A606="",D606=""),0,MAX(0,NETWORKDAYS(MAX(D606,DATE(Einstellungen!$C$3,2,1)),MIN(J606,DATE(Einstellungen!$C$3,3,0)),Einstellungen!$F$13:$F$32)))</f>
        <v/>
      </c>
      <c r="N606" s="49">
        <f>IF(OR(A606="",D606=""),0,MAX(0,NETWORKDAYS(MAX(D606,DATE(Einstellungen!$C$3,3,1)),MIN(J606,DATE(Einstellungen!$C$3,4,0)),Einstellungen!$F$13:$F$32)))</f>
        <v/>
      </c>
      <c r="O606" s="49">
        <f>IF(OR(A606="",D606=""),0,MAX(0,NETWORKDAYS(MAX(D606,DATE(Einstellungen!$C$3,4,1)),MIN(J606,DATE(Einstellungen!$C$3,5,0)),Einstellungen!$F$13:$F$32)))</f>
        <v/>
      </c>
      <c r="P606" s="49">
        <f>IF(OR(A606="",D606=""),0,MAX(0,NETWORKDAYS(MAX(D606,DATE(Einstellungen!$C$3,5,1)),MIN(J606,DATE(Einstellungen!$C$3,6,0)),Einstellungen!$F$13:$F$32)))</f>
        <v/>
      </c>
      <c r="Q606" s="49">
        <f>IF(OR(A606="",D606=""),0,MAX(0,NETWORKDAYS(MAX(D606,DATE(Einstellungen!$C$3,6,1)),MIN(J606,DATE(Einstellungen!$C$3,7,0)),Einstellungen!$F$13:$F$32)))</f>
        <v/>
      </c>
      <c r="R606" s="49">
        <f>IF(OR(A606="",D606=""),0,MAX(0,NETWORKDAYS(MAX(D606,DATE(Einstellungen!$C$3,7,1)),MIN(J606,DATE(Einstellungen!$C$3,8,0)),Einstellungen!$F$13:$F$32)))</f>
        <v/>
      </c>
      <c r="S606" s="49">
        <f>IF(OR(A606="",D606=""),0,MAX(0,NETWORKDAYS(MAX(D606,DATE(Einstellungen!$C$3,8,1)),MIN(J606,DATE(Einstellungen!$C$3,9,0)),Einstellungen!$F$13:$F$32)))</f>
        <v/>
      </c>
      <c r="T606" s="49">
        <f>IF(OR(A606="",D606=""),0,MAX(0,NETWORKDAYS(MAX(D606,DATE(Einstellungen!$C$3,9,1)),MIN(J606,DATE(Einstellungen!$C$3,10,0)),Einstellungen!$F$13:$F$32)))</f>
        <v/>
      </c>
      <c r="U606" s="49">
        <f>IF(OR(A606="",D606=""),0,MAX(0,NETWORKDAYS(MAX(D606,DATE(Einstellungen!$C$3,10,1)),MIN(J606,DATE(Einstellungen!$C$3,11,0)),Einstellungen!$F$13:$F$32)))</f>
        <v/>
      </c>
      <c r="V606" s="49">
        <f>IF(OR(A606="",D606=""),0,MAX(0,NETWORKDAYS(MAX(D606,DATE(Einstellungen!$C$3,11,1)),MIN(J606,DATE(Einstellungen!$C$3,12,0)),Einstellungen!$F$13:$F$32)))</f>
        <v/>
      </c>
      <c r="W606" s="49">
        <f>IF(OR(A606="",D606=""),0,MAX(0,NETWORKDAYS(MAX(D606,DATE(Einstellungen!$C$3,12,1)),MIN(J606,DATE(Einstellungen!$C$3,13,0)),Einstellungen!$F$13:$F$32)))</f>
        <v/>
      </c>
      <c r="X606" s="50">
        <f>L606*K606</f>
        <v/>
      </c>
      <c r="Y606" s="50">
        <f>M606*K606</f>
        <v/>
      </c>
      <c r="Z606" s="50">
        <f>N606*K606</f>
        <v/>
      </c>
      <c r="AA606" s="50">
        <f>O606*K606</f>
        <v/>
      </c>
      <c r="AB606" s="50">
        <f>P606*K606</f>
        <v/>
      </c>
      <c r="AC606" s="50">
        <f>Q606*K606</f>
        <v/>
      </c>
      <c r="AD606" s="50">
        <f>R606*K606</f>
        <v/>
      </c>
      <c r="AE606" s="50">
        <f>S606*K606</f>
        <v/>
      </c>
      <c r="AF606" s="50">
        <f>T606*K606</f>
        <v/>
      </c>
      <c r="AG606" s="50">
        <f>U606*K606</f>
        <v/>
      </c>
      <c r="AH606" s="50">
        <f>V606*K606</f>
        <v/>
      </c>
      <c r="AI606" s="50">
        <f>W606*K606</f>
        <v/>
      </c>
    </row>
    <row r="607">
      <c r="A607" s="25" t="n"/>
      <c r="B607" s="45">
        <f>IF(A607="","",IFERROR(INDEX(Mitarbeiter!$B$6:$B$205,MATCH($A607,Mitarbeiter!$A$6:$A$205,0)),"?"))</f>
        <v/>
      </c>
      <c r="C607" s="46" t="n"/>
      <c r="D607" s="26" t="n"/>
      <c r="E607" s="26" t="n"/>
      <c r="F607" s="24">
        <f>IF(A607="","",SUM(L607:W607))</f>
        <v/>
      </c>
      <c r="G607" s="36">
        <f>IF(A607="","",SUM(X607:AI607))</f>
        <v/>
      </c>
      <c r="H607" s="8">
        <f>IF(A607="","",IF(ISNA(MATCH(A607,Mitarbeiter!$A$6:$A$205,0)),"Pers.-Nr. unbekannt",IF(D607="","Von fehlt",IF(AND(C607&lt;&gt;Einstellungen!$C$4,C607&lt;&gt;Einstellungen!$C$5),"Objekt fehlt",IF(J607&lt;D607,"Bis vor Von",IF(D607&lt;INDEX(Mitarbeiter!$C$6:$C$205,MATCH($A607,Mitarbeiter!$A$6:$A$205,0)),"vor Eintritt",IF(AND(INDEX(Mitarbeiter!$D$6:$D$205,MATCH($A607,Mitarbeiter!$A$6:$A$205,0))&lt;&gt;"",D607&gt;INDEX(Mitarbeiter!$D$6:$D$205,MATCH($A607,Mitarbeiter!$A$6:$A$205,0))),"nach Austritt",IF(E607="","offen","ok"))))))))</f>
        <v/>
      </c>
      <c r="J607" s="47">
        <f>IF(A607="","",IF(E607="",Einstellungen!$C$9,E607))</f>
        <v/>
      </c>
      <c r="K607" s="48">
        <f>IF(A607="",0,IFERROR(INDEX(Mitarbeiter!$F$6:$F$205,MATCH($A607,Mitarbeiter!$A$6:$A$205,0)),0))</f>
        <v/>
      </c>
      <c r="L607" s="49">
        <f>IF(OR(A607="",D607=""),0,MAX(0,NETWORKDAYS(MAX(D607,DATE(Einstellungen!$C$3,1,1)),MIN(J607,DATE(Einstellungen!$C$3,2,0)),Einstellungen!$F$13:$F$32)))</f>
        <v/>
      </c>
      <c r="M607" s="49">
        <f>IF(OR(A607="",D607=""),0,MAX(0,NETWORKDAYS(MAX(D607,DATE(Einstellungen!$C$3,2,1)),MIN(J607,DATE(Einstellungen!$C$3,3,0)),Einstellungen!$F$13:$F$32)))</f>
        <v/>
      </c>
      <c r="N607" s="49">
        <f>IF(OR(A607="",D607=""),0,MAX(0,NETWORKDAYS(MAX(D607,DATE(Einstellungen!$C$3,3,1)),MIN(J607,DATE(Einstellungen!$C$3,4,0)),Einstellungen!$F$13:$F$32)))</f>
        <v/>
      </c>
      <c r="O607" s="49">
        <f>IF(OR(A607="",D607=""),0,MAX(0,NETWORKDAYS(MAX(D607,DATE(Einstellungen!$C$3,4,1)),MIN(J607,DATE(Einstellungen!$C$3,5,0)),Einstellungen!$F$13:$F$32)))</f>
        <v/>
      </c>
      <c r="P607" s="49">
        <f>IF(OR(A607="",D607=""),0,MAX(0,NETWORKDAYS(MAX(D607,DATE(Einstellungen!$C$3,5,1)),MIN(J607,DATE(Einstellungen!$C$3,6,0)),Einstellungen!$F$13:$F$32)))</f>
        <v/>
      </c>
      <c r="Q607" s="49">
        <f>IF(OR(A607="",D607=""),0,MAX(0,NETWORKDAYS(MAX(D607,DATE(Einstellungen!$C$3,6,1)),MIN(J607,DATE(Einstellungen!$C$3,7,0)),Einstellungen!$F$13:$F$32)))</f>
        <v/>
      </c>
      <c r="R607" s="49">
        <f>IF(OR(A607="",D607=""),0,MAX(0,NETWORKDAYS(MAX(D607,DATE(Einstellungen!$C$3,7,1)),MIN(J607,DATE(Einstellungen!$C$3,8,0)),Einstellungen!$F$13:$F$32)))</f>
        <v/>
      </c>
      <c r="S607" s="49">
        <f>IF(OR(A607="",D607=""),0,MAX(0,NETWORKDAYS(MAX(D607,DATE(Einstellungen!$C$3,8,1)),MIN(J607,DATE(Einstellungen!$C$3,9,0)),Einstellungen!$F$13:$F$32)))</f>
        <v/>
      </c>
      <c r="T607" s="49">
        <f>IF(OR(A607="",D607=""),0,MAX(0,NETWORKDAYS(MAX(D607,DATE(Einstellungen!$C$3,9,1)),MIN(J607,DATE(Einstellungen!$C$3,10,0)),Einstellungen!$F$13:$F$32)))</f>
        <v/>
      </c>
      <c r="U607" s="49">
        <f>IF(OR(A607="",D607=""),0,MAX(0,NETWORKDAYS(MAX(D607,DATE(Einstellungen!$C$3,10,1)),MIN(J607,DATE(Einstellungen!$C$3,11,0)),Einstellungen!$F$13:$F$32)))</f>
        <v/>
      </c>
      <c r="V607" s="49">
        <f>IF(OR(A607="",D607=""),0,MAX(0,NETWORKDAYS(MAX(D607,DATE(Einstellungen!$C$3,11,1)),MIN(J607,DATE(Einstellungen!$C$3,12,0)),Einstellungen!$F$13:$F$32)))</f>
        <v/>
      </c>
      <c r="W607" s="49">
        <f>IF(OR(A607="",D607=""),0,MAX(0,NETWORKDAYS(MAX(D607,DATE(Einstellungen!$C$3,12,1)),MIN(J607,DATE(Einstellungen!$C$3,13,0)),Einstellungen!$F$13:$F$32)))</f>
        <v/>
      </c>
      <c r="X607" s="50">
        <f>L607*K607</f>
        <v/>
      </c>
      <c r="Y607" s="50">
        <f>M607*K607</f>
        <v/>
      </c>
      <c r="Z607" s="50">
        <f>N607*K607</f>
        <v/>
      </c>
      <c r="AA607" s="50">
        <f>O607*K607</f>
        <v/>
      </c>
      <c r="AB607" s="50">
        <f>P607*K607</f>
        <v/>
      </c>
      <c r="AC607" s="50">
        <f>Q607*K607</f>
        <v/>
      </c>
      <c r="AD607" s="50">
        <f>R607*K607</f>
        <v/>
      </c>
      <c r="AE607" s="50">
        <f>S607*K607</f>
        <v/>
      </c>
      <c r="AF607" s="50">
        <f>T607*K607</f>
        <v/>
      </c>
      <c r="AG607" s="50">
        <f>U607*K607</f>
        <v/>
      </c>
      <c r="AH607" s="50">
        <f>V607*K607</f>
        <v/>
      </c>
      <c r="AI607" s="50">
        <f>W607*K607</f>
        <v/>
      </c>
    </row>
    <row r="608">
      <c r="A608" s="25" t="n"/>
      <c r="B608" s="45">
        <f>IF(A608="","",IFERROR(INDEX(Mitarbeiter!$B$6:$B$205,MATCH($A608,Mitarbeiter!$A$6:$A$205,0)),"?"))</f>
        <v/>
      </c>
      <c r="C608" s="46" t="n"/>
      <c r="D608" s="26" t="n"/>
      <c r="E608" s="26" t="n"/>
      <c r="F608" s="24">
        <f>IF(A608="","",SUM(L608:W608))</f>
        <v/>
      </c>
      <c r="G608" s="36">
        <f>IF(A608="","",SUM(X608:AI608))</f>
        <v/>
      </c>
      <c r="H608" s="8">
        <f>IF(A608="","",IF(ISNA(MATCH(A608,Mitarbeiter!$A$6:$A$205,0)),"Pers.-Nr. unbekannt",IF(D608="","Von fehlt",IF(AND(C608&lt;&gt;Einstellungen!$C$4,C608&lt;&gt;Einstellungen!$C$5),"Objekt fehlt",IF(J608&lt;D608,"Bis vor Von",IF(D608&lt;INDEX(Mitarbeiter!$C$6:$C$205,MATCH($A608,Mitarbeiter!$A$6:$A$205,0)),"vor Eintritt",IF(AND(INDEX(Mitarbeiter!$D$6:$D$205,MATCH($A608,Mitarbeiter!$A$6:$A$205,0))&lt;&gt;"",D608&gt;INDEX(Mitarbeiter!$D$6:$D$205,MATCH($A608,Mitarbeiter!$A$6:$A$205,0))),"nach Austritt",IF(E608="","offen","ok"))))))))</f>
        <v/>
      </c>
      <c r="J608" s="47">
        <f>IF(A608="","",IF(E608="",Einstellungen!$C$9,E608))</f>
        <v/>
      </c>
      <c r="K608" s="48">
        <f>IF(A608="",0,IFERROR(INDEX(Mitarbeiter!$F$6:$F$205,MATCH($A608,Mitarbeiter!$A$6:$A$205,0)),0))</f>
        <v/>
      </c>
      <c r="L608" s="49">
        <f>IF(OR(A608="",D608=""),0,MAX(0,NETWORKDAYS(MAX(D608,DATE(Einstellungen!$C$3,1,1)),MIN(J608,DATE(Einstellungen!$C$3,2,0)),Einstellungen!$F$13:$F$32)))</f>
        <v/>
      </c>
      <c r="M608" s="49">
        <f>IF(OR(A608="",D608=""),0,MAX(0,NETWORKDAYS(MAX(D608,DATE(Einstellungen!$C$3,2,1)),MIN(J608,DATE(Einstellungen!$C$3,3,0)),Einstellungen!$F$13:$F$32)))</f>
        <v/>
      </c>
      <c r="N608" s="49">
        <f>IF(OR(A608="",D608=""),0,MAX(0,NETWORKDAYS(MAX(D608,DATE(Einstellungen!$C$3,3,1)),MIN(J608,DATE(Einstellungen!$C$3,4,0)),Einstellungen!$F$13:$F$32)))</f>
        <v/>
      </c>
      <c r="O608" s="49">
        <f>IF(OR(A608="",D608=""),0,MAX(0,NETWORKDAYS(MAX(D608,DATE(Einstellungen!$C$3,4,1)),MIN(J608,DATE(Einstellungen!$C$3,5,0)),Einstellungen!$F$13:$F$32)))</f>
        <v/>
      </c>
      <c r="P608" s="49">
        <f>IF(OR(A608="",D608=""),0,MAX(0,NETWORKDAYS(MAX(D608,DATE(Einstellungen!$C$3,5,1)),MIN(J608,DATE(Einstellungen!$C$3,6,0)),Einstellungen!$F$13:$F$32)))</f>
        <v/>
      </c>
      <c r="Q608" s="49">
        <f>IF(OR(A608="",D608=""),0,MAX(0,NETWORKDAYS(MAX(D608,DATE(Einstellungen!$C$3,6,1)),MIN(J608,DATE(Einstellungen!$C$3,7,0)),Einstellungen!$F$13:$F$32)))</f>
        <v/>
      </c>
      <c r="R608" s="49">
        <f>IF(OR(A608="",D608=""),0,MAX(0,NETWORKDAYS(MAX(D608,DATE(Einstellungen!$C$3,7,1)),MIN(J608,DATE(Einstellungen!$C$3,8,0)),Einstellungen!$F$13:$F$32)))</f>
        <v/>
      </c>
      <c r="S608" s="49">
        <f>IF(OR(A608="",D608=""),0,MAX(0,NETWORKDAYS(MAX(D608,DATE(Einstellungen!$C$3,8,1)),MIN(J608,DATE(Einstellungen!$C$3,9,0)),Einstellungen!$F$13:$F$32)))</f>
        <v/>
      </c>
      <c r="T608" s="49">
        <f>IF(OR(A608="",D608=""),0,MAX(0,NETWORKDAYS(MAX(D608,DATE(Einstellungen!$C$3,9,1)),MIN(J608,DATE(Einstellungen!$C$3,10,0)),Einstellungen!$F$13:$F$32)))</f>
        <v/>
      </c>
      <c r="U608" s="49">
        <f>IF(OR(A608="",D608=""),0,MAX(0,NETWORKDAYS(MAX(D608,DATE(Einstellungen!$C$3,10,1)),MIN(J608,DATE(Einstellungen!$C$3,11,0)),Einstellungen!$F$13:$F$32)))</f>
        <v/>
      </c>
      <c r="V608" s="49">
        <f>IF(OR(A608="",D608=""),0,MAX(0,NETWORKDAYS(MAX(D608,DATE(Einstellungen!$C$3,11,1)),MIN(J608,DATE(Einstellungen!$C$3,12,0)),Einstellungen!$F$13:$F$32)))</f>
        <v/>
      </c>
      <c r="W608" s="49">
        <f>IF(OR(A608="",D608=""),0,MAX(0,NETWORKDAYS(MAX(D608,DATE(Einstellungen!$C$3,12,1)),MIN(J608,DATE(Einstellungen!$C$3,13,0)),Einstellungen!$F$13:$F$32)))</f>
        <v/>
      </c>
      <c r="X608" s="50">
        <f>L608*K608</f>
        <v/>
      </c>
      <c r="Y608" s="50">
        <f>M608*K608</f>
        <v/>
      </c>
      <c r="Z608" s="50">
        <f>N608*K608</f>
        <v/>
      </c>
      <c r="AA608" s="50">
        <f>O608*K608</f>
        <v/>
      </c>
      <c r="AB608" s="50">
        <f>P608*K608</f>
        <v/>
      </c>
      <c r="AC608" s="50">
        <f>Q608*K608</f>
        <v/>
      </c>
      <c r="AD608" s="50">
        <f>R608*K608</f>
        <v/>
      </c>
      <c r="AE608" s="50">
        <f>S608*K608</f>
        <v/>
      </c>
      <c r="AF608" s="50">
        <f>T608*K608</f>
        <v/>
      </c>
      <c r="AG608" s="50">
        <f>U608*K608</f>
        <v/>
      </c>
      <c r="AH608" s="50">
        <f>V608*K608</f>
        <v/>
      </c>
      <c r="AI608" s="50">
        <f>W608*K608</f>
        <v/>
      </c>
    </row>
    <row r="609">
      <c r="A609" s="25" t="n"/>
      <c r="B609" s="45">
        <f>IF(A609="","",IFERROR(INDEX(Mitarbeiter!$B$6:$B$205,MATCH($A609,Mitarbeiter!$A$6:$A$205,0)),"?"))</f>
        <v/>
      </c>
      <c r="C609" s="46" t="n"/>
      <c r="D609" s="26" t="n"/>
      <c r="E609" s="26" t="n"/>
      <c r="F609" s="24">
        <f>IF(A609="","",SUM(L609:W609))</f>
        <v/>
      </c>
      <c r="G609" s="36">
        <f>IF(A609="","",SUM(X609:AI609))</f>
        <v/>
      </c>
      <c r="H609" s="8">
        <f>IF(A609="","",IF(ISNA(MATCH(A609,Mitarbeiter!$A$6:$A$205,0)),"Pers.-Nr. unbekannt",IF(D609="","Von fehlt",IF(AND(C609&lt;&gt;Einstellungen!$C$4,C609&lt;&gt;Einstellungen!$C$5),"Objekt fehlt",IF(J609&lt;D609,"Bis vor Von",IF(D609&lt;INDEX(Mitarbeiter!$C$6:$C$205,MATCH($A609,Mitarbeiter!$A$6:$A$205,0)),"vor Eintritt",IF(AND(INDEX(Mitarbeiter!$D$6:$D$205,MATCH($A609,Mitarbeiter!$A$6:$A$205,0))&lt;&gt;"",D609&gt;INDEX(Mitarbeiter!$D$6:$D$205,MATCH($A609,Mitarbeiter!$A$6:$A$205,0))),"nach Austritt",IF(E609="","offen","ok"))))))))</f>
        <v/>
      </c>
      <c r="J609" s="47">
        <f>IF(A609="","",IF(E609="",Einstellungen!$C$9,E609))</f>
        <v/>
      </c>
      <c r="K609" s="48">
        <f>IF(A609="",0,IFERROR(INDEX(Mitarbeiter!$F$6:$F$205,MATCH($A609,Mitarbeiter!$A$6:$A$205,0)),0))</f>
        <v/>
      </c>
      <c r="L609" s="49">
        <f>IF(OR(A609="",D609=""),0,MAX(0,NETWORKDAYS(MAX(D609,DATE(Einstellungen!$C$3,1,1)),MIN(J609,DATE(Einstellungen!$C$3,2,0)),Einstellungen!$F$13:$F$32)))</f>
        <v/>
      </c>
      <c r="M609" s="49">
        <f>IF(OR(A609="",D609=""),0,MAX(0,NETWORKDAYS(MAX(D609,DATE(Einstellungen!$C$3,2,1)),MIN(J609,DATE(Einstellungen!$C$3,3,0)),Einstellungen!$F$13:$F$32)))</f>
        <v/>
      </c>
      <c r="N609" s="49">
        <f>IF(OR(A609="",D609=""),0,MAX(0,NETWORKDAYS(MAX(D609,DATE(Einstellungen!$C$3,3,1)),MIN(J609,DATE(Einstellungen!$C$3,4,0)),Einstellungen!$F$13:$F$32)))</f>
        <v/>
      </c>
      <c r="O609" s="49">
        <f>IF(OR(A609="",D609=""),0,MAX(0,NETWORKDAYS(MAX(D609,DATE(Einstellungen!$C$3,4,1)),MIN(J609,DATE(Einstellungen!$C$3,5,0)),Einstellungen!$F$13:$F$32)))</f>
        <v/>
      </c>
      <c r="P609" s="49">
        <f>IF(OR(A609="",D609=""),0,MAX(0,NETWORKDAYS(MAX(D609,DATE(Einstellungen!$C$3,5,1)),MIN(J609,DATE(Einstellungen!$C$3,6,0)),Einstellungen!$F$13:$F$32)))</f>
        <v/>
      </c>
      <c r="Q609" s="49">
        <f>IF(OR(A609="",D609=""),0,MAX(0,NETWORKDAYS(MAX(D609,DATE(Einstellungen!$C$3,6,1)),MIN(J609,DATE(Einstellungen!$C$3,7,0)),Einstellungen!$F$13:$F$32)))</f>
        <v/>
      </c>
      <c r="R609" s="49">
        <f>IF(OR(A609="",D609=""),0,MAX(0,NETWORKDAYS(MAX(D609,DATE(Einstellungen!$C$3,7,1)),MIN(J609,DATE(Einstellungen!$C$3,8,0)),Einstellungen!$F$13:$F$32)))</f>
        <v/>
      </c>
      <c r="S609" s="49">
        <f>IF(OR(A609="",D609=""),0,MAX(0,NETWORKDAYS(MAX(D609,DATE(Einstellungen!$C$3,8,1)),MIN(J609,DATE(Einstellungen!$C$3,9,0)),Einstellungen!$F$13:$F$32)))</f>
        <v/>
      </c>
      <c r="T609" s="49">
        <f>IF(OR(A609="",D609=""),0,MAX(0,NETWORKDAYS(MAX(D609,DATE(Einstellungen!$C$3,9,1)),MIN(J609,DATE(Einstellungen!$C$3,10,0)),Einstellungen!$F$13:$F$32)))</f>
        <v/>
      </c>
      <c r="U609" s="49">
        <f>IF(OR(A609="",D609=""),0,MAX(0,NETWORKDAYS(MAX(D609,DATE(Einstellungen!$C$3,10,1)),MIN(J609,DATE(Einstellungen!$C$3,11,0)),Einstellungen!$F$13:$F$32)))</f>
        <v/>
      </c>
      <c r="V609" s="49">
        <f>IF(OR(A609="",D609=""),0,MAX(0,NETWORKDAYS(MAX(D609,DATE(Einstellungen!$C$3,11,1)),MIN(J609,DATE(Einstellungen!$C$3,12,0)),Einstellungen!$F$13:$F$32)))</f>
        <v/>
      </c>
      <c r="W609" s="49">
        <f>IF(OR(A609="",D609=""),0,MAX(0,NETWORKDAYS(MAX(D609,DATE(Einstellungen!$C$3,12,1)),MIN(J609,DATE(Einstellungen!$C$3,13,0)),Einstellungen!$F$13:$F$32)))</f>
        <v/>
      </c>
      <c r="X609" s="50">
        <f>L609*K609</f>
        <v/>
      </c>
      <c r="Y609" s="50">
        <f>M609*K609</f>
        <v/>
      </c>
      <c r="Z609" s="50">
        <f>N609*K609</f>
        <v/>
      </c>
      <c r="AA609" s="50">
        <f>O609*K609</f>
        <v/>
      </c>
      <c r="AB609" s="50">
        <f>P609*K609</f>
        <v/>
      </c>
      <c r="AC609" s="50">
        <f>Q609*K609</f>
        <v/>
      </c>
      <c r="AD609" s="50">
        <f>R609*K609</f>
        <v/>
      </c>
      <c r="AE609" s="50">
        <f>S609*K609</f>
        <v/>
      </c>
      <c r="AF609" s="50">
        <f>T609*K609</f>
        <v/>
      </c>
      <c r="AG609" s="50">
        <f>U609*K609</f>
        <v/>
      </c>
      <c r="AH609" s="50">
        <f>V609*K609</f>
        <v/>
      </c>
      <c r="AI609" s="50">
        <f>W609*K609</f>
        <v/>
      </c>
    </row>
    <row r="610">
      <c r="A610" s="25" t="n"/>
      <c r="B610" s="45">
        <f>IF(A610="","",IFERROR(INDEX(Mitarbeiter!$B$6:$B$205,MATCH($A610,Mitarbeiter!$A$6:$A$205,0)),"?"))</f>
        <v/>
      </c>
      <c r="C610" s="46" t="n"/>
      <c r="D610" s="26" t="n"/>
      <c r="E610" s="26" t="n"/>
      <c r="F610" s="24">
        <f>IF(A610="","",SUM(L610:W610))</f>
        <v/>
      </c>
      <c r="G610" s="36">
        <f>IF(A610="","",SUM(X610:AI610))</f>
        <v/>
      </c>
      <c r="H610" s="8">
        <f>IF(A610="","",IF(ISNA(MATCH(A610,Mitarbeiter!$A$6:$A$205,0)),"Pers.-Nr. unbekannt",IF(D610="","Von fehlt",IF(AND(C610&lt;&gt;Einstellungen!$C$4,C610&lt;&gt;Einstellungen!$C$5),"Objekt fehlt",IF(J610&lt;D610,"Bis vor Von",IF(D610&lt;INDEX(Mitarbeiter!$C$6:$C$205,MATCH($A610,Mitarbeiter!$A$6:$A$205,0)),"vor Eintritt",IF(AND(INDEX(Mitarbeiter!$D$6:$D$205,MATCH($A610,Mitarbeiter!$A$6:$A$205,0))&lt;&gt;"",D610&gt;INDEX(Mitarbeiter!$D$6:$D$205,MATCH($A610,Mitarbeiter!$A$6:$A$205,0))),"nach Austritt",IF(E610="","offen","ok"))))))))</f>
        <v/>
      </c>
      <c r="J610" s="47">
        <f>IF(A610="","",IF(E610="",Einstellungen!$C$9,E610))</f>
        <v/>
      </c>
      <c r="K610" s="48">
        <f>IF(A610="",0,IFERROR(INDEX(Mitarbeiter!$F$6:$F$205,MATCH($A610,Mitarbeiter!$A$6:$A$205,0)),0))</f>
        <v/>
      </c>
      <c r="L610" s="49">
        <f>IF(OR(A610="",D610=""),0,MAX(0,NETWORKDAYS(MAX(D610,DATE(Einstellungen!$C$3,1,1)),MIN(J610,DATE(Einstellungen!$C$3,2,0)),Einstellungen!$F$13:$F$32)))</f>
        <v/>
      </c>
      <c r="M610" s="49">
        <f>IF(OR(A610="",D610=""),0,MAX(0,NETWORKDAYS(MAX(D610,DATE(Einstellungen!$C$3,2,1)),MIN(J610,DATE(Einstellungen!$C$3,3,0)),Einstellungen!$F$13:$F$32)))</f>
        <v/>
      </c>
      <c r="N610" s="49">
        <f>IF(OR(A610="",D610=""),0,MAX(0,NETWORKDAYS(MAX(D610,DATE(Einstellungen!$C$3,3,1)),MIN(J610,DATE(Einstellungen!$C$3,4,0)),Einstellungen!$F$13:$F$32)))</f>
        <v/>
      </c>
      <c r="O610" s="49">
        <f>IF(OR(A610="",D610=""),0,MAX(0,NETWORKDAYS(MAX(D610,DATE(Einstellungen!$C$3,4,1)),MIN(J610,DATE(Einstellungen!$C$3,5,0)),Einstellungen!$F$13:$F$32)))</f>
        <v/>
      </c>
      <c r="P610" s="49">
        <f>IF(OR(A610="",D610=""),0,MAX(0,NETWORKDAYS(MAX(D610,DATE(Einstellungen!$C$3,5,1)),MIN(J610,DATE(Einstellungen!$C$3,6,0)),Einstellungen!$F$13:$F$32)))</f>
        <v/>
      </c>
      <c r="Q610" s="49">
        <f>IF(OR(A610="",D610=""),0,MAX(0,NETWORKDAYS(MAX(D610,DATE(Einstellungen!$C$3,6,1)),MIN(J610,DATE(Einstellungen!$C$3,7,0)),Einstellungen!$F$13:$F$32)))</f>
        <v/>
      </c>
      <c r="R610" s="49">
        <f>IF(OR(A610="",D610=""),0,MAX(0,NETWORKDAYS(MAX(D610,DATE(Einstellungen!$C$3,7,1)),MIN(J610,DATE(Einstellungen!$C$3,8,0)),Einstellungen!$F$13:$F$32)))</f>
        <v/>
      </c>
      <c r="S610" s="49">
        <f>IF(OR(A610="",D610=""),0,MAX(0,NETWORKDAYS(MAX(D610,DATE(Einstellungen!$C$3,8,1)),MIN(J610,DATE(Einstellungen!$C$3,9,0)),Einstellungen!$F$13:$F$32)))</f>
        <v/>
      </c>
      <c r="T610" s="49">
        <f>IF(OR(A610="",D610=""),0,MAX(0,NETWORKDAYS(MAX(D610,DATE(Einstellungen!$C$3,9,1)),MIN(J610,DATE(Einstellungen!$C$3,10,0)),Einstellungen!$F$13:$F$32)))</f>
        <v/>
      </c>
      <c r="U610" s="49">
        <f>IF(OR(A610="",D610=""),0,MAX(0,NETWORKDAYS(MAX(D610,DATE(Einstellungen!$C$3,10,1)),MIN(J610,DATE(Einstellungen!$C$3,11,0)),Einstellungen!$F$13:$F$32)))</f>
        <v/>
      </c>
      <c r="V610" s="49">
        <f>IF(OR(A610="",D610=""),0,MAX(0,NETWORKDAYS(MAX(D610,DATE(Einstellungen!$C$3,11,1)),MIN(J610,DATE(Einstellungen!$C$3,12,0)),Einstellungen!$F$13:$F$32)))</f>
        <v/>
      </c>
      <c r="W610" s="49">
        <f>IF(OR(A610="",D610=""),0,MAX(0,NETWORKDAYS(MAX(D610,DATE(Einstellungen!$C$3,12,1)),MIN(J610,DATE(Einstellungen!$C$3,13,0)),Einstellungen!$F$13:$F$32)))</f>
        <v/>
      </c>
      <c r="X610" s="50">
        <f>L610*K610</f>
        <v/>
      </c>
      <c r="Y610" s="50">
        <f>M610*K610</f>
        <v/>
      </c>
      <c r="Z610" s="50">
        <f>N610*K610</f>
        <v/>
      </c>
      <c r="AA610" s="50">
        <f>O610*K610</f>
        <v/>
      </c>
      <c r="AB610" s="50">
        <f>P610*K610</f>
        <v/>
      </c>
      <c r="AC610" s="50">
        <f>Q610*K610</f>
        <v/>
      </c>
      <c r="AD610" s="50">
        <f>R610*K610</f>
        <v/>
      </c>
      <c r="AE610" s="50">
        <f>S610*K610</f>
        <v/>
      </c>
      <c r="AF610" s="50">
        <f>T610*K610</f>
        <v/>
      </c>
      <c r="AG610" s="50">
        <f>U610*K610</f>
        <v/>
      </c>
      <c r="AH610" s="50">
        <f>V610*K610</f>
        <v/>
      </c>
      <c r="AI610" s="50">
        <f>W610*K610</f>
        <v/>
      </c>
    </row>
    <row r="611">
      <c r="A611" s="25" t="n"/>
      <c r="B611" s="45">
        <f>IF(A611="","",IFERROR(INDEX(Mitarbeiter!$B$6:$B$205,MATCH($A611,Mitarbeiter!$A$6:$A$205,0)),"?"))</f>
        <v/>
      </c>
      <c r="C611" s="46" t="n"/>
      <c r="D611" s="26" t="n"/>
      <c r="E611" s="26" t="n"/>
      <c r="F611" s="24">
        <f>IF(A611="","",SUM(L611:W611))</f>
        <v/>
      </c>
      <c r="G611" s="36">
        <f>IF(A611="","",SUM(X611:AI611))</f>
        <v/>
      </c>
      <c r="H611" s="8">
        <f>IF(A611="","",IF(ISNA(MATCH(A611,Mitarbeiter!$A$6:$A$205,0)),"Pers.-Nr. unbekannt",IF(D611="","Von fehlt",IF(AND(C611&lt;&gt;Einstellungen!$C$4,C611&lt;&gt;Einstellungen!$C$5),"Objekt fehlt",IF(J611&lt;D611,"Bis vor Von",IF(D611&lt;INDEX(Mitarbeiter!$C$6:$C$205,MATCH($A611,Mitarbeiter!$A$6:$A$205,0)),"vor Eintritt",IF(AND(INDEX(Mitarbeiter!$D$6:$D$205,MATCH($A611,Mitarbeiter!$A$6:$A$205,0))&lt;&gt;"",D611&gt;INDEX(Mitarbeiter!$D$6:$D$205,MATCH($A611,Mitarbeiter!$A$6:$A$205,0))),"nach Austritt",IF(E611="","offen","ok"))))))))</f>
        <v/>
      </c>
      <c r="J611" s="47">
        <f>IF(A611="","",IF(E611="",Einstellungen!$C$9,E611))</f>
        <v/>
      </c>
      <c r="K611" s="48">
        <f>IF(A611="",0,IFERROR(INDEX(Mitarbeiter!$F$6:$F$205,MATCH($A611,Mitarbeiter!$A$6:$A$205,0)),0))</f>
        <v/>
      </c>
      <c r="L611" s="49">
        <f>IF(OR(A611="",D611=""),0,MAX(0,NETWORKDAYS(MAX(D611,DATE(Einstellungen!$C$3,1,1)),MIN(J611,DATE(Einstellungen!$C$3,2,0)),Einstellungen!$F$13:$F$32)))</f>
        <v/>
      </c>
      <c r="M611" s="49">
        <f>IF(OR(A611="",D611=""),0,MAX(0,NETWORKDAYS(MAX(D611,DATE(Einstellungen!$C$3,2,1)),MIN(J611,DATE(Einstellungen!$C$3,3,0)),Einstellungen!$F$13:$F$32)))</f>
        <v/>
      </c>
      <c r="N611" s="49">
        <f>IF(OR(A611="",D611=""),0,MAX(0,NETWORKDAYS(MAX(D611,DATE(Einstellungen!$C$3,3,1)),MIN(J611,DATE(Einstellungen!$C$3,4,0)),Einstellungen!$F$13:$F$32)))</f>
        <v/>
      </c>
      <c r="O611" s="49">
        <f>IF(OR(A611="",D611=""),0,MAX(0,NETWORKDAYS(MAX(D611,DATE(Einstellungen!$C$3,4,1)),MIN(J611,DATE(Einstellungen!$C$3,5,0)),Einstellungen!$F$13:$F$32)))</f>
        <v/>
      </c>
      <c r="P611" s="49">
        <f>IF(OR(A611="",D611=""),0,MAX(0,NETWORKDAYS(MAX(D611,DATE(Einstellungen!$C$3,5,1)),MIN(J611,DATE(Einstellungen!$C$3,6,0)),Einstellungen!$F$13:$F$32)))</f>
        <v/>
      </c>
      <c r="Q611" s="49">
        <f>IF(OR(A611="",D611=""),0,MAX(0,NETWORKDAYS(MAX(D611,DATE(Einstellungen!$C$3,6,1)),MIN(J611,DATE(Einstellungen!$C$3,7,0)),Einstellungen!$F$13:$F$32)))</f>
        <v/>
      </c>
      <c r="R611" s="49">
        <f>IF(OR(A611="",D611=""),0,MAX(0,NETWORKDAYS(MAX(D611,DATE(Einstellungen!$C$3,7,1)),MIN(J611,DATE(Einstellungen!$C$3,8,0)),Einstellungen!$F$13:$F$32)))</f>
        <v/>
      </c>
      <c r="S611" s="49">
        <f>IF(OR(A611="",D611=""),0,MAX(0,NETWORKDAYS(MAX(D611,DATE(Einstellungen!$C$3,8,1)),MIN(J611,DATE(Einstellungen!$C$3,9,0)),Einstellungen!$F$13:$F$32)))</f>
        <v/>
      </c>
      <c r="T611" s="49">
        <f>IF(OR(A611="",D611=""),0,MAX(0,NETWORKDAYS(MAX(D611,DATE(Einstellungen!$C$3,9,1)),MIN(J611,DATE(Einstellungen!$C$3,10,0)),Einstellungen!$F$13:$F$32)))</f>
        <v/>
      </c>
      <c r="U611" s="49">
        <f>IF(OR(A611="",D611=""),0,MAX(0,NETWORKDAYS(MAX(D611,DATE(Einstellungen!$C$3,10,1)),MIN(J611,DATE(Einstellungen!$C$3,11,0)),Einstellungen!$F$13:$F$32)))</f>
        <v/>
      </c>
      <c r="V611" s="49">
        <f>IF(OR(A611="",D611=""),0,MAX(0,NETWORKDAYS(MAX(D611,DATE(Einstellungen!$C$3,11,1)),MIN(J611,DATE(Einstellungen!$C$3,12,0)),Einstellungen!$F$13:$F$32)))</f>
        <v/>
      </c>
      <c r="W611" s="49">
        <f>IF(OR(A611="",D611=""),0,MAX(0,NETWORKDAYS(MAX(D611,DATE(Einstellungen!$C$3,12,1)),MIN(J611,DATE(Einstellungen!$C$3,13,0)),Einstellungen!$F$13:$F$32)))</f>
        <v/>
      </c>
      <c r="X611" s="50">
        <f>L611*K611</f>
        <v/>
      </c>
      <c r="Y611" s="50">
        <f>M611*K611</f>
        <v/>
      </c>
      <c r="Z611" s="50">
        <f>N611*K611</f>
        <v/>
      </c>
      <c r="AA611" s="50">
        <f>O611*K611</f>
        <v/>
      </c>
      <c r="AB611" s="50">
        <f>P611*K611</f>
        <v/>
      </c>
      <c r="AC611" s="50">
        <f>Q611*K611</f>
        <v/>
      </c>
      <c r="AD611" s="50">
        <f>R611*K611</f>
        <v/>
      </c>
      <c r="AE611" s="50">
        <f>S611*K611</f>
        <v/>
      </c>
      <c r="AF611" s="50">
        <f>T611*K611</f>
        <v/>
      </c>
      <c r="AG611" s="50">
        <f>U611*K611</f>
        <v/>
      </c>
      <c r="AH611" s="50">
        <f>V611*K611</f>
        <v/>
      </c>
      <c r="AI611" s="50">
        <f>W611*K611</f>
        <v/>
      </c>
    </row>
    <row r="612">
      <c r="A612" s="25" t="n"/>
      <c r="B612" s="45">
        <f>IF(A612="","",IFERROR(INDEX(Mitarbeiter!$B$6:$B$205,MATCH($A612,Mitarbeiter!$A$6:$A$205,0)),"?"))</f>
        <v/>
      </c>
      <c r="C612" s="46" t="n"/>
      <c r="D612" s="26" t="n"/>
      <c r="E612" s="26" t="n"/>
      <c r="F612" s="24">
        <f>IF(A612="","",SUM(L612:W612))</f>
        <v/>
      </c>
      <c r="G612" s="36">
        <f>IF(A612="","",SUM(X612:AI612))</f>
        <v/>
      </c>
      <c r="H612" s="8">
        <f>IF(A612="","",IF(ISNA(MATCH(A612,Mitarbeiter!$A$6:$A$205,0)),"Pers.-Nr. unbekannt",IF(D612="","Von fehlt",IF(AND(C612&lt;&gt;Einstellungen!$C$4,C612&lt;&gt;Einstellungen!$C$5),"Objekt fehlt",IF(J612&lt;D612,"Bis vor Von",IF(D612&lt;INDEX(Mitarbeiter!$C$6:$C$205,MATCH($A612,Mitarbeiter!$A$6:$A$205,0)),"vor Eintritt",IF(AND(INDEX(Mitarbeiter!$D$6:$D$205,MATCH($A612,Mitarbeiter!$A$6:$A$205,0))&lt;&gt;"",D612&gt;INDEX(Mitarbeiter!$D$6:$D$205,MATCH($A612,Mitarbeiter!$A$6:$A$205,0))),"nach Austritt",IF(E612="","offen","ok"))))))))</f>
        <v/>
      </c>
      <c r="J612" s="47">
        <f>IF(A612="","",IF(E612="",Einstellungen!$C$9,E612))</f>
        <v/>
      </c>
      <c r="K612" s="48">
        <f>IF(A612="",0,IFERROR(INDEX(Mitarbeiter!$F$6:$F$205,MATCH($A612,Mitarbeiter!$A$6:$A$205,0)),0))</f>
        <v/>
      </c>
      <c r="L612" s="49">
        <f>IF(OR(A612="",D612=""),0,MAX(0,NETWORKDAYS(MAX(D612,DATE(Einstellungen!$C$3,1,1)),MIN(J612,DATE(Einstellungen!$C$3,2,0)),Einstellungen!$F$13:$F$32)))</f>
        <v/>
      </c>
      <c r="M612" s="49">
        <f>IF(OR(A612="",D612=""),0,MAX(0,NETWORKDAYS(MAX(D612,DATE(Einstellungen!$C$3,2,1)),MIN(J612,DATE(Einstellungen!$C$3,3,0)),Einstellungen!$F$13:$F$32)))</f>
        <v/>
      </c>
      <c r="N612" s="49">
        <f>IF(OR(A612="",D612=""),0,MAX(0,NETWORKDAYS(MAX(D612,DATE(Einstellungen!$C$3,3,1)),MIN(J612,DATE(Einstellungen!$C$3,4,0)),Einstellungen!$F$13:$F$32)))</f>
        <v/>
      </c>
      <c r="O612" s="49">
        <f>IF(OR(A612="",D612=""),0,MAX(0,NETWORKDAYS(MAX(D612,DATE(Einstellungen!$C$3,4,1)),MIN(J612,DATE(Einstellungen!$C$3,5,0)),Einstellungen!$F$13:$F$32)))</f>
        <v/>
      </c>
      <c r="P612" s="49">
        <f>IF(OR(A612="",D612=""),0,MAX(0,NETWORKDAYS(MAX(D612,DATE(Einstellungen!$C$3,5,1)),MIN(J612,DATE(Einstellungen!$C$3,6,0)),Einstellungen!$F$13:$F$32)))</f>
        <v/>
      </c>
      <c r="Q612" s="49">
        <f>IF(OR(A612="",D612=""),0,MAX(0,NETWORKDAYS(MAX(D612,DATE(Einstellungen!$C$3,6,1)),MIN(J612,DATE(Einstellungen!$C$3,7,0)),Einstellungen!$F$13:$F$32)))</f>
        <v/>
      </c>
      <c r="R612" s="49">
        <f>IF(OR(A612="",D612=""),0,MAX(0,NETWORKDAYS(MAX(D612,DATE(Einstellungen!$C$3,7,1)),MIN(J612,DATE(Einstellungen!$C$3,8,0)),Einstellungen!$F$13:$F$32)))</f>
        <v/>
      </c>
      <c r="S612" s="49">
        <f>IF(OR(A612="",D612=""),0,MAX(0,NETWORKDAYS(MAX(D612,DATE(Einstellungen!$C$3,8,1)),MIN(J612,DATE(Einstellungen!$C$3,9,0)),Einstellungen!$F$13:$F$32)))</f>
        <v/>
      </c>
      <c r="T612" s="49">
        <f>IF(OR(A612="",D612=""),0,MAX(0,NETWORKDAYS(MAX(D612,DATE(Einstellungen!$C$3,9,1)),MIN(J612,DATE(Einstellungen!$C$3,10,0)),Einstellungen!$F$13:$F$32)))</f>
        <v/>
      </c>
      <c r="U612" s="49">
        <f>IF(OR(A612="",D612=""),0,MAX(0,NETWORKDAYS(MAX(D612,DATE(Einstellungen!$C$3,10,1)),MIN(J612,DATE(Einstellungen!$C$3,11,0)),Einstellungen!$F$13:$F$32)))</f>
        <v/>
      </c>
      <c r="V612" s="49">
        <f>IF(OR(A612="",D612=""),0,MAX(0,NETWORKDAYS(MAX(D612,DATE(Einstellungen!$C$3,11,1)),MIN(J612,DATE(Einstellungen!$C$3,12,0)),Einstellungen!$F$13:$F$32)))</f>
        <v/>
      </c>
      <c r="W612" s="49">
        <f>IF(OR(A612="",D612=""),0,MAX(0,NETWORKDAYS(MAX(D612,DATE(Einstellungen!$C$3,12,1)),MIN(J612,DATE(Einstellungen!$C$3,13,0)),Einstellungen!$F$13:$F$32)))</f>
        <v/>
      </c>
      <c r="X612" s="50">
        <f>L612*K612</f>
        <v/>
      </c>
      <c r="Y612" s="50">
        <f>M612*K612</f>
        <v/>
      </c>
      <c r="Z612" s="50">
        <f>N612*K612</f>
        <v/>
      </c>
      <c r="AA612" s="50">
        <f>O612*K612</f>
        <v/>
      </c>
      <c r="AB612" s="50">
        <f>P612*K612</f>
        <v/>
      </c>
      <c r="AC612" s="50">
        <f>Q612*K612</f>
        <v/>
      </c>
      <c r="AD612" s="50">
        <f>R612*K612</f>
        <v/>
      </c>
      <c r="AE612" s="50">
        <f>S612*K612</f>
        <v/>
      </c>
      <c r="AF612" s="50">
        <f>T612*K612</f>
        <v/>
      </c>
      <c r="AG612" s="50">
        <f>U612*K612</f>
        <v/>
      </c>
      <c r="AH612" s="50">
        <f>V612*K612</f>
        <v/>
      </c>
      <c r="AI612" s="50">
        <f>W612*K612</f>
        <v/>
      </c>
    </row>
    <row r="613">
      <c r="A613" s="25" t="n"/>
      <c r="B613" s="45">
        <f>IF(A613="","",IFERROR(INDEX(Mitarbeiter!$B$6:$B$205,MATCH($A613,Mitarbeiter!$A$6:$A$205,0)),"?"))</f>
        <v/>
      </c>
      <c r="C613" s="46" t="n"/>
      <c r="D613" s="26" t="n"/>
      <c r="E613" s="26" t="n"/>
      <c r="F613" s="24">
        <f>IF(A613="","",SUM(L613:W613))</f>
        <v/>
      </c>
      <c r="G613" s="36">
        <f>IF(A613="","",SUM(X613:AI613))</f>
        <v/>
      </c>
      <c r="H613" s="8">
        <f>IF(A613="","",IF(ISNA(MATCH(A613,Mitarbeiter!$A$6:$A$205,0)),"Pers.-Nr. unbekannt",IF(D613="","Von fehlt",IF(AND(C613&lt;&gt;Einstellungen!$C$4,C613&lt;&gt;Einstellungen!$C$5),"Objekt fehlt",IF(J613&lt;D613,"Bis vor Von",IF(D613&lt;INDEX(Mitarbeiter!$C$6:$C$205,MATCH($A613,Mitarbeiter!$A$6:$A$205,0)),"vor Eintritt",IF(AND(INDEX(Mitarbeiter!$D$6:$D$205,MATCH($A613,Mitarbeiter!$A$6:$A$205,0))&lt;&gt;"",D613&gt;INDEX(Mitarbeiter!$D$6:$D$205,MATCH($A613,Mitarbeiter!$A$6:$A$205,0))),"nach Austritt",IF(E613="","offen","ok"))))))))</f>
        <v/>
      </c>
      <c r="J613" s="47">
        <f>IF(A613="","",IF(E613="",Einstellungen!$C$9,E613))</f>
        <v/>
      </c>
      <c r="K613" s="48">
        <f>IF(A613="",0,IFERROR(INDEX(Mitarbeiter!$F$6:$F$205,MATCH($A613,Mitarbeiter!$A$6:$A$205,0)),0))</f>
        <v/>
      </c>
      <c r="L613" s="49">
        <f>IF(OR(A613="",D613=""),0,MAX(0,NETWORKDAYS(MAX(D613,DATE(Einstellungen!$C$3,1,1)),MIN(J613,DATE(Einstellungen!$C$3,2,0)),Einstellungen!$F$13:$F$32)))</f>
        <v/>
      </c>
      <c r="M613" s="49">
        <f>IF(OR(A613="",D613=""),0,MAX(0,NETWORKDAYS(MAX(D613,DATE(Einstellungen!$C$3,2,1)),MIN(J613,DATE(Einstellungen!$C$3,3,0)),Einstellungen!$F$13:$F$32)))</f>
        <v/>
      </c>
      <c r="N613" s="49">
        <f>IF(OR(A613="",D613=""),0,MAX(0,NETWORKDAYS(MAX(D613,DATE(Einstellungen!$C$3,3,1)),MIN(J613,DATE(Einstellungen!$C$3,4,0)),Einstellungen!$F$13:$F$32)))</f>
        <v/>
      </c>
      <c r="O613" s="49">
        <f>IF(OR(A613="",D613=""),0,MAX(0,NETWORKDAYS(MAX(D613,DATE(Einstellungen!$C$3,4,1)),MIN(J613,DATE(Einstellungen!$C$3,5,0)),Einstellungen!$F$13:$F$32)))</f>
        <v/>
      </c>
      <c r="P613" s="49">
        <f>IF(OR(A613="",D613=""),0,MAX(0,NETWORKDAYS(MAX(D613,DATE(Einstellungen!$C$3,5,1)),MIN(J613,DATE(Einstellungen!$C$3,6,0)),Einstellungen!$F$13:$F$32)))</f>
        <v/>
      </c>
      <c r="Q613" s="49">
        <f>IF(OR(A613="",D613=""),0,MAX(0,NETWORKDAYS(MAX(D613,DATE(Einstellungen!$C$3,6,1)),MIN(J613,DATE(Einstellungen!$C$3,7,0)),Einstellungen!$F$13:$F$32)))</f>
        <v/>
      </c>
      <c r="R613" s="49">
        <f>IF(OR(A613="",D613=""),0,MAX(0,NETWORKDAYS(MAX(D613,DATE(Einstellungen!$C$3,7,1)),MIN(J613,DATE(Einstellungen!$C$3,8,0)),Einstellungen!$F$13:$F$32)))</f>
        <v/>
      </c>
      <c r="S613" s="49">
        <f>IF(OR(A613="",D613=""),0,MAX(0,NETWORKDAYS(MAX(D613,DATE(Einstellungen!$C$3,8,1)),MIN(J613,DATE(Einstellungen!$C$3,9,0)),Einstellungen!$F$13:$F$32)))</f>
        <v/>
      </c>
      <c r="T613" s="49">
        <f>IF(OR(A613="",D613=""),0,MAX(0,NETWORKDAYS(MAX(D613,DATE(Einstellungen!$C$3,9,1)),MIN(J613,DATE(Einstellungen!$C$3,10,0)),Einstellungen!$F$13:$F$32)))</f>
        <v/>
      </c>
      <c r="U613" s="49">
        <f>IF(OR(A613="",D613=""),0,MAX(0,NETWORKDAYS(MAX(D613,DATE(Einstellungen!$C$3,10,1)),MIN(J613,DATE(Einstellungen!$C$3,11,0)),Einstellungen!$F$13:$F$32)))</f>
        <v/>
      </c>
      <c r="V613" s="49">
        <f>IF(OR(A613="",D613=""),0,MAX(0,NETWORKDAYS(MAX(D613,DATE(Einstellungen!$C$3,11,1)),MIN(J613,DATE(Einstellungen!$C$3,12,0)),Einstellungen!$F$13:$F$32)))</f>
        <v/>
      </c>
      <c r="W613" s="49">
        <f>IF(OR(A613="",D613=""),0,MAX(0,NETWORKDAYS(MAX(D613,DATE(Einstellungen!$C$3,12,1)),MIN(J613,DATE(Einstellungen!$C$3,13,0)),Einstellungen!$F$13:$F$32)))</f>
        <v/>
      </c>
      <c r="X613" s="50">
        <f>L613*K613</f>
        <v/>
      </c>
      <c r="Y613" s="50">
        <f>M613*K613</f>
        <v/>
      </c>
      <c r="Z613" s="50">
        <f>N613*K613</f>
        <v/>
      </c>
      <c r="AA613" s="50">
        <f>O613*K613</f>
        <v/>
      </c>
      <c r="AB613" s="50">
        <f>P613*K613</f>
        <v/>
      </c>
      <c r="AC613" s="50">
        <f>Q613*K613</f>
        <v/>
      </c>
      <c r="AD613" s="50">
        <f>R613*K613</f>
        <v/>
      </c>
      <c r="AE613" s="50">
        <f>S613*K613</f>
        <v/>
      </c>
      <c r="AF613" s="50">
        <f>T613*K613</f>
        <v/>
      </c>
      <c r="AG613" s="50">
        <f>U613*K613</f>
        <v/>
      </c>
      <c r="AH613" s="50">
        <f>V613*K613</f>
        <v/>
      </c>
      <c r="AI613" s="50">
        <f>W613*K613</f>
        <v/>
      </c>
    </row>
    <row r="614">
      <c r="A614" s="25" t="n"/>
      <c r="B614" s="45">
        <f>IF(A614="","",IFERROR(INDEX(Mitarbeiter!$B$6:$B$205,MATCH($A614,Mitarbeiter!$A$6:$A$205,0)),"?"))</f>
        <v/>
      </c>
      <c r="C614" s="46" t="n"/>
      <c r="D614" s="26" t="n"/>
      <c r="E614" s="26" t="n"/>
      <c r="F614" s="24">
        <f>IF(A614="","",SUM(L614:W614))</f>
        <v/>
      </c>
      <c r="G614" s="36">
        <f>IF(A614="","",SUM(X614:AI614))</f>
        <v/>
      </c>
      <c r="H614" s="8">
        <f>IF(A614="","",IF(ISNA(MATCH(A614,Mitarbeiter!$A$6:$A$205,0)),"Pers.-Nr. unbekannt",IF(D614="","Von fehlt",IF(AND(C614&lt;&gt;Einstellungen!$C$4,C614&lt;&gt;Einstellungen!$C$5),"Objekt fehlt",IF(J614&lt;D614,"Bis vor Von",IF(D614&lt;INDEX(Mitarbeiter!$C$6:$C$205,MATCH($A614,Mitarbeiter!$A$6:$A$205,0)),"vor Eintritt",IF(AND(INDEX(Mitarbeiter!$D$6:$D$205,MATCH($A614,Mitarbeiter!$A$6:$A$205,0))&lt;&gt;"",D614&gt;INDEX(Mitarbeiter!$D$6:$D$205,MATCH($A614,Mitarbeiter!$A$6:$A$205,0))),"nach Austritt",IF(E614="","offen","ok"))))))))</f>
        <v/>
      </c>
      <c r="J614" s="47">
        <f>IF(A614="","",IF(E614="",Einstellungen!$C$9,E614))</f>
        <v/>
      </c>
      <c r="K614" s="48">
        <f>IF(A614="",0,IFERROR(INDEX(Mitarbeiter!$F$6:$F$205,MATCH($A614,Mitarbeiter!$A$6:$A$205,0)),0))</f>
        <v/>
      </c>
      <c r="L614" s="49">
        <f>IF(OR(A614="",D614=""),0,MAX(0,NETWORKDAYS(MAX(D614,DATE(Einstellungen!$C$3,1,1)),MIN(J614,DATE(Einstellungen!$C$3,2,0)),Einstellungen!$F$13:$F$32)))</f>
        <v/>
      </c>
      <c r="M614" s="49">
        <f>IF(OR(A614="",D614=""),0,MAX(0,NETWORKDAYS(MAX(D614,DATE(Einstellungen!$C$3,2,1)),MIN(J614,DATE(Einstellungen!$C$3,3,0)),Einstellungen!$F$13:$F$32)))</f>
        <v/>
      </c>
      <c r="N614" s="49">
        <f>IF(OR(A614="",D614=""),0,MAX(0,NETWORKDAYS(MAX(D614,DATE(Einstellungen!$C$3,3,1)),MIN(J614,DATE(Einstellungen!$C$3,4,0)),Einstellungen!$F$13:$F$32)))</f>
        <v/>
      </c>
      <c r="O614" s="49">
        <f>IF(OR(A614="",D614=""),0,MAX(0,NETWORKDAYS(MAX(D614,DATE(Einstellungen!$C$3,4,1)),MIN(J614,DATE(Einstellungen!$C$3,5,0)),Einstellungen!$F$13:$F$32)))</f>
        <v/>
      </c>
      <c r="P614" s="49">
        <f>IF(OR(A614="",D614=""),0,MAX(0,NETWORKDAYS(MAX(D614,DATE(Einstellungen!$C$3,5,1)),MIN(J614,DATE(Einstellungen!$C$3,6,0)),Einstellungen!$F$13:$F$32)))</f>
        <v/>
      </c>
      <c r="Q614" s="49">
        <f>IF(OR(A614="",D614=""),0,MAX(0,NETWORKDAYS(MAX(D614,DATE(Einstellungen!$C$3,6,1)),MIN(J614,DATE(Einstellungen!$C$3,7,0)),Einstellungen!$F$13:$F$32)))</f>
        <v/>
      </c>
      <c r="R614" s="49">
        <f>IF(OR(A614="",D614=""),0,MAX(0,NETWORKDAYS(MAX(D614,DATE(Einstellungen!$C$3,7,1)),MIN(J614,DATE(Einstellungen!$C$3,8,0)),Einstellungen!$F$13:$F$32)))</f>
        <v/>
      </c>
      <c r="S614" s="49">
        <f>IF(OR(A614="",D614=""),0,MAX(0,NETWORKDAYS(MAX(D614,DATE(Einstellungen!$C$3,8,1)),MIN(J614,DATE(Einstellungen!$C$3,9,0)),Einstellungen!$F$13:$F$32)))</f>
        <v/>
      </c>
      <c r="T614" s="49">
        <f>IF(OR(A614="",D614=""),0,MAX(0,NETWORKDAYS(MAX(D614,DATE(Einstellungen!$C$3,9,1)),MIN(J614,DATE(Einstellungen!$C$3,10,0)),Einstellungen!$F$13:$F$32)))</f>
        <v/>
      </c>
      <c r="U614" s="49">
        <f>IF(OR(A614="",D614=""),0,MAX(0,NETWORKDAYS(MAX(D614,DATE(Einstellungen!$C$3,10,1)),MIN(J614,DATE(Einstellungen!$C$3,11,0)),Einstellungen!$F$13:$F$32)))</f>
        <v/>
      </c>
      <c r="V614" s="49">
        <f>IF(OR(A614="",D614=""),0,MAX(0,NETWORKDAYS(MAX(D614,DATE(Einstellungen!$C$3,11,1)),MIN(J614,DATE(Einstellungen!$C$3,12,0)),Einstellungen!$F$13:$F$32)))</f>
        <v/>
      </c>
      <c r="W614" s="49">
        <f>IF(OR(A614="",D614=""),0,MAX(0,NETWORKDAYS(MAX(D614,DATE(Einstellungen!$C$3,12,1)),MIN(J614,DATE(Einstellungen!$C$3,13,0)),Einstellungen!$F$13:$F$32)))</f>
        <v/>
      </c>
      <c r="X614" s="50">
        <f>L614*K614</f>
        <v/>
      </c>
      <c r="Y614" s="50">
        <f>M614*K614</f>
        <v/>
      </c>
      <c r="Z614" s="50">
        <f>N614*K614</f>
        <v/>
      </c>
      <c r="AA614" s="50">
        <f>O614*K614</f>
        <v/>
      </c>
      <c r="AB614" s="50">
        <f>P614*K614</f>
        <v/>
      </c>
      <c r="AC614" s="50">
        <f>Q614*K614</f>
        <v/>
      </c>
      <c r="AD614" s="50">
        <f>R614*K614</f>
        <v/>
      </c>
      <c r="AE614" s="50">
        <f>S614*K614</f>
        <v/>
      </c>
      <c r="AF614" s="50">
        <f>T614*K614</f>
        <v/>
      </c>
      <c r="AG614" s="50">
        <f>U614*K614</f>
        <v/>
      </c>
      <c r="AH614" s="50">
        <f>V614*K614</f>
        <v/>
      </c>
      <c r="AI614" s="50">
        <f>W614*K614</f>
        <v/>
      </c>
    </row>
    <row r="615">
      <c r="A615" s="25" t="n"/>
      <c r="B615" s="45">
        <f>IF(A615="","",IFERROR(INDEX(Mitarbeiter!$B$6:$B$205,MATCH($A615,Mitarbeiter!$A$6:$A$205,0)),"?"))</f>
        <v/>
      </c>
      <c r="C615" s="46" t="n"/>
      <c r="D615" s="26" t="n"/>
      <c r="E615" s="26" t="n"/>
      <c r="F615" s="24">
        <f>IF(A615="","",SUM(L615:W615))</f>
        <v/>
      </c>
      <c r="G615" s="36">
        <f>IF(A615="","",SUM(X615:AI615))</f>
        <v/>
      </c>
      <c r="H615" s="8">
        <f>IF(A615="","",IF(ISNA(MATCH(A615,Mitarbeiter!$A$6:$A$205,0)),"Pers.-Nr. unbekannt",IF(D615="","Von fehlt",IF(AND(C615&lt;&gt;Einstellungen!$C$4,C615&lt;&gt;Einstellungen!$C$5),"Objekt fehlt",IF(J615&lt;D615,"Bis vor Von",IF(D615&lt;INDEX(Mitarbeiter!$C$6:$C$205,MATCH($A615,Mitarbeiter!$A$6:$A$205,0)),"vor Eintritt",IF(AND(INDEX(Mitarbeiter!$D$6:$D$205,MATCH($A615,Mitarbeiter!$A$6:$A$205,0))&lt;&gt;"",D615&gt;INDEX(Mitarbeiter!$D$6:$D$205,MATCH($A615,Mitarbeiter!$A$6:$A$205,0))),"nach Austritt",IF(E615="","offen","ok"))))))))</f>
        <v/>
      </c>
      <c r="J615" s="47">
        <f>IF(A615="","",IF(E615="",Einstellungen!$C$9,E615))</f>
        <v/>
      </c>
      <c r="K615" s="48">
        <f>IF(A615="",0,IFERROR(INDEX(Mitarbeiter!$F$6:$F$205,MATCH($A615,Mitarbeiter!$A$6:$A$205,0)),0))</f>
        <v/>
      </c>
      <c r="L615" s="49">
        <f>IF(OR(A615="",D615=""),0,MAX(0,NETWORKDAYS(MAX(D615,DATE(Einstellungen!$C$3,1,1)),MIN(J615,DATE(Einstellungen!$C$3,2,0)),Einstellungen!$F$13:$F$32)))</f>
        <v/>
      </c>
      <c r="M615" s="49">
        <f>IF(OR(A615="",D615=""),0,MAX(0,NETWORKDAYS(MAX(D615,DATE(Einstellungen!$C$3,2,1)),MIN(J615,DATE(Einstellungen!$C$3,3,0)),Einstellungen!$F$13:$F$32)))</f>
        <v/>
      </c>
      <c r="N615" s="49">
        <f>IF(OR(A615="",D615=""),0,MAX(0,NETWORKDAYS(MAX(D615,DATE(Einstellungen!$C$3,3,1)),MIN(J615,DATE(Einstellungen!$C$3,4,0)),Einstellungen!$F$13:$F$32)))</f>
        <v/>
      </c>
      <c r="O615" s="49">
        <f>IF(OR(A615="",D615=""),0,MAX(0,NETWORKDAYS(MAX(D615,DATE(Einstellungen!$C$3,4,1)),MIN(J615,DATE(Einstellungen!$C$3,5,0)),Einstellungen!$F$13:$F$32)))</f>
        <v/>
      </c>
      <c r="P615" s="49">
        <f>IF(OR(A615="",D615=""),0,MAX(0,NETWORKDAYS(MAX(D615,DATE(Einstellungen!$C$3,5,1)),MIN(J615,DATE(Einstellungen!$C$3,6,0)),Einstellungen!$F$13:$F$32)))</f>
        <v/>
      </c>
      <c r="Q615" s="49">
        <f>IF(OR(A615="",D615=""),0,MAX(0,NETWORKDAYS(MAX(D615,DATE(Einstellungen!$C$3,6,1)),MIN(J615,DATE(Einstellungen!$C$3,7,0)),Einstellungen!$F$13:$F$32)))</f>
        <v/>
      </c>
      <c r="R615" s="49">
        <f>IF(OR(A615="",D615=""),0,MAX(0,NETWORKDAYS(MAX(D615,DATE(Einstellungen!$C$3,7,1)),MIN(J615,DATE(Einstellungen!$C$3,8,0)),Einstellungen!$F$13:$F$32)))</f>
        <v/>
      </c>
      <c r="S615" s="49">
        <f>IF(OR(A615="",D615=""),0,MAX(0,NETWORKDAYS(MAX(D615,DATE(Einstellungen!$C$3,8,1)),MIN(J615,DATE(Einstellungen!$C$3,9,0)),Einstellungen!$F$13:$F$32)))</f>
        <v/>
      </c>
      <c r="T615" s="49">
        <f>IF(OR(A615="",D615=""),0,MAX(0,NETWORKDAYS(MAX(D615,DATE(Einstellungen!$C$3,9,1)),MIN(J615,DATE(Einstellungen!$C$3,10,0)),Einstellungen!$F$13:$F$32)))</f>
        <v/>
      </c>
      <c r="U615" s="49">
        <f>IF(OR(A615="",D615=""),0,MAX(0,NETWORKDAYS(MAX(D615,DATE(Einstellungen!$C$3,10,1)),MIN(J615,DATE(Einstellungen!$C$3,11,0)),Einstellungen!$F$13:$F$32)))</f>
        <v/>
      </c>
      <c r="V615" s="49">
        <f>IF(OR(A615="",D615=""),0,MAX(0,NETWORKDAYS(MAX(D615,DATE(Einstellungen!$C$3,11,1)),MIN(J615,DATE(Einstellungen!$C$3,12,0)),Einstellungen!$F$13:$F$32)))</f>
        <v/>
      </c>
      <c r="W615" s="49">
        <f>IF(OR(A615="",D615=""),0,MAX(0,NETWORKDAYS(MAX(D615,DATE(Einstellungen!$C$3,12,1)),MIN(J615,DATE(Einstellungen!$C$3,13,0)),Einstellungen!$F$13:$F$32)))</f>
        <v/>
      </c>
      <c r="X615" s="50">
        <f>L615*K615</f>
        <v/>
      </c>
      <c r="Y615" s="50">
        <f>M615*K615</f>
        <v/>
      </c>
      <c r="Z615" s="50">
        <f>N615*K615</f>
        <v/>
      </c>
      <c r="AA615" s="50">
        <f>O615*K615</f>
        <v/>
      </c>
      <c r="AB615" s="50">
        <f>P615*K615</f>
        <v/>
      </c>
      <c r="AC615" s="50">
        <f>Q615*K615</f>
        <v/>
      </c>
      <c r="AD615" s="50">
        <f>R615*K615</f>
        <v/>
      </c>
      <c r="AE615" s="50">
        <f>S615*K615</f>
        <v/>
      </c>
      <c r="AF615" s="50">
        <f>T615*K615</f>
        <v/>
      </c>
      <c r="AG615" s="50">
        <f>U615*K615</f>
        <v/>
      </c>
      <c r="AH615" s="50">
        <f>V615*K615</f>
        <v/>
      </c>
      <c r="AI615" s="50">
        <f>W615*K615</f>
        <v/>
      </c>
    </row>
    <row r="616">
      <c r="A616" s="25" t="n"/>
      <c r="B616" s="45">
        <f>IF(A616="","",IFERROR(INDEX(Mitarbeiter!$B$6:$B$205,MATCH($A616,Mitarbeiter!$A$6:$A$205,0)),"?"))</f>
        <v/>
      </c>
      <c r="C616" s="46" t="n"/>
      <c r="D616" s="26" t="n"/>
      <c r="E616" s="26" t="n"/>
      <c r="F616" s="24">
        <f>IF(A616="","",SUM(L616:W616))</f>
        <v/>
      </c>
      <c r="G616" s="36">
        <f>IF(A616="","",SUM(X616:AI616))</f>
        <v/>
      </c>
      <c r="H616" s="8">
        <f>IF(A616="","",IF(ISNA(MATCH(A616,Mitarbeiter!$A$6:$A$205,0)),"Pers.-Nr. unbekannt",IF(D616="","Von fehlt",IF(AND(C616&lt;&gt;Einstellungen!$C$4,C616&lt;&gt;Einstellungen!$C$5),"Objekt fehlt",IF(J616&lt;D616,"Bis vor Von",IF(D616&lt;INDEX(Mitarbeiter!$C$6:$C$205,MATCH($A616,Mitarbeiter!$A$6:$A$205,0)),"vor Eintritt",IF(AND(INDEX(Mitarbeiter!$D$6:$D$205,MATCH($A616,Mitarbeiter!$A$6:$A$205,0))&lt;&gt;"",D616&gt;INDEX(Mitarbeiter!$D$6:$D$205,MATCH($A616,Mitarbeiter!$A$6:$A$205,0))),"nach Austritt",IF(E616="","offen","ok"))))))))</f>
        <v/>
      </c>
      <c r="J616" s="47">
        <f>IF(A616="","",IF(E616="",Einstellungen!$C$9,E616))</f>
        <v/>
      </c>
      <c r="K616" s="48">
        <f>IF(A616="",0,IFERROR(INDEX(Mitarbeiter!$F$6:$F$205,MATCH($A616,Mitarbeiter!$A$6:$A$205,0)),0))</f>
        <v/>
      </c>
      <c r="L616" s="49">
        <f>IF(OR(A616="",D616=""),0,MAX(0,NETWORKDAYS(MAX(D616,DATE(Einstellungen!$C$3,1,1)),MIN(J616,DATE(Einstellungen!$C$3,2,0)),Einstellungen!$F$13:$F$32)))</f>
        <v/>
      </c>
      <c r="M616" s="49">
        <f>IF(OR(A616="",D616=""),0,MAX(0,NETWORKDAYS(MAX(D616,DATE(Einstellungen!$C$3,2,1)),MIN(J616,DATE(Einstellungen!$C$3,3,0)),Einstellungen!$F$13:$F$32)))</f>
        <v/>
      </c>
      <c r="N616" s="49">
        <f>IF(OR(A616="",D616=""),0,MAX(0,NETWORKDAYS(MAX(D616,DATE(Einstellungen!$C$3,3,1)),MIN(J616,DATE(Einstellungen!$C$3,4,0)),Einstellungen!$F$13:$F$32)))</f>
        <v/>
      </c>
      <c r="O616" s="49">
        <f>IF(OR(A616="",D616=""),0,MAX(0,NETWORKDAYS(MAX(D616,DATE(Einstellungen!$C$3,4,1)),MIN(J616,DATE(Einstellungen!$C$3,5,0)),Einstellungen!$F$13:$F$32)))</f>
        <v/>
      </c>
      <c r="P616" s="49">
        <f>IF(OR(A616="",D616=""),0,MAX(0,NETWORKDAYS(MAX(D616,DATE(Einstellungen!$C$3,5,1)),MIN(J616,DATE(Einstellungen!$C$3,6,0)),Einstellungen!$F$13:$F$32)))</f>
        <v/>
      </c>
      <c r="Q616" s="49">
        <f>IF(OR(A616="",D616=""),0,MAX(0,NETWORKDAYS(MAX(D616,DATE(Einstellungen!$C$3,6,1)),MIN(J616,DATE(Einstellungen!$C$3,7,0)),Einstellungen!$F$13:$F$32)))</f>
        <v/>
      </c>
      <c r="R616" s="49">
        <f>IF(OR(A616="",D616=""),0,MAX(0,NETWORKDAYS(MAX(D616,DATE(Einstellungen!$C$3,7,1)),MIN(J616,DATE(Einstellungen!$C$3,8,0)),Einstellungen!$F$13:$F$32)))</f>
        <v/>
      </c>
      <c r="S616" s="49">
        <f>IF(OR(A616="",D616=""),0,MAX(0,NETWORKDAYS(MAX(D616,DATE(Einstellungen!$C$3,8,1)),MIN(J616,DATE(Einstellungen!$C$3,9,0)),Einstellungen!$F$13:$F$32)))</f>
        <v/>
      </c>
      <c r="T616" s="49">
        <f>IF(OR(A616="",D616=""),0,MAX(0,NETWORKDAYS(MAX(D616,DATE(Einstellungen!$C$3,9,1)),MIN(J616,DATE(Einstellungen!$C$3,10,0)),Einstellungen!$F$13:$F$32)))</f>
        <v/>
      </c>
      <c r="U616" s="49">
        <f>IF(OR(A616="",D616=""),0,MAX(0,NETWORKDAYS(MAX(D616,DATE(Einstellungen!$C$3,10,1)),MIN(J616,DATE(Einstellungen!$C$3,11,0)),Einstellungen!$F$13:$F$32)))</f>
        <v/>
      </c>
      <c r="V616" s="49">
        <f>IF(OR(A616="",D616=""),0,MAX(0,NETWORKDAYS(MAX(D616,DATE(Einstellungen!$C$3,11,1)),MIN(J616,DATE(Einstellungen!$C$3,12,0)),Einstellungen!$F$13:$F$32)))</f>
        <v/>
      </c>
      <c r="W616" s="49">
        <f>IF(OR(A616="",D616=""),0,MAX(0,NETWORKDAYS(MAX(D616,DATE(Einstellungen!$C$3,12,1)),MIN(J616,DATE(Einstellungen!$C$3,13,0)),Einstellungen!$F$13:$F$32)))</f>
        <v/>
      </c>
      <c r="X616" s="50">
        <f>L616*K616</f>
        <v/>
      </c>
      <c r="Y616" s="50">
        <f>M616*K616</f>
        <v/>
      </c>
      <c r="Z616" s="50">
        <f>N616*K616</f>
        <v/>
      </c>
      <c r="AA616" s="50">
        <f>O616*K616</f>
        <v/>
      </c>
      <c r="AB616" s="50">
        <f>P616*K616</f>
        <v/>
      </c>
      <c r="AC616" s="50">
        <f>Q616*K616</f>
        <v/>
      </c>
      <c r="AD616" s="50">
        <f>R616*K616</f>
        <v/>
      </c>
      <c r="AE616" s="50">
        <f>S616*K616</f>
        <v/>
      </c>
      <c r="AF616" s="50">
        <f>T616*K616</f>
        <v/>
      </c>
      <c r="AG616" s="50">
        <f>U616*K616</f>
        <v/>
      </c>
      <c r="AH616" s="50">
        <f>V616*K616</f>
        <v/>
      </c>
      <c r="AI616" s="50">
        <f>W616*K616</f>
        <v/>
      </c>
    </row>
    <row r="617">
      <c r="A617" s="25" t="n"/>
      <c r="B617" s="45">
        <f>IF(A617="","",IFERROR(INDEX(Mitarbeiter!$B$6:$B$205,MATCH($A617,Mitarbeiter!$A$6:$A$205,0)),"?"))</f>
        <v/>
      </c>
      <c r="C617" s="46" t="n"/>
      <c r="D617" s="26" t="n"/>
      <c r="E617" s="26" t="n"/>
      <c r="F617" s="24">
        <f>IF(A617="","",SUM(L617:W617))</f>
        <v/>
      </c>
      <c r="G617" s="36">
        <f>IF(A617="","",SUM(X617:AI617))</f>
        <v/>
      </c>
      <c r="H617" s="8">
        <f>IF(A617="","",IF(ISNA(MATCH(A617,Mitarbeiter!$A$6:$A$205,0)),"Pers.-Nr. unbekannt",IF(D617="","Von fehlt",IF(AND(C617&lt;&gt;Einstellungen!$C$4,C617&lt;&gt;Einstellungen!$C$5),"Objekt fehlt",IF(J617&lt;D617,"Bis vor Von",IF(D617&lt;INDEX(Mitarbeiter!$C$6:$C$205,MATCH($A617,Mitarbeiter!$A$6:$A$205,0)),"vor Eintritt",IF(AND(INDEX(Mitarbeiter!$D$6:$D$205,MATCH($A617,Mitarbeiter!$A$6:$A$205,0))&lt;&gt;"",D617&gt;INDEX(Mitarbeiter!$D$6:$D$205,MATCH($A617,Mitarbeiter!$A$6:$A$205,0))),"nach Austritt",IF(E617="","offen","ok"))))))))</f>
        <v/>
      </c>
      <c r="J617" s="47">
        <f>IF(A617="","",IF(E617="",Einstellungen!$C$9,E617))</f>
        <v/>
      </c>
      <c r="K617" s="48">
        <f>IF(A617="",0,IFERROR(INDEX(Mitarbeiter!$F$6:$F$205,MATCH($A617,Mitarbeiter!$A$6:$A$205,0)),0))</f>
        <v/>
      </c>
      <c r="L617" s="49">
        <f>IF(OR(A617="",D617=""),0,MAX(0,NETWORKDAYS(MAX(D617,DATE(Einstellungen!$C$3,1,1)),MIN(J617,DATE(Einstellungen!$C$3,2,0)),Einstellungen!$F$13:$F$32)))</f>
        <v/>
      </c>
      <c r="M617" s="49">
        <f>IF(OR(A617="",D617=""),0,MAX(0,NETWORKDAYS(MAX(D617,DATE(Einstellungen!$C$3,2,1)),MIN(J617,DATE(Einstellungen!$C$3,3,0)),Einstellungen!$F$13:$F$32)))</f>
        <v/>
      </c>
      <c r="N617" s="49">
        <f>IF(OR(A617="",D617=""),0,MAX(0,NETWORKDAYS(MAX(D617,DATE(Einstellungen!$C$3,3,1)),MIN(J617,DATE(Einstellungen!$C$3,4,0)),Einstellungen!$F$13:$F$32)))</f>
        <v/>
      </c>
      <c r="O617" s="49">
        <f>IF(OR(A617="",D617=""),0,MAX(0,NETWORKDAYS(MAX(D617,DATE(Einstellungen!$C$3,4,1)),MIN(J617,DATE(Einstellungen!$C$3,5,0)),Einstellungen!$F$13:$F$32)))</f>
        <v/>
      </c>
      <c r="P617" s="49">
        <f>IF(OR(A617="",D617=""),0,MAX(0,NETWORKDAYS(MAX(D617,DATE(Einstellungen!$C$3,5,1)),MIN(J617,DATE(Einstellungen!$C$3,6,0)),Einstellungen!$F$13:$F$32)))</f>
        <v/>
      </c>
      <c r="Q617" s="49">
        <f>IF(OR(A617="",D617=""),0,MAX(0,NETWORKDAYS(MAX(D617,DATE(Einstellungen!$C$3,6,1)),MIN(J617,DATE(Einstellungen!$C$3,7,0)),Einstellungen!$F$13:$F$32)))</f>
        <v/>
      </c>
      <c r="R617" s="49">
        <f>IF(OR(A617="",D617=""),0,MAX(0,NETWORKDAYS(MAX(D617,DATE(Einstellungen!$C$3,7,1)),MIN(J617,DATE(Einstellungen!$C$3,8,0)),Einstellungen!$F$13:$F$32)))</f>
        <v/>
      </c>
      <c r="S617" s="49">
        <f>IF(OR(A617="",D617=""),0,MAX(0,NETWORKDAYS(MAX(D617,DATE(Einstellungen!$C$3,8,1)),MIN(J617,DATE(Einstellungen!$C$3,9,0)),Einstellungen!$F$13:$F$32)))</f>
        <v/>
      </c>
      <c r="T617" s="49">
        <f>IF(OR(A617="",D617=""),0,MAX(0,NETWORKDAYS(MAX(D617,DATE(Einstellungen!$C$3,9,1)),MIN(J617,DATE(Einstellungen!$C$3,10,0)),Einstellungen!$F$13:$F$32)))</f>
        <v/>
      </c>
      <c r="U617" s="49">
        <f>IF(OR(A617="",D617=""),0,MAX(0,NETWORKDAYS(MAX(D617,DATE(Einstellungen!$C$3,10,1)),MIN(J617,DATE(Einstellungen!$C$3,11,0)),Einstellungen!$F$13:$F$32)))</f>
        <v/>
      </c>
      <c r="V617" s="49">
        <f>IF(OR(A617="",D617=""),0,MAX(0,NETWORKDAYS(MAX(D617,DATE(Einstellungen!$C$3,11,1)),MIN(J617,DATE(Einstellungen!$C$3,12,0)),Einstellungen!$F$13:$F$32)))</f>
        <v/>
      </c>
      <c r="W617" s="49">
        <f>IF(OR(A617="",D617=""),0,MAX(0,NETWORKDAYS(MAX(D617,DATE(Einstellungen!$C$3,12,1)),MIN(J617,DATE(Einstellungen!$C$3,13,0)),Einstellungen!$F$13:$F$32)))</f>
        <v/>
      </c>
      <c r="X617" s="50">
        <f>L617*K617</f>
        <v/>
      </c>
      <c r="Y617" s="50">
        <f>M617*K617</f>
        <v/>
      </c>
      <c r="Z617" s="50">
        <f>N617*K617</f>
        <v/>
      </c>
      <c r="AA617" s="50">
        <f>O617*K617</f>
        <v/>
      </c>
      <c r="AB617" s="50">
        <f>P617*K617</f>
        <v/>
      </c>
      <c r="AC617" s="50">
        <f>Q617*K617</f>
        <v/>
      </c>
      <c r="AD617" s="50">
        <f>R617*K617</f>
        <v/>
      </c>
      <c r="AE617" s="50">
        <f>S617*K617</f>
        <v/>
      </c>
      <c r="AF617" s="50">
        <f>T617*K617</f>
        <v/>
      </c>
      <c r="AG617" s="50">
        <f>U617*K617</f>
        <v/>
      </c>
      <c r="AH617" s="50">
        <f>V617*K617</f>
        <v/>
      </c>
      <c r="AI617" s="50">
        <f>W617*K617</f>
        <v/>
      </c>
    </row>
    <row r="618">
      <c r="A618" s="25" t="n"/>
      <c r="B618" s="45">
        <f>IF(A618="","",IFERROR(INDEX(Mitarbeiter!$B$6:$B$205,MATCH($A618,Mitarbeiter!$A$6:$A$205,0)),"?"))</f>
        <v/>
      </c>
      <c r="C618" s="46" t="n"/>
      <c r="D618" s="26" t="n"/>
      <c r="E618" s="26" t="n"/>
      <c r="F618" s="24">
        <f>IF(A618="","",SUM(L618:W618))</f>
        <v/>
      </c>
      <c r="G618" s="36">
        <f>IF(A618="","",SUM(X618:AI618))</f>
        <v/>
      </c>
      <c r="H618" s="8">
        <f>IF(A618="","",IF(ISNA(MATCH(A618,Mitarbeiter!$A$6:$A$205,0)),"Pers.-Nr. unbekannt",IF(D618="","Von fehlt",IF(AND(C618&lt;&gt;Einstellungen!$C$4,C618&lt;&gt;Einstellungen!$C$5),"Objekt fehlt",IF(J618&lt;D618,"Bis vor Von",IF(D618&lt;INDEX(Mitarbeiter!$C$6:$C$205,MATCH($A618,Mitarbeiter!$A$6:$A$205,0)),"vor Eintritt",IF(AND(INDEX(Mitarbeiter!$D$6:$D$205,MATCH($A618,Mitarbeiter!$A$6:$A$205,0))&lt;&gt;"",D618&gt;INDEX(Mitarbeiter!$D$6:$D$205,MATCH($A618,Mitarbeiter!$A$6:$A$205,0))),"nach Austritt",IF(E618="","offen","ok"))))))))</f>
        <v/>
      </c>
      <c r="J618" s="47">
        <f>IF(A618="","",IF(E618="",Einstellungen!$C$9,E618))</f>
        <v/>
      </c>
      <c r="K618" s="48">
        <f>IF(A618="",0,IFERROR(INDEX(Mitarbeiter!$F$6:$F$205,MATCH($A618,Mitarbeiter!$A$6:$A$205,0)),0))</f>
        <v/>
      </c>
      <c r="L618" s="49">
        <f>IF(OR(A618="",D618=""),0,MAX(0,NETWORKDAYS(MAX(D618,DATE(Einstellungen!$C$3,1,1)),MIN(J618,DATE(Einstellungen!$C$3,2,0)),Einstellungen!$F$13:$F$32)))</f>
        <v/>
      </c>
      <c r="M618" s="49">
        <f>IF(OR(A618="",D618=""),0,MAX(0,NETWORKDAYS(MAX(D618,DATE(Einstellungen!$C$3,2,1)),MIN(J618,DATE(Einstellungen!$C$3,3,0)),Einstellungen!$F$13:$F$32)))</f>
        <v/>
      </c>
      <c r="N618" s="49">
        <f>IF(OR(A618="",D618=""),0,MAX(0,NETWORKDAYS(MAX(D618,DATE(Einstellungen!$C$3,3,1)),MIN(J618,DATE(Einstellungen!$C$3,4,0)),Einstellungen!$F$13:$F$32)))</f>
        <v/>
      </c>
      <c r="O618" s="49">
        <f>IF(OR(A618="",D618=""),0,MAX(0,NETWORKDAYS(MAX(D618,DATE(Einstellungen!$C$3,4,1)),MIN(J618,DATE(Einstellungen!$C$3,5,0)),Einstellungen!$F$13:$F$32)))</f>
        <v/>
      </c>
      <c r="P618" s="49">
        <f>IF(OR(A618="",D618=""),0,MAX(0,NETWORKDAYS(MAX(D618,DATE(Einstellungen!$C$3,5,1)),MIN(J618,DATE(Einstellungen!$C$3,6,0)),Einstellungen!$F$13:$F$32)))</f>
        <v/>
      </c>
      <c r="Q618" s="49">
        <f>IF(OR(A618="",D618=""),0,MAX(0,NETWORKDAYS(MAX(D618,DATE(Einstellungen!$C$3,6,1)),MIN(J618,DATE(Einstellungen!$C$3,7,0)),Einstellungen!$F$13:$F$32)))</f>
        <v/>
      </c>
      <c r="R618" s="49">
        <f>IF(OR(A618="",D618=""),0,MAX(0,NETWORKDAYS(MAX(D618,DATE(Einstellungen!$C$3,7,1)),MIN(J618,DATE(Einstellungen!$C$3,8,0)),Einstellungen!$F$13:$F$32)))</f>
        <v/>
      </c>
      <c r="S618" s="49">
        <f>IF(OR(A618="",D618=""),0,MAX(0,NETWORKDAYS(MAX(D618,DATE(Einstellungen!$C$3,8,1)),MIN(J618,DATE(Einstellungen!$C$3,9,0)),Einstellungen!$F$13:$F$32)))</f>
        <v/>
      </c>
      <c r="T618" s="49">
        <f>IF(OR(A618="",D618=""),0,MAX(0,NETWORKDAYS(MAX(D618,DATE(Einstellungen!$C$3,9,1)),MIN(J618,DATE(Einstellungen!$C$3,10,0)),Einstellungen!$F$13:$F$32)))</f>
        <v/>
      </c>
      <c r="U618" s="49">
        <f>IF(OR(A618="",D618=""),0,MAX(0,NETWORKDAYS(MAX(D618,DATE(Einstellungen!$C$3,10,1)),MIN(J618,DATE(Einstellungen!$C$3,11,0)),Einstellungen!$F$13:$F$32)))</f>
        <v/>
      </c>
      <c r="V618" s="49">
        <f>IF(OR(A618="",D618=""),0,MAX(0,NETWORKDAYS(MAX(D618,DATE(Einstellungen!$C$3,11,1)),MIN(J618,DATE(Einstellungen!$C$3,12,0)),Einstellungen!$F$13:$F$32)))</f>
        <v/>
      </c>
      <c r="W618" s="49">
        <f>IF(OR(A618="",D618=""),0,MAX(0,NETWORKDAYS(MAX(D618,DATE(Einstellungen!$C$3,12,1)),MIN(J618,DATE(Einstellungen!$C$3,13,0)),Einstellungen!$F$13:$F$32)))</f>
        <v/>
      </c>
      <c r="X618" s="50">
        <f>L618*K618</f>
        <v/>
      </c>
      <c r="Y618" s="50">
        <f>M618*K618</f>
        <v/>
      </c>
      <c r="Z618" s="50">
        <f>N618*K618</f>
        <v/>
      </c>
      <c r="AA618" s="50">
        <f>O618*K618</f>
        <v/>
      </c>
      <c r="AB618" s="50">
        <f>P618*K618</f>
        <v/>
      </c>
      <c r="AC618" s="50">
        <f>Q618*K618</f>
        <v/>
      </c>
      <c r="AD618" s="50">
        <f>R618*K618</f>
        <v/>
      </c>
      <c r="AE618" s="50">
        <f>S618*K618</f>
        <v/>
      </c>
      <c r="AF618" s="50">
        <f>T618*K618</f>
        <v/>
      </c>
      <c r="AG618" s="50">
        <f>U618*K618</f>
        <v/>
      </c>
      <c r="AH618" s="50">
        <f>V618*K618</f>
        <v/>
      </c>
      <c r="AI618" s="50">
        <f>W618*K618</f>
        <v/>
      </c>
    </row>
    <row r="619">
      <c r="A619" s="25" t="n"/>
      <c r="B619" s="45">
        <f>IF(A619="","",IFERROR(INDEX(Mitarbeiter!$B$6:$B$205,MATCH($A619,Mitarbeiter!$A$6:$A$205,0)),"?"))</f>
        <v/>
      </c>
      <c r="C619" s="46" t="n"/>
      <c r="D619" s="26" t="n"/>
      <c r="E619" s="26" t="n"/>
      <c r="F619" s="24">
        <f>IF(A619="","",SUM(L619:W619))</f>
        <v/>
      </c>
      <c r="G619" s="36">
        <f>IF(A619="","",SUM(X619:AI619))</f>
        <v/>
      </c>
      <c r="H619" s="8">
        <f>IF(A619="","",IF(ISNA(MATCH(A619,Mitarbeiter!$A$6:$A$205,0)),"Pers.-Nr. unbekannt",IF(D619="","Von fehlt",IF(AND(C619&lt;&gt;Einstellungen!$C$4,C619&lt;&gt;Einstellungen!$C$5),"Objekt fehlt",IF(J619&lt;D619,"Bis vor Von",IF(D619&lt;INDEX(Mitarbeiter!$C$6:$C$205,MATCH($A619,Mitarbeiter!$A$6:$A$205,0)),"vor Eintritt",IF(AND(INDEX(Mitarbeiter!$D$6:$D$205,MATCH($A619,Mitarbeiter!$A$6:$A$205,0))&lt;&gt;"",D619&gt;INDEX(Mitarbeiter!$D$6:$D$205,MATCH($A619,Mitarbeiter!$A$6:$A$205,0))),"nach Austritt",IF(E619="","offen","ok"))))))))</f>
        <v/>
      </c>
      <c r="J619" s="47">
        <f>IF(A619="","",IF(E619="",Einstellungen!$C$9,E619))</f>
        <v/>
      </c>
      <c r="K619" s="48">
        <f>IF(A619="",0,IFERROR(INDEX(Mitarbeiter!$F$6:$F$205,MATCH($A619,Mitarbeiter!$A$6:$A$205,0)),0))</f>
        <v/>
      </c>
      <c r="L619" s="49">
        <f>IF(OR(A619="",D619=""),0,MAX(0,NETWORKDAYS(MAX(D619,DATE(Einstellungen!$C$3,1,1)),MIN(J619,DATE(Einstellungen!$C$3,2,0)),Einstellungen!$F$13:$F$32)))</f>
        <v/>
      </c>
      <c r="M619" s="49">
        <f>IF(OR(A619="",D619=""),0,MAX(0,NETWORKDAYS(MAX(D619,DATE(Einstellungen!$C$3,2,1)),MIN(J619,DATE(Einstellungen!$C$3,3,0)),Einstellungen!$F$13:$F$32)))</f>
        <v/>
      </c>
      <c r="N619" s="49">
        <f>IF(OR(A619="",D619=""),0,MAX(0,NETWORKDAYS(MAX(D619,DATE(Einstellungen!$C$3,3,1)),MIN(J619,DATE(Einstellungen!$C$3,4,0)),Einstellungen!$F$13:$F$32)))</f>
        <v/>
      </c>
      <c r="O619" s="49">
        <f>IF(OR(A619="",D619=""),0,MAX(0,NETWORKDAYS(MAX(D619,DATE(Einstellungen!$C$3,4,1)),MIN(J619,DATE(Einstellungen!$C$3,5,0)),Einstellungen!$F$13:$F$32)))</f>
        <v/>
      </c>
      <c r="P619" s="49">
        <f>IF(OR(A619="",D619=""),0,MAX(0,NETWORKDAYS(MAX(D619,DATE(Einstellungen!$C$3,5,1)),MIN(J619,DATE(Einstellungen!$C$3,6,0)),Einstellungen!$F$13:$F$32)))</f>
        <v/>
      </c>
      <c r="Q619" s="49">
        <f>IF(OR(A619="",D619=""),0,MAX(0,NETWORKDAYS(MAX(D619,DATE(Einstellungen!$C$3,6,1)),MIN(J619,DATE(Einstellungen!$C$3,7,0)),Einstellungen!$F$13:$F$32)))</f>
        <v/>
      </c>
      <c r="R619" s="49">
        <f>IF(OR(A619="",D619=""),0,MAX(0,NETWORKDAYS(MAX(D619,DATE(Einstellungen!$C$3,7,1)),MIN(J619,DATE(Einstellungen!$C$3,8,0)),Einstellungen!$F$13:$F$32)))</f>
        <v/>
      </c>
      <c r="S619" s="49">
        <f>IF(OR(A619="",D619=""),0,MAX(0,NETWORKDAYS(MAX(D619,DATE(Einstellungen!$C$3,8,1)),MIN(J619,DATE(Einstellungen!$C$3,9,0)),Einstellungen!$F$13:$F$32)))</f>
        <v/>
      </c>
      <c r="T619" s="49">
        <f>IF(OR(A619="",D619=""),0,MAX(0,NETWORKDAYS(MAX(D619,DATE(Einstellungen!$C$3,9,1)),MIN(J619,DATE(Einstellungen!$C$3,10,0)),Einstellungen!$F$13:$F$32)))</f>
        <v/>
      </c>
      <c r="U619" s="49">
        <f>IF(OR(A619="",D619=""),0,MAX(0,NETWORKDAYS(MAX(D619,DATE(Einstellungen!$C$3,10,1)),MIN(J619,DATE(Einstellungen!$C$3,11,0)),Einstellungen!$F$13:$F$32)))</f>
        <v/>
      </c>
      <c r="V619" s="49">
        <f>IF(OR(A619="",D619=""),0,MAX(0,NETWORKDAYS(MAX(D619,DATE(Einstellungen!$C$3,11,1)),MIN(J619,DATE(Einstellungen!$C$3,12,0)),Einstellungen!$F$13:$F$32)))</f>
        <v/>
      </c>
      <c r="W619" s="49">
        <f>IF(OR(A619="",D619=""),0,MAX(0,NETWORKDAYS(MAX(D619,DATE(Einstellungen!$C$3,12,1)),MIN(J619,DATE(Einstellungen!$C$3,13,0)),Einstellungen!$F$13:$F$32)))</f>
        <v/>
      </c>
      <c r="X619" s="50">
        <f>L619*K619</f>
        <v/>
      </c>
      <c r="Y619" s="50">
        <f>M619*K619</f>
        <v/>
      </c>
      <c r="Z619" s="50">
        <f>N619*K619</f>
        <v/>
      </c>
      <c r="AA619" s="50">
        <f>O619*K619</f>
        <v/>
      </c>
      <c r="AB619" s="50">
        <f>P619*K619</f>
        <v/>
      </c>
      <c r="AC619" s="50">
        <f>Q619*K619</f>
        <v/>
      </c>
      <c r="AD619" s="50">
        <f>R619*K619</f>
        <v/>
      </c>
      <c r="AE619" s="50">
        <f>S619*K619</f>
        <v/>
      </c>
      <c r="AF619" s="50">
        <f>T619*K619</f>
        <v/>
      </c>
      <c r="AG619" s="50">
        <f>U619*K619</f>
        <v/>
      </c>
      <c r="AH619" s="50">
        <f>V619*K619</f>
        <v/>
      </c>
      <c r="AI619" s="50">
        <f>W619*K619</f>
        <v/>
      </c>
    </row>
    <row r="620">
      <c r="A620" s="25" t="n"/>
      <c r="B620" s="45">
        <f>IF(A620="","",IFERROR(INDEX(Mitarbeiter!$B$6:$B$205,MATCH($A620,Mitarbeiter!$A$6:$A$205,0)),"?"))</f>
        <v/>
      </c>
      <c r="C620" s="46" t="n"/>
      <c r="D620" s="26" t="n"/>
      <c r="E620" s="26" t="n"/>
      <c r="F620" s="24">
        <f>IF(A620="","",SUM(L620:W620))</f>
        <v/>
      </c>
      <c r="G620" s="36">
        <f>IF(A620="","",SUM(X620:AI620))</f>
        <v/>
      </c>
      <c r="H620" s="8">
        <f>IF(A620="","",IF(ISNA(MATCH(A620,Mitarbeiter!$A$6:$A$205,0)),"Pers.-Nr. unbekannt",IF(D620="","Von fehlt",IF(AND(C620&lt;&gt;Einstellungen!$C$4,C620&lt;&gt;Einstellungen!$C$5),"Objekt fehlt",IF(J620&lt;D620,"Bis vor Von",IF(D620&lt;INDEX(Mitarbeiter!$C$6:$C$205,MATCH($A620,Mitarbeiter!$A$6:$A$205,0)),"vor Eintritt",IF(AND(INDEX(Mitarbeiter!$D$6:$D$205,MATCH($A620,Mitarbeiter!$A$6:$A$205,0))&lt;&gt;"",D620&gt;INDEX(Mitarbeiter!$D$6:$D$205,MATCH($A620,Mitarbeiter!$A$6:$A$205,0))),"nach Austritt",IF(E620="","offen","ok"))))))))</f>
        <v/>
      </c>
      <c r="J620" s="47">
        <f>IF(A620="","",IF(E620="",Einstellungen!$C$9,E620))</f>
        <v/>
      </c>
      <c r="K620" s="48">
        <f>IF(A620="",0,IFERROR(INDEX(Mitarbeiter!$F$6:$F$205,MATCH($A620,Mitarbeiter!$A$6:$A$205,0)),0))</f>
        <v/>
      </c>
      <c r="L620" s="49">
        <f>IF(OR(A620="",D620=""),0,MAX(0,NETWORKDAYS(MAX(D620,DATE(Einstellungen!$C$3,1,1)),MIN(J620,DATE(Einstellungen!$C$3,2,0)),Einstellungen!$F$13:$F$32)))</f>
        <v/>
      </c>
      <c r="M620" s="49">
        <f>IF(OR(A620="",D620=""),0,MAX(0,NETWORKDAYS(MAX(D620,DATE(Einstellungen!$C$3,2,1)),MIN(J620,DATE(Einstellungen!$C$3,3,0)),Einstellungen!$F$13:$F$32)))</f>
        <v/>
      </c>
      <c r="N620" s="49">
        <f>IF(OR(A620="",D620=""),0,MAX(0,NETWORKDAYS(MAX(D620,DATE(Einstellungen!$C$3,3,1)),MIN(J620,DATE(Einstellungen!$C$3,4,0)),Einstellungen!$F$13:$F$32)))</f>
        <v/>
      </c>
      <c r="O620" s="49">
        <f>IF(OR(A620="",D620=""),0,MAX(0,NETWORKDAYS(MAX(D620,DATE(Einstellungen!$C$3,4,1)),MIN(J620,DATE(Einstellungen!$C$3,5,0)),Einstellungen!$F$13:$F$32)))</f>
        <v/>
      </c>
      <c r="P620" s="49">
        <f>IF(OR(A620="",D620=""),0,MAX(0,NETWORKDAYS(MAX(D620,DATE(Einstellungen!$C$3,5,1)),MIN(J620,DATE(Einstellungen!$C$3,6,0)),Einstellungen!$F$13:$F$32)))</f>
        <v/>
      </c>
      <c r="Q620" s="49">
        <f>IF(OR(A620="",D620=""),0,MAX(0,NETWORKDAYS(MAX(D620,DATE(Einstellungen!$C$3,6,1)),MIN(J620,DATE(Einstellungen!$C$3,7,0)),Einstellungen!$F$13:$F$32)))</f>
        <v/>
      </c>
      <c r="R620" s="49">
        <f>IF(OR(A620="",D620=""),0,MAX(0,NETWORKDAYS(MAX(D620,DATE(Einstellungen!$C$3,7,1)),MIN(J620,DATE(Einstellungen!$C$3,8,0)),Einstellungen!$F$13:$F$32)))</f>
        <v/>
      </c>
      <c r="S620" s="49">
        <f>IF(OR(A620="",D620=""),0,MAX(0,NETWORKDAYS(MAX(D620,DATE(Einstellungen!$C$3,8,1)),MIN(J620,DATE(Einstellungen!$C$3,9,0)),Einstellungen!$F$13:$F$32)))</f>
        <v/>
      </c>
      <c r="T620" s="49">
        <f>IF(OR(A620="",D620=""),0,MAX(0,NETWORKDAYS(MAX(D620,DATE(Einstellungen!$C$3,9,1)),MIN(J620,DATE(Einstellungen!$C$3,10,0)),Einstellungen!$F$13:$F$32)))</f>
        <v/>
      </c>
      <c r="U620" s="49">
        <f>IF(OR(A620="",D620=""),0,MAX(0,NETWORKDAYS(MAX(D620,DATE(Einstellungen!$C$3,10,1)),MIN(J620,DATE(Einstellungen!$C$3,11,0)),Einstellungen!$F$13:$F$32)))</f>
        <v/>
      </c>
      <c r="V620" s="49">
        <f>IF(OR(A620="",D620=""),0,MAX(0,NETWORKDAYS(MAX(D620,DATE(Einstellungen!$C$3,11,1)),MIN(J620,DATE(Einstellungen!$C$3,12,0)),Einstellungen!$F$13:$F$32)))</f>
        <v/>
      </c>
      <c r="W620" s="49">
        <f>IF(OR(A620="",D620=""),0,MAX(0,NETWORKDAYS(MAX(D620,DATE(Einstellungen!$C$3,12,1)),MIN(J620,DATE(Einstellungen!$C$3,13,0)),Einstellungen!$F$13:$F$32)))</f>
        <v/>
      </c>
      <c r="X620" s="50">
        <f>L620*K620</f>
        <v/>
      </c>
      <c r="Y620" s="50">
        <f>M620*K620</f>
        <v/>
      </c>
      <c r="Z620" s="50">
        <f>N620*K620</f>
        <v/>
      </c>
      <c r="AA620" s="50">
        <f>O620*K620</f>
        <v/>
      </c>
      <c r="AB620" s="50">
        <f>P620*K620</f>
        <v/>
      </c>
      <c r="AC620" s="50">
        <f>Q620*K620</f>
        <v/>
      </c>
      <c r="AD620" s="50">
        <f>R620*K620</f>
        <v/>
      </c>
      <c r="AE620" s="50">
        <f>S620*K620</f>
        <v/>
      </c>
      <c r="AF620" s="50">
        <f>T620*K620</f>
        <v/>
      </c>
      <c r="AG620" s="50">
        <f>U620*K620</f>
        <v/>
      </c>
      <c r="AH620" s="50">
        <f>V620*K620</f>
        <v/>
      </c>
      <c r="AI620" s="50">
        <f>W620*K620</f>
        <v/>
      </c>
    </row>
    <row r="621">
      <c r="A621" s="25" t="n"/>
      <c r="B621" s="45">
        <f>IF(A621="","",IFERROR(INDEX(Mitarbeiter!$B$6:$B$205,MATCH($A621,Mitarbeiter!$A$6:$A$205,0)),"?"))</f>
        <v/>
      </c>
      <c r="C621" s="46" t="n"/>
      <c r="D621" s="26" t="n"/>
      <c r="E621" s="26" t="n"/>
      <c r="F621" s="24">
        <f>IF(A621="","",SUM(L621:W621))</f>
        <v/>
      </c>
      <c r="G621" s="36">
        <f>IF(A621="","",SUM(X621:AI621))</f>
        <v/>
      </c>
      <c r="H621" s="8">
        <f>IF(A621="","",IF(ISNA(MATCH(A621,Mitarbeiter!$A$6:$A$205,0)),"Pers.-Nr. unbekannt",IF(D621="","Von fehlt",IF(AND(C621&lt;&gt;Einstellungen!$C$4,C621&lt;&gt;Einstellungen!$C$5),"Objekt fehlt",IF(J621&lt;D621,"Bis vor Von",IF(D621&lt;INDEX(Mitarbeiter!$C$6:$C$205,MATCH($A621,Mitarbeiter!$A$6:$A$205,0)),"vor Eintritt",IF(AND(INDEX(Mitarbeiter!$D$6:$D$205,MATCH($A621,Mitarbeiter!$A$6:$A$205,0))&lt;&gt;"",D621&gt;INDEX(Mitarbeiter!$D$6:$D$205,MATCH($A621,Mitarbeiter!$A$6:$A$205,0))),"nach Austritt",IF(E621="","offen","ok"))))))))</f>
        <v/>
      </c>
      <c r="J621" s="47">
        <f>IF(A621="","",IF(E621="",Einstellungen!$C$9,E621))</f>
        <v/>
      </c>
      <c r="K621" s="48">
        <f>IF(A621="",0,IFERROR(INDEX(Mitarbeiter!$F$6:$F$205,MATCH($A621,Mitarbeiter!$A$6:$A$205,0)),0))</f>
        <v/>
      </c>
      <c r="L621" s="49">
        <f>IF(OR(A621="",D621=""),0,MAX(0,NETWORKDAYS(MAX(D621,DATE(Einstellungen!$C$3,1,1)),MIN(J621,DATE(Einstellungen!$C$3,2,0)),Einstellungen!$F$13:$F$32)))</f>
        <v/>
      </c>
      <c r="M621" s="49">
        <f>IF(OR(A621="",D621=""),0,MAX(0,NETWORKDAYS(MAX(D621,DATE(Einstellungen!$C$3,2,1)),MIN(J621,DATE(Einstellungen!$C$3,3,0)),Einstellungen!$F$13:$F$32)))</f>
        <v/>
      </c>
      <c r="N621" s="49">
        <f>IF(OR(A621="",D621=""),0,MAX(0,NETWORKDAYS(MAX(D621,DATE(Einstellungen!$C$3,3,1)),MIN(J621,DATE(Einstellungen!$C$3,4,0)),Einstellungen!$F$13:$F$32)))</f>
        <v/>
      </c>
      <c r="O621" s="49">
        <f>IF(OR(A621="",D621=""),0,MAX(0,NETWORKDAYS(MAX(D621,DATE(Einstellungen!$C$3,4,1)),MIN(J621,DATE(Einstellungen!$C$3,5,0)),Einstellungen!$F$13:$F$32)))</f>
        <v/>
      </c>
      <c r="P621" s="49">
        <f>IF(OR(A621="",D621=""),0,MAX(0,NETWORKDAYS(MAX(D621,DATE(Einstellungen!$C$3,5,1)),MIN(J621,DATE(Einstellungen!$C$3,6,0)),Einstellungen!$F$13:$F$32)))</f>
        <v/>
      </c>
      <c r="Q621" s="49">
        <f>IF(OR(A621="",D621=""),0,MAX(0,NETWORKDAYS(MAX(D621,DATE(Einstellungen!$C$3,6,1)),MIN(J621,DATE(Einstellungen!$C$3,7,0)),Einstellungen!$F$13:$F$32)))</f>
        <v/>
      </c>
      <c r="R621" s="49">
        <f>IF(OR(A621="",D621=""),0,MAX(0,NETWORKDAYS(MAX(D621,DATE(Einstellungen!$C$3,7,1)),MIN(J621,DATE(Einstellungen!$C$3,8,0)),Einstellungen!$F$13:$F$32)))</f>
        <v/>
      </c>
      <c r="S621" s="49">
        <f>IF(OR(A621="",D621=""),0,MAX(0,NETWORKDAYS(MAX(D621,DATE(Einstellungen!$C$3,8,1)),MIN(J621,DATE(Einstellungen!$C$3,9,0)),Einstellungen!$F$13:$F$32)))</f>
        <v/>
      </c>
      <c r="T621" s="49">
        <f>IF(OR(A621="",D621=""),0,MAX(0,NETWORKDAYS(MAX(D621,DATE(Einstellungen!$C$3,9,1)),MIN(J621,DATE(Einstellungen!$C$3,10,0)),Einstellungen!$F$13:$F$32)))</f>
        <v/>
      </c>
      <c r="U621" s="49">
        <f>IF(OR(A621="",D621=""),0,MAX(0,NETWORKDAYS(MAX(D621,DATE(Einstellungen!$C$3,10,1)),MIN(J621,DATE(Einstellungen!$C$3,11,0)),Einstellungen!$F$13:$F$32)))</f>
        <v/>
      </c>
      <c r="V621" s="49">
        <f>IF(OR(A621="",D621=""),0,MAX(0,NETWORKDAYS(MAX(D621,DATE(Einstellungen!$C$3,11,1)),MIN(J621,DATE(Einstellungen!$C$3,12,0)),Einstellungen!$F$13:$F$32)))</f>
        <v/>
      </c>
      <c r="W621" s="49">
        <f>IF(OR(A621="",D621=""),0,MAX(0,NETWORKDAYS(MAX(D621,DATE(Einstellungen!$C$3,12,1)),MIN(J621,DATE(Einstellungen!$C$3,13,0)),Einstellungen!$F$13:$F$32)))</f>
        <v/>
      </c>
      <c r="X621" s="50">
        <f>L621*K621</f>
        <v/>
      </c>
      <c r="Y621" s="50">
        <f>M621*K621</f>
        <v/>
      </c>
      <c r="Z621" s="50">
        <f>N621*K621</f>
        <v/>
      </c>
      <c r="AA621" s="50">
        <f>O621*K621</f>
        <v/>
      </c>
      <c r="AB621" s="50">
        <f>P621*K621</f>
        <v/>
      </c>
      <c r="AC621" s="50">
        <f>Q621*K621</f>
        <v/>
      </c>
      <c r="AD621" s="50">
        <f>R621*K621</f>
        <v/>
      </c>
      <c r="AE621" s="50">
        <f>S621*K621</f>
        <v/>
      </c>
      <c r="AF621" s="50">
        <f>T621*K621</f>
        <v/>
      </c>
      <c r="AG621" s="50">
        <f>U621*K621</f>
        <v/>
      </c>
      <c r="AH621" s="50">
        <f>V621*K621</f>
        <v/>
      </c>
      <c r="AI621" s="50">
        <f>W621*K621</f>
        <v/>
      </c>
    </row>
    <row r="622">
      <c r="A622" s="25" t="n"/>
      <c r="B622" s="45">
        <f>IF(A622="","",IFERROR(INDEX(Mitarbeiter!$B$6:$B$205,MATCH($A622,Mitarbeiter!$A$6:$A$205,0)),"?"))</f>
        <v/>
      </c>
      <c r="C622" s="46" t="n"/>
      <c r="D622" s="26" t="n"/>
      <c r="E622" s="26" t="n"/>
      <c r="F622" s="24">
        <f>IF(A622="","",SUM(L622:W622))</f>
        <v/>
      </c>
      <c r="G622" s="36">
        <f>IF(A622="","",SUM(X622:AI622))</f>
        <v/>
      </c>
      <c r="H622" s="8">
        <f>IF(A622="","",IF(ISNA(MATCH(A622,Mitarbeiter!$A$6:$A$205,0)),"Pers.-Nr. unbekannt",IF(D622="","Von fehlt",IF(AND(C622&lt;&gt;Einstellungen!$C$4,C622&lt;&gt;Einstellungen!$C$5),"Objekt fehlt",IF(J622&lt;D622,"Bis vor Von",IF(D622&lt;INDEX(Mitarbeiter!$C$6:$C$205,MATCH($A622,Mitarbeiter!$A$6:$A$205,0)),"vor Eintritt",IF(AND(INDEX(Mitarbeiter!$D$6:$D$205,MATCH($A622,Mitarbeiter!$A$6:$A$205,0))&lt;&gt;"",D622&gt;INDEX(Mitarbeiter!$D$6:$D$205,MATCH($A622,Mitarbeiter!$A$6:$A$205,0))),"nach Austritt",IF(E622="","offen","ok"))))))))</f>
        <v/>
      </c>
      <c r="J622" s="47">
        <f>IF(A622="","",IF(E622="",Einstellungen!$C$9,E622))</f>
        <v/>
      </c>
      <c r="K622" s="48">
        <f>IF(A622="",0,IFERROR(INDEX(Mitarbeiter!$F$6:$F$205,MATCH($A622,Mitarbeiter!$A$6:$A$205,0)),0))</f>
        <v/>
      </c>
      <c r="L622" s="49">
        <f>IF(OR(A622="",D622=""),0,MAX(0,NETWORKDAYS(MAX(D622,DATE(Einstellungen!$C$3,1,1)),MIN(J622,DATE(Einstellungen!$C$3,2,0)),Einstellungen!$F$13:$F$32)))</f>
        <v/>
      </c>
      <c r="M622" s="49">
        <f>IF(OR(A622="",D622=""),0,MAX(0,NETWORKDAYS(MAX(D622,DATE(Einstellungen!$C$3,2,1)),MIN(J622,DATE(Einstellungen!$C$3,3,0)),Einstellungen!$F$13:$F$32)))</f>
        <v/>
      </c>
      <c r="N622" s="49">
        <f>IF(OR(A622="",D622=""),0,MAX(0,NETWORKDAYS(MAX(D622,DATE(Einstellungen!$C$3,3,1)),MIN(J622,DATE(Einstellungen!$C$3,4,0)),Einstellungen!$F$13:$F$32)))</f>
        <v/>
      </c>
      <c r="O622" s="49">
        <f>IF(OR(A622="",D622=""),0,MAX(0,NETWORKDAYS(MAX(D622,DATE(Einstellungen!$C$3,4,1)),MIN(J622,DATE(Einstellungen!$C$3,5,0)),Einstellungen!$F$13:$F$32)))</f>
        <v/>
      </c>
      <c r="P622" s="49">
        <f>IF(OR(A622="",D622=""),0,MAX(0,NETWORKDAYS(MAX(D622,DATE(Einstellungen!$C$3,5,1)),MIN(J622,DATE(Einstellungen!$C$3,6,0)),Einstellungen!$F$13:$F$32)))</f>
        <v/>
      </c>
      <c r="Q622" s="49">
        <f>IF(OR(A622="",D622=""),0,MAX(0,NETWORKDAYS(MAX(D622,DATE(Einstellungen!$C$3,6,1)),MIN(J622,DATE(Einstellungen!$C$3,7,0)),Einstellungen!$F$13:$F$32)))</f>
        <v/>
      </c>
      <c r="R622" s="49">
        <f>IF(OR(A622="",D622=""),0,MAX(0,NETWORKDAYS(MAX(D622,DATE(Einstellungen!$C$3,7,1)),MIN(J622,DATE(Einstellungen!$C$3,8,0)),Einstellungen!$F$13:$F$32)))</f>
        <v/>
      </c>
      <c r="S622" s="49">
        <f>IF(OR(A622="",D622=""),0,MAX(0,NETWORKDAYS(MAX(D622,DATE(Einstellungen!$C$3,8,1)),MIN(J622,DATE(Einstellungen!$C$3,9,0)),Einstellungen!$F$13:$F$32)))</f>
        <v/>
      </c>
      <c r="T622" s="49">
        <f>IF(OR(A622="",D622=""),0,MAX(0,NETWORKDAYS(MAX(D622,DATE(Einstellungen!$C$3,9,1)),MIN(J622,DATE(Einstellungen!$C$3,10,0)),Einstellungen!$F$13:$F$32)))</f>
        <v/>
      </c>
      <c r="U622" s="49">
        <f>IF(OR(A622="",D622=""),0,MAX(0,NETWORKDAYS(MAX(D622,DATE(Einstellungen!$C$3,10,1)),MIN(J622,DATE(Einstellungen!$C$3,11,0)),Einstellungen!$F$13:$F$32)))</f>
        <v/>
      </c>
      <c r="V622" s="49">
        <f>IF(OR(A622="",D622=""),0,MAX(0,NETWORKDAYS(MAX(D622,DATE(Einstellungen!$C$3,11,1)),MIN(J622,DATE(Einstellungen!$C$3,12,0)),Einstellungen!$F$13:$F$32)))</f>
        <v/>
      </c>
      <c r="W622" s="49">
        <f>IF(OR(A622="",D622=""),0,MAX(0,NETWORKDAYS(MAX(D622,DATE(Einstellungen!$C$3,12,1)),MIN(J622,DATE(Einstellungen!$C$3,13,0)),Einstellungen!$F$13:$F$32)))</f>
        <v/>
      </c>
      <c r="X622" s="50">
        <f>L622*K622</f>
        <v/>
      </c>
      <c r="Y622" s="50">
        <f>M622*K622</f>
        <v/>
      </c>
      <c r="Z622" s="50">
        <f>N622*K622</f>
        <v/>
      </c>
      <c r="AA622" s="50">
        <f>O622*K622</f>
        <v/>
      </c>
      <c r="AB622" s="50">
        <f>P622*K622</f>
        <v/>
      </c>
      <c r="AC622" s="50">
        <f>Q622*K622</f>
        <v/>
      </c>
      <c r="AD622" s="50">
        <f>R622*K622</f>
        <v/>
      </c>
      <c r="AE622" s="50">
        <f>S622*K622</f>
        <v/>
      </c>
      <c r="AF622" s="50">
        <f>T622*K622</f>
        <v/>
      </c>
      <c r="AG622" s="50">
        <f>U622*K622</f>
        <v/>
      </c>
      <c r="AH622" s="50">
        <f>V622*K622</f>
        <v/>
      </c>
      <c r="AI622" s="50">
        <f>W622*K622</f>
        <v/>
      </c>
    </row>
    <row r="623">
      <c r="A623" s="25" t="n"/>
      <c r="B623" s="45">
        <f>IF(A623="","",IFERROR(INDEX(Mitarbeiter!$B$6:$B$205,MATCH($A623,Mitarbeiter!$A$6:$A$205,0)),"?"))</f>
        <v/>
      </c>
      <c r="C623" s="46" t="n"/>
      <c r="D623" s="26" t="n"/>
      <c r="E623" s="26" t="n"/>
      <c r="F623" s="24">
        <f>IF(A623="","",SUM(L623:W623))</f>
        <v/>
      </c>
      <c r="G623" s="36">
        <f>IF(A623="","",SUM(X623:AI623))</f>
        <v/>
      </c>
      <c r="H623" s="8">
        <f>IF(A623="","",IF(ISNA(MATCH(A623,Mitarbeiter!$A$6:$A$205,0)),"Pers.-Nr. unbekannt",IF(D623="","Von fehlt",IF(AND(C623&lt;&gt;Einstellungen!$C$4,C623&lt;&gt;Einstellungen!$C$5),"Objekt fehlt",IF(J623&lt;D623,"Bis vor Von",IF(D623&lt;INDEX(Mitarbeiter!$C$6:$C$205,MATCH($A623,Mitarbeiter!$A$6:$A$205,0)),"vor Eintritt",IF(AND(INDEX(Mitarbeiter!$D$6:$D$205,MATCH($A623,Mitarbeiter!$A$6:$A$205,0))&lt;&gt;"",D623&gt;INDEX(Mitarbeiter!$D$6:$D$205,MATCH($A623,Mitarbeiter!$A$6:$A$205,0))),"nach Austritt",IF(E623="","offen","ok"))))))))</f>
        <v/>
      </c>
      <c r="J623" s="47">
        <f>IF(A623="","",IF(E623="",Einstellungen!$C$9,E623))</f>
        <v/>
      </c>
      <c r="K623" s="48">
        <f>IF(A623="",0,IFERROR(INDEX(Mitarbeiter!$F$6:$F$205,MATCH($A623,Mitarbeiter!$A$6:$A$205,0)),0))</f>
        <v/>
      </c>
      <c r="L623" s="49">
        <f>IF(OR(A623="",D623=""),0,MAX(0,NETWORKDAYS(MAX(D623,DATE(Einstellungen!$C$3,1,1)),MIN(J623,DATE(Einstellungen!$C$3,2,0)),Einstellungen!$F$13:$F$32)))</f>
        <v/>
      </c>
      <c r="M623" s="49">
        <f>IF(OR(A623="",D623=""),0,MAX(0,NETWORKDAYS(MAX(D623,DATE(Einstellungen!$C$3,2,1)),MIN(J623,DATE(Einstellungen!$C$3,3,0)),Einstellungen!$F$13:$F$32)))</f>
        <v/>
      </c>
      <c r="N623" s="49">
        <f>IF(OR(A623="",D623=""),0,MAX(0,NETWORKDAYS(MAX(D623,DATE(Einstellungen!$C$3,3,1)),MIN(J623,DATE(Einstellungen!$C$3,4,0)),Einstellungen!$F$13:$F$32)))</f>
        <v/>
      </c>
      <c r="O623" s="49">
        <f>IF(OR(A623="",D623=""),0,MAX(0,NETWORKDAYS(MAX(D623,DATE(Einstellungen!$C$3,4,1)),MIN(J623,DATE(Einstellungen!$C$3,5,0)),Einstellungen!$F$13:$F$32)))</f>
        <v/>
      </c>
      <c r="P623" s="49">
        <f>IF(OR(A623="",D623=""),0,MAX(0,NETWORKDAYS(MAX(D623,DATE(Einstellungen!$C$3,5,1)),MIN(J623,DATE(Einstellungen!$C$3,6,0)),Einstellungen!$F$13:$F$32)))</f>
        <v/>
      </c>
      <c r="Q623" s="49">
        <f>IF(OR(A623="",D623=""),0,MAX(0,NETWORKDAYS(MAX(D623,DATE(Einstellungen!$C$3,6,1)),MIN(J623,DATE(Einstellungen!$C$3,7,0)),Einstellungen!$F$13:$F$32)))</f>
        <v/>
      </c>
      <c r="R623" s="49">
        <f>IF(OR(A623="",D623=""),0,MAX(0,NETWORKDAYS(MAX(D623,DATE(Einstellungen!$C$3,7,1)),MIN(J623,DATE(Einstellungen!$C$3,8,0)),Einstellungen!$F$13:$F$32)))</f>
        <v/>
      </c>
      <c r="S623" s="49">
        <f>IF(OR(A623="",D623=""),0,MAX(0,NETWORKDAYS(MAX(D623,DATE(Einstellungen!$C$3,8,1)),MIN(J623,DATE(Einstellungen!$C$3,9,0)),Einstellungen!$F$13:$F$32)))</f>
        <v/>
      </c>
      <c r="T623" s="49">
        <f>IF(OR(A623="",D623=""),0,MAX(0,NETWORKDAYS(MAX(D623,DATE(Einstellungen!$C$3,9,1)),MIN(J623,DATE(Einstellungen!$C$3,10,0)),Einstellungen!$F$13:$F$32)))</f>
        <v/>
      </c>
      <c r="U623" s="49">
        <f>IF(OR(A623="",D623=""),0,MAX(0,NETWORKDAYS(MAX(D623,DATE(Einstellungen!$C$3,10,1)),MIN(J623,DATE(Einstellungen!$C$3,11,0)),Einstellungen!$F$13:$F$32)))</f>
        <v/>
      </c>
      <c r="V623" s="49">
        <f>IF(OR(A623="",D623=""),0,MAX(0,NETWORKDAYS(MAX(D623,DATE(Einstellungen!$C$3,11,1)),MIN(J623,DATE(Einstellungen!$C$3,12,0)),Einstellungen!$F$13:$F$32)))</f>
        <v/>
      </c>
      <c r="W623" s="49">
        <f>IF(OR(A623="",D623=""),0,MAX(0,NETWORKDAYS(MAX(D623,DATE(Einstellungen!$C$3,12,1)),MIN(J623,DATE(Einstellungen!$C$3,13,0)),Einstellungen!$F$13:$F$32)))</f>
        <v/>
      </c>
      <c r="X623" s="50">
        <f>L623*K623</f>
        <v/>
      </c>
      <c r="Y623" s="50">
        <f>M623*K623</f>
        <v/>
      </c>
      <c r="Z623" s="50">
        <f>N623*K623</f>
        <v/>
      </c>
      <c r="AA623" s="50">
        <f>O623*K623</f>
        <v/>
      </c>
      <c r="AB623" s="50">
        <f>P623*K623</f>
        <v/>
      </c>
      <c r="AC623" s="50">
        <f>Q623*K623</f>
        <v/>
      </c>
      <c r="AD623" s="50">
        <f>R623*K623</f>
        <v/>
      </c>
      <c r="AE623" s="50">
        <f>S623*K623</f>
        <v/>
      </c>
      <c r="AF623" s="50">
        <f>T623*K623</f>
        <v/>
      </c>
      <c r="AG623" s="50">
        <f>U623*K623</f>
        <v/>
      </c>
      <c r="AH623" s="50">
        <f>V623*K623</f>
        <v/>
      </c>
      <c r="AI623" s="50">
        <f>W623*K623</f>
        <v/>
      </c>
    </row>
    <row r="624">
      <c r="A624" s="25" t="n"/>
      <c r="B624" s="45">
        <f>IF(A624="","",IFERROR(INDEX(Mitarbeiter!$B$6:$B$205,MATCH($A624,Mitarbeiter!$A$6:$A$205,0)),"?"))</f>
        <v/>
      </c>
      <c r="C624" s="46" t="n"/>
      <c r="D624" s="26" t="n"/>
      <c r="E624" s="26" t="n"/>
      <c r="F624" s="24">
        <f>IF(A624="","",SUM(L624:W624))</f>
        <v/>
      </c>
      <c r="G624" s="36">
        <f>IF(A624="","",SUM(X624:AI624))</f>
        <v/>
      </c>
      <c r="H624" s="8">
        <f>IF(A624="","",IF(ISNA(MATCH(A624,Mitarbeiter!$A$6:$A$205,0)),"Pers.-Nr. unbekannt",IF(D624="","Von fehlt",IF(AND(C624&lt;&gt;Einstellungen!$C$4,C624&lt;&gt;Einstellungen!$C$5),"Objekt fehlt",IF(J624&lt;D624,"Bis vor Von",IF(D624&lt;INDEX(Mitarbeiter!$C$6:$C$205,MATCH($A624,Mitarbeiter!$A$6:$A$205,0)),"vor Eintritt",IF(AND(INDEX(Mitarbeiter!$D$6:$D$205,MATCH($A624,Mitarbeiter!$A$6:$A$205,0))&lt;&gt;"",D624&gt;INDEX(Mitarbeiter!$D$6:$D$205,MATCH($A624,Mitarbeiter!$A$6:$A$205,0))),"nach Austritt",IF(E624="","offen","ok"))))))))</f>
        <v/>
      </c>
      <c r="J624" s="47">
        <f>IF(A624="","",IF(E624="",Einstellungen!$C$9,E624))</f>
        <v/>
      </c>
      <c r="K624" s="48">
        <f>IF(A624="",0,IFERROR(INDEX(Mitarbeiter!$F$6:$F$205,MATCH($A624,Mitarbeiter!$A$6:$A$205,0)),0))</f>
        <v/>
      </c>
      <c r="L624" s="49">
        <f>IF(OR(A624="",D624=""),0,MAX(0,NETWORKDAYS(MAX(D624,DATE(Einstellungen!$C$3,1,1)),MIN(J624,DATE(Einstellungen!$C$3,2,0)),Einstellungen!$F$13:$F$32)))</f>
        <v/>
      </c>
      <c r="M624" s="49">
        <f>IF(OR(A624="",D624=""),0,MAX(0,NETWORKDAYS(MAX(D624,DATE(Einstellungen!$C$3,2,1)),MIN(J624,DATE(Einstellungen!$C$3,3,0)),Einstellungen!$F$13:$F$32)))</f>
        <v/>
      </c>
      <c r="N624" s="49">
        <f>IF(OR(A624="",D624=""),0,MAX(0,NETWORKDAYS(MAX(D624,DATE(Einstellungen!$C$3,3,1)),MIN(J624,DATE(Einstellungen!$C$3,4,0)),Einstellungen!$F$13:$F$32)))</f>
        <v/>
      </c>
      <c r="O624" s="49">
        <f>IF(OR(A624="",D624=""),0,MAX(0,NETWORKDAYS(MAX(D624,DATE(Einstellungen!$C$3,4,1)),MIN(J624,DATE(Einstellungen!$C$3,5,0)),Einstellungen!$F$13:$F$32)))</f>
        <v/>
      </c>
      <c r="P624" s="49">
        <f>IF(OR(A624="",D624=""),0,MAX(0,NETWORKDAYS(MAX(D624,DATE(Einstellungen!$C$3,5,1)),MIN(J624,DATE(Einstellungen!$C$3,6,0)),Einstellungen!$F$13:$F$32)))</f>
        <v/>
      </c>
      <c r="Q624" s="49">
        <f>IF(OR(A624="",D624=""),0,MAX(0,NETWORKDAYS(MAX(D624,DATE(Einstellungen!$C$3,6,1)),MIN(J624,DATE(Einstellungen!$C$3,7,0)),Einstellungen!$F$13:$F$32)))</f>
        <v/>
      </c>
      <c r="R624" s="49">
        <f>IF(OR(A624="",D624=""),0,MAX(0,NETWORKDAYS(MAX(D624,DATE(Einstellungen!$C$3,7,1)),MIN(J624,DATE(Einstellungen!$C$3,8,0)),Einstellungen!$F$13:$F$32)))</f>
        <v/>
      </c>
      <c r="S624" s="49">
        <f>IF(OR(A624="",D624=""),0,MAX(0,NETWORKDAYS(MAX(D624,DATE(Einstellungen!$C$3,8,1)),MIN(J624,DATE(Einstellungen!$C$3,9,0)),Einstellungen!$F$13:$F$32)))</f>
        <v/>
      </c>
      <c r="T624" s="49">
        <f>IF(OR(A624="",D624=""),0,MAX(0,NETWORKDAYS(MAX(D624,DATE(Einstellungen!$C$3,9,1)),MIN(J624,DATE(Einstellungen!$C$3,10,0)),Einstellungen!$F$13:$F$32)))</f>
        <v/>
      </c>
      <c r="U624" s="49">
        <f>IF(OR(A624="",D624=""),0,MAX(0,NETWORKDAYS(MAX(D624,DATE(Einstellungen!$C$3,10,1)),MIN(J624,DATE(Einstellungen!$C$3,11,0)),Einstellungen!$F$13:$F$32)))</f>
        <v/>
      </c>
      <c r="V624" s="49">
        <f>IF(OR(A624="",D624=""),0,MAX(0,NETWORKDAYS(MAX(D624,DATE(Einstellungen!$C$3,11,1)),MIN(J624,DATE(Einstellungen!$C$3,12,0)),Einstellungen!$F$13:$F$32)))</f>
        <v/>
      </c>
      <c r="W624" s="49">
        <f>IF(OR(A624="",D624=""),0,MAX(0,NETWORKDAYS(MAX(D624,DATE(Einstellungen!$C$3,12,1)),MIN(J624,DATE(Einstellungen!$C$3,13,0)),Einstellungen!$F$13:$F$32)))</f>
        <v/>
      </c>
      <c r="X624" s="50">
        <f>L624*K624</f>
        <v/>
      </c>
      <c r="Y624" s="50">
        <f>M624*K624</f>
        <v/>
      </c>
      <c r="Z624" s="50">
        <f>N624*K624</f>
        <v/>
      </c>
      <c r="AA624" s="50">
        <f>O624*K624</f>
        <v/>
      </c>
      <c r="AB624" s="50">
        <f>P624*K624</f>
        <v/>
      </c>
      <c r="AC624" s="50">
        <f>Q624*K624</f>
        <v/>
      </c>
      <c r="AD624" s="50">
        <f>R624*K624</f>
        <v/>
      </c>
      <c r="AE624" s="50">
        <f>S624*K624</f>
        <v/>
      </c>
      <c r="AF624" s="50">
        <f>T624*K624</f>
        <v/>
      </c>
      <c r="AG624" s="50">
        <f>U624*K624</f>
        <v/>
      </c>
      <c r="AH624" s="50">
        <f>V624*K624</f>
        <v/>
      </c>
      <c r="AI624" s="50">
        <f>W624*K624</f>
        <v/>
      </c>
    </row>
    <row r="625">
      <c r="A625" s="25" t="n"/>
      <c r="B625" s="45">
        <f>IF(A625="","",IFERROR(INDEX(Mitarbeiter!$B$6:$B$205,MATCH($A625,Mitarbeiter!$A$6:$A$205,0)),"?"))</f>
        <v/>
      </c>
      <c r="C625" s="46" t="n"/>
      <c r="D625" s="26" t="n"/>
      <c r="E625" s="26" t="n"/>
      <c r="F625" s="24">
        <f>IF(A625="","",SUM(L625:W625))</f>
        <v/>
      </c>
      <c r="G625" s="36">
        <f>IF(A625="","",SUM(X625:AI625))</f>
        <v/>
      </c>
      <c r="H625" s="8">
        <f>IF(A625="","",IF(ISNA(MATCH(A625,Mitarbeiter!$A$6:$A$205,0)),"Pers.-Nr. unbekannt",IF(D625="","Von fehlt",IF(AND(C625&lt;&gt;Einstellungen!$C$4,C625&lt;&gt;Einstellungen!$C$5),"Objekt fehlt",IF(J625&lt;D625,"Bis vor Von",IF(D625&lt;INDEX(Mitarbeiter!$C$6:$C$205,MATCH($A625,Mitarbeiter!$A$6:$A$205,0)),"vor Eintritt",IF(AND(INDEX(Mitarbeiter!$D$6:$D$205,MATCH($A625,Mitarbeiter!$A$6:$A$205,0))&lt;&gt;"",D625&gt;INDEX(Mitarbeiter!$D$6:$D$205,MATCH($A625,Mitarbeiter!$A$6:$A$205,0))),"nach Austritt",IF(E625="","offen","ok"))))))))</f>
        <v/>
      </c>
      <c r="J625" s="47">
        <f>IF(A625="","",IF(E625="",Einstellungen!$C$9,E625))</f>
        <v/>
      </c>
      <c r="K625" s="48">
        <f>IF(A625="",0,IFERROR(INDEX(Mitarbeiter!$F$6:$F$205,MATCH($A625,Mitarbeiter!$A$6:$A$205,0)),0))</f>
        <v/>
      </c>
      <c r="L625" s="49">
        <f>IF(OR(A625="",D625=""),0,MAX(0,NETWORKDAYS(MAX(D625,DATE(Einstellungen!$C$3,1,1)),MIN(J625,DATE(Einstellungen!$C$3,2,0)),Einstellungen!$F$13:$F$32)))</f>
        <v/>
      </c>
      <c r="M625" s="49">
        <f>IF(OR(A625="",D625=""),0,MAX(0,NETWORKDAYS(MAX(D625,DATE(Einstellungen!$C$3,2,1)),MIN(J625,DATE(Einstellungen!$C$3,3,0)),Einstellungen!$F$13:$F$32)))</f>
        <v/>
      </c>
      <c r="N625" s="49">
        <f>IF(OR(A625="",D625=""),0,MAX(0,NETWORKDAYS(MAX(D625,DATE(Einstellungen!$C$3,3,1)),MIN(J625,DATE(Einstellungen!$C$3,4,0)),Einstellungen!$F$13:$F$32)))</f>
        <v/>
      </c>
      <c r="O625" s="49">
        <f>IF(OR(A625="",D625=""),0,MAX(0,NETWORKDAYS(MAX(D625,DATE(Einstellungen!$C$3,4,1)),MIN(J625,DATE(Einstellungen!$C$3,5,0)),Einstellungen!$F$13:$F$32)))</f>
        <v/>
      </c>
      <c r="P625" s="49">
        <f>IF(OR(A625="",D625=""),0,MAX(0,NETWORKDAYS(MAX(D625,DATE(Einstellungen!$C$3,5,1)),MIN(J625,DATE(Einstellungen!$C$3,6,0)),Einstellungen!$F$13:$F$32)))</f>
        <v/>
      </c>
      <c r="Q625" s="49">
        <f>IF(OR(A625="",D625=""),0,MAX(0,NETWORKDAYS(MAX(D625,DATE(Einstellungen!$C$3,6,1)),MIN(J625,DATE(Einstellungen!$C$3,7,0)),Einstellungen!$F$13:$F$32)))</f>
        <v/>
      </c>
      <c r="R625" s="49">
        <f>IF(OR(A625="",D625=""),0,MAX(0,NETWORKDAYS(MAX(D625,DATE(Einstellungen!$C$3,7,1)),MIN(J625,DATE(Einstellungen!$C$3,8,0)),Einstellungen!$F$13:$F$32)))</f>
        <v/>
      </c>
      <c r="S625" s="49">
        <f>IF(OR(A625="",D625=""),0,MAX(0,NETWORKDAYS(MAX(D625,DATE(Einstellungen!$C$3,8,1)),MIN(J625,DATE(Einstellungen!$C$3,9,0)),Einstellungen!$F$13:$F$32)))</f>
        <v/>
      </c>
      <c r="T625" s="49">
        <f>IF(OR(A625="",D625=""),0,MAX(0,NETWORKDAYS(MAX(D625,DATE(Einstellungen!$C$3,9,1)),MIN(J625,DATE(Einstellungen!$C$3,10,0)),Einstellungen!$F$13:$F$32)))</f>
        <v/>
      </c>
      <c r="U625" s="49">
        <f>IF(OR(A625="",D625=""),0,MAX(0,NETWORKDAYS(MAX(D625,DATE(Einstellungen!$C$3,10,1)),MIN(J625,DATE(Einstellungen!$C$3,11,0)),Einstellungen!$F$13:$F$32)))</f>
        <v/>
      </c>
      <c r="V625" s="49">
        <f>IF(OR(A625="",D625=""),0,MAX(0,NETWORKDAYS(MAX(D625,DATE(Einstellungen!$C$3,11,1)),MIN(J625,DATE(Einstellungen!$C$3,12,0)),Einstellungen!$F$13:$F$32)))</f>
        <v/>
      </c>
      <c r="W625" s="49">
        <f>IF(OR(A625="",D625=""),0,MAX(0,NETWORKDAYS(MAX(D625,DATE(Einstellungen!$C$3,12,1)),MIN(J625,DATE(Einstellungen!$C$3,13,0)),Einstellungen!$F$13:$F$32)))</f>
        <v/>
      </c>
      <c r="X625" s="50">
        <f>L625*K625</f>
        <v/>
      </c>
      <c r="Y625" s="50">
        <f>M625*K625</f>
        <v/>
      </c>
      <c r="Z625" s="50">
        <f>N625*K625</f>
        <v/>
      </c>
      <c r="AA625" s="50">
        <f>O625*K625</f>
        <v/>
      </c>
      <c r="AB625" s="50">
        <f>P625*K625</f>
        <v/>
      </c>
      <c r="AC625" s="50">
        <f>Q625*K625</f>
        <v/>
      </c>
      <c r="AD625" s="50">
        <f>R625*K625</f>
        <v/>
      </c>
      <c r="AE625" s="50">
        <f>S625*K625</f>
        <v/>
      </c>
      <c r="AF625" s="50">
        <f>T625*K625</f>
        <v/>
      </c>
      <c r="AG625" s="50">
        <f>U625*K625</f>
        <v/>
      </c>
      <c r="AH625" s="50">
        <f>V625*K625</f>
        <v/>
      </c>
      <c r="AI625" s="50">
        <f>W625*K625</f>
        <v/>
      </c>
    </row>
    <row r="626">
      <c r="A626" s="25" t="n"/>
      <c r="B626" s="45">
        <f>IF(A626="","",IFERROR(INDEX(Mitarbeiter!$B$6:$B$205,MATCH($A626,Mitarbeiter!$A$6:$A$205,0)),"?"))</f>
        <v/>
      </c>
      <c r="C626" s="46" t="n"/>
      <c r="D626" s="26" t="n"/>
      <c r="E626" s="26" t="n"/>
      <c r="F626" s="24">
        <f>IF(A626="","",SUM(L626:W626))</f>
        <v/>
      </c>
      <c r="G626" s="36">
        <f>IF(A626="","",SUM(X626:AI626))</f>
        <v/>
      </c>
      <c r="H626" s="8">
        <f>IF(A626="","",IF(ISNA(MATCH(A626,Mitarbeiter!$A$6:$A$205,0)),"Pers.-Nr. unbekannt",IF(D626="","Von fehlt",IF(AND(C626&lt;&gt;Einstellungen!$C$4,C626&lt;&gt;Einstellungen!$C$5),"Objekt fehlt",IF(J626&lt;D626,"Bis vor Von",IF(D626&lt;INDEX(Mitarbeiter!$C$6:$C$205,MATCH($A626,Mitarbeiter!$A$6:$A$205,0)),"vor Eintritt",IF(AND(INDEX(Mitarbeiter!$D$6:$D$205,MATCH($A626,Mitarbeiter!$A$6:$A$205,0))&lt;&gt;"",D626&gt;INDEX(Mitarbeiter!$D$6:$D$205,MATCH($A626,Mitarbeiter!$A$6:$A$205,0))),"nach Austritt",IF(E626="","offen","ok"))))))))</f>
        <v/>
      </c>
      <c r="J626" s="47">
        <f>IF(A626="","",IF(E626="",Einstellungen!$C$9,E626))</f>
        <v/>
      </c>
      <c r="K626" s="48">
        <f>IF(A626="",0,IFERROR(INDEX(Mitarbeiter!$F$6:$F$205,MATCH($A626,Mitarbeiter!$A$6:$A$205,0)),0))</f>
        <v/>
      </c>
      <c r="L626" s="49">
        <f>IF(OR(A626="",D626=""),0,MAX(0,NETWORKDAYS(MAX(D626,DATE(Einstellungen!$C$3,1,1)),MIN(J626,DATE(Einstellungen!$C$3,2,0)),Einstellungen!$F$13:$F$32)))</f>
        <v/>
      </c>
      <c r="M626" s="49">
        <f>IF(OR(A626="",D626=""),0,MAX(0,NETWORKDAYS(MAX(D626,DATE(Einstellungen!$C$3,2,1)),MIN(J626,DATE(Einstellungen!$C$3,3,0)),Einstellungen!$F$13:$F$32)))</f>
        <v/>
      </c>
      <c r="N626" s="49">
        <f>IF(OR(A626="",D626=""),0,MAX(0,NETWORKDAYS(MAX(D626,DATE(Einstellungen!$C$3,3,1)),MIN(J626,DATE(Einstellungen!$C$3,4,0)),Einstellungen!$F$13:$F$32)))</f>
        <v/>
      </c>
      <c r="O626" s="49">
        <f>IF(OR(A626="",D626=""),0,MAX(0,NETWORKDAYS(MAX(D626,DATE(Einstellungen!$C$3,4,1)),MIN(J626,DATE(Einstellungen!$C$3,5,0)),Einstellungen!$F$13:$F$32)))</f>
        <v/>
      </c>
      <c r="P626" s="49">
        <f>IF(OR(A626="",D626=""),0,MAX(0,NETWORKDAYS(MAX(D626,DATE(Einstellungen!$C$3,5,1)),MIN(J626,DATE(Einstellungen!$C$3,6,0)),Einstellungen!$F$13:$F$32)))</f>
        <v/>
      </c>
      <c r="Q626" s="49">
        <f>IF(OR(A626="",D626=""),0,MAX(0,NETWORKDAYS(MAX(D626,DATE(Einstellungen!$C$3,6,1)),MIN(J626,DATE(Einstellungen!$C$3,7,0)),Einstellungen!$F$13:$F$32)))</f>
        <v/>
      </c>
      <c r="R626" s="49">
        <f>IF(OR(A626="",D626=""),0,MAX(0,NETWORKDAYS(MAX(D626,DATE(Einstellungen!$C$3,7,1)),MIN(J626,DATE(Einstellungen!$C$3,8,0)),Einstellungen!$F$13:$F$32)))</f>
        <v/>
      </c>
      <c r="S626" s="49">
        <f>IF(OR(A626="",D626=""),0,MAX(0,NETWORKDAYS(MAX(D626,DATE(Einstellungen!$C$3,8,1)),MIN(J626,DATE(Einstellungen!$C$3,9,0)),Einstellungen!$F$13:$F$32)))</f>
        <v/>
      </c>
      <c r="T626" s="49">
        <f>IF(OR(A626="",D626=""),0,MAX(0,NETWORKDAYS(MAX(D626,DATE(Einstellungen!$C$3,9,1)),MIN(J626,DATE(Einstellungen!$C$3,10,0)),Einstellungen!$F$13:$F$32)))</f>
        <v/>
      </c>
      <c r="U626" s="49">
        <f>IF(OR(A626="",D626=""),0,MAX(0,NETWORKDAYS(MAX(D626,DATE(Einstellungen!$C$3,10,1)),MIN(J626,DATE(Einstellungen!$C$3,11,0)),Einstellungen!$F$13:$F$32)))</f>
        <v/>
      </c>
      <c r="V626" s="49">
        <f>IF(OR(A626="",D626=""),0,MAX(0,NETWORKDAYS(MAX(D626,DATE(Einstellungen!$C$3,11,1)),MIN(J626,DATE(Einstellungen!$C$3,12,0)),Einstellungen!$F$13:$F$32)))</f>
        <v/>
      </c>
      <c r="W626" s="49">
        <f>IF(OR(A626="",D626=""),0,MAX(0,NETWORKDAYS(MAX(D626,DATE(Einstellungen!$C$3,12,1)),MIN(J626,DATE(Einstellungen!$C$3,13,0)),Einstellungen!$F$13:$F$32)))</f>
        <v/>
      </c>
      <c r="X626" s="50">
        <f>L626*K626</f>
        <v/>
      </c>
      <c r="Y626" s="50">
        <f>M626*K626</f>
        <v/>
      </c>
      <c r="Z626" s="50">
        <f>N626*K626</f>
        <v/>
      </c>
      <c r="AA626" s="50">
        <f>O626*K626</f>
        <v/>
      </c>
      <c r="AB626" s="50">
        <f>P626*K626</f>
        <v/>
      </c>
      <c r="AC626" s="50">
        <f>Q626*K626</f>
        <v/>
      </c>
      <c r="AD626" s="50">
        <f>R626*K626</f>
        <v/>
      </c>
      <c r="AE626" s="50">
        <f>S626*K626</f>
        <v/>
      </c>
      <c r="AF626" s="50">
        <f>T626*K626</f>
        <v/>
      </c>
      <c r="AG626" s="50">
        <f>U626*K626</f>
        <v/>
      </c>
      <c r="AH626" s="50">
        <f>V626*K626</f>
        <v/>
      </c>
      <c r="AI626" s="50">
        <f>W626*K626</f>
        <v/>
      </c>
    </row>
    <row r="627">
      <c r="A627" s="25" t="n"/>
      <c r="B627" s="45">
        <f>IF(A627="","",IFERROR(INDEX(Mitarbeiter!$B$6:$B$205,MATCH($A627,Mitarbeiter!$A$6:$A$205,0)),"?"))</f>
        <v/>
      </c>
      <c r="C627" s="46" t="n"/>
      <c r="D627" s="26" t="n"/>
      <c r="E627" s="26" t="n"/>
      <c r="F627" s="24">
        <f>IF(A627="","",SUM(L627:W627))</f>
        <v/>
      </c>
      <c r="G627" s="36">
        <f>IF(A627="","",SUM(X627:AI627))</f>
        <v/>
      </c>
      <c r="H627" s="8">
        <f>IF(A627="","",IF(ISNA(MATCH(A627,Mitarbeiter!$A$6:$A$205,0)),"Pers.-Nr. unbekannt",IF(D627="","Von fehlt",IF(AND(C627&lt;&gt;Einstellungen!$C$4,C627&lt;&gt;Einstellungen!$C$5),"Objekt fehlt",IF(J627&lt;D627,"Bis vor Von",IF(D627&lt;INDEX(Mitarbeiter!$C$6:$C$205,MATCH($A627,Mitarbeiter!$A$6:$A$205,0)),"vor Eintritt",IF(AND(INDEX(Mitarbeiter!$D$6:$D$205,MATCH($A627,Mitarbeiter!$A$6:$A$205,0))&lt;&gt;"",D627&gt;INDEX(Mitarbeiter!$D$6:$D$205,MATCH($A627,Mitarbeiter!$A$6:$A$205,0))),"nach Austritt",IF(E627="","offen","ok"))))))))</f>
        <v/>
      </c>
      <c r="J627" s="47">
        <f>IF(A627="","",IF(E627="",Einstellungen!$C$9,E627))</f>
        <v/>
      </c>
      <c r="K627" s="48">
        <f>IF(A627="",0,IFERROR(INDEX(Mitarbeiter!$F$6:$F$205,MATCH($A627,Mitarbeiter!$A$6:$A$205,0)),0))</f>
        <v/>
      </c>
      <c r="L627" s="49">
        <f>IF(OR(A627="",D627=""),0,MAX(0,NETWORKDAYS(MAX(D627,DATE(Einstellungen!$C$3,1,1)),MIN(J627,DATE(Einstellungen!$C$3,2,0)),Einstellungen!$F$13:$F$32)))</f>
        <v/>
      </c>
      <c r="M627" s="49">
        <f>IF(OR(A627="",D627=""),0,MAX(0,NETWORKDAYS(MAX(D627,DATE(Einstellungen!$C$3,2,1)),MIN(J627,DATE(Einstellungen!$C$3,3,0)),Einstellungen!$F$13:$F$32)))</f>
        <v/>
      </c>
      <c r="N627" s="49">
        <f>IF(OR(A627="",D627=""),0,MAX(0,NETWORKDAYS(MAX(D627,DATE(Einstellungen!$C$3,3,1)),MIN(J627,DATE(Einstellungen!$C$3,4,0)),Einstellungen!$F$13:$F$32)))</f>
        <v/>
      </c>
      <c r="O627" s="49">
        <f>IF(OR(A627="",D627=""),0,MAX(0,NETWORKDAYS(MAX(D627,DATE(Einstellungen!$C$3,4,1)),MIN(J627,DATE(Einstellungen!$C$3,5,0)),Einstellungen!$F$13:$F$32)))</f>
        <v/>
      </c>
      <c r="P627" s="49">
        <f>IF(OR(A627="",D627=""),0,MAX(0,NETWORKDAYS(MAX(D627,DATE(Einstellungen!$C$3,5,1)),MIN(J627,DATE(Einstellungen!$C$3,6,0)),Einstellungen!$F$13:$F$32)))</f>
        <v/>
      </c>
      <c r="Q627" s="49">
        <f>IF(OR(A627="",D627=""),0,MAX(0,NETWORKDAYS(MAX(D627,DATE(Einstellungen!$C$3,6,1)),MIN(J627,DATE(Einstellungen!$C$3,7,0)),Einstellungen!$F$13:$F$32)))</f>
        <v/>
      </c>
      <c r="R627" s="49">
        <f>IF(OR(A627="",D627=""),0,MAX(0,NETWORKDAYS(MAX(D627,DATE(Einstellungen!$C$3,7,1)),MIN(J627,DATE(Einstellungen!$C$3,8,0)),Einstellungen!$F$13:$F$32)))</f>
        <v/>
      </c>
      <c r="S627" s="49">
        <f>IF(OR(A627="",D627=""),0,MAX(0,NETWORKDAYS(MAX(D627,DATE(Einstellungen!$C$3,8,1)),MIN(J627,DATE(Einstellungen!$C$3,9,0)),Einstellungen!$F$13:$F$32)))</f>
        <v/>
      </c>
      <c r="T627" s="49">
        <f>IF(OR(A627="",D627=""),0,MAX(0,NETWORKDAYS(MAX(D627,DATE(Einstellungen!$C$3,9,1)),MIN(J627,DATE(Einstellungen!$C$3,10,0)),Einstellungen!$F$13:$F$32)))</f>
        <v/>
      </c>
      <c r="U627" s="49">
        <f>IF(OR(A627="",D627=""),0,MAX(0,NETWORKDAYS(MAX(D627,DATE(Einstellungen!$C$3,10,1)),MIN(J627,DATE(Einstellungen!$C$3,11,0)),Einstellungen!$F$13:$F$32)))</f>
        <v/>
      </c>
      <c r="V627" s="49">
        <f>IF(OR(A627="",D627=""),0,MAX(0,NETWORKDAYS(MAX(D627,DATE(Einstellungen!$C$3,11,1)),MIN(J627,DATE(Einstellungen!$C$3,12,0)),Einstellungen!$F$13:$F$32)))</f>
        <v/>
      </c>
      <c r="W627" s="49">
        <f>IF(OR(A627="",D627=""),0,MAX(0,NETWORKDAYS(MAX(D627,DATE(Einstellungen!$C$3,12,1)),MIN(J627,DATE(Einstellungen!$C$3,13,0)),Einstellungen!$F$13:$F$32)))</f>
        <v/>
      </c>
      <c r="X627" s="50">
        <f>L627*K627</f>
        <v/>
      </c>
      <c r="Y627" s="50">
        <f>M627*K627</f>
        <v/>
      </c>
      <c r="Z627" s="50">
        <f>N627*K627</f>
        <v/>
      </c>
      <c r="AA627" s="50">
        <f>O627*K627</f>
        <v/>
      </c>
      <c r="AB627" s="50">
        <f>P627*K627</f>
        <v/>
      </c>
      <c r="AC627" s="50">
        <f>Q627*K627</f>
        <v/>
      </c>
      <c r="AD627" s="50">
        <f>R627*K627</f>
        <v/>
      </c>
      <c r="AE627" s="50">
        <f>S627*K627</f>
        <v/>
      </c>
      <c r="AF627" s="50">
        <f>T627*K627</f>
        <v/>
      </c>
      <c r="AG627" s="50">
        <f>U627*K627</f>
        <v/>
      </c>
      <c r="AH627" s="50">
        <f>V627*K627</f>
        <v/>
      </c>
      <c r="AI627" s="50">
        <f>W627*K627</f>
        <v/>
      </c>
    </row>
    <row r="628">
      <c r="A628" s="25" t="n"/>
      <c r="B628" s="45">
        <f>IF(A628="","",IFERROR(INDEX(Mitarbeiter!$B$6:$B$205,MATCH($A628,Mitarbeiter!$A$6:$A$205,0)),"?"))</f>
        <v/>
      </c>
      <c r="C628" s="46" t="n"/>
      <c r="D628" s="26" t="n"/>
      <c r="E628" s="26" t="n"/>
      <c r="F628" s="24">
        <f>IF(A628="","",SUM(L628:W628))</f>
        <v/>
      </c>
      <c r="G628" s="36">
        <f>IF(A628="","",SUM(X628:AI628))</f>
        <v/>
      </c>
      <c r="H628" s="8">
        <f>IF(A628="","",IF(ISNA(MATCH(A628,Mitarbeiter!$A$6:$A$205,0)),"Pers.-Nr. unbekannt",IF(D628="","Von fehlt",IF(AND(C628&lt;&gt;Einstellungen!$C$4,C628&lt;&gt;Einstellungen!$C$5),"Objekt fehlt",IF(J628&lt;D628,"Bis vor Von",IF(D628&lt;INDEX(Mitarbeiter!$C$6:$C$205,MATCH($A628,Mitarbeiter!$A$6:$A$205,0)),"vor Eintritt",IF(AND(INDEX(Mitarbeiter!$D$6:$D$205,MATCH($A628,Mitarbeiter!$A$6:$A$205,0))&lt;&gt;"",D628&gt;INDEX(Mitarbeiter!$D$6:$D$205,MATCH($A628,Mitarbeiter!$A$6:$A$205,0))),"nach Austritt",IF(E628="","offen","ok"))))))))</f>
        <v/>
      </c>
      <c r="J628" s="47">
        <f>IF(A628="","",IF(E628="",Einstellungen!$C$9,E628))</f>
        <v/>
      </c>
      <c r="K628" s="48">
        <f>IF(A628="",0,IFERROR(INDEX(Mitarbeiter!$F$6:$F$205,MATCH($A628,Mitarbeiter!$A$6:$A$205,0)),0))</f>
        <v/>
      </c>
      <c r="L628" s="49">
        <f>IF(OR(A628="",D628=""),0,MAX(0,NETWORKDAYS(MAX(D628,DATE(Einstellungen!$C$3,1,1)),MIN(J628,DATE(Einstellungen!$C$3,2,0)),Einstellungen!$F$13:$F$32)))</f>
        <v/>
      </c>
      <c r="M628" s="49">
        <f>IF(OR(A628="",D628=""),0,MAX(0,NETWORKDAYS(MAX(D628,DATE(Einstellungen!$C$3,2,1)),MIN(J628,DATE(Einstellungen!$C$3,3,0)),Einstellungen!$F$13:$F$32)))</f>
        <v/>
      </c>
      <c r="N628" s="49">
        <f>IF(OR(A628="",D628=""),0,MAX(0,NETWORKDAYS(MAX(D628,DATE(Einstellungen!$C$3,3,1)),MIN(J628,DATE(Einstellungen!$C$3,4,0)),Einstellungen!$F$13:$F$32)))</f>
        <v/>
      </c>
      <c r="O628" s="49">
        <f>IF(OR(A628="",D628=""),0,MAX(0,NETWORKDAYS(MAX(D628,DATE(Einstellungen!$C$3,4,1)),MIN(J628,DATE(Einstellungen!$C$3,5,0)),Einstellungen!$F$13:$F$32)))</f>
        <v/>
      </c>
      <c r="P628" s="49">
        <f>IF(OR(A628="",D628=""),0,MAX(0,NETWORKDAYS(MAX(D628,DATE(Einstellungen!$C$3,5,1)),MIN(J628,DATE(Einstellungen!$C$3,6,0)),Einstellungen!$F$13:$F$32)))</f>
        <v/>
      </c>
      <c r="Q628" s="49">
        <f>IF(OR(A628="",D628=""),0,MAX(0,NETWORKDAYS(MAX(D628,DATE(Einstellungen!$C$3,6,1)),MIN(J628,DATE(Einstellungen!$C$3,7,0)),Einstellungen!$F$13:$F$32)))</f>
        <v/>
      </c>
      <c r="R628" s="49">
        <f>IF(OR(A628="",D628=""),0,MAX(0,NETWORKDAYS(MAX(D628,DATE(Einstellungen!$C$3,7,1)),MIN(J628,DATE(Einstellungen!$C$3,8,0)),Einstellungen!$F$13:$F$32)))</f>
        <v/>
      </c>
      <c r="S628" s="49">
        <f>IF(OR(A628="",D628=""),0,MAX(0,NETWORKDAYS(MAX(D628,DATE(Einstellungen!$C$3,8,1)),MIN(J628,DATE(Einstellungen!$C$3,9,0)),Einstellungen!$F$13:$F$32)))</f>
        <v/>
      </c>
      <c r="T628" s="49">
        <f>IF(OR(A628="",D628=""),0,MAX(0,NETWORKDAYS(MAX(D628,DATE(Einstellungen!$C$3,9,1)),MIN(J628,DATE(Einstellungen!$C$3,10,0)),Einstellungen!$F$13:$F$32)))</f>
        <v/>
      </c>
      <c r="U628" s="49">
        <f>IF(OR(A628="",D628=""),0,MAX(0,NETWORKDAYS(MAX(D628,DATE(Einstellungen!$C$3,10,1)),MIN(J628,DATE(Einstellungen!$C$3,11,0)),Einstellungen!$F$13:$F$32)))</f>
        <v/>
      </c>
      <c r="V628" s="49">
        <f>IF(OR(A628="",D628=""),0,MAX(0,NETWORKDAYS(MAX(D628,DATE(Einstellungen!$C$3,11,1)),MIN(J628,DATE(Einstellungen!$C$3,12,0)),Einstellungen!$F$13:$F$32)))</f>
        <v/>
      </c>
      <c r="W628" s="49">
        <f>IF(OR(A628="",D628=""),0,MAX(0,NETWORKDAYS(MAX(D628,DATE(Einstellungen!$C$3,12,1)),MIN(J628,DATE(Einstellungen!$C$3,13,0)),Einstellungen!$F$13:$F$32)))</f>
        <v/>
      </c>
      <c r="X628" s="50">
        <f>L628*K628</f>
        <v/>
      </c>
      <c r="Y628" s="50">
        <f>M628*K628</f>
        <v/>
      </c>
      <c r="Z628" s="50">
        <f>N628*K628</f>
        <v/>
      </c>
      <c r="AA628" s="50">
        <f>O628*K628</f>
        <v/>
      </c>
      <c r="AB628" s="50">
        <f>P628*K628</f>
        <v/>
      </c>
      <c r="AC628" s="50">
        <f>Q628*K628</f>
        <v/>
      </c>
      <c r="AD628" s="50">
        <f>R628*K628</f>
        <v/>
      </c>
      <c r="AE628" s="50">
        <f>S628*K628</f>
        <v/>
      </c>
      <c r="AF628" s="50">
        <f>T628*K628</f>
        <v/>
      </c>
      <c r="AG628" s="50">
        <f>U628*K628</f>
        <v/>
      </c>
      <c r="AH628" s="50">
        <f>V628*K628</f>
        <v/>
      </c>
      <c r="AI628" s="50">
        <f>W628*K628</f>
        <v/>
      </c>
    </row>
    <row r="629">
      <c r="A629" s="25" t="n"/>
      <c r="B629" s="45">
        <f>IF(A629="","",IFERROR(INDEX(Mitarbeiter!$B$6:$B$205,MATCH($A629,Mitarbeiter!$A$6:$A$205,0)),"?"))</f>
        <v/>
      </c>
      <c r="C629" s="46" t="n"/>
      <c r="D629" s="26" t="n"/>
      <c r="E629" s="26" t="n"/>
      <c r="F629" s="24">
        <f>IF(A629="","",SUM(L629:W629))</f>
        <v/>
      </c>
      <c r="G629" s="36">
        <f>IF(A629="","",SUM(X629:AI629))</f>
        <v/>
      </c>
      <c r="H629" s="8">
        <f>IF(A629="","",IF(ISNA(MATCH(A629,Mitarbeiter!$A$6:$A$205,0)),"Pers.-Nr. unbekannt",IF(D629="","Von fehlt",IF(AND(C629&lt;&gt;Einstellungen!$C$4,C629&lt;&gt;Einstellungen!$C$5),"Objekt fehlt",IF(J629&lt;D629,"Bis vor Von",IF(D629&lt;INDEX(Mitarbeiter!$C$6:$C$205,MATCH($A629,Mitarbeiter!$A$6:$A$205,0)),"vor Eintritt",IF(AND(INDEX(Mitarbeiter!$D$6:$D$205,MATCH($A629,Mitarbeiter!$A$6:$A$205,0))&lt;&gt;"",D629&gt;INDEX(Mitarbeiter!$D$6:$D$205,MATCH($A629,Mitarbeiter!$A$6:$A$205,0))),"nach Austritt",IF(E629="","offen","ok"))))))))</f>
        <v/>
      </c>
      <c r="J629" s="47">
        <f>IF(A629="","",IF(E629="",Einstellungen!$C$9,E629))</f>
        <v/>
      </c>
      <c r="K629" s="48">
        <f>IF(A629="",0,IFERROR(INDEX(Mitarbeiter!$F$6:$F$205,MATCH($A629,Mitarbeiter!$A$6:$A$205,0)),0))</f>
        <v/>
      </c>
      <c r="L629" s="49">
        <f>IF(OR(A629="",D629=""),0,MAX(0,NETWORKDAYS(MAX(D629,DATE(Einstellungen!$C$3,1,1)),MIN(J629,DATE(Einstellungen!$C$3,2,0)),Einstellungen!$F$13:$F$32)))</f>
        <v/>
      </c>
      <c r="M629" s="49">
        <f>IF(OR(A629="",D629=""),0,MAX(0,NETWORKDAYS(MAX(D629,DATE(Einstellungen!$C$3,2,1)),MIN(J629,DATE(Einstellungen!$C$3,3,0)),Einstellungen!$F$13:$F$32)))</f>
        <v/>
      </c>
      <c r="N629" s="49">
        <f>IF(OR(A629="",D629=""),0,MAX(0,NETWORKDAYS(MAX(D629,DATE(Einstellungen!$C$3,3,1)),MIN(J629,DATE(Einstellungen!$C$3,4,0)),Einstellungen!$F$13:$F$32)))</f>
        <v/>
      </c>
      <c r="O629" s="49">
        <f>IF(OR(A629="",D629=""),0,MAX(0,NETWORKDAYS(MAX(D629,DATE(Einstellungen!$C$3,4,1)),MIN(J629,DATE(Einstellungen!$C$3,5,0)),Einstellungen!$F$13:$F$32)))</f>
        <v/>
      </c>
      <c r="P629" s="49">
        <f>IF(OR(A629="",D629=""),0,MAX(0,NETWORKDAYS(MAX(D629,DATE(Einstellungen!$C$3,5,1)),MIN(J629,DATE(Einstellungen!$C$3,6,0)),Einstellungen!$F$13:$F$32)))</f>
        <v/>
      </c>
      <c r="Q629" s="49">
        <f>IF(OR(A629="",D629=""),0,MAX(0,NETWORKDAYS(MAX(D629,DATE(Einstellungen!$C$3,6,1)),MIN(J629,DATE(Einstellungen!$C$3,7,0)),Einstellungen!$F$13:$F$32)))</f>
        <v/>
      </c>
      <c r="R629" s="49">
        <f>IF(OR(A629="",D629=""),0,MAX(0,NETWORKDAYS(MAX(D629,DATE(Einstellungen!$C$3,7,1)),MIN(J629,DATE(Einstellungen!$C$3,8,0)),Einstellungen!$F$13:$F$32)))</f>
        <v/>
      </c>
      <c r="S629" s="49">
        <f>IF(OR(A629="",D629=""),0,MAX(0,NETWORKDAYS(MAX(D629,DATE(Einstellungen!$C$3,8,1)),MIN(J629,DATE(Einstellungen!$C$3,9,0)),Einstellungen!$F$13:$F$32)))</f>
        <v/>
      </c>
      <c r="T629" s="49">
        <f>IF(OR(A629="",D629=""),0,MAX(0,NETWORKDAYS(MAX(D629,DATE(Einstellungen!$C$3,9,1)),MIN(J629,DATE(Einstellungen!$C$3,10,0)),Einstellungen!$F$13:$F$32)))</f>
        <v/>
      </c>
      <c r="U629" s="49">
        <f>IF(OR(A629="",D629=""),0,MAX(0,NETWORKDAYS(MAX(D629,DATE(Einstellungen!$C$3,10,1)),MIN(J629,DATE(Einstellungen!$C$3,11,0)),Einstellungen!$F$13:$F$32)))</f>
        <v/>
      </c>
      <c r="V629" s="49">
        <f>IF(OR(A629="",D629=""),0,MAX(0,NETWORKDAYS(MAX(D629,DATE(Einstellungen!$C$3,11,1)),MIN(J629,DATE(Einstellungen!$C$3,12,0)),Einstellungen!$F$13:$F$32)))</f>
        <v/>
      </c>
      <c r="W629" s="49">
        <f>IF(OR(A629="",D629=""),0,MAX(0,NETWORKDAYS(MAX(D629,DATE(Einstellungen!$C$3,12,1)),MIN(J629,DATE(Einstellungen!$C$3,13,0)),Einstellungen!$F$13:$F$32)))</f>
        <v/>
      </c>
      <c r="X629" s="50">
        <f>L629*K629</f>
        <v/>
      </c>
      <c r="Y629" s="50">
        <f>M629*K629</f>
        <v/>
      </c>
      <c r="Z629" s="50">
        <f>N629*K629</f>
        <v/>
      </c>
      <c r="AA629" s="50">
        <f>O629*K629</f>
        <v/>
      </c>
      <c r="AB629" s="50">
        <f>P629*K629</f>
        <v/>
      </c>
      <c r="AC629" s="50">
        <f>Q629*K629</f>
        <v/>
      </c>
      <c r="AD629" s="50">
        <f>R629*K629</f>
        <v/>
      </c>
      <c r="AE629" s="50">
        <f>S629*K629</f>
        <v/>
      </c>
      <c r="AF629" s="50">
        <f>T629*K629</f>
        <v/>
      </c>
      <c r="AG629" s="50">
        <f>U629*K629</f>
        <v/>
      </c>
      <c r="AH629" s="50">
        <f>V629*K629</f>
        <v/>
      </c>
      <c r="AI629" s="50">
        <f>W629*K629</f>
        <v/>
      </c>
    </row>
    <row r="630">
      <c r="A630" s="25" t="n"/>
      <c r="B630" s="45">
        <f>IF(A630="","",IFERROR(INDEX(Mitarbeiter!$B$6:$B$205,MATCH($A630,Mitarbeiter!$A$6:$A$205,0)),"?"))</f>
        <v/>
      </c>
      <c r="C630" s="46" t="n"/>
      <c r="D630" s="26" t="n"/>
      <c r="E630" s="26" t="n"/>
      <c r="F630" s="24">
        <f>IF(A630="","",SUM(L630:W630))</f>
        <v/>
      </c>
      <c r="G630" s="36">
        <f>IF(A630="","",SUM(X630:AI630))</f>
        <v/>
      </c>
      <c r="H630" s="8">
        <f>IF(A630="","",IF(ISNA(MATCH(A630,Mitarbeiter!$A$6:$A$205,0)),"Pers.-Nr. unbekannt",IF(D630="","Von fehlt",IF(AND(C630&lt;&gt;Einstellungen!$C$4,C630&lt;&gt;Einstellungen!$C$5),"Objekt fehlt",IF(J630&lt;D630,"Bis vor Von",IF(D630&lt;INDEX(Mitarbeiter!$C$6:$C$205,MATCH($A630,Mitarbeiter!$A$6:$A$205,0)),"vor Eintritt",IF(AND(INDEX(Mitarbeiter!$D$6:$D$205,MATCH($A630,Mitarbeiter!$A$6:$A$205,0))&lt;&gt;"",D630&gt;INDEX(Mitarbeiter!$D$6:$D$205,MATCH($A630,Mitarbeiter!$A$6:$A$205,0))),"nach Austritt",IF(E630="","offen","ok"))))))))</f>
        <v/>
      </c>
      <c r="J630" s="47">
        <f>IF(A630="","",IF(E630="",Einstellungen!$C$9,E630))</f>
        <v/>
      </c>
      <c r="K630" s="48">
        <f>IF(A630="",0,IFERROR(INDEX(Mitarbeiter!$F$6:$F$205,MATCH($A630,Mitarbeiter!$A$6:$A$205,0)),0))</f>
        <v/>
      </c>
      <c r="L630" s="49">
        <f>IF(OR(A630="",D630=""),0,MAX(0,NETWORKDAYS(MAX(D630,DATE(Einstellungen!$C$3,1,1)),MIN(J630,DATE(Einstellungen!$C$3,2,0)),Einstellungen!$F$13:$F$32)))</f>
        <v/>
      </c>
      <c r="M630" s="49">
        <f>IF(OR(A630="",D630=""),0,MAX(0,NETWORKDAYS(MAX(D630,DATE(Einstellungen!$C$3,2,1)),MIN(J630,DATE(Einstellungen!$C$3,3,0)),Einstellungen!$F$13:$F$32)))</f>
        <v/>
      </c>
      <c r="N630" s="49">
        <f>IF(OR(A630="",D630=""),0,MAX(0,NETWORKDAYS(MAX(D630,DATE(Einstellungen!$C$3,3,1)),MIN(J630,DATE(Einstellungen!$C$3,4,0)),Einstellungen!$F$13:$F$32)))</f>
        <v/>
      </c>
      <c r="O630" s="49">
        <f>IF(OR(A630="",D630=""),0,MAX(0,NETWORKDAYS(MAX(D630,DATE(Einstellungen!$C$3,4,1)),MIN(J630,DATE(Einstellungen!$C$3,5,0)),Einstellungen!$F$13:$F$32)))</f>
        <v/>
      </c>
      <c r="P630" s="49">
        <f>IF(OR(A630="",D630=""),0,MAX(0,NETWORKDAYS(MAX(D630,DATE(Einstellungen!$C$3,5,1)),MIN(J630,DATE(Einstellungen!$C$3,6,0)),Einstellungen!$F$13:$F$32)))</f>
        <v/>
      </c>
      <c r="Q630" s="49">
        <f>IF(OR(A630="",D630=""),0,MAX(0,NETWORKDAYS(MAX(D630,DATE(Einstellungen!$C$3,6,1)),MIN(J630,DATE(Einstellungen!$C$3,7,0)),Einstellungen!$F$13:$F$32)))</f>
        <v/>
      </c>
      <c r="R630" s="49">
        <f>IF(OR(A630="",D630=""),0,MAX(0,NETWORKDAYS(MAX(D630,DATE(Einstellungen!$C$3,7,1)),MIN(J630,DATE(Einstellungen!$C$3,8,0)),Einstellungen!$F$13:$F$32)))</f>
        <v/>
      </c>
      <c r="S630" s="49">
        <f>IF(OR(A630="",D630=""),0,MAX(0,NETWORKDAYS(MAX(D630,DATE(Einstellungen!$C$3,8,1)),MIN(J630,DATE(Einstellungen!$C$3,9,0)),Einstellungen!$F$13:$F$32)))</f>
        <v/>
      </c>
      <c r="T630" s="49">
        <f>IF(OR(A630="",D630=""),0,MAX(0,NETWORKDAYS(MAX(D630,DATE(Einstellungen!$C$3,9,1)),MIN(J630,DATE(Einstellungen!$C$3,10,0)),Einstellungen!$F$13:$F$32)))</f>
        <v/>
      </c>
      <c r="U630" s="49">
        <f>IF(OR(A630="",D630=""),0,MAX(0,NETWORKDAYS(MAX(D630,DATE(Einstellungen!$C$3,10,1)),MIN(J630,DATE(Einstellungen!$C$3,11,0)),Einstellungen!$F$13:$F$32)))</f>
        <v/>
      </c>
      <c r="V630" s="49">
        <f>IF(OR(A630="",D630=""),0,MAX(0,NETWORKDAYS(MAX(D630,DATE(Einstellungen!$C$3,11,1)),MIN(J630,DATE(Einstellungen!$C$3,12,0)),Einstellungen!$F$13:$F$32)))</f>
        <v/>
      </c>
      <c r="W630" s="49">
        <f>IF(OR(A630="",D630=""),0,MAX(0,NETWORKDAYS(MAX(D630,DATE(Einstellungen!$C$3,12,1)),MIN(J630,DATE(Einstellungen!$C$3,13,0)),Einstellungen!$F$13:$F$32)))</f>
        <v/>
      </c>
      <c r="X630" s="50">
        <f>L630*K630</f>
        <v/>
      </c>
      <c r="Y630" s="50">
        <f>M630*K630</f>
        <v/>
      </c>
      <c r="Z630" s="50">
        <f>N630*K630</f>
        <v/>
      </c>
      <c r="AA630" s="50">
        <f>O630*K630</f>
        <v/>
      </c>
      <c r="AB630" s="50">
        <f>P630*K630</f>
        <v/>
      </c>
      <c r="AC630" s="50">
        <f>Q630*K630</f>
        <v/>
      </c>
      <c r="AD630" s="50">
        <f>R630*K630</f>
        <v/>
      </c>
      <c r="AE630" s="50">
        <f>S630*K630</f>
        <v/>
      </c>
      <c r="AF630" s="50">
        <f>T630*K630</f>
        <v/>
      </c>
      <c r="AG630" s="50">
        <f>U630*K630</f>
        <v/>
      </c>
      <c r="AH630" s="50">
        <f>V630*K630</f>
        <v/>
      </c>
      <c r="AI630" s="50">
        <f>W630*K630</f>
        <v/>
      </c>
    </row>
    <row r="631">
      <c r="A631" s="25" t="n"/>
      <c r="B631" s="45">
        <f>IF(A631="","",IFERROR(INDEX(Mitarbeiter!$B$6:$B$205,MATCH($A631,Mitarbeiter!$A$6:$A$205,0)),"?"))</f>
        <v/>
      </c>
      <c r="C631" s="46" t="n"/>
      <c r="D631" s="26" t="n"/>
      <c r="E631" s="26" t="n"/>
      <c r="F631" s="24">
        <f>IF(A631="","",SUM(L631:W631))</f>
        <v/>
      </c>
      <c r="G631" s="36">
        <f>IF(A631="","",SUM(X631:AI631))</f>
        <v/>
      </c>
      <c r="H631" s="8">
        <f>IF(A631="","",IF(ISNA(MATCH(A631,Mitarbeiter!$A$6:$A$205,0)),"Pers.-Nr. unbekannt",IF(D631="","Von fehlt",IF(AND(C631&lt;&gt;Einstellungen!$C$4,C631&lt;&gt;Einstellungen!$C$5),"Objekt fehlt",IF(J631&lt;D631,"Bis vor Von",IF(D631&lt;INDEX(Mitarbeiter!$C$6:$C$205,MATCH($A631,Mitarbeiter!$A$6:$A$205,0)),"vor Eintritt",IF(AND(INDEX(Mitarbeiter!$D$6:$D$205,MATCH($A631,Mitarbeiter!$A$6:$A$205,0))&lt;&gt;"",D631&gt;INDEX(Mitarbeiter!$D$6:$D$205,MATCH($A631,Mitarbeiter!$A$6:$A$205,0))),"nach Austritt",IF(E631="","offen","ok"))))))))</f>
        <v/>
      </c>
      <c r="J631" s="47">
        <f>IF(A631="","",IF(E631="",Einstellungen!$C$9,E631))</f>
        <v/>
      </c>
      <c r="K631" s="48">
        <f>IF(A631="",0,IFERROR(INDEX(Mitarbeiter!$F$6:$F$205,MATCH($A631,Mitarbeiter!$A$6:$A$205,0)),0))</f>
        <v/>
      </c>
      <c r="L631" s="49">
        <f>IF(OR(A631="",D631=""),0,MAX(0,NETWORKDAYS(MAX(D631,DATE(Einstellungen!$C$3,1,1)),MIN(J631,DATE(Einstellungen!$C$3,2,0)),Einstellungen!$F$13:$F$32)))</f>
        <v/>
      </c>
      <c r="M631" s="49">
        <f>IF(OR(A631="",D631=""),0,MAX(0,NETWORKDAYS(MAX(D631,DATE(Einstellungen!$C$3,2,1)),MIN(J631,DATE(Einstellungen!$C$3,3,0)),Einstellungen!$F$13:$F$32)))</f>
        <v/>
      </c>
      <c r="N631" s="49">
        <f>IF(OR(A631="",D631=""),0,MAX(0,NETWORKDAYS(MAX(D631,DATE(Einstellungen!$C$3,3,1)),MIN(J631,DATE(Einstellungen!$C$3,4,0)),Einstellungen!$F$13:$F$32)))</f>
        <v/>
      </c>
      <c r="O631" s="49">
        <f>IF(OR(A631="",D631=""),0,MAX(0,NETWORKDAYS(MAX(D631,DATE(Einstellungen!$C$3,4,1)),MIN(J631,DATE(Einstellungen!$C$3,5,0)),Einstellungen!$F$13:$F$32)))</f>
        <v/>
      </c>
      <c r="P631" s="49">
        <f>IF(OR(A631="",D631=""),0,MAX(0,NETWORKDAYS(MAX(D631,DATE(Einstellungen!$C$3,5,1)),MIN(J631,DATE(Einstellungen!$C$3,6,0)),Einstellungen!$F$13:$F$32)))</f>
        <v/>
      </c>
      <c r="Q631" s="49">
        <f>IF(OR(A631="",D631=""),0,MAX(0,NETWORKDAYS(MAX(D631,DATE(Einstellungen!$C$3,6,1)),MIN(J631,DATE(Einstellungen!$C$3,7,0)),Einstellungen!$F$13:$F$32)))</f>
        <v/>
      </c>
      <c r="R631" s="49">
        <f>IF(OR(A631="",D631=""),0,MAX(0,NETWORKDAYS(MAX(D631,DATE(Einstellungen!$C$3,7,1)),MIN(J631,DATE(Einstellungen!$C$3,8,0)),Einstellungen!$F$13:$F$32)))</f>
        <v/>
      </c>
      <c r="S631" s="49">
        <f>IF(OR(A631="",D631=""),0,MAX(0,NETWORKDAYS(MAX(D631,DATE(Einstellungen!$C$3,8,1)),MIN(J631,DATE(Einstellungen!$C$3,9,0)),Einstellungen!$F$13:$F$32)))</f>
        <v/>
      </c>
      <c r="T631" s="49">
        <f>IF(OR(A631="",D631=""),0,MAX(0,NETWORKDAYS(MAX(D631,DATE(Einstellungen!$C$3,9,1)),MIN(J631,DATE(Einstellungen!$C$3,10,0)),Einstellungen!$F$13:$F$32)))</f>
        <v/>
      </c>
      <c r="U631" s="49">
        <f>IF(OR(A631="",D631=""),0,MAX(0,NETWORKDAYS(MAX(D631,DATE(Einstellungen!$C$3,10,1)),MIN(J631,DATE(Einstellungen!$C$3,11,0)),Einstellungen!$F$13:$F$32)))</f>
        <v/>
      </c>
      <c r="V631" s="49">
        <f>IF(OR(A631="",D631=""),0,MAX(0,NETWORKDAYS(MAX(D631,DATE(Einstellungen!$C$3,11,1)),MIN(J631,DATE(Einstellungen!$C$3,12,0)),Einstellungen!$F$13:$F$32)))</f>
        <v/>
      </c>
      <c r="W631" s="49">
        <f>IF(OR(A631="",D631=""),0,MAX(0,NETWORKDAYS(MAX(D631,DATE(Einstellungen!$C$3,12,1)),MIN(J631,DATE(Einstellungen!$C$3,13,0)),Einstellungen!$F$13:$F$32)))</f>
        <v/>
      </c>
      <c r="X631" s="50">
        <f>L631*K631</f>
        <v/>
      </c>
      <c r="Y631" s="50">
        <f>M631*K631</f>
        <v/>
      </c>
      <c r="Z631" s="50">
        <f>N631*K631</f>
        <v/>
      </c>
      <c r="AA631" s="50">
        <f>O631*K631</f>
        <v/>
      </c>
      <c r="AB631" s="50">
        <f>P631*K631</f>
        <v/>
      </c>
      <c r="AC631" s="50">
        <f>Q631*K631</f>
        <v/>
      </c>
      <c r="AD631" s="50">
        <f>R631*K631</f>
        <v/>
      </c>
      <c r="AE631" s="50">
        <f>S631*K631</f>
        <v/>
      </c>
      <c r="AF631" s="50">
        <f>T631*K631</f>
        <v/>
      </c>
      <c r="AG631" s="50">
        <f>U631*K631</f>
        <v/>
      </c>
      <c r="AH631" s="50">
        <f>V631*K631</f>
        <v/>
      </c>
      <c r="AI631" s="50">
        <f>W631*K631</f>
        <v/>
      </c>
    </row>
    <row r="632">
      <c r="A632" s="25" t="n"/>
      <c r="B632" s="45">
        <f>IF(A632="","",IFERROR(INDEX(Mitarbeiter!$B$6:$B$205,MATCH($A632,Mitarbeiter!$A$6:$A$205,0)),"?"))</f>
        <v/>
      </c>
      <c r="C632" s="46" t="n"/>
      <c r="D632" s="26" t="n"/>
      <c r="E632" s="26" t="n"/>
      <c r="F632" s="24">
        <f>IF(A632="","",SUM(L632:W632))</f>
        <v/>
      </c>
      <c r="G632" s="36">
        <f>IF(A632="","",SUM(X632:AI632))</f>
        <v/>
      </c>
      <c r="H632" s="8">
        <f>IF(A632="","",IF(ISNA(MATCH(A632,Mitarbeiter!$A$6:$A$205,0)),"Pers.-Nr. unbekannt",IF(D632="","Von fehlt",IF(AND(C632&lt;&gt;Einstellungen!$C$4,C632&lt;&gt;Einstellungen!$C$5),"Objekt fehlt",IF(J632&lt;D632,"Bis vor Von",IF(D632&lt;INDEX(Mitarbeiter!$C$6:$C$205,MATCH($A632,Mitarbeiter!$A$6:$A$205,0)),"vor Eintritt",IF(AND(INDEX(Mitarbeiter!$D$6:$D$205,MATCH($A632,Mitarbeiter!$A$6:$A$205,0))&lt;&gt;"",D632&gt;INDEX(Mitarbeiter!$D$6:$D$205,MATCH($A632,Mitarbeiter!$A$6:$A$205,0))),"nach Austritt",IF(E632="","offen","ok"))))))))</f>
        <v/>
      </c>
      <c r="J632" s="47">
        <f>IF(A632="","",IF(E632="",Einstellungen!$C$9,E632))</f>
        <v/>
      </c>
      <c r="K632" s="48">
        <f>IF(A632="",0,IFERROR(INDEX(Mitarbeiter!$F$6:$F$205,MATCH($A632,Mitarbeiter!$A$6:$A$205,0)),0))</f>
        <v/>
      </c>
      <c r="L632" s="49">
        <f>IF(OR(A632="",D632=""),0,MAX(0,NETWORKDAYS(MAX(D632,DATE(Einstellungen!$C$3,1,1)),MIN(J632,DATE(Einstellungen!$C$3,2,0)),Einstellungen!$F$13:$F$32)))</f>
        <v/>
      </c>
      <c r="M632" s="49">
        <f>IF(OR(A632="",D632=""),0,MAX(0,NETWORKDAYS(MAX(D632,DATE(Einstellungen!$C$3,2,1)),MIN(J632,DATE(Einstellungen!$C$3,3,0)),Einstellungen!$F$13:$F$32)))</f>
        <v/>
      </c>
      <c r="N632" s="49">
        <f>IF(OR(A632="",D632=""),0,MAX(0,NETWORKDAYS(MAX(D632,DATE(Einstellungen!$C$3,3,1)),MIN(J632,DATE(Einstellungen!$C$3,4,0)),Einstellungen!$F$13:$F$32)))</f>
        <v/>
      </c>
      <c r="O632" s="49">
        <f>IF(OR(A632="",D632=""),0,MAX(0,NETWORKDAYS(MAX(D632,DATE(Einstellungen!$C$3,4,1)),MIN(J632,DATE(Einstellungen!$C$3,5,0)),Einstellungen!$F$13:$F$32)))</f>
        <v/>
      </c>
      <c r="P632" s="49">
        <f>IF(OR(A632="",D632=""),0,MAX(0,NETWORKDAYS(MAX(D632,DATE(Einstellungen!$C$3,5,1)),MIN(J632,DATE(Einstellungen!$C$3,6,0)),Einstellungen!$F$13:$F$32)))</f>
        <v/>
      </c>
      <c r="Q632" s="49">
        <f>IF(OR(A632="",D632=""),0,MAX(0,NETWORKDAYS(MAX(D632,DATE(Einstellungen!$C$3,6,1)),MIN(J632,DATE(Einstellungen!$C$3,7,0)),Einstellungen!$F$13:$F$32)))</f>
        <v/>
      </c>
      <c r="R632" s="49">
        <f>IF(OR(A632="",D632=""),0,MAX(0,NETWORKDAYS(MAX(D632,DATE(Einstellungen!$C$3,7,1)),MIN(J632,DATE(Einstellungen!$C$3,8,0)),Einstellungen!$F$13:$F$32)))</f>
        <v/>
      </c>
      <c r="S632" s="49">
        <f>IF(OR(A632="",D632=""),0,MAX(0,NETWORKDAYS(MAX(D632,DATE(Einstellungen!$C$3,8,1)),MIN(J632,DATE(Einstellungen!$C$3,9,0)),Einstellungen!$F$13:$F$32)))</f>
        <v/>
      </c>
      <c r="T632" s="49">
        <f>IF(OR(A632="",D632=""),0,MAX(0,NETWORKDAYS(MAX(D632,DATE(Einstellungen!$C$3,9,1)),MIN(J632,DATE(Einstellungen!$C$3,10,0)),Einstellungen!$F$13:$F$32)))</f>
        <v/>
      </c>
      <c r="U632" s="49">
        <f>IF(OR(A632="",D632=""),0,MAX(0,NETWORKDAYS(MAX(D632,DATE(Einstellungen!$C$3,10,1)),MIN(J632,DATE(Einstellungen!$C$3,11,0)),Einstellungen!$F$13:$F$32)))</f>
        <v/>
      </c>
      <c r="V632" s="49">
        <f>IF(OR(A632="",D632=""),0,MAX(0,NETWORKDAYS(MAX(D632,DATE(Einstellungen!$C$3,11,1)),MIN(J632,DATE(Einstellungen!$C$3,12,0)),Einstellungen!$F$13:$F$32)))</f>
        <v/>
      </c>
      <c r="W632" s="49">
        <f>IF(OR(A632="",D632=""),0,MAX(0,NETWORKDAYS(MAX(D632,DATE(Einstellungen!$C$3,12,1)),MIN(J632,DATE(Einstellungen!$C$3,13,0)),Einstellungen!$F$13:$F$32)))</f>
        <v/>
      </c>
      <c r="X632" s="50">
        <f>L632*K632</f>
        <v/>
      </c>
      <c r="Y632" s="50">
        <f>M632*K632</f>
        <v/>
      </c>
      <c r="Z632" s="50">
        <f>N632*K632</f>
        <v/>
      </c>
      <c r="AA632" s="50">
        <f>O632*K632</f>
        <v/>
      </c>
      <c r="AB632" s="50">
        <f>P632*K632</f>
        <v/>
      </c>
      <c r="AC632" s="50">
        <f>Q632*K632</f>
        <v/>
      </c>
      <c r="AD632" s="50">
        <f>R632*K632</f>
        <v/>
      </c>
      <c r="AE632" s="50">
        <f>S632*K632</f>
        <v/>
      </c>
      <c r="AF632" s="50">
        <f>T632*K632</f>
        <v/>
      </c>
      <c r="AG632" s="50">
        <f>U632*K632</f>
        <v/>
      </c>
      <c r="AH632" s="50">
        <f>V632*K632</f>
        <v/>
      </c>
      <c r="AI632" s="50">
        <f>W632*K632</f>
        <v/>
      </c>
    </row>
    <row r="633">
      <c r="A633" s="25" t="n"/>
      <c r="B633" s="45">
        <f>IF(A633="","",IFERROR(INDEX(Mitarbeiter!$B$6:$B$205,MATCH($A633,Mitarbeiter!$A$6:$A$205,0)),"?"))</f>
        <v/>
      </c>
      <c r="C633" s="46" t="n"/>
      <c r="D633" s="26" t="n"/>
      <c r="E633" s="26" t="n"/>
      <c r="F633" s="24">
        <f>IF(A633="","",SUM(L633:W633))</f>
        <v/>
      </c>
      <c r="G633" s="36">
        <f>IF(A633="","",SUM(X633:AI633))</f>
        <v/>
      </c>
      <c r="H633" s="8">
        <f>IF(A633="","",IF(ISNA(MATCH(A633,Mitarbeiter!$A$6:$A$205,0)),"Pers.-Nr. unbekannt",IF(D633="","Von fehlt",IF(AND(C633&lt;&gt;Einstellungen!$C$4,C633&lt;&gt;Einstellungen!$C$5),"Objekt fehlt",IF(J633&lt;D633,"Bis vor Von",IF(D633&lt;INDEX(Mitarbeiter!$C$6:$C$205,MATCH($A633,Mitarbeiter!$A$6:$A$205,0)),"vor Eintritt",IF(AND(INDEX(Mitarbeiter!$D$6:$D$205,MATCH($A633,Mitarbeiter!$A$6:$A$205,0))&lt;&gt;"",D633&gt;INDEX(Mitarbeiter!$D$6:$D$205,MATCH($A633,Mitarbeiter!$A$6:$A$205,0))),"nach Austritt",IF(E633="","offen","ok"))))))))</f>
        <v/>
      </c>
      <c r="J633" s="47">
        <f>IF(A633="","",IF(E633="",Einstellungen!$C$9,E633))</f>
        <v/>
      </c>
      <c r="K633" s="48">
        <f>IF(A633="",0,IFERROR(INDEX(Mitarbeiter!$F$6:$F$205,MATCH($A633,Mitarbeiter!$A$6:$A$205,0)),0))</f>
        <v/>
      </c>
      <c r="L633" s="49">
        <f>IF(OR(A633="",D633=""),0,MAX(0,NETWORKDAYS(MAX(D633,DATE(Einstellungen!$C$3,1,1)),MIN(J633,DATE(Einstellungen!$C$3,2,0)),Einstellungen!$F$13:$F$32)))</f>
        <v/>
      </c>
      <c r="M633" s="49">
        <f>IF(OR(A633="",D633=""),0,MAX(0,NETWORKDAYS(MAX(D633,DATE(Einstellungen!$C$3,2,1)),MIN(J633,DATE(Einstellungen!$C$3,3,0)),Einstellungen!$F$13:$F$32)))</f>
        <v/>
      </c>
      <c r="N633" s="49">
        <f>IF(OR(A633="",D633=""),0,MAX(0,NETWORKDAYS(MAX(D633,DATE(Einstellungen!$C$3,3,1)),MIN(J633,DATE(Einstellungen!$C$3,4,0)),Einstellungen!$F$13:$F$32)))</f>
        <v/>
      </c>
      <c r="O633" s="49">
        <f>IF(OR(A633="",D633=""),0,MAX(0,NETWORKDAYS(MAX(D633,DATE(Einstellungen!$C$3,4,1)),MIN(J633,DATE(Einstellungen!$C$3,5,0)),Einstellungen!$F$13:$F$32)))</f>
        <v/>
      </c>
      <c r="P633" s="49">
        <f>IF(OR(A633="",D633=""),0,MAX(0,NETWORKDAYS(MAX(D633,DATE(Einstellungen!$C$3,5,1)),MIN(J633,DATE(Einstellungen!$C$3,6,0)),Einstellungen!$F$13:$F$32)))</f>
        <v/>
      </c>
      <c r="Q633" s="49">
        <f>IF(OR(A633="",D633=""),0,MAX(0,NETWORKDAYS(MAX(D633,DATE(Einstellungen!$C$3,6,1)),MIN(J633,DATE(Einstellungen!$C$3,7,0)),Einstellungen!$F$13:$F$32)))</f>
        <v/>
      </c>
      <c r="R633" s="49">
        <f>IF(OR(A633="",D633=""),0,MAX(0,NETWORKDAYS(MAX(D633,DATE(Einstellungen!$C$3,7,1)),MIN(J633,DATE(Einstellungen!$C$3,8,0)),Einstellungen!$F$13:$F$32)))</f>
        <v/>
      </c>
      <c r="S633" s="49">
        <f>IF(OR(A633="",D633=""),0,MAX(0,NETWORKDAYS(MAX(D633,DATE(Einstellungen!$C$3,8,1)),MIN(J633,DATE(Einstellungen!$C$3,9,0)),Einstellungen!$F$13:$F$32)))</f>
        <v/>
      </c>
      <c r="T633" s="49">
        <f>IF(OR(A633="",D633=""),0,MAX(0,NETWORKDAYS(MAX(D633,DATE(Einstellungen!$C$3,9,1)),MIN(J633,DATE(Einstellungen!$C$3,10,0)),Einstellungen!$F$13:$F$32)))</f>
        <v/>
      </c>
      <c r="U633" s="49">
        <f>IF(OR(A633="",D633=""),0,MAX(0,NETWORKDAYS(MAX(D633,DATE(Einstellungen!$C$3,10,1)),MIN(J633,DATE(Einstellungen!$C$3,11,0)),Einstellungen!$F$13:$F$32)))</f>
        <v/>
      </c>
      <c r="V633" s="49">
        <f>IF(OR(A633="",D633=""),0,MAX(0,NETWORKDAYS(MAX(D633,DATE(Einstellungen!$C$3,11,1)),MIN(J633,DATE(Einstellungen!$C$3,12,0)),Einstellungen!$F$13:$F$32)))</f>
        <v/>
      </c>
      <c r="W633" s="49">
        <f>IF(OR(A633="",D633=""),0,MAX(0,NETWORKDAYS(MAX(D633,DATE(Einstellungen!$C$3,12,1)),MIN(J633,DATE(Einstellungen!$C$3,13,0)),Einstellungen!$F$13:$F$32)))</f>
        <v/>
      </c>
      <c r="X633" s="50">
        <f>L633*K633</f>
        <v/>
      </c>
      <c r="Y633" s="50">
        <f>M633*K633</f>
        <v/>
      </c>
      <c r="Z633" s="50">
        <f>N633*K633</f>
        <v/>
      </c>
      <c r="AA633" s="50">
        <f>O633*K633</f>
        <v/>
      </c>
      <c r="AB633" s="50">
        <f>P633*K633</f>
        <v/>
      </c>
      <c r="AC633" s="50">
        <f>Q633*K633</f>
        <v/>
      </c>
      <c r="AD633" s="50">
        <f>R633*K633</f>
        <v/>
      </c>
      <c r="AE633" s="50">
        <f>S633*K633</f>
        <v/>
      </c>
      <c r="AF633" s="50">
        <f>T633*K633</f>
        <v/>
      </c>
      <c r="AG633" s="50">
        <f>U633*K633</f>
        <v/>
      </c>
      <c r="AH633" s="50">
        <f>V633*K633</f>
        <v/>
      </c>
      <c r="AI633" s="50">
        <f>W633*K633</f>
        <v/>
      </c>
    </row>
    <row r="634">
      <c r="A634" s="25" t="n"/>
      <c r="B634" s="45">
        <f>IF(A634="","",IFERROR(INDEX(Mitarbeiter!$B$6:$B$205,MATCH($A634,Mitarbeiter!$A$6:$A$205,0)),"?"))</f>
        <v/>
      </c>
      <c r="C634" s="46" t="n"/>
      <c r="D634" s="26" t="n"/>
      <c r="E634" s="26" t="n"/>
      <c r="F634" s="24">
        <f>IF(A634="","",SUM(L634:W634))</f>
        <v/>
      </c>
      <c r="G634" s="36">
        <f>IF(A634="","",SUM(X634:AI634))</f>
        <v/>
      </c>
      <c r="H634" s="8">
        <f>IF(A634="","",IF(ISNA(MATCH(A634,Mitarbeiter!$A$6:$A$205,0)),"Pers.-Nr. unbekannt",IF(D634="","Von fehlt",IF(AND(C634&lt;&gt;Einstellungen!$C$4,C634&lt;&gt;Einstellungen!$C$5),"Objekt fehlt",IF(J634&lt;D634,"Bis vor Von",IF(D634&lt;INDEX(Mitarbeiter!$C$6:$C$205,MATCH($A634,Mitarbeiter!$A$6:$A$205,0)),"vor Eintritt",IF(AND(INDEX(Mitarbeiter!$D$6:$D$205,MATCH($A634,Mitarbeiter!$A$6:$A$205,0))&lt;&gt;"",D634&gt;INDEX(Mitarbeiter!$D$6:$D$205,MATCH($A634,Mitarbeiter!$A$6:$A$205,0))),"nach Austritt",IF(E634="","offen","ok"))))))))</f>
        <v/>
      </c>
      <c r="J634" s="47">
        <f>IF(A634="","",IF(E634="",Einstellungen!$C$9,E634))</f>
        <v/>
      </c>
      <c r="K634" s="48">
        <f>IF(A634="",0,IFERROR(INDEX(Mitarbeiter!$F$6:$F$205,MATCH($A634,Mitarbeiter!$A$6:$A$205,0)),0))</f>
        <v/>
      </c>
      <c r="L634" s="49">
        <f>IF(OR(A634="",D634=""),0,MAX(0,NETWORKDAYS(MAX(D634,DATE(Einstellungen!$C$3,1,1)),MIN(J634,DATE(Einstellungen!$C$3,2,0)),Einstellungen!$F$13:$F$32)))</f>
        <v/>
      </c>
      <c r="M634" s="49">
        <f>IF(OR(A634="",D634=""),0,MAX(0,NETWORKDAYS(MAX(D634,DATE(Einstellungen!$C$3,2,1)),MIN(J634,DATE(Einstellungen!$C$3,3,0)),Einstellungen!$F$13:$F$32)))</f>
        <v/>
      </c>
      <c r="N634" s="49">
        <f>IF(OR(A634="",D634=""),0,MAX(0,NETWORKDAYS(MAX(D634,DATE(Einstellungen!$C$3,3,1)),MIN(J634,DATE(Einstellungen!$C$3,4,0)),Einstellungen!$F$13:$F$32)))</f>
        <v/>
      </c>
      <c r="O634" s="49">
        <f>IF(OR(A634="",D634=""),0,MAX(0,NETWORKDAYS(MAX(D634,DATE(Einstellungen!$C$3,4,1)),MIN(J634,DATE(Einstellungen!$C$3,5,0)),Einstellungen!$F$13:$F$32)))</f>
        <v/>
      </c>
      <c r="P634" s="49">
        <f>IF(OR(A634="",D634=""),0,MAX(0,NETWORKDAYS(MAX(D634,DATE(Einstellungen!$C$3,5,1)),MIN(J634,DATE(Einstellungen!$C$3,6,0)),Einstellungen!$F$13:$F$32)))</f>
        <v/>
      </c>
      <c r="Q634" s="49">
        <f>IF(OR(A634="",D634=""),0,MAX(0,NETWORKDAYS(MAX(D634,DATE(Einstellungen!$C$3,6,1)),MIN(J634,DATE(Einstellungen!$C$3,7,0)),Einstellungen!$F$13:$F$32)))</f>
        <v/>
      </c>
      <c r="R634" s="49">
        <f>IF(OR(A634="",D634=""),0,MAX(0,NETWORKDAYS(MAX(D634,DATE(Einstellungen!$C$3,7,1)),MIN(J634,DATE(Einstellungen!$C$3,8,0)),Einstellungen!$F$13:$F$32)))</f>
        <v/>
      </c>
      <c r="S634" s="49">
        <f>IF(OR(A634="",D634=""),0,MAX(0,NETWORKDAYS(MAX(D634,DATE(Einstellungen!$C$3,8,1)),MIN(J634,DATE(Einstellungen!$C$3,9,0)),Einstellungen!$F$13:$F$32)))</f>
        <v/>
      </c>
      <c r="T634" s="49">
        <f>IF(OR(A634="",D634=""),0,MAX(0,NETWORKDAYS(MAX(D634,DATE(Einstellungen!$C$3,9,1)),MIN(J634,DATE(Einstellungen!$C$3,10,0)),Einstellungen!$F$13:$F$32)))</f>
        <v/>
      </c>
      <c r="U634" s="49">
        <f>IF(OR(A634="",D634=""),0,MAX(0,NETWORKDAYS(MAX(D634,DATE(Einstellungen!$C$3,10,1)),MIN(J634,DATE(Einstellungen!$C$3,11,0)),Einstellungen!$F$13:$F$32)))</f>
        <v/>
      </c>
      <c r="V634" s="49">
        <f>IF(OR(A634="",D634=""),0,MAX(0,NETWORKDAYS(MAX(D634,DATE(Einstellungen!$C$3,11,1)),MIN(J634,DATE(Einstellungen!$C$3,12,0)),Einstellungen!$F$13:$F$32)))</f>
        <v/>
      </c>
      <c r="W634" s="49">
        <f>IF(OR(A634="",D634=""),0,MAX(0,NETWORKDAYS(MAX(D634,DATE(Einstellungen!$C$3,12,1)),MIN(J634,DATE(Einstellungen!$C$3,13,0)),Einstellungen!$F$13:$F$32)))</f>
        <v/>
      </c>
      <c r="X634" s="50">
        <f>L634*K634</f>
        <v/>
      </c>
      <c r="Y634" s="50">
        <f>M634*K634</f>
        <v/>
      </c>
      <c r="Z634" s="50">
        <f>N634*K634</f>
        <v/>
      </c>
      <c r="AA634" s="50">
        <f>O634*K634</f>
        <v/>
      </c>
      <c r="AB634" s="50">
        <f>P634*K634</f>
        <v/>
      </c>
      <c r="AC634" s="50">
        <f>Q634*K634</f>
        <v/>
      </c>
      <c r="AD634" s="50">
        <f>R634*K634</f>
        <v/>
      </c>
      <c r="AE634" s="50">
        <f>S634*K634</f>
        <v/>
      </c>
      <c r="AF634" s="50">
        <f>T634*K634</f>
        <v/>
      </c>
      <c r="AG634" s="50">
        <f>U634*K634</f>
        <v/>
      </c>
      <c r="AH634" s="50">
        <f>V634*K634</f>
        <v/>
      </c>
      <c r="AI634" s="50">
        <f>W634*K634</f>
        <v/>
      </c>
    </row>
    <row r="635">
      <c r="A635" s="25" t="n"/>
      <c r="B635" s="45">
        <f>IF(A635="","",IFERROR(INDEX(Mitarbeiter!$B$6:$B$205,MATCH($A635,Mitarbeiter!$A$6:$A$205,0)),"?"))</f>
        <v/>
      </c>
      <c r="C635" s="46" t="n"/>
      <c r="D635" s="26" t="n"/>
      <c r="E635" s="26" t="n"/>
      <c r="F635" s="24">
        <f>IF(A635="","",SUM(L635:W635))</f>
        <v/>
      </c>
      <c r="G635" s="36">
        <f>IF(A635="","",SUM(X635:AI635))</f>
        <v/>
      </c>
      <c r="H635" s="8">
        <f>IF(A635="","",IF(ISNA(MATCH(A635,Mitarbeiter!$A$6:$A$205,0)),"Pers.-Nr. unbekannt",IF(D635="","Von fehlt",IF(AND(C635&lt;&gt;Einstellungen!$C$4,C635&lt;&gt;Einstellungen!$C$5),"Objekt fehlt",IF(J635&lt;D635,"Bis vor Von",IF(D635&lt;INDEX(Mitarbeiter!$C$6:$C$205,MATCH($A635,Mitarbeiter!$A$6:$A$205,0)),"vor Eintritt",IF(AND(INDEX(Mitarbeiter!$D$6:$D$205,MATCH($A635,Mitarbeiter!$A$6:$A$205,0))&lt;&gt;"",D635&gt;INDEX(Mitarbeiter!$D$6:$D$205,MATCH($A635,Mitarbeiter!$A$6:$A$205,0))),"nach Austritt",IF(E635="","offen","ok"))))))))</f>
        <v/>
      </c>
      <c r="J635" s="47">
        <f>IF(A635="","",IF(E635="",Einstellungen!$C$9,E635))</f>
        <v/>
      </c>
      <c r="K635" s="48">
        <f>IF(A635="",0,IFERROR(INDEX(Mitarbeiter!$F$6:$F$205,MATCH($A635,Mitarbeiter!$A$6:$A$205,0)),0))</f>
        <v/>
      </c>
      <c r="L635" s="49">
        <f>IF(OR(A635="",D635=""),0,MAX(0,NETWORKDAYS(MAX(D635,DATE(Einstellungen!$C$3,1,1)),MIN(J635,DATE(Einstellungen!$C$3,2,0)),Einstellungen!$F$13:$F$32)))</f>
        <v/>
      </c>
      <c r="M635" s="49">
        <f>IF(OR(A635="",D635=""),0,MAX(0,NETWORKDAYS(MAX(D635,DATE(Einstellungen!$C$3,2,1)),MIN(J635,DATE(Einstellungen!$C$3,3,0)),Einstellungen!$F$13:$F$32)))</f>
        <v/>
      </c>
      <c r="N635" s="49">
        <f>IF(OR(A635="",D635=""),0,MAX(0,NETWORKDAYS(MAX(D635,DATE(Einstellungen!$C$3,3,1)),MIN(J635,DATE(Einstellungen!$C$3,4,0)),Einstellungen!$F$13:$F$32)))</f>
        <v/>
      </c>
      <c r="O635" s="49">
        <f>IF(OR(A635="",D635=""),0,MAX(0,NETWORKDAYS(MAX(D635,DATE(Einstellungen!$C$3,4,1)),MIN(J635,DATE(Einstellungen!$C$3,5,0)),Einstellungen!$F$13:$F$32)))</f>
        <v/>
      </c>
      <c r="P635" s="49">
        <f>IF(OR(A635="",D635=""),0,MAX(0,NETWORKDAYS(MAX(D635,DATE(Einstellungen!$C$3,5,1)),MIN(J635,DATE(Einstellungen!$C$3,6,0)),Einstellungen!$F$13:$F$32)))</f>
        <v/>
      </c>
      <c r="Q635" s="49">
        <f>IF(OR(A635="",D635=""),0,MAX(0,NETWORKDAYS(MAX(D635,DATE(Einstellungen!$C$3,6,1)),MIN(J635,DATE(Einstellungen!$C$3,7,0)),Einstellungen!$F$13:$F$32)))</f>
        <v/>
      </c>
      <c r="R635" s="49">
        <f>IF(OR(A635="",D635=""),0,MAX(0,NETWORKDAYS(MAX(D635,DATE(Einstellungen!$C$3,7,1)),MIN(J635,DATE(Einstellungen!$C$3,8,0)),Einstellungen!$F$13:$F$32)))</f>
        <v/>
      </c>
      <c r="S635" s="49">
        <f>IF(OR(A635="",D635=""),0,MAX(0,NETWORKDAYS(MAX(D635,DATE(Einstellungen!$C$3,8,1)),MIN(J635,DATE(Einstellungen!$C$3,9,0)),Einstellungen!$F$13:$F$32)))</f>
        <v/>
      </c>
      <c r="T635" s="49">
        <f>IF(OR(A635="",D635=""),0,MAX(0,NETWORKDAYS(MAX(D635,DATE(Einstellungen!$C$3,9,1)),MIN(J635,DATE(Einstellungen!$C$3,10,0)),Einstellungen!$F$13:$F$32)))</f>
        <v/>
      </c>
      <c r="U635" s="49">
        <f>IF(OR(A635="",D635=""),0,MAX(0,NETWORKDAYS(MAX(D635,DATE(Einstellungen!$C$3,10,1)),MIN(J635,DATE(Einstellungen!$C$3,11,0)),Einstellungen!$F$13:$F$32)))</f>
        <v/>
      </c>
      <c r="V635" s="49">
        <f>IF(OR(A635="",D635=""),0,MAX(0,NETWORKDAYS(MAX(D635,DATE(Einstellungen!$C$3,11,1)),MIN(J635,DATE(Einstellungen!$C$3,12,0)),Einstellungen!$F$13:$F$32)))</f>
        <v/>
      </c>
      <c r="W635" s="49">
        <f>IF(OR(A635="",D635=""),0,MAX(0,NETWORKDAYS(MAX(D635,DATE(Einstellungen!$C$3,12,1)),MIN(J635,DATE(Einstellungen!$C$3,13,0)),Einstellungen!$F$13:$F$32)))</f>
        <v/>
      </c>
      <c r="X635" s="50">
        <f>L635*K635</f>
        <v/>
      </c>
      <c r="Y635" s="50">
        <f>M635*K635</f>
        <v/>
      </c>
      <c r="Z635" s="50">
        <f>N635*K635</f>
        <v/>
      </c>
      <c r="AA635" s="50">
        <f>O635*K635</f>
        <v/>
      </c>
      <c r="AB635" s="50">
        <f>P635*K635</f>
        <v/>
      </c>
      <c r="AC635" s="50">
        <f>Q635*K635</f>
        <v/>
      </c>
      <c r="AD635" s="50">
        <f>R635*K635</f>
        <v/>
      </c>
      <c r="AE635" s="50">
        <f>S635*K635</f>
        <v/>
      </c>
      <c r="AF635" s="50">
        <f>T635*K635</f>
        <v/>
      </c>
      <c r="AG635" s="50">
        <f>U635*K635</f>
        <v/>
      </c>
      <c r="AH635" s="50">
        <f>V635*K635</f>
        <v/>
      </c>
      <c r="AI635" s="50">
        <f>W635*K635</f>
        <v/>
      </c>
    </row>
    <row r="636">
      <c r="A636" s="25" t="n"/>
      <c r="B636" s="45">
        <f>IF(A636="","",IFERROR(INDEX(Mitarbeiter!$B$6:$B$205,MATCH($A636,Mitarbeiter!$A$6:$A$205,0)),"?"))</f>
        <v/>
      </c>
      <c r="C636" s="46" t="n"/>
      <c r="D636" s="26" t="n"/>
      <c r="E636" s="26" t="n"/>
      <c r="F636" s="24">
        <f>IF(A636="","",SUM(L636:W636))</f>
        <v/>
      </c>
      <c r="G636" s="36">
        <f>IF(A636="","",SUM(X636:AI636))</f>
        <v/>
      </c>
      <c r="H636" s="8">
        <f>IF(A636="","",IF(ISNA(MATCH(A636,Mitarbeiter!$A$6:$A$205,0)),"Pers.-Nr. unbekannt",IF(D636="","Von fehlt",IF(AND(C636&lt;&gt;Einstellungen!$C$4,C636&lt;&gt;Einstellungen!$C$5),"Objekt fehlt",IF(J636&lt;D636,"Bis vor Von",IF(D636&lt;INDEX(Mitarbeiter!$C$6:$C$205,MATCH($A636,Mitarbeiter!$A$6:$A$205,0)),"vor Eintritt",IF(AND(INDEX(Mitarbeiter!$D$6:$D$205,MATCH($A636,Mitarbeiter!$A$6:$A$205,0))&lt;&gt;"",D636&gt;INDEX(Mitarbeiter!$D$6:$D$205,MATCH($A636,Mitarbeiter!$A$6:$A$205,0))),"nach Austritt",IF(E636="","offen","ok"))))))))</f>
        <v/>
      </c>
      <c r="J636" s="47">
        <f>IF(A636="","",IF(E636="",Einstellungen!$C$9,E636))</f>
        <v/>
      </c>
      <c r="K636" s="48">
        <f>IF(A636="",0,IFERROR(INDEX(Mitarbeiter!$F$6:$F$205,MATCH($A636,Mitarbeiter!$A$6:$A$205,0)),0))</f>
        <v/>
      </c>
      <c r="L636" s="49">
        <f>IF(OR(A636="",D636=""),0,MAX(0,NETWORKDAYS(MAX(D636,DATE(Einstellungen!$C$3,1,1)),MIN(J636,DATE(Einstellungen!$C$3,2,0)),Einstellungen!$F$13:$F$32)))</f>
        <v/>
      </c>
      <c r="M636" s="49">
        <f>IF(OR(A636="",D636=""),0,MAX(0,NETWORKDAYS(MAX(D636,DATE(Einstellungen!$C$3,2,1)),MIN(J636,DATE(Einstellungen!$C$3,3,0)),Einstellungen!$F$13:$F$32)))</f>
        <v/>
      </c>
      <c r="N636" s="49">
        <f>IF(OR(A636="",D636=""),0,MAX(0,NETWORKDAYS(MAX(D636,DATE(Einstellungen!$C$3,3,1)),MIN(J636,DATE(Einstellungen!$C$3,4,0)),Einstellungen!$F$13:$F$32)))</f>
        <v/>
      </c>
      <c r="O636" s="49">
        <f>IF(OR(A636="",D636=""),0,MAX(0,NETWORKDAYS(MAX(D636,DATE(Einstellungen!$C$3,4,1)),MIN(J636,DATE(Einstellungen!$C$3,5,0)),Einstellungen!$F$13:$F$32)))</f>
        <v/>
      </c>
      <c r="P636" s="49">
        <f>IF(OR(A636="",D636=""),0,MAX(0,NETWORKDAYS(MAX(D636,DATE(Einstellungen!$C$3,5,1)),MIN(J636,DATE(Einstellungen!$C$3,6,0)),Einstellungen!$F$13:$F$32)))</f>
        <v/>
      </c>
      <c r="Q636" s="49">
        <f>IF(OR(A636="",D636=""),0,MAX(0,NETWORKDAYS(MAX(D636,DATE(Einstellungen!$C$3,6,1)),MIN(J636,DATE(Einstellungen!$C$3,7,0)),Einstellungen!$F$13:$F$32)))</f>
        <v/>
      </c>
      <c r="R636" s="49">
        <f>IF(OR(A636="",D636=""),0,MAX(0,NETWORKDAYS(MAX(D636,DATE(Einstellungen!$C$3,7,1)),MIN(J636,DATE(Einstellungen!$C$3,8,0)),Einstellungen!$F$13:$F$32)))</f>
        <v/>
      </c>
      <c r="S636" s="49">
        <f>IF(OR(A636="",D636=""),0,MAX(0,NETWORKDAYS(MAX(D636,DATE(Einstellungen!$C$3,8,1)),MIN(J636,DATE(Einstellungen!$C$3,9,0)),Einstellungen!$F$13:$F$32)))</f>
        <v/>
      </c>
      <c r="T636" s="49">
        <f>IF(OR(A636="",D636=""),0,MAX(0,NETWORKDAYS(MAX(D636,DATE(Einstellungen!$C$3,9,1)),MIN(J636,DATE(Einstellungen!$C$3,10,0)),Einstellungen!$F$13:$F$32)))</f>
        <v/>
      </c>
      <c r="U636" s="49">
        <f>IF(OR(A636="",D636=""),0,MAX(0,NETWORKDAYS(MAX(D636,DATE(Einstellungen!$C$3,10,1)),MIN(J636,DATE(Einstellungen!$C$3,11,0)),Einstellungen!$F$13:$F$32)))</f>
        <v/>
      </c>
      <c r="V636" s="49">
        <f>IF(OR(A636="",D636=""),0,MAX(0,NETWORKDAYS(MAX(D636,DATE(Einstellungen!$C$3,11,1)),MIN(J636,DATE(Einstellungen!$C$3,12,0)),Einstellungen!$F$13:$F$32)))</f>
        <v/>
      </c>
      <c r="W636" s="49">
        <f>IF(OR(A636="",D636=""),0,MAX(0,NETWORKDAYS(MAX(D636,DATE(Einstellungen!$C$3,12,1)),MIN(J636,DATE(Einstellungen!$C$3,13,0)),Einstellungen!$F$13:$F$32)))</f>
        <v/>
      </c>
      <c r="X636" s="50">
        <f>L636*K636</f>
        <v/>
      </c>
      <c r="Y636" s="50">
        <f>M636*K636</f>
        <v/>
      </c>
      <c r="Z636" s="50">
        <f>N636*K636</f>
        <v/>
      </c>
      <c r="AA636" s="50">
        <f>O636*K636</f>
        <v/>
      </c>
      <c r="AB636" s="50">
        <f>P636*K636</f>
        <v/>
      </c>
      <c r="AC636" s="50">
        <f>Q636*K636</f>
        <v/>
      </c>
      <c r="AD636" s="50">
        <f>R636*K636</f>
        <v/>
      </c>
      <c r="AE636" s="50">
        <f>S636*K636</f>
        <v/>
      </c>
      <c r="AF636" s="50">
        <f>T636*K636</f>
        <v/>
      </c>
      <c r="AG636" s="50">
        <f>U636*K636</f>
        <v/>
      </c>
      <c r="AH636" s="50">
        <f>V636*K636</f>
        <v/>
      </c>
      <c r="AI636" s="50">
        <f>W636*K636</f>
        <v/>
      </c>
    </row>
    <row r="637">
      <c r="A637" s="25" t="n"/>
      <c r="B637" s="45">
        <f>IF(A637="","",IFERROR(INDEX(Mitarbeiter!$B$6:$B$205,MATCH($A637,Mitarbeiter!$A$6:$A$205,0)),"?"))</f>
        <v/>
      </c>
      <c r="C637" s="46" t="n"/>
      <c r="D637" s="26" t="n"/>
      <c r="E637" s="26" t="n"/>
      <c r="F637" s="24">
        <f>IF(A637="","",SUM(L637:W637))</f>
        <v/>
      </c>
      <c r="G637" s="36">
        <f>IF(A637="","",SUM(X637:AI637))</f>
        <v/>
      </c>
      <c r="H637" s="8">
        <f>IF(A637="","",IF(ISNA(MATCH(A637,Mitarbeiter!$A$6:$A$205,0)),"Pers.-Nr. unbekannt",IF(D637="","Von fehlt",IF(AND(C637&lt;&gt;Einstellungen!$C$4,C637&lt;&gt;Einstellungen!$C$5),"Objekt fehlt",IF(J637&lt;D637,"Bis vor Von",IF(D637&lt;INDEX(Mitarbeiter!$C$6:$C$205,MATCH($A637,Mitarbeiter!$A$6:$A$205,0)),"vor Eintritt",IF(AND(INDEX(Mitarbeiter!$D$6:$D$205,MATCH($A637,Mitarbeiter!$A$6:$A$205,0))&lt;&gt;"",D637&gt;INDEX(Mitarbeiter!$D$6:$D$205,MATCH($A637,Mitarbeiter!$A$6:$A$205,0))),"nach Austritt",IF(E637="","offen","ok"))))))))</f>
        <v/>
      </c>
      <c r="J637" s="47">
        <f>IF(A637="","",IF(E637="",Einstellungen!$C$9,E637))</f>
        <v/>
      </c>
      <c r="K637" s="48">
        <f>IF(A637="",0,IFERROR(INDEX(Mitarbeiter!$F$6:$F$205,MATCH($A637,Mitarbeiter!$A$6:$A$205,0)),0))</f>
        <v/>
      </c>
      <c r="L637" s="49">
        <f>IF(OR(A637="",D637=""),0,MAX(0,NETWORKDAYS(MAX(D637,DATE(Einstellungen!$C$3,1,1)),MIN(J637,DATE(Einstellungen!$C$3,2,0)),Einstellungen!$F$13:$F$32)))</f>
        <v/>
      </c>
      <c r="M637" s="49">
        <f>IF(OR(A637="",D637=""),0,MAX(0,NETWORKDAYS(MAX(D637,DATE(Einstellungen!$C$3,2,1)),MIN(J637,DATE(Einstellungen!$C$3,3,0)),Einstellungen!$F$13:$F$32)))</f>
        <v/>
      </c>
      <c r="N637" s="49">
        <f>IF(OR(A637="",D637=""),0,MAX(0,NETWORKDAYS(MAX(D637,DATE(Einstellungen!$C$3,3,1)),MIN(J637,DATE(Einstellungen!$C$3,4,0)),Einstellungen!$F$13:$F$32)))</f>
        <v/>
      </c>
      <c r="O637" s="49">
        <f>IF(OR(A637="",D637=""),0,MAX(0,NETWORKDAYS(MAX(D637,DATE(Einstellungen!$C$3,4,1)),MIN(J637,DATE(Einstellungen!$C$3,5,0)),Einstellungen!$F$13:$F$32)))</f>
        <v/>
      </c>
      <c r="P637" s="49">
        <f>IF(OR(A637="",D637=""),0,MAX(0,NETWORKDAYS(MAX(D637,DATE(Einstellungen!$C$3,5,1)),MIN(J637,DATE(Einstellungen!$C$3,6,0)),Einstellungen!$F$13:$F$32)))</f>
        <v/>
      </c>
      <c r="Q637" s="49">
        <f>IF(OR(A637="",D637=""),0,MAX(0,NETWORKDAYS(MAX(D637,DATE(Einstellungen!$C$3,6,1)),MIN(J637,DATE(Einstellungen!$C$3,7,0)),Einstellungen!$F$13:$F$32)))</f>
        <v/>
      </c>
      <c r="R637" s="49">
        <f>IF(OR(A637="",D637=""),0,MAX(0,NETWORKDAYS(MAX(D637,DATE(Einstellungen!$C$3,7,1)),MIN(J637,DATE(Einstellungen!$C$3,8,0)),Einstellungen!$F$13:$F$32)))</f>
        <v/>
      </c>
      <c r="S637" s="49">
        <f>IF(OR(A637="",D637=""),0,MAX(0,NETWORKDAYS(MAX(D637,DATE(Einstellungen!$C$3,8,1)),MIN(J637,DATE(Einstellungen!$C$3,9,0)),Einstellungen!$F$13:$F$32)))</f>
        <v/>
      </c>
      <c r="T637" s="49">
        <f>IF(OR(A637="",D637=""),0,MAX(0,NETWORKDAYS(MAX(D637,DATE(Einstellungen!$C$3,9,1)),MIN(J637,DATE(Einstellungen!$C$3,10,0)),Einstellungen!$F$13:$F$32)))</f>
        <v/>
      </c>
      <c r="U637" s="49">
        <f>IF(OR(A637="",D637=""),0,MAX(0,NETWORKDAYS(MAX(D637,DATE(Einstellungen!$C$3,10,1)),MIN(J637,DATE(Einstellungen!$C$3,11,0)),Einstellungen!$F$13:$F$32)))</f>
        <v/>
      </c>
      <c r="V637" s="49">
        <f>IF(OR(A637="",D637=""),0,MAX(0,NETWORKDAYS(MAX(D637,DATE(Einstellungen!$C$3,11,1)),MIN(J637,DATE(Einstellungen!$C$3,12,0)),Einstellungen!$F$13:$F$32)))</f>
        <v/>
      </c>
      <c r="W637" s="49">
        <f>IF(OR(A637="",D637=""),0,MAX(0,NETWORKDAYS(MAX(D637,DATE(Einstellungen!$C$3,12,1)),MIN(J637,DATE(Einstellungen!$C$3,13,0)),Einstellungen!$F$13:$F$32)))</f>
        <v/>
      </c>
      <c r="X637" s="50">
        <f>L637*K637</f>
        <v/>
      </c>
      <c r="Y637" s="50">
        <f>M637*K637</f>
        <v/>
      </c>
      <c r="Z637" s="50">
        <f>N637*K637</f>
        <v/>
      </c>
      <c r="AA637" s="50">
        <f>O637*K637</f>
        <v/>
      </c>
      <c r="AB637" s="50">
        <f>P637*K637</f>
        <v/>
      </c>
      <c r="AC637" s="50">
        <f>Q637*K637</f>
        <v/>
      </c>
      <c r="AD637" s="50">
        <f>R637*K637</f>
        <v/>
      </c>
      <c r="AE637" s="50">
        <f>S637*K637</f>
        <v/>
      </c>
      <c r="AF637" s="50">
        <f>T637*K637</f>
        <v/>
      </c>
      <c r="AG637" s="50">
        <f>U637*K637</f>
        <v/>
      </c>
      <c r="AH637" s="50">
        <f>V637*K637</f>
        <v/>
      </c>
      <c r="AI637" s="50">
        <f>W637*K637</f>
        <v/>
      </c>
    </row>
    <row r="638">
      <c r="A638" s="25" t="n"/>
      <c r="B638" s="45">
        <f>IF(A638="","",IFERROR(INDEX(Mitarbeiter!$B$6:$B$205,MATCH($A638,Mitarbeiter!$A$6:$A$205,0)),"?"))</f>
        <v/>
      </c>
      <c r="C638" s="46" t="n"/>
      <c r="D638" s="26" t="n"/>
      <c r="E638" s="26" t="n"/>
      <c r="F638" s="24">
        <f>IF(A638="","",SUM(L638:W638))</f>
        <v/>
      </c>
      <c r="G638" s="36">
        <f>IF(A638="","",SUM(X638:AI638))</f>
        <v/>
      </c>
      <c r="H638" s="8">
        <f>IF(A638="","",IF(ISNA(MATCH(A638,Mitarbeiter!$A$6:$A$205,0)),"Pers.-Nr. unbekannt",IF(D638="","Von fehlt",IF(AND(C638&lt;&gt;Einstellungen!$C$4,C638&lt;&gt;Einstellungen!$C$5),"Objekt fehlt",IF(J638&lt;D638,"Bis vor Von",IF(D638&lt;INDEX(Mitarbeiter!$C$6:$C$205,MATCH($A638,Mitarbeiter!$A$6:$A$205,0)),"vor Eintritt",IF(AND(INDEX(Mitarbeiter!$D$6:$D$205,MATCH($A638,Mitarbeiter!$A$6:$A$205,0))&lt;&gt;"",D638&gt;INDEX(Mitarbeiter!$D$6:$D$205,MATCH($A638,Mitarbeiter!$A$6:$A$205,0))),"nach Austritt",IF(E638="","offen","ok"))))))))</f>
        <v/>
      </c>
      <c r="J638" s="47">
        <f>IF(A638="","",IF(E638="",Einstellungen!$C$9,E638))</f>
        <v/>
      </c>
      <c r="K638" s="48">
        <f>IF(A638="",0,IFERROR(INDEX(Mitarbeiter!$F$6:$F$205,MATCH($A638,Mitarbeiter!$A$6:$A$205,0)),0))</f>
        <v/>
      </c>
      <c r="L638" s="49">
        <f>IF(OR(A638="",D638=""),0,MAX(0,NETWORKDAYS(MAX(D638,DATE(Einstellungen!$C$3,1,1)),MIN(J638,DATE(Einstellungen!$C$3,2,0)),Einstellungen!$F$13:$F$32)))</f>
        <v/>
      </c>
      <c r="M638" s="49">
        <f>IF(OR(A638="",D638=""),0,MAX(0,NETWORKDAYS(MAX(D638,DATE(Einstellungen!$C$3,2,1)),MIN(J638,DATE(Einstellungen!$C$3,3,0)),Einstellungen!$F$13:$F$32)))</f>
        <v/>
      </c>
      <c r="N638" s="49">
        <f>IF(OR(A638="",D638=""),0,MAX(0,NETWORKDAYS(MAX(D638,DATE(Einstellungen!$C$3,3,1)),MIN(J638,DATE(Einstellungen!$C$3,4,0)),Einstellungen!$F$13:$F$32)))</f>
        <v/>
      </c>
      <c r="O638" s="49">
        <f>IF(OR(A638="",D638=""),0,MAX(0,NETWORKDAYS(MAX(D638,DATE(Einstellungen!$C$3,4,1)),MIN(J638,DATE(Einstellungen!$C$3,5,0)),Einstellungen!$F$13:$F$32)))</f>
        <v/>
      </c>
      <c r="P638" s="49">
        <f>IF(OR(A638="",D638=""),0,MAX(0,NETWORKDAYS(MAX(D638,DATE(Einstellungen!$C$3,5,1)),MIN(J638,DATE(Einstellungen!$C$3,6,0)),Einstellungen!$F$13:$F$32)))</f>
        <v/>
      </c>
      <c r="Q638" s="49">
        <f>IF(OR(A638="",D638=""),0,MAX(0,NETWORKDAYS(MAX(D638,DATE(Einstellungen!$C$3,6,1)),MIN(J638,DATE(Einstellungen!$C$3,7,0)),Einstellungen!$F$13:$F$32)))</f>
        <v/>
      </c>
      <c r="R638" s="49">
        <f>IF(OR(A638="",D638=""),0,MAX(0,NETWORKDAYS(MAX(D638,DATE(Einstellungen!$C$3,7,1)),MIN(J638,DATE(Einstellungen!$C$3,8,0)),Einstellungen!$F$13:$F$32)))</f>
        <v/>
      </c>
      <c r="S638" s="49">
        <f>IF(OR(A638="",D638=""),0,MAX(0,NETWORKDAYS(MAX(D638,DATE(Einstellungen!$C$3,8,1)),MIN(J638,DATE(Einstellungen!$C$3,9,0)),Einstellungen!$F$13:$F$32)))</f>
        <v/>
      </c>
      <c r="T638" s="49">
        <f>IF(OR(A638="",D638=""),0,MAX(0,NETWORKDAYS(MAX(D638,DATE(Einstellungen!$C$3,9,1)),MIN(J638,DATE(Einstellungen!$C$3,10,0)),Einstellungen!$F$13:$F$32)))</f>
        <v/>
      </c>
      <c r="U638" s="49">
        <f>IF(OR(A638="",D638=""),0,MAX(0,NETWORKDAYS(MAX(D638,DATE(Einstellungen!$C$3,10,1)),MIN(J638,DATE(Einstellungen!$C$3,11,0)),Einstellungen!$F$13:$F$32)))</f>
        <v/>
      </c>
      <c r="V638" s="49">
        <f>IF(OR(A638="",D638=""),0,MAX(0,NETWORKDAYS(MAX(D638,DATE(Einstellungen!$C$3,11,1)),MIN(J638,DATE(Einstellungen!$C$3,12,0)),Einstellungen!$F$13:$F$32)))</f>
        <v/>
      </c>
      <c r="W638" s="49">
        <f>IF(OR(A638="",D638=""),0,MAX(0,NETWORKDAYS(MAX(D638,DATE(Einstellungen!$C$3,12,1)),MIN(J638,DATE(Einstellungen!$C$3,13,0)),Einstellungen!$F$13:$F$32)))</f>
        <v/>
      </c>
      <c r="X638" s="50">
        <f>L638*K638</f>
        <v/>
      </c>
      <c r="Y638" s="50">
        <f>M638*K638</f>
        <v/>
      </c>
      <c r="Z638" s="50">
        <f>N638*K638</f>
        <v/>
      </c>
      <c r="AA638" s="50">
        <f>O638*K638</f>
        <v/>
      </c>
      <c r="AB638" s="50">
        <f>P638*K638</f>
        <v/>
      </c>
      <c r="AC638" s="50">
        <f>Q638*K638</f>
        <v/>
      </c>
      <c r="AD638" s="50">
        <f>R638*K638</f>
        <v/>
      </c>
      <c r="AE638" s="50">
        <f>S638*K638</f>
        <v/>
      </c>
      <c r="AF638" s="50">
        <f>T638*K638</f>
        <v/>
      </c>
      <c r="AG638" s="50">
        <f>U638*K638</f>
        <v/>
      </c>
      <c r="AH638" s="50">
        <f>V638*K638</f>
        <v/>
      </c>
      <c r="AI638" s="50">
        <f>W638*K638</f>
        <v/>
      </c>
    </row>
    <row r="639">
      <c r="A639" s="25" t="n"/>
      <c r="B639" s="45">
        <f>IF(A639="","",IFERROR(INDEX(Mitarbeiter!$B$6:$B$205,MATCH($A639,Mitarbeiter!$A$6:$A$205,0)),"?"))</f>
        <v/>
      </c>
      <c r="C639" s="46" t="n"/>
      <c r="D639" s="26" t="n"/>
      <c r="E639" s="26" t="n"/>
      <c r="F639" s="24">
        <f>IF(A639="","",SUM(L639:W639))</f>
        <v/>
      </c>
      <c r="G639" s="36">
        <f>IF(A639="","",SUM(X639:AI639))</f>
        <v/>
      </c>
      <c r="H639" s="8">
        <f>IF(A639="","",IF(ISNA(MATCH(A639,Mitarbeiter!$A$6:$A$205,0)),"Pers.-Nr. unbekannt",IF(D639="","Von fehlt",IF(AND(C639&lt;&gt;Einstellungen!$C$4,C639&lt;&gt;Einstellungen!$C$5),"Objekt fehlt",IF(J639&lt;D639,"Bis vor Von",IF(D639&lt;INDEX(Mitarbeiter!$C$6:$C$205,MATCH($A639,Mitarbeiter!$A$6:$A$205,0)),"vor Eintritt",IF(AND(INDEX(Mitarbeiter!$D$6:$D$205,MATCH($A639,Mitarbeiter!$A$6:$A$205,0))&lt;&gt;"",D639&gt;INDEX(Mitarbeiter!$D$6:$D$205,MATCH($A639,Mitarbeiter!$A$6:$A$205,0))),"nach Austritt",IF(E639="","offen","ok"))))))))</f>
        <v/>
      </c>
      <c r="J639" s="47">
        <f>IF(A639="","",IF(E639="",Einstellungen!$C$9,E639))</f>
        <v/>
      </c>
      <c r="K639" s="48">
        <f>IF(A639="",0,IFERROR(INDEX(Mitarbeiter!$F$6:$F$205,MATCH($A639,Mitarbeiter!$A$6:$A$205,0)),0))</f>
        <v/>
      </c>
      <c r="L639" s="49">
        <f>IF(OR(A639="",D639=""),0,MAX(0,NETWORKDAYS(MAX(D639,DATE(Einstellungen!$C$3,1,1)),MIN(J639,DATE(Einstellungen!$C$3,2,0)),Einstellungen!$F$13:$F$32)))</f>
        <v/>
      </c>
      <c r="M639" s="49">
        <f>IF(OR(A639="",D639=""),0,MAX(0,NETWORKDAYS(MAX(D639,DATE(Einstellungen!$C$3,2,1)),MIN(J639,DATE(Einstellungen!$C$3,3,0)),Einstellungen!$F$13:$F$32)))</f>
        <v/>
      </c>
      <c r="N639" s="49">
        <f>IF(OR(A639="",D639=""),0,MAX(0,NETWORKDAYS(MAX(D639,DATE(Einstellungen!$C$3,3,1)),MIN(J639,DATE(Einstellungen!$C$3,4,0)),Einstellungen!$F$13:$F$32)))</f>
        <v/>
      </c>
      <c r="O639" s="49">
        <f>IF(OR(A639="",D639=""),0,MAX(0,NETWORKDAYS(MAX(D639,DATE(Einstellungen!$C$3,4,1)),MIN(J639,DATE(Einstellungen!$C$3,5,0)),Einstellungen!$F$13:$F$32)))</f>
        <v/>
      </c>
      <c r="P639" s="49">
        <f>IF(OR(A639="",D639=""),0,MAX(0,NETWORKDAYS(MAX(D639,DATE(Einstellungen!$C$3,5,1)),MIN(J639,DATE(Einstellungen!$C$3,6,0)),Einstellungen!$F$13:$F$32)))</f>
        <v/>
      </c>
      <c r="Q639" s="49">
        <f>IF(OR(A639="",D639=""),0,MAX(0,NETWORKDAYS(MAX(D639,DATE(Einstellungen!$C$3,6,1)),MIN(J639,DATE(Einstellungen!$C$3,7,0)),Einstellungen!$F$13:$F$32)))</f>
        <v/>
      </c>
      <c r="R639" s="49">
        <f>IF(OR(A639="",D639=""),0,MAX(0,NETWORKDAYS(MAX(D639,DATE(Einstellungen!$C$3,7,1)),MIN(J639,DATE(Einstellungen!$C$3,8,0)),Einstellungen!$F$13:$F$32)))</f>
        <v/>
      </c>
      <c r="S639" s="49">
        <f>IF(OR(A639="",D639=""),0,MAX(0,NETWORKDAYS(MAX(D639,DATE(Einstellungen!$C$3,8,1)),MIN(J639,DATE(Einstellungen!$C$3,9,0)),Einstellungen!$F$13:$F$32)))</f>
        <v/>
      </c>
      <c r="T639" s="49">
        <f>IF(OR(A639="",D639=""),0,MAX(0,NETWORKDAYS(MAX(D639,DATE(Einstellungen!$C$3,9,1)),MIN(J639,DATE(Einstellungen!$C$3,10,0)),Einstellungen!$F$13:$F$32)))</f>
        <v/>
      </c>
      <c r="U639" s="49">
        <f>IF(OR(A639="",D639=""),0,MAX(0,NETWORKDAYS(MAX(D639,DATE(Einstellungen!$C$3,10,1)),MIN(J639,DATE(Einstellungen!$C$3,11,0)),Einstellungen!$F$13:$F$32)))</f>
        <v/>
      </c>
      <c r="V639" s="49">
        <f>IF(OR(A639="",D639=""),0,MAX(0,NETWORKDAYS(MAX(D639,DATE(Einstellungen!$C$3,11,1)),MIN(J639,DATE(Einstellungen!$C$3,12,0)),Einstellungen!$F$13:$F$32)))</f>
        <v/>
      </c>
      <c r="W639" s="49">
        <f>IF(OR(A639="",D639=""),0,MAX(0,NETWORKDAYS(MAX(D639,DATE(Einstellungen!$C$3,12,1)),MIN(J639,DATE(Einstellungen!$C$3,13,0)),Einstellungen!$F$13:$F$32)))</f>
        <v/>
      </c>
      <c r="X639" s="50">
        <f>L639*K639</f>
        <v/>
      </c>
      <c r="Y639" s="50">
        <f>M639*K639</f>
        <v/>
      </c>
      <c r="Z639" s="50">
        <f>N639*K639</f>
        <v/>
      </c>
      <c r="AA639" s="50">
        <f>O639*K639</f>
        <v/>
      </c>
      <c r="AB639" s="50">
        <f>P639*K639</f>
        <v/>
      </c>
      <c r="AC639" s="50">
        <f>Q639*K639</f>
        <v/>
      </c>
      <c r="AD639" s="50">
        <f>R639*K639</f>
        <v/>
      </c>
      <c r="AE639" s="50">
        <f>S639*K639</f>
        <v/>
      </c>
      <c r="AF639" s="50">
        <f>T639*K639</f>
        <v/>
      </c>
      <c r="AG639" s="50">
        <f>U639*K639</f>
        <v/>
      </c>
      <c r="AH639" s="50">
        <f>V639*K639</f>
        <v/>
      </c>
      <c r="AI639" s="50">
        <f>W639*K639</f>
        <v/>
      </c>
    </row>
    <row r="640">
      <c r="A640" s="25" t="n"/>
      <c r="B640" s="45">
        <f>IF(A640="","",IFERROR(INDEX(Mitarbeiter!$B$6:$B$205,MATCH($A640,Mitarbeiter!$A$6:$A$205,0)),"?"))</f>
        <v/>
      </c>
      <c r="C640" s="46" t="n"/>
      <c r="D640" s="26" t="n"/>
      <c r="E640" s="26" t="n"/>
      <c r="F640" s="24">
        <f>IF(A640="","",SUM(L640:W640))</f>
        <v/>
      </c>
      <c r="G640" s="36">
        <f>IF(A640="","",SUM(X640:AI640))</f>
        <v/>
      </c>
      <c r="H640" s="8">
        <f>IF(A640="","",IF(ISNA(MATCH(A640,Mitarbeiter!$A$6:$A$205,0)),"Pers.-Nr. unbekannt",IF(D640="","Von fehlt",IF(AND(C640&lt;&gt;Einstellungen!$C$4,C640&lt;&gt;Einstellungen!$C$5),"Objekt fehlt",IF(J640&lt;D640,"Bis vor Von",IF(D640&lt;INDEX(Mitarbeiter!$C$6:$C$205,MATCH($A640,Mitarbeiter!$A$6:$A$205,0)),"vor Eintritt",IF(AND(INDEX(Mitarbeiter!$D$6:$D$205,MATCH($A640,Mitarbeiter!$A$6:$A$205,0))&lt;&gt;"",D640&gt;INDEX(Mitarbeiter!$D$6:$D$205,MATCH($A640,Mitarbeiter!$A$6:$A$205,0))),"nach Austritt",IF(E640="","offen","ok"))))))))</f>
        <v/>
      </c>
      <c r="J640" s="47">
        <f>IF(A640="","",IF(E640="",Einstellungen!$C$9,E640))</f>
        <v/>
      </c>
      <c r="K640" s="48">
        <f>IF(A640="",0,IFERROR(INDEX(Mitarbeiter!$F$6:$F$205,MATCH($A640,Mitarbeiter!$A$6:$A$205,0)),0))</f>
        <v/>
      </c>
      <c r="L640" s="49">
        <f>IF(OR(A640="",D640=""),0,MAX(0,NETWORKDAYS(MAX(D640,DATE(Einstellungen!$C$3,1,1)),MIN(J640,DATE(Einstellungen!$C$3,2,0)),Einstellungen!$F$13:$F$32)))</f>
        <v/>
      </c>
      <c r="M640" s="49">
        <f>IF(OR(A640="",D640=""),0,MAX(0,NETWORKDAYS(MAX(D640,DATE(Einstellungen!$C$3,2,1)),MIN(J640,DATE(Einstellungen!$C$3,3,0)),Einstellungen!$F$13:$F$32)))</f>
        <v/>
      </c>
      <c r="N640" s="49">
        <f>IF(OR(A640="",D640=""),0,MAX(0,NETWORKDAYS(MAX(D640,DATE(Einstellungen!$C$3,3,1)),MIN(J640,DATE(Einstellungen!$C$3,4,0)),Einstellungen!$F$13:$F$32)))</f>
        <v/>
      </c>
      <c r="O640" s="49">
        <f>IF(OR(A640="",D640=""),0,MAX(0,NETWORKDAYS(MAX(D640,DATE(Einstellungen!$C$3,4,1)),MIN(J640,DATE(Einstellungen!$C$3,5,0)),Einstellungen!$F$13:$F$32)))</f>
        <v/>
      </c>
      <c r="P640" s="49">
        <f>IF(OR(A640="",D640=""),0,MAX(0,NETWORKDAYS(MAX(D640,DATE(Einstellungen!$C$3,5,1)),MIN(J640,DATE(Einstellungen!$C$3,6,0)),Einstellungen!$F$13:$F$32)))</f>
        <v/>
      </c>
      <c r="Q640" s="49">
        <f>IF(OR(A640="",D640=""),0,MAX(0,NETWORKDAYS(MAX(D640,DATE(Einstellungen!$C$3,6,1)),MIN(J640,DATE(Einstellungen!$C$3,7,0)),Einstellungen!$F$13:$F$32)))</f>
        <v/>
      </c>
      <c r="R640" s="49">
        <f>IF(OR(A640="",D640=""),0,MAX(0,NETWORKDAYS(MAX(D640,DATE(Einstellungen!$C$3,7,1)),MIN(J640,DATE(Einstellungen!$C$3,8,0)),Einstellungen!$F$13:$F$32)))</f>
        <v/>
      </c>
      <c r="S640" s="49">
        <f>IF(OR(A640="",D640=""),0,MAX(0,NETWORKDAYS(MAX(D640,DATE(Einstellungen!$C$3,8,1)),MIN(J640,DATE(Einstellungen!$C$3,9,0)),Einstellungen!$F$13:$F$32)))</f>
        <v/>
      </c>
      <c r="T640" s="49">
        <f>IF(OR(A640="",D640=""),0,MAX(0,NETWORKDAYS(MAX(D640,DATE(Einstellungen!$C$3,9,1)),MIN(J640,DATE(Einstellungen!$C$3,10,0)),Einstellungen!$F$13:$F$32)))</f>
        <v/>
      </c>
      <c r="U640" s="49">
        <f>IF(OR(A640="",D640=""),0,MAX(0,NETWORKDAYS(MAX(D640,DATE(Einstellungen!$C$3,10,1)),MIN(J640,DATE(Einstellungen!$C$3,11,0)),Einstellungen!$F$13:$F$32)))</f>
        <v/>
      </c>
      <c r="V640" s="49">
        <f>IF(OR(A640="",D640=""),0,MAX(0,NETWORKDAYS(MAX(D640,DATE(Einstellungen!$C$3,11,1)),MIN(J640,DATE(Einstellungen!$C$3,12,0)),Einstellungen!$F$13:$F$32)))</f>
        <v/>
      </c>
      <c r="W640" s="49">
        <f>IF(OR(A640="",D640=""),0,MAX(0,NETWORKDAYS(MAX(D640,DATE(Einstellungen!$C$3,12,1)),MIN(J640,DATE(Einstellungen!$C$3,13,0)),Einstellungen!$F$13:$F$32)))</f>
        <v/>
      </c>
      <c r="X640" s="50">
        <f>L640*K640</f>
        <v/>
      </c>
      <c r="Y640" s="50">
        <f>M640*K640</f>
        <v/>
      </c>
      <c r="Z640" s="50">
        <f>N640*K640</f>
        <v/>
      </c>
      <c r="AA640" s="50">
        <f>O640*K640</f>
        <v/>
      </c>
      <c r="AB640" s="50">
        <f>P640*K640</f>
        <v/>
      </c>
      <c r="AC640" s="50">
        <f>Q640*K640</f>
        <v/>
      </c>
      <c r="AD640" s="50">
        <f>R640*K640</f>
        <v/>
      </c>
      <c r="AE640" s="50">
        <f>S640*K640</f>
        <v/>
      </c>
      <c r="AF640" s="50">
        <f>T640*K640</f>
        <v/>
      </c>
      <c r="AG640" s="50">
        <f>U640*K640</f>
        <v/>
      </c>
      <c r="AH640" s="50">
        <f>V640*K640</f>
        <v/>
      </c>
      <c r="AI640" s="50">
        <f>W640*K640</f>
        <v/>
      </c>
    </row>
    <row r="641">
      <c r="A641" s="25" t="n"/>
      <c r="B641" s="45">
        <f>IF(A641="","",IFERROR(INDEX(Mitarbeiter!$B$6:$B$205,MATCH($A641,Mitarbeiter!$A$6:$A$205,0)),"?"))</f>
        <v/>
      </c>
      <c r="C641" s="46" t="n"/>
      <c r="D641" s="26" t="n"/>
      <c r="E641" s="26" t="n"/>
      <c r="F641" s="24">
        <f>IF(A641="","",SUM(L641:W641))</f>
        <v/>
      </c>
      <c r="G641" s="36">
        <f>IF(A641="","",SUM(X641:AI641))</f>
        <v/>
      </c>
      <c r="H641" s="8">
        <f>IF(A641="","",IF(ISNA(MATCH(A641,Mitarbeiter!$A$6:$A$205,0)),"Pers.-Nr. unbekannt",IF(D641="","Von fehlt",IF(AND(C641&lt;&gt;Einstellungen!$C$4,C641&lt;&gt;Einstellungen!$C$5),"Objekt fehlt",IF(J641&lt;D641,"Bis vor Von",IF(D641&lt;INDEX(Mitarbeiter!$C$6:$C$205,MATCH($A641,Mitarbeiter!$A$6:$A$205,0)),"vor Eintritt",IF(AND(INDEX(Mitarbeiter!$D$6:$D$205,MATCH($A641,Mitarbeiter!$A$6:$A$205,0))&lt;&gt;"",D641&gt;INDEX(Mitarbeiter!$D$6:$D$205,MATCH($A641,Mitarbeiter!$A$6:$A$205,0))),"nach Austritt",IF(E641="","offen","ok"))))))))</f>
        <v/>
      </c>
      <c r="J641" s="47">
        <f>IF(A641="","",IF(E641="",Einstellungen!$C$9,E641))</f>
        <v/>
      </c>
      <c r="K641" s="48">
        <f>IF(A641="",0,IFERROR(INDEX(Mitarbeiter!$F$6:$F$205,MATCH($A641,Mitarbeiter!$A$6:$A$205,0)),0))</f>
        <v/>
      </c>
      <c r="L641" s="49">
        <f>IF(OR(A641="",D641=""),0,MAX(0,NETWORKDAYS(MAX(D641,DATE(Einstellungen!$C$3,1,1)),MIN(J641,DATE(Einstellungen!$C$3,2,0)),Einstellungen!$F$13:$F$32)))</f>
        <v/>
      </c>
      <c r="M641" s="49">
        <f>IF(OR(A641="",D641=""),0,MAX(0,NETWORKDAYS(MAX(D641,DATE(Einstellungen!$C$3,2,1)),MIN(J641,DATE(Einstellungen!$C$3,3,0)),Einstellungen!$F$13:$F$32)))</f>
        <v/>
      </c>
      <c r="N641" s="49">
        <f>IF(OR(A641="",D641=""),0,MAX(0,NETWORKDAYS(MAX(D641,DATE(Einstellungen!$C$3,3,1)),MIN(J641,DATE(Einstellungen!$C$3,4,0)),Einstellungen!$F$13:$F$32)))</f>
        <v/>
      </c>
      <c r="O641" s="49">
        <f>IF(OR(A641="",D641=""),0,MAX(0,NETWORKDAYS(MAX(D641,DATE(Einstellungen!$C$3,4,1)),MIN(J641,DATE(Einstellungen!$C$3,5,0)),Einstellungen!$F$13:$F$32)))</f>
        <v/>
      </c>
      <c r="P641" s="49">
        <f>IF(OR(A641="",D641=""),0,MAX(0,NETWORKDAYS(MAX(D641,DATE(Einstellungen!$C$3,5,1)),MIN(J641,DATE(Einstellungen!$C$3,6,0)),Einstellungen!$F$13:$F$32)))</f>
        <v/>
      </c>
      <c r="Q641" s="49">
        <f>IF(OR(A641="",D641=""),0,MAX(0,NETWORKDAYS(MAX(D641,DATE(Einstellungen!$C$3,6,1)),MIN(J641,DATE(Einstellungen!$C$3,7,0)),Einstellungen!$F$13:$F$32)))</f>
        <v/>
      </c>
      <c r="R641" s="49">
        <f>IF(OR(A641="",D641=""),0,MAX(0,NETWORKDAYS(MAX(D641,DATE(Einstellungen!$C$3,7,1)),MIN(J641,DATE(Einstellungen!$C$3,8,0)),Einstellungen!$F$13:$F$32)))</f>
        <v/>
      </c>
      <c r="S641" s="49">
        <f>IF(OR(A641="",D641=""),0,MAX(0,NETWORKDAYS(MAX(D641,DATE(Einstellungen!$C$3,8,1)),MIN(J641,DATE(Einstellungen!$C$3,9,0)),Einstellungen!$F$13:$F$32)))</f>
        <v/>
      </c>
      <c r="T641" s="49">
        <f>IF(OR(A641="",D641=""),0,MAX(0,NETWORKDAYS(MAX(D641,DATE(Einstellungen!$C$3,9,1)),MIN(J641,DATE(Einstellungen!$C$3,10,0)),Einstellungen!$F$13:$F$32)))</f>
        <v/>
      </c>
      <c r="U641" s="49">
        <f>IF(OR(A641="",D641=""),0,MAX(0,NETWORKDAYS(MAX(D641,DATE(Einstellungen!$C$3,10,1)),MIN(J641,DATE(Einstellungen!$C$3,11,0)),Einstellungen!$F$13:$F$32)))</f>
        <v/>
      </c>
      <c r="V641" s="49">
        <f>IF(OR(A641="",D641=""),0,MAX(0,NETWORKDAYS(MAX(D641,DATE(Einstellungen!$C$3,11,1)),MIN(J641,DATE(Einstellungen!$C$3,12,0)),Einstellungen!$F$13:$F$32)))</f>
        <v/>
      </c>
      <c r="W641" s="49">
        <f>IF(OR(A641="",D641=""),0,MAX(0,NETWORKDAYS(MAX(D641,DATE(Einstellungen!$C$3,12,1)),MIN(J641,DATE(Einstellungen!$C$3,13,0)),Einstellungen!$F$13:$F$32)))</f>
        <v/>
      </c>
      <c r="X641" s="50">
        <f>L641*K641</f>
        <v/>
      </c>
      <c r="Y641" s="50">
        <f>M641*K641</f>
        <v/>
      </c>
      <c r="Z641" s="50">
        <f>N641*K641</f>
        <v/>
      </c>
      <c r="AA641" s="50">
        <f>O641*K641</f>
        <v/>
      </c>
      <c r="AB641" s="50">
        <f>P641*K641</f>
        <v/>
      </c>
      <c r="AC641" s="50">
        <f>Q641*K641</f>
        <v/>
      </c>
      <c r="AD641" s="50">
        <f>R641*K641</f>
        <v/>
      </c>
      <c r="AE641" s="50">
        <f>S641*K641</f>
        <v/>
      </c>
      <c r="AF641" s="50">
        <f>T641*K641</f>
        <v/>
      </c>
      <c r="AG641" s="50">
        <f>U641*K641</f>
        <v/>
      </c>
      <c r="AH641" s="50">
        <f>V641*K641</f>
        <v/>
      </c>
      <c r="AI641" s="50">
        <f>W641*K641</f>
        <v/>
      </c>
    </row>
    <row r="642">
      <c r="A642" s="25" t="n"/>
      <c r="B642" s="45">
        <f>IF(A642="","",IFERROR(INDEX(Mitarbeiter!$B$6:$B$205,MATCH($A642,Mitarbeiter!$A$6:$A$205,0)),"?"))</f>
        <v/>
      </c>
      <c r="C642" s="46" t="n"/>
      <c r="D642" s="26" t="n"/>
      <c r="E642" s="26" t="n"/>
      <c r="F642" s="24">
        <f>IF(A642="","",SUM(L642:W642))</f>
        <v/>
      </c>
      <c r="G642" s="36">
        <f>IF(A642="","",SUM(X642:AI642))</f>
        <v/>
      </c>
      <c r="H642" s="8">
        <f>IF(A642="","",IF(ISNA(MATCH(A642,Mitarbeiter!$A$6:$A$205,0)),"Pers.-Nr. unbekannt",IF(D642="","Von fehlt",IF(AND(C642&lt;&gt;Einstellungen!$C$4,C642&lt;&gt;Einstellungen!$C$5),"Objekt fehlt",IF(J642&lt;D642,"Bis vor Von",IF(D642&lt;INDEX(Mitarbeiter!$C$6:$C$205,MATCH($A642,Mitarbeiter!$A$6:$A$205,0)),"vor Eintritt",IF(AND(INDEX(Mitarbeiter!$D$6:$D$205,MATCH($A642,Mitarbeiter!$A$6:$A$205,0))&lt;&gt;"",D642&gt;INDEX(Mitarbeiter!$D$6:$D$205,MATCH($A642,Mitarbeiter!$A$6:$A$205,0))),"nach Austritt",IF(E642="","offen","ok"))))))))</f>
        <v/>
      </c>
      <c r="J642" s="47">
        <f>IF(A642="","",IF(E642="",Einstellungen!$C$9,E642))</f>
        <v/>
      </c>
      <c r="K642" s="48">
        <f>IF(A642="",0,IFERROR(INDEX(Mitarbeiter!$F$6:$F$205,MATCH($A642,Mitarbeiter!$A$6:$A$205,0)),0))</f>
        <v/>
      </c>
      <c r="L642" s="49">
        <f>IF(OR(A642="",D642=""),0,MAX(0,NETWORKDAYS(MAX(D642,DATE(Einstellungen!$C$3,1,1)),MIN(J642,DATE(Einstellungen!$C$3,2,0)),Einstellungen!$F$13:$F$32)))</f>
        <v/>
      </c>
      <c r="M642" s="49">
        <f>IF(OR(A642="",D642=""),0,MAX(0,NETWORKDAYS(MAX(D642,DATE(Einstellungen!$C$3,2,1)),MIN(J642,DATE(Einstellungen!$C$3,3,0)),Einstellungen!$F$13:$F$32)))</f>
        <v/>
      </c>
      <c r="N642" s="49">
        <f>IF(OR(A642="",D642=""),0,MAX(0,NETWORKDAYS(MAX(D642,DATE(Einstellungen!$C$3,3,1)),MIN(J642,DATE(Einstellungen!$C$3,4,0)),Einstellungen!$F$13:$F$32)))</f>
        <v/>
      </c>
      <c r="O642" s="49">
        <f>IF(OR(A642="",D642=""),0,MAX(0,NETWORKDAYS(MAX(D642,DATE(Einstellungen!$C$3,4,1)),MIN(J642,DATE(Einstellungen!$C$3,5,0)),Einstellungen!$F$13:$F$32)))</f>
        <v/>
      </c>
      <c r="P642" s="49">
        <f>IF(OR(A642="",D642=""),0,MAX(0,NETWORKDAYS(MAX(D642,DATE(Einstellungen!$C$3,5,1)),MIN(J642,DATE(Einstellungen!$C$3,6,0)),Einstellungen!$F$13:$F$32)))</f>
        <v/>
      </c>
      <c r="Q642" s="49">
        <f>IF(OR(A642="",D642=""),0,MAX(0,NETWORKDAYS(MAX(D642,DATE(Einstellungen!$C$3,6,1)),MIN(J642,DATE(Einstellungen!$C$3,7,0)),Einstellungen!$F$13:$F$32)))</f>
        <v/>
      </c>
      <c r="R642" s="49">
        <f>IF(OR(A642="",D642=""),0,MAX(0,NETWORKDAYS(MAX(D642,DATE(Einstellungen!$C$3,7,1)),MIN(J642,DATE(Einstellungen!$C$3,8,0)),Einstellungen!$F$13:$F$32)))</f>
        <v/>
      </c>
      <c r="S642" s="49">
        <f>IF(OR(A642="",D642=""),0,MAX(0,NETWORKDAYS(MAX(D642,DATE(Einstellungen!$C$3,8,1)),MIN(J642,DATE(Einstellungen!$C$3,9,0)),Einstellungen!$F$13:$F$32)))</f>
        <v/>
      </c>
      <c r="T642" s="49">
        <f>IF(OR(A642="",D642=""),0,MAX(0,NETWORKDAYS(MAX(D642,DATE(Einstellungen!$C$3,9,1)),MIN(J642,DATE(Einstellungen!$C$3,10,0)),Einstellungen!$F$13:$F$32)))</f>
        <v/>
      </c>
      <c r="U642" s="49">
        <f>IF(OR(A642="",D642=""),0,MAX(0,NETWORKDAYS(MAX(D642,DATE(Einstellungen!$C$3,10,1)),MIN(J642,DATE(Einstellungen!$C$3,11,0)),Einstellungen!$F$13:$F$32)))</f>
        <v/>
      </c>
      <c r="V642" s="49">
        <f>IF(OR(A642="",D642=""),0,MAX(0,NETWORKDAYS(MAX(D642,DATE(Einstellungen!$C$3,11,1)),MIN(J642,DATE(Einstellungen!$C$3,12,0)),Einstellungen!$F$13:$F$32)))</f>
        <v/>
      </c>
      <c r="W642" s="49">
        <f>IF(OR(A642="",D642=""),0,MAX(0,NETWORKDAYS(MAX(D642,DATE(Einstellungen!$C$3,12,1)),MIN(J642,DATE(Einstellungen!$C$3,13,0)),Einstellungen!$F$13:$F$32)))</f>
        <v/>
      </c>
      <c r="X642" s="50">
        <f>L642*K642</f>
        <v/>
      </c>
      <c r="Y642" s="50">
        <f>M642*K642</f>
        <v/>
      </c>
      <c r="Z642" s="50">
        <f>N642*K642</f>
        <v/>
      </c>
      <c r="AA642" s="50">
        <f>O642*K642</f>
        <v/>
      </c>
      <c r="AB642" s="50">
        <f>P642*K642</f>
        <v/>
      </c>
      <c r="AC642" s="50">
        <f>Q642*K642</f>
        <v/>
      </c>
      <c r="AD642" s="50">
        <f>R642*K642</f>
        <v/>
      </c>
      <c r="AE642" s="50">
        <f>S642*K642</f>
        <v/>
      </c>
      <c r="AF642" s="50">
        <f>T642*K642</f>
        <v/>
      </c>
      <c r="AG642" s="50">
        <f>U642*K642</f>
        <v/>
      </c>
      <c r="AH642" s="50">
        <f>V642*K642</f>
        <v/>
      </c>
      <c r="AI642" s="50">
        <f>W642*K642</f>
        <v/>
      </c>
    </row>
    <row r="643">
      <c r="A643" s="25" t="n"/>
      <c r="B643" s="45">
        <f>IF(A643="","",IFERROR(INDEX(Mitarbeiter!$B$6:$B$205,MATCH($A643,Mitarbeiter!$A$6:$A$205,0)),"?"))</f>
        <v/>
      </c>
      <c r="C643" s="46" t="n"/>
      <c r="D643" s="26" t="n"/>
      <c r="E643" s="26" t="n"/>
      <c r="F643" s="24">
        <f>IF(A643="","",SUM(L643:W643))</f>
        <v/>
      </c>
      <c r="G643" s="36">
        <f>IF(A643="","",SUM(X643:AI643))</f>
        <v/>
      </c>
      <c r="H643" s="8">
        <f>IF(A643="","",IF(ISNA(MATCH(A643,Mitarbeiter!$A$6:$A$205,0)),"Pers.-Nr. unbekannt",IF(D643="","Von fehlt",IF(AND(C643&lt;&gt;Einstellungen!$C$4,C643&lt;&gt;Einstellungen!$C$5),"Objekt fehlt",IF(J643&lt;D643,"Bis vor Von",IF(D643&lt;INDEX(Mitarbeiter!$C$6:$C$205,MATCH($A643,Mitarbeiter!$A$6:$A$205,0)),"vor Eintritt",IF(AND(INDEX(Mitarbeiter!$D$6:$D$205,MATCH($A643,Mitarbeiter!$A$6:$A$205,0))&lt;&gt;"",D643&gt;INDEX(Mitarbeiter!$D$6:$D$205,MATCH($A643,Mitarbeiter!$A$6:$A$205,0))),"nach Austritt",IF(E643="","offen","ok"))))))))</f>
        <v/>
      </c>
      <c r="J643" s="47">
        <f>IF(A643="","",IF(E643="",Einstellungen!$C$9,E643))</f>
        <v/>
      </c>
      <c r="K643" s="48">
        <f>IF(A643="",0,IFERROR(INDEX(Mitarbeiter!$F$6:$F$205,MATCH($A643,Mitarbeiter!$A$6:$A$205,0)),0))</f>
        <v/>
      </c>
      <c r="L643" s="49">
        <f>IF(OR(A643="",D643=""),0,MAX(0,NETWORKDAYS(MAX(D643,DATE(Einstellungen!$C$3,1,1)),MIN(J643,DATE(Einstellungen!$C$3,2,0)),Einstellungen!$F$13:$F$32)))</f>
        <v/>
      </c>
      <c r="M643" s="49">
        <f>IF(OR(A643="",D643=""),0,MAX(0,NETWORKDAYS(MAX(D643,DATE(Einstellungen!$C$3,2,1)),MIN(J643,DATE(Einstellungen!$C$3,3,0)),Einstellungen!$F$13:$F$32)))</f>
        <v/>
      </c>
      <c r="N643" s="49">
        <f>IF(OR(A643="",D643=""),0,MAX(0,NETWORKDAYS(MAX(D643,DATE(Einstellungen!$C$3,3,1)),MIN(J643,DATE(Einstellungen!$C$3,4,0)),Einstellungen!$F$13:$F$32)))</f>
        <v/>
      </c>
      <c r="O643" s="49">
        <f>IF(OR(A643="",D643=""),0,MAX(0,NETWORKDAYS(MAX(D643,DATE(Einstellungen!$C$3,4,1)),MIN(J643,DATE(Einstellungen!$C$3,5,0)),Einstellungen!$F$13:$F$32)))</f>
        <v/>
      </c>
      <c r="P643" s="49">
        <f>IF(OR(A643="",D643=""),0,MAX(0,NETWORKDAYS(MAX(D643,DATE(Einstellungen!$C$3,5,1)),MIN(J643,DATE(Einstellungen!$C$3,6,0)),Einstellungen!$F$13:$F$32)))</f>
        <v/>
      </c>
      <c r="Q643" s="49">
        <f>IF(OR(A643="",D643=""),0,MAX(0,NETWORKDAYS(MAX(D643,DATE(Einstellungen!$C$3,6,1)),MIN(J643,DATE(Einstellungen!$C$3,7,0)),Einstellungen!$F$13:$F$32)))</f>
        <v/>
      </c>
      <c r="R643" s="49">
        <f>IF(OR(A643="",D643=""),0,MAX(0,NETWORKDAYS(MAX(D643,DATE(Einstellungen!$C$3,7,1)),MIN(J643,DATE(Einstellungen!$C$3,8,0)),Einstellungen!$F$13:$F$32)))</f>
        <v/>
      </c>
      <c r="S643" s="49">
        <f>IF(OR(A643="",D643=""),0,MAX(0,NETWORKDAYS(MAX(D643,DATE(Einstellungen!$C$3,8,1)),MIN(J643,DATE(Einstellungen!$C$3,9,0)),Einstellungen!$F$13:$F$32)))</f>
        <v/>
      </c>
      <c r="T643" s="49">
        <f>IF(OR(A643="",D643=""),0,MAX(0,NETWORKDAYS(MAX(D643,DATE(Einstellungen!$C$3,9,1)),MIN(J643,DATE(Einstellungen!$C$3,10,0)),Einstellungen!$F$13:$F$32)))</f>
        <v/>
      </c>
      <c r="U643" s="49">
        <f>IF(OR(A643="",D643=""),0,MAX(0,NETWORKDAYS(MAX(D643,DATE(Einstellungen!$C$3,10,1)),MIN(J643,DATE(Einstellungen!$C$3,11,0)),Einstellungen!$F$13:$F$32)))</f>
        <v/>
      </c>
      <c r="V643" s="49">
        <f>IF(OR(A643="",D643=""),0,MAX(0,NETWORKDAYS(MAX(D643,DATE(Einstellungen!$C$3,11,1)),MIN(J643,DATE(Einstellungen!$C$3,12,0)),Einstellungen!$F$13:$F$32)))</f>
        <v/>
      </c>
      <c r="W643" s="49">
        <f>IF(OR(A643="",D643=""),0,MAX(0,NETWORKDAYS(MAX(D643,DATE(Einstellungen!$C$3,12,1)),MIN(J643,DATE(Einstellungen!$C$3,13,0)),Einstellungen!$F$13:$F$32)))</f>
        <v/>
      </c>
      <c r="X643" s="50">
        <f>L643*K643</f>
        <v/>
      </c>
      <c r="Y643" s="50">
        <f>M643*K643</f>
        <v/>
      </c>
      <c r="Z643" s="50">
        <f>N643*K643</f>
        <v/>
      </c>
      <c r="AA643" s="50">
        <f>O643*K643</f>
        <v/>
      </c>
      <c r="AB643" s="50">
        <f>P643*K643</f>
        <v/>
      </c>
      <c r="AC643" s="50">
        <f>Q643*K643</f>
        <v/>
      </c>
      <c r="AD643" s="50">
        <f>R643*K643</f>
        <v/>
      </c>
      <c r="AE643" s="50">
        <f>S643*K643</f>
        <v/>
      </c>
      <c r="AF643" s="50">
        <f>T643*K643</f>
        <v/>
      </c>
      <c r="AG643" s="50">
        <f>U643*K643</f>
        <v/>
      </c>
      <c r="AH643" s="50">
        <f>V643*K643</f>
        <v/>
      </c>
      <c r="AI643" s="50">
        <f>W643*K643</f>
        <v/>
      </c>
    </row>
    <row r="644">
      <c r="A644" s="25" t="n"/>
      <c r="B644" s="45">
        <f>IF(A644="","",IFERROR(INDEX(Mitarbeiter!$B$6:$B$205,MATCH($A644,Mitarbeiter!$A$6:$A$205,0)),"?"))</f>
        <v/>
      </c>
      <c r="C644" s="46" t="n"/>
      <c r="D644" s="26" t="n"/>
      <c r="E644" s="26" t="n"/>
      <c r="F644" s="24">
        <f>IF(A644="","",SUM(L644:W644))</f>
        <v/>
      </c>
      <c r="G644" s="36">
        <f>IF(A644="","",SUM(X644:AI644))</f>
        <v/>
      </c>
      <c r="H644" s="8">
        <f>IF(A644="","",IF(ISNA(MATCH(A644,Mitarbeiter!$A$6:$A$205,0)),"Pers.-Nr. unbekannt",IF(D644="","Von fehlt",IF(AND(C644&lt;&gt;Einstellungen!$C$4,C644&lt;&gt;Einstellungen!$C$5),"Objekt fehlt",IF(J644&lt;D644,"Bis vor Von",IF(D644&lt;INDEX(Mitarbeiter!$C$6:$C$205,MATCH($A644,Mitarbeiter!$A$6:$A$205,0)),"vor Eintritt",IF(AND(INDEX(Mitarbeiter!$D$6:$D$205,MATCH($A644,Mitarbeiter!$A$6:$A$205,0))&lt;&gt;"",D644&gt;INDEX(Mitarbeiter!$D$6:$D$205,MATCH($A644,Mitarbeiter!$A$6:$A$205,0))),"nach Austritt",IF(E644="","offen","ok"))))))))</f>
        <v/>
      </c>
      <c r="J644" s="47">
        <f>IF(A644="","",IF(E644="",Einstellungen!$C$9,E644))</f>
        <v/>
      </c>
      <c r="K644" s="48">
        <f>IF(A644="",0,IFERROR(INDEX(Mitarbeiter!$F$6:$F$205,MATCH($A644,Mitarbeiter!$A$6:$A$205,0)),0))</f>
        <v/>
      </c>
      <c r="L644" s="49">
        <f>IF(OR(A644="",D644=""),0,MAX(0,NETWORKDAYS(MAX(D644,DATE(Einstellungen!$C$3,1,1)),MIN(J644,DATE(Einstellungen!$C$3,2,0)),Einstellungen!$F$13:$F$32)))</f>
        <v/>
      </c>
      <c r="M644" s="49">
        <f>IF(OR(A644="",D644=""),0,MAX(0,NETWORKDAYS(MAX(D644,DATE(Einstellungen!$C$3,2,1)),MIN(J644,DATE(Einstellungen!$C$3,3,0)),Einstellungen!$F$13:$F$32)))</f>
        <v/>
      </c>
      <c r="N644" s="49">
        <f>IF(OR(A644="",D644=""),0,MAX(0,NETWORKDAYS(MAX(D644,DATE(Einstellungen!$C$3,3,1)),MIN(J644,DATE(Einstellungen!$C$3,4,0)),Einstellungen!$F$13:$F$32)))</f>
        <v/>
      </c>
      <c r="O644" s="49">
        <f>IF(OR(A644="",D644=""),0,MAX(0,NETWORKDAYS(MAX(D644,DATE(Einstellungen!$C$3,4,1)),MIN(J644,DATE(Einstellungen!$C$3,5,0)),Einstellungen!$F$13:$F$32)))</f>
        <v/>
      </c>
      <c r="P644" s="49">
        <f>IF(OR(A644="",D644=""),0,MAX(0,NETWORKDAYS(MAX(D644,DATE(Einstellungen!$C$3,5,1)),MIN(J644,DATE(Einstellungen!$C$3,6,0)),Einstellungen!$F$13:$F$32)))</f>
        <v/>
      </c>
      <c r="Q644" s="49">
        <f>IF(OR(A644="",D644=""),0,MAX(0,NETWORKDAYS(MAX(D644,DATE(Einstellungen!$C$3,6,1)),MIN(J644,DATE(Einstellungen!$C$3,7,0)),Einstellungen!$F$13:$F$32)))</f>
        <v/>
      </c>
      <c r="R644" s="49">
        <f>IF(OR(A644="",D644=""),0,MAX(0,NETWORKDAYS(MAX(D644,DATE(Einstellungen!$C$3,7,1)),MIN(J644,DATE(Einstellungen!$C$3,8,0)),Einstellungen!$F$13:$F$32)))</f>
        <v/>
      </c>
      <c r="S644" s="49">
        <f>IF(OR(A644="",D644=""),0,MAX(0,NETWORKDAYS(MAX(D644,DATE(Einstellungen!$C$3,8,1)),MIN(J644,DATE(Einstellungen!$C$3,9,0)),Einstellungen!$F$13:$F$32)))</f>
        <v/>
      </c>
      <c r="T644" s="49">
        <f>IF(OR(A644="",D644=""),0,MAX(0,NETWORKDAYS(MAX(D644,DATE(Einstellungen!$C$3,9,1)),MIN(J644,DATE(Einstellungen!$C$3,10,0)),Einstellungen!$F$13:$F$32)))</f>
        <v/>
      </c>
      <c r="U644" s="49">
        <f>IF(OR(A644="",D644=""),0,MAX(0,NETWORKDAYS(MAX(D644,DATE(Einstellungen!$C$3,10,1)),MIN(J644,DATE(Einstellungen!$C$3,11,0)),Einstellungen!$F$13:$F$32)))</f>
        <v/>
      </c>
      <c r="V644" s="49">
        <f>IF(OR(A644="",D644=""),0,MAX(0,NETWORKDAYS(MAX(D644,DATE(Einstellungen!$C$3,11,1)),MIN(J644,DATE(Einstellungen!$C$3,12,0)),Einstellungen!$F$13:$F$32)))</f>
        <v/>
      </c>
      <c r="W644" s="49">
        <f>IF(OR(A644="",D644=""),0,MAX(0,NETWORKDAYS(MAX(D644,DATE(Einstellungen!$C$3,12,1)),MIN(J644,DATE(Einstellungen!$C$3,13,0)),Einstellungen!$F$13:$F$32)))</f>
        <v/>
      </c>
      <c r="X644" s="50">
        <f>L644*K644</f>
        <v/>
      </c>
      <c r="Y644" s="50">
        <f>M644*K644</f>
        <v/>
      </c>
      <c r="Z644" s="50">
        <f>N644*K644</f>
        <v/>
      </c>
      <c r="AA644" s="50">
        <f>O644*K644</f>
        <v/>
      </c>
      <c r="AB644" s="50">
        <f>P644*K644</f>
        <v/>
      </c>
      <c r="AC644" s="50">
        <f>Q644*K644</f>
        <v/>
      </c>
      <c r="AD644" s="50">
        <f>R644*K644</f>
        <v/>
      </c>
      <c r="AE644" s="50">
        <f>S644*K644</f>
        <v/>
      </c>
      <c r="AF644" s="50">
        <f>T644*K644</f>
        <v/>
      </c>
      <c r="AG644" s="50">
        <f>U644*K644</f>
        <v/>
      </c>
      <c r="AH644" s="50">
        <f>V644*K644</f>
        <v/>
      </c>
      <c r="AI644" s="50">
        <f>W644*K644</f>
        <v/>
      </c>
    </row>
    <row r="645">
      <c r="A645" s="25" t="n"/>
      <c r="B645" s="45">
        <f>IF(A645="","",IFERROR(INDEX(Mitarbeiter!$B$6:$B$205,MATCH($A645,Mitarbeiter!$A$6:$A$205,0)),"?"))</f>
        <v/>
      </c>
      <c r="C645" s="46" t="n"/>
      <c r="D645" s="26" t="n"/>
      <c r="E645" s="26" t="n"/>
      <c r="F645" s="24">
        <f>IF(A645="","",SUM(L645:W645))</f>
        <v/>
      </c>
      <c r="G645" s="36">
        <f>IF(A645="","",SUM(X645:AI645))</f>
        <v/>
      </c>
      <c r="H645" s="8">
        <f>IF(A645="","",IF(ISNA(MATCH(A645,Mitarbeiter!$A$6:$A$205,0)),"Pers.-Nr. unbekannt",IF(D645="","Von fehlt",IF(AND(C645&lt;&gt;Einstellungen!$C$4,C645&lt;&gt;Einstellungen!$C$5),"Objekt fehlt",IF(J645&lt;D645,"Bis vor Von",IF(D645&lt;INDEX(Mitarbeiter!$C$6:$C$205,MATCH($A645,Mitarbeiter!$A$6:$A$205,0)),"vor Eintritt",IF(AND(INDEX(Mitarbeiter!$D$6:$D$205,MATCH($A645,Mitarbeiter!$A$6:$A$205,0))&lt;&gt;"",D645&gt;INDEX(Mitarbeiter!$D$6:$D$205,MATCH($A645,Mitarbeiter!$A$6:$A$205,0))),"nach Austritt",IF(E645="","offen","ok"))))))))</f>
        <v/>
      </c>
      <c r="J645" s="47">
        <f>IF(A645="","",IF(E645="",Einstellungen!$C$9,E645))</f>
        <v/>
      </c>
      <c r="K645" s="48">
        <f>IF(A645="",0,IFERROR(INDEX(Mitarbeiter!$F$6:$F$205,MATCH($A645,Mitarbeiter!$A$6:$A$205,0)),0))</f>
        <v/>
      </c>
      <c r="L645" s="49">
        <f>IF(OR(A645="",D645=""),0,MAX(0,NETWORKDAYS(MAX(D645,DATE(Einstellungen!$C$3,1,1)),MIN(J645,DATE(Einstellungen!$C$3,2,0)),Einstellungen!$F$13:$F$32)))</f>
        <v/>
      </c>
      <c r="M645" s="49">
        <f>IF(OR(A645="",D645=""),0,MAX(0,NETWORKDAYS(MAX(D645,DATE(Einstellungen!$C$3,2,1)),MIN(J645,DATE(Einstellungen!$C$3,3,0)),Einstellungen!$F$13:$F$32)))</f>
        <v/>
      </c>
      <c r="N645" s="49">
        <f>IF(OR(A645="",D645=""),0,MAX(0,NETWORKDAYS(MAX(D645,DATE(Einstellungen!$C$3,3,1)),MIN(J645,DATE(Einstellungen!$C$3,4,0)),Einstellungen!$F$13:$F$32)))</f>
        <v/>
      </c>
      <c r="O645" s="49">
        <f>IF(OR(A645="",D645=""),0,MAX(0,NETWORKDAYS(MAX(D645,DATE(Einstellungen!$C$3,4,1)),MIN(J645,DATE(Einstellungen!$C$3,5,0)),Einstellungen!$F$13:$F$32)))</f>
        <v/>
      </c>
      <c r="P645" s="49">
        <f>IF(OR(A645="",D645=""),0,MAX(0,NETWORKDAYS(MAX(D645,DATE(Einstellungen!$C$3,5,1)),MIN(J645,DATE(Einstellungen!$C$3,6,0)),Einstellungen!$F$13:$F$32)))</f>
        <v/>
      </c>
      <c r="Q645" s="49">
        <f>IF(OR(A645="",D645=""),0,MAX(0,NETWORKDAYS(MAX(D645,DATE(Einstellungen!$C$3,6,1)),MIN(J645,DATE(Einstellungen!$C$3,7,0)),Einstellungen!$F$13:$F$32)))</f>
        <v/>
      </c>
      <c r="R645" s="49">
        <f>IF(OR(A645="",D645=""),0,MAX(0,NETWORKDAYS(MAX(D645,DATE(Einstellungen!$C$3,7,1)),MIN(J645,DATE(Einstellungen!$C$3,8,0)),Einstellungen!$F$13:$F$32)))</f>
        <v/>
      </c>
      <c r="S645" s="49">
        <f>IF(OR(A645="",D645=""),0,MAX(0,NETWORKDAYS(MAX(D645,DATE(Einstellungen!$C$3,8,1)),MIN(J645,DATE(Einstellungen!$C$3,9,0)),Einstellungen!$F$13:$F$32)))</f>
        <v/>
      </c>
      <c r="T645" s="49">
        <f>IF(OR(A645="",D645=""),0,MAX(0,NETWORKDAYS(MAX(D645,DATE(Einstellungen!$C$3,9,1)),MIN(J645,DATE(Einstellungen!$C$3,10,0)),Einstellungen!$F$13:$F$32)))</f>
        <v/>
      </c>
      <c r="U645" s="49">
        <f>IF(OR(A645="",D645=""),0,MAX(0,NETWORKDAYS(MAX(D645,DATE(Einstellungen!$C$3,10,1)),MIN(J645,DATE(Einstellungen!$C$3,11,0)),Einstellungen!$F$13:$F$32)))</f>
        <v/>
      </c>
      <c r="V645" s="49">
        <f>IF(OR(A645="",D645=""),0,MAX(0,NETWORKDAYS(MAX(D645,DATE(Einstellungen!$C$3,11,1)),MIN(J645,DATE(Einstellungen!$C$3,12,0)),Einstellungen!$F$13:$F$32)))</f>
        <v/>
      </c>
      <c r="W645" s="49">
        <f>IF(OR(A645="",D645=""),0,MAX(0,NETWORKDAYS(MAX(D645,DATE(Einstellungen!$C$3,12,1)),MIN(J645,DATE(Einstellungen!$C$3,13,0)),Einstellungen!$F$13:$F$32)))</f>
        <v/>
      </c>
      <c r="X645" s="50">
        <f>L645*K645</f>
        <v/>
      </c>
      <c r="Y645" s="50">
        <f>M645*K645</f>
        <v/>
      </c>
      <c r="Z645" s="50">
        <f>N645*K645</f>
        <v/>
      </c>
      <c r="AA645" s="50">
        <f>O645*K645</f>
        <v/>
      </c>
      <c r="AB645" s="50">
        <f>P645*K645</f>
        <v/>
      </c>
      <c r="AC645" s="50">
        <f>Q645*K645</f>
        <v/>
      </c>
      <c r="AD645" s="50">
        <f>R645*K645</f>
        <v/>
      </c>
      <c r="AE645" s="50">
        <f>S645*K645</f>
        <v/>
      </c>
      <c r="AF645" s="50">
        <f>T645*K645</f>
        <v/>
      </c>
      <c r="AG645" s="50">
        <f>U645*K645</f>
        <v/>
      </c>
      <c r="AH645" s="50">
        <f>V645*K645</f>
        <v/>
      </c>
      <c r="AI645" s="50">
        <f>W645*K645</f>
        <v/>
      </c>
    </row>
    <row r="646">
      <c r="A646" s="25" t="n"/>
      <c r="B646" s="45">
        <f>IF(A646="","",IFERROR(INDEX(Mitarbeiter!$B$6:$B$205,MATCH($A646,Mitarbeiter!$A$6:$A$205,0)),"?"))</f>
        <v/>
      </c>
      <c r="C646" s="46" t="n"/>
      <c r="D646" s="26" t="n"/>
      <c r="E646" s="26" t="n"/>
      <c r="F646" s="24">
        <f>IF(A646="","",SUM(L646:W646))</f>
        <v/>
      </c>
      <c r="G646" s="36">
        <f>IF(A646="","",SUM(X646:AI646))</f>
        <v/>
      </c>
      <c r="H646" s="8">
        <f>IF(A646="","",IF(ISNA(MATCH(A646,Mitarbeiter!$A$6:$A$205,0)),"Pers.-Nr. unbekannt",IF(D646="","Von fehlt",IF(AND(C646&lt;&gt;Einstellungen!$C$4,C646&lt;&gt;Einstellungen!$C$5),"Objekt fehlt",IF(J646&lt;D646,"Bis vor Von",IF(D646&lt;INDEX(Mitarbeiter!$C$6:$C$205,MATCH($A646,Mitarbeiter!$A$6:$A$205,0)),"vor Eintritt",IF(AND(INDEX(Mitarbeiter!$D$6:$D$205,MATCH($A646,Mitarbeiter!$A$6:$A$205,0))&lt;&gt;"",D646&gt;INDEX(Mitarbeiter!$D$6:$D$205,MATCH($A646,Mitarbeiter!$A$6:$A$205,0))),"nach Austritt",IF(E646="","offen","ok"))))))))</f>
        <v/>
      </c>
      <c r="J646" s="47">
        <f>IF(A646="","",IF(E646="",Einstellungen!$C$9,E646))</f>
        <v/>
      </c>
      <c r="K646" s="48">
        <f>IF(A646="",0,IFERROR(INDEX(Mitarbeiter!$F$6:$F$205,MATCH($A646,Mitarbeiter!$A$6:$A$205,0)),0))</f>
        <v/>
      </c>
      <c r="L646" s="49">
        <f>IF(OR(A646="",D646=""),0,MAX(0,NETWORKDAYS(MAX(D646,DATE(Einstellungen!$C$3,1,1)),MIN(J646,DATE(Einstellungen!$C$3,2,0)),Einstellungen!$F$13:$F$32)))</f>
        <v/>
      </c>
      <c r="M646" s="49">
        <f>IF(OR(A646="",D646=""),0,MAX(0,NETWORKDAYS(MAX(D646,DATE(Einstellungen!$C$3,2,1)),MIN(J646,DATE(Einstellungen!$C$3,3,0)),Einstellungen!$F$13:$F$32)))</f>
        <v/>
      </c>
      <c r="N646" s="49">
        <f>IF(OR(A646="",D646=""),0,MAX(0,NETWORKDAYS(MAX(D646,DATE(Einstellungen!$C$3,3,1)),MIN(J646,DATE(Einstellungen!$C$3,4,0)),Einstellungen!$F$13:$F$32)))</f>
        <v/>
      </c>
      <c r="O646" s="49">
        <f>IF(OR(A646="",D646=""),0,MAX(0,NETWORKDAYS(MAX(D646,DATE(Einstellungen!$C$3,4,1)),MIN(J646,DATE(Einstellungen!$C$3,5,0)),Einstellungen!$F$13:$F$32)))</f>
        <v/>
      </c>
      <c r="P646" s="49">
        <f>IF(OR(A646="",D646=""),0,MAX(0,NETWORKDAYS(MAX(D646,DATE(Einstellungen!$C$3,5,1)),MIN(J646,DATE(Einstellungen!$C$3,6,0)),Einstellungen!$F$13:$F$32)))</f>
        <v/>
      </c>
      <c r="Q646" s="49">
        <f>IF(OR(A646="",D646=""),0,MAX(0,NETWORKDAYS(MAX(D646,DATE(Einstellungen!$C$3,6,1)),MIN(J646,DATE(Einstellungen!$C$3,7,0)),Einstellungen!$F$13:$F$32)))</f>
        <v/>
      </c>
      <c r="R646" s="49">
        <f>IF(OR(A646="",D646=""),0,MAX(0,NETWORKDAYS(MAX(D646,DATE(Einstellungen!$C$3,7,1)),MIN(J646,DATE(Einstellungen!$C$3,8,0)),Einstellungen!$F$13:$F$32)))</f>
        <v/>
      </c>
      <c r="S646" s="49">
        <f>IF(OR(A646="",D646=""),0,MAX(0,NETWORKDAYS(MAX(D646,DATE(Einstellungen!$C$3,8,1)),MIN(J646,DATE(Einstellungen!$C$3,9,0)),Einstellungen!$F$13:$F$32)))</f>
        <v/>
      </c>
      <c r="T646" s="49">
        <f>IF(OR(A646="",D646=""),0,MAX(0,NETWORKDAYS(MAX(D646,DATE(Einstellungen!$C$3,9,1)),MIN(J646,DATE(Einstellungen!$C$3,10,0)),Einstellungen!$F$13:$F$32)))</f>
        <v/>
      </c>
      <c r="U646" s="49">
        <f>IF(OR(A646="",D646=""),0,MAX(0,NETWORKDAYS(MAX(D646,DATE(Einstellungen!$C$3,10,1)),MIN(J646,DATE(Einstellungen!$C$3,11,0)),Einstellungen!$F$13:$F$32)))</f>
        <v/>
      </c>
      <c r="V646" s="49">
        <f>IF(OR(A646="",D646=""),0,MAX(0,NETWORKDAYS(MAX(D646,DATE(Einstellungen!$C$3,11,1)),MIN(J646,DATE(Einstellungen!$C$3,12,0)),Einstellungen!$F$13:$F$32)))</f>
        <v/>
      </c>
      <c r="W646" s="49">
        <f>IF(OR(A646="",D646=""),0,MAX(0,NETWORKDAYS(MAX(D646,DATE(Einstellungen!$C$3,12,1)),MIN(J646,DATE(Einstellungen!$C$3,13,0)),Einstellungen!$F$13:$F$32)))</f>
        <v/>
      </c>
      <c r="X646" s="50">
        <f>L646*K646</f>
        <v/>
      </c>
      <c r="Y646" s="50">
        <f>M646*K646</f>
        <v/>
      </c>
      <c r="Z646" s="50">
        <f>N646*K646</f>
        <v/>
      </c>
      <c r="AA646" s="50">
        <f>O646*K646</f>
        <v/>
      </c>
      <c r="AB646" s="50">
        <f>P646*K646</f>
        <v/>
      </c>
      <c r="AC646" s="50">
        <f>Q646*K646</f>
        <v/>
      </c>
      <c r="AD646" s="50">
        <f>R646*K646</f>
        <v/>
      </c>
      <c r="AE646" s="50">
        <f>S646*K646</f>
        <v/>
      </c>
      <c r="AF646" s="50">
        <f>T646*K646</f>
        <v/>
      </c>
      <c r="AG646" s="50">
        <f>U646*K646</f>
        <v/>
      </c>
      <c r="AH646" s="50">
        <f>V646*K646</f>
        <v/>
      </c>
      <c r="AI646" s="50">
        <f>W646*K646</f>
        <v/>
      </c>
    </row>
    <row r="647">
      <c r="A647" s="25" t="n"/>
      <c r="B647" s="45">
        <f>IF(A647="","",IFERROR(INDEX(Mitarbeiter!$B$6:$B$205,MATCH($A647,Mitarbeiter!$A$6:$A$205,0)),"?"))</f>
        <v/>
      </c>
      <c r="C647" s="46" t="n"/>
      <c r="D647" s="26" t="n"/>
      <c r="E647" s="26" t="n"/>
      <c r="F647" s="24">
        <f>IF(A647="","",SUM(L647:W647))</f>
        <v/>
      </c>
      <c r="G647" s="36">
        <f>IF(A647="","",SUM(X647:AI647))</f>
        <v/>
      </c>
      <c r="H647" s="8">
        <f>IF(A647="","",IF(ISNA(MATCH(A647,Mitarbeiter!$A$6:$A$205,0)),"Pers.-Nr. unbekannt",IF(D647="","Von fehlt",IF(AND(C647&lt;&gt;Einstellungen!$C$4,C647&lt;&gt;Einstellungen!$C$5),"Objekt fehlt",IF(J647&lt;D647,"Bis vor Von",IF(D647&lt;INDEX(Mitarbeiter!$C$6:$C$205,MATCH($A647,Mitarbeiter!$A$6:$A$205,0)),"vor Eintritt",IF(AND(INDEX(Mitarbeiter!$D$6:$D$205,MATCH($A647,Mitarbeiter!$A$6:$A$205,0))&lt;&gt;"",D647&gt;INDEX(Mitarbeiter!$D$6:$D$205,MATCH($A647,Mitarbeiter!$A$6:$A$205,0))),"nach Austritt",IF(E647="","offen","ok"))))))))</f>
        <v/>
      </c>
      <c r="J647" s="47">
        <f>IF(A647="","",IF(E647="",Einstellungen!$C$9,E647))</f>
        <v/>
      </c>
      <c r="K647" s="48">
        <f>IF(A647="",0,IFERROR(INDEX(Mitarbeiter!$F$6:$F$205,MATCH($A647,Mitarbeiter!$A$6:$A$205,0)),0))</f>
        <v/>
      </c>
      <c r="L647" s="49">
        <f>IF(OR(A647="",D647=""),0,MAX(0,NETWORKDAYS(MAX(D647,DATE(Einstellungen!$C$3,1,1)),MIN(J647,DATE(Einstellungen!$C$3,2,0)),Einstellungen!$F$13:$F$32)))</f>
        <v/>
      </c>
      <c r="M647" s="49">
        <f>IF(OR(A647="",D647=""),0,MAX(0,NETWORKDAYS(MAX(D647,DATE(Einstellungen!$C$3,2,1)),MIN(J647,DATE(Einstellungen!$C$3,3,0)),Einstellungen!$F$13:$F$32)))</f>
        <v/>
      </c>
      <c r="N647" s="49">
        <f>IF(OR(A647="",D647=""),0,MAX(0,NETWORKDAYS(MAX(D647,DATE(Einstellungen!$C$3,3,1)),MIN(J647,DATE(Einstellungen!$C$3,4,0)),Einstellungen!$F$13:$F$32)))</f>
        <v/>
      </c>
      <c r="O647" s="49">
        <f>IF(OR(A647="",D647=""),0,MAX(0,NETWORKDAYS(MAX(D647,DATE(Einstellungen!$C$3,4,1)),MIN(J647,DATE(Einstellungen!$C$3,5,0)),Einstellungen!$F$13:$F$32)))</f>
        <v/>
      </c>
      <c r="P647" s="49">
        <f>IF(OR(A647="",D647=""),0,MAX(0,NETWORKDAYS(MAX(D647,DATE(Einstellungen!$C$3,5,1)),MIN(J647,DATE(Einstellungen!$C$3,6,0)),Einstellungen!$F$13:$F$32)))</f>
        <v/>
      </c>
      <c r="Q647" s="49">
        <f>IF(OR(A647="",D647=""),0,MAX(0,NETWORKDAYS(MAX(D647,DATE(Einstellungen!$C$3,6,1)),MIN(J647,DATE(Einstellungen!$C$3,7,0)),Einstellungen!$F$13:$F$32)))</f>
        <v/>
      </c>
      <c r="R647" s="49">
        <f>IF(OR(A647="",D647=""),0,MAX(0,NETWORKDAYS(MAX(D647,DATE(Einstellungen!$C$3,7,1)),MIN(J647,DATE(Einstellungen!$C$3,8,0)),Einstellungen!$F$13:$F$32)))</f>
        <v/>
      </c>
      <c r="S647" s="49">
        <f>IF(OR(A647="",D647=""),0,MAX(0,NETWORKDAYS(MAX(D647,DATE(Einstellungen!$C$3,8,1)),MIN(J647,DATE(Einstellungen!$C$3,9,0)),Einstellungen!$F$13:$F$32)))</f>
        <v/>
      </c>
      <c r="T647" s="49">
        <f>IF(OR(A647="",D647=""),0,MAX(0,NETWORKDAYS(MAX(D647,DATE(Einstellungen!$C$3,9,1)),MIN(J647,DATE(Einstellungen!$C$3,10,0)),Einstellungen!$F$13:$F$32)))</f>
        <v/>
      </c>
      <c r="U647" s="49">
        <f>IF(OR(A647="",D647=""),0,MAX(0,NETWORKDAYS(MAX(D647,DATE(Einstellungen!$C$3,10,1)),MIN(J647,DATE(Einstellungen!$C$3,11,0)),Einstellungen!$F$13:$F$32)))</f>
        <v/>
      </c>
      <c r="V647" s="49">
        <f>IF(OR(A647="",D647=""),0,MAX(0,NETWORKDAYS(MAX(D647,DATE(Einstellungen!$C$3,11,1)),MIN(J647,DATE(Einstellungen!$C$3,12,0)),Einstellungen!$F$13:$F$32)))</f>
        <v/>
      </c>
      <c r="W647" s="49">
        <f>IF(OR(A647="",D647=""),0,MAX(0,NETWORKDAYS(MAX(D647,DATE(Einstellungen!$C$3,12,1)),MIN(J647,DATE(Einstellungen!$C$3,13,0)),Einstellungen!$F$13:$F$32)))</f>
        <v/>
      </c>
      <c r="X647" s="50">
        <f>L647*K647</f>
        <v/>
      </c>
      <c r="Y647" s="50">
        <f>M647*K647</f>
        <v/>
      </c>
      <c r="Z647" s="50">
        <f>N647*K647</f>
        <v/>
      </c>
      <c r="AA647" s="50">
        <f>O647*K647</f>
        <v/>
      </c>
      <c r="AB647" s="50">
        <f>P647*K647</f>
        <v/>
      </c>
      <c r="AC647" s="50">
        <f>Q647*K647</f>
        <v/>
      </c>
      <c r="AD647" s="50">
        <f>R647*K647</f>
        <v/>
      </c>
      <c r="AE647" s="50">
        <f>S647*K647</f>
        <v/>
      </c>
      <c r="AF647" s="50">
        <f>T647*K647</f>
        <v/>
      </c>
      <c r="AG647" s="50">
        <f>U647*K647</f>
        <v/>
      </c>
      <c r="AH647" s="50">
        <f>V647*K647</f>
        <v/>
      </c>
      <c r="AI647" s="50">
        <f>W647*K647</f>
        <v/>
      </c>
    </row>
    <row r="648">
      <c r="A648" s="25" t="n"/>
      <c r="B648" s="45">
        <f>IF(A648="","",IFERROR(INDEX(Mitarbeiter!$B$6:$B$205,MATCH($A648,Mitarbeiter!$A$6:$A$205,0)),"?"))</f>
        <v/>
      </c>
      <c r="C648" s="46" t="n"/>
      <c r="D648" s="26" t="n"/>
      <c r="E648" s="26" t="n"/>
      <c r="F648" s="24">
        <f>IF(A648="","",SUM(L648:W648))</f>
        <v/>
      </c>
      <c r="G648" s="36">
        <f>IF(A648="","",SUM(X648:AI648))</f>
        <v/>
      </c>
      <c r="H648" s="8">
        <f>IF(A648="","",IF(ISNA(MATCH(A648,Mitarbeiter!$A$6:$A$205,0)),"Pers.-Nr. unbekannt",IF(D648="","Von fehlt",IF(AND(C648&lt;&gt;Einstellungen!$C$4,C648&lt;&gt;Einstellungen!$C$5),"Objekt fehlt",IF(J648&lt;D648,"Bis vor Von",IF(D648&lt;INDEX(Mitarbeiter!$C$6:$C$205,MATCH($A648,Mitarbeiter!$A$6:$A$205,0)),"vor Eintritt",IF(AND(INDEX(Mitarbeiter!$D$6:$D$205,MATCH($A648,Mitarbeiter!$A$6:$A$205,0))&lt;&gt;"",D648&gt;INDEX(Mitarbeiter!$D$6:$D$205,MATCH($A648,Mitarbeiter!$A$6:$A$205,0))),"nach Austritt",IF(E648="","offen","ok"))))))))</f>
        <v/>
      </c>
      <c r="J648" s="47">
        <f>IF(A648="","",IF(E648="",Einstellungen!$C$9,E648))</f>
        <v/>
      </c>
      <c r="K648" s="48">
        <f>IF(A648="",0,IFERROR(INDEX(Mitarbeiter!$F$6:$F$205,MATCH($A648,Mitarbeiter!$A$6:$A$205,0)),0))</f>
        <v/>
      </c>
      <c r="L648" s="49">
        <f>IF(OR(A648="",D648=""),0,MAX(0,NETWORKDAYS(MAX(D648,DATE(Einstellungen!$C$3,1,1)),MIN(J648,DATE(Einstellungen!$C$3,2,0)),Einstellungen!$F$13:$F$32)))</f>
        <v/>
      </c>
      <c r="M648" s="49">
        <f>IF(OR(A648="",D648=""),0,MAX(0,NETWORKDAYS(MAX(D648,DATE(Einstellungen!$C$3,2,1)),MIN(J648,DATE(Einstellungen!$C$3,3,0)),Einstellungen!$F$13:$F$32)))</f>
        <v/>
      </c>
      <c r="N648" s="49">
        <f>IF(OR(A648="",D648=""),0,MAX(0,NETWORKDAYS(MAX(D648,DATE(Einstellungen!$C$3,3,1)),MIN(J648,DATE(Einstellungen!$C$3,4,0)),Einstellungen!$F$13:$F$32)))</f>
        <v/>
      </c>
      <c r="O648" s="49">
        <f>IF(OR(A648="",D648=""),0,MAX(0,NETWORKDAYS(MAX(D648,DATE(Einstellungen!$C$3,4,1)),MIN(J648,DATE(Einstellungen!$C$3,5,0)),Einstellungen!$F$13:$F$32)))</f>
        <v/>
      </c>
      <c r="P648" s="49">
        <f>IF(OR(A648="",D648=""),0,MAX(0,NETWORKDAYS(MAX(D648,DATE(Einstellungen!$C$3,5,1)),MIN(J648,DATE(Einstellungen!$C$3,6,0)),Einstellungen!$F$13:$F$32)))</f>
        <v/>
      </c>
      <c r="Q648" s="49">
        <f>IF(OR(A648="",D648=""),0,MAX(0,NETWORKDAYS(MAX(D648,DATE(Einstellungen!$C$3,6,1)),MIN(J648,DATE(Einstellungen!$C$3,7,0)),Einstellungen!$F$13:$F$32)))</f>
        <v/>
      </c>
      <c r="R648" s="49">
        <f>IF(OR(A648="",D648=""),0,MAX(0,NETWORKDAYS(MAX(D648,DATE(Einstellungen!$C$3,7,1)),MIN(J648,DATE(Einstellungen!$C$3,8,0)),Einstellungen!$F$13:$F$32)))</f>
        <v/>
      </c>
      <c r="S648" s="49">
        <f>IF(OR(A648="",D648=""),0,MAX(0,NETWORKDAYS(MAX(D648,DATE(Einstellungen!$C$3,8,1)),MIN(J648,DATE(Einstellungen!$C$3,9,0)),Einstellungen!$F$13:$F$32)))</f>
        <v/>
      </c>
      <c r="T648" s="49">
        <f>IF(OR(A648="",D648=""),0,MAX(0,NETWORKDAYS(MAX(D648,DATE(Einstellungen!$C$3,9,1)),MIN(J648,DATE(Einstellungen!$C$3,10,0)),Einstellungen!$F$13:$F$32)))</f>
        <v/>
      </c>
      <c r="U648" s="49">
        <f>IF(OR(A648="",D648=""),0,MAX(0,NETWORKDAYS(MAX(D648,DATE(Einstellungen!$C$3,10,1)),MIN(J648,DATE(Einstellungen!$C$3,11,0)),Einstellungen!$F$13:$F$32)))</f>
        <v/>
      </c>
      <c r="V648" s="49">
        <f>IF(OR(A648="",D648=""),0,MAX(0,NETWORKDAYS(MAX(D648,DATE(Einstellungen!$C$3,11,1)),MIN(J648,DATE(Einstellungen!$C$3,12,0)),Einstellungen!$F$13:$F$32)))</f>
        <v/>
      </c>
      <c r="W648" s="49">
        <f>IF(OR(A648="",D648=""),0,MAX(0,NETWORKDAYS(MAX(D648,DATE(Einstellungen!$C$3,12,1)),MIN(J648,DATE(Einstellungen!$C$3,13,0)),Einstellungen!$F$13:$F$32)))</f>
        <v/>
      </c>
      <c r="X648" s="50">
        <f>L648*K648</f>
        <v/>
      </c>
      <c r="Y648" s="50">
        <f>M648*K648</f>
        <v/>
      </c>
      <c r="Z648" s="50">
        <f>N648*K648</f>
        <v/>
      </c>
      <c r="AA648" s="50">
        <f>O648*K648</f>
        <v/>
      </c>
      <c r="AB648" s="50">
        <f>P648*K648</f>
        <v/>
      </c>
      <c r="AC648" s="50">
        <f>Q648*K648</f>
        <v/>
      </c>
      <c r="AD648" s="50">
        <f>R648*K648</f>
        <v/>
      </c>
      <c r="AE648" s="50">
        <f>S648*K648</f>
        <v/>
      </c>
      <c r="AF648" s="50">
        <f>T648*K648</f>
        <v/>
      </c>
      <c r="AG648" s="50">
        <f>U648*K648</f>
        <v/>
      </c>
      <c r="AH648" s="50">
        <f>V648*K648</f>
        <v/>
      </c>
      <c r="AI648" s="50">
        <f>W648*K648</f>
        <v/>
      </c>
    </row>
    <row r="649">
      <c r="A649" s="25" t="n"/>
      <c r="B649" s="45">
        <f>IF(A649="","",IFERROR(INDEX(Mitarbeiter!$B$6:$B$205,MATCH($A649,Mitarbeiter!$A$6:$A$205,0)),"?"))</f>
        <v/>
      </c>
      <c r="C649" s="46" t="n"/>
      <c r="D649" s="26" t="n"/>
      <c r="E649" s="26" t="n"/>
      <c r="F649" s="24">
        <f>IF(A649="","",SUM(L649:W649))</f>
        <v/>
      </c>
      <c r="G649" s="36">
        <f>IF(A649="","",SUM(X649:AI649))</f>
        <v/>
      </c>
      <c r="H649" s="8">
        <f>IF(A649="","",IF(ISNA(MATCH(A649,Mitarbeiter!$A$6:$A$205,0)),"Pers.-Nr. unbekannt",IF(D649="","Von fehlt",IF(AND(C649&lt;&gt;Einstellungen!$C$4,C649&lt;&gt;Einstellungen!$C$5),"Objekt fehlt",IF(J649&lt;D649,"Bis vor Von",IF(D649&lt;INDEX(Mitarbeiter!$C$6:$C$205,MATCH($A649,Mitarbeiter!$A$6:$A$205,0)),"vor Eintritt",IF(AND(INDEX(Mitarbeiter!$D$6:$D$205,MATCH($A649,Mitarbeiter!$A$6:$A$205,0))&lt;&gt;"",D649&gt;INDEX(Mitarbeiter!$D$6:$D$205,MATCH($A649,Mitarbeiter!$A$6:$A$205,0))),"nach Austritt",IF(E649="","offen","ok"))))))))</f>
        <v/>
      </c>
      <c r="J649" s="47">
        <f>IF(A649="","",IF(E649="",Einstellungen!$C$9,E649))</f>
        <v/>
      </c>
      <c r="K649" s="48">
        <f>IF(A649="",0,IFERROR(INDEX(Mitarbeiter!$F$6:$F$205,MATCH($A649,Mitarbeiter!$A$6:$A$205,0)),0))</f>
        <v/>
      </c>
      <c r="L649" s="49">
        <f>IF(OR(A649="",D649=""),0,MAX(0,NETWORKDAYS(MAX(D649,DATE(Einstellungen!$C$3,1,1)),MIN(J649,DATE(Einstellungen!$C$3,2,0)),Einstellungen!$F$13:$F$32)))</f>
        <v/>
      </c>
      <c r="M649" s="49">
        <f>IF(OR(A649="",D649=""),0,MAX(0,NETWORKDAYS(MAX(D649,DATE(Einstellungen!$C$3,2,1)),MIN(J649,DATE(Einstellungen!$C$3,3,0)),Einstellungen!$F$13:$F$32)))</f>
        <v/>
      </c>
      <c r="N649" s="49">
        <f>IF(OR(A649="",D649=""),0,MAX(0,NETWORKDAYS(MAX(D649,DATE(Einstellungen!$C$3,3,1)),MIN(J649,DATE(Einstellungen!$C$3,4,0)),Einstellungen!$F$13:$F$32)))</f>
        <v/>
      </c>
      <c r="O649" s="49">
        <f>IF(OR(A649="",D649=""),0,MAX(0,NETWORKDAYS(MAX(D649,DATE(Einstellungen!$C$3,4,1)),MIN(J649,DATE(Einstellungen!$C$3,5,0)),Einstellungen!$F$13:$F$32)))</f>
        <v/>
      </c>
      <c r="P649" s="49">
        <f>IF(OR(A649="",D649=""),0,MAX(0,NETWORKDAYS(MAX(D649,DATE(Einstellungen!$C$3,5,1)),MIN(J649,DATE(Einstellungen!$C$3,6,0)),Einstellungen!$F$13:$F$32)))</f>
        <v/>
      </c>
      <c r="Q649" s="49">
        <f>IF(OR(A649="",D649=""),0,MAX(0,NETWORKDAYS(MAX(D649,DATE(Einstellungen!$C$3,6,1)),MIN(J649,DATE(Einstellungen!$C$3,7,0)),Einstellungen!$F$13:$F$32)))</f>
        <v/>
      </c>
      <c r="R649" s="49">
        <f>IF(OR(A649="",D649=""),0,MAX(0,NETWORKDAYS(MAX(D649,DATE(Einstellungen!$C$3,7,1)),MIN(J649,DATE(Einstellungen!$C$3,8,0)),Einstellungen!$F$13:$F$32)))</f>
        <v/>
      </c>
      <c r="S649" s="49">
        <f>IF(OR(A649="",D649=""),0,MAX(0,NETWORKDAYS(MAX(D649,DATE(Einstellungen!$C$3,8,1)),MIN(J649,DATE(Einstellungen!$C$3,9,0)),Einstellungen!$F$13:$F$32)))</f>
        <v/>
      </c>
      <c r="T649" s="49">
        <f>IF(OR(A649="",D649=""),0,MAX(0,NETWORKDAYS(MAX(D649,DATE(Einstellungen!$C$3,9,1)),MIN(J649,DATE(Einstellungen!$C$3,10,0)),Einstellungen!$F$13:$F$32)))</f>
        <v/>
      </c>
      <c r="U649" s="49">
        <f>IF(OR(A649="",D649=""),0,MAX(0,NETWORKDAYS(MAX(D649,DATE(Einstellungen!$C$3,10,1)),MIN(J649,DATE(Einstellungen!$C$3,11,0)),Einstellungen!$F$13:$F$32)))</f>
        <v/>
      </c>
      <c r="V649" s="49">
        <f>IF(OR(A649="",D649=""),0,MAX(0,NETWORKDAYS(MAX(D649,DATE(Einstellungen!$C$3,11,1)),MIN(J649,DATE(Einstellungen!$C$3,12,0)),Einstellungen!$F$13:$F$32)))</f>
        <v/>
      </c>
      <c r="W649" s="49">
        <f>IF(OR(A649="",D649=""),0,MAX(0,NETWORKDAYS(MAX(D649,DATE(Einstellungen!$C$3,12,1)),MIN(J649,DATE(Einstellungen!$C$3,13,0)),Einstellungen!$F$13:$F$32)))</f>
        <v/>
      </c>
      <c r="X649" s="50">
        <f>L649*K649</f>
        <v/>
      </c>
      <c r="Y649" s="50">
        <f>M649*K649</f>
        <v/>
      </c>
      <c r="Z649" s="50">
        <f>N649*K649</f>
        <v/>
      </c>
      <c r="AA649" s="50">
        <f>O649*K649</f>
        <v/>
      </c>
      <c r="AB649" s="50">
        <f>P649*K649</f>
        <v/>
      </c>
      <c r="AC649" s="50">
        <f>Q649*K649</f>
        <v/>
      </c>
      <c r="AD649" s="50">
        <f>R649*K649</f>
        <v/>
      </c>
      <c r="AE649" s="50">
        <f>S649*K649</f>
        <v/>
      </c>
      <c r="AF649" s="50">
        <f>T649*K649</f>
        <v/>
      </c>
      <c r="AG649" s="50">
        <f>U649*K649</f>
        <v/>
      </c>
      <c r="AH649" s="50">
        <f>V649*K649</f>
        <v/>
      </c>
      <c r="AI649" s="50">
        <f>W649*K649</f>
        <v/>
      </c>
    </row>
    <row r="650">
      <c r="A650" s="25" t="n"/>
      <c r="B650" s="45">
        <f>IF(A650="","",IFERROR(INDEX(Mitarbeiter!$B$6:$B$205,MATCH($A650,Mitarbeiter!$A$6:$A$205,0)),"?"))</f>
        <v/>
      </c>
      <c r="C650" s="46" t="n"/>
      <c r="D650" s="26" t="n"/>
      <c r="E650" s="26" t="n"/>
      <c r="F650" s="24">
        <f>IF(A650="","",SUM(L650:W650))</f>
        <v/>
      </c>
      <c r="G650" s="36">
        <f>IF(A650="","",SUM(X650:AI650))</f>
        <v/>
      </c>
      <c r="H650" s="8">
        <f>IF(A650="","",IF(ISNA(MATCH(A650,Mitarbeiter!$A$6:$A$205,0)),"Pers.-Nr. unbekannt",IF(D650="","Von fehlt",IF(AND(C650&lt;&gt;Einstellungen!$C$4,C650&lt;&gt;Einstellungen!$C$5),"Objekt fehlt",IF(J650&lt;D650,"Bis vor Von",IF(D650&lt;INDEX(Mitarbeiter!$C$6:$C$205,MATCH($A650,Mitarbeiter!$A$6:$A$205,0)),"vor Eintritt",IF(AND(INDEX(Mitarbeiter!$D$6:$D$205,MATCH($A650,Mitarbeiter!$A$6:$A$205,0))&lt;&gt;"",D650&gt;INDEX(Mitarbeiter!$D$6:$D$205,MATCH($A650,Mitarbeiter!$A$6:$A$205,0))),"nach Austritt",IF(E650="","offen","ok"))))))))</f>
        <v/>
      </c>
      <c r="J650" s="47">
        <f>IF(A650="","",IF(E650="",Einstellungen!$C$9,E650))</f>
        <v/>
      </c>
      <c r="K650" s="48">
        <f>IF(A650="",0,IFERROR(INDEX(Mitarbeiter!$F$6:$F$205,MATCH($A650,Mitarbeiter!$A$6:$A$205,0)),0))</f>
        <v/>
      </c>
      <c r="L650" s="49">
        <f>IF(OR(A650="",D650=""),0,MAX(0,NETWORKDAYS(MAX(D650,DATE(Einstellungen!$C$3,1,1)),MIN(J650,DATE(Einstellungen!$C$3,2,0)),Einstellungen!$F$13:$F$32)))</f>
        <v/>
      </c>
      <c r="M650" s="49">
        <f>IF(OR(A650="",D650=""),0,MAX(0,NETWORKDAYS(MAX(D650,DATE(Einstellungen!$C$3,2,1)),MIN(J650,DATE(Einstellungen!$C$3,3,0)),Einstellungen!$F$13:$F$32)))</f>
        <v/>
      </c>
      <c r="N650" s="49">
        <f>IF(OR(A650="",D650=""),0,MAX(0,NETWORKDAYS(MAX(D650,DATE(Einstellungen!$C$3,3,1)),MIN(J650,DATE(Einstellungen!$C$3,4,0)),Einstellungen!$F$13:$F$32)))</f>
        <v/>
      </c>
      <c r="O650" s="49">
        <f>IF(OR(A650="",D650=""),0,MAX(0,NETWORKDAYS(MAX(D650,DATE(Einstellungen!$C$3,4,1)),MIN(J650,DATE(Einstellungen!$C$3,5,0)),Einstellungen!$F$13:$F$32)))</f>
        <v/>
      </c>
      <c r="P650" s="49">
        <f>IF(OR(A650="",D650=""),0,MAX(0,NETWORKDAYS(MAX(D650,DATE(Einstellungen!$C$3,5,1)),MIN(J650,DATE(Einstellungen!$C$3,6,0)),Einstellungen!$F$13:$F$32)))</f>
        <v/>
      </c>
      <c r="Q650" s="49">
        <f>IF(OR(A650="",D650=""),0,MAX(0,NETWORKDAYS(MAX(D650,DATE(Einstellungen!$C$3,6,1)),MIN(J650,DATE(Einstellungen!$C$3,7,0)),Einstellungen!$F$13:$F$32)))</f>
        <v/>
      </c>
      <c r="R650" s="49">
        <f>IF(OR(A650="",D650=""),0,MAX(0,NETWORKDAYS(MAX(D650,DATE(Einstellungen!$C$3,7,1)),MIN(J650,DATE(Einstellungen!$C$3,8,0)),Einstellungen!$F$13:$F$32)))</f>
        <v/>
      </c>
      <c r="S650" s="49">
        <f>IF(OR(A650="",D650=""),0,MAX(0,NETWORKDAYS(MAX(D650,DATE(Einstellungen!$C$3,8,1)),MIN(J650,DATE(Einstellungen!$C$3,9,0)),Einstellungen!$F$13:$F$32)))</f>
        <v/>
      </c>
      <c r="T650" s="49">
        <f>IF(OR(A650="",D650=""),0,MAX(0,NETWORKDAYS(MAX(D650,DATE(Einstellungen!$C$3,9,1)),MIN(J650,DATE(Einstellungen!$C$3,10,0)),Einstellungen!$F$13:$F$32)))</f>
        <v/>
      </c>
      <c r="U650" s="49">
        <f>IF(OR(A650="",D650=""),0,MAX(0,NETWORKDAYS(MAX(D650,DATE(Einstellungen!$C$3,10,1)),MIN(J650,DATE(Einstellungen!$C$3,11,0)),Einstellungen!$F$13:$F$32)))</f>
        <v/>
      </c>
      <c r="V650" s="49">
        <f>IF(OR(A650="",D650=""),0,MAX(0,NETWORKDAYS(MAX(D650,DATE(Einstellungen!$C$3,11,1)),MIN(J650,DATE(Einstellungen!$C$3,12,0)),Einstellungen!$F$13:$F$32)))</f>
        <v/>
      </c>
      <c r="W650" s="49">
        <f>IF(OR(A650="",D650=""),0,MAX(0,NETWORKDAYS(MAX(D650,DATE(Einstellungen!$C$3,12,1)),MIN(J650,DATE(Einstellungen!$C$3,13,0)),Einstellungen!$F$13:$F$32)))</f>
        <v/>
      </c>
      <c r="X650" s="50">
        <f>L650*K650</f>
        <v/>
      </c>
      <c r="Y650" s="50">
        <f>M650*K650</f>
        <v/>
      </c>
      <c r="Z650" s="50">
        <f>N650*K650</f>
        <v/>
      </c>
      <c r="AA650" s="50">
        <f>O650*K650</f>
        <v/>
      </c>
      <c r="AB650" s="50">
        <f>P650*K650</f>
        <v/>
      </c>
      <c r="AC650" s="50">
        <f>Q650*K650</f>
        <v/>
      </c>
      <c r="AD650" s="50">
        <f>R650*K650</f>
        <v/>
      </c>
      <c r="AE650" s="50">
        <f>S650*K650</f>
        <v/>
      </c>
      <c r="AF650" s="50">
        <f>T650*K650</f>
        <v/>
      </c>
      <c r="AG650" s="50">
        <f>U650*K650</f>
        <v/>
      </c>
      <c r="AH650" s="50">
        <f>V650*K650</f>
        <v/>
      </c>
      <c r="AI650" s="50">
        <f>W650*K650</f>
        <v/>
      </c>
    </row>
    <row r="651">
      <c r="A651" s="25" t="n"/>
      <c r="B651" s="45">
        <f>IF(A651="","",IFERROR(INDEX(Mitarbeiter!$B$6:$B$205,MATCH($A651,Mitarbeiter!$A$6:$A$205,0)),"?"))</f>
        <v/>
      </c>
      <c r="C651" s="46" t="n"/>
      <c r="D651" s="26" t="n"/>
      <c r="E651" s="26" t="n"/>
      <c r="F651" s="24">
        <f>IF(A651="","",SUM(L651:W651))</f>
        <v/>
      </c>
      <c r="G651" s="36">
        <f>IF(A651="","",SUM(X651:AI651))</f>
        <v/>
      </c>
      <c r="H651" s="8">
        <f>IF(A651="","",IF(ISNA(MATCH(A651,Mitarbeiter!$A$6:$A$205,0)),"Pers.-Nr. unbekannt",IF(D651="","Von fehlt",IF(AND(C651&lt;&gt;Einstellungen!$C$4,C651&lt;&gt;Einstellungen!$C$5),"Objekt fehlt",IF(J651&lt;D651,"Bis vor Von",IF(D651&lt;INDEX(Mitarbeiter!$C$6:$C$205,MATCH($A651,Mitarbeiter!$A$6:$A$205,0)),"vor Eintritt",IF(AND(INDEX(Mitarbeiter!$D$6:$D$205,MATCH($A651,Mitarbeiter!$A$6:$A$205,0))&lt;&gt;"",D651&gt;INDEX(Mitarbeiter!$D$6:$D$205,MATCH($A651,Mitarbeiter!$A$6:$A$205,0))),"nach Austritt",IF(E651="","offen","ok"))))))))</f>
        <v/>
      </c>
      <c r="J651" s="47">
        <f>IF(A651="","",IF(E651="",Einstellungen!$C$9,E651))</f>
        <v/>
      </c>
      <c r="K651" s="48">
        <f>IF(A651="",0,IFERROR(INDEX(Mitarbeiter!$F$6:$F$205,MATCH($A651,Mitarbeiter!$A$6:$A$205,0)),0))</f>
        <v/>
      </c>
      <c r="L651" s="49">
        <f>IF(OR(A651="",D651=""),0,MAX(0,NETWORKDAYS(MAX(D651,DATE(Einstellungen!$C$3,1,1)),MIN(J651,DATE(Einstellungen!$C$3,2,0)),Einstellungen!$F$13:$F$32)))</f>
        <v/>
      </c>
      <c r="M651" s="49">
        <f>IF(OR(A651="",D651=""),0,MAX(0,NETWORKDAYS(MAX(D651,DATE(Einstellungen!$C$3,2,1)),MIN(J651,DATE(Einstellungen!$C$3,3,0)),Einstellungen!$F$13:$F$32)))</f>
        <v/>
      </c>
      <c r="N651" s="49">
        <f>IF(OR(A651="",D651=""),0,MAX(0,NETWORKDAYS(MAX(D651,DATE(Einstellungen!$C$3,3,1)),MIN(J651,DATE(Einstellungen!$C$3,4,0)),Einstellungen!$F$13:$F$32)))</f>
        <v/>
      </c>
      <c r="O651" s="49">
        <f>IF(OR(A651="",D651=""),0,MAX(0,NETWORKDAYS(MAX(D651,DATE(Einstellungen!$C$3,4,1)),MIN(J651,DATE(Einstellungen!$C$3,5,0)),Einstellungen!$F$13:$F$32)))</f>
        <v/>
      </c>
      <c r="P651" s="49">
        <f>IF(OR(A651="",D651=""),0,MAX(0,NETWORKDAYS(MAX(D651,DATE(Einstellungen!$C$3,5,1)),MIN(J651,DATE(Einstellungen!$C$3,6,0)),Einstellungen!$F$13:$F$32)))</f>
        <v/>
      </c>
      <c r="Q651" s="49">
        <f>IF(OR(A651="",D651=""),0,MAX(0,NETWORKDAYS(MAX(D651,DATE(Einstellungen!$C$3,6,1)),MIN(J651,DATE(Einstellungen!$C$3,7,0)),Einstellungen!$F$13:$F$32)))</f>
        <v/>
      </c>
      <c r="R651" s="49">
        <f>IF(OR(A651="",D651=""),0,MAX(0,NETWORKDAYS(MAX(D651,DATE(Einstellungen!$C$3,7,1)),MIN(J651,DATE(Einstellungen!$C$3,8,0)),Einstellungen!$F$13:$F$32)))</f>
        <v/>
      </c>
      <c r="S651" s="49">
        <f>IF(OR(A651="",D651=""),0,MAX(0,NETWORKDAYS(MAX(D651,DATE(Einstellungen!$C$3,8,1)),MIN(J651,DATE(Einstellungen!$C$3,9,0)),Einstellungen!$F$13:$F$32)))</f>
        <v/>
      </c>
      <c r="T651" s="49">
        <f>IF(OR(A651="",D651=""),0,MAX(0,NETWORKDAYS(MAX(D651,DATE(Einstellungen!$C$3,9,1)),MIN(J651,DATE(Einstellungen!$C$3,10,0)),Einstellungen!$F$13:$F$32)))</f>
        <v/>
      </c>
      <c r="U651" s="49">
        <f>IF(OR(A651="",D651=""),0,MAX(0,NETWORKDAYS(MAX(D651,DATE(Einstellungen!$C$3,10,1)),MIN(J651,DATE(Einstellungen!$C$3,11,0)),Einstellungen!$F$13:$F$32)))</f>
        <v/>
      </c>
      <c r="V651" s="49">
        <f>IF(OR(A651="",D651=""),0,MAX(0,NETWORKDAYS(MAX(D651,DATE(Einstellungen!$C$3,11,1)),MIN(J651,DATE(Einstellungen!$C$3,12,0)),Einstellungen!$F$13:$F$32)))</f>
        <v/>
      </c>
      <c r="W651" s="49">
        <f>IF(OR(A651="",D651=""),0,MAX(0,NETWORKDAYS(MAX(D651,DATE(Einstellungen!$C$3,12,1)),MIN(J651,DATE(Einstellungen!$C$3,13,0)),Einstellungen!$F$13:$F$32)))</f>
        <v/>
      </c>
      <c r="X651" s="50">
        <f>L651*K651</f>
        <v/>
      </c>
      <c r="Y651" s="50">
        <f>M651*K651</f>
        <v/>
      </c>
      <c r="Z651" s="50">
        <f>N651*K651</f>
        <v/>
      </c>
      <c r="AA651" s="50">
        <f>O651*K651</f>
        <v/>
      </c>
      <c r="AB651" s="50">
        <f>P651*K651</f>
        <v/>
      </c>
      <c r="AC651" s="50">
        <f>Q651*K651</f>
        <v/>
      </c>
      <c r="AD651" s="50">
        <f>R651*K651</f>
        <v/>
      </c>
      <c r="AE651" s="50">
        <f>S651*K651</f>
        <v/>
      </c>
      <c r="AF651" s="50">
        <f>T651*K651</f>
        <v/>
      </c>
      <c r="AG651" s="50">
        <f>U651*K651</f>
        <v/>
      </c>
      <c r="AH651" s="50">
        <f>V651*K651</f>
        <v/>
      </c>
      <c r="AI651" s="50">
        <f>W651*K651</f>
        <v/>
      </c>
    </row>
    <row r="652">
      <c r="A652" s="25" t="n"/>
      <c r="B652" s="45">
        <f>IF(A652="","",IFERROR(INDEX(Mitarbeiter!$B$6:$B$205,MATCH($A652,Mitarbeiter!$A$6:$A$205,0)),"?"))</f>
        <v/>
      </c>
      <c r="C652" s="46" t="n"/>
      <c r="D652" s="26" t="n"/>
      <c r="E652" s="26" t="n"/>
      <c r="F652" s="24">
        <f>IF(A652="","",SUM(L652:W652))</f>
        <v/>
      </c>
      <c r="G652" s="36">
        <f>IF(A652="","",SUM(X652:AI652))</f>
        <v/>
      </c>
      <c r="H652" s="8">
        <f>IF(A652="","",IF(ISNA(MATCH(A652,Mitarbeiter!$A$6:$A$205,0)),"Pers.-Nr. unbekannt",IF(D652="","Von fehlt",IF(AND(C652&lt;&gt;Einstellungen!$C$4,C652&lt;&gt;Einstellungen!$C$5),"Objekt fehlt",IF(J652&lt;D652,"Bis vor Von",IF(D652&lt;INDEX(Mitarbeiter!$C$6:$C$205,MATCH($A652,Mitarbeiter!$A$6:$A$205,0)),"vor Eintritt",IF(AND(INDEX(Mitarbeiter!$D$6:$D$205,MATCH($A652,Mitarbeiter!$A$6:$A$205,0))&lt;&gt;"",D652&gt;INDEX(Mitarbeiter!$D$6:$D$205,MATCH($A652,Mitarbeiter!$A$6:$A$205,0))),"nach Austritt",IF(E652="","offen","ok"))))))))</f>
        <v/>
      </c>
      <c r="J652" s="47">
        <f>IF(A652="","",IF(E652="",Einstellungen!$C$9,E652))</f>
        <v/>
      </c>
      <c r="K652" s="48">
        <f>IF(A652="",0,IFERROR(INDEX(Mitarbeiter!$F$6:$F$205,MATCH($A652,Mitarbeiter!$A$6:$A$205,0)),0))</f>
        <v/>
      </c>
      <c r="L652" s="49">
        <f>IF(OR(A652="",D652=""),0,MAX(0,NETWORKDAYS(MAX(D652,DATE(Einstellungen!$C$3,1,1)),MIN(J652,DATE(Einstellungen!$C$3,2,0)),Einstellungen!$F$13:$F$32)))</f>
        <v/>
      </c>
      <c r="M652" s="49">
        <f>IF(OR(A652="",D652=""),0,MAX(0,NETWORKDAYS(MAX(D652,DATE(Einstellungen!$C$3,2,1)),MIN(J652,DATE(Einstellungen!$C$3,3,0)),Einstellungen!$F$13:$F$32)))</f>
        <v/>
      </c>
      <c r="N652" s="49">
        <f>IF(OR(A652="",D652=""),0,MAX(0,NETWORKDAYS(MAX(D652,DATE(Einstellungen!$C$3,3,1)),MIN(J652,DATE(Einstellungen!$C$3,4,0)),Einstellungen!$F$13:$F$32)))</f>
        <v/>
      </c>
      <c r="O652" s="49">
        <f>IF(OR(A652="",D652=""),0,MAX(0,NETWORKDAYS(MAX(D652,DATE(Einstellungen!$C$3,4,1)),MIN(J652,DATE(Einstellungen!$C$3,5,0)),Einstellungen!$F$13:$F$32)))</f>
        <v/>
      </c>
      <c r="P652" s="49">
        <f>IF(OR(A652="",D652=""),0,MAX(0,NETWORKDAYS(MAX(D652,DATE(Einstellungen!$C$3,5,1)),MIN(J652,DATE(Einstellungen!$C$3,6,0)),Einstellungen!$F$13:$F$32)))</f>
        <v/>
      </c>
      <c r="Q652" s="49">
        <f>IF(OR(A652="",D652=""),0,MAX(0,NETWORKDAYS(MAX(D652,DATE(Einstellungen!$C$3,6,1)),MIN(J652,DATE(Einstellungen!$C$3,7,0)),Einstellungen!$F$13:$F$32)))</f>
        <v/>
      </c>
      <c r="R652" s="49">
        <f>IF(OR(A652="",D652=""),0,MAX(0,NETWORKDAYS(MAX(D652,DATE(Einstellungen!$C$3,7,1)),MIN(J652,DATE(Einstellungen!$C$3,8,0)),Einstellungen!$F$13:$F$32)))</f>
        <v/>
      </c>
      <c r="S652" s="49">
        <f>IF(OR(A652="",D652=""),0,MAX(0,NETWORKDAYS(MAX(D652,DATE(Einstellungen!$C$3,8,1)),MIN(J652,DATE(Einstellungen!$C$3,9,0)),Einstellungen!$F$13:$F$32)))</f>
        <v/>
      </c>
      <c r="T652" s="49">
        <f>IF(OR(A652="",D652=""),0,MAX(0,NETWORKDAYS(MAX(D652,DATE(Einstellungen!$C$3,9,1)),MIN(J652,DATE(Einstellungen!$C$3,10,0)),Einstellungen!$F$13:$F$32)))</f>
        <v/>
      </c>
      <c r="U652" s="49">
        <f>IF(OR(A652="",D652=""),0,MAX(0,NETWORKDAYS(MAX(D652,DATE(Einstellungen!$C$3,10,1)),MIN(J652,DATE(Einstellungen!$C$3,11,0)),Einstellungen!$F$13:$F$32)))</f>
        <v/>
      </c>
      <c r="V652" s="49">
        <f>IF(OR(A652="",D652=""),0,MAX(0,NETWORKDAYS(MAX(D652,DATE(Einstellungen!$C$3,11,1)),MIN(J652,DATE(Einstellungen!$C$3,12,0)),Einstellungen!$F$13:$F$32)))</f>
        <v/>
      </c>
      <c r="W652" s="49">
        <f>IF(OR(A652="",D652=""),0,MAX(0,NETWORKDAYS(MAX(D652,DATE(Einstellungen!$C$3,12,1)),MIN(J652,DATE(Einstellungen!$C$3,13,0)),Einstellungen!$F$13:$F$32)))</f>
        <v/>
      </c>
      <c r="X652" s="50">
        <f>L652*K652</f>
        <v/>
      </c>
      <c r="Y652" s="50">
        <f>M652*K652</f>
        <v/>
      </c>
      <c r="Z652" s="50">
        <f>N652*K652</f>
        <v/>
      </c>
      <c r="AA652" s="50">
        <f>O652*K652</f>
        <v/>
      </c>
      <c r="AB652" s="50">
        <f>P652*K652</f>
        <v/>
      </c>
      <c r="AC652" s="50">
        <f>Q652*K652</f>
        <v/>
      </c>
      <c r="AD652" s="50">
        <f>R652*K652</f>
        <v/>
      </c>
      <c r="AE652" s="50">
        <f>S652*K652</f>
        <v/>
      </c>
      <c r="AF652" s="50">
        <f>T652*K652</f>
        <v/>
      </c>
      <c r="AG652" s="50">
        <f>U652*K652</f>
        <v/>
      </c>
      <c r="AH652" s="50">
        <f>V652*K652</f>
        <v/>
      </c>
      <c r="AI652" s="50">
        <f>W652*K652</f>
        <v/>
      </c>
    </row>
    <row r="653">
      <c r="A653" s="25" t="n"/>
      <c r="B653" s="45">
        <f>IF(A653="","",IFERROR(INDEX(Mitarbeiter!$B$6:$B$205,MATCH($A653,Mitarbeiter!$A$6:$A$205,0)),"?"))</f>
        <v/>
      </c>
      <c r="C653" s="46" t="n"/>
      <c r="D653" s="26" t="n"/>
      <c r="E653" s="26" t="n"/>
      <c r="F653" s="24">
        <f>IF(A653="","",SUM(L653:W653))</f>
        <v/>
      </c>
      <c r="G653" s="36">
        <f>IF(A653="","",SUM(X653:AI653))</f>
        <v/>
      </c>
      <c r="H653" s="8">
        <f>IF(A653="","",IF(ISNA(MATCH(A653,Mitarbeiter!$A$6:$A$205,0)),"Pers.-Nr. unbekannt",IF(D653="","Von fehlt",IF(AND(C653&lt;&gt;Einstellungen!$C$4,C653&lt;&gt;Einstellungen!$C$5),"Objekt fehlt",IF(J653&lt;D653,"Bis vor Von",IF(D653&lt;INDEX(Mitarbeiter!$C$6:$C$205,MATCH($A653,Mitarbeiter!$A$6:$A$205,0)),"vor Eintritt",IF(AND(INDEX(Mitarbeiter!$D$6:$D$205,MATCH($A653,Mitarbeiter!$A$6:$A$205,0))&lt;&gt;"",D653&gt;INDEX(Mitarbeiter!$D$6:$D$205,MATCH($A653,Mitarbeiter!$A$6:$A$205,0))),"nach Austritt",IF(E653="","offen","ok"))))))))</f>
        <v/>
      </c>
      <c r="J653" s="47">
        <f>IF(A653="","",IF(E653="",Einstellungen!$C$9,E653))</f>
        <v/>
      </c>
      <c r="K653" s="48">
        <f>IF(A653="",0,IFERROR(INDEX(Mitarbeiter!$F$6:$F$205,MATCH($A653,Mitarbeiter!$A$6:$A$205,0)),0))</f>
        <v/>
      </c>
      <c r="L653" s="49">
        <f>IF(OR(A653="",D653=""),0,MAX(0,NETWORKDAYS(MAX(D653,DATE(Einstellungen!$C$3,1,1)),MIN(J653,DATE(Einstellungen!$C$3,2,0)),Einstellungen!$F$13:$F$32)))</f>
        <v/>
      </c>
      <c r="M653" s="49">
        <f>IF(OR(A653="",D653=""),0,MAX(0,NETWORKDAYS(MAX(D653,DATE(Einstellungen!$C$3,2,1)),MIN(J653,DATE(Einstellungen!$C$3,3,0)),Einstellungen!$F$13:$F$32)))</f>
        <v/>
      </c>
      <c r="N653" s="49">
        <f>IF(OR(A653="",D653=""),0,MAX(0,NETWORKDAYS(MAX(D653,DATE(Einstellungen!$C$3,3,1)),MIN(J653,DATE(Einstellungen!$C$3,4,0)),Einstellungen!$F$13:$F$32)))</f>
        <v/>
      </c>
      <c r="O653" s="49">
        <f>IF(OR(A653="",D653=""),0,MAX(0,NETWORKDAYS(MAX(D653,DATE(Einstellungen!$C$3,4,1)),MIN(J653,DATE(Einstellungen!$C$3,5,0)),Einstellungen!$F$13:$F$32)))</f>
        <v/>
      </c>
      <c r="P653" s="49">
        <f>IF(OR(A653="",D653=""),0,MAX(0,NETWORKDAYS(MAX(D653,DATE(Einstellungen!$C$3,5,1)),MIN(J653,DATE(Einstellungen!$C$3,6,0)),Einstellungen!$F$13:$F$32)))</f>
        <v/>
      </c>
      <c r="Q653" s="49">
        <f>IF(OR(A653="",D653=""),0,MAX(0,NETWORKDAYS(MAX(D653,DATE(Einstellungen!$C$3,6,1)),MIN(J653,DATE(Einstellungen!$C$3,7,0)),Einstellungen!$F$13:$F$32)))</f>
        <v/>
      </c>
      <c r="R653" s="49">
        <f>IF(OR(A653="",D653=""),0,MAX(0,NETWORKDAYS(MAX(D653,DATE(Einstellungen!$C$3,7,1)),MIN(J653,DATE(Einstellungen!$C$3,8,0)),Einstellungen!$F$13:$F$32)))</f>
        <v/>
      </c>
      <c r="S653" s="49">
        <f>IF(OR(A653="",D653=""),0,MAX(0,NETWORKDAYS(MAX(D653,DATE(Einstellungen!$C$3,8,1)),MIN(J653,DATE(Einstellungen!$C$3,9,0)),Einstellungen!$F$13:$F$32)))</f>
        <v/>
      </c>
      <c r="T653" s="49">
        <f>IF(OR(A653="",D653=""),0,MAX(0,NETWORKDAYS(MAX(D653,DATE(Einstellungen!$C$3,9,1)),MIN(J653,DATE(Einstellungen!$C$3,10,0)),Einstellungen!$F$13:$F$32)))</f>
        <v/>
      </c>
      <c r="U653" s="49">
        <f>IF(OR(A653="",D653=""),0,MAX(0,NETWORKDAYS(MAX(D653,DATE(Einstellungen!$C$3,10,1)),MIN(J653,DATE(Einstellungen!$C$3,11,0)),Einstellungen!$F$13:$F$32)))</f>
        <v/>
      </c>
      <c r="V653" s="49">
        <f>IF(OR(A653="",D653=""),0,MAX(0,NETWORKDAYS(MAX(D653,DATE(Einstellungen!$C$3,11,1)),MIN(J653,DATE(Einstellungen!$C$3,12,0)),Einstellungen!$F$13:$F$32)))</f>
        <v/>
      </c>
      <c r="W653" s="49">
        <f>IF(OR(A653="",D653=""),0,MAX(0,NETWORKDAYS(MAX(D653,DATE(Einstellungen!$C$3,12,1)),MIN(J653,DATE(Einstellungen!$C$3,13,0)),Einstellungen!$F$13:$F$32)))</f>
        <v/>
      </c>
      <c r="X653" s="50">
        <f>L653*K653</f>
        <v/>
      </c>
      <c r="Y653" s="50">
        <f>M653*K653</f>
        <v/>
      </c>
      <c r="Z653" s="50">
        <f>N653*K653</f>
        <v/>
      </c>
      <c r="AA653" s="50">
        <f>O653*K653</f>
        <v/>
      </c>
      <c r="AB653" s="50">
        <f>P653*K653</f>
        <v/>
      </c>
      <c r="AC653" s="50">
        <f>Q653*K653</f>
        <v/>
      </c>
      <c r="AD653" s="50">
        <f>R653*K653</f>
        <v/>
      </c>
      <c r="AE653" s="50">
        <f>S653*K653</f>
        <v/>
      </c>
      <c r="AF653" s="50">
        <f>T653*K653</f>
        <v/>
      </c>
      <c r="AG653" s="50">
        <f>U653*K653</f>
        <v/>
      </c>
      <c r="AH653" s="50">
        <f>V653*K653</f>
        <v/>
      </c>
      <c r="AI653" s="50">
        <f>W653*K653</f>
        <v/>
      </c>
    </row>
    <row r="654">
      <c r="A654" s="25" t="n"/>
      <c r="B654" s="45">
        <f>IF(A654="","",IFERROR(INDEX(Mitarbeiter!$B$6:$B$205,MATCH($A654,Mitarbeiter!$A$6:$A$205,0)),"?"))</f>
        <v/>
      </c>
      <c r="C654" s="46" t="n"/>
      <c r="D654" s="26" t="n"/>
      <c r="E654" s="26" t="n"/>
      <c r="F654" s="24">
        <f>IF(A654="","",SUM(L654:W654))</f>
        <v/>
      </c>
      <c r="G654" s="36">
        <f>IF(A654="","",SUM(X654:AI654))</f>
        <v/>
      </c>
      <c r="H654" s="8">
        <f>IF(A654="","",IF(ISNA(MATCH(A654,Mitarbeiter!$A$6:$A$205,0)),"Pers.-Nr. unbekannt",IF(D654="","Von fehlt",IF(AND(C654&lt;&gt;Einstellungen!$C$4,C654&lt;&gt;Einstellungen!$C$5),"Objekt fehlt",IF(J654&lt;D654,"Bis vor Von",IF(D654&lt;INDEX(Mitarbeiter!$C$6:$C$205,MATCH($A654,Mitarbeiter!$A$6:$A$205,0)),"vor Eintritt",IF(AND(INDEX(Mitarbeiter!$D$6:$D$205,MATCH($A654,Mitarbeiter!$A$6:$A$205,0))&lt;&gt;"",D654&gt;INDEX(Mitarbeiter!$D$6:$D$205,MATCH($A654,Mitarbeiter!$A$6:$A$205,0))),"nach Austritt",IF(E654="","offen","ok"))))))))</f>
        <v/>
      </c>
      <c r="J654" s="47">
        <f>IF(A654="","",IF(E654="",Einstellungen!$C$9,E654))</f>
        <v/>
      </c>
      <c r="K654" s="48">
        <f>IF(A654="",0,IFERROR(INDEX(Mitarbeiter!$F$6:$F$205,MATCH($A654,Mitarbeiter!$A$6:$A$205,0)),0))</f>
        <v/>
      </c>
      <c r="L654" s="49">
        <f>IF(OR(A654="",D654=""),0,MAX(0,NETWORKDAYS(MAX(D654,DATE(Einstellungen!$C$3,1,1)),MIN(J654,DATE(Einstellungen!$C$3,2,0)),Einstellungen!$F$13:$F$32)))</f>
        <v/>
      </c>
      <c r="M654" s="49">
        <f>IF(OR(A654="",D654=""),0,MAX(0,NETWORKDAYS(MAX(D654,DATE(Einstellungen!$C$3,2,1)),MIN(J654,DATE(Einstellungen!$C$3,3,0)),Einstellungen!$F$13:$F$32)))</f>
        <v/>
      </c>
      <c r="N654" s="49">
        <f>IF(OR(A654="",D654=""),0,MAX(0,NETWORKDAYS(MAX(D654,DATE(Einstellungen!$C$3,3,1)),MIN(J654,DATE(Einstellungen!$C$3,4,0)),Einstellungen!$F$13:$F$32)))</f>
        <v/>
      </c>
      <c r="O654" s="49">
        <f>IF(OR(A654="",D654=""),0,MAX(0,NETWORKDAYS(MAX(D654,DATE(Einstellungen!$C$3,4,1)),MIN(J654,DATE(Einstellungen!$C$3,5,0)),Einstellungen!$F$13:$F$32)))</f>
        <v/>
      </c>
      <c r="P654" s="49">
        <f>IF(OR(A654="",D654=""),0,MAX(0,NETWORKDAYS(MAX(D654,DATE(Einstellungen!$C$3,5,1)),MIN(J654,DATE(Einstellungen!$C$3,6,0)),Einstellungen!$F$13:$F$32)))</f>
        <v/>
      </c>
      <c r="Q654" s="49">
        <f>IF(OR(A654="",D654=""),0,MAX(0,NETWORKDAYS(MAX(D654,DATE(Einstellungen!$C$3,6,1)),MIN(J654,DATE(Einstellungen!$C$3,7,0)),Einstellungen!$F$13:$F$32)))</f>
        <v/>
      </c>
      <c r="R654" s="49">
        <f>IF(OR(A654="",D654=""),0,MAX(0,NETWORKDAYS(MAX(D654,DATE(Einstellungen!$C$3,7,1)),MIN(J654,DATE(Einstellungen!$C$3,8,0)),Einstellungen!$F$13:$F$32)))</f>
        <v/>
      </c>
      <c r="S654" s="49">
        <f>IF(OR(A654="",D654=""),0,MAX(0,NETWORKDAYS(MAX(D654,DATE(Einstellungen!$C$3,8,1)),MIN(J654,DATE(Einstellungen!$C$3,9,0)),Einstellungen!$F$13:$F$32)))</f>
        <v/>
      </c>
      <c r="T654" s="49">
        <f>IF(OR(A654="",D654=""),0,MAX(0,NETWORKDAYS(MAX(D654,DATE(Einstellungen!$C$3,9,1)),MIN(J654,DATE(Einstellungen!$C$3,10,0)),Einstellungen!$F$13:$F$32)))</f>
        <v/>
      </c>
      <c r="U654" s="49">
        <f>IF(OR(A654="",D654=""),0,MAX(0,NETWORKDAYS(MAX(D654,DATE(Einstellungen!$C$3,10,1)),MIN(J654,DATE(Einstellungen!$C$3,11,0)),Einstellungen!$F$13:$F$32)))</f>
        <v/>
      </c>
      <c r="V654" s="49">
        <f>IF(OR(A654="",D654=""),0,MAX(0,NETWORKDAYS(MAX(D654,DATE(Einstellungen!$C$3,11,1)),MIN(J654,DATE(Einstellungen!$C$3,12,0)),Einstellungen!$F$13:$F$32)))</f>
        <v/>
      </c>
      <c r="W654" s="49">
        <f>IF(OR(A654="",D654=""),0,MAX(0,NETWORKDAYS(MAX(D654,DATE(Einstellungen!$C$3,12,1)),MIN(J654,DATE(Einstellungen!$C$3,13,0)),Einstellungen!$F$13:$F$32)))</f>
        <v/>
      </c>
      <c r="X654" s="50">
        <f>L654*K654</f>
        <v/>
      </c>
      <c r="Y654" s="50">
        <f>M654*K654</f>
        <v/>
      </c>
      <c r="Z654" s="50">
        <f>N654*K654</f>
        <v/>
      </c>
      <c r="AA654" s="50">
        <f>O654*K654</f>
        <v/>
      </c>
      <c r="AB654" s="50">
        <f>P654*K654</f>
        <v/>
      </c>
      <c r="AC654" s="50">
        <f>Q654*K654</f>
        <v/>
      </c>
      <c r="AD654" s="50">
        <f>R654*K654</f>
        <v/>
      </c>
      <c r="AE654" s="50">
        <f>S654*K654</f>
        <v/>
      </c>
      <c r="AF654" s="50">
        <f>T654*K654</f>
        <v/>
      </c>
      <c r="AG654" s="50">
        <f>U654*K654</f>
        <v/>
      </c>
      <c r="AH654" s="50">
        <f>V654*K654</f>
        <v/>
      </c>
      <c r="AI654" s="50">
        <f>W654*K654</f>
        <v/>
      </c>
    </row>
    <row r="655">
      <c r="A655" s="25" t="n"/>
      <c r="B655" s="45">
        <f>IF(A655="","",IFERROR(INDEX(Mitarbeiter!$B$6:$B$205,MATCH($A655,Mitarbeiter!$A$6:$A$205,0)),"?"))</f>
        <v/>
      </c>
      <c r="C655" s="46" t="n"/>
      <c r="D655" s="26" t="n"/>
      <c r="E655" s="26" t="n"/>
      <c r="F655" s="24">
        <f>IF(A655="","",SUM(L655:W655))</f>
        <v/>
      </c>
      <c r="G655" s="36">
        <f>IF(A655="","",SUM(X655:AI655))</f>
        <v/>
      </c>
      <c r="H655" s="8">
        <f>IF(A655="","",IF(ISNA(MATCH(A655,Mitarbeiter!$A$6:$A$205,0)),"Pers.-Nr. unbekannt",IF(D655="","Von fehlt",IF(AND(C655&lt;&gt;Einstellungen!$C$4,C655&lt;&gt;Einstellungen!$C$5),"Objekt fehlt",IF(J655&lt;D655,"Bis vor Von",IF(D655&lt;INDEX(Mitarbeiter!$C$6:$C$205,MATCH($A655,Mitarbeiter!$A$6:$A$205,0)),"vor Eintritt",IF(AND(INDEX(Mitarbeiter!$D$6:$D$205,MATCH($A655,Mitarbeiter!$A$6:$A$205,0))&lt;&gt;"",D655&gt;INDEX(Mitarbeiter!$D$6:$D$205,MATCH($A655,Mitarbeiter!$A$6:$A$205,0))),"nach Austritt",IF(E655="","offen","ok"))))))))</f>
        <v/>
      </c>
      <c r="J655" s="47">
        <f>IF(A655="","",IF(E655="",Einstellungen!$C$9,E655))</f>
        <v/>
      </c>
      <c r="K655" s="48">
        <f>IF(A655="",0,IFERROR(INDEX(Mitarbeiter!$F$6:$F$205,MATCH($A655,Mitarbeiter!$A$6:$A$205,0)),0))</f>
        <v/>
      </c>
      <c r="L655" s="49">
        <f>IF(OR(A655="",D655=""),0,MAX(0,NETWORKDAYS(MAX(D655,DATE(Einstellungen!$C$3,1,1)),MIN(J655,DATE(Einstellungen!$C$3,2,0)),Einstellungen!$F$13:$F$32)))</f>
        <v/>
      </c>
      <c r="M655" s="49">
        <f>IF(OR(A655="",D655=""),0,MAX(0,NETWORKDAYS(MAX(D655,DATE(Einstellungen!$C$3,2,1)),MIN(J655,DATE(Einstellungen!$C$3,3,0)),Einstellungen!$F$13:$F$32)))</f>
        <v/>
      </c>
      <c r="N655" s="49">
        <f>IF(OR(A655="",D655=""),0,MAX(0,NETWORKDAYS(MAX(D655,DATE(Einstellungen!$C$3,3,1)),MIN(J655,DATE(Einstellungen!$C$3,4,0)),Einstellungen!$F$13:$F$32)))</f>
        <v/>
      </c>
      <c r="O655" s="49">
        <f>IF(OR(A655="",D655=""),0,MAX(0,NETWORKDAYS(MAX(D655,DATE(Einstellungen!$C$3,4,1)),MIN(J655,DATE(Einstellungen!$C$3,5,0)),Einstellungen!$F$13:$F$32)))</f>
        <v/>
      </c>
      <c r="P655" s="49">
        <f>IF(OR(A655="",D655=""),0,MAX(0,NETWORKDAYS(MAX(D655,DATE(Einstellungen!$C$3,5,1)),MIN(J655,DATE(Einstellungen!$C$3,6,0)),Einstellungen!$F$13:$F$32)))</f>
        <v/>
      </c>
      <c r="Q655" s="49">
        <f>IF(OR(A655="",D655=""),0,MAX(0,NETWORKDAYS(MAX(D655,DATE(Einstellungen!$C$3,6,1)),MIN(J655,DATE(Einstellungen!$C$3,7,0)),Einstellungen!$F$13:$F$32)))</f>
        <v/>
      </c>
      <c r="R655" s="49">
        <f>IF(OR(A655="",D655=""),0,MAX(0,NETWORKDAYS(MAX(D655,DATE(Einstellungen!$C$3,7,1)),MIN(J655,DATE(Einstellungen!$C$3,8,0)),Einstellungen!$F$13:$F$32)))</f>
        <v/>
      </c>
      <c r="S655" s="49">
        <f>IF(OR(A655="",D655=""),0,MAX(0,NETWORKDAYS(MAX(D655,DATE(Einstellungen!$C$3,8,1)),MIN(J655,DATE(Einstellungen!$C$3,9,0)),Einstellungen!$F$13:$F$32)))</f>
        <v/>
      </c>
      <c r="T655" s="49">
        <f>IF(OR(A655="",D655=""),0,MAX(0,NETWORKDAYS(MAX(D655,DATE(Einstellungen!$C$3,9,1)),MIN(J655,DATE(Einstellungen!$C$3,10,0)),Einstellungen!$F$13:$F$32)))</f>
        <v/>
      </c>
      <c r="U655" s="49">
        <f>IF(OR(A655="",D655=""),0,MAX(0,NETWORKDAYS(MAX(D655,DATE(Einstellungen!$C$3,10,1)),MIN(J655,DATE(Einstellungen!$C$3,11,0)),Einstellungen!$F$13:$F$32)))</f>
        <v/>
      </c>
      <c r="V655" s="49">
        <f>IF(OR(A655="",D655=""),0,MAX(0,NETWORKDAYS(MAX(D655,DATE(Einstellungen!$C$3,11,1)),MIN(J655,DATE(Einstellungen!$C$3,12,0)),Einstellungen!$F$13:$F$32)))</f>
        <v/>
      </c>
      <c r="W655" s="49">
        <f>IF(OR(A655="",D655=""),0,MAX(0,NETWORKDAYS(MAX(D655,DATE(Einstellungen!$C$3,12,1)),MIN(J655,DATE(Einstellungen!$C$3,13,0)),Einstellungen!$F$13:$F$32)))</f>
        <v/>
      </c>
      <c r="X655" s="50">
        <f>L655*K655</f>
        <v/>
      </c>
      <c r="Y655" s="50">
        <f>M655*K655</f>
        <v/>
      </c>
      <c r="Z655" s="50">
        <f>N655*K655</f>
        <v/>
      </c>
      <c r="AA655" s="50">
        <f>O655*K655</f>
        <v/>
      </c>
      <c r="AB655" s="50">
        <f>P655*K655</f>
        <v/>
      </c>
      <c r="AC655" s="50">
        <f>Q655*K655</f>
        <v/>
      </c>
      <c r="AD655" s="50">
        <f>R655*K655</f>
        <v/>
      </c>
      <c r="AE655" s="50">
        <f>S655*K655</f>
        <v/>
      </c>
      <c r="AF655" s="50">
        <f>T655*K655</f>
        <v/>
      </c>
      <c r="AG655" s="50">
        <f>U655*K655</f>
        <v/>
      </c>
      <c r="AH655" s="50">
        <f>V655*K655</f>
        <v/>
      </c>
      <c r="AI655" s="50">
        <f>W655*K655</f>
        <v/>
      </c>
    </row>
    <row r="656">
      <c r="A656" s="25" t="n"/>
      <c r="B656" s="45">
        <f>IF(A656="","",IFERROR(INDEX(Mitarbeiter!$B$6:$B$205,MATCH($A656,Mitarbeiter!$A$6:$A$205,0)),"?"))</f>
        <v/>
      </c>
      <c r="C656" s="46" t="n"/>
      <c r="D656" s="26" t="n"/>
      <c r="E656" s="26" t="n"/>
      <c r="F656" s="24">
        <f>IF(A656="","",SUM(L656:W656))</f>
        <v/>
      </c>
      <c r="G656" s="36">
        <f>IF(A656="","",SUM(X656:AI656))</f>
        <v/>
      </c>
      <c r="H656" s="8">
        <f>IF(A656="","",IF(ISNA(MATCH(A656,Mitarbeiter!$A$6:$A$205,0)),"Pers.-Nr. unbekannt",IF(D656="","Von fehlt",IF(AND(C656&lt;&gt;Einstellungen!$C$4,C656&lt;&gt;Einstellungen!$C$5),"Objekt fehlt",IF(J656&lt;D656,"Bis vor Von",IF(D656&lt;INDEX(Mitarbeiter!$C$6:$C$205,MATCH($A656,Mitarbeiter!$A$6:$A$205,0)),"vor Eintritt",IF(AND(INDEX(Mitarbeiter!$D$6:$D$205,MATCH($A656,Mitarbeiter!$A$6:$A$205,0))&lt;&gt;"",D656&gt;INDEX(Mitarbeiter!$D$6:$D$205,MATCH($A656,Mitarbeiter!$A$6:$A$205,0))),"nach Austritt",IF(E656="","offen","ok"))))))))</f>
        <v/>
      </c>
      <c r="J656" s="47">
        <f>IF(A656="","",IF(E656="",Einstellungen!$C$9,E656))</f>
        <v/>
      </c>
      <c r="K656" s="48">
        <f>IF(A656="",0,IFERROR(INDEX(Mitarbeiter!$F$6:$F$205,MATCH($A656,Mitarbeiter!$A$6:$A$205,0)),0))</f>
        <v/>
      </c>
      <c r="L656" s="49">
        <f>IF(OR(A656="",D656=""),0,MAX(0,NETWORKDAYS(MAX(D656,DATE(Einstellungen!$C$3,1,1)),MIN(J656,DATE(Einstellungen!$C$3,2,0)),Einstellungen!$F$13:$F$32)))</f>
        <v/>
      </c>
      <c r="M656" s="49">
        <f>IF(OR(A656="",D656=""),0,MAX(0,NETWORKDAYS(MAX(D656,DATE(Einstellungen!$C$3,2,1)),MIN(J656,DATE(Einstellungen!$C$3,3,0)),Einstellungen!$F$13:$F$32)))</f>
        <v/>
      </c>
      <c r="N656" s="49">
        <f>IF(OR(A656="",D656=""),0,MAX(0,NETWORKDAYS(MAX(D656,DATE(Einstellungen!$C$3,3,1)),MIN(J656,DATE(Einstellungen!$C$3,4,0)),Einstellungen!$F$13:$F$32)))</f>
        <v/>
      </c>
      <c r="O656" s="49">
        <f>IF(OR(A656="",D656=""),0,MAX(0,NETWORKDAYS(MAX(D656,DATE(Einstellungen!$C$3,4,1)),MIN(J656,DATE(Einstellungen!$C$3,5,0)),Einstellungen!$F$13:$F$32)))</f>
        <v/>
      </c>
      <c r="P656" s="49">
        <f>IF(OR(A656="",D656=""),0,MAX(0,NETWORKDAYS(MAX(D656,DATE(Einstellungen!$C$3,5,1)),MIN(J656,DATE(Einstellungen!$C$3,6,0)),Einstellungen!$F$13:$F$32)))</f>
        <v/>
      </c>
      <c r="Q656" s="49">
        <f>IF(OR(A656="",D656=""),0,MAX(0,NETWORKDAYS(MAX(D656,DATE(Einstellungen!$C$3,6,1)),MIN(J656,DATE(Einstellungen!$C$3,7,0)),Einstellungen!$F$13:$F$32)))</f>
        <v/>
      </c>
      <c r="R656" s="49">
        <f>IF(OR(A656="",D656=""),0,MAX(0,NETWORKDAYS(MAX(D656,DATE(Einstellungen!$C$3,7,1)),MIN(J656,DATE(Einstellungen!$C$3,8,0)),Einstellungen!$F$13:$F$32)))</f>
        <v/>
      </c>
      <c r="S656" s="49">
        <f>IF(OR(A656="",D656=""),0,MAX(0,NETWORKDAYS(MAX(D656,DATE(Einstellungen!$C$3,8,1)),MIN(J656,DATE(Einstellungen!$C$3,9,0)),Einstellungen!$F$13:$F$32)))</f>
        <v/>
      </c>
      <c r="T656" s="49">
        <f>IF(OR(A656="",D656=""),0,MAX(0,NETWORKDAYS(MAX(D656,DATE(Einstellungen!$C$3,9,1)),MIN(J656,DATE(Einstellungen!$C$3,10,0)),Einstellungen!$F$13:$F$32)))</f>
        <v/>
      </c>
      <c r="U656" s="49">
        <f>IF(OR(A656="",D656=""),0,MAX(0,NETWORKDAYS(MAX(D656,DATE(Einstellungen!$C$3,10,1)),MIN(J656,DATE(Einstellungen!$C$3,11,0)),Einstellungen!$F$13:$F$32)))</f>
        <v/>
      </c>
      <c r="V656" s="49">
        <f>IF(OR(A656="",D656=""),0,MAX(0,NETWORKDAYS(MAX(D656,DATE(Einstellungen!$C$3,11,1)),MIN(J656,DATE(Einstellungen!$C$3,12,0)),Einstellungen!$F$13:$F$32)))</f>
        <v/>
      </c>
      <c r="W656" s="49">
        <f>IF(OR(A656="",D656=""),0,MAX(0,NETWORKDAYS(MAX(D656,DATE(Einstellungen!$C$3,12,1)),MIN(J656,DATE(Einstellungen!$C$3,13,0)),Einstellungen!$F$13:$F$32)))</f>
        <v/>
      </c>
      <c r="X656" s="50">
        <f>L656*K656</f>
        <v/>
      </c>
      <c r="Y656" s="50">
        <f>M656*K656</f>
        <v/>
      </c>
      <c r="Z656" s="50">
        <f>N656*K656</f>
        <v/>
      </c>
      <c r="AA656" s="50">
        <f>O656*K656</f>
        <v/>
      </c>
      <c r="AB656" s="50">
        <f>P656*K656</f>
        <v/>
      </c>
      <c r="AC656" s="50">
        <f>Q656*K656</f>
        <v/>
      </c>
      <c r="AD656" s="50">
        <f>R656*K656</f>
        <v/>
      </c>
      <c r="AE656" s="50">
        <f>S656*K656</f>
        <v/>
      </c>
      <c r="AF656" s="50">
        <f>T656*K656</f>
        <v/>
      </c>
      <c r="AG656" s="50">
        <f>U656*K656</f>
        <v/>
      </c>
      <c r="AH656" s="50">
        <f>V656*K656</f>
        <v/>
      </c>
      <c r="AI656" s="50">
        <f>W656*K656</f>
        <v/>
      </c>
    </row>
    <row r="657">
      <c r="A657" s="25" t="n"/>
      <c r="B657" s="45">
        <f>IF(A657="","",IFERROR(INDEX(Mitarbeiter!$B$6:$B$205,MATCH($A657,Mitarbeiter!$A$6:$A$205,0)),"?"))</f>
        <v/>
      </c>
      <c r="C657" s="46" t="n"/>
      <c r="D657" s="26" t="n"/>
      <c r="E657" s="26" t="n"/>
      <c r="F657" s="24">
        <f>IF(A657="","",SUM(L657:W657))</f>
        <v/>
      </c>
      <c r="G657" s="36">
        <f>IF(A657="","",SUM(X657:AI657))</f>
        <v/>
      </c>
      <c r="H657" s="8">
        <f>IF(A657="","",IF(ISNA(MATCH(A657,Mitarbeiter!$A$6:$A$205,0)),"Pers.-Nr. unbekannt",IF(D657="","Von fehlt",IF(AND(C657&lt;&gt;Einstellungen!$C$4,C657&lt;&gt;Einstellungen!$C$5),"Objekt fehlt",IF(J657&lt;D657,"Bis vor Von",IF(D657&lt;INDEX(Mitarbeiter!$C$6:$C$205,MATCH($A657,Mitarbeiter!$A$6:$A$205,0)),"vor Eintritt",IF(AND(INDEX(Mitarbeiter!$D$6:$D$205,MATCH($A657,Mitarbeiter!$A$6:$A$205,0))&lt;&gt;"",D657&gt;INDEX(Mitarbeiter!$D$6:$D$205,MATCH($A657,Mitarbeiter!$A$6:$A$205,0))),"nach Austritt",IF(E657="","offen","ok"))))))))</f>
        <v/>
      </c>
      <c r="J657" s="47">
        <f>IF(A657="","",IF(E657="",Einstellungen!$C$9,E657))</f>
        <v/>
      </c>
      <c r="K657" s="48">
        <f>IF(A657="",0,IFERROR(INDEX(Mitarbeiter!$F$6:$F$205,MATCH($A657,Mitarbeiter!$A$6:$A$205,0)),0))</f>
        <v/>
      </c>
      <c r="L657" s="49">
        <f>IF(OR(A657="",D657=""),0,MAX(0,NETWORKDAYS(MAX(D657,DATE(Einstellungen!$C$3,1,1)),MIN(J657,DATE(Einstellungen!$C$3,2,0)),Einstellungen!$F$13:$F$32)))</f>
        <v/>
      </c>
      <c r="M657" s="49">
        <f>IF(OR(A657="",D657=""),0,MAX(0,NETWORKDAYS(MAX(D657,DATE(Einstellungen!$C$3,2,1)),MIN(J657,DATE(Einstellungen!$C$3,3,0)),Einstellungen!$F$13:$F$32)))</f>
        <v/>
      </c>
      <c r="N657" s="49">
        <f>IF(OR(A657="",D657=""),0,MAX(0,NETWORKDAYS(MAX(D657,DATE(Einstellungen!$C$3,3,1)),MIN(J657,DATE(Einstellungen!$C$3,4,0)),Einstellungen!$F$13:$F$32)))</f>
        <v/>
      </c>
      <c r="O657" s="49">
        <f>IF(OR(A657="",D657=""),0,MAX(0,NETWORKDAYS(MAX(D657,DATE(Einstellungen!$C$3,4,1)),MIN(J657,DATE(Einstellungen!$C$3,5,0)),Einstellungen!$F$13:$F$32)))</f>
        <v/>
      </c>
      <c r="P657" s="49">
        <f>IF(OR(A657="",D657=""),0,MAX(0,NETWORKDAYS(MAX(D657,DATE(Einstellungen!$C$3,5,1)),MIN(J657,DATE(Einstellungen!$C$3,6,0)),Einstellungen!$F$13:$F$32)))</f>
        <v/>
      </c>
      <c r="Q657" s="49">
        <f>IF(OR(A657="",D657=""),0,MAX(0,NETWORKDAYS(MAX(D657,DATE(Einstellungen!$C$3,6,1)),MIN(J657,DATE(Einstellungen!$C$3,7,0)),Einstellungen!$F$13:$F$32)))</f>
        <v/>
      </c>
      <c r="R657" s="49">
        <f>IF(OR(A657="",D657=""),0,MAX(0,NETWORKDAYS(MAX(D657,DATE(Einstellungen!$C$3,7,1)),MIN(J657,DATE(Einstellungen!$C$3,8,0)),Einstellungen!$F$13:$F$32)))</f>
        <v/>
      </c>
      <c r="S657" s="49">
        <f>IF(OR(A657="",D657=""),0,MAX(0,NETWORKDAYS(MAX(D657,DATE(Einstellungen!$C$3,8,1)),MIN(J657,DATE(Einstellungen!$C$3,9,0)),Einstellungen!$F$13:$F$32)))</f>
        <v/>
      </c>
      <c r="T657" s="49">
        <f>IF(OR(A657="",D657=""),0,MAX(0,NETWORKDAYS(MAX(D657,DATE(Einstellungen!$C$3,9,1)),MIN(J657,DATE(Einstellungen!$C$3,10,0)),Einstellungen!$F$13:$F$32)))</f>
        <v/>
      </c>
      <c r="U657" s="49">
        <f>IF(OR(A657="",D657=""),0,MAX(0,NETWORKDAYS(MAX(D657,DATE(Einstellungen!$C$3,10,1)),MIN(J657,DATE(Einstellungen!$C$3,11,0)),Einstellungen!$F$13:$F$32)))</f>
        <v/>
      </c>
      <c r="V657" s="49">
        <f>IF(OR(A657="",D657=""),0,MAX(0,NETWORKDAYS(MAX(D657,DATE(Einstellungen!$C$3,11,1)),MIN(J657,DATE(Einstellungen!$C$3,12,0)),Einstellungen!$F$13:$F$32)))</f>
        <v/>
      </c>
      <c r="W657" s="49">
        <f>IF(OR(A657="",D657=""),0,MAX(0,NETWORKDAYS(MAX(D657,DATE(Einstellungen!$C$3,12,1)),MIN(J657,DATE(Einstellungen!$C$3,13,0)),Einstellungen!$F$13:$F$32)))</f>
        <v/>
      </c>
      <c r="X657" s="50">
        <f>L657*K657</f>
        <v/>
      </c>
      <c r="Y657" s="50">
        <f>M657*K657</f>
        <v/>
      </c>
      <c r="Z657" s="50">
        <f>N657*K657</f>
        <v/>
      </c>
      <c r="AA657" s="50">
        <f>O657*K657</f>
        <v/>
      </c>
      <c r="AB657" s="50">
        <f>P657*K657</f>
        <v/>
      </c>
      <c r="AC657" s="50">
        <f>Q657*K657</f>
        <v/>
      </c>
      <c r="AD657" s="50">
        <f>R657*K657</f>
        <v/>
      </c>
      <c r="AE657" s="50">
        <f>S657*K657</f>
        <v/>
      </c>
      <c r="AF657" s="50">
        <f>T657*K657</f>
        <v/>
      </c>
      <c r="AG657" s="50">
        <f>U657*K657</f>
        <v/>
      </c>
      <c r="AH657" s="50">
        <f>V657*K657</f>
        <v/>
      </c>
      <c r="AI657" s="50">
        <f>W657*K657</f>
        <v/>
      </c>
    </row>
    <row r="658">
      <c r="A658" s="25" t="n"/>
      <c r="B658" s="45">
        <f>IF(A658="","",IFERROR(INDEX(Mitarbeiter!$B$6:$B$205,MATCH($A658,Mitarbeiter!$A$6:$A$205,0)),"?"))</f>
        <v/>
      </c>
      <c r="C658" s="46" t="n"/>
      <c r="D658" s="26" t="n"/>
      <c r="E658" s="26" t="n"/>
      <c r="F658" s="24">
        <f>IF(A658="","",SUM(L658:W658))</f>
        <v/>
      </c>
      <c r="G658" s="36">
        <f>IF(A658="","",SUM(X658:AI658))</f>
        <v/>
      </c>
      <c r="H658" s="8">
        <f>IF(A658="","",IF(ISNA(MATCH(A658,Mitarbeiter!$A$6:$A$205,0)),"Pers.-Nr. unbekannt",IF(D658="","Von fehlt",IF(AND(C658&lt;&gt;Einstellungen!$C$4,C658&lt;&gt;Einstellungen!$C$5),"Objekt fehlt",IF(J658&lt;D658,"Bis vor Von",IF(D658&lt;INDEX(Mitarbeiter!$C$6:$C$205,MATCH($A658,Mitarbeiter!$A$6:$A$205,0)),"vor Eintritt",IF(AND(INDEX(Mitarbeiter!$D$6:$D$205,MATCH($A658,Mitarbeiter!$A$6:$A$205,0))&lt;&gt;"",D658&gt;INDEX(Mitarbeiter!$D$6:$D$205,MATCH($A658,Mitarbeiter!$A$6:$A$205,0))),"nach Austritt",IF(E658="","offen","ok"))))))))</f>
        <v/>
      </c>
      <c r="J658" s="47">
        <f>IF(A658="","",IF(E658="",Einstellungen!$C$9,E658))</f>
        <v/>
      </c>
      <c r="K658" s="48">
        <f>IF(A658="",0,IFERROR(INDEX(Mitarbeiter!$F$6:$F$205,MATCH($A658,Mitarbeiter!$A$6:$A$205,0)),0))</f>
        <v/>
      </c>
      <c r="L658" s="49">
        <f>IF(OR(A658="",D658=""),0,MAX(0,NETWORKDAYS(MAX(D658,DATE(Einstellungen!$C$3,1,1)),MIN(J658,DATE(Einstellungen!$C$3,2,0)),Einstellungen!$F$13:$F$32)))</f>
        <v/>
      </c>
      <c r="M658" s="49">
        <f>IF(OR(A658="",D658=""),0,MAX(0,NETWORKDAYS(MAX(D658,DATE(Einstellungen!$C$3,2,1)),MIN(J658,DATE(Einstellungen!$C$3,3,0)),Einstellungen!$F$13:$F$32)))</f>
        <v/>
      </c>
      <c r="N658" s="49">
        <f>IF(OR(A658="",D658=""),0,MAX(0,NETWORKDAYS(MAX(D658,DATE(Einstellungen!$C$3,3,1)),MIN(J658,DATE(Einstellungen!$C$3,4,0)),Einstellungen!$F$13:$F$32)))</f>
        <v/>
      </c>
      <c r="O658" s="49">
        <f>IF(OR(A658="",D658=""),0,MAX(0,NETWORKDAYS(MAX(D658,DATE(Einstellungen!$C$3,4,1)),MIN(J658,DATE(Einstellungen!$C$3,5,0)),Einstellungen!$F$13:$F$32)))</f>
        <v/>
      </c>
      <c r="P658" s="49">
        <f>IF(OR(A658="",D658=""),0,MAX(0,NETWORKDAYS(MAX(D658,DATE(Einstellungen!$C$3,5,1)),MIN(J658,DATE(Einstellungen!$C$3,6,0)),Einstellungen!$F$13:$F$32)))</f>
        <v/>
      </c>
      <c r="Q658" s="49">
        <f>IF(OR(A658="",D658=""),0,MAX(0,NETWORKDAYS(MAX(D658,DATE(Einstellungen!$C$3,6,1)),MIN(J658,DATE(Einstellungen!$C$3,7,0)),Einstellungen!$F$13:$F$32)))</f>
        <v/>
      </c>
      <c r="R658" s="49">
        <f>IF(OR(A658="",D658=""),0,MAX(0,NETWORKDAYS(MAX(D658,DATE(Einstellungen!$C$3,7,1)),MIN(J658,DATE(Einstellungen!$C$3,8,0)),Einstellungen!$F$13:$F$32)))</f>
        <v/>
      </c>
      <c r="S658" s="49">
        <f>IF(OR(A658="",D658=""),0,MAX(0,NETWORKDAYS(MAX(D658,DATE(Einstellungen!$C$3,8,1)),MIN(J658,DATE(Einstellungen!$C$3,9,0)),Einstellungen!$F$13:$F$32)))</f>
        <v/>
      </c>
      <c r="T658" s="49">
        <f>IF(OR(A658="",D658=""),0,MAX(0,NETWORKDAYS(MAX(D658,DATE(Einstellungen!$C$3,9,1)),MIN(J658,DATE(Einstellungen!$C$3,10,0)),Einstellungen!$F$13:$F$32)))</f>
        <v/>
      </c>
      <c r="U658" s="49">
        <f>IF(OR(A658="",D658=""),0,MAX(0,NETWORKDAYS(MAX(D658,DATE(Einstellungen!$C$3,10,1)),MIN(J658,DATE(Einstellungen!$C$3,11,0)),Einstellungen!$F$13:$F$32)))</f>
        <v/>
      </c>
      <c r="V658" s="49">
        <f>IF(OR(A658="",D658=""),0,MAX(0,NETWORKDAYS(MAX(D658,DATE(Einstellungen!$C$3,11,1)),MIN(J658,DATE(Einstellungen!$C$3,12,0)),Einstellungen!$F$13:$F$32)))</f>
        <v/>
      </c>
      <c r="W658" s="49">
        <f>IF(OR(A658="",D658=""),0,MAX(0,NETWORKDAYS(MAX(D658,DATE(Einstellungen!$C$3,12,1)),MIN(J658,DATE(Einstellungen!$C$3,13,0)),Einstellungen!$F$13:$F$32)))</f>
        <v/>
      </c>
      <c r="X658" s="50">
        <f>L658*K658</f>
        <v/>
      </c>
      <c r="Y658" s="50">
        <f>M658*K658</f>
        <v/>
      </c>
      <c r="Z658" s="50">
        <f>N658*K658</f>
        <v/>
      </c>
      <c r="AA658" s="50">
        <f>O658*K658</f>
        <v/>
      </c>
      <c r="AB658" s="50">
        <f>P658*K658</f>
        <v/>
      </c>
      <c r="AC658" s="50">
        <f>Q658*K658</f>
        <v/>
      </c>
      <c r="AD658" s="50">
        <f>R658*K658</f>
        <v/>
      </c>
      <c r="AE658" s="50">
        <f>S658*K658</f>
        <v/>
      </c>
      <c r="AF658" s="50">
        <f>T658*K658</f>
        <v/>
      </c>
      <c r="AG658" s="50">
        <f>U658*K658</f>
        <v/>
      </c>
      <c r="AH658" s="50">
        <f>V658*K658</f>
        <v/>
      </c>
      <c r="AI658" s="50">
        <f>W658*K658</f>
        <v/>
      </c>
    </row>
    <row r="659">
      <c r="A659" s="25" t="n"/>
      <c r="B659" s="45">
        <f>IF(A659="","",IFERROR(INDEX(Mitarbeiter!$B$6:$B$205,MATCH($A659,Mitarbeiter!$A$6:$A$205,0)),"?"))</f>
        <v/>
      </c>
      <c r="C659" s="46" t="n"/>
      <c r="D659" s="26" t="n"/>
      <c r="E659" s="26" t="n"/>
      <c r="F659" s="24">
        <f>IF(A659="","",SUM(L659:W659))</f>
        <v/>
      </c>
      <c r="G659" s="36">
        <f>IF(A659="","",SUM(X659:AI659))</f>
        <v/>
      </c>
      <c r="H659" s="8">
        <f>IF(A659="","",IF(ISNA(MATCH(A659,Mitarbeiter!$A$6:$A$205,0)),"Pers.-Nr. unbekannt",IF(D659="","Von fehlt",IF(AND(C659&lt;&gt;Einstellungen!$C$4,C659&lt;&gt;Einstellungen!$C$5),"Objekt fehlt",IF(J659&lt;D659,"Bis vor Von",IF(D659&lt;INDEX(Mitarbeiter!$C$6:$C$205,MATCH($A659,Mitarbeiter!$A$6:$A$205,0)),"vor Eintritt",IF(AND(INDEX(Mitarbeiter!$D$6:$D$205,MATCH($A659,Mitarbeiter!$A$6:$A$205,0))&lt;&gt;"",D659&gt;INDEX(Mitarbeiter!$D$6:$D$205,MATCH($A659,Mitarbeiter!$A$6:$A$205,0))),"nach Austritt",IF(E659="","offen","ok"))))))))</f>
        <v/>
      </c>
      <c r="J659" s="47">
        <f>IF(A659="","",IF(E659="",Einstellungen!$C$9,E659))</f>
        <v/>
      </c>
      <c r="K659" s="48">
        <f>IF(A659="",0,IFERROR(INDEX(Mitarbeiter!$F$6:$F$205,MATCH($A659,Mitarbeiter!$A$6:$A$205,0)),0))</f>
        <v/>
      </c>
      <c r="L659" s="49">
        <f>IF(OR(A659="",D659=""),0,MAX(0,NETWORKDAYS(MAX(D659,DATE(Einstellungen!$C$3,1,1)),MIN(J659,DATE(Einstellungen!$C$3,2,0)),Einstellungen!$F$13:$F$32)))</f>
        <v/>
      </c>
      <c r="M659" s="49">
        <f>IF(OR(A659="",D659=""),0,MAX(0,NETWORKDAYS(MAX(D659,DATE(Einstellungen!$C$3,2,1)),MIN(J659,DATE(Einstellungen!$C$3,3,0)),Einstellungen!$F$13:$F$32)))</f>
        <v/>
      </c>
      <c r="N659" s="49">
        <f>IF(OR(A659="",D659=""),0,MAX(0,NETWORKDAYS(MAX(D659,DATE(Einstellungen!$C$3,3,1)),MIN(J659,DATE(Einstellungen!$C$3,4,0)),Einstellungen!$F$13:$F$32)))</f>
        <v/>
      </c>
      <c r="O659" s="49">
        <f>IF(OR(A659="",D659=""),0,MAX(0,NETWORKDAYS(MAX(D659,DATE(Einstellungen!$C$3,4,1)),MIN(J659,DATE(Einstellungen!$C$3,5,0)),Einstellungen!$F$13:$F$32)))</f>
        <v/>
      </c>
      <c r="P659" s="49">
        <f>IF(OR(A659="",D659=""),0,MAX(0,NETWORKDAYS(MAX(D659,DATE(Einstellungen!$C$3,5,1)),MIN(J659,DATE(Einstellungen!$C$3,6,0)),Einstellungen!$F$13:$F$32)))</f>
        <v/>
      </c>
      <c r="Q659" s="49">
        <f>IF(OR(A659="",D659=""),0,MAX(0,NETWORKDAYS(MAX(D659,DATE(Einstellungen!$C$3,6,1)),MIN(J659,DATE(Einstellungen!$C$3,7,0)),Einstellungen!$F$13:$F$32)))</f>
        <v/>
      </c>
      <c r="R659" s="49">
        <f>IF(OR(A659="",D659=""),0,MAX(0,NETWORKDAYS(MAX(D659,DATE(Einstellungen!$C$3,7,1)),MIN(J659,DATE(Einstellungen!$C$3,8,0)),Einstellungen!$F$13:$F$32)))</f>
        <v/>
      </c>
      <c r="S659" s="49">
        <f>IF(OR(A659="",D659=""),0,MAX(0,NETWORKDAYS(MAX(D659,DATE(Einstellungen!$C$3,8,1)),MIN(J659,DATE(Einstellungen!$C$3,9,0)),Einstellungen!$F$13:$F$32)))</f>
        <v/>
      </c>
      <c r="T659" s="49">
        <f>IF(OR(A659="",D659=""),0,MAX(0,NETWORKDAYS(MAX(D659,DATE(Einstellungen!$C$3,9,1)),MIN(J659,DATE(Einstellungen!$C$3,10,0)),Einstellungen!$F$13:$F$32)))</f>
        <v/>
      </c>
      <c r="U659" s="49">
        <f>IF(OR(A659="",D659=""),0,MAX(0,NETWORKDAYS(MAX(D659,DATE(Einstellungen!$C$3,10,1)),MIN(J659,DATE(Einstellungen!$C$3,11,0)),Einstellungen!$F$13:$F$32)))</f>
        <v/>
      </c>
      <c r="V659" s="49">
        <f>IF(OR(A659="",D659=""),0,MAX(0,NETWORKDAYS(MAX(D659,DATE(Einstellungen!$C$3,11,1)),MIN(J659,DATE(Einstellungen!$C$3,12,0)),Einstellungen!$F$13:$F$32)))</f>
        <v/>
      </c>
      <c r="W659" s="49">
        <f>IF(OR(A659="",D659=""),0,MAX(0,NETWORKDAYS(MAX(D659,DATE(Einstellungen!$C$3,12,1)),MIN(J659,DATE(Einstellungen!$C$3,13,0)),Einstellungen!$F$13:$F$32)))</f>
        <v/>
      </c>
      <c r="X659" s="50">
        <f>L659*K659</f>
        <v/>
      </c>
      <c r="Y659" s="50">
        <f>M659*K659</f>
        <v/>
      </c>
      <c r="Z659" s="50">
        <f>N659*K659</f>
        <v/>
      </c>
      <c r="AA659" s="50">
        <f>O659*K659</f>
        <v/>
      </c>
      <c r="AB659" s="50">
        <f>P659*K659</f>
        <v/>
      </c>
      <c r="AC659" s="50">
        <f>Q659*K659</f>
        <v/>
      </c>
      <c r="AD659" s="50">
        <f>R659*K659</f>
        <v/>
      </c>
      <c r="AE659" s="50">
        <f>S659*K659</f>
        <v/>
      </c>
      <c r="AF659" s="50">
        <f>T659*K659</f>
        <v/>
      </c>
      <c r="AG659" s="50">
        <f>U659*K659</f>
        <v/>
      </c>
      <c r="AH659" s="50">
        <f>V659*K659</f>
        <v/>
      </c>
      <c r="AI659" s="50">
        <f>W659*K659</f>
        <v/>
      </c>
    </row>
    <row r="660">
      <c r="A660" s="25" t="n"/>
      <c r="B660" s="45">
        <f>IF(A660="","",IFERROR(INDEX(Mitarbeiter!$B$6:$B$205,MATCH($A660,Mitarbeiter!$A$6:$A$205,0)),"?"))</f>
        <v/>
      </c>
      <c r="C660" s="46" t="n"/>
      <c r="D660" s="26" t="n"/>
      <c r="E660" s="26" t="n"/>
      <c r="F660" s="24">
        <f>IF(A660="","",SUM(L660:W660))</f>
        <v/>
      </c>
      <c r="G660" s="36">
        <f>IF(A660="","",SUM(X660:AI660))</f>
        <v/>
      </c>
      <c r="H660" s="8">
        <f>IF(A660="","",IF(ISNA(MATCH(A660,Mitarbeiter!$A$6:$A$205,0)),"Pers.-Nr. unbekannt",IF(D660="","Von fehlt",IF(AND(C660&lt;&gt;Einstellungen!$C$4,C660&lt;&gt;Einstellungen!$C$5),"Objekt fehlt",IF(J660&lt;D660,"Bis vor Von",IF(D660&lt;INDEX(Mitarbeiter!$C$6:$C$205,MATCH($A660,Mitarbeiter!$A$6:$A$205,0)),"vor Eintritt",IF(AND(INDEX(Mitarbeiter!$D$6:$D$205,MATCH($A660,Mitarbeiter!$A$6:$A$205,0))&lt;&gt;"",D660&gt;INDEX(Mitarbeiter!$D$6:$D$205,MATCH($A660,Mitarbeiter!$A$6:$A$205,0))),"nach Austritt",IF(E660="","offen","ok"))))))))</f>
        <v/>
      </c>
      <c r="J660" s="47">
        <f>IF(A660="","",IF(E660="",Einstellungen!$C$9,E660))</f>
        <v/>
      </c>
      <c r="K660" s="48">
        <f>IF(A660="",0,IFERROR(INDEX(Mitarbeiter!$F$6:$F$205,MATCH($A660,Mitarbeiter!$A$6:$A$205,0)),0))</f>
        <v/>
      </c>
      <c r="L660" s="49">
        <f>IF(OR(A660="",D660=""),0,MAX(0,NETWORKDAYS(MAX(D660,DATE(Einstellungen!$C$3,1,1)),MIN(J660,DATE(Einstellungen!$C$3,2,0)),Einstellungen!$F$13:$F$32)))</f>
        <v/>
      </c>
      <c r="M660" s="49">
        <f>IF(OR(A660="",D660=""),0,MAX(0,NETWORKDAYS(MAX(D660,DATE(Einstellungen!$C$3,2,1)),MIN(J660,DATE(Einstellungen!$C$3,3,0)),Einstellungen!$F$13:$F$32)))</f>
        <v/>
      </c>
      <c r="N660" s="49">
        <f>IF(OR(A660="",D660=""),0,MAX(0,NETWORKDAYS(MAX(D660,DATE(Einstellungen!$C$3,3,1)),MIN(J660,DATE(Einstellungen!$C$3,4,0)),Einstellungen!$F$13:$F$32)))</f>
        <v/>
      </c>
      <c r="O660" s="49">
        <f>IF(OR(A660="",D660=""),0,MAX(0,NETWORKDAYS(MAX(D660,DATE(Einstellungen!$C$3,4,1)),MIN(J660,DATE(Einstellungen!$C$3,5,0)),Einstellungen!$F$13:$F$32)))</f>
        <v/>
      </c>
      <c r="P660" s="49">
        <f>IF(OR(A660="",D660=""),0,MAX(0,NETWORKDAYS(MAX(D660,DATE(Einstellungen!$C$3,5,1)),MIN(J660,DATE(Einstellungen!$C$3,6,0)),Einstellungen!$F$13:$F$32)))</f>
        <v/>
      </c>
      <c r="Q660" s="49">
        <f>IF(OR(A660="",D660=""),0,MAX(0,NETWORKDAYS(MAX(D660,DATE(Einstellungen!$C$3,6,1)),MIN(J660,DATE(Einstellungen!$C$3,7,0)),Einstellungen!$F$13:$F$32)))</f>
        <v/>
      </c>
      <c r="R660" s="49">
        <f>IF(OR(A660="",D660=""),0,MAX(0,NETWORKDAYS(MAX(D660,DATE(Einstellungen!$C$3,7,1)),MIN(J660,DATE(Einstellungen!$C$3,8,0)),Einstellungen!$F$13:$F$32)))</f>
        <v/>
      </c>
      <c r="S660" s="49">
        <f>IF(OR(A660="",D660=""),0,MAX(0,NETWORKDAYS(MAX(D660,DATE(Einstellungen!$C$3,8,1)),MIN(J660,DATE(Einstellungen!$C$3,9,0)),Einstellungen!$F$13:$F$32)))</f>
        <v/>
      </c>
      <c r="T660" s="49">
        <f>IF(OR(A660="",D660=""),0,MAX(0,NETWORKDAYS(MAX(D660,DATE(Einstellungen!$C$3,9,1)),MIN(J660,DATE(Einstellungen!$C$3,10,0)),Einstellungen!$F$13:$F$32)))</f>
        <v/>
      </c>
      <c r="U660" s="49">
        <f>IF(OR(A660="",D660=""),0,MAX(0,NETWORKDAYS(MAX(D660,DATE(Einstellungen!$C$3,10,1)),MIN(J660,DATE(Einstellungen!$C$3,11,0)),Einstellungen!$F$13:$F$32)))</f>
        <v/>
      </c>
      <c r="V660" s="49">
        <f>IF(OR(A660="",D660=""),0,MAX(0,NETWORKDAYS(MAX(D660,DATE(Einstellungen!$C$3,11,1)),MIN(J660,DATE(Einstellungen!$C$3,12,0)),Einstellungen!$F$13:$F$32)))</f>
        <v/>
      </c>
      <c r="W660" s="49">
        <f>IF(OR(A660="",D660=""),0,MAX(0,NETWORKDAYS(MAX(D660,DATE(Einstellungen!$C$3,12,1)),MIN(J660,DATE(Einstellungen!$C$3,13,0)),Einstellungen!$F$13:$F$32)))</f>
        <v/>
      </c>
      <c r="X660" s="50">
        <f>L660*K660</f>
        <v/>
      </c>
      <c r="Y660" s="50">
        <f>M660*K660</f>
        <v/>
      </c>
      <c r="Z660" s="50">
        <f>N660*K660</f>
        <v/>
      </c>
      <c r="AA660" s="50">
        <f>O660*K660</f>
        <v/>
      </c>
      <c r="AB660" s="50">
        <f>P660*K660</f>
        <v/>
      </c>
      <c r="AC660" s="50">
        <f>Q660*K660</f>
        <v/>
      </c>
      <c r="AD660" s="50">
        <f>R660*K660</f>
        <v/>
      </c>
      <c r="AE660" s="50">
        <f>S660*K660</f>
        <v/>
      </c>
      <c r="AF660" s="50">
        <f>T660*K660</f>
        <v/>
      </c>
      <c r="AG660" s="50">
        <f>U660*K660</f>
        <v/>
      </c>
      <c r="AH660" s="50">
        <f>V660*K660</f>
        <v/>
      </c>
      <c r="AI660" s="50">
        <f>W660*K660</f>
        <v/>
      </c>
    </row>
    <row r="661">
      <c r="A661" s="25" t="n"/>
      <c r="B661" s="45">
        <f>IF(A661="","",IFERROR(INDEX(Mitarbeiter!$B$6:$B$205,MATCH($A661,Mitarbeiter!$A$6:$A$205,0)),"?"))</f>
        <v/>
      </c>
      <c r="C661" s="46" t="n"/>
      <c r="D661" s="26" t="n"/>
      <c r="E661" s="26" t="n"/>
      <c r="F661" s="24">
        <f>IF(A661="","",SUM(L661:W661))</f>
        <v/>
      </c>
      <c r="G661" s="36">
        <f>IF(A661="","",SUM(X661:AI661))</f>
        <v/>
      </c>
      <c r="H661" s="8">
        <f>IF(A661="","",IF(ISNA(MATCH(A661,Mitarbeiter!$A$6:$A$205,0)),"Pers.-Nr. unbekannt",IF(D661="","Von fehlt",IF(AND(C661&lt;&gt;Einstellungen!$C$4,C661&lt;&gt;Einstellungen!$C$5),"Objekt fehlt",IF(J661&lt;D661,"Bis vor Von",IF(D661&lt;INDEX(Mitarbeiter!$C$6:$C$205,MATCH($A661,Mitarbeiter!$A$6:$A$205,0)),"vor Eintritt",IF(AND(INDEX(Mitarbeiter!$D$6:$D$205,MATCH($A661,Mitarbeiter!$A$6:$A$205,0))&lt;&gt;"",D661&gt;INDEX(Mitarbeiter!$D$6:$D$205,MATCH($A661,Mitarbeiter!$A$6:$A$205,0))),"nach Austritt",IF(E661="","offen","ok"))))))))</f>
        <v/>
      </c>
      <c r="J661" s="47">
        <f>IF(A661="","",IF(E661="",Einstellungen!$C$9,E661))</f>
        <v/>
      </c>
      <c r="K661" s="48">
        <f>IF(A661="",0,IFERROR(INDEX(Mitarbeiter!$F$6:$F$205,MATCH($A661,Mitarbeiter!$A$6:$A$205,0)),0))</f>
        <v/>
      </c>
      <c r="L661" s="49">
        <f>IF(OR(A661="",D661=""),0,MAX(0,NETWORKDAYS(MAX(D661,DATE(Einstellungen!$C$3,1,1)),MIN(J661,DATE(Einstellungen!$C$3,2,0)),Einstellungen!$F$13:$F$32)))</f>
        <v/>
      </c>
      <c r="M661" s="49">
        <f>IF(OR(A661="",D661=""),0,MAX(0,NETWORKDAYS(MAX(D661,DATE(Einstellungen!$C$3,2,1)),MIN(J661,DATE(Einstellungen!$C$3,3,0)),Einstellungen!$F$13:$F$32)))</f>
        <v/>
      </c>
      <c r="N661" s="49">
        <f>IF(OR(A661="",D661=""),0,MAX(0,NETWORKDAYS(MAX(D661,DATE(Einstellungen!$C$3,3,1)),MIN(J661,DATE(Einstellungen!$C$3,4,0)),Einstellungen!$F$13:$F$32)))</f>
        <v/>
      </c>
      <c r="O661" s="49">
        <f>IF(OR(A661="",D661=""),0,MAX(0,NETWORKDAYS(MAX(D661,DATE(Einstellungen!$C$3,4,1)),MIN(J661,DATE(Einstellungen!$C$3,5,0)),Einstellungen!$F$13:$F$32)))</f>
        <v/>
      </c>
      <c r="P661" s="49">
        <f>IF(OR(A661="",D661=""),0,MAX(0,NETWORKDAYS(MAX(D661,DATE(Einstellungen!$C$3,5,1)),MIN(J661,DATE(Einstellungen!$C$3,6,0)),Einstellungen!$F$13:$F$32)))</f>
        <v/>
      </c>
      <c r="Q661" s="49">
        <f>IF(OR(A661="",D661=""),0,MAX(0,NETWORKDAYS(MAX(D661,DATE(Einstellungen!$C$3,6,1)),MIN(J661,DATE(Einstellungen!$C$3,7,0)),Einstellungen!$F$13:$F$32)))</f>
        <v/>
      </c>
      <c r="R661" s="49">
        <f>IF(OR(A661="",D661=""),0,MAX(0,NETWORKDAYS(MAX(D661,DATE(Einstellungen!$C$3,7,1)),MIN(J661,DATE(Einstellungen!$C$3,8,0)),Einstellungen!$F$13:$F$32)))</f>
        <v/>
      </c>
      <c r="S661" s="49">
        <f>IF(OR(A661="",D661=""),0,MAX(0,NETWORKDAYS(MAX(D661,DATE(Einstellungen!$C$3,8,1)),MIN(J661,DATE(Einstellungen!$C$3,9,0)),Einstellungen!$F$13:$F$32)))</f>
        <v/>
      </c>
      <c r="T661" s="49">
        <f>IF(OR(A661="",D661=""),0,MAX(0,NETWORKDAYS(MAX(D661,DATE(Einstellungen!$C$3,9,1)),MIN(J661,DATE(Einstellungen!$C$3,10,0)),Einstellungen!$F$13:$F$32)))</f>
        <v/>
      </c>
      <c r="U661" s="49">
        <f>IF(OR(A661="",D661=""),0,MAX(0,NETWORKDAYS(MAX(D661,DATE(Einstellungen!$C$3,10,1)),MIN(J661,DATE(Einstellungen!$C$3,11,0)),Einstellungen!$F$13:$F$32)))</f>
        <v/>
      </c>
      <c r="V661" s="49">
        <f>IF(OR(A661="",D661=""),0,MAX(0,NETWORKDAYS(MAX(D661,DATE(Einstellungen!$C$3,11,1)),MIN(J661,DATE(Einstellungen!$C$3,12,0)),Einstellungen!$F$13:$F$32)))</f>
        <v/>
      </c>
      <c r="W661" s="49">
        <f>IF(OR(A661="",D661=""),0,MAX(0,NETWORKDAYS(MAX(D661,DATE(Einstellungen!$C$3,12,1)),MIN(J661,DATE(Einstellungen!$C$3,13,0)),Einstellungen!$F$13:$F$32)))</f>
        <v/>
      </c>
      <c r="X661" s="50">
        <f>L661*K661</f>
        <v/>
      </c>
      <c r="Y661" s="50">
        <f>M661*K661</f>
        <v/>
      </c>
      <c r="Z661" s="50">
        <f>N661*K661</f>
        <v/>
      </c>
      <c r="AA661" s="50">
        <f>O661*K661</f>
        <v/>
      </c>
      <c r="AB661" s="50">
        <f>P661*K661</f>
        <v/>
      </c>
      <c r="AC661" s="50">
        <f>Q661*K661</f>
        <v/>
      </c>
      <c r="AD661" s="50">
        <f>R661*K661</f>
        <v/>
      </c>
      <c r="AE661" s="50">
        <f>S661*K661</f>
        <v/>
      </c>
      <c r="AF661" s="50">
        <f>T661*K661</f>
        <v/>
      </c>
      <c r="AG661" s="50">
        <f>U661*K661</f>
        <v/>
      </c>
      <c r="AH661" s="50">
        <f>V661*K661</f>
        <v/>
      </c>
      <c r="AI661" s="50">
        <f>W661*K661</f>
        <v/>
      </c>
    </row>
    <row r="662">
      <c r="A662" s="25" t="n"/>
      <c r="B662" s="45">
        <f>IF(A662="","",IFERROR(INDEX(Mitarbeiter!$B$6:$B$205,MATCH($A662,Mitarbeiter!$A$6:$A$205,0)),"?"))</f>
        <v/>
      </c>
      <c r="C662" s="46" t="n"/>
      <c r="D662" s="26" t="n"/>
      <c r="E662" s="26" t="n"/>
      <c r="F662" s="24">
        <f>IF(A662="","",SUM(L662:W662))</f>
        <v/>
      </c>
      <c r="G662" s="36">
        <f>IF(A662="","",SUM(X662:AI662))</f>
        <v/>
      </c>
      <c r="H662" s="8">
        <f>IF(A662="","",IF(ISNA(MATCH(A662,Mitarbeiter!$A$6:$A$205,0)),"Pers.-Nr. unbekannt",IF(D662="","Von fehlt",IF(AND(C662&lt;&gt;Einstellungen!$C$4,C662&lt;&gt;Einstellungen!$C$5),"Objekt fehlt",IF(J662&lt;D662,"Bis vor Von",IF(D662&lt;INDEX(Mitarbeiter!$C$6:$C$205,MATCH($A662,Mitarbeiter!$A$6:$A$205,0)),"vor Eintritt",IF(AND(INDEX(Mitarbeiter!$D$6:$D$205,MATCH($A662,Mitarbeiter!$A$6:$A$205,0))&lt;&gt;"",D662&gt;INDEX(Mitarbeiter!$D$6:$D$205,MATCH($A662,Mitarbeiter!$A$6:$A$205,0))),"nach Austritt",IF(E662="","offen","ok"))))))))</f>
        <v/>
      </c>
      <c r="J662" s="47">
        <f>IF(A662="","",IF(E662="",Einstellungen!$C$9,E662))</f>
        <v/>
      </c>
      <c r="K662" s="48">
        <f>IF(A662="",0,IFERROR(INDEX(Mitarbeiter!$F$6:$F$205,MATCH($A662,Mitarbeiter!$A$6:$A$205,0)),0))</f>
        <v/>
      </c>
      <c r="L662" s="49">
        <f>IF(OR(A662="",D662=""),0,MAX(0,NETWORKDAYS(MAX(D662,DATE(Einstellungen!$C$3,1,1)),MIN(J662,DATE(Einstellungen!$C$3,2,0)),Einstellungen!$F$13:$F$32)))</f>
        <v/>
      </c>
      <c r="M662" s="49">
        <f>IF(OR(A662="",D662=""),0,MAX(0,NETWORKDAYS(MAX(D662,DATE(Einstellungen!$C$3,2,1)),MIN(J662,DATE(Einstellungen!$C$3,3,0)),Einstellungen!$F$13:$F$32)))</f>
        <v/>
      </c>
      <c r="N662" s="49">
        <f>IF(OR(A662="",D662=""),0,MAX(0,NETWORKDAYS(MAX(D662,DATE(Einstellungen!$C$3,3,1)),MIN(J662,DATE(Einstellungen!$C$3,4,0)),Einstellungen!$F$13:$F$32)))</f>
        <v/>
      </c>
      <c r="O662" s="49">
        <f>IF(OR(A662="",D662=""),0,MAX(0,NETWORKDAYS(MAX(D662,DATE(Einstellungen!$C$3,4,1)),MIN(J662,DATE(Einstellungen!$C$3,5,0)),Einstellungen!$F$13:$F$32)))</f>
        <v/>
      </c>
      <c r="P662" s="49">
        <f>IF(OR(A662="",D662=""),0,MAX(0,NETWORKDAYS(MAX(D662,DATE(Einstellungen!$C$3,5,1)),MIN(J662,DATE(Einstellungen!$C$3,6,0)),Einstellungen!$F$13:$F$32)))</f>
        <v/>
      </c>
      <c r="Q662" s="49">
        <f>IF(OR(A662="",D662=""),0,MAX(0,NETWORKDAYS(MAX(D662,DATE(Einstellungen!$C$3,6,1)),MIN(J662,DATE(Einstellungen!$C$3,7,0)),Einstellungen!$F$13:$F$32)))</f>
        <v/>
      </c>
      <c r="R662" s="49">
        <f>IF(OR(A662="",D662=""),0,MAX(0,NETWORKDAYS(MAX(D662,DATE(Einstellungen!$C$3,7,1)),MIN(J662,DATE(Einstellungen!$C$3,8,0)),Einstellungen!$F$13:$F$32)))</f>
        <v/>
      </c>
      <c r="S662" s="49">
        <f>IF(OR(A662="",D662=""),0,MAX(0,NETWORKDAYS(MAX(D662,DATE(Einstellungen!$C$3,8,1)),MIN(J662,DATE(Einstellungen!$C$3,9,0)),Einstellungen!$F$13:$F$32)))</f>
        <v/>
      </c>
      <c r="T662" s="49">
        <f>IF(OR(A662="",D662=""),0,MAX(0,NETWORKDAYS(MAX(D662,DATE(Einstellungen!$C$3,9,1)),MIN(J662,DATE(Einstellungen!$C$3,10,0)),Einstellungen!$F$13:$F$32)))</f>
        <v/>
      </c>
      <c r="U662" s="49">
        <f>IF(OR(A662="",D662=""),0,MAX(0,NETWORKDAYS(MAX(D662,DATE(Einstellungen!$C$3,10,1)),MIN(J662,DATE(Einstellungen!$C$3,11,0)),Einstellungen!$F$13:$F$32)))</f>
        <v/>
      </c>
      <c r="V662" s="49">
        <f>IF(OR(A662="",D662=""),0,MAX(0,NETWORKDAYS(MAX(D662,DATE(Einstellungen!$C$3,11,1)),MIN(J662,DATE(Einstellungen!$C$3,12,0)),Einstellungen!$F$13:$F$32)))</f>
        <v/>
      </c>
      <c r="W662" s="49">
        <f>IF(OR(A662="",D662=""),0,MAX(0,NETWORKDAYS(MAX(D662,DATE(Einstellungen!$C$3,12,1)),MIN(J662,DATE(Einstellungen!$C$3,13,0)),Einstellungen!$F$13:$F$32)))</f>
        <v/>
      </c>
      <c r="X662" s="50">
        <f>L662*K662</f>
        <v/>
      </c>
      <c r="Y662" s="50">
        <f>M662*K662</f>
        <v/>
      </c>
      <c r="Z662" s="50">
        <f>N662*K662</f>
        <v/>
      </c>
      <c r="AA662" s="50">
        <f>O662*K662</f>
        <v/>
      </c>
      <c r="AB662" s="50">
        <f>P662*K662</f>
        <v/>
      </c>
      <c r="AC662" s="50">
        <f>Q662*K662</f>
        <v/>
      </c>
      <c r="AD662" s="50">
        <f>R662*K662</f>
        <v/>
      </c>
      <c r="AE662" s="50">
        <f>S662*K662</f>
        <v/>
      </c>
      <c r="AF662" s="50">
        <f>T662*K662</f>
        <v/>
      </c>
      <c r="AG662" s="50">
        <f>U662*K662</f>
        <v/>
      </c>
      <c r="AH662" s="50">
        <f>V662*K662</f>
        <v/>
      </c>
      <c r="AI662" s="50">
        <f>W662*K662</f>
        <v/>
      </c>
    </row>
    <row r="663">
      <c r="A663" s="25" t="n"/>
      <c r="B663" s="45">
        <f>IF(A663="","",IFERROR(INDEX(Mitarbeiter!$B$6:$B$205,MATCH($A663,Mitarbeiter!$A$6:$A$205,0)),"?"))</f>
        <v/>
      </c>
      <c r="C663" s="46" t="n"/>
      <c r="D663" s="26" t="n"/>
      <c r="E663" s="26" t="n"/>
      <c r="F663" s="24">
        <f>IF(A663="","",SUM(L663:W663))</f>
        <v/>
      </c>
      <c r="G663" s="36">
        <f>IF(A663="","",SUM(X663:AI663))</f>
        <v/>
      </c>
      <c r="H663" s="8">
        <f>IF(A663="","",IF(ISNA(MATCH(A663,Mitarbeiter!$A$6:$A$205,0)),"Pers.-Nr. unbekannt",IF(D663="","Von fehlt",IF(AND(C663&lt;&gt;Einstellungen!$C$4,C663&lt;&gt;Einstellungen!$C$5),"Objekt fehlt",IF(J663&lt;D663,"Bis vor Von",IF(D663&lt;INDEX(Mitarbeiter!$C$6:$C$205,MATCH($A663,Mitarbeiter!$A$6:$A$205,0)),"vor Eintritt",IF(AND(INDEX(Mitarbeiter!$D$6:$D$205,MATCH($A663,Mitarbeiter!$A$6:$A$205,0))&lt;&gt;"",D663&gt;INDEX(Mitarbeiter!$D$6:$D$205,MATCH($A663,Mitarbeiter!$A$6:$A$205,0))),"nach Austritt",IF(E663="","offen","ok"))))))))</f>
        <v/>
      </c>
      <c r="J663" s="47">
        <f>IF(A663="","",IF(E663="",Einstellungen!$C$9,E663))</f>
        <v/>
      </c>
      <c r="K663" s="48">
        <f>IF(A663="",0,IFERROR(INDEX(Mitarbeiter!$F$6:$F$205,MATCH($A663,Mitarbeiter!$A$6:$A$205,0)),0))</f>
        <v/>
      </c>
      <c r="L663" s="49">
        <f>IF(OR(A663="",D663=""),0,MAX(0,NETWORKDAYS(MAX(D663,DATE(Einstellungen!$C$3,1,1)),MIN(J663,DATE(Einstellungen!$C$3,2,0)),Einstellungen!$F$13:$F$32)))</f>
        <v/>
      </c>
      <c r="M663" s="49">
        <f>IF(OR(A663="",D663=""),0,MAX(0,NETWORKDAYS(MAX(D663,DATE(Einstellungen!$C$3,2,1)),MIN(J663,DATE(Einstellungen!$C$3,3,0)),Einstellungen!$F$13:$F$32)))</f>
        <v/>
      </c>
      <c r="N663" s="49">
        <f>IF(OR(A663="",D663=""),0,MAX(0,NETWORKDAYS(MAX(D663,DATE(Einstellungen!$C$3,3,1)),MIN(J663,DATE(Einstellungen!$C$3,4,0)),Einstellungen!$F$13:$F$32)))</f>
        <v/>
      </c>
      <c r="O663" s="49">
        <f>IF(OR(A663="",D663=""),0,MAX(0,NETWORKDAYS(MAX(D663,DATE(Einstellungen!$C$3,4,1)),MIN(J663,DATE(Einstellungen!$C$3,5,0)),Einstellungen!$F$13:$F$32)))</f>
        <v/>
      </c>
      <c r="P663" s="49">
        <f>IF(OR(A663="",D663=""),0,MAX(0,NETWORKDAYS(MAX(D663,DATE(Einstellungen!$C$3,5,1)),MIN(J663,DATE(Einstellungen!$C$3,6,0)),Einstellungen!$F$13:$F$32)))</f>
        <v/>
      </c>
      <c r="Q663" s="49">
        <f>IF(OR(A663="",D663=""),0,MAX(0,NETWORKDAYS(MAX(D663,DATE(Einstellungen!$C$3,6,1)),MIN(J663,DATE(Einstellungen!$C$3,7,0)),Einstellungen!$F$13:$F$32)))</f>
        <v/>
      </c>
      <c r="R663" s="49">
        <f>IF(OR(A663="",D663=""),0,MAX(0,NETWORKDAYS(MAX(D663,DATE(Einstellungen!$C$3,7,1)),MIN(J663,DATE(Einstellungen!$C$3,8,0)),Einstellungen!$F$13:$F$32)))</f>
        <v/>
      </c>
      <c r="S663" s="49">
        <f>IF(OR(A663="",D663=""),0,MAX(0,NETWORKDAYS(MAX(D663,DATE(Einstellungen!$C$3,8,1)),MIN(J663,DATE(Einstellungen!$C$3,9,0)),Einstellungen!$F$13:$F$32)))</f>
        <v/>
      </c>
      <c r="T663" s="49">
        <f>IF(OR(A663="",D663=""),0,MAX(0,NETWORKDAYS(MAX(D663,DATE(Einstellungen!$C$3,9,1)),MIN(J663,DATE(Einstellungen!$C$3,10,0)),Einstellungen!$F$13:$F$32)))</f>
        <v/>
      </c>
      <c r="U663" s="49">
        <f>IF(OR(A663="",D663=""),0,MAX(0,NETWORKDAYS(MAX(D663,DATE(Einstellungen!$C$3,10,1)),MIN(J663,DATE(Einstellungen!$C$3,11,0)),Einstellungen!$F$13:$F$32)))</f>
        <v/>
      </c>
      <c r="V663" s="49">
        <f>IF(OR(A663="",D663=""),0,MAX(0,NETWORKDAYS(MAX(D663,DATE(Einstellungen!$C$3,11,1)),MIN(J663,DATE(Einstellungen!$C$3,12,0)),Einstellungen!$F$13:$F$32)))</f>
        <v/>
      </c>
      <c r="W663" s="49">
        <f>IF(OR(A663="",D663=""),0,MAX(0,NETWORKDAYS(MAX(D663,DATE(Einstellungen!$C$3,12,1)),MIN(J663,DATE(Einstellungen!$C$3,13,0)),Einstellungen!$F$13:$F$32)))</f>
        <v/>
      </c>
      <c r="X663" s="50">
        <f>L663*K663</f>
        <v/>
      </c>
      <c r="Y663" s="50">
        <f>M663*K663</f>
        <v/>
      </c>
      <c r="Z663" s="50">
        <f>N663*K663</f>
        <v/>
      </c>
      <c r="AA663" s="50">
        <f>O663*K663</f>
        <v/>
      </c>
      <c r="AB663" s="50">
        <f>P663*K663</f>
        <v/>
      </c>
      <c r="AC663" s="50">
        <f>Q663*K663</f>
        <v/>
      </c>
      <c r="AD663" s="50">
        <f>R663*K663</f>
        <v/>
      </c>
      <c r="AE663" s="50">
        <f>S663*K663</f>
        <v/>
      </c>
      <c r="AF663" s="50">
        <f>T663*K663</f>
        <v/>
      </c>
      <c r="AG663" s="50">
        <f>U663*K663</f>
        <v/>
      </c>
      <c r="AH663" s="50">
        <f>V663*K663</f>
        <v/>
      </c>
      <c r="AI663" s="50">
        <f>W663*K663</f>
        <v/>
      </c>
    </row>
    <row r="664">
      <c r="A664" s="25" t="n"/>
      <c r="B664" s="45">
        <f>IF(A664="","",IFERROR(INDEX(Mitarbeiter!$B$6:$B$205,MATCH($A664,Mitarbeiter!$A$6:$A$205,0)),"?"))</f>
        <v/>
      </c>
      <c r="C664" s="46" t="n"/>
      <c r="D664" s="26" t="n"/>
      <c r="E664" s="26" t="n"/>
      <c r="F664" s="24">
        <f>IF(A664="","",SUM(L664:W664))</f>
        <v/>
      </c>
      <c r="G664" s="36">
        <f>IF(A664="","",SUM(X664:AI664))</f>
        <v/>
      </c>
      <c r="H664" s="8">
        <f>IF(A664="","",IF(ISNA(MATCH(A664,Mitarbeiter!$A$6:$A$205,0)),"Pers.-Nr. unbekannt",IF(D664="","Von fehlt",IF(AND(C664&lt;&gt;Einstellungen!$C$4,C664&lt;&gt;Einstellungen!$C$5),"Objekt fehlt",IF(J664&lt;D664,"Bis vor Von",IF(D664&lt;INDEX(Mitarbeiter!$C$6:$C$205,MATCH($A664,Mitarbeiter!$A$6:$A$205,0)),"vor Eintritt",IF(AND(INDEX(Mitarbeiter!$D$6:$D$205,MATCH($A664,Mitarbeiter!$A$6:$A$205,0))&lt;&gt;"",D664&gt;INDEX(Mitarbeiter!$D$6:$D$205,MATCH($A664,Mitarbeiter!$A$6:$A$205,0))),"nach Austritt",IF(E664="","offen","ok"))))))))</f>
        <v/>
      </c>
      <c r="J664" s="47">
        <f>IF(A664="","",IF(E664="",Einstellungen!$C$9,E664))</f>
        <v/>
      </c>
      <c r="K664" s="48">
        <f>IF(A664="",0,IFERROR(INDEX(Mitarbeiter!$F$6:$F$205,MATCH($A664,Mitarbeiter!$A$6:$A$205,0)),0))</f>
        <v/>
      </c>
      <c r="L664" s="49">
        <f>IF(OR(A664="",D664=""),0,MAX(0,NETWORKDAYS(MAX(D664,DATE(Einstellungen!$C$3,1,1)),MIN(J664,DATE(Einstellungen!$C$3,2,0)),Einstellungen!$F$13:$F$32)))</f>
        <v/>
      </c>
      <c r="M664" s="49">
        <f>IF(OR(A664="",D664=""),0,MAX(0,NETWORKDAYS(MAX(D664,DATE(Einstellungen!$C$3,2,1)),MIN(J664,DATE(Einstellungen!$C$3,3,0)),Einstellungen!$F$13:$F$32)))</f>
        <v/>
      </c>
      <c r="N664" s="49">
        <f>IF(OR(A664="",D664=""),0,MAX(0,NETWORKDAYS(MAX(D664,DATE(Einstellungen!$C$3,3,1)),MIN(J664,DATE(Einstellungen!$C$3,4,0)),Einstellungen!$F$13:$F$32)))</f>
        <v/>
      </c>
      <c r="O664" s="49">
        <f>IF(OR(A664="",D664=""),0,MAX(0,NETWORKDAYS(MAX(D664,DATE(Einstellungen!$C$3,4,1)),MIN(J664,DATE(Einstellungen!$C$3,5,0)),Einstellungen!$F$13:$F$32)))</f>
        <v/>
      </c>
      <c r="P664" s="49">
        <f>IF(OR(A664="",D664=""),0,MAX(0,NETWORKDAYS(MAX(D664,DATE(Einstellungen!$C$3,5,1)),MIN(J664,DATE(Einstellungen!$C$3,6,0)),Einstellungen!$F$13:$F$32)))</f>
        <v/>
      </c>
      <c r="Q664" s="49">
        <f>IF(OR(A664="",D664=""),0,MAX(0,NETWORKDAYS(MAX(D664,DATE(Einstellungen!$C$3,6,1)),MIN(J664,DATE(Einstellungen!$C$3,7,0)),Einstellungen!$F$13:$F$32)))</f>
        <v/>
      </c>
      <c r="R664" s="49">
        <f>IF(OR(A664="",D664=""),0,MAX(0,NETWORKDAYS(MAX(D664,DATE(Einstellungen!$C$3,7,1)),MIN(J664,DATE(Einstellungen!$C$3,8,0)),Einstellungen!$F$13:$F$32)))</f>
        <v/>
      </c>
      <c r="S664" s="49">
        <f>IF(OR(A664="",D664=""),0,MAX(0,NETWORKDAYS(MAX(D664,DATE(Einstellungen!$C$3,8,1)),MIN(J664,DATE(Einstellungen!$C$3,9,0)),Einstellungen!$F$13:$F$32)))</f>
        <v/>
      </c>
      <c r="T664" s="49">
        <f>IF(OR(A664="",D664=""),0,MAX(0,NETWORKDAYS(MAX(D664,DATE(Einstellungen!$C$3,9,1)),MIN(J664,DATE(Einstellungen!$C$3,10,0)),Einstellungen!$F$13:$F$32)))</f>
        <v/>
      </c>
      <c r="U664" s="49">
        <f>IF(OR(A664="",D664=""),0,MAX(0,NETWORKDAYS(MAX(D664,DATE(Einstellungen!$C$3,10,1)),MIN(J664,DATE(Einstellungen!$C$3,11,0)),Einstellungen!$F$13:$F$32)))</f>
        <v/>
      </c>
      <c r="V664" s="49">
        <f>IF(OR(A664="",D664=""),0,MAX(0,NETWORKDAYS(MAX(D664,DATE(Einstellungen!$C$3,11,1)),MIN(J664,DATE(Einstellungen!$C$3,12,0)),Einstellungen!$F$13:$F$32)))</f>
        <v/>
      </c>
      <c r="W664" s="49">
        <f>IF(OR(A664="",D664=""),0,MAX(0,NETWORKDAYS(MAX(D664,DATE(Einstellungen!$C$3,12,1)),MIN(J664,DATE(Einstellungen!$C$3,13,0)),Einstellungen!$F$13:$F$32)))</f>
        <v/>
      </c>
      <c r="X664" s="50">
        <f>L664*K664</f>
        <v/>
      </c>
      <c r="Y664" s="50">
        <f>M664*K664</f>
        <v/>
      </c>
      <c r="Z664" s="50">
        <f>N664*K664</f>
        <v/>
      </c>
      <c r="AA664" s="50">
        <f>O664*K664</f>
        <v/>
      </c>
      <c r="AB664" s="50">
        <f>P664*K664</f>
        <v/>
      </c>
      <c r="AC664" s="50">
        <f>Q664*K664</f>
        <v/>
      </c>
      <c r="AD664" s="50">
        <f>R664*K664</f>
        <v/>
      </c>
      <c r="AE664" s="50">
        <f>S664*K664</f>
        <v/>
      </c>
      <c r="AF664" s="50">
        <f>T664*K664</f>
        <v/>
      </c>
      <c r="AG664" s="50">
        <f>U664*K664</f>
        <v/>
      </c>
      <c r="AH664" s="50">
        <f>V664*K664</f>
        <v/>
      </c>
      <c r="AI664" s="50">
        <f>W664*K664</f>
        <v/>
      </c>
    </row>
    <row r="665">
      <c r="A665" s="25" t="n"/>
      <c r="B665" s="45">
        <f>IF(A665="","",IFERROR(INDEX(Mitarbeiter!$B$6:$B$205,MATCH($A665,Mitarbeiter!$A$6:$A$205,0)),"?"))</f>
        <v/>
      </c>
      <c r="C665" s="46" t="n"/>
      <c r="D665" s="26" t="n"/>
      <c r="E665" s="26" t="n"/>
      <c r="F665" s="24">
        <f>IF(A665="","",SUM(L665:W665))</f>
        <v/>
      </c>
      <c r="G665" s="36">
        <f>IF(A665="","",SUM(X665:AI665))</f>
        <v/>
      </c>
      <c r="H665" s="8">
        <f>IF(A665="","",IF(ISNA(MATCH(A665,Mitarbeiter!$A$6:$A$205,0)),"Pers.-Nr. unbekannt",IF(D665="","Von fehlt",IF(AND(C665&lt;&gt;Einstellungen!$C$4,C665&lt;&gt;Einstellungen!$C$5),"Objekt fehlt",IF(J665&lt;D665,"Bis vor Von",IF(D665&lt;INDEX(Mitarbeiter!$C$6:$C$205,MATCH($A665,Mitarbeiter!$A$6:$A$205,0)),"vor Eintritt",IF(AND(INDEX(Mitarbeiter!$D$6:$D$205,MATCH($A665,Mitarbeiter!$A$6:$A$205,0))&lt;&gt;"",D665&gt;INDEX(Mitarbeiter!$D$6:$D$205,MATCH($A665,Mitarbeiter!$A$6:$A$205,0))),"nach Austritt",IF(E665="","offen","ok"))))))))</f>
        <v/>
      </c>
      <c r="J665" s="47">
        <f>IF(A665="","",IF(E665="",Einstellungen!$C$9,E665))</f>
        <v/>
      </c>
      <c r="K665" s="48">
        <f>IF(A665="",0,IFERROR(INDEX(Mitarbeiter!$F$6:$F$205,MATCH($A665,Mitarbeiter!$A$6:$A$205,0)),0))</f>
        <v/>
      </c>
      <c r="L665" s="49">
        <f>IF(OR(A665="",D665=""),0,MAX(0,NETWORKDAYS(MAX(D665,DATE(Einstellungen!$C$3,1,1)),MIN(J665,DATE(Einstellungen!$C$3,2,0)),Einstellungen!$F$13:$F$32)))</f>
        <v/>
      </c>
      <c r="M665" s="49">
        <f>IF(OR(A665="",D665=""),0,MAX(0,NETWORKDAYS(MAX(D665,DATE(Einstellungen!$C$3,2,1)),MIN(J665,DATE(Einstellungen!$C$3,3,0)),Einstellungen!$F$13:$F$32)))</f>
        <v/>
      </c>
      <c r="N665" s="49">
        <f>IF(OR(A665="",D665=""),0,MAX(0,NETWORKDAYS(MAX(D665,DATE(Einstellungen!$C$3,3,1)),MIN(J665,DATE(Einstellungen!$C$3,4,0)),Einstellungen!$F$13:$F$32)))</f>
        <v/>
      </c>
      <c r="O665" s="49">
        <f>IF(OR(A665="",D665=""),0,MAX(0,NETWORKDAYS(MAX(D665,DATE(Einstellungen!$C$3,4,1)),MIN(J665,DATE(Einstellungen!$C$3,5,0)),Einstellungen!$F$13:$F$32)))</f>
        <v/>
      </c>
      <c r="P665" s="49">
        <f>IF(OR(A665="",D665=""),0,MAX(0,NETWORKDAYS(MAX(D665,DATE(Einstellungen!$C$3,5,1)),MIN(J665,DATE(Einstellungen!$C$3,6,0)),Einstellungen!$F$13:$F$32)))</f>
        <v/>
      </c>
      <c r="Q665" s="49">
        <f>IF(OR(A665="",D665=""),0,MAX(0,NETWORKDAYS(MAX(D665,DATE(Einstellungen!$C$3,6,1)),MIN(J665,DATE(Einstellungen!$C$3,7,0)),Einstellungen!$F$13:$F$32)))</f>
        <v/>
      </c>
      <c r="R665" s="49">
        <f>IF(OR(A665="",D665=""),0,MAX(0,NETWORKDAYS(MAX(D665,DATE(Einstellungen!$C$3,7,1)),MIN(J665,DATE(Einstellungen!$C$3,8,0)),Einstellungen!$F$13:$F$32)))</f>
        <v/>
      </c>
      <c r="S665" s="49">
        <f>IF(OR(A665="",D665=""),0,MAX(0,NETWORKDAYS(MAX(D665,DATE(Einstellungen!$C$3,8,1)),MIN(J665,DATE(Einstellungen!$C$3,9,0)),Einstellungen!$F$13:$F$32)))</f>
        <v/>
      </c>
      <c r="T665" s="49">
        <f>IF(OR(A665="",D665=""),0,MAX(0,NETWORKDAYS(MAX(D665,DATE(Einstellungen!$C$3,9,1)),MIN(J665,DATE(Einstellungen!$C$3,10,0)),Einstellungen!$F$13:$F$32)))</f>
        <v/>
      </c>
      <c r="U665" s="49">
        <f>IF(OR(A665="",D665=""),0,MAX(0,NETWORKDAYS(MAX(D665,DATE(Einstellungen!$C$3,10,1)),MIN(J665,DATE(Einstellungen!$C$3,11,0)),Einstellungen!$F$13:$F$32)))</f>
        <v/>
      </c>
      <c r="V665" s="49">
        <f>IF(OR(A665="",D665=""),0,MAX(0,NETWORKDAYS(MAX(D665,DATE(Einstellungen!$C$3,11,1)),MIN(J665,DATE(Einstellungen!$C$3,12,0)),Einstellungen!$F$13:$F$32)))</f>
        <v/>
      </c>
      <c r="W665" s="49">
        <f>IF(OR(A665="",D665=""),0,MAX(0,NETWORKDAYS(MAX(D665,DATE(Einstellungen!$C$3,12,1)),MIN(J665,DATE(Einstellungen!$C$3,13,0)),Einstellungen!$F$13:$F$32)))</f>
        <v/>
      </c>
      <c r="X665" s="50">
        <f>L665*K665</f>
        <v/>
      </c>
      <c r="Y665" s="50">
        <f>M665*K665</f>
        <v/>
      </c>
      <c r="Z665" s="50">
        <f>N665*K665</f>
        <v/>
      </c>
      <c r="AA665" s="50">
        <f>O665*K665</f>
        <v/>
      </c>
      <c r="AB665" s="50">
        <f>P665*K665</f>
        <v/>
      </c>
      <c r="AC665" s="50">
        <f>Q665*K665</f>
        <v/>
      </c>
      <c r="AD665" s="50">
        <f>R665*K665</f>
        <v/>
      </c>
      <c r="AE665" s="50">
        <f>S665*K665</f>
        <v/>
      </c>
      <c r="AF665" s="50">
        <f>T665*K665</f>
        <v/>
      </c>
      <c r="AG665" s="50">
        <f>U665*K665</f>
        <v/>
      </c>
      <c r="AH665" s="50">
        <f>V665*K665</f>
        <v/>
      </c>
      <c r="AI665" s="50">
        <f>W665*K665</f>
        <v/>
      </c>
    </row>
    <row r="666">
      <c r="A666" s="25" t="n"/>
      <c r="B666" s="45">
        <f>IF(A666="","",IFERROR(INDEX(Mitarbeiter!$B$6:$B$205,MATCH($A666,Mitarbeiter!$A$6:$A$205,0)),"?"))</f>
        <v/>
      </c>
      <c r="C666" s="46" t="n"/>
      <c r="D666" s="26" t="n"/>
      <c r="E666" s="26" t="n"/>
      <c r="F666" s="24">
        <f>IF(A666="","",SUM(L666:W666))</f>
        <v/>
      </c>
      <c r="G666" s="36">
        <f>IF(A666="","",SUM(X666:AI666))</f>
        <v/>
      </c>
      <c r="H666" s="8">
        <f>IF(A666="","",IF(ISNA(MATCH(A666,Mitarbeiter!$A$6:$A$205,0)),"Pers.-Nr. unbekannt",IF(D666="","Von fehlt",IF(AND(C666&lt;&gt;Einstellungen!$C$4,C666&lt;&gt;Einstellungen!$C$5),"Objekt fehlt",IF(J666&lt;D666,"Bis vor Von",IF(D666&lt;INDEX(Mitarbeiter!$C$6:$C$205,MATCH($A666,Mitarbeiter!$A$6:$A$205,0)),"vor Eintritt",IF(AND(INDEX(Mitarbeiter!$D$6:$D$205,MATCH($A666,Mitarbeiter!$A$6:$A$205,0))&lt;&gt;"",D666&gt;INDEX(Mitarbeiter!$D$6:$D$205,MATCH($A666,Mitarbeiter!$A$6:$A$205,0))),"nach Austritt",IF(E666="","offen","ok"))))))))</f>
        <v/>
      </c>
      <c r="J666" s="47">
        <f>IF(A666="","",IF(E666="",Einstellungen!$C$9,E666))</f>
        <v/>
      </c>
      <c r="K666" s="48">
        <f>IF(A666="",0,IFERROR(INDEX(Mitarbeiter!$F$6:$F$205,MATCH($A666,Mitarbeiter!$A$6:$A$205,0)),0))</f>
        <v/>
      </c>
      <c r="L666" s="49">
        <f>IF(OR(A666="",D666=""),0,MAX(0,NETWORKDAYS(MAX(D666,DATE(Einstellungen!$C$3,1,1)),MIN(J666,DATE(Einstellungen!$C$3,2,0)),Einstellungen!$F$13:$F$32)))</f>
        <v/>
      </c>
      <c r="M666" s="49">
        <f>IF(OR(A666="",D666=""),0,MAX(0,NETWORKDAYS(MAX(D666,DATE(Einstellungen!$C$3,2,1)),MIN(J666,DATE(Einstellungen!$C$3,3,0)),Einstellungen!$F$13:$F$32)))</f>
        <v/>
      </c>
      <c r="N666" s="49">
        <f>IF(OR(A666="",D666=""),0,MAX(0,NETWORKDAYS(MAX(D666,DATE(Einstellungen!$C$3,3,1)),MIN(J666,DATE(Einstellungen!$C$3,4,0)),Einstellungen!$F$13:$F$32)))</f>
        <v/>
      </c>
      <c r="O666" s="49">
        <f>IF(OR(A666="",D666=""),0,MAX(0,NETWORKDAYS(MAX(D666,DATE(Einstellungen!$C$3,4,1)),MIN(J666,DATE(Einstellungen!$C$3,5,0)),Einstellungen!$F$13:$F$32)))</f>
        <v/>
      </c>
      <c r="P666" s="49">
        <f>IF(OR(A666="",D666=""),0,MAX(0,NETWORKDAYS(MAX(D666,DATE(Einstellungen!$C$3,5,1)),MIN(J666,DATE(Einstellungen!$C$3,6,0)),Einstellungen!$F$13:$F$32)))</f>
        <v/>
      </c>
      <c r="Q666" s="49">
        <f>IF(OR(A666="",D666=""),0,MAX(0,NETWORKDAYS(MAX(D666,DATE(Einstellungen!$C$3,6,1)),MIN(J666,DATE(Einstellungen!$C$3,7,0)),Einstellungen!$F$13:$F$32)))</f>
        <v/>
      </c>
      <c r="R666" s="49">
        <f>IF(OR(A666="",D666=""),0,MAX(0,NETWORKDAYS(MAX(D666,DATE(Einstellungen!$C$3,7,1)),MIN(J666,DATE(Einstellungen!$C$3,8,0)),Einstellungen!$F$13:$F$32)))</f>
        <v/>
      </c>
      <c r="S666" s="49">
        <f>IF(OR(A666="",D666=""),0,MAX(0,NETWORKDAYS(MAX(D666,DATE(Einstellungen!$C$3,8,1)),MIN(J666,DATE(Einstellungen!$C$3,9,0)),Einstellungen!$F$13:$F$32)))</f>
        <v/>
      </c>
      <c r="T666" s="49">
        <f>IF(OR(A666="",D666=""),0,MAX(0,NETWORKDAYS(MAX(D666,DATE(Einstellungen!$C$3,9,1)),MIN(J666,DATE(Einstellungen!$C$3,10,0)),Einstellungen!$F$13:$F$32)))</f>
        <v/>
      </c>
      <c r="U666" s="49">
        <f>IF(OR(A666="",D666=""),0,MAX(0,NETWORKDAYS(MAX(D666,DATE(Einstellungen!$C$3,10,1)),MIN(J666,DATE(Einstellungen!$C$3,11,0)),Einstellungen!$F$13:$F$32)))</f>
        <v/>
      </c>
      <c r="V666" s="49">
        <f>IF(OR(A666="",D666=""),0,MAX(0,NETWORKDAYS(MAX(D666,DATE(Einstellungen!$C$3,11,1)),MIN(J666,DATE(Einstellungen!$C$3,12,0)),Einstellungen!$F$13:$F$32)))</f>
        <v/>
      </c>
      <c r="W666" s="49">
        <f>IF(OR(A666="",D666=""),0,MAX(0,NETWORKDAYS(MAX(D666,DATE(Einstellungen!$C$3,12,1)),MIN(J666,DATE(Einstellungen!$C$3,13,0)),Einstellungen!$F$13:$F$32)))</f>
        <v/>
      </c>
      <c r="X666" s="50">
        <f>L666*K666</f>
        <v/>
      </c>
      <c r="Y666" s="50">
        <f>M666*K666</f>
        <v/>
      </c>
      <c r="Z666" s="50">
        <f>N666*K666</f>
        <v/>
      </c>
      <c r="AA666" s="50">
        <f>O666*K666</f>
        <v/>
      </c>
      <c r="AB666" s="50">
        <f>P666*K666</f>
        <v/>
      </c>
      <c r="AC666" s="50">
        <f>Q666*K666</f>
        <v/>
      </c>
      <c r="AD666" s="50">
        <f>R666*K666</f>
        <v/>
      </c>
      <c r="AE666" s="50">
        <f>S666*K666</f>
        <v/>
      </c>
      <c r="AF666" s="50">
        <f>T666*K666</f>
        <v/>
      </c>
      <c r="AG666" s="50">
        <f>U666*K666</f>
        <v/>
      </c>
      <c r="AH666" s="50">
        <f>V666*K666</f>
        <v/>
      </c>
      <c r="AI666" s="50">
        <f>W666*K666</f>
        <v/>
      </c>
    </row>
    <row r="667">
      <c r="A667" s="25" t="n"/>
      <c r="B667" s="45">
        <f>IF(A667="","",IFERROR(INDEX(Mitarbeiter!$B$6:$B$205,MATCH($A667,Mitarbeiter!$A$6:$A$205,0)),"?"))</f>
        <v/>
      </c>
      <c r="C667" s="46" t="n"/>
      <c r="D667" s="26" t="n"/>
      <c r="E667" s="26" t="n"/>
      <c r="F667" s="24">
        <f>IF(A667="","",SUM(L667:W667))</f>
        <v/>
      </c>
      <c r="G667" s="36">
        <f>IF(A667="","",SUM(X667:AI667))</f>
        <v/>
      </c>
      <c r="H667" s="8">
        <f>IF(A667="","",IF(ISNA(MATCH(A667,Mitarbeiter!$A$6:$A$205,0)),"Pers.-Nr. unbekannt",IF(D667="","Von fehlt",IF(AND(C667&lt;&gt;Einstellungen!$C$4,C667&lt;&gt;Einstellungen!$C$5),"Objekt fehlt",IF(J667&lt;D667,"Bis vor Von",IF(D667&lt;INDEX(Mitarbeiter!$C$6:$C$205,MATCH($A667,Mitarbeiter!$A$6:$A$205,0)),"vor Eintritt",IF(AND(INDEX(Mitarbeiter!$D$6:$D$205,MATCH($A667,Mitarbeiter!$A$6:$A$205,0))&lt;&gt;"",D667&gt;INDEX(Mitarbeiter!$D$6:$D$205,MATCH($A667,Mitarbeiter!$A$6:$A$205,0))),"nach Austritt",IF(E667="","offen","ok"))))))))</f>
        <v/>
      </c>
      <c r="J667" s="47">
        <f>IF(A667="","",IF(E667="",Einstellungen!$C$9,E667))</f>
        <v/>
      </c>
      <c r="K667" s="48">
        <f>IF(A667="",0,IFERROR(INDEX(Mitarbeiter!$F$6:$F$205,MATCH($A667,Mitarbeiter!$A$6:$A$205,0)),0))</f>
        <v/>
      </c>
      <c r="L667" s="49">
        <f>IF(OR(A667="",D667=""),0,MAX(0,NETWORKDAYS(MAX(D667,DATE(Einstellungen!$C$3,1,1)),MIN(J667,DATE(Einstellungen!$C$3,2,0)),Einstellungen!$F$13:$F$32)))</f>
        <v/>
      </c>
      <c r="M667" s="49">
        <f>IF(OR(A667="",D667=""),0,MAX(0,NETWORKDAYS(MAX(D667,DATE(Einstellungen!$C$3,2,1)),MIN(J667,DATE(Einstellungen!$C$3,3,0)),Einstellungen!$F$13:$F$32)))</f>
        <v/>
      </c>
      <c r="N667" s="49">
        <f>IF(OR(A667="",D667=""),0,MAX(0,NETWORKDAYS(MAX(D667,DATE(Einstellungen!$C$3,3,1)),MIN(J667,DATE(Einstellungen!$C$3,4,0)),Einstellungen!$F$13:$F$32)))</f>
        <v/>
      </c>
      <c r="O667" s="49">
        <f>IF(OR(A667="",D667=""),0,MAX(0,NETWORKDAYS(MAX(D667,DATE(Einstellungen!$C$3,4,1)),MIN(J667,DATE(Einstellungen!$C$3,5,0)),Einstellungen!$F$13:$F$32)))</f>
        <v/>
      </c>
      <c r="P667" s="49">
        <f>IF(OR(A667="",D667=""),0,MAX(0,NETWORKDAYS(MAX(D667,DATE(Einstellungen!$C$3,5,1)),MIN(J667,DATE(Einstellungen!$C$3,6,0)),Einstellungen!$F$13:$F$32)))</f>
        <v/>
      </c>
      <c r="Q667" s="49">
        <f>IF(OR(A667="",D667=""),0,MAX(0,NETWORKDAYS(MAX(D667,DATE(Einstellungen!$C$3,6,1)),MIN(J667,DATE(Einstellungen!$C$3,7,0)),Einstellungen!$F$13:$F$32)))</f>
        <v/>
      </c>
      <c r="R667" s="49">
        <f>IF(OR(A667="",D667=""),0,MAX(0,NETWORKDAYS(MAX(D667,DATE(Einstellungen!$C$3,7,1)),MIN(J667,DATE(Einstellungen!$C$3,8,0)),Einstellungen!$F$13:$F$32)))</f>
        <v/>
      </c>
      <c r="S667" s="49">
        <f>IF(OR(A667="",D667=""),0,MAX(0,NETWORKDAYS(MAX(D667,DATE(Einstellungen!$C$3,8,1)),MIN(J667,DATE(Einstellungen!$C$3,9,0)),Einstellungen!$F$13:$F$32)))</f>
        <v/>
      </c>
      <c r="T667" s="49">
        <f>IF(OR(A667="",D667=""),0,MAX(0,NETWORKDAYS(MAX(D667,DATE(Einstellungen!$C$3,9,1)),MIN(J667,DATE(Einstellungen!$C$3,10,0)),Einstellungen!$F$13:$F$32)))</f>
        <v/>
      </c>
      <c r="U667" s="49">
        <f>IF(OR(A667="",D667=""),0,MAX(0,NETWORKDAYS(MAX(D667,DATE(Einstellungen!$C$3,10,1)),MIN(J667,DATE(Einstellungen!$C$3,11,0)),Einstellungen!$F$13:$F$32)))</f>
        <v/>
      </c>
      <c r="V667" s="49">
        <f>IF(OR(A667="",D667=""),0,MAX(0,NETWORKDAYS(MAX(D667,DATE(Einstellungen!$C$3,11,1)),MIN(J667,DATE(Einstellungen!$C$3,12,0)),Einstellungen!$F$13:$F$32)))</f>
        <v/>
      </c>
      <c r="W667" s="49">
        <f>IF(OR(A667="",D667=""),0,MAX(0,NETWORKDAYS(MAX(D667,DATE(Einstellungen!$C$3,12,1)),MIN(J667,DATE(Einstellungen!$C$3,13,0)),Einstellungen!$F$13:$F$32)))</f>
        <v/>
      </c>
      <c r="X667" s="50">
        <f>L667*K667</f>
        <v/>
      </c>
      <c r="Y667" s="50">
        <f>M667*K667</f>
        <v/>
      </c>
      <c r="Z667" s="50">
        <f>N667*K667</f>
        <v/>
      </c>
      <c r="AA667" s="50">
        <f>O667*K667</f>
        <v/>
      </c>
      <c r="AB667" s="50">
        <f>P667*K667</f>
        <v/>
      </c>
      <c r="AC667" s="50">
        <f>Q667*K667</f>
        <v/>
      </c>
      <c r="AD667" s="50">
        <f>R667*K667</f>
        <v/>
      </c>
      <c r="AE667" s="50">
        <f>S667*K667</f>
        <v/>
      </c>
      <c r="AF667" s="50">
        <f>T667*K667</f>
        <v/>
      </c>
      <c r="AG667" s="50">
        <f>U667*K667</f>
        <v/>
      </c>
      <c r="AH667" s="50">
        <f>V667*K667</f>
        <v/>
      </c>
      <c r="AI667" s="50">
        <f>W667*K667</f>
        <v/>
      </c>
    </row>
    <row r="668">
      <c r="A668" s="25" t="n"/>
      <c r="B668" s="45">
        <f>IF(A668="","",IFERROR(INDEX(Mitarbeiter!$B$6:$B$205,MATCH($A668,Mitarbeiter!$A$6:$A$205,0)),"?"))</f>
        <v/>
      </c>
      <c r="C668" s="46" t="n"/>
      <c r="D668" s="26" t="n"/>
      <c r="E668" s="26" t="n"/>
      <c r="F668" s="24">
        <f>IF(A668="","",SUM(L668:W668))</f>
        <v/>
      </c>
      <c r="G668" s="36">
        <f>IF(A668="","",SUM(X668:AI668))</f>
        <v/>
      </c>
      <c r="H668" s="8">
        <f>IF(A668="","",IF(ISNA(MATCH(A668,Mitarbeiter!$A$6:$A$205,0)),"Pers.-Nr. unbekannt",IF(D668="","Von fehlt",IF(AND(C668&lt;&gt;Einstellungen!$C$4,C668&lt;&gt;Einstellungen!$C$5),"Objekt fehlt",IF(J668&lt;D668,"Bis vor Von",IF(D668&lt;INDEX(Mitarbeiter!$C$6:$C$205,MATCH($A668,Mitarbeiter!$A$6:$A$205,0)),"vor Eintritt",IF(AND(INDEX(Mitarbeiter!$D$6:$D$205,MATCH($A668,Mitarbeiter!$A$6:$A$205,0))&lt;&gt;"",D668&gt;INDEX(Mitarbeiter!$D$6:$D$205,MATCH($A668,Mitarbeiter!$A$6:$A$205,0))),"nach Austritt",IF(E668="","offen","ok"))))))))</f>
        <v/>
      </c>
      <c r="J668" s="47">
        <f>IF(A668="","",IF(E668="",Einstellungen!$C$9,E668))</f>
        <v/>
      </c>
      <c r="K668" s="48">
        <f>IF(A668="",0,IFERROR(INDEX(Mitarbeiter!$F$6:$F$205,MATCH($A668,Mitarbeiter!$A$6:$A$205,0)),0))</f>
        <v/>
      </c>
      <c r="L668" s="49">
        <f>IF(OR(A668="",D668=""),0,MAX(0,NETWORKDAYS(MAX(D668,DATE(Einstellungen!$C$3,1,1)),MIN(J668,DATE(Einstellungen!$C$3,2,0)),Einstellungen!$F$13:$F$32)))</f>
        <v/>
      </c>
      <c r="M668" s="49">
        <f>IF(OR(A668="",D668=""),0,MAX(0,NETWORKDAYS(MAX(D668,DATE(Einstellungen!$C$3,2,1)),MIN(J668,DATE(Einstellungen!$C$3,3,0)),Einstellungen!$F$13:$F$32)))</f>
        <v/>
      </c>
      <c r="N668" s="49">
        <f>IF(OR(A668="",D668=""),0,MAX(0,NETWORKDAYS(MAX(D668,DATE(Einstellungen!$C$3,3,1)),MIN(J668,DATE(Einstellungen!$C$3,4,0)),Einstellungen!$F$13:$F$32)))</f>
        <v/>
      </c>
      <c r="O668" s="49">
        <f>IF(OR(A668="",D668=""),0,MAX(0,NETWORKDAYS(MAX(D668,DATE(Einstellungen!$C$3,4,1)),MIN(J668,DATE(Einstellungen!$C$3,5,0)),Einstellungen!$F$13:$F$32)))</f>
        <v/>
      </c>
      <c r="P668" s="49">
        <f>IF(OR(A668="",D668=""),0,MAX(0,NETWORKDAYS(MAX(D668,DATE(Einstellungen!$C$3,5,1)),MIN(J668,DATE(Einstellungen!$C$3,6,0)),Einstellungen!$F$13:$F$32)))</f>
        <v/>
      </c>
      <c r="Q668" s="49">
        <f>IF(OR(A668="",D668=""),0,MAX(0,NETWORKDAYS(MAX(D668,DATE(Einstellungen!$C$3,6,1)),MIN(J668,DATE(Einstellungen!$C$3,7,0)),Einstellungen!$F$13:$F$32)))</f>
        <v/>
      </c>
      <c r="R668" s="49">
        <f>IF(OR(A668="",D668=""),0,MAX(0,NETWORKDAYS(MAX(D668,DATE(Einstellungen!$C$3,7,1)),MIN(J668,DATE(Einstellungen!$C$3,8,0)),Einstellungen!$F$13:$F$32)))</f>
        <v/>
      </c>
      <c r="S668" s="49">
        <f>IF(OR(A668="",D668=""),0,MAX(0,NETWORKDAYS(MAX(D668,DATE(Einstellungen!$C$3,8,1)),MIN(J668,DATE(Einstellungen!$C$3,9,0)),Einstellungen!$F$13:$F$32)))</f>
        <v/>
      </c>
      <c r="T668" s="49">
        <f>IF(OR(A668="",D668=""),0,MAX(0,NETWORKDAYS(MAX(D668,DATE(Einstellungen!$C$3,9,1)),MIN(J668,DATE(Einstellungen!$C$3,10,0)),Einstellungen!$F$13:$F$32)))</f>
        <v/>
      </c>
      <c r="U668" s="49">
        <f>IF(OR(A668="",D668=""),0,MAX(0,NETWORKDAYS(MAX(D668,DATE(Einstellungen!$C$3,10,1)),MIN(J668,DATE(Einstellungen!$C$3,11,0)),Einstellungen!$F$13:$F$32)))</f>
        <v/>
      </c>
      <c r="V668" s="49">
        <f>IF(OR(A668="",D668=""),0,MAX(0,NETWORKDAYS(MAX(D668,DATE(Einstellungen!$C$3,11,1)),MIN(J668,DATE(Einstellungen!$C$3,12,0)),Einstellungen!$F$13:$F$32)))</f>
        <v/>
      </c>
      <c r="W668" s="49">
        <f>IF(OR(A668="",D668=""),0,MAX(0,NETWORKDAYS(MAX(D668,DATE(Einstellungen!$C$3,12,1)),MIN(J668,DATE(Einstellungen!$C$3,13,0)),Einstellungen!$F$13:$F$32)))</f>
        <v/>
      </c>
      <c r="X668" s="50">
        <f>L668*K668</f>
        <v/>
      </c>
      <c r="Y668" s="50">
        <f>M668*K668</f>
        <v/>
      </c>
      <c r="Z668" s="50">
        <f>N668*K668</f>
        <v/>
      </c>
      <c r="AA668" s="50">
        <f>O668*K668</f>
        <v/>
      </c>
      <c r="AB668" s="50">
        <f>P668*K668</f>
        <v/>
      </c>
      <c r="AC668" s="50">
        <f>Q668*K668</f>
        <v/>
      </c>
      <c r="AD668" s="50">
        <f>R668*K668</f>
        <v/>
      </c>
      <c r="AE668" s="50">
        <f>S668*K668</f>
        <v/>
      </c>
      <c r="AF668" s="50">
        <f>T668*K668</f>
        <v/>
      </c>
      <c r="AG668" s="50">
        <f>U668*K668</f>
        <v/>
      </c>
      <c r="AH668" s="50">
        <f>V668*K668</f>
        <v/>
      </c>
      <c r="AI668" s="50">
        <f>W668*K668</f>
        <v/>
      </c>
    </row>
    <row r="669">
      <c r="A669" s="25" t="n"/>
      <c r="B669" s="45">
        <f>IF(A669="","",IFERROR(INDEX(Mitarbeiter!$B$6:$B$205,MATCH($A669,Mitarbeiter!$A$6:$A$205,0)),"?"))</f>
        <v/>
      </c>
      <c r="C669" s="46" t="n"/>
      <c r="D669" s="26" t="n"/>
      <c r="E669" s="26" t="n"/>
      <c r="F669" s="24">
        <f>IF(A669="","",SUM(L669:W669))</f>
        <v/>
      </c>
      <c r="G669" s="36">
        <f>IF(A669="","",SUM(X669:AI669))</f>
        <v/>
      </c>
      <c r="H669" s="8">
        <f>IF(A669="","",IF(ISNA(MATCH(A669,Mitarbeiter!$A$6:$A$205,0)),"Pers.-Nr. unbekannt",IF(D669="","Von fehlt",IF(AND(C669&lt;&gt;Einstellungen!$C$4,C669&lt;&gt;Einstellungen!$C$5),"Objekt fehlt",IF(J669&lt;D669,"Bis vor Von",IF(D669&lt;INDEX(Mitarbeiter!$C$6:$C$205,MATCH($A669,Mitarbeiter!$A$6:$A$205,0)),"vor Eintritt",IF(AND(INDEX(Mitarbeiter!$D$6:$D$205,MATCH($A669,Mitarbeiter!$A$6:$A$205,0))&lt;&gt;"",D669&gt;INDEX(Mitarbeiter!$D$6:$D$205,MATCH($A669,Mitarbeiter!$A$6:$A$205,0))),"nach Austritt",IF(E669="","offen","ok"))))))))</f>
        <v/>
      </c>
      <c r="J669" s="47">
        <f>IF(A669="","",IF(E669="",Einstellungen!$C$9,E669))</f>
        <v/>
      </c>
      <c r="K669" s="48">
        <f>IF(A669="",0,IFERROR(INDEX(Mitarbeiter!$F$6:$F$205,MATCH($A669,Mitarbeiter!$A$6:$A$205,0)),0))</f>
        <v/>
      </c>
      <c r="L669" s="49">
        <f>IF(OR(A669="",D669=""),0,MAX(0,NETWORKDAYS(MAX(D669,DATE(Einstellungen!$C$3,1,1)),MIN(J669,DATE(Einstellungen!$C$3,2,0)),Einstellungen!$F$13:$F$32)))</f>
        <v/>
      </c>
      <c r="M669" s="49">
        <f>IF(OR(A669="",D669=""),0,MAX(0,NETWORKDAYS(MAX(D669,DATE(Einstellungen!$C$3,2,1)),MIN(J669,DATE(Einstellungen!$C$3,3,0)),Einstellungen!$F$13:$F$32)))</f>
        <v/>
      </c>
      <c r="N669" s="49">
        <f>IF(OR(A669="",D669=""),0,MAX(0,NETWORKDAYS(MAX(D669,DATE(Einstellungen!$C$3,3,1)),MIN(J669,DATE(Einstellungen!$C$3,4,0)),Einstellungen!$F$13:$F$32)))</f>
        <v/>
      </c>
      <c r="O669" s="49">
        <f>IF(OR(A669="",D669=""),0,MAX(0,NETWORKDAYS(MAX(D669,DATE(Einstellungen!$C$3,4,1)),MIN(J669,DATE(Einstellungen!$C$3,5,0)),Einstellungen!$F$13:$F$32)))</f>
        <v/>
      </c>
      <c r="P669" s="49">
        <f>IF(OR(A669="",D669=""),0,MAX(0,NETWORKDAYS(MAX(D669,DATE(Einstellungen!$C$3,5,1)),MIN(J669,DATE(Einstellungen!$C$3,6,0)),Einstellungen!$F$13:$F$32)))</f>
        <v/>
      </c>
      <c r="Q669" s="49">
        <f>IF(OR(A669="",D669=""),0,MAX(0,NETWORKDAYS(MAX(D669,DATE(Einstellungen!$C$3,6,1)),MIN(J669,DATE(Einstellungen!$C$3,7,0)),Einstellungen!$F$13:$F$32)))</f>
        <v/>
      </c>
      <c r="R669" s="49">
        <f>IF(OR(A669="",D669=""),0,MAX(0,NETWORKDAYS(MAX(D669,DATE(Einstellungen!$C$3,7,1)),MIN(J669,DATE(Einstellungen!$C$3,8,0)),Einstellungen!$F$13:$F$32)))</f>
        <v/>
      </c>
      <c r="S669" s="49">
        <f>IF(OR(A669="",D669=""),0,MAX(0,NETWORKDAYS(MAX(D669,DATE(Einstellungen!$C$3,8,1)),MIN(J669,DATE(Einstellungen!$C$3,9,0)),Einstellungen!$F$13:$F$32)))</f>
        <v/>
      </c>
      <c r="T669" s="49">
        <f>IF(OR(A669="",D669=""),0,MAX(0,NETWORKDAYS(MAX(D669,DATE(Einstellungen!$C$3,9,1)),MIN(J669,DATE(Einstellungen!$C$3,10,0)),Einstellungen!$F$13:$F$32)))</f>
        <v/>
      </c>
      <c r="U669" s="49">
        <f>IF(OR(A669="",D669=""),0,MAX(0,NETWORKDAYS(MAX(D669,DATE(Einstellungen!$C$3,10,1)),MIN(J669,DATE(Einstellungen!$C$3,11,0)),Einstellungen!$F$13:$F$32)))</f>
        <v/>
      </c>
      <c r="V669" s="49">
        <f>IF(OR(A669="",D669=""),0,MAX(0,NETWORKDAYS(MAX(D669,DATE(Einstellungen!$C$3,11,1)),MIN(J669,DATE(Einstellungen!$C$3,12,0)),Einstellungen!$F$13:$F$32)))</f>
        <v/>
      </c>
      <c r="W669" s="49">
        <f>IF(OR(A669="",D669=""),0,MAX(0,NETWORKDAYS(MAX(D669,DATE(Einstellungen!$C$3,12,1)),MIN(J669,DATE(Einstellungen!$C$3,13,0)),Einstellungen!$F$13:$F$32)))</f>
        <v/>
      </c>
      <c r="X669" s="50">
        <f>L669*K669</f>
        <v/>
      </c>
      <c r="Y669" s="50">
        <f>M669*K669</f>
        <v/>
      </c>
      <c r="Z669" s="50">
        <f>N669*K669</f>
        <v/>
      </c>
      <c r="AA669" s="50">
        <f>O669*K669</f>
        <v/>
      </c>
      <c r="AB669" s="50">
        <f>P669*K669</f>
        <v/>
      </c>
      <c r="AC669" s="50">
        <f>Q669*K669</f>
        <v/>
      </c>
      <c r="AD669" s="50">
        <f>R669*K669</f>
        <v/>
      </c>
      <c r="AE669" s="50">
        <f>S669*K669</f>
        <v/>
      </c>
      <c r="AF669" s="50">
        <f>T669*K669</f>
        <v/>
      </c>
      <c r="AG669" s="50">
        <f>U669*K669</f>
        <v/>
      </c>
      <c r="AH669" s="50">
        <f>V669*K669</f>
        <v/>
      </c>
      <c r="AI669" s="50">
        <f>W669*K669</f>
        <v/>
      </c>
    </row>
    <row r="670">
      <c r="A670" s="25" t="n"/>
      <c r="B670" s="45">
        <f>IF(A670="","",IFERROR(INDEX(Mitarbeiter!$B$6:$B$205,MATCH($A670,Mitarbeiter!$A$6:$A$205,0)),"?"))</f>
        <v/>
      </c>
      <c r="C670" s="46" t="n"/>
      <c r="D670" s="26" t="n"/>
      <c r="E670" s="26" t="n"/>
      <c r="F670" s="24">
        <f>IF(A670="","",SUM(L670:W670))</f>
        <v/>
      </c>
      <c r="G670" s="36">
        <f>IF(A670="","",SUM(X670:AI670))</f>
        <v/>
      </c>
      <c r="H670" s="8">
        <f>IF(A670="","",IF(ISNA(MATCH(A670,Mitarbeiter!$A$6:$A$205,0)),"Pers.-Nr. unbekannt",IF(D670="","Von fehlt",IF(AND(C670&lt;&gt;Einstellungen!$C$4,C670&lt;&gt;Einstellungen!$C$5),"Objekt fehlt",IF(J670&lt;D670,"Bis vor Von",IF(D670&lt;INDEX(Mitarbeiter!$C$6:$C$205,MATCH($A670,Mitarbeiter!$A$6:$A$205,0)),"vor Eintritt",IF(AND(INDEX(Mitarbeiter!$D$6:$D$205,MATCH($A670,Mitarbeiter!$A$6:$A$205,0))&lt;&gt;"",D670&gt;INDEX(Mitarbeiter!$D$6:$D$205,MATCH($A670,Mitarbeiter!$A$6:$A$205,0))),"nach Austritt",IF(E670="","offen","ok"))))))))</f>
        <v/>
      </c>
      <c r="J670" s="47">
        <f>IF(A670="","",IF(E670="",Einstellungen!$C$9,E670))</f>
        <v/>
      </c>
      <c r="K670" s="48">
        <f>IF(A670="",0,IFERROR(INDEX(Mitarbeiter!$F$6:$F$205,MATCH($A670,Mitarbeiter!$A$6:$A$205,0)),0))</f>
        <v/>
      </c>
      <c r="L670" s="49">
        <f>IF(OR(A670="",D670=""),0,MAX(0,NETWORKDAYS(MAX(D670,DATE(Einstellungen!$C$3,1,1)),MIN(J670,DATE(Einstellungen!$C$3,2,0)),Einstellungen!$F$13:$F$32)))</f>
        <v/>
      </c>
      <c r="M670" s="49">
        <f>IF(OR(A670="",D670=""),0,MAX(0,NETWORKDAYS(MAX(D670,DATE(Einstellungen!$C$3,2,1)),MIN(J670,DATE(Einstellungen!$C$3,3,0)),Einstellungen!$F$13:$F$32)))</f>
        <v/>
      </c>
      <c r="N670" s="49">
        <f>IF(OR(A670="",D670=""),0,MAX(0,NETWORKDAYS(MAX(D670,DATE(Einstellungen!$C$3,3,1)),MIN(J670,DATE(Einstellungen!$C$3,4,0)),Einstellungen!$F$13:$F$32)))</f>
        <v/>
      </c>
      <c r="O670" s="49">
        <f>IF(OR(A670="",D670=""),0,MAX(0,NETWORKDAYS(MAX(D670,DATE(Einstellungen!$C$3,4,1)),MIN(J670,DATE(Einstellungen!$C$3,5,0)),Einstellungen!$F$13:$F$32)))</f>
        <v/>
      </c>
      <c r="P670" s="49">
        <f>IF(OR(A670="",D670=""),0,MAX(0,NETWORKDAYS(MAX(D670,DATE(Einstellungen!$C$3,5,1)),MIN(J670,DATE(Einstellungen!$C$3,6,0)),Einstellungen!$F$13:$F$32)))</f>
        <v/>
      </c>
      <c r="Q670" s="49">
        <f>IF(OR(A670="",D670=""),0,MAX(0,NETWORKDAYS(MAX(D670,DATE(Einstellungen!$C$3,6,1)),MIN(J670,DATE(Einstellungen!$C$3,7,0)),Einstellungen!$F$13:$F$32)))</f>
        <v/>
      </c>
      <c r="R670" s="49">
        <f>IF(OR(A670="",D670=""),0,MAX(0,NETWORKDAYS(MAX(D670,DATE(Einstellungen!$C$3,7,1)),MIN(J670,DATE(Einstellungen!$C$3,8,0)),Einstellungen!$F$13:$F$32)))</f>
        <v/>
      </c>
      <c r="S670" s="49">
        <f>IF(OR(A670="",D670=""),0,MAX(0,NETWORKDAYS(MAX(D670,DATE(Einstellungen!$C$3,8,1)),MIN(J670,DATE(Einstellungen!$C$3,9,0)),Einstellungen!$F$13:$F$32)))</f>
        <v/>
      </c>
      <c r="T670" s="49">
        <f>IF(OR(A670="",D670=""),0,MAX(0,NETWORKDAYS(MAX(D670,DATE(Einstellungen!$C$3,9,1)),MIN(J670,DATE(Einstellungen!$C$3,10,0)),Einstellungen!$F$13:$F$32)))</f>
        <v/>
      </c>
      <c r="U670" s="49">
        <f>IF(OR(A670="",D670=""),0,MAX(0,NETWORKDAYS(MAX(D670,DATE(Einstellungen!$C$3,10,1)),MIN(J670,DATE(Einstellungen!$C$3,11,0)),Einstellungen!$F$13:$F$32)))</f>
        <v/>
      </c>
      <c r="V670" s="49">
        <f>IF(OR(A670="",D670=""),0,MAX(0,NETWORKDAYS(MAX(D670,DATE(Einstellungen!$C$3,11,1)),MIN(J670,DATE(Einstellungen!$C$3,12,0)),Einstellungen!$F$13:$F$32)))</f>
        <v/>
      </c>
      <c r="W670" s="49">
        <f>IF(OR(A670="",D670=""),0,MAX(0,NETWORKDAYS(MAX(D670,DATE(Einstellungen!$C$3,12,1)),MIN(J670,DATE(Einstellungen!$C$3,13,0)),Einstellungen!$F$13:$F$32)))</f>
        <v/>
      </c>
      <c r="X670" s="50">
        <f>L670*K670</f>
        <v/>
      </c>
      <c r="Y670" s="50">
        <f>M670*K670</f>
        <v/>
      </c>
      <c r="Z670" s="50">
        <f>N670*K670</f>
        <v/>
      </c>
      <c r="AA670" s="50">
        <f>O670*K670</f>
        <v/>
      </c>
      <c r="AB670" s="50">
        <f>P670*K670</f>
        <v/>
      </c>
      <c r="AC670" s="50">
        <f>Q670*K670</f>
        <v/>
      </c>
      <c r="AD670" s="50">
        <f>R670*K670</f>
        <v/>
      </c>
      <c r="AE670" s="50">
        <f>S670*K670</f>
        <v/>
      </c>
      <c r="AF670" s="50">
        <f>T670*K670</f>
        <v/>
      </c>
      <c r="AG670" s="50">
        <f>U670*K670</f>
        <v/>
      </c>
      <c r="AH670" s="50">
        <f>V670*K670</f>
        <v/>
      </c>
      <c r="AI670" s="50">
        <f>W670*K670</f>
        <v/>
      </c>
    </row>
    <row r="671">
      <c r="A671" s="25" t="n"/>
      <c r="B671" s="45">
        <f>IF(A671="","",IFERROR(INDEX(Mitarbeiter!$B$6:$B$205,MATCH($A671,Mitarbeiter!$A$6:$A$205,0)),"?"))</f>
        <v/>
      </c>
      <c r="C671" s="46" t="n"/>
      <c r="D671" s="26" t="n"/>
      <c r="E671" s="26" t="n"/>
      <c r="F671" s="24">
        <f>IF(A671="","",SUM(L671:W671))</f>
        <v/>
      </c>
      <c r="G671" s="36">
        <f>IF(A671="","",SUM(X671:AI671))</f>
        <v/>
      </c>
      <c r="H671" s="8">
        <f>IF(A671="","",IF(ISNA(MATCH(A671,Mitarbeiter!$A$6:$A$205,0)),"Pers.-Nr. unbekannt",IF(D671="","Von fehlt",IF(AND(C671&lt;&gt;Einstellungen!$C$4,C671&lt;&gt;Einstellungen!$C$5),"Objekt fehlt",IF(J671&lt;D671,"Bis vor Von",IF(D671&lt;INDEX(Mitarbeiter!$C$6:$C$205,MATCH($A671,Mitarbeiter!$A$6:$A$205,0)),"vor Eintritt",IF(AND(INDEX(Mitarbeiter!$D$6:$D$205,MATCH($A671,Mitarbeiter!$A$6:$A$205,0))&lt;&gt;"",D671&gt;INDEX(Mitarbeiter!$D$6:$D$205,MATCH($A671,Mitarbeiter!$A$6:$A$205,0))),"nach Austritt",IF(E671="","offen","ok"))))))))</f>
        <v/>
      </c>
      <c r="J671" s="47">
        <f>IF(A671="","",IF(E671="",Einstellungen!$C$9,E671))</f>
        <v/>
      </c>
      <c r="K671" s="48">
        <f>IF(A671="",0,IFERROR(INDEX(Mitarbeiter!$F$6:$F$205,MATCH($A671,Mitarbeiter!$A$6:$A$205,0)),0))</f>
        <v/>
      </c>
      <c r="L671" s="49">
        <f>IF(OR(A671="",D671=""),0,MAX(0,NETWORKDAYS(MAX(D671,DATE(Einstellungen!$C$3,1,1)),MIN(J671,DATE(Einstellungen!$C$3,2,0)),Einstellungen!$F$13:$F$32)))</f>
        <v/>
      </c>
      <c r="M671" s="49">
        <f>IF(OR(A671="",D671=""),0,MAX(0,NETWORKDAYS(MAX(D671,DATE(Einstellungen!$C$3,2,1)),MIN(J671,DATE(Einstellungen!$C$3,3,0)),Einstellungen!$F$13:$F$32)))</f>
        <v/>
      </c>
      <c r="N671" s="49">
        <f>IF(OR(A671="",D671=""),0,MAX(0,NETWORKDAYS(MAX(D671,DATE(Einstellungen!$C$3,3,1)),MIN(J671,DATE(Einstellungen!$C$3,4,0)),Einstellungen!$F$13:$F$32)))</f>
        <v/>
      </c>
      <c r="O671" s="49">
        <f>IF(OR(A671="",D671=""),0,MAX(0,NETWORKDAYS(MAX(D671,DATE(Einstellungen!$C$3,4,1)),MIN(J671,DATE(Einstellungen!$C$3,5,0)),Einstellungen!$F$13:$F$32)))</f>
        <v/>
      </c>
      <c r="P671" s="49">
        <f>IF(OR(A671="",D671=""),0,MAX(0,NETWORKDAYS(MAX(D671,DATE(Einstellungen!$C$3,5,1)),MIN(J671,DATE(Einstellungen!$C$3,6,0)),Einstellungen!$F$13:$F$32)))</f>
        <v/>
      </c>
      <c r="Q671" s="49">
        <f>IF(OR(A671="",D671=""),0,MAX(0,NETWORKDAYS(MAX(D671,DATE(Einstellungen!$C$3,6,1)),MIN(J671,DATE(Einstellungen!$C$3,7,0)),Einstellungen!$F$13:$F$32)))</f>
        <v/>
      </c>
      <c r="R671" s="49">
        <f>IF(OR(A671="",D671=""),0,MAX(0,NETWORKDAYS(MAX(D671,DATE(Einstellungen!$C$3,7,1)),MIN(J671,DATE(Einstellungen!$C$3,8,0)),Einstellungen!$F$13:$F$32)))</f>
        <v/>
      </c>
      <c r="S671" s="49">
        <f>IF(OR(A671="",D671=""),0,MAX(0,NETWORKDAYS(MAX(D671,DATE(Einstellungen!$C$3,8,1)),MIN(J671,DATE(Einstellungen!$C$3,9,0)),Einstellungen!$F$13:$F$32)))</f>
        <v/>
      </c>
      <c r="T671" s="49">
        <f>IF(OR(A671="",D671=""),0,MAX(0,NETWORKDAYS(MAX(D671,DATE(Einstellungen!$C$3,9,1)),MIN(J671,DATE(Einstellungen!$C$3,10,0)),Einstellungen!$F$13:$F$32)))</f>
        <v/>
      </c>
      <c r="U671" s="49">
        <f>IF(OR(A671="",D671=""),0,MAX(0,NETWORKDAYS(MAX(D671,DATE(Einstellungen!$C$3,10,1)),MIN(J671,DATE(Einstellungen!$C$3,11,0)),Einstellungen!$F$13:$F$32)))</f>
        <v/>
      </c>
      <c r="V671" s="49">
        <f>IF(OR(A671="",D671=""),0,MAX(0,NETWORKDAYS(MAX(D671,DATE(Einstellungen!$C$3,11,1)),MIN(J671,DATE(Einstellungen!$C$3,12,0)),Einstellungen!$F$13:$F$32)))</f>
        <v/>
      </c>
      <c r="W671" s="49">
        <f>IF(OR(A671="",D671=""),0,MAX(0,NETWORKDAYS(MAX(D671,DATE(Einstellungen!$C$3,12,1)),MIN(J671,DATE(Einstellungen!$C$3,13,0)),Einstellungen!$F$13:$F$32)))</f>
        <v/>
      </c>
      <c r="X671" s="50">
        <f>L671*K671</f>
        <v/>
      </c>
      <c r="Y671" s="50">
        <f>M671*K671</f>
        <v/>
      </c>
      <c r="Z671" s="50">
        <f>N671*K671</f>
        <v/>
      </c>
      <c r="AA671" s="50">
        <f>O671*K671</f>
        <v/>
      </c>
      <c r="AB671" s="50">
        <f>P671*K671</f>
        <v/>
      </c>
      <c r="AC671" s="50">
        <f>Q671*K671</f>
        <v/>
      </c>
      <c r="AD671" s="50">
        <f>R671*K671</f>
        <v/>
      </c>
      <c r="AE671" s="50">
        <f>S671*K671</f>
        <v/>
      </c>
      <c r="AF671" s="50">
        <f>T671*K671</f>
        <v/>
      </c>
      <c r="AG671" s="50">
        <f>U671*K671</f>
        <v/>
      </c>
      <c r="AH671" s="50">
        <f>V671*K671</f>
        <v/>
      </c>
      <c r="AI671" s="50">
        <f>W671*K671</f>
        <v/>
      </c>
    </row>
    <row r="672">
      <c r="A672" s="25" t="n"/>
      <c r="B672" s="45">
        <f>IF(A672="","",IFERROR(INDEX(Mitarbeiter!$B$6:$B$205,MATCH($A672,Mitarbeiter!$A$6:$A$205,0)),"?"))</f>
        <v/>
      </c>
      <c r="C672" s="46" t="n"/>
      <c r="D672" s="26" t="n"/>
      <c r="E672" s="26" t="n"/>
      <c r="F672" s="24">
        <f>IF(A672="","",SUM(L672:W672))</f>
        <v/>
      </c>
      <c r="G672" s="36">
        <f>IF(A672="","",SUM(X672:AI672))</f>
        <v/>
      </c>
      <c r="H672" s="8">
        <f>IF(A672="","",IF(ISNA(MATCH(A672,Mitarbeiter!$A$6:$A$205,0)),"Pers.-Nr. unbekannt",IF(D672="","Von fehlt",IF(AND(C672&lt;&gt;Einstellungen!$C$4,C672&lt;&gt;Einstellungen!$C$5),"Objekt fehlt",IF(J672&lt;D672,"Bis vor Von",IF(D672&lt;INDEX(Mitarbeiter!$C$6:$C$205,MATCH($A672,Mitarbeiter!$A$6:$A$205,0)),"vor Eintritt",IF(AND(INDEX(Mitarbeiter!$D$6:$D$205,MATCH($A672,Mitarbeiter!$A$6:$A$205,0))&lt;&gt;"",D672&gt;INDEX(Mitarbeiter!$D$6:$D$205,MATCH($A672,Mitarbeiter!$A$6:$A$205,0))),"nach Austritt",IF(E672="","offen","ok"))))))))</f>
        <v/>
      </c>
      <c r="J672" s="47">
        <f>IF(A672="","",IF(E672="",Einstellungen!$C$9,E672))</f>
        <v/>
      </c>
      <c r="K672" s="48">
        <f>IF(A672="",0,IFERROR(INDEX(Mitarbeiter!$F$6:$F$205,MATCH($A672,Mitarbeiter!$A$6:$A$205,0)),0))</f>
        <v/>
      </c>
      <c r="L672" s="49">
        <f>IF(OR(A672="",D672=""),0,MAX(0,NETWORKDAYS(MAX(D672,DATE(Einstellungen!$C$3,1,1)),MIN(J672,DATE(Einstellungen!$C$3,2,0)),Einstellungen!$F$13:$F$32)))</f>
        <v/>
      </c>
      <c r="M672" s="49">
        <f>IF(OR(A672="",D672=""),0,MAX(0,NETWORKDAYS(MAX(D672,DATE(Einstellungen!$C$3,2,1)),MIN(J672,DATE(Einstellungen!$C$3,3,0)),Einstellungen!$F$13:$F$32)))</f>
        <v/>
      </c>
      <c r="N672" s="49">
        <f>IF(OR(A672="",D672=""),0,MAX(0,NETWORKDAYS(MAX(D672,DATE(Einstellungen!$C$3,3,1)),MIN(J672,DATE(Einstellungen!$C$3,4,0)),Einstellungen!$F$13:$F$32)))</f>
        <v/>
      </c>
      <c r="O672" s="49">
        <f>IF(OR(A672="",D672=""),0,MAX(0,NETWORKDAYS(MAX(D672,DATE(Einstellungen!$C$3,4,1)),MIN(J672,DATE(Einstellungen!$C$3,5,0)),Einstellungen!$F$13:$F$32)))</f>
        <v/>
      </c>
      <c r="P672" s="49">
        <f>IF(OR(A672="",D672=""),0,MAX(0,NETWORKDAYS(MAX(D672,DATE(Einstellungen!$C$3,5,1)),MIN(J672,DATE(Einstellungen!$C$3,6,0)),Einstellungen!$F$13:$F$32)))</f>
        <v/>
      </c>
      <c r="Q672" s="49">
        <f>IF(OR(A672="",D672=""),0,MAX(0,NETWORKDAYS(MAX(D672,DATE(Einstellungen!$C$3,6,1)),MIN(J672,DATE(Einstellungen!$C$3,7,0)),Einstellungen!$F$13:$F$32)))</f>
        <v/>
      </c>
      <c r="R672" s="49">
        <f>IF(OR(A672="",D672=""),0,MAX(0,NETWORKDAYS(MAX(D672,DATE(Einstellungen!$C$3,7,1)),MIN(J672,DATE(Einstellungen!$C$3,8,0)),Einstellungen!$F$13:$F$32)))</f>
        <v/>
      </c>
      <c r="S672" s="49">
        <f>IF(OR(A672="",D672=""),0,MAX(0,NETWORKDAYS(MAX(D672,DATE(Einstellungen!$C$3,8,1)),MIN(J672,DATE(Einstellungen!$C$3,9,0)),Einstellungen!$F$13:$F$32)))</f>
        <v/>
      </c>
      <c r="T672" s="49">
        <f>IF(OR(A672="",D672=""),0,MAX(0,NETWORKDAYS(MAX(D672,DATE(Einstellungen!$C$3,9,1)),MIN(J672,DATE(Einstellungen!$C$3,10,0)),Einstellungen!$F$13:$F$32)))</f>
        <v/>
      </c>
      <c r="U672" s="49">
        <f>IF(OR(A672="",D672=""),0,MAX(0,NETWORKDAYS(MAX(D672,DATE(Einstellungen!$C$3,10,1)),MIN(J672,DATE(Einstellungen!$C$3,11,0)),Einstellungen!$F$13:$F$32)))</f>
        <v/>
      </c>
      <c r="V672" s="49">
        <f>IF(OR(A672="",D672=""),0,MAX(0,NETWORKDAYS(MAX(D672,DATE(Einstellungen!$C$3,11,1)),MIN(J672,DATE(Einstellungen!$C$3,12,0)),Einstellungen!$F$13:$F$32)))</f>
        <v/>
      </c>
      <c r="W672" s="49">
        <f>IF(OR(A672="",D672=""),0,MAX(0,NETWORKDAYS(MAX(D672,DATE(Einstellungen!$C$3,12,1)),MIN(J672,DATE(Einstellungen!$C$3,13,0)),Einstellungen!$F$13:$F$32)))</f>
        <v/>
      </c>
      <c r="X672" s="50">
        <f>L672*K672</f>
        <v/>
      </c>
      <c r="Y672" s="50">
        <f>M672*K672</f>
        <v/>
      </c>
      <c r="Z672" s="50">
        <f>N672*K672</f>
        <v/>
      </c>
      <c r="AA672" s="50">
        <f>O672*K672</f>
        <v/>
      </c>
      <c r="AB672" s="50">
        <f>P672*K672</f>
        <v/>
      </c>
      <c r="AC672" s="50">
        <f>Q672*K672</f>
        <v/>
      </c>
      <c r="AD672" s="50">
        <f>R672*K672</f>
        <v/>
      </c>
      <c r="AE672" s="50">
        <f>S672*K672</f>
        <v/>
      </c>
      <c r="AF672" s="50">
        <f>T672*K672</f>
        <v/>
      </c>
      <c r="AG672" s="50">
        <f>U672*K672</f>
        <v/>
      </c>
      <c r="AH672" s="50">
        <f>V672*K672</f>
        <v/>
      </c>
      <c r="AI672" s="50">
        <f>W672*K672</f>
        <v/>
      </c>
    </row>
    <row r="673">
      <c r="A673" s="25" t="n"/>
      <c r="B673" s="45">
        <f>IF(A673="","",IFERROR(INDEX(Mitarbeiter!$B$6:$B$205,MATCH($A673,Mitarbeiter!$A$6:$A$205,0)),"?"))</f>
        <v/>
      </c>
      <c r="C673" s="46" t="n"/>
      <c r="D673" s="26" t="n"/>
      <c r="E673" s="26" t="n"/>
      <c r="F673" s="24">
        <f>IF(A673="","",SUM(L673:W673))</f>
        <v/>
      </c>
      <c r="G673" s="36">
        <f>IF(A673="","",SUM(X673:AI673))</f>
        <v/>
      </c>
      <c r="H673" s="8">
        <f>IF(A673="","",IF(ISNA(MATCH(A673,Mitarbeiter!$A$6:$A$205,0)),"Pers.-Nr. unbekannt",IF(D673="","Von fehlt",IF(AND(C673&lt;&gt;Einstellungen!$C$4,C673&lt;&gt;Einstellungen!$C$5),"Objekt fehlt",IF(J673&lt;D673,"Bis vor Von",IF(D673&lt;INDEX(Mitarbeiter!$C$6:$C$205,MATCH($A673,Mitarbeiter!$A$6:$A$205,0)),"vor Eintritt",IF(AND(INDEX(Mitarbeiter!$D$6:$D$205,MATCH($A673,Mitarbeiter!$A$6:$A$205,0))&lt;&gt;"",D673&gt;INDEX(Mitarbeiter!$D$6:$D$205,MATCH($A673,Mitarbeiter!$A$6:$A$205,0))),"nach Austritt",IF(E673="","offen","ok"))))))))</f>
        <v/>
      </c>
      <c r="J673" s="47">
        <f>IF(A673="","",IF(E673="",Einstellungen!$C$9,E673))</f>
        <v/>
      </c>
      <c r="K673" s="48">
        <f>IF(A673="",0,IFERROR(INDEX(Mitarbeiter!$F$6:$F$205,MATCH($A673,Mitarbeiter!$A$6:$A$205,0)),0))</f>
        <v/>
      </c>
      <c r="L673" s="49">
        <f>IF(OR(A673="",D673=""),0,MAX(0,NETWORKDAYS(MAX(D673,DATE(Einstellungen!$C$3,1,1)),MIN(J673,DATE(Einstellungen!$C$3,2,0)),Einstellungen!$F$13:$F$32)))</f>
        <v/>
      </c>
      <c r="M673" s="49">
        <f>IF(OR(A673="",D673=""),0,MAX(0,NETWORKDAYS(MAX(D673,DATE(Einstellungen!$C$3,2,1)),MIN(J673,DATE(Einstellungen!$C$3,3,0)),Einstellungen!$F$13:$F$32)))</f>
        <v/>
      </c>
      <c r="N673" s="49">
        <f>IF(OR(A673="",D673=""),0,MAX(0,NETWORKDAYS(MAX(D673,DATE(Einstellungen!$C$3,3,1)),MIN(J673,DATE(Einstellungen!$C$3,4,0)),Einstellungen!$F$13:$F$32)))</f>
        <v/>
      </c>
      <c r="O673" s="49">
        <f>IF(OR(A673="",D673=""),0,MAX(0,NETWORKDAYS(MAX(D673,DATE(Einstellungen!$C$3,4,1)),MIN(J673,DATE(Einstellungen!$C$3,5,0)),Einstellungen!$F$13:$F$32)))</f>
        <v/>
      </c>
      <c r="P673" s="49">
        <f>IF(OR(A673="",D673=""),0,MAX(0,NETWORKDAYS(MAX(D673,DATE(Einstellungen!$C$3,5,1)),MIN(J673,DATE(Einstellungen!$C$3,6,0)),Einstellungen!$F$13:$F$32)))</f>
        <v/>
      </c>
      <c r="Q673" s="49">
        <f>IF(OR(A673="",D673=""),0,MAX(0,NETWORKDAYS(MAX(D673,DATE(Einstellungen!$C$3,6,1)),MIN(J673,DATE(Einstellungen!$C$3,7,0)),Einstellungen!$F$13:$F$32)))</f>
        <v/>
      </c>
      <c r="R673" s="49">
        <f>IF(OR(A673="",D673=""),0,MAX(0,NETWORKDAYS(MAX(D673,DATE(Einstellungen!$C$3,7,1)),MIN(J673,DATE(Einstellungen!$C$3,8,0)),Einstellungen!$F$13:$F$32)))</f>
        <v/>
      </c>
      <c r="S673" s="49">
        <f>IF(OR(A673="",D673=""),0,MAX(0,NETWORKDAYS(MAX(D673,DATE(Einstellungen!$C$3,8,1)),MIN(J673,DATE(Einstellungen!$C$3,9,0)),Einstellungen!$F$13:$F$32)))</f>
        <v/>
      </c>
      <c r="T673" s="49">
        <f>IF(OR(A673="",D673=""),0,MAX(0,NETWORKDAYS(MAX(D673,DATE(Einstellungen!$C$3,9,1)),MIN(J673,DATE(Einstellungen!$C$3,10,0)),Einstellungen!$F$13:$F$32)))</f>
        <v/>
      </c>
      <c r="U673" s="49">
        <f>IF(OR(A673="",D673=""),0,MAX(0,NETWORKDAYS(MAX(D673,DATE(Einstellungen!$C$3,10,1)),MIN(J673,DATE(Einstellungen!$C$3,11,0)),Einstellungen!$F$13:$F$32)))</f>
        <v/>
      </c>
      <c r="V673" s="49">
        <f>IF(OR(A673="",D673=""),0,MAX(0,NETWORKDAYS(MAX(D673,DATE(Einstellungen!$C$3,11,1)),MIN(J673,DATE(Einstellungen!$C$3,12,0)),Einstellungen!$F$13:$F$32)))</f>
        <v/>
      </c>
      <c r="W673" s="49">
        <f>IF(OR(A673="",D673=""),0,MAX(0,NETWORKDAYS(MAX(D673,DATE(Einstellungen!$C$3,12,1)),MIN(J673,DATE(Einstellungen!$C$3,13,0)),Einstellungen!$F$13:$F$32)))</f>
        <v/>
      </c>
      <c r="X673" s="50">
        <f>L673*K673</f>
        <v/>
      </c>
      <c r="Y673" s="50">
        <f>M673*K673</f>
        <v/>
      </c>
      <c r="Z673" s="50">
        <f>N673*K673</f>
        <v/>
      </c>
      <c r="AA673" s="50">
        <f>O673*K673</f>
        <v/>
      </c>
      <c r="AB673" s="50">
        <f>P673*K673</f>
        <v/>
      </c>
      <c r="AC673" s="50">
        <f>Q673*K673</f>
        <v/>
      </c>
      <c r="AD673" s="50">
        <f>R673*K673</f>
        <v/>
      </c>
      <c r="AE673" s="50">
        <f>S673*K673</f>
        <v/>
      </c>
      <c r="AF673" s="50">
        <f>T673*K673</f>
        <v/>
      </c>
      <c r="AG673" s="50">
        <f>U673*K673</f>
        <v/>
      </c>
      <c r="AH673" s="50">
        <f>V673*K673</f>
        <v/>
      </c>
      <c r="AI673" s="50">
        <f>W673*K673</f>
        <v/>
      </c>
    </row>
    <row r="674">
      <c r="A674" s="25" t="n"/>
      <c r="B674" s="45">
        <f>IF(A674="","",IFERROR(INDEX(Mitarbeiter!$B$6:$B$205,MATCH($A674,Mitarbeiter!$A$6:$A$205,0)),"?"))</f>
        <v/>
      </c>
      <c r="C674" s="46" t="n"/>
      <c r="D674" s="26" t="n"/>
      <c r="E674" s="26" t="n"/>
      <c r="F674" s="24">
        <f>IF(A674="","",SUM(L674:W674))</f>
        <v/>
      </c>
      <c r="G674" s="36">
        <f>IF(A674="","",SUM(X674:AI674))</f>
        <v/>
      </c>
      <c r="H674" s="8">
        <f>IF(A674="","",IF(ISNA(MATCH(A674,Mitarbeiter!$A$6:$A$205,0)),"Pers.-Nr. unbekannt",IF(D674="","Von fehlt",IF(AND(C674&lt;&gt;Einstellungen!$C$4,C674&lt;&gt;Einstellungen!$C$5),"Objekt fehlt",IF(J674&lt;D674,"Bis vor Von",IF(D674&lt;INDEX(Mitarbeiter!$C$6:$C$205,MATCH($A674,Mitarbeiter!$A$6:$A$205,0)),"vor Eintritt",IF(AND(INDEX(Mitarbeiter!$D$6:$D$205,MATCH($A674,Mitarbeiter!$A$6:$A$205,0))&lt;&gt;"",D674&gt;INDEX(Mitarbeiter!$D$6:$D$205,MATCH($A674,Mitarbeiter!$A$6:$A$205,0))),"nach Austritt",IF(E674="","offen","ok"))))))))</f>
        <v/>
      </c>
      <c r="J674" s="47">
        <f>IF(A674="","",IF(E674="",Einstellungen!$C$9,E674))</f>
        <v/>
      </c>
      <c r="K674" s="48">
        <f>IF(A674="",0,IFERROR(INDEX(Mitarbeiter!$F$6:$F$205,MATCH($A674,Mitarbeiter!$A$6:$A$205,0)),0))</f>
        <v/>
      </c>
      <c r="L674" s="49">
        <f>IF(OR(A674="",D674=""),0,MAX(0,NETWORKDAYS(MAX(D674,DATE(Einstellungen!$C$3,1,1)),MIN(J674,DATE(Einstellungen!$C$3,2,0)),Einstellungen!$F$13:$F$32)))</f>
        <v/>
      </c>
      <c r="M674" s="49">
        <f>IF(OR(A674="",D674=""),0,MAX(0,NETWORKDAYS(MAX(D674,DATE(Einstellungen!$C$3,2,1)),MIN(J674,DATE(Einstellungen!$C$3,3,0)),Einstellungen!$F$13:$F$32)))</f>
        <v/>
      </c>
      <c r="N674" s="49">
        <f>IF(OR(A674="",D674=""),0,MAX(0,NETWORKDAYS(MAX(D674,DATE(Einstellungen!$C$3,3,1)),MIN(J674,DATE(Einstellungen!$C$3,4,0)),Einstellungen!$F$13:$F$32)))</f>
        <v/>
      </c>
      <c r="O674" s="49">
        <f>IF(OR(A674="",D674=""),0,MAX(0,NETWORKDAYS(MAX(D674,DATE(Einstellungen!$C$3,4,1)),MIN(J674,DATE(Einstellungen!$C$3,5,0)),Einstellungen!$F$13:$F$32)))</f>
        <v/>
      </c>
      <c r="P674" s="49">
        <f>IF(OR(A674="",D674=""),0,MAX(0,NETWORKDAYS(MAX(D674,DATE(Einstellungen!$C$3,5,1)),MIN(J674,DATE(Einstellungen!$C$3,6,0)),Einstellungen!$F$13:$F$32)))</f>
        <v/>
      </c>
      <c r="Q674" s="49">
        <f>IF(OR(A674="",D674=""),0,MAX(0,NETWORKDAYS(MAX(D674,DATE(Einstellungen!$C$3,6,1)),MIN(J674,DATE(Einstellungen!$C$3,7,0)),Einstellungen!$F$13:$F$32)))</f>
        <v/>
      </c>
      <c r="R674" s="49">
        <f>IF(OR(A674="",D674=""),0,MAX(0,NETWORKDAYS(MAX(D674,DATE(Einstellungen!$C$3,7,1)),MIN(J674,DATE(Einstellungen!$C$3,8,0)),Einstellungen!$F$13:$F$32)))</f>
        <v/>
      </c>
      <c r="S674" s="49">
        <f>IF(OR(A674="",D674=""),0,MAX(0,NETWORKDAYS(MAX(D674,DATE(Einstellungen!$C$3,8,1)),MIN(J674,DATE(Einstellungen!$C$3,9,0)),Einstellungen!$F$13:$F$32)))</f>
        <v/>
      </c>
      <c r="T674" s="49">
        <f>IF(OR(A674="",D674=""),0,MAX(0,NETWORKDAYS(MAX(D674,DATE(Einstellungen!$C$3,9,1)),MIN(J674,DATE(Einstellungen!$C$3,10,0)),Einstellungen!$F$13:$F$32)))</f>
        <v/>
      </c>
      <c r="U674" s="49">
        <f>IF(OR(A674="",D674=""),0,MAX(0,NETWORKDAYS(MAX(D674,DATE(Einstellungen!$C$3,10,1)),MIN(J674,DATE(Einstellungen!$C$3,11,0)),Einstellungen!$F$13:$F$32)))</f>
        <v/>
      </c>
      <c r="V674" s="49">
        <f>IF(OR(A674="",D674=""),0,MAX(0,NETWORKDAYS(MAX(D674,DATE(Einstellungen!$C$3,11,1)),MIN(J674,DATE(Einstellungen!$C$3,12,0)),Einstellungen!$F$13:$F$32)))</f>
        <v/>
      </c>
      <c r="W674" s="49">
        <f>IF(OR(A674="",D674=""),0,MAX(0,NETWORKDAYS(MAX(D674,DATE(Einstellungen!$C$3,12,1)),MIN(J674,DATE(Einstellungen!$C$3,13,0)),Einstellungen!$F$13:$F$32)))</f>
        <v/>
      </c>
      <c r="X674" s="50">
        <f>L674*K674</f>
        <v/>
      </c>
      <c r="Y674" s="50">
        <f>M674*K674</f>
        <v/>
      </c>
      <c r="Z674" s="50">
        <f>N674*K674</f>
        <v/>
      </c>
      <c r="AA674" s="50">
        <f>O674*K674</f>
        <v/>
      </c>
      <c r="AB674" s="50">
        <f>P674*K674</f>
        <v/>
      </c>
      <c r="AC674" s="50">
        <f>Q674*K674</f>
        <v/>
      </c>
      <c r="AD674" s="50">
        <f>R674*K674</f>
        <v/>
      </c>
      <c r="AE674" s="50">
        <f>S674*K674</f>
        <v/>
      </c>
      <c r="AF674" s="50">
        <f>T674*K674</f>
        <v/>
      </c>
      <c r="AG674" s="50">
        <f>U674*K674</f>
        <v/>
      </c>
      <c r="AH674" s="50">
        <f>V674*K674</f>
        <v/>
      </c>
      <c r="AI674" s="50">
        <f>W674*K674</f>
        <v/>
      </c>
    </row>
    <row r="675">
      <c r="A675" s="25" t="n"/>
      <c r="B675" s="45">
        <f>IF(A675="","",IFERROR(INDEX(Mitarbeiter!$B$6:$B$205,MATCH($A675,Mitarbeiter!$A$6:$A$205,0)),"?"))</f>
        <v/>
      </c>
      <c r="C675" s="46" t="n"/>
      <c r="D675" s="26" t="n"/>
      <c r="E675" s="26" t="n"/>
      <c r="F675" s="24">
        <f>IF(A675="","",SUM(L675:W675))</f>
        <v/>
      </c>
      <c r="G675" s="36">
        <f>IF(A675="","",SUM(X675:AI675))</f>
        <v/>
      </c>
      <c r="H675" s="8">
        <f>IF(A675="","",IF(ISNA(MATCH(A675,Mitarbeiter!$A$6:$A$205,0)),"Pers.-Nr. unbekannt",IF(D675="","Von fehlt",IF(AND(C675&lt;&gt;Einstellungen!$C$4,C675&lt;&gt;Einstellungen!$C$5),"Objekt fehlt",IF(J675&lt;D675,"Bis vor Von",IF(D675&lt;INDEX(Mitarbeiter!$C$6:$C$205,MATCH($A675,Mitarbeiter!$A$6:$A$205,0)),"vor Eintritt",IF(AND(INDEX(Mitarbeiter!$D$6:$D$205,MATCH($A675,Mitarbeiter!$A$6:$A$205,0))&lt;&gt;"",D675&gt;INDEX(Mitarbeiter!$D$6:$D$205,MATCH($A675,Mitarbeiter!$A$6:$A$205,0))),"nach Austritt",IF(E675="","offen","ok"))))))))</f>
        <v/>
      </c>
      <c r="J675" s="47">
        <f>IF(A675="","",IF(E675="",Einstellungen!$C$9,E675))</f>
        <v/>
      </c>
      <c r="K675" s="48">
        <f>IF(A675="",0,IFERROR(INDEX(Mitarbeiter!$F$6:$F$205,MATCH($A675,Mitarbeiter!$A$6:$A$205,0)),0))</f>
        <v/>
      </c>
      <c r="L675" s="49">
        <f>IF(OR(A675="",D675=""),0,MAX(0,NETWORKDAYS(MAX(D675,DATE(Einstellungen!$C$3,1,1)),MIN(J675,DATE(Einstellungen!$C$3,2,0)),Einstellungen!$F$13:$F$32)))</f>
        <v/>
      </c>
      <c r="M675" s="49">
        <f>IF(OR(A675="",D675=""),0,MAX(0,NETWORKDAYS(MAX(D675,DATE(Einstellungen!$C$3,2,1)),MIN(J675,DATE(Einstellungen!$C$3,3,0)),Einstellungen!$F$13:$F$32)))</f>
        <v/>
      </c>
      <c r="N675" s="49">
        <f>IF(OR(A675="",D675=""),0,MAX(0,NETWORKDAYS(MAX(D675,DATE(Einstellungen!$C$3,3,1)),MIN(J675,DATE(Einstellungen!$C$3,4,0)),Einstellungen!$F$13:$F$32)))</f>
        <v/>
      </c>
      <c r="O675" s="49">
        <f>IF(OR(A675="",D675=""),0,MAX(0,NETWORKDAYS(MAX(D675,DATE(Einstellungen!$C$3,4,1)),MIN(J675,DATE(Einstellungen!$C$3,5,0)),Einstellungen!$F$13:$F$32)))</f>
        <v/>
      </c>
      <c r="P675" s="49">
        <f>IF(OR(A675="",D675=""),0,MAX(0,NETWORKDAYS(MAX(D675,DATE(Einstellungen!$C$3,5,1)),MIN(J675,DATE(Einstellungen!$C$3,6,0)),Einstellungen!$F$13:$F$32)))</f>
        <v/>
      </c>
      <c r="Q675" s="49">
        <f>IF(OR(A675="",D675=""),0,MAX(0,NETWORKDAYS(MAX(D675,DATE(Einstellungen!$C$3,6,1)),MIN(J675,DATE(Einstellungen!$C$3,7,0)),Einstellungen!$F$13:$F$32)))</f>
        <v/>
      </c>
      <c r="R675" s="49">
        <f>IF(OR(A675="",D675=""),0,MAX(0,NETWORKDAYS(MAX(D675,DATE(Einstellungen!$C$3,7,1)),MIN(J675,DATE(Einstellungen!$C$3,8,0)),Einstellungen!$F$13:$F$32)))</f>
        <v/>
      </c>
      <c r="S675" s="49">
        <f>IF(OR(A675="",D675=""),0,MAX(0,NETWORKDAYS(MAX(D675,DATE(Einstellungen!$C$3,8,1)),MIN(J675,DATE(Einstellungen!$C$3,9,0)),Einstellungen!$F$13:$F$32)))</f>
        <v/>
      </c>
      <c r="T675" s="49">
        <f>IF(OR(A675="",D675=""),0,MAX(0,NETWORKDAYS(MAX(D675,DATE(Einstellungen!$C$3,9,1)),MIN(J675,DATE(Einstellungen!$C$3,10,0)),Einstellungen!$F$13:$F$32)))</f>
        <v/>
      </c>
      <c r="U675" s="49">
        <f>IF(OR(A675="",D675=""),0,MAX(0,NETWORKDAYS(MAX(D675,DATE(Einstellungen!$C$3,10,1)),MIN(J675,DATE(Einstellungen!$C$3,11,0)),Einstellungen!$F$13:$F$32)))</f>
        <v/>
      </c>
      <c r="V675" s="49">
        <f>IF(OR(A675="",D675=""),0,MAX(0,NETWORKDAYS(MAX(D675,DATE(Einstellungen!$C$3,11,1)),MIN(J675,DATE(Einstellungen!$C$3,12,0)),Einstellungen!$F$13:$F$32)))</f>
        <v/>
      </c>
      <c r="W675" s="49">
        <f>IF(OR(A675="",D675=""),0,MAX(0,NETWORKDAYS(MAX(D675,DATE(Einstellungen!$C$3,12,1)),MIN(J675,DATE(Einstellungen!$C$3,13,0)),Einstellungen!$F$13:$F$32)))</f>
        <v/>
      </c>
      <c r="X675" s="50">
        <f>L675*K675</f>
        <v/>
      </c>
      <c r="Y675" s="50">
        <f>M675*K675</f>
        <v/>
      </c>
      <c r="Z675" s="50">
        <f>N675*K675</f>
        <v/>
      </c>
      <c r="AA675" s="50">
        <f>O675*K675</f>
        <v/>
      </c>
      <c r="AB675" s="50">
        <f>P675*K675</f>
        <v/>
      </c>
      <c r="AC675" s="50">
        <f>Q675*K675</f>
        <v/>
      </c>
      <c r="AD675" s="50">
        <f>R675*K675</f>
        <v/>
      </c>
      <c r="AE675" s="50">
        <f>S675*K675</f>
        <v/>
      </c>
      <c r="AF675" s="50">
        <f>T675*K675</f>
        <v/>
      </c>
      <c r="AG675" s="50">
        <f>U675*K675</f>
        <v/>
      </c>
      <c r="AH675" s="50">
        <f>V675*K675</f>
        <v/>
      </c>
      <c r="AI675" s="50">
        <f>W675*K675</f>
        <v/>
      </c>
    </row>
    <row r="676">
      <c r="A676" s="25" t="n"/>
      <c r="B676" s="45">
        <f>IF(A676="","",IFERROR(INDEX(Mitarbeiter!$B$6:$B$205,MATCH($A676,Mitarbeiter!$A$6:$A$205,0)),"?"))</f>
        <v/>
      </c>
      <c r="C676" s="46" t="n"/>
      <c r="D676" s="26" t="n"/>
      <c r="E676" s="26" t="n"/>
      <c r="F676" s="24">
        <f>IF(A676="","",SUM(L676:W676))</f>
        <v/>
      </c>
      <c r="G676" s="36">
        <f>IF(A676="","",SUM(X676:AI676))</f>
        <v/>
      </c>
      <c r="H676" s="8">
        <f>IF(A676="","",IF(ISNA(MATCH(A676,Mitarbeiter!$A$6:$A$205,0)),"Pers.-Nr. unbekannt",IF(D676="","Von fehlt",IF(AND(C676&lt;&gt;Einstellungen!$C$4,C676&lt;&gt;Einstellungen!$C$5),"Objekt fehlt",IF(J676&lt;D676,"Bis vor Von",IF(D676&lt;INDEX(Mitarbeiter!$C$6:$C$205,MATCH($A676,Mitarbeiter!$A$6:$A$205,0)),"vor Eintritt",IF(AND(INDEX(Mitarbeiter!$D$6:$D$205,MATCH($A676,Mitarbeiter!$A$6:$A$205,0))&lt;&gt;"",D676&gt;INDEX(Mitarbeiter!$D$6:$D$205,MATCH($A676,Mitarbeiter!$A$6:$A$205,0))),"nach Austritt",IF(E676="","offen","ok"))))))))</f>
        <v/>
      </c>
      <c r="J676" s="47">
        <f>IF(A676="","",IF(E676="",Einstellungen!$C$9,E676))</f>
        <v/>
      </c>
      <c r="K676" s="48">
        <f>IF(A676="",0,IFERROR(INDEX(Mitarbeiter!$F$6:$F$205,MATCH($A676,Mitarbeiter!$A$6:$A$205,0)),0))</f>
        <v/>
      </c>
      <c r="L676" s="49">
        <f>IF(OR(A676="",D676=""),0,MAX(0,NETWORKDAYS(MAX(D676,DATE(Einstellungen!$C$3,1,1)),MIN(J676,DATE(Einstellungen!$C$3,2,0)),Einstellungen!$F$13:$F$32)))</f>
        <v/>
      </c>
      <c r="M676" s="49">
        <f>IF(OR(A676="",D676=""),0,MAX(0,NETWORKDAYS(MAX(D676,DATE(Einstellungen!$C$3,2,1)),MIN(J676,DATE(Einstellungen!$C$3,3,0)),Einstellungen!$F$13:$F$32)))</f>
        <v/>
      </c>
      <c r="N676" s="49">
        <f>IF(OR(A676="",D676=""),0,MAX(0,NETWORKDAYS(MAX(D676,DATE(Einstellungen!$C$3,3,1)),MIN(J676,DATE(Einstellungen!$C$3,4,0)),Einstellungen!$F$13:$F$32)))</f>
        <v/>
      </c>
      <c r="O676" s="49">
        <f>IF(OR(A676="",D676=""),0,MAX(0,NETWORKDAYS(MAX(D676,DATE(Einstellungen!$C$3,4,1)),MIN(J676,DATE(Einstellungen!$C$3,5,0)),Einstellungen!$F$13:$F$32)))</f>
        <v/>
      </c>
      <c r="P676" s="49">
        <f>IF(OR(A676="",D676=""),0,MAX(0,NETWORKDAYS(MAX(D676,DATE(Einstellungen!$C$3,5,1)),MIN(J676,DATE(Einstellungen!$C$3,6,0)),Einstellungen!$F$13:$F$32)))</f>
        <v/>
      </c>
      <c r="Q676" s="49">
        <f>IF(OR(A676="",D676=""),0,MAX(0,NETWORKDAYS(MAX(D676,DATE(Einstellungen!$C$3,6,1)),MIN(J676,DATE(Einstellungen!$C$3,7,0)),Einstellungen!$F$13:$F$32)))</f>
        <v/>
      </c>
      <c r="R676" s="49">
        <f>IF(OR(A676="",D676=""),0,MAX(0,NETWORKDAYS(MAX(D676,DATE(Einstellungen!$C$3,7,1)),MIN(J676,DATE(Einstellungen!$C$3,8,0)),Einstellungen!$F$13:$F$32)))</f>
        <v/>
      </c>
      <c r="S676" s="49">
        <f>IF(OR(A676="",D676=""),0,MAX(0,NETWORKDAYS(MAX(D676,DATE(Einstellungen!$C$3,8,1)),MIN(J676,DATE(Einstellungen!$C$3,9,0)),Einstellungen!$F$13:$F$32)))</f>
        <v/>
      </c>
      <c r="T676" s="49">
        <f>IF(OR(A676="",D676=""),0,MAX(0,NETWORKDAYS(MAX(D676,DATE(Einstellungen!$C$3,9,1)),MIN(J676,DATE(Einstellungen!$C$3,10,0)),Einstellungen!$F$13:$F$32)))</f>
        <v/>
      </c>
      <c r="U676" s="49">
        <f>IF(OR(A676="",D676=""),0,MAX(0,NETWORKDAYS(MAX(D676,DATE(Einstellungen!$C$3,10,1)),MIN(J676,DATE(Einstellungen!$C$3,11,0)),Einstellungen!$F$13:$F$32)))</f>
        <v/>
      </c>
      <c r="V676" s="49">
        <f>IF(OR(A676="",D676=""),0,MAX(0,NETWORKDAYS(MAX(D676,DATE(Einstellungen!$C$3,11,1)),MIN(J676,DATE(Einstellungen!$C$3,12,0)),Einstellungen!$F$13:$F$32)))</f>
        <v/>
      </c>
      <c r="W676" s="49">
        <f>IF(OR(A676="",D676=""),0,MAX(0,NETWORKDAYS(MAX(D676,DATE(Einstellungen!$C$3,12,1)),MIN(J676,DATE(Einstellungen!$C$3,13,0)),Einstellungen!$F$13:$F$32)))</f>
        <v/>
      </c>
      <c r="X676" s="50">
        <f>L676*K676</f>
        <v/>
      </c>
      <c r="Y676" s="50">
        <f>M676*K676</f>
        <v/>
      </c>
      <c r="Z676" s="50">
        <f>N676*K676</f>
        <v/>
      </c>
      <c r="AA676" s="50">
        <f>O676*K676</f>
        <v/>
      </c>
      <c r="AB676" s="50">
        <f>P676*K676</f>
        <v/>
      </c>
      <c r="AC676" s="50">
        <f>Q676*K676</f>
        <v/>
      </c>
      <c r="AD676" s="50">
        <f>R676*K676</f>
        <v/>
      </c>
      <c r="AE676" s="50">
        <f>S676*K676</f>
        <v/>
      </c>
      <c r="AF676" s="50">
        <f>T676*K676</f>
        <v/>
      </c>
      <c r="AG676" s="50">
        <f>U676*K676</f>
        <v/>
      </c>
      <c r="AH676" s="50">
        <f>V676*K676</f>
        <v/>
      </c>
      <c r="AI676" s="50">
        <f>W676*K676</f>
        <v/>
      </c>
    </row>
    <row r="677">
      <c r="A677" s="25" t="n"/>
      <c r="B677" s="45">
        <f>IF(A677="","",IFERROR(INDEX(Mitarbeiter!$B$6:$B$205,MATCH($A677,Mitarbeiter!$A$6:$A$205,0)),"?"))</f>
        <v/>
      </c>
      <c r="C677" s="46" t="n"/>
      <c r="D677" s="26" t="n"/>
      <c r="E677" s="26" t="n"/>
      <c r="F677" s="24">
        <f>IF(A677="","",SUM(L677:W677))</f>
        <v/>
      </c>
      <c r="G677" s="36">
        <f>IF(A677="","",SUM(X677:AI677))</f>
        <v/>
      </c>
      <c r="H677" s="8">
        <f>IF(A677="","",IF(ISNA(MATCH(A677,Mitarbeiter!$A$6:$A$205,0)),"Pers.-Nr. unbekannt",IF(D677="","Von fehlt",IF(AND(C677&lt;&gt;Einstellungen!$C$4,C677&lt;&gt;Einstellungen!$C$5),"Objekt fehlt",IF(J677&lt;D677,"Bis vor Von",IF(D677&lt;INDEX(Mitarbeiter!$C$6:$C$205,MATCH($A677,Mitarbeiter!$A$6:$A$205,0)),"vor Eintritt",IF(AND(INDEX(Mitarbeiter!$D$6:$D$205,MATCH($A677,Mitarbeiter!$A$6:$A$205,0))&lt;&gt;"",D677&gt;INDEX(Mitarbeiter!$D$6:$D$205,MATCH($A677,Mitarbeiter!$A$6:$A$205,0))),"nach Austritt",IF(E677="","offen","ok"))))))))</f>
        <v/>
      </c>
      <c r="J677" s="47">
        <f>IF(A677="","",IF(E677="",Einstellungen!$C$9,E677))</f>
        <v/>
      </c>
      <c r="K677" s="48">
        <f>IF(A677="",0,IFERROR(INDEX(Mitarbeiter!$F$6:$F$205,MATCH($A677,Mitarbeiter!$A$6:$A$205,0)),0))</f>
        <v/>
      </c>
      <c r="L677" s="49">
        <f>IF(OR(A677="",D677=""),0,MAX(0,NETWORKDAYS(MAX(D677,DATE(Einstellungen!$C$3,1,1)),MIN(J677,DATE(Einstellungen!$C$3,2,0)),Einstellungen!$F$13:$F$32)))</f>
        <v/>
      </c>
      <c r="M677" s="49">
        <f>IF(OR(A677="",D677=""),0,MAX(0,NETWORKDAYS(MAX(D677,DATE(Einstellungen!$C$3,2,1)),MIN(J677,DATE(Einstellungen!$C$3,3,0)),Einstellungen!$F$13:$F$32)))</f>
        <v/>
      </c>
      <c r="N677" s="49">
        <f>IF(OR(A677="",D677=""),0,MAX(0,NETWORKDAYS(MAX(D677,DATE(Einstellungen!$C$3,3,1)),MIN(J677,DATE(Einstellungen!$C$3,4,0)),Einstellungen!$F$13:$F$32)))</f>
        <v/>
      </c>
      <c r="O677" s="49">
        <f>IF(OR(A677="",D677=""),0,MAX(0,NETWORKDAYS(MAX(D677,DATE(Einstellungen!$C$3,4,1)),MIN(J677,DATE(Einstellungen!$C$3,5,0)),Einstellungen!$F$13:$F$32)))</f>
        <v/>
      </c>
      <c r="P677" s="49">
        <f>IF(OR(A677="",D677=""),0,MAX(0,NETWORKDAYS(MAX(D677,DATE(Einstellungen!$C$3,5,1)),MIN(J677,DATE(Einstellungen!$C$3,6,0)),Einstellungen!$F$13:$F$32)))</f>
        <v/>
      </c>
      <c r="Q677" s="49">
        <f>IF(OR(A677="",D677=""),0,MAX(0,NETWORKDAYS(MAX(D677,DATE(Einstellungen!$C$3,6,1)),MIN(J677,DATE(Einstellungen!$C$3,7,0)),Einstellungen!$F$13:$F$32)))</f>
        <v/>
      </c>
      <c r="R677" s="49">
        <f>IF(OR(A677="",D677=""),0,MAX(0,NETWORKDAYS(MAX(D677,DATE(Einstellungen!$C$3,7,1)),MIN(J677,DATE(Einstellungen!$C$3,8,0)),Einstellungen!$F$13:$F$32)))</f>
        <v/>
      </c>
      <c r="S677" s="49">
        <f>IF(OR(A677="",D677=""),0,MAX(0,NETWORKDAYS(MAX(D677,DATE(Einstellungen!$C$3,8,1)),MIN(J677,DATE(Einstellungen!$C$3,9,0)),Einstellungen!$F$13:$F$32)))</f>
        <v/>
      </c>
      <c r="T677" s="49">
        <f>IF(OR(A677="",D677=""),0,MAX(0,NETWORKDAYS(MAX(D677,DATE(Einstellungen!$C$3,9,1)),MIN(J677,DATE(Einstellungen!$C$3,10,0)),Einstellungen!$F$13:$F$32)))</f>
        <v/>
      </c>
      <c r="U677" s="49">
        <f>IF(OR(A677="",D677=""),0,MAX(0,NETWORKDAYS(MAX(D677,DATE(Einstellungen!$C$3,10,1)),MIN(J677,DATE(Einstellungen!$C$3,11,0)),Einstellungen!$F$13:$F$32)))</f>
        <v/>
      </c>
      <c r="V677" s="49">
        <f>IF(OR(A677="",D677=""),0,MAX(0,NETWORKDAYS(MAX(D677,DATE(Einstellungen!$C$3,11,1)),MIN(J677,DATE(Einstellungen!$C$3,12,0)),Einstellungen!$F$13:$F$32)))</f>
        <v/>
      </c>
      <c r="W677" s="49">
        <f>IF(OR(A677="",D677=""),0,MAX(0,NETWORKDAYS(MAX(D677,DATE(Einstellungen!$C$3,12,1)),MIN(J677,DATE(Einstellungen!$C$3,13,0)),Einstellungen!$F$13:$F$32)))</f>
        <v/>
      </c>
      <c r="X677" s="50">
        <f>L677*K677</f>
        <v/>
      </c>
      <c r="Y677" s="50">
        <f>M677*K677</f>
        <v/>
      </c>
      <c r="Z677" s="50">
        <f>N677*K677</f>
        <v/>
      </c>
      <c r="AA677" s="50">
        <f>O677*K677</f>
        <v/>
      </c>
      <c r="AB677" s="50">
        <f>P677*K677</f>
        <v/>
      </c>
      <c r="AC677" s="50">
        <f>Q677*K677</f>
        <v/>
      </c>
      <c r="AD677" s="50">
        <f>R677*K677</f>
        <v/>
      </c>
      <c r="AE677" s="50">
        <f>S677*K677</f>
        <v/>
      </c>
      <c r="AF677" s="50">
        <f>T677*K677</f>
        <v/>
      </c>
      <c r="AG677" s="50">
        <f>U677*K677</f>
        <v/>
      </c>
      <c r="AH677" s="50">
        <f>V677*K677</f>
        <v/>
      </c>
      <c r="AI677" s="50">
        <f>W677*K677</f>
        <v/>
      </c>
    </row>
    <row r="678">
      <c r="A678" s="25" t="n"/>
      <c r="B678" s="45">
        <f>IF(A678="","",IFERROR(INDEX(Mitarbeiter!$B$6:$B$205,MATCH($A678,Mitarbeiter!$A$6:$A$205,0)),"?"))</f>
        <v/>
      </c>
      <c r="C678" s="46" t="n"/>
      <c r="D678" s="26" t="n"/>
      <c r="E678" s="26" t="n"/>
      <c r="F678" s="24">
        <f>IF(A678="","",SUM(L678:W678))</f>
        <v/>
      </c>
      <c r="G678" s="36">
        <f>IF(A678="","",SUM(X678:AI678))</f>
        <v/>
      </c>
      <c r="H678" s="8">
        <f>IF(A678="","",IF(ISNA(MATCH(A678,Mitarbeiter!$A$6:$A$205,0)),"Pers.-Nr. unbekannt",IF(D678="","Von fehlt",IF(AND(C678&lt;&gt;Einstellungen!$C$4,C678&lt;&gt;Einstellungen!$C$5),"Objekt fehlt",IF(J678&lt;D678,"Bis vor Von",IF(D678&lt;INDEX(Mitarbeiter!$C$6:$C$205,MATCH($A678,Mitarbeiter!$A$6:$A$205,0)),"vor Eintritt",IF(AND(INDEX(Mitarbeiter!$D$6:$D$205,MATCH($A678,Mitarbeiter!$A$6:$A$205,0))&lt;&gt;"",D678&gt;INDEX(Mitarbeiter!$D$6:$D$205,MATCH($A678,Mitarbeiter!$A$6:$A$205,0))),"nach Austritt",IF(E678="","offen","ok"))))))))</f>
        <v/>
      </c>
      <c r="J678" s="47">
        <f>IF(A678="","",IF(E678="",Einstellungen!$C$9,E678))</f>
        <v/>
      </c>
      <c r="K678" s="48">
        <f>IF(A678="",0,IFERROR(INDEX(Mitarbeiter!$F$6:$F$205,MATCH($A678,Mitarbeiter!$A$6:$A$205,0)),0))</f>
        <v/>
      </c>
      <c r="L678" s="49">
        <f>IF(OR(A678="",D678=""),0,MAX(0,NETWORKDAYS(MAX(D678,DATE(Einstellungen!$C$3,1,1)),MIN(J678,DATE(Einstellungen!$C$3,2,0)),Einstellungen!$F$13:$F$32)))</f>
        <v/>
      </c>
      <c r="M678" s="49">
        <f>IF(OR(A678="",D678=""),0,MAX(0,NETWORKDAYS(MAX(D678,DATE(Einstellungen!$C$3,2,1)),MIN(J678,DATE(Einstellungen!$C$3,3,0)),Einstellungen!$F$13:$F$32)))</f>
        <v/>
      </c>
      <c r="N678" s="49">
        <f>IF(OR(A678="",D678=""),0,MAX(0,NETWORKDAYS(MAX(D678,DATE(Einstellungen!$C$3,3,1)),MIN(J678,DATE(Einstellungen!$C$3,4,0)),Einstellungen!$F$13:$F$32)))</f>
        <v/>
      </c>
      <c r="O678" s="49">
        <f>IF(OR(A678="",D678=""),0,MAX(0,NETWORKDAYS(MAX(D678,DATE(Einstellungen!$C$3,4,1)),MIN(J678,DATE(Einstellungen!$C$3,5,0)),Einstellungen!$F$13:$F$32)))</f>
        <v/>
      </c>
      <c r="P678" s="49">
        <f>IF(OR(A678="",D678=""),0,MAX(0,NETWORKDAYS(MAX(D678,DATE(Einstellungen!$C$3,5,1)),MIN(J678,DATE(Einstellungen!$C$3,6,0)),Einstellungen!$F$13:$F$32)))</f>
        <v/>
      </c>
      <c r="Q678" s="49">
        <f>IF(OR(A678="",D678=""),0,MAX(0,NETWORKDAYS(MAX(D678,DATE(Einstellungen!$C$3,6,1)),MIN(J678,DATE(Einstellungen!$C$3,7,0)),Einstellungen!$F$13:$F$32)))</f>
        <v/>
      </c>
      <c r="R678" s="49">
        <f>IF(OR(A678="",D678=""),0,MAX(0,NETWORKDAYS(MAX(D678,DATE(Einstellungen!$C$3,7,1)),MIN(J678,DATE(Einstellungen!$C$3,8,0)),Einstellungen!$F$13:$F$32)))</f>
        <v/>
      </c>
      <c r="S678" s="49">
        <f>IF(OR(A678="",D678=""),0,MAX(0,NETWORKDAYS(MAX(D678,DATE(Einstellungen!$C$3,8,1)),MIN(J678,DATE(Einstellungen!$C$3,9,0)),Einstellungen!$F$13:$F$32)))</f>
        <v/>
      </c>
      <c r="T678" s="49">
        <f>IF(OR(A678="",D678=""),0,MAX(0,NETWORKDAYS(MAX(D678,DATE(Einstellungen!$C$3,9,1)),MIN(J678,DATE(Einstellungen!$C$3,10,0)),Einstellungen!$F$13:$F$32)))</f>
        <v/>
      </c>
      <c r="U678" s="49">
        <f>IF(OR(A678="",D678=""),0,MAX(0,NETWORKDAYS(MAX(D678,DATE(Einstellungen!$C$3,10,1)),MIN(J678,DATE(Einstellungen!$C$3,11,0)),Einstellungen!$F$13:$F$32)))</f>
        <v/>
      </c>
      <c r="V678" s="49">
        <f>IF(OR(A678="",D678=""),0,MAX(0,NETWORKDAYS(MAX(D678,DATE(Einstellungen!$C$3,11,1)),MIN(J678,DATE(Einstellungen!$C$3,12,0)),Einstellungen!$F$13:$F$32)))</f>
        <v/>
      </c>
      <c r="W678" s="49">
        <f>IF(OR(A678="",D678=""),0,MAX(0,NETWORKDAYS(MAX(D678,DATE(Einstellungen!$C$3,12,1)),MIN(J678,DATE(Einstellungen!$C$3,13,0)),Einstellungen!$F$13:$F$32)))</f>
        <v/>
      </c>
      <c r="X678" s="50">
        <f>L678*K678</f>
        <v/>
      </c>
      <c r="Y678" s="50">
        <f>M678*K678</f>
        <v/>
      </c>
      <c r="Z678" s="50">
        <f>N678*K678</f>
        <v/>
      </c>
      <c r="AA678" s="50">
        <f>O678*K678</f>
        <v/>
      </c>
      <c r="AB678" s="50">
        <f>P678*K678</f>
        <v/>
      </c>
      <c r="AC678" s="50">
        <f>Q678*K678</f>
        <v/>
      </c>
      <c r="AD678" s="50">
        <f>R678*K678</f>
        <v/>
      </c>
      <c r="AE678" s="50">
        <f>S678*K678</f>
        <v/>
      </c>
      <c r="AF678" s="50">
        <f>T678*K678</f>
        <v/>
      </c>
      <c r="AG678" s="50">
        <f>U678*K678</f>
        <v/>
      </c>
      <c r="AH678" s="50">
        <f>V678*K678</f>
        <v/>
      </c>
      <c r="AI678" s="50">
        <f>W678*K678</f>
        <v/>
      </c>
    </row>
    <row r="679">
      <c r="A679" s="25" t="n"/>
      <c r="B679" s="45">
        <f>IF(A679="","",IFERROR(INDEX(Mitarbeiter!$B$6:$B$205,MATCH($A679,Mitarbeiter!$A$6:$A$205,0)),"?"))</f>
        <v/>
      </c>
      <c r="C679" s="46" t="n"/>
      <c r="D679" s="26" t="n"/>
      <c r="E679" s="26" t="n"/>
      <c r="F679" s="24">
        <f>IF(A679="","",SUM(L679:W679))</f>
        <v/>
      </c>
      <c r="G679" s="36">
        <f>IF(A679="","",SUM(X679:AI679))</f>
        <v/>
      </c>
      <c r="H679" s="8">
        <f>IF(A679="","",IF(ISNA(MATCH(A679,Mitarbeiter!$A$6:$A$205,0)),"Pers.-Nr. unbekannt",IF(D679="","Von fehlt",IF(AND(C679&lt;&gt;Einstellungen!$C$4,C679&lt;&gt;Einstellungen!$C$5),"Objekt fehlt",IF(J679&lt;D679,"Bis vor Von",IF(D679&lt;INDEX(Mitarbeiter!$C$6:$C$205,MATCH($A679,Mitarbeiter!$A$6:$A$205,0)),"vor Eintritt",IF(AND(INDEX(Mitarbeiter!$D$6:$D$205,MATCH($A679,Mitarbeiter!$A$6:$A$205,0))&lt;&gt;"",D679&gt;INDEX(Mitarbeiter!$D$6:$D$205,MATCH($A679,Mitarbeiter!$A$6:$A$205,0))),"nach Austritt",IF(E679="","offen","ok"))))))))</f>
        <v/>
      </c>
      <c r="J679" s="47">
        <f>IF(A679="","",IF(E679="",Einstellungen!$C$9,E679))</f>
        <v/>
      </c>
      <c r="K679" s="48">
        <f>IF(A679="",0,IFERROR(INDEX(Mitarbeiter!$F$6:$F$205,MATCH($A679,Mitarbeiter!$A$6:$A$205,0)),0))</f>
        <v/>
      </c>
      <c r="L679" s="49">
        <f>IF(OR(A679="",D679=""),0,MAX(0,NETWORKDAYS(MAX(D679,DATE(Einstellungen!$C$3,1,1)),MIN(J679,DATE(Einstellungen!$C$3,2,0)),Einstellungen!$F$13:$F$32)))</f>
        <v/>
      </c>
      <c r="M679" s="49">
        <f>IF(OR(A679="",D679=""),0,MAX(0,NETWORKDAYS(MAX(D679,DATE(Einstellungen!$C$3,2,1)),MIN(J679,DATE(Einstellungen!$C$3,3,0)),Einstellungen!$F$13:$F$32)))</f>
        <v/>
      </c>
      <c r="N679" s="49">
        <f>IF(OR(A679="",D679=""),0,MAX(0,NETWORKDAYS(MAX(D679,DATE(Einstellungen!$C$3,3,1)),MIN(J679,DATE(Einstellungen!$C$3,4,0)),Einstellungen!$F$13:$F$32)))</f>
        <v/>
      </c>
      <c r="O679" s="49">
        <f>IF(OR(A679="",D679=""),0,MAX(0,NETWORKDAYS(MAX(D679,DATE(Einstellungen!$C$3,4,1)),MIN(J679,DATE(Einstellungen!$C$3,5,0)),Einstellungen!$F$13:$F$32)))</f>
        <v/>
      </c>
      <c r="P679" s="49">
        <f>IF(OR(A679="",D679=""),0,MAX(0,NETWORKDAYS(MAX(D679,DATE(Einstellungen!$C$3,5,1)),MIN(J679,DATE(Einstellungen!$C$3,6,0)),Einstellungen!$F$13:$F$32)))</f>
        <v/>
      </c>
      <c r="Q679" s="49">
        <f>IF(OR(A679="",D679=""),0,MAX(0,NETWORKDAYS(MAX(D679,DATE(Einstellungen!$C$3,6,1)),MIN(J679,DATE(Einstellungen!$C$3,7,0)),Einstellungen!$F$13:$F$32)))</f>
        <v/>
      </c>
      <c r="R679" s="49">
        <f>IF(OR(A679="",D679=""),0,MAX(0,NETWORKDAYS(MAX(D679,DATE(Einstellungen!$C$3,7,1)),MIN(J679,DATE(Einstellungen!$C$3,8,0)),Einstellungen!$F$13:$F$32)))</f>
        <v/>
      </c>
      <c r="S679" s="49">
        <f>IF(OR(A679="",D679=""),0,MAX(0,NETWORKDAYS(MAX(D679,DATE(Einstellungen!$C$3,8,1)),MIN(J679,DATE(Einstellungen!$C$3,9,0)),Einstellungen!$F$13:$F$32)))</f>
        <v/>
      </c>
      <c r="T679" s="49">
        <f>IF(OR(A679="",D679=""),0,MAX(0,NETWORKDAYS(MAX(D679,DATE(Einstellungen!$C$3,9,1)),MIN(J679,DATE(Einstellungen!$C$3,10,0)),Einstellungen!$F$13:$F$32)))</f>
        <v/>
      </c>
      <c r="U679" s="49">
        <f>IF(OR(A679="",D679=""),0,MAX(0,NETWORKDAYS(MAX(D679,DATE(Einstellungen!$C$3,10,1)),MIN(J679,DATE(Einstellungen!$C$3,11,0)),Einstellungen!$F$13:$F$32)))</f>
        <v/>
      </c>
      <c r="V679" s="49">
        <f>IF(OR(A679="",D679=""),0,MAX(0,NETWORKDAYS(MAX(D679,DATE(Einstellungen!$C$3,11,1)),MIN(J679,DATE(Einstellungen!$C$3,12,0)),Einstellungen!$F$13:$F$32)))</f>
        <v/>
      </c>
      <c r="W679" s="49">
        <f>IF(OR(A679="",D679=""),0,MAX(0,NETWORKDAYS(MAX(D679,DATE(Einstellungen!$C$3,12,1)),MIN(J679,DATE(Einstellungen!$C$3,13,0)),Einstellungen!$F$13:$F$32)))</f>
        <v/>
      </c>
      <c r="X679" s="50">
        <f>L679*K679</f>
        <v/>
      </c>
      <c r="Y679" s="50">
        <f>M679*K679</f>
        <v/>
      </c>
      <c r="Z679" s="50">
        <f>N679*K679</f>
        <v/>
      </c>
      <c r="AA679" s="50">
        <f>O679*K679</f>
        <v/>
      </c>
      <c r="AB679" s="50">
        <f>P679*K679</f>
        <v/>
      </c>
      <c r="AC679" s="50">
        <f>Q679*K679</f>
        <v/>
      </c>
      <c r="AD679" s="50">
        <f>R679*K679</f>
        <v/>
      </c>
      <c r="AE679" s="50">
        <f>S679*K679</f>
        <v/>
      </c>
      <c r="AF679" s="50">
        <f>T679*K679</f>
        <v/>
      </c>
      <c r="AG679" s="50">
        <f>U679*K679</f>
        <v/>
      </c>
      <c r="AH679" s="50">
        <f>V679*K679</f>
        <v/>
      </c>
      <c r="AI679" s="50">
        <f>W679*K679</f>
        <v/>
      </c>
    </row>
    <row r="680">
      <c r="A680" s="25" t="n"/>
      <c r="B680" s="45">
        <f>IF(A680="","",IFERROR(INDEX(Mitarbeiter!$B$6:$B$205,MATCH($A680,Mitarbeiter!$A$6:$A$205,0)),"?"))</f>
        <v/>
      </c>
      <c r="C680" s="46" t="n"/>
      <c r="D680" s="26" t="n"/>
      <c r="E680" s="26" t="n"/>
      <c r="F680" s="24">
        <f>IF(A680="","",SUM(L680:W680))</f>
        <v/>
      </c>
      <c r="G680" s="36">
        <f>IF(A680="","",SUM(X680:AI680))</f>
        <v/>
      </c>
      <c r="H680" s="8">
        <f>IF(A680="","",IF(ISNA(MATCH(A680,Mitarbeiter!$A$6:$A$205,0)),"Pers.-Nr. unbekannt",IF(D680="","Von fehlt",IF(AND(C680&lt;&gt;Einstellungen!$C$4,C680&lt;&gt;Einstellungen!$C$5),"Objekt fehlt",IF(J680&lt;D680,"Bis vor Von",IF(D680&lt;INDEX(Mitarbeiter!$C$6:$C$205,MATCH($A680,Mitarbeiter!$A$6:$A$205,0)),"vor Eintritt",IF(AND(INDEX(Mitarbeiter!$D$6:$D$205,MATCH($A680,Mitarbeiter!$A$6:$A$205,0))&lt;&gt;"",D680&gt;INDEX(Mitarbeiter!$D$6:$D$205,MATCH($A680,Mitarbeiter!$A$6:$A$205,0))),"nach Austritt",IF(E680="","offen","ok"))))))))</f>
        <v/>
      </c>
      <c r="J680" s="47">
        <f>IF(A680="","",IF(E680="",Einstellungen!$C$9,E680))</f>
        <v/>
      </c>
      <c r="K680" s="48">
        <f>IF(A680="",0,IFERROR(INDEX(Mitarbeiter!$F$6:$F$205,MATCH($A680,Mitarbeiter!$A$6:$A$205,0)),0))</f>
        <v/>
      </c>
      <c r="L680" s="49">
        <f>IF(OR(A680="",D680=""),0,MAX(0,NETWORKDAYS(MAX(D680,DATE(Einstellungen!$C$3,1,1)),MIN(J680,DATE(Einstellungen!$C$3,2,0)),Einstellungen!$F$13:$F$32)))</f>
        <v/>
      </c>
      <c r="M680" s="49">
        <f>IF(OR(A680="",D680=""),0,MAX(0,NETWORKDAYS(MAX(D680,DATE(Einstellungen!$C$3,2,1)),MIN(J680,DATE(Einstellungen!$C$3,3,0)),Einstellungen!$F$13:$F$32)))</f>
        <v/>
      </c>
      <c r="N680" s="49">
        <f>IF(OR(A680="",D680=""),0,MAX(0,NETWORKDAYS(MAX(D680,DATE(Einstellungen!$C$3,3,1)),MIN(J680,DATE(Einstellungen!$C$3,4,0)),Einstellungen!$F$13:$F$32)))</f>
        <v/>
      </c>
      <c r="O680" s="49">
        <f>IF(OR(A680="",D680=""),0,MAX(0,NETWORKDAYS(MAX(D680,DATE(Einstellungen!$C$3,4,1)),MIN(J680,DATE(Einstellungen!$C$3,5,0)),Einstellungen!$F$13:$F$32)))</f>
        <v/>
      </c>
      <c r="P680" s="49">
        <f>IF(OR(A680="",D680=""),0,MAX(0,NETWORKDAYS(MAX(D680,DATE(Einstellungen!$C$3,5,1)),MIN(J680,DATE(Einstellungen!$C$3,6,0)),Einstellungen!$F$13:$F$32)))</f>
        <v/>
      </c>
      <c r="Q680" s="49">
        <f>IF(OR(A680="",D680=""),0,MAX(0,NETWORKDAYS(MAX(D680,DATE(Einstellungen!$C$3,6,1)),MIN(J680,DATE(Einstellungen!$C$3,7,0)),Einstellungen!$F$13:$F$32)))</f>
        <v/>
      </c>
      <c r="R680" s="49">
        <f>IF(OR(A680="",D680=""),0,MAX(0,NETWORKDAYS(MAX(D680,DATE(Einstellungen!$C$3,7,1)),MIN(J680,DATE(Einstellungen!$C$3,8,0)),Einstellungen!$F$13:$F$32)))</f>
        <v/>
      </c>
      <c r="S680" s="49">
        <f>IF(OR(A680="",D680=""),0,MAX(0,NETWORKDAYS(MAX(D680,DATE(Einstellungen!$C$3,8,1)),MIN(J680,DATE(Einstellungen!$C$3,9,0)),Einstellungen!$F$13:$F$32)))</f>
        <v/>
      </c>
      <c r="T680" s="49">
        <f>IF(OR(A680="",D680=""),0,MAX(0,NETWORKDAYS(MAX(D680,DATE(Einstellungen!$C$3,9,1)),MIN(J680,DATE(Einstellungen!$C$3,10,0)),Einstellungen!$F$13:$F$32)))</f>
        <v/>
      </c>
      <c r="U680" s="49">
        <f>IF(OR(A680="",D680=""),0,MAX(0,NETWORKDAYS(MAX(D680,DATE(Einstellungen!$C$3,10,1)),MIN(J680,DATE(Einstellungen!$C$3,11,0)),Einstellungen!$F$13:$F$32)))</f>
        <v/>
      </c>
      <c r="V680" s="49">
        <f>IF(OR(A680="",D680=""),0,MAX(0,NETWORKDAYS(MAX(D680,DATE(Einstellungen!$C$3,11,1)),MIN(J680,DATE(Einstellungen!$C$3,12,0)),Einstellungen!$F$13:$F$32)))</f>
        <v/>
      </c>
      <c r="W680" s="49">
        <f>IF(OR(A680="",D680=""),0,MAX(0,NETWORKDAYS(MAX(D680,DATE(Einstellungen!$C$3,12,1)),MIN(J680,DATE(Einstellungen!$C$3,13,0)),Einstellungen!$F$13:$F$32)))</f>
        <v/>
      </c>
      <c r="X680" s="50">
        <f>L680*K680</f>
        <v/>
      </c>
      <c r="Y680" s="50">
        <f>M680*K680</f>
        <v/>
      </c>
      <c r="Z680" s="50">
        <f>N680*K680</f>
        <v/>
      </c>
      <c r="AA680" s="50">
        <f>O680*K680</f>
        <v/>
      </c>
      <c r="AB680" s="50">
        <f>P680*K680</f>
        <v/>
      </c>
      <c r="AC680" s="50">
        <f>Q680*K680</f>
        <v/>
      </c>
      <c r="AD680" s="50">
        <f>R680*K680</f>
        <v/>
      </c>
      <c r="AE680" s="50">
        <f>S680*K680</f>
        <v/>
      </c>
      <c r="AF680" s="50">
        <f>T680*K680</f>
        <v/>
      </c>
      <c r="AG680" s="50">
        <f>U680*K680</f>
        <v/>
      </c>
      <c r="AH680" s="50">
        <f>V680*K680</f>
        <v/>
      </c>
      <c r="AI680" s="50">
        <f>W680*K680</f>
        <v/>
      </c>
    </row>
    <row r="681">
      <c r="A681" s="25" t="n"/>
      <c r="B681" s="45">
        <f>IF(A681="","",IFERROR(INDEX(Mitarbeiter!$B$6:$B$205,MATCH($A681,Mitarbeiter!$A$6:$A$205,0)),"?"))</f>
        <v/>
      </c>
      <c r="C681" s="46" t="n"/>
      <c r="D681" s="26" t="n"/>
      <c r="E681" s="26" t="n"/>
      <c r="F681" s="24">
        <f>IF(A681="","",SUM(L681:W681))</f>
        <v/>
      </c>
      <c r="G681" s="36">
        <f>IF(A681="","",SUM(X681:AI681))</f>
        <v/>
      </c>
      <c r="H681" s="8">
        <f>IF(A681="","",IF(ISNA(MATCH(A681,Mitarbeiter!$A$6:$A$205,0)),"Pers.-Nr. unbekannt",IF(D681="","Von fehlt",IF(AND(C681&lt;&gt;Einstellungen!$C$4,C681&lt;&gt;Einstellungen!$C$5),"Objekt fehlt",IF(J681&lt;D681,"Bis vor Von",IF(D681&lt;INDEX(Mitarbeiter!$C$6:$C$205,MATCH($A681,Mitarbeiter!$A$6:$A$205,0)),"vor Eintritt",IF(AND(INDEX(Mitarbeiter!$D$6:$D$205,MATCH($A681,Mitarbeiter!$A$6:$A$205,0))&lt;&gt;"",D681&gt;INDEX(Mitarbeiter!$D$6:$D$205,MATCH($A681,Mitarbeiter!$A$6:$A$205,0))),"nach Austritt",IF(E681="","offen","ok"))))))))</f>
        <v/>
      </c>
      <c r="J681" s="47">
        <f>IF(A681="","",IF(E681="",Einstellungen!$C$9,E681))</f>
        <v/>
      </c>
      <c r="K681" s="48">
        <f>IF(A681="",0,IFERROR(INDEX(Mitarbeiter!$F$6:$F$205,MATCH($A681,Mitarbeiter!$A$6:$A$205,0)),0))</f>
        <v/>
      </c>
      <c r="L681" s="49">
        <f>IF(OR(A681="",D681=""),0,MAX(0,NETWORKDAYS(MAX(D681,DATE(Einstellungen!$C$3,1,1)),MIN(J681,DATE(Einstellungen!$C$3,2,0)),Einstellungen!$F$13:$F$32)))</f>
        <v/>
      </c>
      <c r="M681" s="49">
        <f>IF(OR(A681="",D681=""),0,MAX(0,NETWORKDAYS(MAX(D681,DATE(Einstellungen!$C$3,2,1)),MIN(J681,DATE(Einstellungen!$C$3,3,0)),Einstellungen!$F$13:$F$32)))</f>
        <v/>
      </c>
      <c r="N681" s="49">
        <f>IF(OR(A681="",D681=""),0,MAX(0,NETWORKDAYS(MAX(D681,DATE(Einstellungen!$C$3,3,1)),MIN(J681,DATE(Einstellungen!$C$3,4,0)),Einstellungen!$F$13:$F$32)))</f>
        <v/>
      </c>
      <c r="O681" s="49">
        <f>IF(OR(A681="",D681=""),0,MAX(0,NETWORKDAYS(MAX(D681,DATE(Einstellungen!$C$3,4,1)),MIN(J681,DATE(Einstellungen!$C$3,5,0)),Einstellungen!$F$13:$F$32)))</f>
        <v/>
      </c>
      <c r="P681" s="49">
        <f>IF(OR(A681="",D681=""),0,MAX(0,NETWORKDAYS(MAX(D681,DATE(Einstellungen!$C$3,5,1)),MIN(J681,DATE(Einstellungen!$C$3,6,0)),Einstellungen!$F$13:$F$32)))</f>
        <v/>
      </c>
      <c r="Q681" s="49">
        <f>IF(OR(A681="",D681=""),0,MAX(0,NETWORKDAYS(MAX(D681,DATE(Einstellungen!$C$3,6,1)),MIN(J681,DATE(Einstellungen!$C$3,7,0)),Einstellungen!$F$13:$F$32)))</f>
        <v/>
      </c>
      <c r="R681" s="49">
        <f>IF(OR(A681="",D681=""),0,MAX(0,NETWORKDAYS(MAX(D681,DATE(Einstellungen!$C$3,7,1)),MIN(J681,DATE(Einstellungen!$C$3,8,0)),Einstellungen!$F$13:$F$32)))</f>
        <v/>
      </c>
      <c r="S681" s="49">
        <f>IF(OR(A681="",D681=""),0,MAX(0,NETWORKDAYS(MAX(D681,DATE(Einstellungen!$C$3,8,1)),MIN(J681,DATE(Einstellungen!$C$3,9,0)),Einstellungen!$F$13:$F$32)))</f>
        <v/>
      </c>
      <c r="T681" s="49">
        <f>IF(OR(A681="",D681=""),0,MAX(0,NETWORKDAYS(MAX(D681,DATE(Einstellungen!$C$3,9,1)),MIN(J681,DATE(Einstellungen!$C$3,10,0)),Einstellungen!$F$13:$F$32)))</f>
        <v/>
      </c>
      <c r="U681" s="49">
        <f>IF(OR(A681="",D681=""),0,MAX(0,NETWORKDAYS(MAX(D681,DATE(Einstellungen!$C$3,10,1)),MIN(J681,DATE(Einstellungen!$C$3,11,0)),Einstellungen!$F$13:$F$32)))</f>
        <v/>
      </c>
      <c r="V681" s="49">
        <f>IF(OR(A681="",D681=""),0,MAX(0,NETWORKDAYS(MAX(D681,DATE(Einstellungen!$C$3,11,1)),MIN(J681,DATE(Einstellungen!$C$3,12,0)),Einstellungen!$F$13:$F$32)))</f>
        <v/>
      </c>
      <c r="W681" s="49">
        <f>IF(OR(A681="",D681=""),0,MAX(0,NETWORKDAYS(MAX(D681,DATE(Einstellungen!$C$3,12,1)),MIN(J681,DATE(Einstellungen!$C$3,13,0)),Einstellungen!$F$13:$F$32)))</f>
        <v/>
      </c>
      <c r="X681" s="50">
        <f>L681*K681</f>
        <v/>
      </c>
      <c r="Y681" s="50">
        <f>M681*K681</f>
        <v/>
      </c>
      <c r="Z681" s="50">
        <f>N681*K681</f>
        <v/>
      </c>
      <c r="AA681" s="50">
        <f>O681*K681</f>
        <v/>
      </c>
      <c r="AB681" s="50">
        <f>P681*K681</f>
        <v/>
      </c>
      <c r="AC681" s="50">
        <f>Q681*K681</f>
        <v/>
      </c>
      <c r="AD681" s="50">
        <f>R681*K681</f>
        <v/>
      </c>
      <c r="AE681" s="50">
        <f>S681*K681</f>
        <v/>
      </c>
      <c r="AF681" s="50">
        <f>T681*K681</f>
        <v/>
      </c>
      <c r="AG681" s="50">
        <f>U681*K681</f>
        <v/>
      </c>
      <c r="AH681" s="50">
        <f>V681*K681</f>
        <v/>
      </c>
      <c r="AI681" s="50">
        <f>W681*K681</f>
        <v/>
      </c>
    </row>
    <row r="682">
      <c r="A682" s="25" t="n"/>
      <c r="B682" s="45">
        <f>IF(A682="","",IFERROR(INDEX(Mitarbeiter!$B$6:$B$205,MATCH($A682,Mitarbeiter!$A$6:$A$205,0)),"?"))</f>
        <v/>
      </c>
      <c r="C682" s="46" t="n"/>
      <c r="D682" s="26" t="n"/>
      <c r="E682" s="26" t="n"/>
      <c r="F682" s="24">
        <f>IF(A682="","",SUM(L682:W682))</f>
        <v/>
      </c>
      <c r="G682" s="36">
        <f>IF(A682="","",SUM(X682:AI682))</f>
        <v/>
      </c>
      <c r="H682" s="8">
        <f>IF(A682="","",IF(ISNA(MATCH(A682,Mitarbeiter!$A$6:$A$205,0)),"Pers.-Nr. unbekannt",IF(D682="","Von fehlt",IF(AND(C682&lt;&gt;Einstellungen!$C$4,C682&lt;&gt;Einstellungen!$C$5),"Objekt fehlt",IF(J682&lt;D682,"Bis vor Von",IF(D682&lt;INDEX(Mitarbeiter!$C$6:$C$205,MATCH($A682,Mitarbeiter!$A$6:$A$205,0)),"vor Eintritt",IF(AND(INDEX(Mitarbeiter!$D$6:$D$205,MATCH($A682,Mitarbeiter!$A$6:$A$205,0))&lt;&gt;"",D682&gt;INDEX(Mitarbeiter!$D$6:$D$205,MATCH($A682,Mitarbeiter!$A$6:$A$205,0))),"nach Austritt",IF(E682="","offen","ok"))))))))</f>
        <v/>
      </c>
      <c r="J682" s="47">
        <f>IF(A682="","",IF(E682="",Einstellungen!$C$9,E682))</f>
        <v/>
      </c>
      <c r="K682" s="48">
        <f>IF(A682="",0,IFERROR(INDEX(Mitarbeiter!$F$6:$F$205,MATCH($A682,Mitarbeiter!$A$6:$A$205,0)),0))</f>
        <v/>
      </c>
      <c r="L682" s="49">
        <f>IF(OR(A682="",D682=""),0,MAX(0,NETWORKDAYS(MAX(D682,DATE(Einstellungen!$C$3,1,1)),MIN(J682,DATE(Einstellungen!$C$3,2,0)),Einstellungen!$F$13:$F$32)))</f>
        <v/>
      </c>
      <c r="M682" s="49">
        <f>IF(OR(A682="",D682=""),0,MAX(0,NETWORKDAYS(MAX(D682,DATE(Einstellungen!$C$3,2,1)),MIN(J682,DATE(Einstellungen!$C$3,3,0)),Einstellungen!$F$13:$F$32)))</f>
        <v/>
      </c>
      <c r="N682" s="49">
        <f>IF(OR(A682="",D682=""),0,MAX(0,NETWORKDAYS(MAX(D682,DATE(Einstellungen!$C$3,3,1)),MIN(J682,DATE(Einstellungen!$C$3,4,0)),Einstellungen!$F$13:$F$32)))</f>
        <v/>
      </c>
      <c r="O682" s="49">
        <f>IF(OR(A682="",D682=""),0,MAX(0,NETWORKDAYS(MAX(D682,DATE(Einstellungen!$C$3,4,1)),MIN(J682,DATE(Einstellungen!$C$3,5,0)),Einstellungen!$F$13:$F$32)))</f>
        <v/>
      </c>
      <c r="P682" s="49">
        <f>IF(OR(A682="",D682=""),0,MAX(0,NETWORKDAYS(MAX(D682,DATE(Einstellungen!$C$3,5,1)),MIN(J682,DATE(Einstellungen!$C$3,6,0)),Einstellungen!$F$13:$F$32)))</f>
        <v/>
      </c>
      <c r="Q682" s="49">
        <f>IF(OR(A682="",D682=""),0,MAX(0,NETWORKDAYS(MAX(D682,DATE(Einstellungen!$C$3,6,1)),MIN(J682,DATE(Einstellungen!$C$3,7,0)),Einstellungen!$F$13:$F$32)))</f>
        <v/>
      </c>
      <c r="R682" s="49">
        <f>IF(OR(A682="",D682=""),0,MAX(0,NETWORKDAYS(MAX(D682,DATE(Einstellungen!$C$3,7,1)),MIN(J682,DATE(Einstellungen!$C$3,8,0)),Einstellungen!$F$13:$F$32)))</f>
        <v/>
      </c>
      <c r="S682" s="49">
        <f>IF(OR(A682="",D682=""),0,MAX(0,NETWORKDAYS(MAX(D682,DATE(Einstellungen!$C$3,8,1)),MIN(J682,DATE(Einstellungen!$C$3,9,0)),Einstellungen!$F$13:$F$32)))</f>
        <v/>
      </c>
      <c r="T682" s="49">
        <f>IF(OR(A682="",D682=""),0,MAX(0,NETWORKDAYS(MAX(D682,DATE(Einstellungen!$C$3,9,1)),MIN(J682,DATE(Einstellungen!$C$3,10,0)),Einstellungen!$F$13:$F$32)))</f>
        <v/>
      </c>
      <c r="U682" s="49">
        <f>IF(OR(A682="",D682=""),0,MAX(0,NETWORKDAYS(MAX(D682,DATE(Einstellungen!$C$3,10,1)),MIN(J682,DATE(Einstellungen!$C$3,11,0)),Einstellungen!$F$13:$F$32)))</f>
        <v/>
      </c>
      <c r="V682" s="49">
        <f>IF(OR(A682="",D682=""),0,MAX(0,NETWORKDAYS(MAX(D682,DATE(Einstellungen!$C$3,11,1)),MIN(J682,DATE(Einstellungen!$C$3,12,0)),Einstellungen!$F$13:$F$32)))</f>
        <v/>
      </c>
      <c r="W682" s="49">
        <f>IF(OR(A682="",D682=""),0,MAX(0,NETWORKDAYS(MAX(D682,DATE(Einstellungen!$C$3,12,1)),MIN(J682,DATE(Einstellungen!$C$3,13,0)),Einstellungen!$F$13:$F$32)))</f>
        <v/>
      </c>
      <c r="X682" s="50">
        <f>L682*K682</f>
        <v/>
      </c>
      <c r="Y682" s="50">
        <f>M682*K682</f>
        <v/>
      </c>
      <c r="Z682" s="50">
        <f>N682*K682</f>
        <v/>
      </c>
      <c r="AA682" s="50">
        <f>O682*K682</f>
        <v/>
      </c>
      <c r="AB682" s="50">
        <f>P682*K682</f>
        <v/>
      </c>
      <c r="AC682" s="50">
        <f>Q682*K682</f>
        <v/>
      </c>
      <c r="AD682" s="50">
        <f>R682*K682</f>
        <v/>
      </c>
      <c r="AE682" s="50">
        <f>S682*K682</f>
        <v/>
      </c>
      <c r="AF682" s="50">
        <f>T682*K682</f>
        <v/>
      </c>
      <c r="AG682" s="50">
        <f>U682*K682</f>
        <v/>
      </c>
      <c r="AH682" s="50">
        <f>V682*K682</f>
        <v/>
      </c>
      <c r="AI682" s="50">
        <f>W682*K682</f>
        <v/>
      </c>
    </row>
    <row r="683">
      <c r="A683" s="25" t="n"/>
      <c r="B683" s="45">
        <f>IF(A683="","",IFERROR(INDEX(Mitarbeiter!$B$6:$B$205,MATCH($A683,Mitarbeiter!$A$6:$A$205,0)),"?"))</f>
        <v/>
      </c>
      <c r="C683" s="46" t="n"/>
      <c r="D683" s="26" t="n"/>
      <c r="E683" s="26" t="n"/>
      <c r="F683" s="24">
        <f>IF(A683="","",SUM(L683:W683))</f>
        <v/>
      </c>
      <c r="G683" s="36">
        <f>IF(A683="","",SUM(X683:AI683))</f>
        <v/>
      </c>
      <c r="H683" s="8">
        <f>IF(A683="","",IF(ISNA(MATCH(A683,Mitarbeiter!$A$6:$A$205,0)),"Pers.-Nr. unbekannt",IF(D683="","Von fehlt",IF(AND(C683&lt;&gt;Einstellungen!$C$4,C683&lt;&gt;Einstellungen!$C$5),"Objekt fehlt",IF(J683&lt;D683,"Bis vor Von",IF(D683&lt;INDEX(Mitarbeiter!$C$6:$C$205,MATCH($A683,Mitarbeiter!$A$6:$A$205,0)),"vor Eintritt",IF(AND(INDEX(Mitarbeiter!$D$6:$D$205,MATCH($A683,Mitarbeiter!$A$6:$A$205,0))&lt;&gt;"",D683&gt;INDEX(Mitarbeiter!$D$6:$D$205,MATCH($A683,Mitarbeiter!$A$6:$A$205,0))),"nach Austritt",IF(E683="","offen","ok"))))))))</f>
        <v/>
      </c>
      <c r="J683" s="47">
        <f>IF(A683="","",IF(E683="",Einstellungen!$C$9,E683))</f>
        <v/>
      </c>
      <c r="K683" s="48">
        <f>IF(A683="",0,IFERROR(INDEX(Mitarbeiter!$F$6:$F$205,MATCH($A683,Mitarbeiter!$A$6:$A$205,0)),0))</f>
        <v/>
      </c>
      <c r="L683" s="49">
        <f>IF(OR(A683="",D683=""),0,MAX(0,NETWORKDAYS(MAX(D683,DATE(Einstellungen!$C$3,1,1)),MIN(J683,DATE(Einstellungen!$C$3,2,0)),Einstellungen!$F$13:$F$32)))</f>
        <v/>
      </c>
      <c r="M683" s="49">
        <f>IF(OR(A683="",D683=""),0,MAX(0,NETWORKDAYS(MAX(D683,DATE(Einstellungen!$C$3,2,1)),MIN(J683,DATE(Einstellungen!$C$3,3,0)),Einstellungen!$F$13:$F$32)))</f>
        <v/>
      </c>
      <c r="N683" s="49">
        <f>IF(OR(A683="",D683=""),0,MAX(0,NETWORKDAYS(MAX(D683,DATE(Einstellungen!$C$3,3,1)),MIN(J683,DATE(Einstellungen!$C$3,4,0)),Einstellungen!$F$13:$F$32)))</f>
        <v/>
      </c>
      <c r="O683" s="49">
        <f>IF(OR(A683="",D683=""),0,MAX(0,NETWORKDAYS(MAX(D683,DATE(Einstellungen!$C$3,4,1)),MIN(J683,DATE(Einstellungen!$C$3,5,0)),Einstellungen!$F$13:$F$32)))</f>
        <v/>
      </c>
      <c r="P683" s="49">
        <f>IF(OR(A683="",D683=""),0,MAX(0,NETWORKDAYS(MAX(D683,DATE(Einstellungen!$C$3,5,1)),MIN(J683,DATE(Einstellungen!$C$3,6,0)),Einstellungen!$F$13:$F$32)))</f>
        <v/>
      </c>
      <c r="Q683" s="49">
        <f>IF(OR(A683="",D683=""),0,MAX(0,NETWORKDAYS(MAX(D683,DATE(Einstellungen!$C$3,6,1)),MIN(J683,DATE(Einstellungen!$C$3,7,0)),Einstellungen!$F$13:$F$32)))</f>
        <v/>
      </c>
      <c r="R683" s="49">
        <f>IF(OR(A683="",D683=""),0,MAX(0,NETWORKDAYS(MAX(D683,DATE(Einstellungen!$C$3,7,1)),MIN(J683,DATE(Einstellungen!$C$3,8,0)),Einstellungen!$F$13:$F$32)))</f>
        <v/>
      </c>
      <c r="S683" s="49">
        <f>IF(OR(A683="",D683=""),0,MAX(0,NETWORKDAYS(MAX(D683,DATE(Einstellungen!$C$3,8,1)),MIN(J683,DATE(Einstellungen!$C$3,9,0)),Einstellungen!$F$13:$F$32)))</f>
        <v/>
      </c>
      <c r="T683" s="49">
        <f>IF(OR(A683="",D683=""),0,MAX(0,NETWORKDAYS(MAX(D683,DATE(Einstellungen!$C$3,9,1)),MIN(J683,DATE(Einstellungen!$C$3,10,0)),Einstellungen!$F$13:$F$32)))</f>
        <v/>
      </c>
      <c r="U683" s="49">
        <f>IF(OR(A683="",D683=""),0,MAX(0,NETWORKDAYS(MAX(D683,DATE(Einstellungen!$C$3,10,1)),MIN(J683,DATE(Einstellungen!$C$3,11,0)),Einstellungen!$F$13:$F$32)))</f>
        <v/>
      </c>
      <c r="V683" s="49">
        <f>IF(OR(A683="",D683=""),0,MAX(0,NETWORKDAYS(MAX(D683,DATE(Einstellungen!$C$3,11,1)),MIN(J683,DATE(Einstellungen!$C$3,12,0)),Einstellungen!$F$13:$F$32)))</f>
        <v/>
      </c>
      <c r="W683" s="49">
        <f>IF(OR(A683="",D683=""),0,MAX(0,NETWORKDAYS(MAX(D683,DATE(Einstellungen!$C$3,12,1)),MIN(J683,DATE(Einstellungen!$C$3,13,0)),Einstellungen!$F$13:$F$32)))</f>
        <v/>
      </c>
      <c r="X683" s="50">
        <f>L683*K683</f>
        <v/>
      </c>
      <c r="Y683" s="50">
        <f>M683*K683</f>
        <v/>
      </c>
      <c r="Z683" s="50">
        <f>N683*K683</f>
        <v/>
      </c>
      <c r="AA683" s="50">
        <f>O683*K683</f>
        <v/>
      </c>
      <c r="AB683" s="50">
        <f>P683*K683</f>
        <v/>
      </c>
      <c r="AC683" s="50">
        <f>Q683*K683</f>
        <v/>
      </c>
      <c r="AD683" s="50">
        <f>R683*K683</f>
        <v/>
      </c>
      <c r="AE683" s="50">
        <f>S683*K683</f>
        <v/>
      </c>
      <c r="AF683" s="50">
        <f>T683*K683</f>
        <v/>
      </c>
      <c r="AG683" s="50">
        <f>U683*K683</f>
        <v/>
      </c>
      <c r="AH683" s="50">
        <f>V683*K683</f>
        <v/>
      </c>
      <c r="AI683" s="50">
        <f>W683*K683</f>
        <v/>
      </c>
    </row>
    <row r="684">
      <c r="A684" s="25" t="n"/>
      <c r="B684" s="45">
        <f>IF(A684="","",IFERROR(INDEX(Mitarbeiter!$B$6:$B$205,MATCH($A684,Mitarbeiter!$A$6:$A$205,0)),"?"))</f>
        <v/>
      </c>
      <c r="C684" s="46" t="n"/>
      <c r="D684" s="26" t="n"/>
      <c r="E684" s="26" t="n"/>
      <c r="F684" s="24">
        <f>IF(A684="","",SUM(L684:W684))</f>
        <v/>
      </c>
      <c r="G684" s="36">
        <f>IF(A684="","",SUM(X684:AI684))</f>
        <v/>
      </c>
      <c r="H684" s="8">
        <f>IF(A684="","",IF(ISNA(MATCH(A684,Mitarbeiter!$A$6:$A$205,0)),"Pers.-Nr. unbekannt",IF(D684="","Von fehlt",IF(AND(C684&lt;&gt;Einstellungen!$C$4,C684&lt;&gt;Einstellungen!$C$5),"Objekt fehlt",IF(J684&lt;D684,"Bis vor Von",IF(D684&lt;INDEX(Mitarbeiter!$C$6:$C$205,MATCH($A684,Mitarbeiter!$A$6:$A$205,0)),"vor Eintritt",IF(AND(INDEX(Mitarbeiter!$D$6:$D$205,MATCH($A684,Mitarbeiter!$A$6:$A$205,0))&lt;&gt;"",D684&gt;INDEX(Mitarbeiter!$D$6:$D$205,MATCH($A684,Mitarbeiter!$A$6:$A$205,0))),"nach Austritt",IF(E684="","offen","ok"))))))))</f>
        <v/>
      </c>
      <c r="J684" s="47">
        <f>IF(A684="","",IF(E684="",Einstellungen!$C$9,E684))</f>
        <v/>
      </c>
      <c r="K684" s="48">
        <f>IF(A684="",0,IFERROR(INDEX(Mitarbeiter!$F$6:$F$205,MATCH($A684,Mitarbeiter!$A$6:$A$205,0)),0))</f>
        <v/>
      </c>
      <c r="L684" s="49">
        <f>IF(OR(A684="",D684=""),0,MAX(0,NETWORKDAYS(MAX(D684,DATE(Einstellungen!$C$3,1,1)),MIN(J684,DATE(Einstellungen!$C$3,2,0)),Einstellungen!$F$13:$F$32)))</f>
        <v/>
      </c>
      <c r="M684" s="49">
        <f>IF(OR(A684="",D684=""),0,MAX(0,NETWORKDAYS(MAX(D684,DATE(Einstellungen!$C$3,2,1)),MIN(J684,DATE(Einstellungen!$C$3,3,0)),Einstellungen!$F$13:$F$32)))</f>
        <v/>
      </c>
      <c r="N684" s="49">
        <f>IF(OR(A684="",D684=""),0,MAX(0,NETWORKDAYS(MAX(D684,DATE(Einstellungen!$C$3,3,1)),MIN(J684,DATE(Einstellungen!$C$3,4,0)),Einstellungen!$F$13:$F$32)))</f>
        <v/>
      </c>
      <c r="O684" s="49">
        <f>IF(OR(A684="",D684=""),0,MAX(0,NETWORKDAYS(MAX(D684,DATE(Einstellungen!$C$3,4,1)),MIN(J684,DATE(Einstellungen!$C$3,5,0)),Einstellungen!$F$13:$F$32)))</f>
        <v/>
      </c>
      <c r="P684" s="49">
        <f>IF(OR(A684="",D684=""),0,MAX(0,NETWORKDAYS(MAX(D684,DATE(Einstellungen!$C$3,5,1)),MIN(J684,DATE(Einstellungen!$C$3,6,0)),Einstellungen!$F$13:$F$32)))</f>
        <v/>
      </c>
      <c r="Q684" s="49">
        <f>IF(OR(A684="",D684=""),0,MAX(0,NETWORKDAYS(MAX(D684,DATE(Einstellungen!$C$3,6,1)),MIN(J684,DATE(Einstellungen!$C$3,7,0)),Einstellungen!$F$13:$F$32)))</f>
        <v/>
      </c>
      <c r="R684" s="49">
        <f>IF(OR(A684="",D684=""),0,MAX(0,NETWORKDAYS(MAX(D684,DATE(Einstellungen!$C$3,7,1)),MIN(J684,DATE(Einstellungen!$C$3,8,0)),Einstellungen!$F$13:$F$32)))</f>
        <v/>
      </c>
      <c r="S684" s="49">
        <f>IF(OR(A684="",D684=""),0,MAX(0,NETWORKDAYS(MAX(D684,DATE(Einstellungen!$C$3,8,1)),MIN(J684,DATE(Einstellungen!$C$3,9,0)),Einstellungen!$F$13:$F$32)))</f>
        <v/>
      </c>
      <c r="T684" s="49">
        <f>IF(OR(A684="",D684=""),0,MAX(0,NETWORKDAYS(MAX(D684,DATE(Einstellungen!$C$3,9,1)),MIN(J684,DATE(Einstellungen!$C$3,10,0)),Einstellungen!$F$13:$F$32)))</f>
        <v/>
      </c>
      <c r="U684" s="49">
        <f>IF(OR(A684="",D684=""),0,MAX(0,NETWORKDAYS(MAX(D684,DATE(Einstellungen!$C$3,10,1)),MIN(J684,DATE(Einstellungen!$C$3,11,0)),Einstellungen!$F$13:$F$32)))</f>
        <v/>
      </c>
      <c r="V684" s="49">
        <f>IF(OR(A684="",D684=""),0,MAX(0,NETWORKDAYS(MAX(D684,DATE(Einstellungen!$C$3,11,1)),MIN(J684,DATE(Einstellungen!$C$3,12,0)),Einstellungen!$F$13:$F$32)))</f>
        <v/>
      </c>
      <c r="W684" s="49">
        <f>IF(OR(A684="",D684=""),0,MAX(0,NETWORKDAYS(MAX(D684,DATE(Einstellungen!$C$3,12,1)),MIN(J684,DATE(Einstellungen!$C$3,13,0)),Einstellungen!$F$13:$F$32)))</f>
        <v/>
      </c>
      <c r="X684" s="50">
        <f>L684*K684</f>
        <v/>
      </c>
      <c r="Y684" s="50">
        <f>M684*K684</f>
        <v/>
      </c>
      <c r="Z684" s="50">
        <f>N684*K684</f>
        <v/>
      </c>
      <c r="AA684" s="50">
        <f>O684*K684</f>
        <v/>
      </c>
      <c r="AB684" s="50">
        <f>P684*K684</f>
        <v/>
      </c>
      <c r="AC684" s="50">
        <f>Q684*K684</f>
        <v/>
      </c>
      <c r="AD684" s="50">
        <f>R684*K684</f>
        <v/>
      </c>
      <c r="AE684" s="50">
        <f>S684*K684</f>
        <v/>
      </c>
      <c r="AF684" s="50">
        <f>T684*K684</f>
        <v/>
      </c>
      <c r="AG684" s="50">
        <f>U684*K684</f>
        <v/>
      </c>
      <c r="AH684" s="50">
        <f>V684*K684</f>
        <v/>
      </c>
      <c r="AI684" s="50">
        <f>W684*K684</f>
        <v/>
      </c>
    </row>
    <row r="685">
      <c r="A685" s="25" t="n"/>
      <c r="B685" s="45">
        <f>IF(A685="","",IFERROR(INDEX(Mitarbeiter!$B$6:$B$205,MATCH($A685,Mitarbeiter!$A$6:$A$205,0)),"?"))</f>
        <v/>
      </c>
      <c r="C685" s="46" t="n"/>
      <c r="D685" s="26" t="n"/>
      <c r="E685" s="26" t="n"/>
      <c r="F685" s="24">
        <f>IF(A685="","",SUM(L685:W685))</f>
        <v/>
      </c>
      <c r="G685" s="36">
        <f>IF(A685="","",SUM(X685:AI685))</f>
        <v/>
      </c>
      <c r="H685" s="8">
        <f>IF(A685="","",IF(ISNA(MATCH(A685,Mitarbeiter!$A$6:$A$205,0)),"Pers.-Nr. unbekannt",IF(D685="","Von fehlt",IF(AND(C685&lt;&gt;Einstellungen!$C$4,C685&lt;&gt;Einstellungen!$C$5),"Objekt fehlt",IF(J685&lt;D685,"Bis vor Von",IF(D685&lt;INDEX(Mitarbeiter!$C$6:$C$205,MATCH($A685,Mitarbeiter!$A$6:$A$205,0)),"vor Eintritt",IF(AND(INDEX(Mitarbeiter!$D$6:$D$205,MATCH($A685,Mitarbeiter!$A$6:$A$205,0))&lt;&gt;"",D685&gt;INDEX(Mitarbeiter!$D$6:$D$205,MATCH($A685,Mitarbeiter!$A$6:$A$205,0))),"nach Austritt",IF(E685="","offen","ok"))))))))</f>
        <v/>
      </c>
      <c r="J685" s="47">
        <f>IF(A685="","",IF(E685="",Einstellungen!$C$9,E685))</f>
        <v/>
      </c>
      <c r="K685" s="48">
        <f>IF(A685="",0,IFERROR(INDEX(Mitarbeiter!$F$6:$F$205,MATCH($A685,Mitarbeiter!$A$6:$A$205,0)),0))</f>
        <v/>
      </c>
      <c r="L685" s="49">
        <f>IF(OR(A685="",D685=""),0,MAX(0,NETWORKDAYS(MAX(D685,DATE(Einstellungen!$C$3,1,1)),MIN(J685,DATE(Einstellungen!$C$3,2,0)),Einstellungen!$F$13:$F$32)))</f>
        <v/>
      </c>
      <c r="M685" s="49">
        <f>IF(OR(A685="",D685=""),0,MAX(0,NETWORKDAYS(MAX(D685,DATE(Einstellungen!$C$3,2,1)),MIN(J685,DATE(Einstellungen!$C$3,3,0)),Einstellungen!$F$13:$F$32)))</f>
        <v/>
      </c>
      <c r="N685" s="49">
        <f>IF(OR(A685="",D685=""),0,MAX(0,NETWORKDAYS(MAX(D685,DATE(Einstellungen!$C$3,3,1)),MIN(J685,DATE(Einstellungen!$C$3,4,0)),Einstellungen!$F$13:$F$32)))</f>
        <v/>
      </c>
      <c r="O685" s="49">
        <f>IF(OR(A685="",D685=""),0,MAX(0,NETWORKDAYS(MAX(D685,DATE(Einstellungen!$C$3,4,1)),MIN(J685,DATE(Einstellungen!$C$3,5,0)),Einstellungen!$F$13:$F$32)))</f>
        <v/>
      </c>
      <c r="P685" s="49">
        <f>IF(OR(A685="",D685=""),0,MAX(0,NETWORKDAYS(MAX(D685,DATE(Einstellungen!$C$3,5,1)),MIN(J685,DATE(Einstellungen!$C$3,6,0)),Einstellungen!$F$13:$F$32)))</f>
        <v/>
      </c>
      <c r="Q685" s="49">
        <f>IF(OR(A685="",D685=""),0,MAX(0,NETWORKDAYS(MAX(D685,DATE(Einstellungen!$C$3,6,1)),MIN(J685,DATE(Einstellungen!$C$3,7,0)),Einstellungen!$F$13:$F$32)))</f>
        <v/>
      </c>
      <c r="R685" s="49">
        <f>IF(OR(A685="",D685=""),0,MAX(0,NETWORKDAYS(MAX(D685,DATE(Einstellungen!$C$3,7,1)),MIN(J685,DATE(Einstellungen!$C$3,8,0)),Einstellungen!$F$13:$F$32)))</f>
        <v/>
      </c>
      <c r="S685" s="49">
        <f>IF(OR(A685="",D685=""),0,MAX(0,NETWORKDAYS(MAX(D685,DATE(Einstellungen!$C$3,8,1)),MIN(J685,DATE(Einstellungen!$C$3,9,0)),Einstellungen!$F$13:$F$32)))</f>
        <v/>
      </c>
      <c r="T685" s="49">
        <f>IF(OR(A685="",D685=""),0,MAX(0,NETWORKDAYS(MAX(D685,DATE(Einstellungen!$C$3,9,1)),MIN(J685,DATE(Einstellungen!$C$3,10,0)),Einstellungen!$F$13:$F$32)))</f>
        <v/>
      </c>
      <c r="U685" s="49">
        <f>IF(OR(A685="",D685=""),0,MAX(0,NETWORKDAYS(MAX(D685,DATE(Einstellungen!$C$3,10,1)),MIN(J685,DATE(Einstellungen!$C$3,11,0)),Einstellungen!$F$13:$F$32)))</f>
        <v/>
      </c>
      <c r="V685" s="49">
        <f>IF(OR(A685="",D685=""),0,MAX(0,NETWORKDAYS(MAX(D685,DATE(Einstellungen!$C$3,11,1)),MIN(J685,DATE(Einstellungen!$C$3,12,0)),Einstellungen!$F$13:$F$32)))</f>
        <v/>
      </c>
      <c r="W685" s="49">
        <f>IF(OR(A685="",D685=""),0,MAX(0,NETWORKDAYS(MAX(D685,DATE(Einstellungen!$C$3,12,1)),MIN(J685,DATE(Einstellungen!$C$3,13,0)),Einstellungen!$F$13:$F$32)))</f>
        <v/>
      </c>
      <c r="X685" s="50">
        <f>L685*K685</f>
        <v/>
      </c>
      <c r="Y685" s="50">
        <f>M685*K685</f>
        <v/>
      </c>
      <c r="Z685" s="50">
        <f>N685*K685</f>
        <v/>
      </c>
      <c r="AA685" s="50">
        <f>O685*K685</f>
        <v/>
      </c>
      <c r="AB685" s="50">
        <f>P685*K685</f>
        <v/>
      </c>
      <c r="AC685" s="50">
        <f>Q685*K685</f>
        <v/>
      </c>
      <c r="AD685" s="50">
        <f>R685*K685</f>
        <v/>
      </c>
      <c r="AE685" s="50">
        <f>S685*K685</f>
        <v/>
      </c>
      <c r="AF685" s="50">
        <f>T685*K685</f>
        <v/>
      </c>
      <c r="AG685" s="50">
        <f>U685*K685</f>
        <v/>
      </c>
      <c r="AH685" s="50">
        <f>V685*K685</f>
        <v/>
      </c>
      <c r="AI685" s="50">
        <f>W685*K685</f>
        <v/>
      </c>
    </row>
    <row r="686">
      <c r="A686" s="25" t="n"/>
      <c r="B686" s="45">
        <f>IF(A686="","",IFERROR(INDEX(Mitarbeiter!$B$6:$B$205,MATCH($A686,Mitarbeiter!$A$6:$A$205,0)),"?"))</f>
        <v/>
      </c>
      <c r="C686" s="46" t="n"/>
      <c r="D686" s="26" t="n"/>
      <c r="E686" s="26" t="n"/>
      <c r="F686" s="24">
        <f>IF(A686="","",SUM(L686:W686))</f>
        <v/>
      </c>
      <c r="G686" s="36">
        <f>IF(A686="","",SUM(X686:AI686))</f>
        <v/>
      </c>
      <c r="H686" s="8">
        <f>IF(A686="","",IF(ISNA(MATCH(A686,Mitarbeiter!$A$6:$A$205,0)),"Pers.-Nr. unbekannt",IF(D686="","Von fehlt",IF(AND(C686&lt;&gt;Einstellungen!$C$4,C686&lt;&gt;Einstellungen!$C$5),"Objekt fehlt",IF(J686&lt;D686,"Bis vor Von",IF(D686&lt;INDEX(Mitarbeiter!$C$6:$C$205,MATCH($A686,Mitarbeiter!$A$6:$A$205,0)),"vor Eintritt",IF(AND(INDEX(Mitarbeiter!$D$6:$D$205,MATCH($A686,Mitarbeiter!$A$6:$A$205,0))&lt;&gt;"",D686&gt;INDEX(Mitarbeiter!$D$6:$D$205,MATCH($A686,Mitarbeiter!$A$6:$A$205,0))),"nach Austritt",IF(E686="","offen","ok"))))))))</f>
        <v/>
      </c>
      <c r="J686" s="47">
        <f>IF(A686="","",IF(E686="",Einstellungen!$C$9,E686))</f>
        <v/>
      </c>
      <c r="K686" s="48">
        <f>IF(A686="",0,IFERROR(INDEX(Mitarbeiter!$F$6:$F$205,MATCH($A686,Mitarbeiter!$A$6:$A$205,0)),0))</f>
        <v/>
      </c>
      <c r="L686" s="49">
        <f>IF(OR(A686="",D686=""),0,MAX(0,NETWORKDAYS(MAX(D686,DATE(Einstellungen!$C$3,1,1)),MIN(J686,DATE(Einstellungen!$C$3,2,0)),Einstellungen!$F$13:$F$32)))</f>
        <v/>
      </c>
      <c r="M686" s="49">
        <f>IF(OR(A686="",D686=""),0,MAX(0,NETWORKDAYS(MAX(D686,DATE(Einstellungen!$C$3,2,1)),MIN(J686,DATE(Einstellungen!$C$3,3,0)),Einstellungen!$F$13:$F$32)))</f>
        <v/>
      </c>
      <c r="N686" s="49">
        <f>IF(OR(A686="",D686=""),0,MAX(0,NETWORKDAYS(MAX(D686,DATE(Einstellungen!$C$3,3,1)),MIN(J686,DATE(Einstellungen!$C$3,4,0)),Einstellungen!$F$13:$F$32)))</f>
        <v/>
      </c>
      <c r="O686" s="49">
        <f>IF(OR(A686="",D686=""),0,MAX(0,NETWORKDAYS(MAX(D686,DATE(Einstellungen!$C$3,4,1)),MIN(J686,DATE(Einstellungen!$C$3,5,0)),Einstellungen!$F$13:$F$32)))</f>
        <v/>
      </c>
      <c r="P686" s="49">
        <f>IF(OR(A686="",D686=""),0,MAX(0,NETWORKDAYS(MAX(D686,DATE(Einstellungen!$C$3,5,1)),MIN(J686,DATE(Einstellungen!$C$3,6,0)),Einstellungen!$F$13:$F$32)))</f>
        <v/>
      </c>
      <c r="Q686" s="49">
        <f>IF(OR(A686="",D686=""),0,MAX(0,NETWORKDAYS(MAX(D686,DATE(Einstellungen!$C$3,6,1)),MIN(J686,DATE(Einstellungen!$C$3,7,0)),Einstellungen!$F$13:$F$32)))</f>
        <v/>
      </c>
      <c r="R686" s="49">
        <f>IF(OR(A686="",D686=""),0,MAX(0,NETWORKDAYS(MAX(D686,DATE(Einstellungen!$C$3,7,1)),MIN(J686,DATE(Einstellungen!$C$3,8,0)),Einstellungen!$F$13:$F$32)))</f>
        <v/>
      </c>
      <c r="S686" s="49">
        <f>IF(OR(A686="",D686=""),0,MAX(0,NETWORKDAYS(MAX(D686,DATE(Einstellungen!$C$3,8,1)),MIN(J686,DATE(Einstellungen!$C$3,9,0)),Einstellungen!$F$13:$F$32)))</f>
        <v/>
      </c>
      <c r="T686" s="49">
        <f>IF(OR(A686="",D686=""),0,MAX(0,NETWORKDAYS(MAX(D686,DATE(Einstellungen!$C$3,9,1)),MIN(J686,DATE(Einstellungen!$C$3,10,0)),Einstellungen!$F$13:$F$32)))</f>
        <v/>
      </c>
      <c r="U686" s="49">
        <f>IF(OR(A686="",D686=""),0,MAX(0,NETWORKDAYS(MAX(D686,DATE(Einstellungen!$C$3,10,1)),MIN(J686,DATE(Einstellungen!$C$3,11,0)),Einstellungen!$F$13:$F$32)))</f>
        <v/>
      </c>
      <c r="V686" s="49">
        <f>IF(OR(A686="",D686=""),0,MAX(0,NETWORKDAYS(MAX(D686,DATE(Einstellungen!$C$3,11,1)),MIN(J686,DATE(Einstellungen!$C$3,12,0)),Einstellungen!$F$13:$F$32)))</f>
        <v/>
      </c>
      <c r="W686" s="49">
        <f>IF(OR(A686="",D686=""),0,MAX(0,NETWORKDAYS(MAX(D686,DATE(Einstellungen!$C$3,12,1)),MIN(J686,DATE(Einstellungen!$C$3,13,0)),Einstellungen!$F$13:$F$32)))</f>
        <v/>
      </c>
      <c r="X686" s="50">
        <f>L686*K686</f>
        <v/>
      </c>
      <c r="Y686" s="50">
        <f>M686*K686</f>
        <v/>
      </c>
      <c r="Z686" s="50">
        <f>N686*K686</f>
        <v/>
      </c>
      <c r="AA686" s="50">
        <f>O686*K686</f>
        <v/>
      </c>
      <c r="AB686" s="50">
        <f>P686*K686</f>
        <v/>
      </c>
      <c r="AC686" s="50">
        <f>Q686*K686</f>
        <v/>
      </c>
      <c r="AD686" s="50">
        <f>R686*K686</f>
        <v/>
      </c>
      <c r="AE686" s="50">
        <f>S686*K686</f>
        <v/>
      </c>
      <c r="AF686" s="50">
        <f>T686*K686</f>
        <v/>
      </c>
      <c r="AG686" s="50">
        <f>U686*K686</f>
        <v/>
      </c>
      <c r="AH686" s="50">
        <f>V686*K686</f>
        <v/>
      </c>
      <c r="AI686" s="50">
        <f>W686*K686</f>
        <v/>
      </c>
    </row>
    <row r="687">
      <c r="A687" s="25" t="n"/>
      <c r="B687" s="45">
        <f>IF(A687="","",IFERROR(INDEX(Mitarbeiter!$B$6:$B$205,MATCH($A687,Mitarbeiter!$A$6:$A$205,0)),"?"))</f>
        <v/>
      </c>
      <c r="C687" s="46" t="n"/>
      <c r="D687" s="26" t="n"/>
      <c r="E687" s="26" t="n"/>
      <c r="F687" s="24">
        <f>IF(A687="","",SUM(L687:W687))</f>
        <v/>
      </c>
      <c r="G687" s="36">
        <f>IF(A687="","",SUM(X687:AI687))</f>
        <v/>
      </c>
      <c r="H687" s="8">
        <f>IF(A687="","",IF(ISNA(MATCH(A687,Mitarbeiter!$A$6:$A$205,0)),"Pers.-Nr. unbekannt",IF(D687="","Von fehlt",IF(AND(C687&lt;&gt;Einstellungen!$C$4,C687&lt;&gt;Einstellungen!$C$5),"Objekt fehlt",IF(J687&lt;D687,"Bis vor Von",IF(D687&lt;INDEX(Mitarbeiter!$C$6:$C$205,MATCH($A687,Mitarbeiter!$A$6:$A$205,0)),"vor Eintritt",IF(AND(INDEX(Mitarbeiter!$D$6:$D$205,MATCH($A687,Mitarbeiter!$A$6:$A$205,0))&lt;&gt;"",D687&gt;INDEX(Mitarbeiter!$D$6:$D$205,MATCH($A687,Mitarbeiter!$A$6:$A$205,0))),"nach Austritt",IF(E687="","offen","ok"))))))))</f>
        <v/>
      </c>
      <c r="J687" s="47">
        <f>IF(A687="","",IF(E687="",Einstellungen!$C$9,E687))</f>
        <v/>
      </c>
      <c r="K687" s="48">
        <f>IF(A687="",0,IFERROR(INDEX(Mitarbeiter!$F$6:$F$205,MATCH($A687,Mitarbeiter!$A$6:$A$205,0)),0))</f>
        <v/>
      </c>
      <c r="L687" s="49">
        <f>IF(OR(A687="",D687=""),0,MAX(0,NETWORKDAYS(MAX(D687,DATE(Einstellungen!$C$3,1,1)),MIN(J687,DATE(Einstellungen!$C$3,2,0)),Einstellungen!$F$13:$F$32)))</f>
        <v/>
      </c>
      <c r="M687" s="49">
        <f>IF(OR(A687="",D687=""),0,MAX(0,NETWORKDAYS(MAX(D687,DATE(Einstellungen!$C$3,2,1)),MIN(J687,DATE(Einstellungen!$C$3,3,0)),Einstellungen!$F$13:$F$32)))</f>
        <v/>
      </c>
      <c r="N687" s="49">
        <f>IF(OR(A687="",D687=""),0,MAX(0,NETWORKDAYS(MAX(D687,DATE(Einstellungen!$C$3,3,1)),MIN(J687,DATE(Einstellungen!$C$3,4,0)),Einstellungen!$F$13:$F$32)))</f>
        <v/>
      </c>
      <c r="O687" s="49">
        <f>IF(OR(A687="",D687=""),0,MAX(0,NETWORKDAYS(MAX(D687,DATE(Einstellungen!$C$3,4,1)),MIN(J687,DATE(Einstellungen!$C$3,5,0)),Einstellungen!$F$13:$F$32)))</f>
        <v/>
      </c>
      <c r="P687" s="49">
        <f>IF(OR(A687="",D687=""),0,MAX(0,NETWORKDAYS(MAX(D687,DATE(Einstellungen!$C$3,5,1)),MIN(J687,DATE(Einstellungen!$C$3,6,0)),Einstellungen!$F$13:$F$32)))</f>
        <v/>
      </c>
      <c r="Q687" s="49">
        <f>IF(OR(A687="",D687=""),0,MAX(0,NETWORKDAYS(MAX(D687,DATE(Einstellungen!$C$3,6,1)),MIN(J687,DATE(Einstellungen!$C$3,7,0)),Einstellungen!$F$13:$F$32)))</f>
        <v/>
      </c>
      <c r="R687" s="49">
        <f>IF(OR(A687="",D687=""),0,MAX(0,NETWORKDAYS(MAX(D687,DATE(Einstellungen!$C$3,7,1)),MIN(J687,DATE(Einstellungen!$C$3,8,0)),Einstellungen!$F$13:$F$32)))</f>
        <v/>
      </c>
      <c r="S687" s="49">
        <f>IF(OR(A687="",D687=""),0,MAX(0,NETWORKDAYS(MAX(D687,DATE(Einstellungen!$C$3,8,1)),MIN(J687,DATE(Einstellungen!$C$3,9,0)),Einstellungen!$F$13:$F$32)))</f>
        <v/>
      </c>
      <c r="T687" s="49">
        <f>IF(OR(A687="",D687=""),0,MAX(0,NETWORKDAYS(MAX(D687,DATE(Einstellungen!$C$3,9,1)),MIN(J687,DATE(Einstellungen!$C$3,10,0)),Einstellungen!$F$13:$F$32)))</f>
        <v/>
      </c>
      <c r="U687" s="49">
        <f>IF(OR(A687="",D687=""),0,MAX(0,NETWORKDAYS(MAX(D687,DATE(Einstellungen!$C$3,10,1)),MIN(J687,DATE(Einstellungen!$C$3,11,0)),Einstellungen!$F$13:$F$32)))</f>
        <v/>
      </c>
      <c r="V687" s="49">
        <f>IF(OR(A687="",D687=""),0,MAX(0,NETWORKDAYS(MAX(D687,DATE(Einstellungen!$C$3,11,1)),MIN(J687,DATE(Einstellungen!$C$3,12,0)),Einstellungen!$F$13:$F$32)))</f>
        <v/>
      </c>
      <c r="W687" s="49">
        <f>IF(OR(A687="",D687=""),0,MAX(0,NETWORKDAYS(MAX(D687,DATE(Einstellungen!$C$3,12,1)),MIN(J687,DATE(Einstellungen!$C$3,13,0)),Einstellungen!$F$13:$F$32)))</f>
        <v/>
      </c>
      <c r="X687" s="50">
        <f>L687*K687</f>
        <v/>
      </c>
      <c r="Y687" s="50">
        <f>M687*K687</f>
        <v/>
      </c>
      <c r="Z687" s="50">
        <f>N687*K687</f>
        <v/>
      </c>
      <c r="AA687" s="50">
        <f>O687*K687</f>
        <v/>
      </c>
      <c r="AB687" s="50">
        <f>P687*K687</f>
        <v/>
      </c>
      <c r="AC687" s="50">
        <f>Q687*K687</f>
        <v/>
      </c>
      <c r="AD687" s="50">
        <f>R687*K687</f>
        <v/>
      </c>
      <c r="AE687" s="50">
        <f>S687*K687</f>
        <v/>
      </c>
      <c r="AF687" s="50">
        <f>T687*K687</f>
        <v/>
      </c>
      <c r="AG687" s="50">
        <f>U687*K687</f>
        <v/>
      </c>
      <c r="AH687" s="50">
        <f>V687*K687</f>
        <v/>
      </c>
      <c r="AI687" s="50">
        <f>W687*K687</f>
        <v/>
      </c>
    </row>
    <row r="688">
      <c r="A688" s="25" t="n"/>
      <c r="B688" s="45">
        <f>IF(A688="","",IFERROR(INDEX(Mitarbeiter!$B$6:$B$205,MATCH($A688,Mitarbeiter!$A$6:$A$205,0)),"?"))</f>
        <v/>
      </c>
      <c r="C688" s="46" t="n"/>
      <c r="D688" s="26" t="n"/>
      <c r="E688" s="26" t="n"/>
      <c r="F688" s="24">
        <f>IF(A688="","",SUM(L688:W688))</f>
        <v/>
      </c>
      <c r="G688" s="36">
        <f>IF(A688="","",SUM(X688:AI688))</f>
        <v/>
      </c>
      <c r="H688" s="8">
        <f>IF(A688="","",IF(ISNA(MATCH(A688,Mitarbeiter!$A$6:$A$205,0)),"Pers.-Nr. unbekannt",IF(D688="","Von fehlt",IF(AND(C688&lt;&gt;Einstellungen!$C$4,C688&lt;&gt;Einstellungen!$C$5),"Objekt fehlt",IF(J688&lt;D688,"Bis vor Von",IF(D688&lt;INDEX(Mitarbeiter!$C$6:$C$205,MATCH($A688,Mitarbeiter!$A$6:$A$205,0)),"vor Eintritt",IF(AND(INDEX(Mitarbeiter!$D$6:$D$205,MATCH($A688,Mitarbeiter!$A$6:$A$205,0))&lt;&gt;"",D688&gt;INDEX(Mitarbeiter!$D$6:$D$205,MATCH($A688,Mitarbeiter!$A$6:$A$205,0))),"nach Austritt",IF(E688="","offen","ok"))))))))</f>
        <v/>
      </c>
      <c r="J688" s="47">
        <f>IF(A688="","",IF(E688="",Einstellungen!$C$9,E688))</f>
        <v/>
      </c>
      <c r="K688" s="48">
        <f>IF(A688="",0,IFERROR(INDEX(Mitarbeiter!$F$6:$F$205,MATCH($A688,Mitarbeiter!$A$6:$A$205,0)),0))</f>
        <v/>
      </c>
      <c r="L688" s="49">
        <f>IF(OR(A688="",D688=""),0,MAX(0,NETWORKDAYS(MAX(D688,DATE(Einstellungen!$C$3,1,1)),MIN(J688,DATE(Einstellungen!$C$3,2,0)),Einstellungen!$F$13:$F$32)))</f>
        <v/>
      </c>
      <c r="M688" s="49">
        <f>IF(OR(A688="",D688=""),0,MAX(0,NETWORKDAYS(MAX(D688,DATE(Einstellungen!$C$3,2,1)),MIN(J688,DATE(Einstellungen!$C$3,3,0)),Einstellungen!$F$13:$F$32)))</f>
        <v/>
      </c>
      <c r="N688" s="49">
        <f>IF(OR(A688="",D688=""),0,MAX(0,NETWORKDAYS(MAX(D688,DATE(Einstellungen!$C$3,3,1)),MIN(J688,DATE(Einstellungen!$C$3,4,0)),Einstellungen!$F$13:$F$32)))</f>
        <v/>
      </c>
      <c r="O688" s="49">
        <f>IF(OR(A688="",D688=""),0,MAX(0,NETWORKDAYS(MAX(D688,DATE(Einstellungen!$C$3,4,1)),MIN(J688,DATE(Einstellungen!$C$3,5,0)),Einstellungen!$F$13:$F$32)))</f>
        <v/>
      </c>
      <c r="P688" s="49">
        <f>IF(OR(A688="",D688=""),0,MAX(0,NETWORKDAYS(MAX(D688,DATE(Einstellungen!$C$3,5,1)),MIN(J688,DATE(Einstellungen!$C$3,6,0)),Einstellungen!$F$13:$F$32)))</f>
        <v/>
      </c>
      <c r="Q688" s="49">
        <f>IF(OR(A688="",D688=""),0,MAX(0,NETWORKDAYS(MAX(D688,DATE(Einstellungen!$C$3,6,1)),MIN(J688,DATE(Einstellungen!$C$3,7,0)),Einstellungen!$F$13:$F$32)))</f>
        <v/>
      </c>
      <c r="R688" s="49">
        <f>IF(OR(A688="",D688=""),0,MAX(0,NETWORKDAYS(MAX(D688,DATE(Einstellungen!$C$3,7,1)),MIN(J688,DATE(Einstellungen!$C$3,8,0)),Einstellungen!$F$13:$F$32)))</f>
        <v/>
      </c>
      <c r="S688" s="49">
        <f>IF(OR(A688="",D688=""),0,MAX(0,NETWORKDAYS(MAX(D688,DATE(Einstellungen!$C$3,8,1)),MIN(J688,DATE(Einstellungen!$C$3,9,0)),Einstellungen!$F$13:$F$32)))</f>
        <v/>
      </c>
      <c r="T688" s="49">
        <f>IF(OR(A688="",D688=""),0,MAX(0,NETWORKDAYS(MAX(D688,DATE(Einstellungen!$C$3,9,1)),MIN(J688,DATE(Einstellungen!$C$3,10,0)),Einstellungen!$F$13:$F$32)))</f>
        <v/>
      </c>
      <c r="U688" s="49">
        <f>IF(OR(A688="",D688=""),0,MAX(0,NETWORKDAYS(MAX(D688,DATE(Einstellungen!$C$3,10,1)),MIN(J688,DATE(Einstellungen!$C$3,11,0)),Einstellungen!$F$13:$F$32)))</f>
        <v/>
      </c>
      <c r="V688" s="49">
        <f>IF(OR(A688="",D688=""),0,MAX(0,NETWORKDAYS(MAX(D688,DATE(Einstellungen!$C$3,11,1)),MIN(J688,DATE(Einstellungen!$C$3,12,0)),Einstellungen!$F$13:$F$32)))</f>
        <v/>
      </c>
      <c r="W688" s="49">
        <f>IF(OR(A688="",D688=""),0,MAX(0,NETWORKDAYS(MAX(D688,DATE(Einstellungen!$C$3,12,1)),MIN(J688,DATE(Einstellungen!$C$3,13,0)),Einstellungen!$F$13:$F$32)))</f>
        <v/>
      </c>
      <c r="X688" s="50">
        <f>L688*K688</f>
        <v/>
      </c>
      <c r="Y688" s="50">
        <f>M688*K688</f>
        <v/>
      </c>
      <c r="Z688" s="50">
        <f>N688*K688</f>
        <v/>
      </c>
      <c r="AA688" s="50">
        <f>O688*K688</f>
        <v/>
      </c>
      <c r="AB688" s="50">
        <f>P688*K688</f>
        <v/>
      </c>
      <c r="AC688" s="50">
        <f>Q688*K688</f>
        <v/>
      </c>
      <c r="AD688" s="50">
        <f>R688*K688</f>
        <v/>
      </c>
      <c r="AE688" s="50">
        <f>S688*K688</f>
        <v/>
      </c>
      <c r="AF688" s="50">
        <f>T688*K688</f>
        <v/>
      </c>
      <c r="AG688" s="50">
        <f>U688*K688</f>
        <v/>
      </c>
      <c r="AH688" s="50">
        <f>V688*K688</f>
        <v/>
      </c>
      <c r="AI688" s="50">
        <f>W688*K688</f>
        <v/>
      </c>
    </row>
    <row r="689">
      <c r="A689" s="25" t="n"/>
      <c r="B689" s="45">
        <f>IF(A689="","",IFERROR(INDEX(Mitarbeiter!$B$6:$B$205,MATCH($A689,Mitarbeiter!$A$6:$A$205,0)),"?"))</f>
        <v/>
      </c>
      <c r="C689" s="46" t="n"/>
      <c r="D689" s="26" t="n"/>
      <c r="E689" s="26" t="n"/>
      <c r="F689" s="24">
        <f>IF(A689="","",SUM(L689:W689))</f>
        <v/>
      </c>
      <c r="G689" s="36">
        <f>IF(A689="","",SUM(X689:AI689))</f>
        <v/>
      </c>
      <c r="H689" s="8">
        <f>IF(A689="","",IF(ISNA(MATCH(A689,Mitarbeiter!$A$6:$A$205,0)),"Pers.-Nr. unbekannt",IF(D689="","Von fehlt",IF(AND(C689&lt;&gt;Einstellungen!$C$4,C689&lt;&gt;Einstellungen!$C$5),"Objekt fehlt",IF(J689&lt;D689,"Bis vor Von",IF(D689&lt;INDEX(Mitarbeiter!$C$6:$C$205,MATCH($A689,Mitarbeiter!$A$6:$A$205,0)),"vor Eintritt",IF(AND(INDEX(Mitarbeiter!$D$6:$D$205,MATCH($A689,Mitarbeiter!$A$6:$A$205,0))&lt;&gt;"",D689&gt;INDEX(Mitarbeiter!$D$6:$D$205,MATCH($A689,Mitarbeiter!$A$6:$A$205,0))),"nach Austritt",IF(E689="","offen","ok"))))))))</f>
        <v/>
      </c>
      <c r="J689" s="47">
        <f>IF(A689="","",IF(E689="",Einstellungen!$C$9,E689))</f>
        <v/>
      </c>
      <c r="K689" s="48">
        <f>IF(A689="",0,IFERROR(INDEX(Mitarbeiter!$F$6:$F$205,MATCH($A689,Mitarbeiter!$A$6:$A$205,0)),0))</f>
        <v/>
      </c>
      <c r="L689" s="49">
        <f>IF(OR(A689="",D689=""),0,MAX(0,NETWORKDAYS(MAX(D689,DATE(Einstellungen!$C$3,1,1)),MIN(J689,DATE(Einstellungen!$C$3,2,0)),Einstellungen!$F$13:$F$32)))</f>
        <v/>
      </c>
      <c r="M689" s="49">
        <f>IF(OR(A689="",D689=""),0,MAX(0,NETWORKDAYS(MAX(D689,DATE(Einstellungen!$C$3,2,1)),MIN(J689,DATE(Einstellungen!$C$3,3,0)),Einstellungen!$F$13:$F$32)))</f>
        <v/>
      </c>
      <c r="N689" s="49">
        <f>IF(OR(A689="",D689=""),0,MAX(0,NETWORKDAYS(MAX(D689,DATE(Einstellungen!$C$3,3,1)),MIN(J689,DATE(Einstellungen!$C$3,4,0)),Einstellungen!$F$13:$F$32)))</f>
        <v/>
      </c>
      <c r="O689" s="49">
        <f>IF(OR(A689="",D689=""),0,MAX(0,NETWORKDAYS(MAX(D689,DATE(Einstellungen!$C$3,4,1)),MIN(J689,DATE(Einstellungen!$C$3,5,0)),Einstellungen!$F$13:$F$32)))</f>
        <v/>
      </c>
      <c r="P689" s="49">
        <f>IF(OR(A689="",D689=""),0,MAX(0,NETWORKDAYS(MAX(D689,DATE(Einstellungen!$C$3,5,1)),MIN(J689,DATE(Einstellungen!$C$3,6,0)),Einstellungen!$F$13:$F$32)))</f>
        <v/>
      </c>
      <c r="Q689" s="49">
        <f>IF(OR(A689="",D689=""),0,MAX(0,NETWORKDAYS(MAX(D689,DATE(Einstellungen!$C$3,6,1)),MIN(J689,DATE(Einstellungen!$C$3,7,0)),Einstellungen!$F$13:$F$32)))</f>
        <v/>
      </c>
      <c r="R689" s="49">
        <f>IF(OR(A689="",D689=""),0,MAX(0,NETWORKDAYS(MAX(D689,DATE(Einstellungen!$C$3,7,1)),MIN(J689,DATE(Einstellungen!$C$3,8,0)),Einstellungen!$F$13:$F$32)))</f>
        <v/>
      </c>
      <c r="S689" s="49">
        <f>IF(OR(A689="",D689=""),0,MAX(0,NETWORKDAYS(MAX(D689,DATE(Einstellungen!$C$3,8,1)),MIN(J689,DATE(Einstellungen!$C$3,9,0)),Einstellungen!$F$13:$F$32)))</f>
        <v/>
      </c>
      <c r="T689" s="49">
        <f>IF(OR(A689="",D689=""),0,MAX(0,NETWORKDAYS(MAX(D689,DATE(Einstellungen!$C$3,9,1)),MIN(J689,DATE(Einstellungen!$C$3,10,0)),Einstellungen!$F$13:$F$32)))</f>
        <v/>
      </c>
      <c r="U689" s="49">
        <f>IF(OR(A689="",D689=""),0,MAX(0,NETWORKDAYS(MAX(D689,DATE(Einstellungen!$C$3,10,1)),MIN(J689,DATE(Einstellungen!$C$3,11,0)),Einstellungen!$F$13:$F$32)))</f>
        <v/>
      </c>
      <c r="V689" s="49">
        <f>IF(OR(A689="",D689=""),0,MAX(0,NETWORKDAYS(MAX(D689,DATE(Einstellungen!$C$3,11,1)),MIN(J689,DATE(Einstellungen!$C$3,12,0)),Einstellungen!$F$13:$F$32)))</f>
        <v/>
      </c>
      <c r="W689" s="49">
        <f>IF(OR(A689="",D689=""),0,MAX(0,NETWORKDAYS(MAX(D689,DATE(Einstellungen!$C$3,12,1)),MIN(J689,DATE(Einstellungen!$C$3,13,0)),Einstellungen!$F$13:$F$32)))</f>
        <v/>
      </c>
      <c r="X689" s="50">
        <f>L689*K689</f>
        <v/>
      </c>
      <c r="Y689" s="50">
        <f>M689*K689</f>
        <v/>
      </c>
      <c r="Z689" s="50">
        <f>N689*K689</f>
        <v/>
      </c>
      <c r="AA689" s="50">
        <f>O689*K689</f>
        <v/>
      </c>
      <c r="AB689" s="50">
        <f>P689*K689</f>
        <v/>
      </c>
      <c r="AC689" s="50">
        <f>Q689*K689</f>
        <v/>
      </c>
      <c r="AD689" s="50">
        <f>R689*K689</f>
        <v/>
      </c>
      <c r="AE689" s="50">
        <f>S689*K689</f>
        <v/>
      </c>
      <c r="AF689" s="50">
        <f>T689*K689</f>
        <v/>
      </c>
      <c r="AG689" s="50">
        <f>U689*K689</f>
        <v/>
      </c>
      <c r="AH689" s="50">
        <f>V689*K689</f>
        <v/>
      </c>
      <c r="AI689" s="50">
        <f>W689*K689</f>
        <v/>
      </c>
    </row>
    <row r="690">
      <c r="A690" s="25" t="n"/>
      <c r="B690" s="45">
        <f>IF(A690="","",IFERROR(INDEX(Mitarbeiter!$B$6:$B$205,MATCH($A690,Mitarbeiter!$A$6:$A$205,0)),"?"))</f>
        <v/>
      </c>
      <c r="C690" s="46" t="n"/>
      <c r="D690" s="26" t="n"/>
      <c r="E690" s="26" t="n"/>
      <c r="F690" s="24">
        <f>IF(A690="","",SUM(L690:W690))</f>
        <v/>
      </c>
      <c r="G690" s="36">
        <f>IF(A690="","",SUM(X690:AI690))</f>
        <v/>
      </c>
      <c r="H690" s="8">
        <f>IF(A690="","",IF(ISNA(MATCH(A690,Mitarbeiter!$A$6:$A$205,0)),"Pers.-Nr. unbekannt",IF(D690="","Von fehlt",IF(AND(C690&lt;&gt;Einstellungen!$C$4,C690&lt;&gt;Einstellungen!$C$5),"Objekt fehlt",IF(J690&lt;D690,"Bis vor Von",IF(D690&lt;INDEX(Mitarbeiter!$C$6:$C$205,MATCH($A690,Mitarbeiter!$A$6:$A$205,0)),"vor Eintritt",IF(AND(INDEX(Mitarbeiter!$D$6:$D$205,MATCH($A690,Mitarbeiter!$A$6:$A$205,0))&lt;&gt;"",D690&gt;INDEX(Mitarbeiter!$D$6:$D$205,MATCH($A690,Mitarbeiter!$A$6:$A$205,0))),"nach Austritt",IF(E690="","offen","ok"))))))))</f>
        <v/>
      </c>
      <c r="J690" s="47">
        <f>IF(A690="","",IF(E690="",Einstellungen!$C$9,E690))</f>
        <v/>
      </c>
      <c r="K690" s="48">
        <f>IF(A690="",0,IFERROR(INDEX(Mitarbeiter!$F$6:$F$205,MATCH($A690,Mitarbeiter!$A$6:$A$205,0)),0))</f>
        <v/>
      </c>
      <c r="L690" s="49">
        <f>IF(OR(A690="",D690=""),0,MAX(0,NETWORKDAYS(MAX(D690,DATE(Einstellungen!$C$3,1,1)),MIN(J690,DATE(Einstellungen!$C$3,2,0)),Einstellungen!$F$13:$F$32)))</f>
        <v/>
      </c>
      <c r="M690" s="49">
        <f>IF(OR(A690="",D690=""),0,MAX(0,NETWORKDAYS(MAX(D690,DATE(Einstellungen!$C$3,2,1)),MIN(J690,DATE(Einstellungen!$C$3,3,0)),Einstellungen!$F$13:$F$32)))</f>
        <v/>
      </c>
      <c r="N690" s="49">
        <f>IF(OR(A690="",D690=""),0,MAX(0,NETWORKDAYS(MAX(D690,DATE(Einstellungen!$C$3,3,1)),MIN(J690,DATE(Einstellungen!$C$3,4,0)),Einstellungen!$F$13:$F$32)))</f>
        <v/>
      </c>
      <c r="O690" s="49">
        <f>IF(OR(A690="",D690=""),0,MAX(0,NETWORKDAYS(MAX(D690,DATE(Einstellungen!$C$3,4,1)),MIN(J690,DATE(Einstellungen!$C$3,5,0)),Einstellungen!$F$13:$F$32)))</f>
        <v/>
      </c>
      <c r="P690" s="49">
        <f>IF(OR(A690="",D690=""),0,MAX(0,NETWORKDAYS(MAX(D690,DATE(Einstellungen!$C$3,5,1)),MIN(J690,DATE(Einstellungen!$C$3,6,0)),Einstellungen!$F$13:$F$32)))</f>
        <v/>
      </c>
      <c r="Q690" s="49">
        <f>IF(OR(A690="",D690=""),0,MAX(0,NETWORKDAYS(MAX(D690,DATE(Einstellungen!$C$3,6,1)),MIN(J690,DATE(Einstellungen!$C$3,7,0)),Einstellungen!$F$13:$F$32)))</f>
        <v/>
      </c>
      <c r="R690" s="49">
        <f>IF(OR(A690="",D690=""),0,MAX(0,NETWORKDAYS(MAX(D690,DATE(Einstellungen!$C$3,7,1)),MIN(J690,DATE(Einstellungen!$C$3,8,0)),Einstellungen!$F$13:$F$32)))</f>
        <v/>
      </c>
      <c r="S690" s="49">
        <f>IF(OR(A690="",D690=""),0,MAX(0,NETWORKDAYS(MAX(D690,DATE(Einstellungen!$C$3,8,1)),MIN(J690,DATE(Einstellungen!$C$3,9,0)),Einstellungen!$F$13:$F$32)))</f>
        <v/>
      </c>
      <c r="T690" s="49">
        <f>IF(OR(A690="",D690=""),0,MAX(0,NETWORKDAYS(MAX(D690,DATE(Einstellungen!$C$3,9,1)),MIN(J690,DATE(Einstellungen!$C$3,10,0)),Einstellungen!$F$13:$F$32)))</f>
        <v/>
      </c>
      <c r="U690" s="49">
        <f>IF(OR(A690="",D690=""),0,MAX(0,NETWORKDAYS(MAX(D690,DATE(Einstellungen!$C$3,10,1)),MIN(J690,DATE(Einstellungen!$C$3,11,0)),Einstellungen!$F$13:$F$32)))</f>
        <v/>
      </c>
      <c r="V690" s="49">
        <f>IF(OR(A690="",D690=""),0,MAX(0,NETWORKDAYS(MAX(D690,DATE(Einstellungen!$C$3,11,1)),MIN(J690,DATE(Einstellungen!$C$3,12,0)),Einstellungen!$F$13:$F$32)))</f>
        <v/>
      </c>
      <c r="W690" s="49">
        <f>IF(OR(A690="",D690=""),0,MAX(0,NETWORKDAYS(MAX(D690,DATE(Einstellungen!$C$3,12,1)),MIN(J690,DATE(Einstellungen!$C$3,13,0)),Einstellungen!$F$13:$F$32)))</f>
        <v/>
      </c>
      <c r="X690" s="50">
        <f>L690*K690</f>
        <v/>
      </c>
      <c r="Y690" s="50">
        <f>M690*K690</f>
        <v/>
      </c>
      <c r="Z690" s="50">
        <f>N690*K690</f>
        <v/>
      </c>
      <c r="AA690" s="50">
        <f>O690*K690</f>
        <v/>
      </c>
      <c r="AB690" s="50">
        <f>P690*K690</f>
        <v/>
      </c>
      <c r="AC690" s="50">
        <f>Q690*K690</f>
        <v/>
      </c>
      <c r="AD690" s="50">
        <f>R690*K690</f>
        <v/>
      </c>
      <c r="AE690" s="50">
        <f>S690*K690</f>
        <v/>
      </c>
      <c r="AF690" s="50">
        <f>T690*K690</f>
        <v/>
      </c>
      <c r="AG690" s="50">
        <f>U690*K690</f>
        <v/>
      </c>
      <c r="AH690" s="50">
        <f>V690*K690</f>
        <v/>
      </c>
      <c r="AI690" s="50">
        <f>W690*K690</f>
        <v/>
      </c>
    </row>
    <row r="691">
      <c r="A691" s="25" t="n"/>
      <c r="B691" s="45">
        <f>IF(A691="","",IFERROR(INDEX(Mitarbeiter!$B$6:$B$205,MATCH($A691,Mitarbeiter!$A$6:$A$205,0)),"?"))</f>
        <v/>
      </c>
      <c r="C691" s="46" t="n"/>
      <c r="D691" s="26" t="n"/>
      <c r="E691" s="26" t="n"/>
      <c r="F691" s="24">
        <f>IF(A691="","",SUM(L691:W691))</f>
        <v/>
      </c>
      <c r="G691" s="36">
        <f>IF(A691="","",SUM(X691:AI691))</f>
        <v/>
      </c>
      <c r="H691" s="8">
        <f>IF(A691="","",IF(ISNA(MATCH(A691,Mitarbeiter!$A$6:$A$205,0)),"Pers.-Nr. unbekannt",IF(D691="","Von fehlt",IF(AND(C691&lt;&gt;Einstellungen!$C$4,C691&lt;&gt;Einstellungen!$C$5),"Objekt fehlt",IF(J691&lt;D691,"Bis vor Von",IF(D691&lt;INDEX(Mitarbeiter!$C$6:$C$205,MATCH($A691,Mitarbeiter!$A$6:$A$205,0)),"vor Eintritt",IF(AND(INDEX(Mitarbeiter!$D$6:$D$205,MATCH($A691,Mitarbeiter!$A$6:$A$205,0))&lt;&gt;"",D691&gt;INDEX(Mitarbeiter!$D$6:$D$205,MATCH($A691,Mitarbeiter!$A$6:$A$205,0))),"nach Austritt",IF(E691="","offen","ok"))))))))</f>
        <v/>
      </c>
      <c r="J691" s="47">
        <f>IF(A691="","",IF(E691="",Einstellungen!$C$9,E691))</f>
        <v/>
      </c>
      <c r="K691" s="48">
        <f>IF(A691="",0,IFERROR(INDEX(Mitarbeiter!$F$6:$F$205,MATCH($A691,Mitarbeiter!$A$6:$A$205,0)),0))</f>
        <v/>
      </c>
      <c r="L691" s="49">
        <f>IF(OR(A691="",D691=""),0,MAX(0,NETWORKDAYS(MAX(D691,DATE(Einstellungen!$C$3,1,1)),MIN(J691,DATE(Einstellungen!$C$3,2,0)),Einstellungen!$F$13:$F$32)))</f>
        <v/>
      </c>
      <c r="M691" s="49">
        <f>IF(OR(A691="",D691=""),0,MAX(0,NETWORKDAYS(MAX(D691,DATE(Einstellungen!$C$3,2,1)),MIN(J691,DATE(Einstellungen!$C$3,3,0)),Einstellungen!$F$13:$F$32)))</f>
        <v/>
      </c>
      <c r="N691" s="49">
        <f>IF(OR(A691="",D691=""),0,MAX(0,NETWORKDAYS(MAX(D691,DATE(Einstellungen!$C$3,3,1)),MIN(J691,DATE(Einstellungen!$C$3,4,0)),Einstellungen!$F$13:$F$32)))</f>
        <v/>
      </c>
      <c r="O691" s="49">
        <f>IF(OR(A691="",D691=""),0,MAX(0,NETWORKDAYS(MAX(D691,DATE(Einstellungen!$C$3,4,1)),MIN(J691,DATE(Einstellungen!$C$3,5,0)),Einstellungen!$F$13:$F$32)))</f>
        <v/>
      </c>
      <c r="P691" s="49">
        <f>IF(OR(A691="",D691=""),0,MAX(0,NETWORKDAYS(MAX(D691,DATE(Einstellungen!$C$3,5,1)),MIN(J691,DATE(Einstellungen!$C$3,6,0)),Einstellungen!$F$13:$F$32)))</f>
        <v/>
      </c>
      <c r="Q691" s="49">
        <f>IF(OR(A691="",D691=""),0,MAX(0,NETWORKDAYS(MAX(D691,DATE(Einstellungen!$C$3,6,1)),MIN(J691,DATE(Einstellungen!$C$3,7,0)),Einstellungen!$F$13:$F$32)))</f>
        <v/>
      </c>
      <c r="R691" s="49">
        <f>IF(OR(A691="",D691=""),0,MAX(0,NETWORKDAYS(MAX(D691,DATE(Einstellungen!$C$3,7,1)),MIN(J691,DATE(Einstellungen!$C$3,8,0)),Einstellungen!$F$13:$F$32)))</f>
        <v/>
      </c>
      <c r="S691" s="49">
        <f>IF(OR(A691="",D691=""),0,MAX(0,NETWORKDAYS(MAX(D691,DATE(Einstellungen!$C$3,8,1)),MIN(J691,DATE(Einstellungen!$C$3,9,0)),Einstellungen!$F$13:$F$32)))</f>
        <v/>
      </c>
      <c r="T691" s="49">
        <f>IF(OR(A691="",D691=""),0,MAX(0,NETWORKDAYS(MAX(D691,DATE(Einstellungen!$C$3,9,1)),MIN(J691,DATE(Einstellungen!$C$3,10,0)),Einstellungen!$F$13:$F$32)))</f>
        <v/>
      </c>
      <c r="U691" s="49">
        <f>IF(OR(A691="",D691=""),0,MAX(0,NETWORKDAYS(MAX(D691,DATE(Einstellungen!$C$3,10,1)),MIN(J691,DATE(Einstellungen!$C$3,11,0)),Einstellungen!$F$13:$F$32)))</f>
        <v/>
      </c>
      <c r="V691" s="49">
        <f>IF(OR(A691="",D691=""),0,MAX(0,NETWORKDAYS(MAX(D691,DATE(Einstellungen!$C$3,11,1)),MIN(J691,DATE(Einstellungen!$C$3,12,0)),Einstellungen!$F$13:$F$32)))</f>
        <v/>
      </c>
      <c r="W691" s="49">
        <f>IF(OR(A691="",D691=""),0,MAX(0,NETWORKDAYS(MAX(D691,DATE(Einstellungen!$C$3,12,1)),MIN(J691,DATE(Einstellungen!$C$3,13,0)),Einstellungen!$F$13:$F$32)))</f>
        <v/>
      </c>
      <c r="X691" s="50">
        <f>L691*K691</f>
        <v/>
      </c>
      <c r="Y691" s="50">
        <f>M691*K691</f>
        <v/>
      </c>
      <c r="Z691" s="50">
        <f>N691*K691</f>
        <v/>
      </c>
      <c r="AA691" s="50">
        <f>O691*K691</f>
        <v/>
      </c>
      <c r="AB691" s="50">
        <f>P691*K691</f>
        <v/>
      </c>
      <c r="AC691" s="50">
        <f>Q691*K691</f>
        <v/>
      </c>
      <c r="AD691" s="50">
        <f>R691*K691</f>
        <v/>
      </c>
      <c r="AE691" s="50">
        <f>S691*K691</f>
        <v/>
      </c>
      <c r="AF691" s="50">
        <f>T691*K691</f>
        <v/>
      </c>
      <c r="AG691" s="50">
        <f>U691*K691</f>
        <v/>
      </c>
      <c r="AH691" s="50">
        <f>V691*K691</f>
        <v/>
      </c>
      <c r="AI691" s="50">
        <f>W691*K691</f>
        <v/>
      </c>
    </row>
    <row r="692">
      <c r="A692" s="25" t="n"/>
      <c r="B692" s="45">
        <f>IF(A692="","",IFERROR(INDEX(Mitarbeiter!$B$6:$B$205,MATCH($A692,Mitarbeiter!$A$6:$A$205,0)),"?"))</f>
        <v/>
      </c>
      <c r="C692" s="46" t="n"/>
      <c r="D692" s="26" t="n"/>
      <c r="E692" s="26" t="n"/>
      <c r="F692" s="24">
        <f>IF(A692="","",SUM(L692:W692))</f>
        <v/>
      </c>
      <c r="G692" s="36">
        <f>IF(A692="","",SUM(X692:AI692))</f>
        <v/>
      </c>
      <c r="H692" s="8">
        <f>IF(A692="","",IF(ISNA(MATCH(A692,Mitarbeiter!$A$6:$A$205,0)),"Pers.-Nr. unbekannt",IF(D692="","Von fehlt",IF(AND(C692&lt;&gt;Einstellungen!$C$4,C692&lt;&gt;Einstellungen!$C$5),"Objekt fehlt",IF(J692&lt;D692,"Bis vor Von",IF(D692&lt;INDEX(Mitarbeiter!$C$6:$C$205,MATCH($A692,Mitarbeiter!$A$6:$A$205,0)),"vor Eintritt",IF(AND(INDEX(Mitarbeiter!$D$6:$D$205,MATCH($A692,Mitarbeiter!$A$6:$A$205,0))&lt;&gt;"",D692&gt;INDEX(Mitarbeiter!$D$6:$D$205,MATCH($A692,Mitarbeiter!$A$6:$A$205,0))),"nach Austritt",IF(E692="","offen","ok"))))))))</f>
        <v/>
      </c>
      <c r="J692" s="47">
        <f>IF(A692="","",IF(E692="",Einstellungen!$C$9,E692))</f>
        <v/>
      </c>
      <c r="K692" s="48">
        <f>IF(A692="",0,IFERROR(INDEX(Mitarbeiter!$F$6:$F$205,MATCH($A692,Mitarbeiter!$A$6:$A$205,0)),0))</f>
        <v/>
      </c>
      <c r="L692" s="49">
        <f>IF(OR(A692="",D692=""),0,MAX(0,NETWORKDAYS(MAX(D692,DATE(Einstellungen!$C$3,1,1)),MIN(J692,DATE(Einstellungen!$C$3,2,0)),Einstellungen!$F$13:$F$32)))</f>
        <v/>
      </c>
      <c r="M692" s="49">
        <f>IF(OR(A692="",D692=""),0,MAX(0,NETWORKDAYS(MAX(D692,DATE(Einstellungen!$C$3,2,1)),MIN(J692,DATE(Einstellungen!$C$3,3,0)),Einstellungen!$F$13:$F$32)))</f>
        <v/>
      </c>
      <c r="N692" s="49">
        <f>IF(OR(A692="",D692=""),0,MAX(0,NETWORKDAYS(MAX(D692,DATE(Einstellungen!$C$3,3,1)),MIN(J692,DATE(Einstellungen!$C$3,4,0)),Einstellungen!$F$13:$F$32)))</f>
        <v/>
      </c>
      <c r="O692" s="49">
        <f>IF(OR(A692="",D692=""),0,MAX(0,NETWORKDAYS(MAX(D692,DATE(Einstellungen!$C$3,4,1)),MIN(J692,DATE(Einstellungen!$C$3,5,0)),Einstellungen!$F$13:$F$32)))</f>
        <v/>
      </c>
      <c r="P692" s="49">
        <f>IF(OR(A692="",D692=""),0,MAX(0,NETWORKDAYS(MAX(D692,DATE(Einstellungen!$C$3,5,1)),MIN(J692,DATE(Einstellungen!$C$3,6,0)),Einstellungen!$F$13:$F$32)))</f>
        <v/>
      </c>
      <c r="Q692" s="49">
        <f>IF(OR(A692="",D692=""),0,MAX(0,NETWORKDAYS(MAX(D692,DATE(Einstellungen!$C$3,6,1)),MIN(J692,DATE(Einstellungen!$C$3,7,0)),Einstellungen!$F$13:$F$32)))</f>
        <v/>
      </c>
      <c r="R692" s="49">
        <f>IF(OR(A692="",D692=""),0,MAX(0,NETWORKDAYS(MAX(D692,DATE(Einstellungen!$C$3,7,1)),MIN(J692,DATE(Einstellungen!$C$3,8,0)),Einstellungen!$F$13:$F$32)))</f>
        <v/>
      </c>
      <c r="S692" s="49">
        <f>IF(OR(A692="",D692=""),0,MAX(0,NETWORKDAYS(MAX(D692,DATE(Einstellungen!$C$3,8,1)),MIN(J692,DATE(Einstellungen!$C$3,9,0)),Einstellungen!$F$13:$F$32)))</f>
        <v/>
      </c>
      <c r="T692" s="49">
        <f>IF(OR(A692="",D692=""),0,MAX(0,NETWORKDAYS(MAX(D692,DATE(Einstellungen!$C$3,9,1)),MIN(J692,DATE(Einstellungen!$C$3,10,0)),Einstellungen!$F$13:$F$32)))</f>
        <v/>
      </c>
      <c r="U692" s="49">
        <f>IF(OR(A692="",D692=""),0,MAX(0,NETWORKDAYS(MAX(D692,DATE(Einstellungen!$C$3,10,1)),MIN(J692,DATE(Einstellungen!$C$3,11,0)),Einstellungen!$F$13:$F$32)))</f>
        <v/>
      </c>
      <c r="V692" s="49">
        <f>IF(OR(A692="",D692=""),0,MAX(0,NETWORKDAYS(MAX(D692,DATE(Einstellungen!$C$3,11,1)),MIN(J692,DATE(Einstellungen!$C$3,12,0)),Einstellungen!$F$13:$F$32)))</f>
        <v/>
      </c>
      <c r="W692" s="49">
        <f>IF(OR(A692="",D692=""),0,MAX(0,NETWORKDAYS(MAX(D692,DATE(Einstellungen!$C$3,12,1)),MIN(J692,DATE(Einstellungen!$C$3,13,0)),Einstellungen!$F$13:$F$32)))</f>
        <v/>
      </c>
      <c r="X692" s="50">
        <f>L692*K692</f>
        <v/>
      </c>
      <c r="Y692" s="50">
        <f>M692*K692</f>
        <v/>
      </c>
      <c r="Z692" s="50">
        <f>N692*K692</f>
        <v/>
      </c>
      <c r="AA692" s="50">
        <f>O692*K692</f>
        <v/>
      </c>
      <c r="AB692" s="50">
        <f>P692*K692</f>
        <v/>
      </c>
      <c r="AC692" s="50">
        <f>Q692*K692</f>
        <v/>
      </c>
      <c r="AD692" s="50">
        <f>R692*K692</f>
        <v/>
      </c>
      <c r="AE692" s="50">
        <f>S692*K692</f>
        <v/>
      </c>
      <c r="AF692" s="50">
        <f>T692*K692</f>
        <v/>
      </c>
      <c r="AG692" s="50">
        <f>U692*K692</f>
        <v/>
      </c>
      <c r="AH692" s="50">
        <f>V692*K692</f>
        <v/>
      </c>
      <c r="AI692" s="50">
        <f>W692*K692</f>
        <v/>
      </c>
    </row>
    <row r="693">
      <c r="A693" s="25" t="n"/>
      <c r="B693" s="45">
        <f>IF(A693="","",IFERROR(INDEX(Mitarbeiter!$B$6:$B$205,MATCH($A693,Mitarbeiter!$A$6:$A$205,0)),"?"))</f>
        <v/>
      </c>
      <c r="C693" s="46" t="n"/>
      <c r="D693" s="26" t="n"/>
      <c r="E693" s="26" t="n"/>
      <c r="F693" s="24">
        <f>IF(A693="","",SUM(L693:W693))</f>
        <v/>
      </c>
      <c r="G693" s="36">
        <f>IF(A693="","",SUM(X693:AI693))</f>
        <v/>
      </c>
      <c r="H693" s="8">
        <f>IF(A693="","",IF(ISNA(MATCH(A693,Mitarbeiter!$A$6:$A$205,0)),"Pers.-Nr. unbekannt",IF(D693="","Von fehlt",IF(AND(C693&lt;&gt;Einstellungen!$C$4,C693&lt;&gt;Einstellungen!$C$5),"Objekt fehlt",IF(J693&lt;D693,"Bis vor Von",IF(D693&lt;INDEX(Mitarbeiter!$C$6:$C$205,MATCH($A693,Mitarbeiter!$A$6:$A$205,0)),"vor Eintritt",IF(AND(INDEX(Mitarbeiter!$D$6:$D$205,MATCH($A693,Mitarbeiter!$A$6:$A$205,0))&lt;&gt;"",D693&gt;INDEX(Mitarbeiter!$D$6:$D$205,MATCH($A693,Mitarbeiter!$A$6:$A$205,0))),"nach Austritt",IF(E693="","offen","ok"))))))))</f>
        <v/>
      </c>
      <c r="J693" s="47">
        <f>IF(A693="","",IF(E693="",Einstellungen!$C$9,E693))</f>
        <v/>
      </c>
      <c r="K693" s="48">
        <f>IF(A693="",0,IFERROR(INDEX(Mitarbeiter!$F$6:$F$205,MATCH($A693,Mitarbeiter!$A$6:$A$205,0)),0))</f>
        <v/>
      </c>
      <c r="L693" s="49">
        <f>IF(OR(A693="",D693=""),0,MAX(0,NETWORKDAYS(MAX(D693,DATE(Einstellungen!$C$3,1,1)),MIN(J693,DATE(Einstellungen!$C$3,2,0)),Einstellungen!$F$13:$F$32)))</f>
        <v/>
      </c>
      <c r="M693" s="49">
        <f>IF(OR(A693="",D693=""),0,MAX(0,NETWORKDAYS(MAX(D693,DATE(Einstellungen!$C$3,2,1)),MIN(J693,DATE(Einstellungen!$C$3,3,0)),Einstellungen!$F$13:$F$32)))</f>
        <v/>
      </c>
      <c r="N693" s="49">
        <f>IF(OR(A693="",D693=""),0,MAX(0,NETWORKDAYS(MAX(D693,DATE(Einstellungen!$C$3,3,1)),MIN(J693,DATE(Einstellungen!$C$3,4,0)),Einstellungen!$F$13:$F$32)))</f>
        <v/>
      </c>
      <c r="O693" s="49">
        <f>IF(OR(A693="",D693=""),0,MAX(0,NETWORKDAYS(MAX(D693,DATE(Einstellungen!$C$3,4,1)),MIN(J693,DATE(Einstellungen!$C$3,5,0)),Einstellungen!$F$13:$F$32)))</f>
        <v/>
      </c>
      <c r="P693" s="49">
        <f>IF(OR(A693="",D693=""),0,MAX(0,NETWORKDAYS(MAX(D693,DATE(Einstellungen!$C$3,5,1)),MIN(J693,DATE(Einstellungen!$C$3,6,0)),Einstellungen!$F$13:$F$32)))</f>
        <v/>
      </c>
      <c r="Q693" s="49">
        <f>IF(OR(A693="",D693=""),0,MAX(0,NETWORKDAYS(MAX(D693,DATE(Einstellungen!$C$3,6,1)),MIN(J693,DATE(Einstellungen!$C$3,7,0)),Einstellungen!$F$13:$F$32)))</f>
        <v/>
      </c>
      <c r="R693" s="49">
        <f>IF(OR(A693="",D693=""),0,MAX(0,NETWORKDAYS(MAX(D693,DATE(Einstellungen!$C$3,7,1)),MIN(J693,DATE(Einstellungen!$C$3,8,0)),Einstellungen!$F$13:$F$32)))</f>
        <v/>
      </c>
      <c r="S693" s="49">
        <f>IF(OR(A693="",D693=""),0,MAX(0,NETWORKDAYS(MAX(D693,DATE(Einstellungen!$C$3,8,1)),MIN(J693,DATE(Einstellungen!$C$3,9,0)),Einstellungen!$F$13:$F$32)))</f>
        <v/>
      </c>
      <c r="T693" s="49">
        <f>IF(OR(A693="",D693=""),0,MAX(0,NETWORKDAYS(MAX(D693,DATE(Einstellungen!$C$3,9,1)),MIN(J693,DATE(Einstellungen!$C$3,10,0)),Einstellungen!$F$13:$F$32)))</f>
        <v/>
      </c>
      <c r="U693" s="49">
        <f>IF(OR(A693="",D693=""),0,MAX(0,NETWORKDAYS(MAX(D693,DATE(Einstellungen!$C$3,10,1)),MIN(J693,DATE(Einstellungen!$C$3,11,0)),Einstellungen!$F$13:$F$32)))</f>
        <v/>
      </c>
      <c r="V693" s="49">
        <f>IF(OR(A693="",D693=""),0,MAX(0,NETWORKDAYS(MAX(D693,DATE(Einstellungen!$C$3,11,1)),MIN(J693,DATE(Einstellungen!$C$3,12,0)),Einstellungen!$F$13:$F$32)))</f>
        <v/>
      </c>
      <c r="W693" s="49">
        <f>IF(OR(A693="",D693=""),0,MAX(0,NETWORKDAYS(MAX(D693,DATE(Einstellungen!$C$3,12,1)),MIN(J693,DATE(Einstellungen!$C$3,13,0)),Einstellungen!$F$13:$F$32)))</f>
        <v/>
      </c>
      <c r="X693" s="50">
        <f>L693*K693</f>
        <v/>
      </c>
      <c r="Y693" s="50">
        <f>M693*K693</f>
        <v/>
      </c>
      <c r="Z693" s="50">
        <f>N693*K693</f>
        <v/>
      </c>
      <c r="AA693" s="50">
        <f>O693*K693</f>
        <v/>
      </c>
      <c r="AB693" s="50">
        <f>P693*K693</f>
        <v/>
      </c>
      <c r="AC693" s="50">
        <f>Q693*K693</f>
        <v/>
      </c>
      <c r="AD693" s="50">
        <f>R693*K693</f>
        <v/>
      </c>
      <c r="AE693" s="50">
        <f>S693*K693</f>
        <v/>
      </c>
      <c r="AF693" s="50">
        <f>T693*K693</f>
        <v/>
      </c>
      <c r="AG693" s="50">
        <f>U693*K693</f>
        <v/>
      </c>
      <c r="AH693" s="50">
        <f>V693*K693</f>
        <v/>
      </c>
      <c r="AI693" s="50">
        <f>W693*K693</f>
        <v/>
      </c>
    </row>
    <row r="694">
      <c r="A694" s="25" t="n"/>
      <c r="B694" s="45">
        <f>IF(A694="","",IFERROR(INDEX(Mitarbeiter!$B$6:$B$205,MATCH($A694,Mitarbeiter!$A$6:$A$205,0)),"?"))</f>
        <v/>
      </c>
      <c r="C694" s="46" t="n"/>
      <c r="D694" s="26" t="n"/>
      <c r="E694" s="26" t="n"/>
      <c r="F694" s="24">
        <f>IF(A694="","",SUM(L694:W694))</f>
        <v/>
      </c>
      <c r="G694" s="36">
        <f>IF(A694="","",SUM(X694:AI694))</f>
        <v/>
      </c>
      <c r="H694" s="8">
        <f>IF(A694="","",IF(ISNA(MATCH(A694,Mitarbeiter!$A$6:$A$205,0)),"Pers.-Nr. unbekannt",IF(D694="","Von fehlt",IF(AND(C694&lt;&gt;Einstellungen!$C$4,C694&lt;&gt;Einstellungen!$C$5),"Objekt fehlt",IF(J694&lt;D694,"Bis vor Von",IF(D694&lt;INDEX(Mitarbeiter!$C$6:$C$205,MATCH($A694,Mitarbeiter!$A$6:$A$205,0)),"vor Eintritt",IF(AND(INDEX(Mitarbeiter!$D$6:$D$205,MATCH($A694,Mitarbeiter!$A$6:$A$205,0))&lt;&gt;"",D694&gt;INDEX(Mitarbeiter!$D$6:$D$205,MATCH($A694,Mitarbeiter!$A$6:$A$205,0))),"nach Austritt",IF(E694="","offen","ok"))))))))</f>
        <v/>
      </c>
      <c r="J694" s="47">
        <f>IF(A694="","",IF(E694="",Einstellungen!$C$9,E694))</f>
        <v/>
      </c>
      <c r="K694" s="48">
        <f>IF(A694="",0,IFERROR(INDEX(Mitarbeiter!$F$6:$F$205,MATCH($A694,Mitarbeiter!$A$6:$A$205,0)),0))</f>
        <v/>
      </c>
      <c r="L694" s="49">
        <f>IF(OR(A694="",D694=""),0,MAX(0,NETWORKDAYS(MAX(D694,DATE(Einstellungen!$C$3,1,1)),MIN(J694,DATE(Einstellungen!$C$3,2,0)),Einstellungen!$F$13:$F$32)))</f>
        <v/>
      </c>
      <c r="M694" s="49">
        <f>IF(OR(A694="",D694=""),0,MAX(0,NETWORKDAYS(MAX(D694,DATE(Einstellungen!$C$3,2,1)),MIN(J694,DATE(Einstellungen!$C$3,3,0)),Einstellungen!$F$13:$F$32)))</f>
        <v/>
      </c>
      <c r="N694" s="49">
        <f>IF(OR(A694="",D694=""),0,MAX(0,NETWORKDAYS(MAX(D694,DATE(Einstellungen!$C$3,3,1)),MIN(J694,DATE(Einstellungen!$C$3,4,0)),Einstellungen!$F$13:$F$32)))</f>
        <v/>
      </c>
      <c r="O694" s="49">
        <f>IF(OR(A694="",D694=""),0,MAX(0,NETWORKDAYS(MAX(D694,DATE(Einstellungen!$C$3,4,1)),MIN(J694,DATE(Einstellungen!$C$3,5,0)),Einstellungen!$F$13:$F$32)))</f>
        <v/>
      </c>
      <c r="P694" s="49">
        <f>IF(OR(A694="",D694=""),0,MAX(0,NETWORKDAYS(MAX(D694,DATE(Einstellungen!$C$3,5,1)),MIN(J694,DATE(Einstellungen!$C$3,6,0)),Einstellungen!$F$13:$F$32)))</f>
        <v/>
      </c>
      <c r="Q694" s="49">
        <f>IF(OR(A694="",D694=""),0,MAX(0,NETWORKDAYS(MAX(D694,DATE(Einstellungen!$C$3,6,1)),MIN(J694,DATE(Einstellungen!$C$3,7,0)),Einstellungen!$F$13:$F$32)))</f>
        <v/>
      </c>
      <c r="R694" s="49">
        <f>IF(OR(A694="",D694=""),0,MAX(0,NETWORKDAYS(MAX(D694,DATE(Einstellungen!$C$3,7,1)),MIN(J694,DATE(Einstellungen!$C$3,8,0)),Einstellungen!$F$13:$F$32)))</f>
        <v/>
      </c>
      <c r="S694" s="49">
        <f>IF(OR(A694="",D694=""),0,MAX(0,NETWORKDAYS(MAX(D694,DATE(Einstellungen!$C$3,8,1)),MIN(J694,DATE(Einstellungen!$C$3,9,0)),Einstellungen!$F$13:$F$32)))</f>
        <v/>
      </c>
      <c r="T694" s="49">
        <f>IF(OR(A694="",D694=""),0,MAX(0,NETWORKDAYS(MAX(D694,DATE(Einstellungen!$C$3,9,1)),MIN(J694,DATE(Einstellungen!$C$3,10,0)),Einstellungen!$F$13:$F$32)))</f>
        <v/>
      </c>
      <c r="U694" s="49">
        <f>IF(OR(A694="",D694=""),0,MAX(0,NETWORKDAYS(MAX(D694,DATE(Einstellungen!$C$3,10,1)),MIN(J694,DATE(Einstellungen!$C$3,11,0)),Einstellungen!$F$13:$F$32)))</f>
        <v/>
      </c>
      <c r="V694" s="49">
        <f>IF(OR(A694="",D694=""),0,MAX(0,NETWORKDAYS(MAX(D694,DATE(Einstellungen!$C$3,11,1)),MIN(J694,DATE(Einstellungen!$C$3,12,0)),Einstellungen!$F$13:$F$32)))</f>
        <v/>
      </c>
      <c r="W694" s="49">
        <f>IF(OR(A694="",D694=""),0,MAX(0,NETWORKDAYS(MAX(D694,DATE(Einstellungen!$C$3,12,1)),MIN(J694,DATE(Einstellungen!$C$3,13,0)),Einstellungen!$F$13:$F$32)))</f>
        <v/>
      </c>
      <c r="X694" s="50">
        <f>L694*K694</f>
        <v/>
      </c>
      <c r="Y694" s="50">
        <f>M694*K694</f>
        <v/>
      </c>
      <c r="Z694" s="50">
        <f>N694*K694</f>
        <v/>
      </c>
      <c r="AA694" s="50">
        <f>O694*K694</f>
        <v/>
      </c>
      <c r="AB694" s="50">
        <f>P694*K694</f>
        <v/>
      </c>
      <c r="AC694" s="50">
        <f>Q694*K694</f>
        <v/>
      </c>
      <c r="AD694" s="50">
        <f>R694*K694</f>
        <v/>
      </c>
      <c r="AE694" s="50">
        <f>S694*K694</f>
        <v/>
      </c>
      <c r="AF694" s="50">
        <f>T694*K694</f>
        <v/>
      </c>
      <c r="AG694" s="50">
        <f>U694*K694</f>
        <v/>
      </c>
      <c r="AH694" s="50">
        <f>V694*K694</f>
        <v/>
      </c>
      <c r="AI694" s="50">
        <f>W694*K694</f>
        <v/>
      </c>
    </row>
    <row r="695">
      <c r="A695" s="25" t="n"/>
      <c r="B695" s="45">
        <f>IF(A695="","",IFERROR(INDEX(Mitarbeiter!$B$6:$B$205,MATCH($A695,Mitarbeiter!$A$6:$A$205,0)),"?"))</f>
        <v/>
      </c>
      <c r="C695" s="46" t="n"/>
      <c r="D695" s="26" t="n"/>
      <c r="E695" s="26" t="n"/>
      <c r="F695" s="24">
        <f>IF(A695="","",SUM(L695:W695))</f>
        <v/>
      </c>
      <c r="G695" s="36">
        <f>IF(A695="","",SUM(X695:AI695))</f>
        <v/>
      </c>
      <c r="H695" s="8">
        <f>IF(A695="","",IF(ISNA(MATCH(A695,Mitarbeiter!$A$6:$A$205,0)),"Pers.-Nr. unbekannt",IF(D695="","Von fehlt",IF(AND(C695&lt;&gt;Einstellungen!$C$4,C695&lt;&gt;Einstellungen!$C$5),"Objekt fehlt",IF(J695&lt;D695,"Bis vor Von",IF(D695&lt;INDEX(Mitarbeiter!$C$6:$C$205,MATCH($A695,Mitarbeiter!$A$6:$A$205,0)),"vor Eintritt",IF(AND(INDEX(Mitarbeiter!$D$6:$D$205,MATCH($A695,Mitarbeiter!$A$6:$A$205,0))&lt;&gt;"",D695&gt;INDEX(Mitarbeiter!$D$6:$D$205,MATCH($A695,Mitarbeiter!$A$6:$A$205,0))),"nach Austritt",IF(E695="","offen","ok"))))))))</f>
        <v/>
      </c>
      <c r="J695" s="47">
        <f>IF(A695="","",IF(E695="",Einstellungen!$C$9,E695))</f>
        <v/>
      </c>
      <c r="K695" s="48">
        <f>IF(A695="",0,IFERROR(INDEX(Mitarbeiter!$F$6:$F$205,MATCH($A695,Mitarbeiter!$A$6:$A$205,0)),0))</f>
        <v/>
      </c>
      <c r="L695" s="49">
        <f>IF(OR(A695="",D695=""),0,MAX(0,NETWORKDAYS(MAX(D695,DATE(Einstellungen!$C$3,1,1)),MIN(J695,DATE(Einstellungen!$C$3,2,0)),Einstellungen!$F$13:$F$32)))</f>
        <v/>
      </c>
      <c r="M695" s="49">
        <f>IF(OR(A695="",D695=""),0,MAX(0,NETWORKDAYS(MAX(D695,DATE(Einstellungen!$C$3,2,1)),MIN(J695,DATE(Einstellungen!$C$3,3,0)),Einstellungen!$F$13:$F$32)))</f>
        <v/>
      </c>
      <c r="N695" s="49">
        <f>IF(OR(A695="",D695=""),0,MAX(0,NETWORKDAYS(MAX(D695,DATE(Einstellungen!$C$3,3,1)),MIN(J695,DATE(Einstellungen!$C$3,4,0)),Einstellungen!$F$13:$F$32)))</f>
        <v/>
      </c>
      <c r="O695" s="49">
        <f>IF(OR(A695="",D695=""),0,MAX(0,NETWORKDAYS(MAX(D695,DATE(Einstellungen!$C$3,4,1)),MIN(J695,DATE(Einstellungen!$C$3,5,0)),Einstellungen!$F$13:$F$32)))</f>
        <v/>
      </c>
      <c r="P695" s="49">
        <f>IF(OR(A695="",D695=""),0,MAX(0,NETWORKDAYS(MAX(D695,DATE(Einstellungen!$C$3,5,1)),MIN(J695,DATE(Einstellungen!$C$3,6,0)),Einstellungen!$F$13:$F$32)))</f>
        <v/>
      </c>
      <c r="Q695" s="49">
        <f>IF(OR(A695="",D695=""),0,MAX(0,NETWORKDAYS(MAX(D695,DATE(Einstellungen!$C$3,6,1)),MIN(J695,DATE(Einstellungen!$C$3,7,0)),Einstellungen!$F$13:$F$32)))</f>
        <v/>
      </c>
      <c r="R695" s="49">
        <f>IF(OR(A695="",D695=""),0,MAX(0,NETWORKDAYS(MAX(D695,DATE(Einstellungen!$C$3,7,1)),MIN(J695,DATE(Einstellungen!$C$3,8,0)),Einstellungen!$F$13:$F$32)))</f>
        <v/>
      </c>
      <c r="S695" s="49">
        <f>IF(OR(A695="",D695=""),0,MAX(0,NETWORKDAYS(MAX(D695,DATE(Einstellungen!$C$3,8,1)),MIN(J695,DATE(Einstellungen!$C$3,9,0)),Einstellungen!$F$13:$F$32)))</f>
        <v/>
      </c>
      <c r="T695" s="49">
        <f>IF(OR(A695="",D695=""),0,MAX(0,NETWORKDAYS(MAX(D695,DATE(Einstellungen!$C$3,9,1)),MIN(J695,DATE(Einstellungen!$C$3,10,0)),Einstellungen!$F$13:$F$32)))</f>
        <v/>
      </c>
      <c r="U695" s="49">
        <f>IF(OR(A695="",D695=""),0,MAX(0,NETWORKDAYS(MAX(D695,DATE(Einstellungen!$C$3,10,1)),MIN(J695,DATE(Einstellungen!$C$3,11,0)),Einstellungen!$F$13:$F$32)))</f>
        <v/>
      </c>
      <c r="V695" s="49">
        <f>IF(OR(A695="",D695=""),0,MAX(0,NETWORKDAYS(MAX(D695,DATE(Einstellungen!$C$3,11,1)),MIN(J695,DATE(Einstellungen!$C$3,12,0)),Einstellungen!$F$13:$F$32)))</f>
        <v/>
      </c>
      <c r="W695" s="49">
        <f>IF(OR(A695="",D695=""),0,MAX(0,NETWORKDAYS(MAX(D695,DATE(Einstellungen!$C$3,12,1)),MIN(J695,DATE(Einstellungen!$C$3,13,0)),Einstellungen!$F$13:$F$32)))</f>
        <v/>
      </c>
      <c r="X695" s="50">
        <f>L695*K695</f>
        <v/>
      </c>
      <c r="Y695" s="50">
        <f>M695*K695</f>
        <v/>
      </c>
      <c r="Z695" s="50">
        <f>N695*K695</f>
        <v/>
      </c>
      <c r="AA695" s="50">
        <f>O695*K695</f>
        <v/>
      </c>
      <c r="AB695" s="50">
        <f>P695*K695</f>
        <v/>
      </c>
      <c r="AC695" s="50">
        <f>Q695*K695</f>
        <v/>
      </c>
      <c r="AD695" s="50">
        <f>R695*K695</f>
        <v/>
      </c>
      <c r="AE695" s="50">
        <f>S695*K695</f>
        <v/>
      </c>
      <c r="AF695" s="50">
        <f>T695*K695</f>
        <v/>
      </c>
      <c r="AG695" s="50">
        <f>U695*K695</f>
        <v/>
      </c>
      <c r="AH695" s="50">
        <f>V695*K695</f>
        <v/>
      </c>
      <c r="AI695" s="50">
        <f>W695*K695</f>
        <v/>
      </c>
    </row>
    <row r="696">
      <c r="A696" s="25" t="n"/>
      <c r="B696" s="45">
        <f>IF(A696="","",IFERROR(INDEX(Mitarbeiter!$B$6:$B$205,MATCH($A696,Mitarbeiter!$A$6:$A$205,0)),"?"))</f>
        <v/>
      </c>
      <c r="C696" s="46" t="n"/>
      <c r="D696" s="26" t="n"/>
      <c r="E696" s="26" t="n"/>
      <c r="F696" s="24">
        <f>IF(A696="","",SUM(L696:W696))</f>
        <v/>
      </c>
      <c r="G696" s="36">
        <f>IF(A696="","",SUM(X696:AI696))</f>
        <v/>
      </c>
      <c r="H696" s="8">
        <f>IF(A696="","",IF(ISNA(MATCH(A696,Mitarbeiter!$A$6:$A$205,0)),"Pers.-Nr. unbekannt",IF(D696="","Von fehlt",IF(AND(C696&lt;&gt;Einstellungen!$C$4,C696&lt;&gt;Einstellungen!$C$5),"Objekt fehlt",IF(J696&lt;D696,"Bis vor Von",IF(D696&lt;INDEX(Mitarbeiter!$C$6:$C$205,MATCH($A696,Mitarbeiter!$A$6:$A$205,0)),"vor Eintritt",IF(AND(INDEX(Mitarbeiter!$D$6:$D$205,MATCH($A696,Mitarbeiter!$A$6:$A$205,0))&lt;&gt;"",D696&gt;INDEX(Mitarbeiter!$D$6:$D$205,MATCH($A696,Mitarbeiter!$A$6:$A$205,0))),"nach Austritt",IF(E696="","offen","ok"))))))))</f>
        <v/>
      </c>
      <c r="J696" s="47">
        <f>IF(A696="","",IF(E696="",Einstellungen!$C$9,E696))</f>
        <v/>
      </c>
      <c r="K696" s="48">
        <f>IF(A696="",0,IFERROR(INDEX(Mitarbeiter!$F$6:$F$205,MATCH($A696,Mitarbeiter!$A$6:$A$205,0)),0))</f>
        <v/>
      </c>
      <c r="L696" s="49">
        <f>IF(OR(A696="",D696=""),0,MAX(0,NETWORKDAYS(MAX(D696,DATE(Einstellungen!$C$3,1,1)),MIN(J696,DATE(Einstellungen!$C$3,2,0)),Einstellungen!$F$13:$F$32)))</f>
        <v/>
      </c>
      <c r="M696" s="49">
        <f>IF(OR(A696="",D696=""),0,MAX(0,NETWORKDAYS(MAX(D696,DATE(Einstellungen!$C$3,2,1)),MIN(J696,DATE(Einstellungen!$C$3,3,0)),Einstellungen!$F$13:$F$32)))</f>
        <v/>
      </c>
      <c r="N696" s="49">
        <f>IF(OR(A696="",D696=""),0,MAX(0,NETWORKDAYS(MAX(D696,DATE(Einstellungen!$C$3,3,1)),MIN(J696,DATE(Einstellungen!$C$3,4,0)),Einstellungen!$F$13:$F$32)))</f>
        <v/>
      </c>
      <c r="O696" s="49">
        <f>IF(OR(A696="",D696=""),0,MAX(0,NETWORKDAYS(MAX(D696,DATE(Einstellungen!$C$3,4,1)),MIN(J696,DATE(Einstellungen!$C$3,5,0)),Einstellungen!$F$13:$F$32)))</f>
        <v/>
      </c>
      <c r="P696" s="49">
        <f>IF(OR(A696="",D696=""),0,MAX(0,NETWORKDAYS(MAX(D696,DATE(Einstellungen!$C$3,5,1)),MIN(J696,DATE(Einstellungen!$C$3,6,0)),Einstellungen!$F$13:$F$32)))</f>
        <v/>
      </c>
      <c r="Q696" s="49">
        <f>IF(OR(A696="",D696=""),0,MAX(0,NETWORKDAYS(MAX(D696,DATE(Einstellungen!$C$3,6,1)),MIN(J696,DATE(Einstellungen!$C$3,7,0)),Einstellungen!$F$13:$F$32)))</f>
        <v/>
      </c>
      <c r="R696" s="49">
        <f>IF(OR(A696="",D696=""),0,MAX(0,NETWORKDAYS(MAX(D696,DATE(Einstellungen!$C$3,7,1)),MIN(J696,DATE(Einstellungen!$C$3,8,0)),Einstellungen!$F$13:$F$32)))</f>
        <v/>
      </c>
      <c r="S696" s="49">
        <f>IF(OR(A696="",D696=""),0,MAX(0,NETWORKDAYS(MAX(D696,DATE(Einstellungen!$C$3,8,1)),MIN(J696,DATE(Einstellungen!$C$3,9,0)),Einstellungen!$F$13:$F$32)))</f>
        <v/>
      </c>
      <c r="T696" s="49">
        <f>IF(OR(A696="",D696=""),0,MAX(0,NETWORKDAYS(MAX(D696,DATE(Einstellungen!$C$3,9,1)),MIN(J696,DATE(Einstellungen!$C$3,10,0)),Einstellungen!$F$13:$F$32)))</f>
        <v/>
      </c>
      <c r="U696" s="49">
        <f>IF(OR(A696="",D696=""),0,MAX(0,NETWORKDAYS(MAX(D696,DATE(Einstellungen!$C$3,10,1)),MIN(J696,DATE(Einstellungen!$C$3,11,0)),Einstellungen!$F$13:$F$32)))</f>
        <v/>
      </c>
      <c r="V696" s="49">
        <f>IF(OR(A696="",D696=""),0,MAX(0,NETWORKDAYS(MAX(D696,DATE(Einstellungen!$C$3,11,1)),MIN(J696,DATE(Einstellungen!$C$3,12,0)),Einstellungen!$F$13:$F$32)))</f>
        <v/>
      </c>
      <c r="W696" s="49">
        <f>IF(OR(A696="",D696=""),0,MAX(0,NETWORKDAYS(MAX(D696,DATE(Einstellungen!$C$3,12,1)),MIN(J696,DATE(Einstellungen!$C$3,13,0)),Einstellungen!$F$13:$F$32)))</f>
        <v/>
      </c>
      <c r="X696" s="50">
        <f>L696*K696</f>
        <v/>
      </c>
      <c r="Y696" s="50">
        <f>M696*K696</f>
        <v/>
      </c>
      <c r="Z696" s="50">
        <f>N696*K696</f>
        <v/>
      </c>
      <c r="AA696" s="50">
        <f>O696*K696</f>
        <v/>
      </c>
      <c r="AB696" s="50">
        <f>P696*K696</f>
        <v/>
      </c>
      <c r="AC696" s="50">
        <f>Q696*K696</f>
        <v/>
      </c>
      <c r="AD696" s="50">
        <f>R696*K696</f>
        <v/>
      </c>
      <c r="AE696" s="50">
        <f>S696*K696</f>
        <v/>
      </c>
      <c r="AF696" s="50">
        <f>T696*K696</f>
        <v/>
      </c>
      <c r="AG696" s="50">
        <f>U696*K696</f>
        <v/>
      </c>
      <c r="AH696" s="50">
        <f>V696*K696</f>
        <v/>
      </c>
      <c r="AI696" s="50">
        <f>W696*K696</f>
        <v/>
      </c>
    </row>
    <row r="697">
      <c r="A697" s="25" t="n"/>
      <c r="B697" s="45">
        <f>IF(A697="","",IFERROR(INDEX(Mitarbeiter!$B$6:$B$205,MATCH($A697,Mitarbeiter!$A$6:$A$205,0)),"?"))</f>
        <v/>
      </c>
      <c r="C697" s="46" t="n"/>
      <c r="D697" s="26" t="n"/>
      <c r="E697" s="26" t="n"/>
      <c r="F697" s="24">
        <f>IF(A697="","",SUM(L697:W697))</f>
        <v/>
      </c>
      <c r="G697" s="36">
        <f>IF(A697="","",SUM(X697:AI697))</f>
        <v/>
      </c>
      <c r="H697" s="8">
        <f>IF(A697="","",IF(ISNA(MATCH(A697,Mitarbeiter!$A$6:$A$205,0)),"Pers.-Nr. unbekannt",IF(D697="","Von fehlt",IF(AND(C697&lt;&gt;Einstellungen!$C$4,C697&lt;&gt;Einstellungen!$C$5),"Objekt fehlt",IF(J697&lt;D697,"Bis vor Von",IF(D697&lt;INDEX(Mitarbeiter!$C$6:$C$205,MATCH($A697,Mitarbeiter!$A$6:$A$205,0)),"vor Eintritt",IF(AND(INDEX(Mitarbeiter!$D$6:$D$205,MATCH($A697,Mitarbeiter!$A$6:$A$205,0))&lt;&gt;"",D697&gt;INDEX(Mitarbeiter!$D$6:$D$205,MATCH($A697,Mitarbeiter!$A$6:$A$205,0))),"nach Austritt",IF(E697="","offen","ok"))))))))</f>
        <v/>
      </c>
      <c r="J697" s="47">
        <f>IF(A697="","",IF(E697="",Einstellungen!$C$9,E697))</f>
        <v/>
      </c>
      <c r="K697" s="48">
        <f>IF(A697="",0,IFERROR(INDEX(Mitarbeiter!$F$6:$F$205,MATCH($A697,Mitarbeiter!$A$6:$A$205,0)),0))</f>
        <v/>
      </c>
      <c r="L697" s="49">
        <f>IF(OR(A697="",D697=""),0,MAX(0,NETWORKDAYS(MAX(D697,DATE(Einstellungen!$C$3,1,1)),MIN(J697,DATE(Einstellungen!$C$3,2,0)),Einstellungen!$F$13:$F$32)))</f>
        <v/>
      </c>
      <c r="M697" s="49">
        <f>IF(OR(A697="",D697=""),0,MAX(0,NETWORKDAYS(MAX(D697,DATE(Einstellungen!$C$3,2,1)),MIN(J697,DATE(Einstellungen!$C$3,3,0)),Einstellungen!$F$13:$F$32)))</f>
        <v/>
      </c>
      <c r="N697" s="49">
        <f>IF(OR(A697="",D697=""),0,MAX(0,NETWORKDAYS(MAX(D697,DATE(Einstellungen!$C$3,3,1)),MIN(J697,DATE(Einstellungen!$C$3,4,0)),Einstellungen!$F$13:$F$32)))</f>
        <v/>
      </c>
      <c r="O697" s="49">
        <f>IF(OR(A697="",D697=""),0,MAX(0,NETWORKDAYS(MAX(D697,DATE(Einstellungen!$C$3,4,1)),MIN(J697,DATE(Einstellungen!$C$3,5,0)),Einstellungen!$F$13:$F$32)))</f>
        <v/>
      </c>
      <c r="P697" s="49">
        <f>IF(OR(A697="",D697=""),0,MAX(0,NETWORKDAYS(MAX(D697,DATE(Einstellungen!$C$3,5,1)),MIN(J697,DATE(Einstellungen!$C$3,6,0)),Einstellungen!$F$13:$F$32)))</f>
        <v/>
      </c>
      <c r="Q697" s="49">
        <f>IF(OR(A697="",D697=""),0,MAX(0,NETWORKDAYS(MAX(D697,DATE(Einstellungen!$C$3,6,1)),MIN(J697,DATE(Einstellungen!$C$3,7,0)),Einstellungen!$F$13:$F$32)))</f>
        <v/>
      </c>
      <c r="R697" s="49">
        <f>IF(OR(A697="",D697=""),0,MAX(0,NETWORKDAYS(MAX(D697,DATE(Einstellungen!$C$3,7,1)),MIN(J697,DATE(Einstellungen!$C$3,8,0)),Einstellungen!$F$13:$F$32)))</f>
        <v/>
      </c>
      <c r="S697" s="49">
        <f>IF(OR(A697="",D697=""),0,MAX(0,NETWORKDAYS(MAX(D697,DATE(Einstellungen!$C$3,8,1)),MIN(J697,DATE(Einstellungen!$C$3,9,0)),Einstellungen!$F$13:$F$32)))</f>
        <v/>
      </c>
      <c r="T697" s="49">
        <f>IF(OR(A697="",D697=""),0,MAX(0,NETWORKDAYS(MAX(D697,DATE(Einstellungen!$C$3,9,1)),MIN(J697,DATE(Einstellungen!$C$3,10,0)),Einstellungen!$F$13:$F$32)))</f>
        <v/>
      </c>
      <c r="U697" s="49">
        <f>IF(OR(A697="",D697=""),0,MAX(0,NETWORKDAYS(MAX(D697,DATE(Einstellungen!$C$3,10,1)),MIN(J697,DATE(Einstellungen!$C$3,11,0)),Einstellungen!$F$13:$F$32)))</f>
        <v/>
      </c>
      <c r="V697" s="49">
        <f>IF(OR(A697="",D697=""),0,MAX(0,NETWORKDAYS(MAX(D697,DATE(Einstellungen!$C$3,11,1)),MIN(J697,DATE(Einstellungen!$C$3,12,0)),Einstellungen!$F$13:$F$32)))</f>
        <v/>
      </c>
      <c r="W697" s="49">
        <f>IF(OR(A697="",D697=""),0,MAX(0,NETWORKDAYS(MAX(D697,DATE(Einstellungen!$C$3,12,1)),MIN(J697,DATE(Einstellungen!$C$3,13,0)),Einstellungen!$F$13:$F$32)))</f>
        <v/>
      </c>
      <c r="X697" s="50">
        <f>L697*K697</f>
        <v/>
      </c>
      <c r="Y697" s="50">
        <f>M697*K697</f>
        <v/>
      </c>
      <c r="Z697" s="50">
        <f>N697*K697</f>
        <v/>
      </c>
      <c r="AA697" s="50">
        <f>O697*K697</f>
        <v/>
      </c>
      <c r="AB697" s="50">
        <f>P697*K697</f>
        <v/>
      </c>
      <c r="AC697" s="50">
        <f>Q697*K697</f>
        <v/>
      </c>
      <c r="AD697" s="50">
        <f>R697*K697</f>
        <v/>
      </c>
      <c r="AE697" s="50">
        <f>S697*K697</f>
        <v/>
      </c>
      <c r="AF697" s="50">
        <f>T697*K697</f>
        <v/>
      </c>
      <c r="AG697" s="50">
        <f>U697*K697</f>
        <v/>
      </c>
      <c r="AH697" s="50">
        <f>V697*K697</f>
        <v/>
      </c>
      <c r="AI697" s="50">
        <f>W697*K697</f>
        <v/>
      </c>
    </row>
    <row r="698">
      <c r="A698" s="25" t="n"/>
      <c r="B698" s="45">
        <f>IF(A698="","",IFERROR(INDEX(Mitarbeiter!$B$6:$B$205,MATCH($A698,Mitarbeiter!$A$6:$A$205,0)),"?"))</f>
        <v/>
      </c>
      <c r="C698" s="46" t="n"/>
      <c r="D698" s="26" t="n"/>
      <c r="E698" s="26" t="n"/>
      <c r="F698" s="24">
        <f>IF(A698="","",SUM(L698:W698))</f>
        <v/>
      </c>
      <c r="G698" s="36">
        <f>IF(A698="","",SUM(X698:AI698))</f>
        <v/>
      </c>
      <c r="H698" s="8">
        <f>IF(A698="","",IF(ISNA(MATCH(A698,Mitarbeiter!$A$6:$A$205,0)),"Pers.-Nr. unbekannt",IF(D698="","Von fehlt",IF(AND(C698&lt;&gt;Einstellungen!$C$4,C698&lt;&gt;Einstellungen!$C$5),"Objekt fehlt",IF(J698&lt;D698,"Bis vor Von",IF(D698&lt;INDEX(Mitarbeiter!$C$6:$C$205,MATCH($A698,Mitarbeiter!$A$6:$A$205,0)),"vor Eintritt",IF(AND(INDEX(Mitarbeiter!$D$6:$D$205,MATCH($A698,Mitarbeiter!$A$6:$A$205,0))&lt;&gt;"",D698&gt;INDEX(Mitarbeiter!$D$6:$D$205,MATCH($A698,Mitarbeiter!$A$6:$A$205,0))),"nach Austritt",IF(E698="","offen","ok"))))))))</f>
        <v/>
      </c>
      <c r="J698" s="47">
        <f>IF(A698="","",IF(E698="",Einstellungen!$C$9,E698))</f>
        <v/>
      </c>
      <c r="K698" s="48">
        <f>IF(A698="",0,IFERROR(INDEX(Mitarbeiter!$F$6:$F$205,MATCH($A698,Mitarbeiter!$A$6:$A$205,0)),0))</f>
        <v/>
      </c>
      <c r="L698" s="49">
        <f>IF(OR(A698="",D698=""),0,MAX(0,NETWORKDAYS(MAX(D698,DATE(Einstellungen!$C$3,1,1)),MIN(J698,DATE(Einstellungen!$C$3,2,0)),Einstellungen!$F$13:$F$32)))</f>
        <v/>
      </c>
      <c r="M698" s="49">
        <f>IF(OR(A698="",D698=""),0,MAX(0,NETWORKDAYS(MAX(D698,DATE(Einstellungen!$C$3,2,1)),MIN(J698,DATE(Einstellungen!$C$3,3,0)),Einstellungen!$F$13:$F$32)))</f>
        <v/>
      </c>
      <c r="N698" s="49">
        <f>IF(OR(A698="",D698=""),0,MAX(0,NETWORKDAYS(MAX(D698,DATE(Einstellungen!$C$3,3,1)),MIN(J698,DATE(Einstellungen!$C$3,4,0)),Einstellungen!$F$13:$F$32)))</f>
        <v/>
      </c>
      <c r="O698" s="49">
        <f>IF(OR(A698="",D698=""),0,MAX(0,NETWORKDAYS(MAX(D698,DATE(Einstellungen!$C$3,4,1)),MIN(J698,DATE(Einstellungen!$C$3,5,0)),Einstellungen!$F$13:$F$32)))</f>
        <v/>
      </c>
      <c r="P698" s="49">
        <f>IF(OR(A698="",D698=""),0,MAX(0,NETWORKDAYS(MAX(D698,DATE(Einstellungen!$C$3,5,1)),MIN(J698,DATE(Einstellungen!$C$3,6,0)),Einstellungen!$F$13:$F$32)))</f>
        <v/>
      </c>
      <c r="Q698" s="49">
        <f>IF(OR(A698="",D698=""),0,MAX(0,NETWORKDAYS(MAX(D698,DATE(Einstellungen!$C$3,6,1)),MIN(J698,DATE(Einstellungen!$C$3,7,0)),Einstellungen!$F$13:$F$32)))</f>
        <v/>
      </c>
      <c r="R698" s="49">
        <f>IF(OR(A698="",D698=""),0,MAX(0,NETWORKDAYS(MAX(D698,DATE(Einstellungen!$C$3,7,1)),MIN(J698,DATE(Einstellungen!$C$3,8,0)),Einstellungen!$F$13:$F$32)))</f>
        <v/>
      </c>
      <c r="S698" s="49">
        <f>IF(OR(A698="",D698=""),0,MAX(0,NETWORKDAYS(MAX(D698,DATE(Einstellungen!$C$3,8,1)),MIN(J698,DATE(Einstellungen!$C$3,9,0)),Einstellungen!$F$13:$F$32)))</f>
        <v/>
      </c>
      <c r="T698" s="49">
        <f>IF(OR(A698="",D698=""),0,MAX(0,NETWORKDAYS(MAX(D698,DATE(Einstellungen!$C$3,9,1)),MIN(J698,DATE(Einstellungen!$C$3,10,0)),Einstellungen!$F$13:$F$32)))</f>
        <v/>
      </c>
      <c r="U698" s="49">
        <f>IF(OR(A698="",D698=""),0,MAX(0,NETWORKDAYS(MAX(D698,DATE(Einstellungen!$C$3,10,1)),MIN(J698,DATE(Einstellungen!$C$3,11,0)),Einstellungen!$F$13:$F$32)))</f>
        <v/>
      </c>
      <c r="V698" s="49">
        <f>IF(OR(A698="",D698=""),0,MAX(0,NETWORKDAYS(MAX(D698,DATE(Einstellungen!$C$3,11,1)),MIN(J698,DATE(Einstellungen!$C$3,12,0)),Einstellungen!$F$13:$F$32)))</f>
        <v/>
      </c>
      <c r="W698" s="49">
        <f>IF(OR(A698="",D698=""),0,MAX(0,NETWORKDAYS(MAX(D698,DATE(Einstellungen!$C$3,12,1)),MIN(J698,DATE(Einstellungen!$C$3,13,0)),Einstellungen!$F$13:$F$32)))</f>
        <v/>
      </c>
      <c r="X698" s="50">
        <f>L698*K698</f>
        <v/>
      </c>
      <c r="Y698" s="50">
        <f>M698*K698</f>
        <v/>
      </c>
      <c r="Z698" s="50">
        <f>N698*K698</f>
        <v/>
      </c>
      <c r="AA698" s="50">
        <f>O698*K698</f>
        <v/>
      </c>
      <c r="AB698" s="50">
        <f>P698*K698</f>
        <v/>
      </c>
      <c r="AC698" s="50">
        <f>Q698*K698</f>
        <v/>
      </c>
      <c r="AD698" s="50">
        <f>R698*K698</f>
        <v/>
      </c>
      <c r="AE698" s="50">
        <f>S698*K698</f>
        <v/>
      </c>
      <c r="AF698" s="50">
        <f>T698*K698</f>
        <v/>
      </c>
      <c r="AG698" s="50">
        <f>U698*K698</f>
        <v/>
      </c>
      <c r="AH698" s="50">
        <f>V698*K698</f>
        <v/>
      </c>
      <c r="AI698" s="50">
        <f>W698*K698</f>
        <v/>
      </c>
    </row>
    <row r="699">
      <c r="A699" s="25" t="n"/>
      <c r="B699" s="45">
        <f>IF(A699="","",IFERROR(INDEX(Mitarbeiter!$B$6:$B$205,MATCH($A699,Mitarbeiter!$A$6:$A$205,0)),"?"))</f>
        <v/>
      </c>
      <c r="C699" s="46" t="n"/>
      <c r="D699" s="26" t="n"/>
      <c r="E699" s="26" t="n"/>
      <c r="F699" s="24">
        <f>IF(A699="","",SUM(L699:W699))</f>
        <v/>
      </c>
      <c r="G699" s="36">
        <f>IF(A699="","",SUM(X699:AI699))</f>
        <v/>
      </c>
      <c r="H699" s="8">
        <f>IF(A699="","",IF(ISNA(MATCH(A699,Mitarbeiter!$A$6:$A$205,0)),"Pers.-Nr. unbekannt",IF(D699="","Von fehlt",IF(AND(C699&lt;&gt;Einstellungen!$C$4,C699&lt;&gt;Einstellungen!$C$5),"Objekt fehlt",IF(J699&lt;D699,"Bis vor Von",IF(D699&lt;INDEX(Mitarbeiter!$C$6:$C$205,MATCH($A699,Mitarbeiter!$A$6:$A$205,0)),"vor Eintritt",IF(AND(INDEX(Mitarbeiter!$D$6:$D$205,MATCH($A699,Mitarbeiter!$A$6:$A$205,0))&lt;&gt;"",D699&gt;INDEX(Mitarbeiter!$D$6:$D$205,MATCH($A699,Mitarbeiter!$A$6:$A$205,0))),"nach Austritt",IF(E699="","offen","ok"))))))))</f>
        <v/>
      </c>
      <c r="J699" s="47">
        <f>IF(A699="","",IF(E699="",Einstellungen!$C$9,E699))</f>
        <v/>
      </c>
      <c r="K699" s="48">
        <f>IF(A699="",0,IFERROR(INDEX(Mitarbeiter!$F$6:$F$205,MATCH($A699,Mitarbeiter!$A$6:$A$205,0)),0))</f>
        <v/>
      </c>
      <c r="L699" s="49">
        <f>IF(OR(A699="",D699=""),0,MAX(0,NETWORKDAYS(MAX(D699,DATE(Einstellungen!$C$3,1,1)),MIN(J699,DATE(Einstellungen!$C$3,2,0)),Einstellungen!$F$13:$F$32)))</f>
        <v/>
      </c>
      <c r="M699" s="49">
        <f>IF(OR(A699="",D699=""),0,MAX(0,NETWORKDAYS(MAX(D699,DATE(Einstellungen!$C$3,2,1)),MIN(J699,DATE(Einstellungen!$C$3,3,0)),Einstellungen!$F$13:$F$32)))</f>
        <v/>
      </c>
      <c r="N699" s="49">
        <f>IF(OR(A699="",D699=""),0,MAX(0,NETWORKDAYS(MAX(D699,DATE(Einstellungen!$C$3,3,1)),MIN(J699,DATE(Einstellungen!$C$3,4,0)),Einstellungen!$F$13:$F$32)))</f>
        <v/>
      </c>
      <c r="O699" s="49">
        <f>IF(OR(A699="",D699=""),0,MAX(0,NETWORKDAYS(MAX(D699,DATE(Einstellungen!$C$3,4,1)),MIN(J699,DATE(Einstellungen!$C$3,5,0)),Einstellungen!$F$13:$F$32)))</f>
        <v/>
      </c>
      <c r="P699" s="49">
        <f>IF(OR(A699="",D699=""),0,MAX(0,NETWORKDAYS(MAX(D699,DATE(Einstellungen!$C$3,5,1)),MIN(J699,DATE(Einstellungen!$C$3,6,0)),Einstellungen!$F$13:$F$32)))</f>
        <v/>
      </c>
      <c r="Q699" s="49">
        <f>IF(OR(A699="",D699=""),0,MAX(0,NETWORKDAYS(MAX(D699,DATE(Einstellungen!$C$3,6,1)),MIN(J699,DATE(Einstellungen!$C$3,7,0)),Einstellungen!$F$13:$F$32)))</f>
        <v/>
      </c>
      <c r="R699" s="49">
        <f>IF(OR(A699="",D699=""),0,MAX(0,NETWORKDAYS(MAX(D699,DATE(Einstellungen!$C$3,7,1)),MIN(J699,DATE(Einstellungen!$C$3,8,0)),Einstellungen!$F$13:$F$32)))</f>
        <v/>
      </c>
      <c r="S699" s="49">
        <f>IF(OR(A699="",D699=""),0,MAX(0,NETWORKDAYS(MAX(D699,DATE(Einstellungen!$C$3,8,1)),MIN(J699,DATE(Einstellungen!$C$3,9,0)),Einstellungen!$F$13:$F$32)))</f>
        <v/>
      </c>
      <c r="T699" s="49">
        <f>IF(OR(A699="",D699=""),0,MAX(0,NETWORKDAYS(MAX(D699,DATE(Einstellungen!$C$3,9,1)),MIN(J699,DATE(Einstellungen!$C$3,10,0)),Einstellungen!$F$13:$F$32)))</f>
        <v/>
      </c>
      <c r="U699" s="49">
        <f>IF(OR(A699="",D699=""),0,MAX(0,NETWORKDAYS(MAX(D699,DATE(Einstellungen!$C$3,10,1)),MIN(J699,DATE(Einstellungen!$C$3,11,0)),Einstellungen!$F$13:$F$32)))</f>
        <v/>
      </c>
      <c r="V699" s="49">
        <f>IF(OR(A699="",D699=""),0,MAX(0,NETWORKDAYS(MAX(D699,DATE(Einstellungen!$C$3,11,1)),MIN(J699,DATE(Einstellungen!$C$3,12,0)),Einstellungen!$F$13:$F$32)))</f>
        <v/>
      </c>
      <c r="W699" s="49">
        <f>IF(OR(A699="",D699=""),0,MAX(0,NETWORKDAYS(MAX(D699,DATE(Einstellungen!$C$3,12,1)),MIN(J699,DATE(Einstellungen!$C$3,13,0)),Einstellungen!$F$13:$F$32)))</f>
        <v/>
      </c>
      <c r="X699" s="50">
        <f>L699*K699</f>
        <v/>
      </c>
      <c r="Y699" s="50">
        <f>M699*K699</f>
        <v/>
      </c>
      <c r="Z699" s="50">
        <f>N699*K699</f>
        <v/>
      </c>
      <c r="AA699" s="50">
        <f>O699*K699</f>
        <v/>
      </c>
      <c r="AB699" s="50">
        <f>P699*K699</f>
        <v/>
      </c>
      <c r="AC699" s="50">
        <f>Q699*K699</f>
        <v/>
      </c>
      <c r="AD699" s="50">
        <f>R699*K699</f>
        <v/>
      </c>
      <c r="AE699" s="50">
        <f>S699*K699</f>
        <v/>
      </c>
      <c r="AF699" s="50">
        <f>T699*K699</f>
        <v/>
      </c>
      <c r="AG699" s="50">
        <f>U699*K699</f>
        <v/>
      </c>
      <c r="AH699" s="50">
        <f>V699*K699</f>
        <v/>
      </c>
      <c r="AI699" s="50">
        <f>W699*K699</f>
        <v/>
      </c>
    </row>
    <row r="700">
      <c r="A700" s="25" t="n"/>
      <c r="B700" s="45">
        <f>IF(A700="","",IFERROR(INDEX(Mitarbeiter!$B$6:$B$205,MATCH($A700,Mitarbeiter!$A$6:$A$205,0)),"?"))</f>
        <v/>
      </c>
      <c r="C700" s="46" t="n"/>
      <c r="D700" s="26" t="n"/>
      <c r="E700" s="26" t="n"/>
      <c r="F700" s="24">
        <f>IF(A700="","",SUM(L700:W700))</f>
        <v/>
      </c>
      <c r="G700" s="36">
        <f>IF(A700="","",SUM(X700:AI700))</f>
        <v/>
      </c>
      <c r="H700" s="8">
        <f>IF(A700="","",IF(ISNA(MATCH(A700,Mitarbeiter!$A$6:$A$205,0)),"Pers.-Nr. unbekannt",IF(D700="","Von fehlt",IF(AND(C700&lt;&gt;Einstellungen!$C$4,C700&lt;&gt;Einstellungen!$C$5),"Objekt fehlt",IF(J700&lt;D700,"Bis vor Von",IF(D700&lt;INDEX(Mitarbeiter!$C$6:$C$205,MATCH($A700,Mitarbeiter!$A$6:$A$205,0)),"vor Eintritt",IF(AND(INDEX(Mitarbeiter!$D$6:$D$205,MATCH($A700,Mitarbeiter!$A$6:$A$205,0))&lt;&gt;"",D700&gt;INDEX(Mitarbeiter!$D$6:$D$205,MATCH($A700,Mitarbeiter!$A$6:$A$205,0))),"nach Austritt",IF(E700="","offen","ok"))))))))</f>
        <v/>
      </c>
      <c r="J700" s="47">
        <f>IF(A700="","",IF(E700="",Einstellungen!$C$9,E700))</f>
        <v/>
      </c>
      <c r="K700" s="48">
        <f>IF(A700="",0,IFERROR(INDEX(Mitarbeiter!$F$6:$F$205,MATCH($A700,Mitarbeiter!$A$6:$A$205,0)),0))</f>
        <v/>
      </c>
      <c r="L700" s="49">
        <f>IF(OR(A700="",D700=""),0,MAX(0,NETWORKDAYS(MAX(D700,DATE(Einstellungen!$C$3,1,1)),MIN(J700,DATE(Einstellungen!$C$3,2,0)),Einstellungen!$F$13:$F$32)))</f>
        <v/>
      </c>
      <c r="M700" s="49">
        <f>IF(OR(A700="",D700=""),0,MAX(0,NETWORKDAYS(MAX(D700,DATE(Einstellungen!$C$3,2,1)),MIN(J700,DATE(Einstellungen!$C$3,3,0)),Einstellungen!$F$13:$F$32)))</f>
        <v/>
      </c>
      <c r="N700" s="49">
        <f>IF(OR(A700="",D700=""),0,MAX(0,NETWORKDAYS(MAX(D700,DATE(Einstellungen!$C$3,3,1)),MIN(J700,DATE(Einstellungen!$C$3,4,0)),Einstellungen!$F$13:$F$32)))</f>
        <v/>
      </c>
      <c r="O700" s="49">
        <f>IF(OR(A700="",D700=""),0,MAX(0,NETWORKDAYS(MAX(D700,DATE(Einstellungen!$C$3,4,1)),MIN(J700,DATE(Einstellungen!$C$3,5,0)),Einstellungen!$F$13:$F$32)))</f>
        <v/>
      </c>
      <c r="P700" s="49">
        <f>IF(OR(A700="",D700=""),0,MAX(0,NETWORKDAYS(MAX(D700,DATE(Einstellungen!$C$3,5,1)),MIN(J700,DATE(Einstellungen!$C$3,6,0)),Einstellungen!$F$13:$F$32)))</f>
        <v/>
      </c>
      <c r="Q700" s="49">
        <f>IF(OR(A700="",D700=""),0,MAX(0,NETWORKDAYS(MAX(D700,DATE(Einstellungen!$C$3,6,1)),MIN(J700,DATE(Einstellungen!$C$3,7,0)),Einstellungen!$F$13:$F$32)))</f>
        <v/>
      </c>
      <c r="R700" s="49">
        <f>IF(OR(A700="",D700=""),0,MAX(0,NETWORKDAYS(MAX(D700,DATE(Einstellungen!$C$3,7,1)),MIN(J700,DATE(Einstellungen!$C$3,8,0)),Einstellungen!$F$13:$F$32)))</f>
        <v/>
      </c>
      <c r="S700" s="49">
        <f>IF(OR(A700="",D700=""),0,MAX(0,NETWORKDAYS(MAX(D700,DATE(Einstellungen!$C$3,8,1)),MIN(J700,DATE(Einstellungen!$C$3,9,0)),Einstellungen!$F$13:$F$32)))</f>
        <v/>
      </c>
      <c r="T700" s="49">
        <f>IF(OR(A700="",D700=""),0,MAX(0,NETWORKDAYS(MAX(D700,DATE(Einstellungen!$C$3,9,1)),MIN(J700,DATE(Einstellungen!$C$3,10,0)),Einstellungen!$F$13:$F$32)))</f>
        <v/>
      </c>
      <c r="U700" s="49">
        <f>IF(OR(A700="",D700=""),0,MAX(0,NETWORKDAYS(MAX(D700,DATE(Einstellungen!$C$3,10,1)),MIN(J700,DATE(Einstellungen!$C$3,11,0)),Einstellungen!$F$13:$F$32)))</f>
        <v/>
      </c>
      <c r="V700" s="49">
        <f>IF(OR(A700="",D700=""),0,MAX(0,NETWORKDAYS(MAX(D700,DATE(Einstellungen!$C$3,11,1)),MIN(J700,DATE(Einstellungen!$C$3,12,0)),Einstellungen!$F$13:$F$32)))</f>
        <v/>
      </c>
      <c r="W700" s="49">
        <f>IF(OR(A700="",D700=""),0,MAX(0,NETWORKDAYS(MAX(D700,DATE(Einstellungen!$C$3,12,1)),MIN(J700,DATE(Einstellungen!$C$3,13,0)),Einstellungen!$F$13:$F$32)))</f>
        <v/>
      </c>
      <c r="X700" s="50">
        <f>L700*K700</f>
        <v/>
      </c>
      <c r="Y700" s="50">
        <f>M700*K700</f>
        <v/>
      </c>
      <c r="Z700" s="50">
        <f>N700*K700</f>
        <v/>
      </c>
      <c r="AA700" s="50">
        <f>O700*K700</f>
        <v/>
      </c>
      <c r="AB700" s="50">
        <f>P700*K700</f>
        <v/>
      </c>
      <c r="AC700" s="50">
        <f>Q700*K700</f>
        <v/>
      </c>
      <c r="AD700" s="50">
        <f>R700*K700</f>
        <v/>
      </c>
      <c r="AE700" s="50">
        <f>S700*K700</f>
        <v/>
      </c>
      <c r="AF700" s="50">
        <f>T700*K700</f>
        <v/>
      </c>
      <c r="AG700" s="50">
        <f>U700*K700</f>
        <v/>
      </c>
      <c r="AH700" s="50">
        <f>V700*K700</f>
        <v/>
      </c>
      <c r="AI700" s="50">
        <f>W700*K700</f>
        <v/>
      </c>
    </row>
    <row r="701">
      <c r="A701" s="25" t="n"/>
      <c r="B701" s="45">
        <f>IF(A701="","",IFERROR(INDEX(Mitarbeiter!$B$6:$B$205,MATCH($A701,Mitarbeiter!$A$6:$A$205,0)),"?"))</f>
        <v/>
      </c>
      <c r="C701" s="46" t="n"/>
      <c r="D701" s="26" t="n"/>
      <c r="E701" s="26" t="n"/>
      <c r="F701" s="24">
        <f>IF(A701="","",SUM(L701:W701))</f>
        <v/>
      </c>
      <c r="G701" s="36">
        <f>IF(A701="","",SUM(X701:AI701))</f>
        <v/>
      </c>
      <c r="H701" s="8">
        <f>IF(A701="","",IF(ISNA(MATCH(A701,Mitarbeiter!$A$6:$A$205,0)),"Pers.-Nr. unbekannt",IF(D701="","Von fehlt",IF(AND(C701&lt;&gt;Einstellungen!$C$4,C701&lt;&gt;Einstellungen!$C$5),"Objekt fehlt",IF(J701&lt;D701,"Bis vor Von",IF(D701&lt;INDEX(Mitarbeiter!$C$6:$C$205,MATCH($A701,Mitarbeiter!$A$6:$A$205,0)),"vor Eintritt",IF(AND(INDEX(Mitarbeiter!$D$6:$D$205,MATCH($A701,Mitarbeiter!$A$6:$A$205,0))&lt;&gt;"",D701&gt;INDEX(Mitarbeiter!$D$6:$D$205,MATCH($A701,Mitarbeiter!$A$6:$A$205,0))),"nach Austritt",IF(E701="","offen","ok"))))))))</f>
        <v/>
      </c>
      <c r="J701" s="47">
        <f>IF(A701="","",IF(E701="",Einstellungen!$C$9,E701))</f>
        <v/>
      </c>
      <c r="K701" s="48">
        <f>IF(A701="",0,IFERROR(INDEX(Mitarbeiter!$F$6:$F$205,MATCH($A701,Mitarbeiter!$A$6:$A$205,0)),0))</f>
        <v/>
      </c>
      <c r="L701" s="49">
        <f>IF(OR(A701="",D701=""),0,MAX(0,NETWORKDAYS(MAX(D701,DATE(Einstellungen!$C$3,1,1)),MIN(J701,DATE(Einstellungen!$C$3,2,0)),Einstellungen!$F$13:$F$32)))</f>
        <v/>
      </c>
      <c r="M701" s="49">
        <f>IF(OR(A701="",D701=""),0,MAX(0,NETWORKDAYS(MAX(D701,DATE(Einstellungen!$C$3,2,1)),MIN(J701,DATE(Einstellungen!$C$3,3,0)),Einstellungen!$F$13:$F$32)))</f>
        <v/>
      </c>
      <c r="N701" s="49">
        <f>IF(OR(A701="",D701=""),0,MAX(0,NETWORKDAYS(MAX(D701,DATE(Einstellungen!$C$3,3,1)),MIN(J701,DATE(Einstellungen!$C$3,4,0)),Einstellungen!$F$13:$F$32)))</f>
        <v/>
      </c>
      <c r="O701" s="49">
        <f>IF(OR(A701="",D701=""),0,MAX(0,NETWORKDAYS(MAX(D701,DATE(Einstellungen!$C$3,4,1)),MIN(J701,DATE(Einstellungen!$C$3,5,0)),Einstellungen!$F$13:$F$32)))</f>
        <v/>
      </c>
      <c r="P701" s="49">
        <f>IF(OR(A701="",D701=""),0,MAX(0,NETWORKDAYS(MAX(D701,DATE(Einstellungen!$C$3,5,1)),MIN(J701,DATE(Einstellungen!$C$3,6,0)),Einstellungen!$F$13:$F$32)))</f>
        <v/>
      </c>
      <c r="Q701" s="49">
        <f>IF(OR(A701="",D701=""),0,MAX(0,NETWORKDAYS(MAX(D701,DATE(Einstellungen!$C$3,6,1)),MIN(J701,DATE(Einstellungen!$C$3,7,0)),Einstellungen!$F$13:$F$32)))</f>
        <v/>
      </c>
      <c r="R701" s="49">
        <f>IF(OR(A701="",D701=""),0,MAX(0,NETWORKDAYS(MAX(D701,DATE(Einstellungen!$C$3,7,1)),MIN(J701,DATE(Einstellungen!$C$3,8,0)),Einstellungen!$F$13:$F$32)))</f>
        <v/>
      </c>
      <c r="S701" s="49">
        <f>IF(OR(A701="",D701=""),0,MAX(0,NETWORKDAYS(MAX(D701,DATE(Einstellungen!$C$3,8,1)),MIN(J701,DATE(Einstellungen!$C$3,9,0)),Einstellungen!$F$13:$F$32)))</f>
        <v/>
      </c>
      <c r="T701" s="49">
        <f>IF(OR(A701="",D701=""),0,MAX(0,NETWORKDAYS(MAX(D701,DATE(Einstellungen!$C$3,9,1)),MIN(J701,DATE(Einstellungen!$C$3,10,0)),Einstellungen!$F$13:$F$32)))</f>
        <v/>
      </c>
      <c r="U701" s="49">
        <f>IF(OR(A701="",D701=""),0,MAX(0,NETWORKDAYS(MAX(D701,DATE(Einstellungen!$C$3,10,1)),MIN(J701,DATE(Einstellungen!$C$3,11,0)),Einstellungen!$F$13:$F$32)))</f>
        <v/>
      </c>
      <c r="V701" s="49">
        <f>IF(OR(A701="",D701=""),0,MAX(0,NETWORKDAYS(MAX(D701,DATE(Einstellungen!$C$3,11,1)),MIN(J701,DATE(Einstellungen!$C$3,12,0)),Einstellungen!$F$13:$F$32)))</f>
        <v/>
      </c>
      <c r="W701" s="49">
        <f>IF(OR(A701="",D701=""),0,MAX(0,NETWORKDAYS(MAX(D701,DATE(Einstellungen!$C$3,12,1)),MIN(J701,DATE(Einstellungen!$C$3,13,0)),Einstellungen!$F$13:$F$32)))</f>
        <v/>
      </c>
      <c r="X701" s="50">
        <f>L701*K701</f>
        <v/>
      </c>
      <c r="Y701" s="50">
        <f>M701*K701</f>
        <v/>
      </c>
      <c r="Z701" s="50">
        <f>N701*K701</f>
        <v/>
      </c>
      <c r="AA701" s="50">
        <f>O701*K701</f>
        <v/>
      </c>
      <c r="AB701" s="50">
        <f>P701*K701</f>
        <v/>
      </c>
      <c r="AC701" s="50">
        <f>Q701*K701</f>
        <v/>
      </c>
      <c r="AD701" s="50">
        <f>R701*K701</f>
        <v/>
      </c>
      <c r="AE701" s="50">
        <f>S701*K701</f>
        <v/>
      </c>
      <c r="AF701" s="50">
        <f>T701*K701</f>
        <v/>
      </c>
      <c r="AG701" s="50">
        <f>U701*K701</f>
        <v/>
      </c>
      <c r="AH701" s="50">
        <f>V701*K701</f>
        <v/>
      </c>
      <c r="AI701" s="50">
        <f>W701*K701</f>
        <v/>
      </c>
    </row>
    <row r="702">
      <c r="A702" s="25" t="n"/>
      <c r="B702" s="45">
        <f>IF(A702="","",IFERROR(INDEX(Mitarbeiter!$B$6:$B$205,MATCH($A702,Mitarbeiter!$A$6:$A$205,0)),"?"))</f>
        <v/>
      </c>
      <c r="C702" s="46" t="n"/>
      <c r="D702" s="26" t="n"/>
      <c r="E702" s="26" t="n"/>
      <c r="F702" s="24">
        <f>IF(A702="","",SUM(L702:W702))</f>
        <v/>
      </c>
      <c r="G702" s="36">
        <f>IF(A702="","",SUM(X702:AI702))</f>
        <v/>
      </c>
      <c r="H702" s="8">
        <f>IF(A702="","",IF(ISNA(MATCH(A702,Mitarbeiter!$A$6:$A$205,0)),"Pers.-Nr. unbekannt",IF(D702="","Von fehlt",IF(AND(C702&lt;&gt;Einstellungen!$C$4,C702&lt;&gt;Einstellungen!$C$5),"Objekt fehlt",IF(J702&lt;D702,"Bis vor Von",IF(D702&lt;INDEX(Mitarbeiter!$C$6:$C$205,MATCH($A702,Mitarbeiter!$A$6:$A$205,0)),"vor Eintritt",IF(AND(INDEX(Mitarbeiter!$D$6:$D$205,MATCH($A702,Mitarbeiter!$A$6:$A$205,0))&lt;&gt;"",D702&gt;INDEX(Mitarbeiter!$D$6:$D$205,MATCH($A702,Mitarbeiter!$A$6:$A$205,0))),"nach Austritt",IF(E702="","offen","ok"))))))))</f>
        <v/>
      </c>
      <c r="J702" s="47">
        <f>IF(A702="","",IF(E702="",Einstellungen!$C$9,E702))</f>
        <v/>
      </c>
      <c r="K702" s="48">
        <f>IF(A702="",0,IFERROR(INDEX(Mitarbeiter!$F$6:$F$205,MATCH($A702,Mitarbeiter!$A$6:$A$205,0)),0))</f>
        <v/>
      </c>
      <c r="L702" s="49">
        <f>IF(OR(A702="",D702=""),0,MAX(0,NETWORKDAYS(MAX(D702,DATE(Einstellungen!$C$3,1,1)),MIN(J702,DATE(Einstellungen!$C$3,2,0)),Einstellungen!$F$13:$F$32)))</f>
        <v/>
      </c>
      <c r="M702" s="49">
        <f>IF(OR(A702="",D702=""),0,MAX(0,NETWORKDAYS(MAX(D702,DATE(Einstellungen!$C$3,2,1)),MIN(J702,DATE(Einstellungen!$C$3,3,0)),Einstellungen!$F$13:$F$32)))</f>
        <v/>
      </c>
      <c r="N702" s="49">
        <f>IF(OR(A702="",D702=""),0,MAX(0,NETWORKDAYS(MAX(D702,DATE(Einstellungen!$C$3,3,1)),MIN(J702,DATE(Einstellungen!$C$3,4,0)),Einstellungen!$F$13:$F$32)))</f>
        <v/>
      </c>
      <c r="O702" s="49">
        <f>IF(OR(A702="",D702=""),0,MAX(0,NETWORKDAYS(MAX(D702,DATE(Einstellungen!$C$3,4,1)),MIN(J702,DATE(Einstellungen!$C$3,5,0)),Einstellungen!$F$13:$F$32)))</f>
        <v/>
      </c>
      <c r="P702" s="49">
        <f>IF(OR(A702="",D702=""),0,MAX(0,NETWORKDAYS(MAX(D702,DATE(Einstellungen!$C$3,5,1)),MIN(J702,DATE(Einstellungen!$C$3,6,0)),Einstellungen!$F$13:$F$32)))</f>
        <v/>
      </c>
      <c r="Q702" s="49">
        <f>IF(OR(A702="",D702=""),0,MAX(0,NETWORKDAYS(MAX(D702,DATE(Einstellungen!$C$3,6,1)),MIN(J702,DATE(Einstellungen!$C$3,7,0)),Einstellungen!$F$13:$F$32)))</f>
        <v/>
      </c>
      <c r="R702" s="49">
        <f>IF(OR(A702="",D702=""),0,MAX(0,NETWORKDAYS(MAX(D702,DATE(Einstellungen!$C$3,7,1)),MIN(J702,DATE(Einstellungen!$C$3,8,0)),Einstellungen!$F$13:$F$32)))</f>
        <v/>
      </c>
      <c r="S702" s="49">
        <f>IF(OR(A702="",D702=""),0,MAX(0,NETWORKDAYS(MAX(D702,DATE(Einstellungen!$C$3,8,1)),MIN(J702,DATE(Einstellungen!$C$3,9,0)),Einstellungen!$F$13:$F$32)))</f>
        <v/>
      </c>
      <c r="T702" s="49">
        <f>IF(OR(A702="",D702=""),0,MAX(0,NETWORKDAYS(MAX(D702,DATE(Einstellungen!$C$3,9,1)),MIN(J702,DATE(Einstellungen!$C$3,10,0)),Einstellungen!$F$13:$F$32)))</f>
        <v/>
      </c>
      <c r="U702" s="49">
        <f>IF(OR(A702="",D702=""),0,MAX(0,NETWORKDAYS(MAX(D702,DATE(Einstellungen!$C$3,10,1)),MIN(J702,DATE(Einstellungen!$C$3,11,0)),Einstellungen!$F$13:$F$32)))</f>
        <v/>
      </c>
      <c r="V702" s="49">
        <f>IF(OR(A702="",D702=""),0,MAX(0,NETWORKDAYS(MAX(D702,DATE(Einstellungen!$C$3,11,1)),MIN(J702,DATE(Einstellungen!$C$3,12,0)),Einstellungen!$F$13:$F$32)))</f>
        <v/>
      </c>
      <c r="W702" s="49">
        <f>IF(OR(A702="",D702=""),0,MAX(0,NETWORKDAYS(MAX(D702,DATE(Einstellungen!$C$3,12,1)),MIN(J702,DATE(Einstellungen!$C$3,13,0)),Einstellungen!$F$13:$F$32)))</f>
        <v/>
      </c>
      <c r="X702" s="50">
        <f>L702*K702</f>
        <v/>
      </c>
      <c r="Y702" s="50">
        <f>M702*K702</f>
        <v/>
      </c>
      <c r="Z702" s="50">
        <f>N702*K702</f>
        <v/>
      </c>
      <c r="AA702" s="50">
        <f>O702*K702</f>
        <v/>
      </c>
      <c r="AB702" s="50">
        <f>P702*K702</f>
        <v/>
      </c>
      <c r="AC702" s="50">
        <f>Q702*K702</f>
        <v/>
      </c>
      <c r="AD702" s="50">
        <f>R702*K702</f>
        <v/>
      </c>
      <c r="AE702" s="50">
        <f>S702*K702</f>
        <v/>
      </c>
      <c r="AF702" s="50">
        <f>T702*K702</f>
        <v/>
      </c>
      <c r="AG702" s="50">
        <f>U702*K702</f>
        <v/>
      </c>
      <c r="AH702" s="50">
        <f>V702*K702</f>
        <v/>
      </c>
      <c r="AI702" s="50">
        <f>W702*K702</f>
        <v/>
      </c>
    </row>
    <row r="703">
      <c r="A703" s="25" t="n"/>
      <c r="B703" s="45">
        <f>IF(A703="","",IFERROR(INDEX(Mitarbeiter!$B$6:$B$205,MATCH($A703,Mitarbeiter!$A$6:$A$205,0)),"?"))</f>
        <v/>
      </c>
      <c r="C703" s="46" t="n"/>
      <c r="D703" s="26" t="n"/>
      <c r="E703" s="26" t="n"/>
      <c r="F703" s="24">
        <f>IF(A703="","",SUM(L703:W703))</f>
        <v/>
      </c>
      <c r="G703" s="36">
        <f>IF(A703="","",SUM(X703:AI703))</f>
        <v/>
      </c>
      <c r="H703" s="8">
        <f>IF(A703="","",IF(ISNA(MATCH(A703,Mitarbeiter!$A$6:$A$205,0)),"Pers.-Nr. unbekannt",IF(D703="","Von fehlt",IF(AND(C703&lt;&gt;Einstellungen!$C$4,C703&lt;&gt;Einstellungen!$C$5),"Objekt fehlt",IF(J703&lt;D703,"Bis vor Von",IF(D703&lt;INDEX(Mitarbeiter!$C$6:$C$205,MATCH($A703,Mitarbeiter!$A$6:$A$205,0)),"vor Eintritt",IF(AND(INDEX(Mitarbeiter!$D$6:$D$205,MATCH($A703,Mitarbeiter!$A$6:$A$205,0))&lt;&gt;"",D703&gt;INDEX(Mitarbeiter!$D$6:$D$205,MATCH($A703,Mitarbeiter!$A$6:$A$205,0))),"nach Austritt",IF(E703="","offen","ok"))))))))</f>
        <v/>
      </c>
      <c r="J703" s="47">
        <f>IF(A703="","",IF(E703="",Einstellungen!$C$9,E703))</f>
        <v/>
      </c>
      <c r="K703" s="48">
        <f>IF(A703="",0,IFERROR(INDEX(Mitarbeiter!$F$6:$F$205,MATCH($A703,Mitarbeiter!$A$6:$A$205,0)),0))</f>
        <v/>
      </c>
      <c r="L703" s="49">
        <f>IF(OR(A703="",D703=""),0,MAX(0,NETWORKDAYS(MAX(D703,DATE(Einstellungen!$C$3,1,1)),MIN(J703,DATE(Einstellungen!$C$3,2,0)),Einstellungen!$F$13:$F$32)))</f>
        <v/>
      </c>
      <c r="M703" s="49">
        <f>IF(OR(A703="",D703=""),0,MAX(0,NETWORKDAYS(MAX(D703,DATE(Einstellungen!$C$3,2,1)),MIN(J703,DATE(Einstellungen!$C$3,3,0)),Einstellungen!$F$13:$F$32)))</f>
        <v/>
      </c>
      <c r="N703" s="49">
        <f>IF(OR(A703="",D703=""),0,MAX(0,NETWORKDAYS(MAX(D703,DATE(Einstellungen!$C$3,3,1)),MIN(J703,DATE(Einstellungen!$C$3,4,0)),Einstellungen!$F$13:$F$32)))</f>
        <v/>
      </c>
      <c r="O703" s="49">
        <f>IF(OR(A703="",D703=""),0,MAX(0,NETWORKDAYS(MAX(D703,DATE(Einstellungen!$C$3,4,1)),MIN(J703,DATE(Einstellungen!$C$3,5,0)),Einstellungen!$F$13:$F$32)))</f>
        <v/>
      </c>
      <c r="P703" s="49">
        <f>IF(OR(A703="",D703=""),0,MAX(0,NETWORKDAYS(MAX(D703,DATE(Einstellungen!$C$3,5,1)),MIN(J703,DATE(Einstellungen!$C$3,6,0)),Einstellungen!$F$13:$F$32)))</f>
        <v/>
      </c>
      <c r="Q703" s="49">
        <f>IF(OR(A703="",D703=""),0,MAX(0,NETWORKDAYS(MAX(D703,DATE(Einstellungen!$C$3,6,1)),MIN(J703,DATE(Einstellungen!$C$3,7,0)),Einstellungen!$F$13:$F$32)))</f>
        <v/>
      </c>
      <c r="R703" s="49">
        <f>IF(OR(A703="",D703=""),0,MAX(0,NETWORKDAYS(MAX(D703,DATE(Einstellungen!$C$3,7,1)),MIN(J703,DATE(Einstellungen!$C$3,8,0)),Einstellungen!$F$13:$F$32)))</f>
        <v/>
      </c>
      <c r="S703" s="49">
        <f>IF(OR(A703="",D703=""),0,MAX(0,NETWORKDAYS(MAX(D703,DATE(Einstellungen!$C$3,8,1)),MIN(J703,DATE(Einstellungen!$C$3,9,0)),Einstellungen!$F$13:$F$32)))</f>
        <v/>
      </c>
      <c r="T703" s="49">
        <f>IF(OR(A703="",D703=""),0,MAX(0,NETWORKDAYS(MAX(D703,DATE(Einstellungen!$C$3,9,1)),MIN(J703,DATE(Einstellungen!$C$3,10,0)),Einstellungen!$F$13:$F$32)))</f>
        <v/>
      </c>
      <c r="U703" s="49">
        <f>IF(OR(A703="",D703=""),0,MAX(0,NETWORKDAYS(MAX(D703,DATE(Einstellungen!$C$3,10,1)),MIN(J703,DATE(Einstellungen!$C$3,11,0)),Einstellungen!$F$13:$F$32)))</f>
        <v/>
      </c>
      <c r="V703" s="49">
        <f>IF(OR(A703="",D703=""),0,MAX(0,NETWORKDAYS(MAX(D703,DATE(Einstellungen!$C$3,11,1)),MIN(J703,DATE(Einstellungen!$C$3,12,0)),Einstellungen!$F$13:$F$32)))</f>
        <v/>
      </c>
      <c r="W703" s="49">
        <f>IF(OR(A703="",D703=""),0,MAX(0,NETWORKDAYS(MAX(D703,DATE(Einstellungen!$C$3,12,1)),MIN(J703,DATE(Einstellungen!$C$3,13,0)),Einstellungen!$F$13:$F$32)))</f>
        <v/>
      </c>
      <c r="X703" s="50">
        <f>L703*K703</f>
        <v/>
      </c>
      <c r="Y703" s="50">
        <f>M703*K703</f>
        <v/>
      </c>
      <c r="Z703" s="50">
        <f>N703*K703</f>
        <v/>
      </c>
      <c r="AA703" s="50">
        <f>O703*K703</f>
        <v/>
      </c>
      <c r="AB703" s="50">
        <f>P703*K703</f>
        <v/>
      </c>
      <c r="AC703" s="50">
        <f>Q703*K703</f>
        <v/>
      </c>
      <c r="AD703" s="50">
        <f>R703*K703</f>
        <v/>
      </c>
      <c r="AE703" s="50">
        <f>S703*K703</f>
        <v/>
      </c>
      <c r="AF703" s="50">
        <f>T703*K703</f>
        <v/>
      </c>
      <c r="AG703" s="50">
        <f>U703*K703</f>
        <v/>
      </c>
      <c r="AH703" s="50">
        <f>V703*K703</f>
        <v/>
      </c>
      <c r="AI703" s="50">
        <f>W703*K703</f>
        <v/>
      </c>
    </row>
    <row r="704">
      <c r="A704" s="25" t="n"/>
      <c r="B704" s="45">
        <f>IF(A704="","",IFERROR(INDEX(Mitarbeiter!$B$6:$B$205,MATCH($A704,Mitarbeiter!$A$6:$A$205,0)),"?"))</f>
        <v/>
      </c>
      <c r="C704" s="46" t="n"/>
      <c r="D704" s="26" t="n"/>
      <c r="E704" s="26" t="n"/>
      <c r="F704" s="24">
        <f>IF(A704="","",SUM(L704:W704))</f>
        <v/>
      </c>
      <c r="G704" s="36">
        <f>IF(A704="","",SUM(X704:AI704))</f>
        <v/>
      </c>
      <c r="H704" s="8">
        <f>IF(A704="","",IF(ISNA(MATCH(A704,Mitarbeiter!$A$6:$A$205,0)),"Pers.-Nr. unbekannt",IF(D704="","Von fehlt",IF(AND(C704&lt;&gt;Einstellungen!$C$4,C704&lt;&gt;Einstellungen!$C$5),"Objekt fehlt",IF(J704&lt;D704,"Bis vor Von",IF(D704&lt;INDEX(Mitarbeiter!$C$6:$C$205,MATCH($A704,Mitarbeiter!$A$6:$A$205,0)),"vor Eintritt",IF(AND(INDEX(Mitarbeiter!$D$6:$D$205,MATCH($A704,Mitarbeiter!$A$6:$A$205,0))&lt;&gt;"",D704&gt;INDEX(Mitarbeiter!$D$6:$D$205,MATCH($A704,Mitarbeiter!$A$6:$A$205,0))),"nach Austritt",IF(E704="","offen","ok"))))))))</f>
        <v/>
      </c>
      <c r="J704" s="47">
        <f>IF(A704="","",IF(E704="",Einstellungen!$C$9,E704))</f>
        <v/>
      </c>
      <c r="K704" s="48">
        <f>IF(A704="",0,IFERROR(INDEX(Mitarbeiter!$F$6:$F$205,MATCH($A704,Mitarbeiter!$A$6:$A$205,0)),0))</f>
        <v/>
      </c>
      <c r="L704" s="49">
        <f>IF(OR(A704="",D704=""),0,MAX(0,NETWORKDAYS(MAX(D704,DATE(Einstellungen!$C$3,1,1)),MIN(J704,DATE(Einstellungen!$C$3,2,0)),Einstellungen!$F$13:$F$32)))</f>
        <v/>
      </c>
      <c r="M704" s="49">
        <f>IF(OR(A704="",D704=""),0,MAX(0,NETWORKDAYS(MAX(D704,DATE(Einstellungen!$C$3,2,1)),MIN(J704,DATE(Einstellungen!$C$3,3,0)),Einstellungen!$F$13:$F$32)))</f>
        <v/>
      </c>
      <c r="N704" s="49">
        <f>IF(OR(A704="",D704=""),0,MAX(0,NETWORKDAYS(MAX(D704,DATE(Einstellungen!$C$3,3,1)),MIN(J704,DATE(Einstellungen!$C$3,4,0)),Einstellungen!$F$13:$F$32)))</f>
        <v/>
      </c>
      <c r="O704" s="49">
        <f>IF(OR(A704="",D704=""),0,MAX(0,NETWORKDAYS(MAX(D704,DATE(Einstellungen!$C$3,4,1)),MIN(J704,DATE(Einstellungen!$C$3,5,0)),Einstellungen!$F$13:$F$32)))</f>
        <v/>
      </c>
      <c r="P704" s="49">
        <f>IF(OR(A704="",D704=""),0,MAX(0,NETWORKDAYS(MAX(D704,DATE(Einstellungen!$C$3,5,1)),MIN(J704,DATE(Einstellungen!$C$3,6,0)),Einstellungen!$F$13:$F$32)))</f>
        <v/>
      </c>
      <c r="Q704" s="49">
        <f>IF(OR(A704="",D704=""),0,MAX(0,NETWORKDAYS(MAX(D704,DATE(Einstellungen!$C$3,6,1)),MIN(J704,DATE(Einstellungen!$C$3,7,0)),Einstellungen!$F$13:$F$32)))</f>
        <v/>
      </c>
      <c r="R704" s="49">
        <f>IF(OR(A704="",D704=""),0,MAX(0,NETWORKDAYS(MAX(D704,DATE(Einstellungen!$C$3,7,1)),MIN(J704,DATE(Einstellungen!$C$3,8,0)),Einstellungen!$F$13:$F$32)))</f>
        <v/>
      </c>
      <c r="S704" s="49">
        <f>IF(OR(A704="",D704=""),0,MAX(0,NETWORKDAYS(MAX(D704,DATE(Einstellungen!$C$3,8,1)),MIN(J704,DATE(Einstellungen!$C$3,9,0)),Einstellungen!$F$13:$F$32)))</f>
        <v/>
      </c>
      <c r="T704" s="49">
        <f>IF(OR(A704="",D704=""),0,MAX(0,NETWORKDAYS(MAX(D704,DATE(Einstellungen!$C$3,9,1)),MIN(J704,DATE(Einstellungen!$C$3,10,0)),Einstellungen!$F$13:$F$32)))</f>
        <v/>
      </c>
      <c r="U704" s="49">
        <f>IF(OR(A704="",D704=""),0,MAX(0,NETWORKDAYS(MAX(D704,DATE(Einstellungen!$C$3,10,1)),MIN(J704,DATE(Einstellungen!$C$3,11,0)),Einstellungen!$F$13:$F$32)))</f>
        <v/>
      </c>
      <c r="V704" s="49">
        <f>IF(OR(A704="",D704=""),0,MAX(0,NETWORKDAYS(MAX(D704,DATE(Einstellungen!$C$3,11,1)),MIN(J704,DATE(Einstellungen!$C$3,12,0)),Einstellungen!$F$13:$F$32)))</f>
        <v/>
      </c>
      <c r="W704" s="49">
        <f>IF(OR(A704="",D704=""),0,MAX(0,NETWORKDAYS(MAX(D704,DATE(Einstellungen!$C$3,12,1)),MIN(J704,DATE(Einstellungen!$C$3,13,0)),Einstellungen!$F$13:$F$32)))</f>
        <v/>
      </c>
      <c r="X704" s="50">
        <f>L704*K704</f>
        <v/>
      </c>
      <c r="Y704" s="50">
        <f>M704*K704</f>
        <v/>
      </c>
      <c r="Z704" s="50">
        <f>N704*K704</f>
        <v/>
      </c>
      <c r="AA704" s="50">
        <f>O704*K704</f>
        <v/>
      </c>
      <c r="AB704" s="50">
        <f>P704*K704</f>
        <v/>
      </c>
      <c r="AC704" s="50">
        <f>Q704*K704</f>
        <v/>
      </c>
      <c r="AD704" s="50">
        <f>R704*K704</f>
        <v/>
      </c>
      <c r="AE704" s="50">
        <f>S704*K704</f>
        <v/>
      </c>
      <c r="AF704" s="50">
        <f>T704*K704</f>
        <v/>
      </c>
      <c r="AG704" s="50">
        <f>U704*K704</f>
        <v/>
      </c>
      <c r="AH704" s="50">
        <f>V704*K704</f>
        <v/>
      </c>
      <c r="AI704" s="50">
        <f>W704*K704</f>
        <v/>
      </c>
    </row>
    <row r="705">
      <c r="A705" s="25" t="n"/>
      <c r="B705" s="45">
        <f>IF(A705="","",IFERROR(INDEX(Mitarbeiter!$B$6:$B$205,MATCH($A705,Mitarbeiter!$A$6:$A$205,0)),"?"))</f>
        <v/>
      </c>
      <c r="C705" s="46" t="n"/>
      <c r="D705" s="26" t="n"/>
      <c r="E705" s="26" t="n"/>
      <c r="F705" s="24">
        <f>IF(A705="","",SUM(L705:W705))</f>
        <v/>
      </c>
      <c r="G705" s="36">
        <f>IF(A705="","",SUM(X705:AI705))</f>
        <v/>
      </c>
      <c r="H705" s="8">
        <f>IF(A705="","",IF(ISNA(MATCH(A705,Mitarbeiter!$A$6:$A$205,0)),"Pers.-Nr. unbekannt",IF(D705="","Von fehlt",IF(AND(C705&lt;&gt;Einstellungen!$C$4,C705&lt;&gt;Einstellungen!$C$5),"Objekt fehlt",IF(J705&lt;D705,"Bis vor Von",IF(D705&lt;INDEX(Mitarbeiter!$C$6:$C$205,MATCH($A705,Mitarbeiter!$A$6:$A$205,0)),"vor Eintritt",IF(AND(INDEX(Mitarbeiter!$D$6:$D$205,MATCH($A705,Mitarbeiter!$A$6:$A$205,0))&lt;&gt;"",D705&gt;INDEX(Mitarbeiter!$D$6:$D$205,MATCH($A705,Mitarbeiter!$A$6:$A$205,0))),"nach Austritt",IF(E705="","offen","ok"))))))))</f>
        <v/>
      </c>
      <c r="J705" s="47">
        <f>IF(A705="","",IF(E705="",Einstellungen!$C$9,E705))</f>
        <v/>
      </c>
      <c r="K705" s="48">
        <f>IF(A705="",0,IFERROR(INDEX(Mitarbeiter!$F$6:$F$205,MATCH($A705,Mitarbeiter!$A$6:$A$205,0)),0))</f>
        <v/>
      </c>
      <c r="L705" s="49">
        <f>IF(OR(A705="",D705=""),0,MAX(0,NETWORKDAYS(MAX(D705,DATE(Einstellungen!$C$3,1,1)),MIN(J705,DATE(Einstellungen!$C$3,2,0)),Einstellungen!$F$13:$F$32)))</f>
        <v/>
      </c>
      <c r="M705" s="49">
        <f>IF(OR(A705="",D705=""),0,MAX(0,NETWORKDAYS(MAX(D705,DATE(Einstellungen!$C$3,2,1)),MIN(J705,DATE(Einstellungen!$C$3,3,0)),Einstellungen!$F$13:$F$32)))</f>
        <v/>
      </c>
      <c r="N705" s="49">
        <f>IF(OR(A705="",D705=""),0,MAX(0,NETWORKDAYS(MAX(D705,DATE(Einstellungen!$C$3,3,1)),MIN(J705,DATE(Einstellungen!$C$3,4,0)),Einstellungen!$F$13:$F$32)))</f>
        <v/>
      </c>
      <c r="O705" s="49">
        <f>IF(OR(A705="",D705=""),0,MAX(0,NETWORKDAYS(MAX(D705,DATE(Einstellungen!$C$3,4,1)),MIN(J705,DATE(Einstellungen!$C$3,5,0)),Einstellungen!$F$13:$F$32)))</f>
        <v/>
      </c>
      <c r="P705" s="49">
        <f>IF(OR(A705="",D705=""),0,MAX(0,NETWORKDAYS(MAX(D705,DATE(Einstellungen!$C$3,5,1)),MIN(J705,DATE(Einstellungen!$C$3,6,0)),Einstellungen!$F$13:$F$32)))</f>
        <v/>
      </c>
      <c r="Q705" s="49">
        <f>IF(OR(A705="",D705=""),0,MAX(0,NETWORKDAYS(MAX(D705,DATE(Einstellungen!$C$3,6,1)),MIN(J705,DATE(Einstellungen!$C$3,7,0)),Einstellungen!$F$13:$F$32)))</f>
        <v/>
      </c>
      <c r="R705" s="49">
        <f>IF(OR(A705="",D705=""),0,MAX(0,NETWORKDAYS(MAX(D705,DATE(Einstellungen!$C$3,7,1)),MIN(J705,DATE(Einstellungen!$C$3,8,0)),Einstellungen!$F$13:$F$32)))</f>
        <v/>
      </c>
      <c r="S705" s="49">
        <f>IF(OR(A705="",D705=""),0,MAX(0,NETWORKDAYS(MAX(D705,DATE(Einstellungen!$C$3,8,1)),MIN(J705,DATE(Einstellungen!$C$3,9,0)),Einstellungen!$F$13:$F$32)))</f>
        <v/>
      </c>
      <c r="T705" s="49">
        <f>IF(OR(A705="",D705=""),0,MAX(0,NETWORKDAYS(MAX(D705,DATE(Einstellungen!$C$3,9,1)),MIN(J705,DATE(Einstellungen!$C$3,10,0)),Einstellungen!$F$13:$F$32)))</f>
        <v/>
      </c>
      <c r="U705" s="49">
        <f>IF(OR(A705="",D705=""),0,MAX(0,NETWORKDAYS(MAX(D705,DATE(Einstellungen!$C$3,10,1)),MIN(J705,DATE(Einstellungen!$C$3,11,0)),Einstellungen!$F$13:$F$32)))</f>
        <v/>
      </c>
      <c r="V705" s="49">
        <f>IF(OR(A705="",D705=""),0,MAX(0,NETWORKDAYS(MAX(D705,DATE(Einstellungen!$C$3,11,1)),MIN(J705,DATE(Einstellungen!$C$3,12,0)),Einstellungen!$F$13:$F$32)))</f>
        <v/>
      </c>
      <c r="W705" s="49">
        <f>IF(OR(A705="",D705=""),0,MAX(0,NETWORKDAYS(MAX(D705,DATE(Einstellungen!$C$3,12,1)),MIN(J705,DATE(Einstellungen!$C$3,13,0)),Einstellungen!$F$13:$F$32)))</f>
        <v/>
      </c>
      <c r="X705" s="50">
        <f>L705*K705</f>
        <v/>
      </c>
      <c r="Y705" s="50">
        <f>M705*K705</f>
        <v/>
      </c>
      <c r="Z705" s="50">
        <f>N705*K705</f>
        <v/>
      </c>
      <c r="AA705" s="50">
        <f>O705*K705</f>
        <v/>
      </c>
      <c r="AB705" s="50">
        <f>P705*K705</f>
        <v/>
      </c>
      <c r="AC705" s="50">
        <f>Q705*K705</f>
        <v/>
      </c>
      <c r="AD705" s="50">
        <f>R705*K705</f>
        <v/>
      </c>
      <c r="AE705" s="50">
        <f>S705*K705</f>
        <v/>
      </c>
      <c r="AF705" s="50">
        <f>T705*K705</f>
        <v/>
      </c>
      <c r="AG705" s="50">
        <f>U705*K705</f>
        <v/>
      </c>
      <c r="AH705" s="50">
        <f>V705*K705</f>
        <v/>
      </c>
      <c r="AI705" s="50">
        <f>W705*K705</f>
        <v/>
      </c>
    </row>
    <row r="706">
      <c r="A706" s="25" t="n"/>
      <c r="B706" s="45">
        <f>IF(A706="","",IFERROR(INDEX(Mitarbeiter!$B$6:$B$205,MATCH($A706,Mitarbeiter!$A$6:$A$205,0)),"?"))</f>
        <v/>
      </c>
      <c r="C706" s="46" t="n"/>
      <c r="D706" s="26" t="n"/>
      <c r="E706" s="26" t="n"/>
      <c r="F706" s="24">
        <f>IF(A706="","",SUM(L706:W706))</f>
        <v/>
      </c>
      <c r="G706" s="36">
        <f>IF(A706="","",SUM(X706:AI706))</f>
        <v/>
      </c>
      <c r="H706" s="8">
        <f>IF(A706="","",IF(ISNA(MATCH(A706,Mitarbeiter!$A$6:$A$205,0)),"Pers.-Nr. unbekannt",IF(D706="","Von fehlt",IF(AND(C706&lt;&gt;Einstellungen!$C$4,C706&lt;&gt;Einstellungen!$C$5),"Objekt fehlt",IF(J706&lt;D706,"Bis vor Von",IF(D706&lt;INDEX(Mitarbeiter!$C$6:$C$205,MATCH($A706,Mitarbeiter!$A$6:$A$205,0)),"vor Eintritt",IF(AND(INDEX(Mitarbeiter!$D$6:$D$205,MATCH($A706,Mitarbeiter!$A$6:$A$205,0))&lt;&gt;"",D706&gt;INDEX(Mitarbeiter!$D$6:$D$205,MATCH($A706,Mitarbeiter!$A$6:$A$205,0))),"nach Austritt",IF(E706="","offen","ok"))))))))</f>
        <v/>
      </c>
      <c r="J706" s="47">
        <f>IF(A706="","",IF(E706="",Einstellungen!$C$9,E706))</f>
        <v/>
      </c>
      <c r="K706" s="48">
        <f>IF(A706="",0,IFERROR(INDEX(Mitarbeiter!$F$6:$F$205,MATCH($A706,Mitarbeiter!$A$6:$A$205,0)),0))</f>
        <v/>
      </c>
      <c r="L706" s="49">
        <f>IF(OR(A706="",D706=""),0,MAX(0,NETWORKDAYS(MAX(D706,DATE(Einstellungen!$C$3,1,1)),MIN(J706,DATE(Einstellungen!$C$3,2,0)),Einstellungen!$F$13:$F$32)))</f>
        <v/>
      </c>
      <c r="M706" s="49">
        <f>IF(OR(A706="",D706=""),0,MAX(0,NETWORKDAYS(MAX(D706,DATE(Einstellungen!$C$3,2,1)),MIN(J706,DATE(Einstellungen!$C$3,3,0)),Einstellungen!$F$13:$F$32)))</f>
        <v/>
      </c>
      <c r="N706" s="49">
        <f>IF(OR(A706="",D706=""),0,MAX(0,NETWORKDAYS(MAX(D706,DATE(Einstellungen!$C$3,3,1)),MIN(J706,DATE(Einstellungen!$C$3,4,0)),Einstellungen!$F$13:$F$32)))</f>
        <v/>
      </c>
      <c r="O706" s="49">
        <f>IF(OR(A706="",D706=""),0,MAX(0,NETWORKDAYS(MAX(D706,DATE(Einstellungen!$C$3,4,1)),MIN(J706,DATE(Einstellungen!$C$3,5,0)),Einstellungen!$F$13:$F$32)))</f>
        <v/>
      </c>
      <c r="P706" s="49">
        <f>IF(OR(A706="",D706=""),0,MAX(0,NETWORKDAYS(MAX(D706,DATE(Einstellungen!$C$3,5,1)),MIN(J706,DATE(Einstellungen!$C$3,6,0)),Einstellungen!$F$13:$F$32)))</f>
        <v/>
      </c>
      <c r="Q706" s="49">
        <f>IF(OR(A706="",D706=""),0,MAX(0,NETWORKDAYS(MAX(D706,DATE(Einstellungen!$C$3,6,1)),MIN(J706,DATE(Einstellungen!$C$3,7,0)),Einstellungen!$F$13:$F$32)))</f>
        <v/>
      </c>
      <c r="R706" s="49">
        <f>IF(OR(A706="",D706=""),0,MAX(0,NETWORKDAYS(MAX(D706,DATE(Einstellungen!$C$3,7,1)),MIN(J706,DATE(Einstellungen!$C$3,8,0)),Einstellungen!$F$13:$F$32)))</f>
        <v/>
      </c>
      <c r="S706" s="49">
        <f>IF(OR(A706="",D706=""),0,MAX(0,NETWORKDAYS(MAX(D706,DATE(Einstellungen!$C$3,8,1)),MIN(J706,DATE(Einstellungen!$C$3,9,0)),Einstellungen!$F$13:$F$32)))</f>
        <v/>
      </c>
      <c r="T706" s="49">
        <f>IF(OR(A706="",D706=""),0,MAX(0,NETWORKDAYS(MAX(D706,DATE(Einstellungen!$C$3,9,1)),MIN(J706,DATE(Einstellungen!$C$3,10,0)),Einstellungen!$F$13:$F$32)))</f>
        <v/>
      </c>
      <c r="U706" s="49">
        <f>IF(OR(A706="",D706=""),0,MAX(0,NETWORKDAYS(MAX(D706,DATE(Einstellungen!$C$3,10,1)),MIN(J706,DATE(Einstellungen!$C$3,11,0)),Einstellungen!$F$13:$F$32)))</f>
        <v/>
      </c>
      <c r="V706" s="49">
        <f>IF(OR(A706="",D706=""),0,MAX(0,NETWORKDAYS(MAX(D706,DATE(Einstellungen!$C$3,11,1)),MIN(J706,DATE(Einstellungen!$C$3,12,0)),Einstellungen!$F$13:$F$32)))</f>
        <v/>
      </c>
      <c r="W706" s="49">
        <f>IF(OR(A706="",D706=""),0,MAX(0,NETWORKDAYS(MAX(D706,DATE(Einstellungen!$C$3,12,1)),MIN(J706,DATE(Einstellungen!$C$3,13,0)),Einstellungen!$F$13:$F$32)))</f>
        <v/>
      </c>
      <c r="X706" s="50">
        <f>L706*K706</f>
        <v/>
      </c>
      <c r="Y706" s="50">
        <f>M706*K706</f>
        <v/>
      </c>
      <c r="Z706" s="50">
        <f>N706*K706</f>
        <v/>
      </c>
      <c r="AA706" s="50">
        <f>O706*K706</f>
        <v/>
      </c>
      <c r="AB706" s="50">
        <f>P706*K706</f>
        <v/>
      </c>
      <c r="AC706" s="50">
        <f>Q706*K706</f>
        <v/>
      </c>
      <c r="AD706" s="50">
        <f>R706*K706</f>
        <v/>
      </c>
      <c r="AE706" s="50">
        <f>S706*K706</f>
        <v/>
      </c>
      <c r="AF706" s="50">
        <f>T706*K706</f>
        <v/>
      </c>
      <c r="AG706" s="50">
        <f>U706*K706</f>
        <v/>
      </c>
      <c r="AH706" s="50">
        <f>V706*K706</f>
        <v/>
      </c>
      <c r="AI706" s="50">
        <f>W706*K706</f>
        <v/>
      </c>
    </row>
    <row r="707">
      <c r="A707" s="25" t="n"/>
      <c r="B707" s="45">
        <f>IF(A707="","",IFERROR(INDEX(Mitarbeiter!$B$6:$B$205,MATCH($A707,Mitarbeiter!$A$6:$A$205,0)),"?"))</f>
        <v/>
      </c>
      <c r="C707" s="46" t="n"/>
      <c r="D707" s="26" t="n"/>
      <c r="E707" s="26" t="n"/>
      <c r="F707" s="24">
        <f>IF(A707="","",SUM(L707:W707))</f>
        <v/>
      </c>
      <c r="G707" s="36">
        <f>IF(A707="","",SUM(X707:AI707))</f>
        <v/>
      </c>
      <c r="H707" s="8">
        <f>IF(A707="","",IF(ISNA(MATCH(A707,Mitarbeiter!$A$6:$A$205,0)),"Pers.-Nr. unbekannt",IF(D707="","Von fehlt",IF(AND(C707&lt;&gt;Einstellungen!$C$4,C707&lt;&gt;Einstellungen!$C$5),"Objekt fehlt",IF(J707&lt;D707,"Bis vor Von",IF(D707&lt;INDEX(Mitarbeiter!$C$6:$C$205,MATCH($A707,Mitarbeiter!$A$6:$A$205,0)),"vor Eintritt",IF(AND(INDEX(Mitarbeiter!$D$6:$D$205,MATCH($A707,Mitarbeiter!$A$6:$A$205,0))&lt;&gt;"",D707&gt;INDEX(Mitarbeiter!$D$6:$D$205,MATCH($A707,Mitarbeiter!$A$6:$A$205,0))),"nach Austritt",IF(E707="","offen","ok"))))))))</f>
        <v/>
      </c>
      <c r="J707" s="47">
        <f>IF(A707="","",IF(E707="",Einstellungen!$C$9,E707))</f>
        <v/>
      </c>
      <c r="K707" s="48">
        <f>IF(A707="",0,IFERROR(INDEX(Mitarbeiter!$F$6:$F$205,MATCH($A707,Mitarbeiter!$A$6:$A$205,0)),0))</f>
        <v/>
      </c>
      <c r="L707" s="49">
        <f>IF(OR(A707="",D707=""),0,MAX(0,NETWORKDAYS(MAX(D707,DATE(Einstellungen!$C$3,1,1)),MIN(J707,DATE(Einstellungen!$C$3,2,0)),Einstellungen!$F$13:$F$32)))</f>
        <v/>
      </c>
      <c r="M707" s="49">
        <f>IF(OR(A707="",D707=""),0,MAX(0,NETWORKDAYS(MAX(D707,DATE(Einstellungen!$C$3,2,1)),MIN(J707,DATE(Einstellungen!$C$3,3,0)),Einstellungen!$F$13:$F$32)))</f>
        <v/>
      </c>
      <c r="N707" s="49">
        <f>IF(OR(A707="",D707=""),0,MAX(0,NETWORKDAYS(MAX(D707,DATE(Einstellungen!$C$3,3,1)),MIN(J707,DATE(Einstellungen!$C$3,4,0)),Einstellungen!$F$13:$F$32)))</f>
        <v/>
      </c>
      <c r="O707" s="49">
        <f>IF(OR(A707="",D707=""),0,MAX(0,NETWORKDAYS(MAX(D707,DATE(Einstellungen!$C$3,4,1)),MIN(J707,DATE(Einstellungen!$C$3,5,0)),Einstellungen!$F$13:$F$32)))</f>
        <v/>
      </c>
      <c r="P707" s="49">
        <f>IF(OR(A707="",D707=""),0,MAX(0,NETWORKDAYS(MAX(D707,DATE(Einstellungen!$C$3,5,1)),MIN(J707,DATE(Einstellungen!$C$3,6,0)),Einstellungen!$F$13:$F$32)))</f>
        <v/>
      </c>
      <c r="Q707" s="49">
        <f>IF(OR(A707="",D707=""),0,MAX(0,NETWORKDAYS(MAX(D707,DATE(Einstellungen!$C$3,6,1)),MIN(J707,DATE(Einstellungen!$C$3,7,0)),Einstellungen!$F$13:$F$32)))</f>
        <v/>
      </c>
      <c r="R707" s="49">
        <f>IF(OR(A707="",D707=""),0,MAX(0,NETWORKDAYS(MAX(D707,DATE(Einstellungen!$C$3,7,1)),MIN(J707,DATE(Einstellungen!$C$3,8,0)),Einstellungen!$F$13:$F$32)))</f>
        <v/>
      </c>
      <c r="S707" s="49">
        <f>IF(OR(A707="",D707=""),0,MAX(0,NETWORKDAYS(MAX(D707,DATE(Einstellungen!$C$3,8,1)),MIN(J707,DATE(Einstellungen!$C$3,9,0)),Einstellungen!$F$13:$F$32)))</f>
        <v/>
      </c>
      <c r="T707" s="49">
        <f>IF(OR(A707="",D707=""),0,MAX(0,NETWORKDAYS(MAX(D707,DATE(Einstellungen!$C$3,9,1)),MIN(J707,DATE(Einstellungen!$C$3,10,0)),Einstellungen!$F$13:$F$32)))</f>
        <v/>
      </c>
      <c r="U707" s="49">
        <f>IF(OR(A707="",D707=""),0,MAX(0,NETWORKDAYS(MAX(D707,DATE(Einstellungen!$C$3,10,1)),MIN(J707,DATE(Einstellungen!$C$3,11,0)),Einstellungen!$F$13:$F$32)))</f>
        <v/>
      </c>
      <c r="V707" s="49">
        <f>IF(OR(A707="",D707=""),0,MAX(0,NETWORKDAYS(MAX(D707,DATE(Einstellungen!$C$3,11,1)),MIN(J707,DATE(Einstellungen!$C$3,12,0)),Einstellungen!$F$13:$F$32)))</f>
        <v/>
      </c>
      <c r="W707" s="49">
        <f>IF(OR(A707="",D707=""),0,MAX(0,NETWORKDAYS(MAX(D707,DATE(Einstellungen!$C$3,12,1)),MIN(J707,DATE(Einstellungen!$C$3,13,0)),Einstellungen!$F$13:$F$32)))</f>
        <v/>
      </c>
      <c r="X707" s="50">
        <f>L707*K707</f>
        <v/>
      </c>
      <c r="Y707" s="50">
        <f>M707*K707</f>
        <v/>
      </c>
      <c r="Z707" s="50">
        <f>N707*K707</f>
        <v/>
      </c>
      <c r="AA707" s="50">
        <f>O707*K707</f>
        <v/>
      </c>
      <c r="AB707" s="50">
        <f>P707*K707</f>
        <v/>
      </c>
      <c r="AC707" s="50">
        <f>Q707*K707</f>
        <v/>
      </c>
      <c r="AD707" s="50">
        <f>R707*K707</f>
        <v/>
      </c>
      <c r="AE707" s="50">
        <f>S707*K707</f>
        <v/>
      </c>
      <c r="AF707" s="50">
        <f>T707*K707</f>
        <v/>
      </c>
      <c r="AG707" s="50">
        <f>U707*K707</f>
        <v/>
      </c>
      <c r="AH707" s="50">
        <f>V707*K707</f>
        <v/>
      </c>
      <c r="AI707" s="50">
        <f>W707*K707</f>
        <v/>
      </c>
    </row>
    <row r="708">
      <c r="A708" s="25" t="n"/>
      <c r="B708" s="45">
        <f>IF(A708="","",IFERROR(INDEX(Mitarbeiter!$B$6:$B$205,MATCH($A708,Mitarbeiter!$A$6:$A$205,0)),"?"))</f>
        <v/>
      </c>
      <c r="C708" s="46" t="n"/>
      <c r="D708" s="26" t="n"/>
      <c r="E708" s="26" t="n"/>
      <c r="F708" s="24">
        <f>IF(A708="","",SUM(L708:W708))</f>
        <v/>
      </c>
      <c r="G708" s="36">
        <f>IF(A708="","",SUM(X708:AI708))</f>
        <v/>
      </c>
      <c r="H708" s="8">
        <f>IF(A708="","",IF(ISNA(MATCH(A708,Mitarbeiter!$A$6:$A$205,0)),"Pers.-Nr. unbekannt",IF(D708="","Von fehlt",IF(AND(C708&lt;&gt;Einstellungen!$C$4,C708&lt;&gt;Einstellungen!$C$5),"Objekt fehlt",IF(J708&lt;D708,"Bis vor Von",IF(D708&lt;INDEX(Mitarbeiter!$C$6:$C$205,MATCH($A708,Mitarbeiter!$A$6:$A$205,0)),"vor Eintritt",IF(AND(INDEX(Mitarbeiter!$D$6:$D$205,MATCH($A708,Mitarbeiter!$A$6:$A$205,0))&lt;&gt;"",D708&gt;INDEX(Mitarbeiter!$D$6:$D$205,MATCH($A708,Mitarbeiter!$A$6:$A$205,0))),"nach Austritt",IF(E708="","offen","ok"))))))))</f>
        <v/>
      </c>
      <c r="J708" s="47">
        <f>IF(A708="","",IF(E708="",Einstellungen!$C$9,E708))</f>
        <v/>
      </c>
      <c r="K708" s="48">
        <f>IF(A708="",0,IFERROR(INDEX(Mitarbeiter!$F$6:$F$205,MATCH($A708,Mitarbeiter!$A$6:$A$205,0)),0))</f>
        <v/>
      </c>
      <c r="L708" s="49">
        <f>IF(OR(A708="",D708=""),0,MAX(0,NETWORKDAYS(MAX(D708,DATE(Einstellungen!$C$3,1,1)),MIN(J708,DATE(Einstellungen!$C$3,2,0)),Einstellungen!$F$13:$F$32)))</f>
        <v/>
      </c>
      <c r="M708" s="49">
        <f>IF(OR(A708="",D708=""),0,MAX(0,NETWORKDAYS(MAX(D708,DATE(Einstellungen!$C$3,2,1)),MIN(J708,DATE(Einstellungen!$C$3,3,0)),Einstellungen!$F$13:$F$32)))</f>
        <v/>
      </c>
      <c r="N708" s="49">
        <f>IF(OR(A708="",D708=""),0,MAX(0,NETWORKDAYS(MAX(D708,DATE(Einstellungen!$C$3,3,1)),MIN(J708,DATE(Einstellungen!$C$3,4,0)),Einstellungen!$F$13:$F$32)))</f>
        <v/>
      </c>
      <c r="O708" s="49">
        <f>IF(OR(A708="",D708=""),0,MAX(0,NETWORKDAYS(MAX(D708,DATE(Einstellungen!$C$3,4,1)),MIN(J708,DATE(Einstellungen!$C$3,5,0)),Einstellungen!$F$13:$F$32)))</f>
        <v/>
      </c>
      <c r="P708" s="49">
        <f>IF(OR(A708="",D708=""),0,MAX(0,NETWORKDAYS(MAX(D708,DATE(Einstellungen!$C$3,5,1)),MIN(J708,DATE(Einstellungen!$C$3,6,0)),Einstellungen!$F$13:$F$32)))</f>
        <v/>
      </c>
      <c r="Q708" s="49">
        <f>IF(OR(A708="",D708=""),0,MAX(0,NETWORKDAYS(MAX(D708,DATE(Einstellungen!$C$3,6,1)),MIN(J708,DATE(Einstellungen!$C$3,7,0)),Einstellungen!$F$13:$F$32)))</f>
        <v/>
      </c>
      <c r="R708" s="49">
        <f>IF(OR(A708="",D708=""),0,MAX(0,NETWORKDAYS(MAX(D708,DATE(Einstellungen!$C$3,7,1)),MIN(J708,DATE(Einstellungen!$C$3,8,0)),Einstellungen!$F$13:$F$32)))</f>
        <v/>
      </c>
      <c r="S708" s="49">
        <f>IF(OR(A708="",D708=""),0,MAX(0,NETWORKDAYS(MAX(D708,DATE(Einstellungen!$C$3,8,1)),MIN(J708,DATE(Einstellungen!$C$3,9,0)),Einstellungen!$F$13:$F$32)))</f>
        <v/>
      </c>
      <c r="T708" s="49">
        <f>IF(OR(A708="",D708=""),0,MAX(0,NETWORKDAYS(MAX(D708,DATE(Einstellungen!$C$3,9,1)),MIN(J708,DATE(Einstellungen!$C$3,10,0)),Einstellungen!$F$13:$F$32)))</f>
        <v/>
      </c>
      <c r="U708" s="49">
        <f>IF(OR(A708="",D708=""),0,MAX(0,NETWORKDAYS(MAX(D708,DATE(Einstellungen!$C$3,10,1)),MIN(J708,DATE(Einstellungen!$C$3,11,0)),Einstellungen!$F$13:$F$32)))</f>
        <v/>
      </c>
      <c r="V708" s="49">
        <f>IF(OR(A708="",D708=""),0,MAX(0,NETWORKDAYS(MAX(D708,DATE(Einstellungen!$C$3,11,1)),MIN(J708,DATE(Einstellungen!$C$3,12,0)),Einstellungen!$F$13:$F$32)))</f>
        <v/>
      </c>
      <c r="W708" s="49">
        <f>IF(OR(A708="",D708=""),0,MAX(0,NETWORKDAYS(MAX(D708,DATE(Einstellungen!$C$3,12,1)),MIN(J708,DATE(Einstellungen!$C$3,13,0)),Einstellungen!$F$13:$F$32)))</f>
        <v/>
      </c>
      <c r="X708" s="50">
        <f>L708*K708</f>
        <v/>
      </c>
      <c r="Y708" s="50">
        <f>M708*K708</f>
        <v/>
      </c>
      <c r="Z708" s="50">
        <f>N708*K708</f>
        <v/>
      </c>
      <c r="AA708" s="50">
        <f>O708*K708</f>
        <v/>
      </c>
      <c r="AB708" s="50">
        <f>P708*K708</f>
        <v/>
      </c>
      <c r="AC708" s="50">
        <f>Q708*K708</f>
        <v/>
      </c>
      <c r="AD708" s="50">
        <f>R708*K708</f>
        <v/>
      </c>
      <c r="AE708" s="50">
        <f>S708*K708</f>
        <v/>
      </c>
      <c r="AF708" s="50">
        <f>T708*K708</f>
        <v/>
      </c>
      <c r="AG708" s="50">
        <f>U708*K708</f>
        <v/>
      </c>
      <c r="AH708" s="50">
        <f>V708*K708</f>
        <v/>
      </c>
      <c r="AI708" s="50">
        <f>W708*K708</f>
        <v/>
      </c>
    </row>
    <row r="709">
      <c r="A709" s="25" t="n"/>
      <c r="B709" s="45">
        <f>IF(A709="","",IFERROR(INDEX(Mitarbeiter!$B$6:$B$205,MATCH($A709,Mitarbeiter!$A$6:$A$205,0)),"?"))</f>
        <v/>
      </c>
      <c r="C709" s="46" t="n"/>
      <c r="D709" s="26" t="n"/>
      <c r="E709" s="26" t="n"/>
      <c r="F709" s="24">
        <f>IF(A709="","",SUM(L709:W709))</f>
        <v/>
      </c>
      <c r="G709" s="36">
        <f>IF(A709="","",SUM(X709:AI709))</f>
        <v/>
      </c>
      <c r="H709" s="8">
        <f>IF(A709="","",IF(ISNA(MATCH(A709,Mitarbeiter!$A$6:$A$205,0)),"Pers.-Nr. unbekannt",IF(D709="","Von fehlt",IF(AND(C709&lt;&gt;Einstellungen!$C$4,C709&lt;&gt;Einstellungen!$C$5),"Objekt fehlt",IF(J709&lt;D709,"Bis vor Von",IF(D709&lt;INDEX(Mitarbeiter!$C$6:$C$205,MATCH($A709,Mitarbeiter!$A$6:$A$205,0)),"vor Eintritt",IF(AND(INDEX(Mitarbeiter!$D$6:$D$205,MATCH($A709,Mitarbeiter!$A$6:$A$205,0))&lt;&gt;"",D709&gt;INDEX(Mitarbeiter!$D$6:$D$205,MATCH($A709,Mitarbeiter!$A$6:$A$205,0))),"nach Austritt",IF(E709="","offen","ok"))))))))</f>
        <v/>
      </c>
      <c r="J709" s="47">
        <f>IF(A709="","",IF(E709="",Einstellungen!$C$9,E709))</f>
        <v/>
      </c>
      <c r="K709" s="48">
        <f>IF(A709="",0,IFERROR(INDEX(Mitarbeiter!$F$6:$F$205,MATCH($A709,Mitarbeiter!$A$6:$A$205,0)),0))</f>
        <v/>
      </c>
      <c r="L709" s="49">
        <f>IF(OR(A709="",D709=""),0,MAX(0,NETWORKDAYS(MAX(D709,DATE(Einstellungen!$C$3,1,1)),MIN(J709,DATE(Einstellungen!$C$3,2,0)),Einstellungen!$F$13:$F$32)))</f>
        <v/>
      </c>
      <c r="M709" s="49">
        <f>IF(OR(A709="",D709=""),0,MAX(0,NETWORKDAYS(MAX(D709,DATE(Einstellungen!$C$3,2,1)),MIN(J709,DATE(Einstellungen!$C$3,3,0)),Einstellungen!$F$13:$F$32)))</f>
        <v/>
      </c>
      <c r="N709" s="49">
        <f>IF(OR(A709="",D709=""),0,MAX(0,NETWORKDAYS(MAX(D709,DATE(Einstellungen!$C$3,3,1)),MIN(J709,DATE(Einstellungen!$C$3,4,0)),Einstellungen!$F$13:$F$32)))</f>
        <v/>
      </c>
      <c r="O709" s="49">
        <f>IF(OR(A709="",D709=""),0,MAX(0,NETWORKDAYS(MAX(D709,DATE(Einstellungen!$C$3,4,1)),MIN(J709,DATE(Einstellungen!$C$3,5,0)),Einstellungen!$F$13:$F$32)))</f>
        <v/>
      </c>
      <c r="P709" s="49">
        <f>IF(OR(A709="",D709=""),0,MAX(0,NETWORKDAYS(MAX(D709,DATE(Einstellungen!$C$3,5,1)),MIN(J709,DATE(Einstellungen!$C$3,6,0)),Einstellungen!$F$13:$F$32)))</f>
        <v/>
      </c>
      <c r="Q709" s="49">
        <f>IF(OR(A709="",D709=""),0,MAX(0,NETWORKDAYS(MAX(D709,DATE(Einstellungen!$C$3,6,1)),MIN(J709,DATE(Einstellungen!$C$3,7,0)),Einstellungen!$F$13:$F$32)))</f>
        <v/>
      </c>
      <c r="R709" s="49">
        <f>IF(OR(A709="",D709=""),0,MAX(0,NETWORKDAYS(MAX(D709,DATE(Einstellungen!$C$3,7,1)),MIN(J709,DATE(Einstellungen!$C$3,8,0)),Einstellungen!$F$13:$F$32)))</f>
        <v/>
      </c>
      <c r="S709" s="49">
        <f>IF(OR(A709="",D709=""),0,MAX(0,NETWORKDAYS(MAX(D709,DATE(Einstellungen!$C$3,8,1)),MIN(J709,DATE(Einstellungen!$C$3,9,0)),Einstellungen!$F$13:$F$32)))</f>
        <v/>
      </c>
      <c r="T709" s="49">
        <f>IF(OR(A709="",D709=""),0,MAX(0,NETWORKDAYS(MAX(D709,DATE(Einstellungen!$C$3,9,1)),MIN(J709,DATE(Einstellungen!$C$3,10,0)),Einstellungen!$F$13:$F$32)))</f>
        <v/>
      </c>
      <c r="U709" s="49">
        <f>IF(OR(A709="",D709=""),0,MAX(0,NETWORKDAYS(MAX(D709,DATE(Einstellungen!$C$3,10,1)),MIN(J709,DATE(Einstellungen!$C$3,11,0)),Einstellungen!$F$13:$F$32)))</f>
        <v/>
      </c>
      <c r="V709" s="49">
        <f>IF(OR(A709="",D709=""),0,MAX(0,NETWORKDAYS(MAX(D709,DATE(Einstellungen!$C$3,11,1)),MIN(J709,DATE(Einstellungen!$C$3,12,0)),Einstellungen!$F$13:$F$32)))</f>
        <v/>
      </c>
      <c r="W709" s="49">
        <f>IF(OR(A709="",D709=""),0,MAX(0,NETWORKDAYS(MAX(D709,DATE(Einstellungen!$C$3,12,1)),MIN(J709,DATE(Einstellungen!$C$3,13,0)),Einstellungen!$F$13:$F$32)))</f>
        <v/>
      </c>
      <c r="X709" s="50">
        <f>L709*K709</f>
        <v/>
      </c>
      <c r="Y709" s="50">
        <f>M709*K709</f>
        <v/>
      </c>
      <c r="Z709" s="50">
        <f>N709*K709</f>
        <v/>
      </c>
      <c r="AA709" s="50">
        <f>O709*K709</f>
        <v/>
      </c>
      <c r="AB709" s="50">
        <f>P709*K709</f>
        <v/>
      </c>
      <c r="AC709" s="50">
        <f>Q709*K709</f>
        <v/>
      </c>
      <c r="AD709" s="50">
        <f>R709*K709</f>
        <v/>
      </c>
      <c r="AE709" s="50">
        <f>S709*K709</f>
        <v/>
      </c>
      <c r="AF709" s="50">
        <f>T709*K709</f>
        <v/>
      </c>
      <c r="AG709" s="50">
        <f>U709*K709</f>
        <v/>
      </c>
      <c r="AH709" s="50">
        <f>V709*K709</f>
        <v/>
      </c>
      <c r="AI709" s="50">
        <f>W709*K709</f>
        <v/>
      </c>
    </row>
    <row r="710">
      <c r="A710" s="25" t="n"/>
      <c r="B710" s="45">
        <f>IF(A710="","",IFERROR(INDEX(Mitarbeiter!$B$6:$B$205,MATCH($A710,Mitarbeiter!$A$6:$A$205,0)),"?"))</f>
        <v/>
      </c>
      <c r="C710" s="46" t="n"/>
      <c r="D710" s="26" t="n"/>
      <c r="E710" s="26" t="n"/>
      <c r="F710" s="24">
        <f>IF(A710="","",SUM(L710:W710))</f>
        <v/>
      </c>
      <c r="G710" s="36">
        <f>IF(A710="","",SUM(X710:AI710))</f>
        <v/>
      </c>
      <c r="H710" s="8">
        <f>IF(A710="","",IF(ISNA(MATCH(A710,Mitarbeiter!$A$6:$A$205,0)),"Pers.-Nr. unbekannt",IF(D710="","Von fehlt",IF(AND(C710&lt;&gt;Einstellungen!$C$4,C710&lt;&gt;Einstellungen!$C$5),"Objekt fehlt",IF(J710&lt;D710,"Bis vor Von",IF(D710&lt;INDEX(Mitarbeiter!$C$6:$C$205,MATCH($A710,Mitarbeiter!$A$6:$A$205,0)),"vor Eintritt",IF(AND(INDEX(Mitarbeiter!$D$6:$D$205,MATCH($A710,Mitarbeiter!$A$6:$A$205,0))&lt;&gt;"",D710&gt;INDEX(Mitarbeiter!$D$6:$D$205,MATCH($A710,Mitarbeiter!$A$6:$A$205,0))),"nach Austritt",IF(E710="","offen","ok"))))))))</f>
        <v/>
      </c>
      <c r="J710" s="47">
        <f>IF(A710="","",IF(E710="",Einstellungen!$C$9,E710))</f>
        <v/>
      </c>
      <c r="K710" s="48">
        <f>IF(A710="",0,IFERROR(INDEX(Mitarbeiter!$F$6:$F$205,MATCH($A710,Mitarbeiter!$A$6:$A$205,0)),0))</f>
        <v/>
      </c>
      <c r="L710" s="49">
        <f>IF(OR(A710="",D710=""),0,MAX(0,NETWORKDAYS(MAX(D710,DATE(Einstellungen!$C$3,1,1)),MIN(J710,DATE(Einstellungen!$C$3,2,0)),Einstellungen!$F$13:$F$32)))</f>
        <v/>
      </c>
      <c r="M710" s="49">
        <f>IF(OR(A710="",D710=""),0,MAX(0,NETWORKDAYS(MAX(D710,DATE(Einstellungen!$C$3,2,1)),MIN(J710,DATE(Einstellungen!$C$3,3,0)),Einstellungen!$F$13:$F$32)))</f>
        <v/>
      </c>
      <c r="N710" s="49">
        <f>IF(OR(A710="",D710=""),0,MAX(0,NETWORKDAYS(MAX(D710,DATE(Einstellungen!$C$3,3,1)),MIN(J710,DATE(Einstellungen!$C$3,4,0)),Einstellungen!$F$13:$F$32)))</f>
        <v/>
      </c>
      <c r="O710" s="49">
        <f>IF(OR(A710="",D710=""),0,MAX(0,NETWORKDAYS(MAX(D710,DATE(Einstellungen!$C$3,4,1)),MIN(J710,DATE(Einstellungen!$C$3,5,0)),Einstellungen!$F$13:$F$32)))</f>
        <v/>
      </c>
      <c r="P710" s="49">
        <f>IF(OR(A710="",D710=""),0,MAX(0,NETWORKDAYS(MAX(D710,DATE(Einstellungen!$C$3,5,1)),MIN(J710,DATE(Einstellungen!$C$3,6,0)),Einstellungen!$F$13:$F$32)))</f>
        <v/>
      </c>
      <c r="Q710" s="49">
        <f>IF(OR(A710="",D710=""),0,MAX(0,NETWORKDAYS(MAX(D710,DATE(Einstellungen!$C$3,6,1)),MIN(J710,DATE(Einstellungen!$C$3,7,0)),Einstellungen!$F$13:$F$32)))</f>
        <v/>
      </c>
      <c r="R710" s="49">
        <f>IF(OR(A710="",D710=""),0,MAX(0,NETWORKDAYS(MAX(D710,DATE(Einstellungen!$C$3,7,1)),MIN(J710,DATE(Einstellungen!$C$3,8,0)),Einstellungen!$F$13:$F$32)))</f>
        <v/>
      </c>
      <c r="S710" s="49">
        <f>IF(OR(A710="",D710=""),0,MAX(0,NETWORKDAYS(MAX(D710,DATE(Einstellungen!$C$3,8,1)),MIN(J710,DATE(Einstellungen!$C$3,9,0)),Einstellungen!$F$13:$F$32)))</f>
        <v/>
      </c>
      <c r="T710" s="49">
        <f>IF(OR(A710="",D710=""),0,MAX(0,NETWORKDAYS(MAX(D710,DATE(Einstellungen!$C$3,9,1)),MIN(J710,DATE(Einstellungen!$C$3,10,0)),Einstellungen!$F$13:$F$32)))</f>
        <v/>
      </c>
      <c r="U710" s="49">
        <f>IF(OR(A710="",D710=""),0,MAX(0,NETWORKDAYS(MAX(D710,DATE(Einstellungen!$C$3,10,1)),MIN(J710,DATE(Einstellungen!$C$3,11,0)),Einstellungen!$F$13:$F$32)))</f>
        <v/>
      </c>
      <c r="V710" s="49">
        <f>IF(OR(A710="",D710=""),0,MAX(0,NETWORKDAYS(MAX(D710,DATE(Einstellungen!$C$3,11,1)),MIN(J710,DATE(Einstellungen!$C$3,12,0)),Einstellungen!$F$13:$F$32)))</f>
        <v/>
      </c>
      <c r="W710" s="49">
        <f>IF(OR(A710="",D710=""),0,MAX(0,NETWORKDAYS(MAX(D710,DATE(Einstellungen!$C$3,12,1)),MIN(J710,DATE(Einstellungen!$C$3,13,0)),Einstellungen!$F$13:$F$32)))</f>
        <v/>
      </c>
      <c r="X710" s="50">
        <f>L710*K710</f>
        <v/>
      </c>
      <c r="Y710" s="50">
        <f>M710*K710</f>
        <v/>
      </c>
      <c r="Z710" s="50">
        <f>N710*K710</f>
        <v/>
      </c>
      <c r="AA710" s="50">
        <f>O710*K710</f>
        <v/>
      </c>
      <c r="AB710" s="50">
        <f>P710*K710</f>
        <v/>
      </c>
      <c r="AC710" s="50">
        <f>Q710*K710</f>
        <v/>
      </c>
      <c r="AD710" s="50">
        <f>R710*K710</f>
        <v/>
      </c>
      <c r="AE710" s="50">
        <f>S710*K710</f>
        <v/>
      </c>
      <c r="AF710" s="50">
        <f>T710*K710</f>
        <v/>
      </c>
      <c r="AG710" s="50">
        <f>U710*K710</f>
        <v/>
      </c>
      <c r="AH710" s="50">
        <f>V710*K710</f>
        <v/>
      </c>
      <c r="AI710" s="50">
        <f>W710*K710</f>
        <v/>
      </c>
    </row>
    <row r="711">
      <c r="A711" s="25" t="n"/>
      <c r="B711" s="45">
        <f>IF(A711="","",IFERROR(INDEX(Mitarbeiter!$B$6:$B$205,MATCH($A711,Mitarbeiter!$A$6:$A$205,0)),"?"))</f>
        <v/>
      </c>
      <c r="C711" s="46" t="n"/>
      <c r="D711" s="26" t="n"/>
      <c r="E711" s="26" t="n"/>
      <c r="F711" s="24">
        <f>IF(A711="","",SUM(L711:W711))</f>
        <v/>
      </c>
      <c r="G711" s="36">
        <f>IF(A711="","",SUM(X711:AI711))</f>
        <v/>
      </c>
      <c r="H711" s="8">
        <f>IF(A711="","",IF(ISNA(MATCH(A711,Mitarbeiter!$A$6:$A$205,0)),"Pers.-Nr. unbekannt",IF(D711="","Von fehlt",IF(AND(C711&lt;&gt;Einstellungen!$C$4,C711&lt;&gt;Einstellungen!$C$5),"Objekt fehlt",IF(J711&lt;D711,"Bis vor Von",IF(D711&lt;INDEX(Mitarbeiter!$C$6:$C$205,MATCH($A711,Mitarbeiter!$A$6:$A$205,0)),"vor Eintritt",IF(AND(INDEX(Mitarbeiter!$D$6:$D$205,MATCH($A711,Mitarbeiter!$A$6:$A$205,0))&lt;&gt;"",D711&gt;INDEX(Mitarbeiter!$D$6:$D$205,MATCH($A711,Mitarbeiter!$A$6:$A$205,0))),"nach Austritt",IF(E711="","offen","ok"))))))))</f>
        <v/>
      </c>
      <c r="J711" s="47">
        <f>IF(A711="","",IF(E711="",Einstellungen!$C$9,E711))</f>
        <v/>
      </c>
      <c r="K711" s="48">
        <f>IF(A711="",0,IFERROR(INDEX(Mitarbeiter!$F$6:$F$205,MATCH($A711,Mitarbeiter!$A$6:$A$205,0)),0))</f>
        <v/>
      </c>
      <c r="L711" s="49">
        <f>IF(OR(A711="",D711=""),0,MAX(0,NETWORKDAYS(MAX(D711,DATE(Einstellungen!$C$3,1,1)),MIN(J711,DATE(Einstellungen!$C$3,2,0)),Einstellungen!$F$13:$F$32)))</f>
        <v/>
      </c>
      <c r="M711" s="49">
        <f>IF(OR(A711="",D711=""),0,MAX(0,NETWORKDAYS(MAX(D711,DATE(Einstellungen!$C$3,2,1)),MIN(J711,DATE(Einstellungen!$C$3,3,0)),Einstellungen!$F$13:$F$32)))</f>
        <v/>
      </c>
      <c r="N711" s="49">
        <f>IF(OR(A711="",D711=""),0,MAX(0,NETWORKDAYS(MAX(D711,DATE(Einstellungen!$C$3,3,1)),MIN(J711,DATE(Einstellungen!$C$3,4,0)),Einstellungen!$F$13:$F$32)))</f>
        <v/>
      </c>
      <c r="O711" s="49">
        <f>IF(OR(A711="",D711=""),0,MAX(0,NETWORKDAYS(MAX(D711,DATE(Einstellungen!$C$3,4,1)),MIN(J711,DATE(Einstellungen!$C$3,5,0)),Einstellungen!$F$13:$F$32)))</f>
        <v/>
      </c>
      <c r="P711" s="49">
        <f>IF(OR(A711="",D711=""),0,MAX(0,NETWORKDAYS(MAX(D711,DATE(Einstellungen!$C$3,5,1)),MIN(J711,DATE(Einstellungen!$C$3,6,0)),Einstellungen!$F$13:$F$32)))</f>
        <v/>
      </c>
      <c r="Q711" s="49">
        <f>IF(OR(A711="",D711=""),0,MAX(0,NETWORKDAYS(MAX(D711,DATE(Einstellungen!$C$3,6,1)),MIN(J711,DATE(Einstellungen!$C$3,7,0)),Einstellungen!$F$13:$F$32)))</f>
        <v/>
      </c>
      <c r="R711" s="49">
        <f>IF(OR(A711="",D711=""),0,MAX(0,NETWORKDAYS(MAX(D711,DATE(Einstellungen!$C$3,7,1)),MIN(J711,DATE(Einstellungen!$C$3,8,0)),Einstellungen!$F$13:$F$32)))</f>
        <v/>
      </c>
      <c r="S711" s="49">
        <f>IF(OR(A711="",D711=""),0,MAX(0,NETWORKDAYS(MAX(D711,DATE(Einstellungen!$C$3,8,1)),MIN(J711,DATE(Einstellungen!$C$3,9,0)),Einstellungen!$F$13:$F$32)))</f>
        <v/>
      </c>
      <c r="T711" s="49">
        <f>IF(OR(A711="",D711=""),0,MAX(0,NETWORKDAYS(MAX(D711,DATE(Einstellungen!$C$3,9,1)),MIN(J711,DATE(Einstellungen!$C$3,10,0)),Einstellungen!$F$13:$F$32)))</f>
        <v/>
      </c>
      <c r="U711" s="49">
        <f>IF(OR(A711="",D711=""),0,MAX(0,NETWORKDAYS(MAX(D711,DATE(Einstellungen!$C$3,10,1)),MIN(J711,DATE(Einstellungen!$C$3,11,0)),Einstellungen!$F$13:$F$32)))</f>
        <v/>
      </c>
      <c r="V711" s="49">
        <f>IF(OR(A711="",D711=""),0,MAX(0,NETWORKDAYS(MAX(D711,DATE(Einstellungen!$C$3,11,1)),MIN(J711,DATE(Einstellungen!$C$3,12,0)),Einstellungen!$F$13:$F$32)))</f>
        <v/>
      </c>
      <c r="W711" s="49">
        <f>IF(OR(A711="",D711=""),0,MAX(0,NETWORKDAYS(MAX(D711,DATE(Einstellungen!$C$3,12,1)),MIN(J711,DATE(Einstellungen!$C$3,13,0)),Einstellungen!$F$13:$F$32)))</f>
        <v/>
      </c>
      <c r="X711" s="50">
        <f>L711*K711</f>
        <v/>
      </c>
      <c r="Y711" s="50">
        <f>M711*K711</f>
        <v/>
      </c>
      <c r="Z711" s="50">
        <f>N711*K711</f>
        <v/>
      </c>
      <c r="AA711" s="50">
        <f>O711*K711</f>
        <v/>
      </c>
      <c r="AB711" s="50">
        <f>P711*K711</f>
        <v/>
      </c>
      <c r="AC711" s="50">
        <f>Q711*K711</f>
        <v/>
      </c>
      <c r="AD711" s="50">
        <f>R711*K711</f>
        <v/>
      </c>
      <c r="AE711" s="50">
        <f>S711*K711</f>
        <v/>
      </c>
      <c r="AF711" s="50">
        <f>T711*K711</f>
        <v/>
      </c>
      <c r="AG711" s="50">
        <f>U711*K711</f>
        <v/>
      </c>
      <c r="AH711" s="50">
        <f>V711*K711</f>
        <v/>
      </c>
      <c r="AI711" s="50">
        <f>W711*K711</f>
        <v/>
      </c>
    </row>
    <row r="712">
      <c r="A712" s="25" t="n"/>
      <c r="B712" s="45">
        <f>IF(A712="","",IFERROR(INDEX(Mitarbeiter!$B$6:$B$205,MATCH($A712,Mitarbeiter!$A$6:$A$205,0)),"?"))</f>
        <v/>
      </c>
      <c r="C712" s="46" t="n"/>
      <c r="D712" s="26" t="n"/>
      <c r="E712" s="26" t="n"/>
      <c r="F712" s="24">
        <f>IF(A712="","",SUM(L712:W712))</f>
        <v/>
      </c>
      <c r="G712" s="36">
        <f>IF(A712="","",SUM(X712:AI712))</f>
        <v/>
      </c>
      <c r="H712" s="8">
        <f>IF(A712="","",IF(ISNA(MATCH(A712,Mitarbeiter!$A$6:$A$205,0)),"Pers.-Nr. unbekannt",IF(D712="","Von fehlt",IF(AND(C712&lt;&gt;Einstellungen!$C$4,C712&lt;&gt;Einstellungen!$C$5),"Objekt fehlt",IF(J712&lt;D712,"Bis vor Von",IF(D712&lt;INDEX(Mitarbeiter!$C$6:$C$205,MATCH($A712,Mitarbeiter!$A$6:$A$205,0)),"vor Eintritt",IF(AND(INDEX(Mitarbeiter!$D$6:$D$205,MATCH($A712,Mitarbeiter!$A$6:$A$205,0))&lt;&gt;"",D712&gt;INDEX(Mitarbeiter!$D$6:$D$205,MATCH($A712,Mitarbeiter!$A$6:$A$205,0))),"nach Austritt",IF(E712="","offen","ok"))))))))</f>
        <v/>
      </c>
      <c r="J712" s="47">
        <f>IF(A712="","",IF(E712="",Einstellungen!$C$9,E712))</f>
        <v/>
      </c>
      <c r="K712" s="48">
        <f>IF(A712="",0,IFERROR(INDEX(Mitarbeiter!$F$6:$F$205,MATCH($A712,Mitarbeiter!$A$6:$A$205,0)),0))</f>
        <v/>
      </c>
      <c r="L712" s="49">
        <f>IF(OR(A712="",D712=""),0,MAX(0,NETWORKDAYS(MAX(D712,DATE(Einstellungen!$C$3,1,1)),MIN(J712,DATE(Einstellungen!$C$3,2,0)),Einstellungen!$F$13:$F$32)))</f>
        <v/>
      </c>
      <c r="M712" s="49">
        <f>IF(OR(A712="",D712=""),0,MAX(0,NETWORKDAYS(MAX(D712,DATE(Einstellungen!$C$3,2,1)),MIN(J712,DATE(Einstellungen!$C$3,3,0)),Einstellungen!$F$13:$F$32)))</f>
        <v/>
      </c>
      <c r="N712" s="49">
        <f>IF(OR(A712="",D712=""),0,MAX(0,NETWORKDAYS(MAX(D712,DATE(Einstellungen!$C$3,3,1)),MIN(J712,DATE(Einstellungen!$C$3,4,0)),Einstellungen!$F$13:$F$32)))</f>
        <v/>
      </c>
      <c r="O712" s="49">
        <f>IF(OR(A712="",D712=""),0,MAX(0,NETWORKDAYS(MAX(D712,DATE(Einstellungen!$C$3,4,1)),MIN(J712,DATE(Einstellungen!$C$3,5,0)),Einstellungen!$F$13:$F$32)))</f>
        <v/>
      </c>
      <c r="P712" s="49">
        <f>IF(OR(A712="",D712=""),0,MAX(0,NETWORKDAYS(MAX(D712,DATE(Einstellungen!$C$3,5,1)),MIN(J712,DATE(Einstellungen!$C$3,6,0)),Einstellungen!$F$13:$F$32)))</f>
        <v/>
      </c>
      <c r="Q712" s="49">
        <f>IF(OR(A712="",D712=""),0,MAX(0,NETWORKDAYS(MAX(D712,DATE(Einstellungen!$C$3,6,1)),MIN(J712,DATE(Einstellungen!$C$3,7,0)),Einstellungen!$F$13:$F$32)))</f>
        <v/>
      </c>
      <c r="R712" s="49">
        <f>IF(OR(A712="",D712=""),0,MAX(0,NETWORKDAYS(MAX(D712,DATE(Einstellungen!$C$3,7,1)),MIN(J712,DATE(Einstellungen!$C$3,8,0)),Einstellungen!$F$13:$F$32)))</f>
        <v/>
      </c>
      <c r="S712" s="49">
        <f>IF(OR(A712="",D712=""),0,MAX(0,NETWORKDAYS(MAX(D712,DATE(Einstellungen!$C$3,8,1)),MIN(J712,DATE(Einstellungen!$C$3,9,0)),Einstellungen!$F$13:$F$32)))</f>
        <v/>
      </c>
      <c r="T712" s="49">
        <f>IF(OR(A712="",D712=""),0,MAX(0,NETWORKDAYS(MAX(D712,DATE(Einstellungen!$C$3,9,1)),MIN(J712,DATE(Einstellungen!$C$3,10,0)),Einstellungen!$F$13:$F$32)))</f>
        <v/>
      </c>
      <c r="U712" s="49">
        <f>IF(OR(A712="",D712=""),0,MAX(0,NETWORKDAYS(MAX(D712,DATE(Einstellungen!$C$3,10,1)),MIN(J712,DATE(Einstellungen!$C$3,11,0)),Einstellungen!$F$13:$F$32)))</f>
        <v/>
      </c>
      <c r="V712" s="49">
        <f>IF(OR(A712="",D712=""),0,MAX(0,NETWORKDAYS(MAX(D712,DATE(Einstellungen!$C$3,11,1)),MIN(J712,DATE(Einstellungen!$C$3,12,0)),Einstellungen!$F$13:$F$32)))</f>
        <v/>
      </c>
      <c r="W712" s="49">
        <f>IF(OR(A712="",D712=""),0,MAX(0,NETWORKDAYS(MAX(D712,DATE(Einstellungen!$C$3,12,1)),MIN(J712,DATE(Einstellungen!$C$3,13,0)),Einstellungen!$F$13:$F$32)))</f>
        <v/>
      </c>
      <c r="X712" s="50">
        <f>L712*K712</f>
        <v/>
      </c>
      <c r="Y712" s="50">
        <f>M712*K712</f>
        <v/>
      </c>
      <c r="Z712" s="50">
        <f>N712*K712</f>
        <v/>
      </c>
      <c r="AA712" s="50">
        <f>O712*K712</f>
        <v/>
      </c>
      <c r="AB712" s="50">
        <f>P712*K712</f>
        <v/>
      </c>
      <c r="AC712" s="50">
        <f>Q712*K712</f>
        <v/>
      </c>
      <c r="AD712" s="50">
        <f>R712*K712</f>
        <v/>
      </c>
      <c r="AE712" s="50">
        <f>S712*K712</f>
        <v/>
      </c>
      <c r="AF712" s="50">
        <f>T712*K712</f>
        <v/>
      </c>
      <c r="AG712" s="50">
        <f>U712*K712</f>
        <v/>
      </c>
      <c r="AH712" s="50">
        <f>V712*K712</f>
        <v/>
      </c>
      <c r="AI712" s="50">
        <f>W712*K712</f>
        <v/>
      </c>
    </row>
    <row r="713">
      <c r="A713" s="25" t="n"/>
      <c r="B713" s="45">
        <f>IF(A713="","",IFERROR(INDEX(Mitarbeiter!$B$6:$B$205,MATCH($A713,Mitarbeiter!$A$6:$A$205,0)),"?"))</f>
        <v/>
      </c>
      <c r="C713" s="46" t="n"/>
      <c r="D713" s="26" t="n"/>
      <c r="E713" s="26" t="n"/>
      <c r="F713" s="24">
        <f>IF(A713="","",SUM(L713:W713))</f>
        <v/>
      </c>
      <c r="G713" s="36">
        <f>IF(A713="","",SUM(X713:AI713))</f>
        <v/>
      </c>
      <c r="H713" s="8">
        <f>IF(A713="","",IF(ISNA(MATCH(A713,Mitarbeiter!$A$6:$A$205,0)),"Pers.-Nr. unbekannt",IF(D713="","Von fehlt",IF(AND(C713&lt;&gt;Einstellungen!$C$4,C713&lt;&gt;Einstellungen!$C$5),"Objekt fehlt",IF(J713&lt;D713,"Bis vor Von",IF(D713&lt;INDEX(Mitarbeiter!$C$6:$C$205,MATCH($A713,Mitarbeiter!$A$6:$A$205,0)),"vor Eintritt",IF(AND(INDEX(Mitarbeiter!$D$6:$D$205,MATCH($A713,Mitarbeiter!$A$6:$A$205,0))&lt;&gt;"",D713&gt;INDEX(Mitarbeiter!$D$6:$D$205,MATCH($A713,Mitarbeiter!$A$6:$A$205,0))),"nach Austritt",IF(E713="","offen","ok"))))))))</f>
        <v/>
      </c>
      <c r="J713" s="47">
        <f>IF(A713="","",IF(E713="",Einstellungen!$C$9,E713))</f>
        <v/>
      </c>
      <c r="K713" s="48">
        <f>IF(A713="",0,IFERROR(INDEX(Mitarbeiter!$F$6:$F$205,MATCH($A713,Mitarbeiter!$A$6:$A$205,0)),0))</f>
        <v/>
      </c>
      <c r="L713" s="49">
        <f>IF(OR(A713="",D713=""),0,MAX(0,NETWORKDAYS(MAX(D713,DATE(Einstellungen!$C$3,1,1)),MIN(J713,DATE(Einstellungen!$C$3,2,0)),Einstellungen!$F$13:$F$32)))</f>
        <v/>
      </c>
      <c r="M713" s="49">
        <f>IF(OR(A713="",D713=""),0,MAX(0,NETWORKDAYS(MAX(D713,DATE(Einstellungen!$C$3,2,1)),MIN(J713,DATE(Einstellungen!$C$3,3,0)),Einstellungen!$F$13:$F$32)))</f>
        <v/>
      </c>
      <c r="N713" s="49">
        <f>IF(OR(A713="",D713=""),0,MAX(0,NETWORKDAYS(MAX(D713,DATE(Einstellungen!$C$3,3,1)),MIN(J713,DATE(Einstellungen!$C$3,4,0)),Einstellungen!$F$13:$F$32)))</f>
        <v/>
      </c>
      <c r="O713" s="49">
        <f>IF(OR(A713="",D713=""),0,MAX(0,NETWORKDAYS(MAX(D713,DATE(Einstellungen!$C$3,4,1)),MIN(J713,DATE(Einstellungen!$C$3,5,0)),Einstellungen!$F$13:$F$32)))</f>
        <v/>
      </c>
      <c r="P713" s="49">
        <f>IF(OR(A713="",D713=""),0,MAX(0,NETWORKDAYS(MAX(D713,DATE(Einstellungen!$C$3,5,1)),MIN(J713,DATE(Einstellungen!$C$3,6,0)),Einstellungen!$F$13:$F$32)))</f>
        <v/>
      </c>
      <c r="Q713" s="49">
        <f>IF(OR(A713="",D713=""),0,MAX(0,NETWORKDAYS(MAX(D713,DATE(Einstellungen!$C$3,6,1)),MIN(J713,DATE(Einstellungen!$C$3,7,0)),Einstellungen!$F$13:$F$32)))</f>
        <v/>
      </c>
      <c r="R713" s="49">
        <f>IF(OR(A713="",D713=""),0,MAX(0,NETWORKDAYS(MAX(D713,DATE(Einstellungen!$C$3,7,1)),MIN(J713,DATE(Einstellungen!$C$3,8,0)),Einstellungen!$F$13:$F$32)))</f>
        <v/>
      </c>
      <c r="S713" s="49">
        <f>IF(OR(A713="",D713=""),0,MAX(0,NETWORKDAYS(MAX(D713,DATE(Einstellungen!$C$3,8,1)),MIN(J713,DATE(Einstellungen!$C$3,9,0)),Einstellungen!$F$13:$F$32)))</f>
        <v/>
      </c>
      <c r="T713" s="49">
        <f>IF(OR(A713="",D713=""),0,MAX(0,NETWORKDAYS(MAX(D713,DATE(Einstellungen!$C$3,9,1)),MIN(J713,DATE(Einstellungen!$C$3,10,0)),Einstellungen!$F$13:$F$32)))</f>
        <v/>
      </c>
      <c r="U713" s="49">
        <f>IF(OR(A713="",D713=""),0,MAX(0,NETWORKDAYS(MAX(D713,DATE(Einstellungen!$C$3,10,1)),MIN(J713,DATE(Einstellungen!$C$3,11,0)),Einstellungen!$F$13:$F$32)))</f>
        <v/>
      </c>
      <c r="V713" s="49">
        <f>IF(OR(A713="",D713=""),0,MAX(0,NETWORKDAYS(MAX(D713,DATE(Einstellungen!$C$3,11,1)),MIN(J713,DATE(Einstellungen!$C$3,12,0)),Einstellungen!$F$13:$F$32)))</f>
        <v/>
      </c>
      <c r="W713" s="49">
        <f>IF(OR(A713="",D713=""),0,MAX(0,NETWORKDAYS(MAX(D713,DATE(Einstellungen!$C$3,12,1)),MIN(J713,DATE(Einstellungen!$C$3,13,0)),Einstellungen!$F$13:$F$32)))</f>
        <v/>
      </c>
      <c r="X713" s="50">
        <f>L713*K713</f>
        <v/>
      </c>
      <c r="Y713" s="50">
        <f>M713*K713</f>
        <v/>
      </c>
      <c r="Z713" s="50">
        <f>N713*K713</f>
        <v/>
      </c>
      <c r="AA713" s="50">
        <f>O713*K713</f>
        <v/>
      </c>
      <c r="AB713" s="50">
        <f>P713*K713</f>
        <v/>
      </c>
      <c r="AC713" s="50">
        <f>Q713*K713</f>
        <v/>
      </c>
      <c r="AD713" s="50">
        <f>R713*K713</f>
        <v/>
      </c>
      <c r="AE713" s="50">
        <f>S713*K713</f>
        <v/>
      </c>
      <c r="AF713" s="50">
        <f>T713*K713</f>
        <v/>
      </c>
      <c r="AG713" s="50">
        <f>U713*K713</f>
        <v/>
      </c>
      <c r="AH713" s="50">
        <f>V713*K713</f>
        <v/>
      </c>
      <c r="AI713" s="50">
        <f>W713*K713</f>
        <v/>
      </c>
    </row>
    <row r="714">
      <c r="A714" s="25" t="n"/>
      <c r="B714" s="45">
        <f>IF(A714="","",IFERROR(INDEX(Mitarbeiter!$B$6:$B$205,MATCH($A714,Mitarbeiter!$A$6:$A$205,0)),"?"))</f>
        <v/>
      </c>
      <c r="C714" s="46" t="n"/>
      <c r="D714" s="26" t="n"/>
      <c r="E714" s="26" t="n"/>
      <c r="F714" s="24">
        <f>IF(A714="","",SUM(L714:W714))</f>
        <v/>
      </c>
      <c r="G714" s="36">
        <f>IF(A714="","",SUM(X714:AI714))</f>
        <v/>
      </c>
      <c r="H714" s="8">
        <f>IF(A714="","",IF(ISNA(MATCH(A714,Mitarbeiter!$A$6:$A$205,0)),"Pers.-Nr. unbekannt",IF(D714="","Von fehlt",IF(AND(C714&lt;&gt;Einstellungen!$C$4,C714&lt;&gt;Einstellungen!$C$5),"Objekt fehlt",IF(J714&lt;D714,"Bis vor Von",IF(D714&lt;INDEX(Mitarbeiter!$C$6:$C$205,MATCH($A714,Mitarbeiter!$A$6:$A$205,0)),"vor Eintritt",IF(AND(INDEX(Mitarbeiter!$D$6:$D$205,MATCH($A714,Mitarbeiter!$A$6:$A$205,0))&lt;&gt;"",D714&gt;INDEX(Mitarbeiter!$D$6:$D$205,MATCH($A714,Mitarbeiter!$A$6:$A$205,0))),"nach Austritt",IF(E714="","offen","ok"))))))))</f>
        <v/>
      </c>
      <c r="J714" s="47">
        <f>IF(A714="","",IF(E714="",Einstellungen!$C$9,E714))</f>
        <v/>
      </c>
      <c r="K714" s="48">
        <f>IF(A714="",0,IFERROR(INDEX(Mitarbeiter!$F$6:$F$205,MATCH($A714,Mitarbeiter!$A$6:$A$205,0)),0))</f>
        <v/>
      </c>
      <c r="L714" s="49">
        <f>IF(OR(A714="",D714=""),0,MAX(0,NETWORKDAYS(MAX(D714,DATE(Einstellungen!$C$3,1,1)),MIN(J714,DATE(Einstellungen!$C$3,2,0)),Einstellungen!$F$13:$F$32)))</f>
        <v/>
      </c>
      <c r="M714" s="49">
        <f>IF(OR(A714="",D714=""),0,MAX(0,NETWORKDAYS(MAX(D714,DATE(Einstellungen!$C$3,2,1)),MIN(J714,DATE(Einstellungen!$C$3,3,0)),Einstellungen!$F$13:$F$32)))</f>
        <v/>
      </c>
      <c r="N714" s="49">
        <f>IF(OR(A714="",D714=""),0,MAX(0,NETWORKDAYS(MAX(D714,DATE(Einstellungen!$C$3,3,1)),MIN(J714,DATE(Einstellungen!$C$3,4,0)),Einstellungen!$F$13:$F$32)))</f>
        <v/>
      </c>
      <c r="O714" s="49">
        <f>IF(OR(A714="",D714=""),0,MAX(0,NETWORKDAYS(MAX(D714,DATE(Einstellungen!$C$3,4,1)),MIN(J714,DATE(Einstellungen!$C$3,5,0)),Einstellungen!$F$13:$F$32)))</f>
        <v/>
      </c>
      <c r="P714" s="49">
        <f>IF(OR(A714="",D714=""),0,MAX(0,NETWORKDAYS(MAX(D714,DATE(Einstellungen!$C$3,5,1)),MIN(J714,DATE(Einstellungen!$C$3,6,0)),Einstellungen!$F$13:$F$32)))</f>
        <v/>
      </c>
      <c r="Q714" s="49">
        <f>IF(OR(A714="",D714=""),0,MAX(0,NETWORKDAYS(MAX(D714,DATE(Einstellungen!$C$3,6,1)),MIN(J714,DATE(Einstellungen!$C$3,7,0)),Einstellungen!$F$13:$F$32)))</f>
        <v/>
      </c>
      <c r="R714" s="49">
        <f>IF(OR(A714="",D714=""),0,MAX(0,NETWORKDAYS(MAX(D714,DATE(Einstellungen!$C$3,7,1)),MIN(J714,DATE(Einstellungen!$C$3,8,0)),Einstellungen!$F$13:$F$32)))</f>
        <v/>
      </c>
      <c r="S714" s="49">
        <f>IF(OR(A714="",D714=""),0,MAX(0,NETWORKDAYS(MAX(D714,DATE(Einstellungen!$C$3,8,1)),MIN(J714,DATE(Einstellungen!$C$3,9,0)),Einstellungen!$F$13:$F$32)))</f>
        <v/>
      </c>
      <c r="T714" s="49">
        <f>IF(OR(A714="",D714=""),0,MAX(0,NETWORKDAYS(MAX(D714,DATE(Einstellungen!$C$3,9,1)),MIN(J714,DATE(Einstellungen!$C$3,10,0)),Einstellungen!$F$13:$F$32)))</f>
        <v/>
      </c>
      <c r="U714" s="49">
        <f>IF(OR(A714="",D714=""),0,MAX(0,NETWORKDAYS(MAX(D714,DATE(Einstellungen!$C$3,10,1)),MIN(J714,DATE(Einstellungen!$C$3,11,0)),Einstellungen!$F$13:$F$32)))</f>
        <v/>
      </c>
      <c r="V714" s="49">
        <f>IF(OR(A714="",D714=""),0,MAX(0,NETWORKDAYS(MAX(D714,DATE(Einstellungen!$C$3,11,1)),MIN(J714,DATE(Einstellungen!$C$3,12,0)),Einstellungen!$F$13:$F$32)))</f>
        <v/>
      </c>
      <c r="W714" s="49">
        <f>IF(OR(A714="",D714=""),0,MAX(0,NETWORKDAYS(MAX(D714,DATE(Einstellungen!$C$3,12,1)),MIN(J714,DATE(Einstellungen!$C$3,13,0)),Einstellungen!$F$13:$F$32)))</f>
        <v/>
      </c>
      <c r="X714" s="50">
        <f>L714*K714</f>
        <v/>
      </c>
      <c r="Y714" s="50">
        <f>M714*K714</f>
        <v/>
      </c>
      <c r="Z714" s="50">
        <f>N714*K714</f>
        <v/>
      </c>
      <c r="AA714" s="50">
        <f>O714*K714</f>
        <v/>
      </c>
      <c r="AB714" s="50">
        <f>P714*K714</f>
        <v/>
      </c>
      <c r="AC714" s="50">
        <f>Q714*K714</f>
        <v/>
      </c>
      <c r="AD714" s="50">
        <f>R714*K714</f>
        <v/>
      </c>
      <c r="AE714" s="50">
        <f>S714*K714</f>
        <v/>
      </c>
      <c r="AF714" s="50">
        <f>T714*K714</f>
        <v/>
      </c>
      <c r="AG714" s="50">
        <f>U714*K714</f>
        <v/>
      </c>
      <c r="AH714" s="50">
        <f>V714*K714</f>
        <v/>
      </c>
      <c r="AI714" s="50">
        <f>W714*K714</f>
        <v/>
      </c>
    </row>
    <row r="715">
      <c r="A715" s="25" t="n"/>
      <c r="B715" s="45">
        <f>IF(A715="","",IFERROR(INDEX(Mitarbeiter!$B$6:$B$205,MATCH($A715,Mitarbeiter!$A$6:$A$205,0)),"?"))</f>
        <v/>
      </c>
      <c r="C715" s="46" t="n"/>
      <c r="D715" s="26" t="n"/>
      <c r="E715" s="26" t="n"/>
      <c r="F715" s="24">
        <f>IF(A715="","",SUM(L715:W715))</f>
        <v/>
      </c>
      <c r="G715" s="36">
        <f>IF(A715="","",SUM(X715:AI715))</f>
        <v/>
      </c>
      <c r="H715" s="8">
        <f>IF(A715="","",IF(ISNA(MATCH(A715,Mitarbeiter!$A$6:$A$205,0)),"Pers.-Nr. unbekannt",IF(D715="","Von fehlt",IF(AND(C715&lt;&gt;Einstellungen!$C$4,C715&lt;&gt;Einstellungen!$C$5),"Objekt fehlt",IF(J715&lt;D715,"Bis vor Von",IF(D715&lt;INDEX(Mitarbeiter!$C$6:$C$205,MATCH($A715,Mitarbeiter!$A$6:$A$205,0)),"vor Eintritt",IF(AND(INDEX(Mitarbeiter!$D$6:$D$205,MATCH($A715,Mitarbeiter!$A$6:$A$205,0))&lt;&gt;"",D715&gt;INDEX(Mitarbeiter!$D$6:$D$205,MATCH($A715,Mitarbeiter!$A$6:$A$205,0))),"nach Austritt",IF(E715="","offen","ok"))))))))</f>
        <v/>
      </c>
      <c r="J715" s="47">
        <f>IF(A715="","",IF(E715="",Einstellungen!$C$9,E715))</f>
        <v/>
      </c>
      <c r="K715" s="48">
        <f>IF(A715="",0,IFERROR(INDEX(Mitarbeiter!$F$6:$F$205,MATCH($A715,Mitarbeiter!$A$6:$A$205,0)),0))</f>
        <v/>
      </c>
      <c r="L715" s="49">
        <f>IF(OR(A715="",D715=""),0,MAX(0,NETWORKDAYS(MAX(D715,DATE(Einstellungen!$C$3,1,1)),MIN(J715,DATE(Einstellungen!$C$3,2,0)),Einstellungen!$F$13:$F$32)))</f>
        <v/>
      </c>
      <c r="M715" s="49">
        <f>IF(OR(A715="",D715=""),0,MAX(0,NETWORKDAYS(MAX(D715,DATE(Einstellungen!$C$3,2,1)),MIN(J715,DATE(Einstellungen!$C$3,3,0)),Einstellungen!$F$13:$F$32)))</f>
        <v/>
      </c>
      <c r="N715" s="49">
        <f>IF(OR(A715="",D715=""),0,MAX(0,NETWORKDAYS(MAX(D715,DATE(Einstellungen!$C$3,3,1)),MIN(J715,DATE(Einstellungen!$C$3,4,0)),Einstellungen!$F$13:$F$32)))</f>
        <v/>
      </c>
      <c r="O715" s="49">
        <f>IF(OR(A715="",D715=""),0,MAX(0,NETWORKDAYS(MAX(D715,DATE(Einstellungen!$C$3,4,1)),MIN(J715,DATE(Einstellungen!$C$3,5,0)),Einstellungen!$F$13:$F$32)))</f>
        <v/>
      </c>
      <c r="P715" s="49">
        <f>IF(OR(A715="",D715=""),0,MAX(0,NETWORKDAYS(MAX(D715,DATE(Einstellungen!$C$3,5,1)),MIN(J715,DATE(Einstellungen!$C$3,6,0)),Einstellungen!$F$13:$F$32)))</f>
        <v/>
      </c>
      <c r="Q715" s="49">
        <f>IF(OR(A715="",D715=""),0,MAX(0,NETWORKDAYS(MAX(D715,DATE(Einstellungen!$C$3,6,1)),MIN(J715,DATE(Einstellungen!$C$3,7,0)),Einstellungen!$F$13:$F$32)))</f>
        <v/>
      </c>
      <c r="R715" s="49">
        <f>IF(OR(A715="",D715=""),0,MAX(0,NETWORKDAYS(MAX(D715,DATE(Einstellungen!$C$3,7,1)),MIN(J715,DATE(Einstellungen!$C$3,8,0)),Einstellungen!$F$13:$F$32)))</f>
        <v/>
      </c>
      <c r="S715" s="49">
        <f>IF(OR(A715="",D715=""),0,MAX(0,NETWORKDAYS(MAX(D715,DATE(Einstellungen!$C$3,8,1)),MIN(J715,DATE(Einstellungen!$C$3,9,0)),Einstellungen!$F$13:$F$32)))</f>
        <v/>
      </c>
      <c r="T715" s="49">
        <f>IF(OR(A715="",D715=""),0,MAX(0,NETWORKDAYS(MAX(D715,DATE(Einstellungen!$C$3,9,1)),MIN(J715,DATE(Einstellungen!$C$3,10,0)),Einstellungen!$F$13:$F$32)))</f>
        <v/>
      </c>
      <c r="U715" s="49">
        <f>IF(OR(A715="",D715=""),0,MAX(0,NETWORKDAYS(MAX(D715,DATE(Einstellungen!$C$3,10,1)),MIN(J715,DATE(Einstellungen!$C$3,11,0)),Einstellungen!$F$13:$F$32)))</f>
        <v/>
      </c>
      <c r="V715" s="49">
        <f>IF(OR(A715="",D715=""),0,MAX(0,NETWORKDAYS(MAX(D715,DATE(Einstellungen!$C$3,11,1)),MIN(J715,DATE(Einstellungen!$C$3,12,0)),Einstellungen!$F$13:$F$32)))</f>
        <v/>
      </c>
      <c r="W715" s="49">
        <f>IF(OR(A715="",D715=""),0,MAX(0,NETWORKDAYS(MAX(D715,DATE(Einstellungen!$C$3,12,1)),MIN(J715,DATE(Einstellungen!$C$3,13,0)),Einstellungen!$F$13:$F$32)))</f>
        <v/>
      </c>
      <c r="X715" s="50">
        <f>L715*K715</f>
        <v/>
      </c>
      <c r="Y715" s="50">
        <f>M715*K715</f>
        <v/>
      </c>
      <c r="Z715" s="50">
        <f>N715*K715</f>
        <v/>
      </c>
      <c r="AA715" s="50">
        <f>O715*K715</f>
        <v/>
      </c>
      <c r="AB715" s="50">
        <f>P715*K715</f>
        <v/>
      </c>
      <c r="AC715" s="50">
        <f>Q715*K715</f>
        <v/>
      </c>
      <c r="AD715" s="50">
        <f>R715*K715</f>
        <v/>
      </c>
      <c r="AE715" s="50">
        <f>S715*K715</f>
        <v/>
      </c>
      <c r="AF715" s="50">
        <f>T715*K715</f>
        <v/>
      </c>
      <c r="AG715" s="50">
        <f>U715*K715</f>
        <v/>
      </c>
      <c r="AH715" s="50">
        <f>V715*K715</f>
        <v/>
      </c>
      <c r="AI715" s="50">
        <f>W715*K715</f>
        <v/>
      </c>
    </row>
    <row r="716">
      <c r="A716" s="25" t="n"/>
      <c r="B716" s="45">
        <f>IF(A716="","",IFERROR(INDEX(Mitarbeiter!$B$6:$B$205,MATCH($A716,Mitarbeiter!$A$6:$A$205,0)),"?"))</f>
        <v/>
      </c>
      <c r="C716" s="46" t="n"/>
      <c r="D716" s="26" t="n"/>
      <c r="E716" s="26" t="n"/>
      <c r="F716" s="24">
        <f>IF(A716="","",SUM(L716:W716))</f>
        <v/>
      </c>
      <c r="G716" s="36">
        <f>IF(A716="","",SUM(X716:AI716))</f>
        <v/>
      </c>
      <c r="H716" s="8">
        <f>IF(A716="","",IF(ISNA(MATCH(A716,Mitarbeiter!$A$6:$A$205,0)),"Pers.-Nr. unbekannt",IF(D716="","Von fehlt",IF(AND(C716&lt;&gt;Einstellungen!$C$4,C716&lt;&gt;Einstellungen!$C$5),"Objekt fehlt",IF(J716&lt;D716,"Bis vor Von",IF(D716&lt;INDEX(Mitarbeiter!$C$6:$C$205,MATCH($A716,Mitarbeiter!$A$6:$A$205,0)),"vor Eintritt",IF(AND(INDEX(Mitarbeiter!$D$6:$D$205,MATCH($A716,Mitarbeiter!$A$6:$A$205,0))&lt;&gt;"",D716&gt;INDEX(Mitarbeiter!$D$6:$D$205,MATCH($A716,Mitarbeiter!$A$6:$A$205,0))),"nach Austritt",IF(E716="","offen","ok"))))))))</f>
        <v/>
      </c>
      <c r="J716" s="47">
        <f>IF(A716="","",IF(E716="",Einstellungen!$C$9,E716))</f>
        <v/>
      </c>
      <c r="K716" s="48">
        <f>IF(A716="",0,IFERROR(INDEX(Mitarbeiter!$F$6:$F$205,MATCH($A716,Mitarbeiter!$A$6:$A$205,0)),0))</f>
        <v/>
      </c>
      <c r="L716" s="49">
        <f>IF(OR(A716="",D716=""),0,MAX(0,NETWORKDAYS(MAX(D716,DATE(Einstellungen!$C$3,1,1)),MIN(J716,DATE(Einstellungen!$C$3,2,0)),Einstellungen!$F$13:$F$32)))</f>
        <v/>
      </c>
      <c r="M716" s="49">
        <f>IF(OR(A716="",D716=""),0,MAX(0,NETWORKDAYS(MAX(D716,DATE(Einstellungen!$C$3,2,1)),MIN(J716,DATE(Einstellungen!$C$3,3,0)),Einstellungen!$F$13:$F$32)))</f>
        <v/>
      </c>
      <c r="N716" s="49">
        <f>IF(OR(A716="",D716=""),0,MAX(0,NETWORKDAYS(MAX(D716,DATE(Einstellungen!$C$3,3,1)),MIN(J716,DATE(Einstellungen!$C$3,4,0)),Einstellungen!$F$13:$F$32)))</f>
        <v/>
      </c>
      <c r="O716" s="49">
        <f>IF(OR(A716="",D716=""),0,MAX(0,NETWORKDAYS(MAX(D716,DATE(Einstellungen!$C$3,4,1)),MIN(J716,DATE(Einstellungen!$C$3,5,0)),Einstellungen!$F$13:$F$32)))</f>
        <v/>
      </c>
      <c r="P716" s="49">
        <f>IF(OR(A716="",D716=""),0,MAX(0,NETWORKDAYS(MAX(D716,DATE(Einstellungen!$C$3,5,1)),MIN(J716,DATE(Einstellungen!$C$3,6,0)),Einstellungen!$F$13:$F$32)))</f>
        <v/>
      </c>
      <c r="Q716" s="49">
        <f>IF(OR(A716="",D716=""),0,MAX(0,NETWORKDAYS(MAX(D716,DATE(Einstellungen!$C$3,6,1)),MIN(J716,DATE(Einstellungen!$C$3,7,0)),Einstellungen!$F$13:$F$32)))</f>
        <v/>
      </c>
      <c r="R716" s="49">
        <f>IF(OR(A716="",D716=""),0,MAX(0,NETWORKDAYS(MAX(D716,DATE(Einstellungen!$C$3,7,1)),MIN(J716,DATE(Einstellungen!$C$3,8,0)),Einstellungen!$F$13:$F$32)))</f>
        <v/>
      </c>
      <c r="S716" s="49">
        <f>IF(OR(A716="",D716=""),0,MAX(0,NETWORKDAYS(MAX(D716,DATE(Einstellungen!$C$3,8,1)),MIN(J716,DATE(Einstellungen!$C$3,9,0)),Einstellungen!$F$13:$F$32)))</f>
        <v/>
      </c>
      <c r="T716" s="49">
        <f>IF(OR(A716="",D716=""),0,MAX(0,NETWORKDAYS(MAX(D716,DATE(Einstellungen!$C$3,9,1)),MIN(J716,DATE(Einstellungen!$C$3,10,0)),Einstellungen!$F$13:$F$32)))</f>
        <v/>
      </c>
      <c r="U716" s="49">
        <f>IF(OR(A716="",D716=""),0,MAX(0,NETWORKDAYS(MAX(D716,DATE(Einstellungen!$C$3,10,1)),MIN(J716,DATE(Einstellungen!$C$3,11,0)),Einstellungen!$F$13:$F$32)))</f>
        <v/>
      </c>
      <c r="V716" s="49">
        <f>IF(OR(A716="",D716=""),0,MAX(0,NETWORKDAYS(MAX(D716,DATE(Einstellungen!$C$3,11,1)),MIN(J716,DATE(Einstellungen!$C$3,12,0)),Einstellungen!$F$13:$F$32)))</f>
        <v/>
      </c>
      <c r="W716" s="49">
        <f>IF(OR(A716="",D716=""),0,MAX(0,NETWORKDAYS(MAX(D716,DATE(Einstellungen!$C$3,12,1)),MIN(J716,DATE(Einstellungen!$C$3,13,0)),Einstellungen!$F$13:$F$32)))</f>
        <v/>
      </c>
      <c r="X716" s="50">
        <f>L716*K716</f>
        <v/>
      </c>
      <c r="Y716" s="50">
        <f>M716*K716</f>
        <v/>
      </c>
      <c r="Z716" s="50">
        <f>N716*K716</f>
        <v/>
      </c>
      <c r="AA716" s="50">
        <f>O716*K716</f>
        <v/>
      </c>
      <c r="AB716" s="50">
        <f>P716*K716</f>
        <v/>
      </c>
      <c r="AC716" s="50">
        <f>Q716*K716</f>
        <v/>
      </c>
      <c r="AD716" s="50">
        <f>R716*K716</f>
        <v/>
      </c>
      <c r="AE716" s="50">
        <f>S716*K716</f>
        <v/>
      </c>
      <c r="AF716" s="50">
        <f>T716*K716</f>
        <v/>
      </c>
      <c r="AG716" s="50">
        <f>U716*K716</f>
        <v/>
      </c>
      <c r="AH716" s="50">
        <f>V716*K716</f>
        <v/>
      </c>
      <c r="AI716" s="50">
        <f>W716*K716</f>
        <v/>
      </c>
    </row>
    <row r="717">
      <c r="A717" s="25" t="n"/>
      <c r="B717" s="45">
        <f>IF(A717="","",IFERROR(INDEX(Mitarbeiter!$B$6:$B$205,MATCH($A717,Mitarbeiter!$A$6:$A$205,0)),"?"))</f>
        <v/>
      </c>
      <c r="C717" s="46" t="n"/>
      <c r="D717" s="26" t="n"/>
      <c r="E717" s="26" t="n"/>
      <c r="F717" s="24">
        <f>IF(A717="","",SUM(L717:W717))</f>
        <v/>
      </c>
      <c r="G717" s="36">
        <f>IF(A717="","",SUM(X717:AI717))</f>
        <v/>
      </c>
      <c r="H717" s="8">
        <f>IF(A717="","",IF(ISNA(MATCH(A717,Mitarbeiter!$A$6:$A$205,0)),"Pers.-Nr. unbekannt",IF(D717="","Von fehlt",IF(AND(C717&lt;&gt;Einstellungen!$C$4,C717&lt;&gt;Einstellungen!$C$5),"Objekt fehlt",IF(J717&lt;D717,"Bis vor Von",IF(D717&lt;INDEX(Mitarbeiter!$C$6:$C$205,MATCH($A717,Mitarbeiter!$A$6:$A$205,0)),"vor Eintritt",IF(AND(INDEX(Mitarbeiter!$D$6:$D$205,MATCH($A717,Mitarbeiter!$A$6:$A$205,0))&lt;&gt;"",D717&gt;INDEX(Mitarbeiter!$D$6:$D$205,MATCH($A717,Mitarbeiter!$A$6:$A$205,0))),"nach Austritt",IF(E717="","offen","ok"))))))))</f>
        <v/>
      </c>
      <c r="J717" s="47">
        <f>IF(A717="","",IF(E717="",Einstellungen!$C$9,E717))</f>
        <v/>
      </c>
      <c r="K717" s="48">
        <f>IF(A717="",0,IFERROR(INDEX(Mitarbeiter!$F$6:$F$205,MATCH($A717,Mitarbeiter!$A$6:$A$205,0)),0))</f>
        <v/>
      </c>
      <c r="L717" s="49">
        <f>IF(OR(A717="",D717=""),0,MAX(0,NETWORKDAYS(MAX(D717,DATE(Einstellungen!$C$3,1,1)),MIN(J717,DATE(Einstellungen!$C$3,2,0)),Einstellungen!$F$13:$F$32)))</f>
        <v/>
      </c>
      <c r="M717" s="49">
        <f>IF(OR(A717="",D717=""),0,MAX(0,NETWORKDAYS(MAX(D717,DATE(Einstellungen!$C$3,2,1)),MIN(J717,DATE(Einstellungen!$C$3,3,0)),Einstellungen!$F$13:$F$32)))</f>
        <v/>
      </c>
      <c r="N717" s="49">
        <f>IF(OR(A717="",D717=""),0,MAX(0,NETWORKDAYS(MAX(D717,DATE(Einstellungen!$C$3,3,1)),MIN(J717,DATE(Einstellungen!$C$3,4,0)),Einstellungen!$F$13:$F$32)))</f>
        <v/>
      </c>
      <c r="O717" s="49">
        <f>IF(OR(A717="",D717=""),0,MAX(0,NETWORKDAYS(MAX(D717,DATE(Einstellungen!$C$3,4,1)),MIN(J717,DATE(Einstellungen!$C$3,5,0)),Einstellungen!$F$13:$F$32)))</f>
        <v/>
      </c>
      <c r="P717" s="49">
        <f>IF(OR(A717="",D717=""),0,MAX(0,NETWORKDAYS(MAX(D717,DATE(Einstellungen!$C$3,5,1)),MIN(J717,DATE(Einstellungen!$C$3,6,0)),Einstellungen!$F$13:$F$32)))</f>
        <v/>
      </c>
      <c r="Q717" s="49">
        <f>IF(OR(A717="",D717=""),0,MAX(0,NETWORKDAYS(MAX(D717,DATE(Einstellungen!$C$3,6,1)),MIN(J717,DATE(Einstellungen!$C$3,7,0)),Einstellungen!$F$13:$F$32)))</f>
        <v/>
      </c>
      <c r="R717" s="49">
        <f>IF(OR(A717="",D717=""),0,MAX(0,NETWORKDAYS(MAX(D717,DATE(Einstellungen!$C$3,7,1)),MIN(J717,DATE(Einstellungen!$C$3,8,0)),Einstellungen!$F$13:$F$32)))</f>
        <v/>
      </c>
      <c r="S717" s="49">
        <f>IF(OR(A717="",D717=""),0,MAX(0,NETWORKDAYS(MAX(D717,DATE(Einstellungen!$C$3,8,1)),MIN(J717,DATE(Einstellungen!$C$3,9,0)),Einstellungen!$F$13:$F$32)))</f>
        <v/>
      </c>
      <c r="T717" s="49">
        <f>IF(OR(A717="",D717=""),0,MAX(0,NETWORKDAYS(MAX(D717,DATE(Einstellungen!$C$3,9,1)),MIN(J717,DATE(Einstellungen!$C$3,10,0)),Einstellungen!$F$13:$F$32)))</f>
        <v/>
      </c>
      <c r="U717" s="49">
        <f>IF(OR(A717="",D717=""),0,MAX(0,NETWORKDAYS(MAX(D717,DATE(Einstellungen!$C$3,10,1)),MIN(J717,DATE(Einstellungen!$C$3,11,0)),Einstellungen!$F$13:$F$32)))</f>
        <v/>
      </c>
      <c r="V717" s="49">
        <f>IF(OR(A717="",D717=""),0,MAX(0,NETWORKDAYS(MAX(D717,DATE(Einstellungen!$C$3,11,1)),MIN(J717,DATE(Einstellungen!$C$3,12,0)),Einstellungen!$F$13:$F$32)))</f>
        <v/>
      </c>
      <c r="W717" s="49">
        <f>IF(OR(A717="",D717=""),0,MAX(0,NETWORKDAYS(MAX(D717,DATE(Einstellungen!$C$3,12,1)),MIN(J717,DATE(Einstellungen!$C$3,13,0)),Einstellungen!$F$13:$F$32)))</f>
        <v/>
      </c>
      <c r="X717" s="50">
        <f>L717*K717</f>
        <v/>
      </c>
      <c r="Y717" s="50">
        <f>M717*K717</f>
        <v/>
      </c>
      <c r="Z717" s="50">
        <f>N717*K717</f>
        <v/>
      </c>
      <c r="AA717" s="50">
        <f>O717*K717</f>
        <v/>
      </c>
      <c r="AB717" s="50">
        <f>P717*K717</f>
        <v/>
      </c>
      <c r="AC717" s="50">
        <f>Q717*K717</f>
        <v/>
      </c>
      <c r="AD717" s="50">
        <f>R717*K717</f>
        <v/>
      </c>
      <c r="AE717" s="50">
        <f>S717*K717</f>
        <v/>
      </c>
      <c r="AF717" s="50">
        <f>T717*K717</f>
        <v/>
      </c>
      <c r="AG717" s="50">
        <f>U717*K717</f>
        <v/>
      </c>
      <c r="AH717" s="50">
        <f>V717*K717</f>
        <v/>
      </c>
      <c r="AI717" s="50">
        <f>W717*K717</f>
        <v/>
      </c>
    </row>
    <row r="718">
      <c r="A718" s="25" t="n"/>
      <c r="B718" s="45">
        <f>IF(A718="","",IFERROR(INDEX(Mitarbeiter!$B$6:$B$205,MATCH($A718,Mitarbeiter!$A$6:$A$205,0)),"?"))</f>
        <v/>
      </c>
      <c r="C718" s="46" t="n"/>
      <c r="D718" s="26" t="n"/>
      <c r="E718" s="26" t="n"/>
      <c r="F718" s="24">
        <f>IF(A718="","",SUM(L718:W718))</f>
        <v/>
      </c>
      <c r="G718" s="36">
        <f>IF(A718="","",SUM(X718:AI718))</f>
        <v/>
      </c>
      <c r="H718" s="8">
        <f>IF(A718="","",IF(ISNA(MATCH(A718,Mitarbeiter!$A$6:$A$205,0)),"Pers.-Nr. unbekannt",IF(D718="","Von fehlt",IF(AND(C718&lt;&gt;Einstellungen!$C$4,C718&lt;&gt;Einstellungen!$C$5),"Objekt fehlt",IF(J718&lt;D718,"Bis vor Von",IF(D718&lt;INDEX(Mitarbeiter!$C$6:$C$205,MATCH($A718,Mitarbeiter!$A$6:$A$205,0)),"vor Eintritt",IF(AND(INDEX(Mitarbeiter!$D$6:$D$205,MATCH($A718,Mitarbeiter!$A$6:$A$205,0))&lt;&gt;"",D718&gt;INDEX(Mitarbeiter!$D$6:$D$205,MATCH($A718,Mitarbeiter!$A$6:$A$205,0))),"nach Austritt",IF(E718="","offen","ok"))))))))</f>
        <v/>
      </c>
      <c r="J718" s="47">
        <f>IF(A718="","",IF(E718="",Einstellungen!$C$9,E718))</f>
        <v/>
      </c>
      <c r="K718" s="48">
        <f>IF(A718="",0,IFERROR(INDEX(Mitarbeiter!$F$6:$F$205,MATCH($A718,Mitarbeiter!$A$6:$A$205,0)),0))</f>
        <v/>
      </c>
      <c r="L718" s="49">
        <f>IF(OR(A718="",D718=""),0,MAX(0,NETWORKDAYS(MAX(D718,DATE(Einstellungen!$C$3,1,1)),MIN(J718,DATE(Einstellungen!$C$3,2,0)),Einstellungen!$F$13:$F$32)))</f>
        <v/>
      </c>
      <c r="M718" s="49">
        <f>IF(OR(A718="",D718=""),0,MAX(0,NETWORKDAYS(MAX(D718,DATE(Einstellungen!$C$3,2,1)),MIN(J718,DATE(Einstellungen!$C$3,3,0)),Einstellungen!$F$13:$F$32)))</f>
        <v/>
      </c>
      <c r="N718" s="49">
        <f>IF(OR(A718="",D718=""),0,MAX(0,NETWORKDAYS(MAX(D718,DATE(Einstellungen!$C$3,3,1)),MIN(J718,DATE(Einstellungen!$C$3,4,0)),Einstellungen!$F$13:$F$32)))</f>
        <v/>
      </c>
      <c r="O718" s="49">
        <f>IF(OR(A718="",D718=""),0,MAX(0,NETWORKDAYS(MAX(D718,DATE(Einstellungen!$C$3,4,1)),MIN(J718,DATE(Einstellungen!$C$3,5,0)),Einstellungen!$F$13:$F$32)))</f>
        <v/>
      </c>
      <c r="P718" s="49">
        <f>IF(OR(A718="",D718=""),0,MAX(0,NETWORKDAYS(MAX(D718,DATE(Einstellungen!$C$3,5,1)),MIN(J718,DATE(Einstellungen!$C$3,6,0)),Einstellungen!$F$13:$F$32)))</f>
        <v/>
      </c>
      <c r="Q718" s="49">
        <f>IF(OR(A718="",D718=""),0,MAX(0,NETWORKDAYS(MAX(D718,DATE(Einstellungen!$C$3,6,1)),MIN(J718,DATE(Einstellungen!$C$3,7,0)),Einstellungen!$F$13:$F$32)))</f>
        <v/>
      </c>
      <c r="R718" s="49">
        <f>IF(OR(A718="",D718=""),0,MAX(0,NETWORKDAYS(MAX(D718,DATE(Einstellungen!$C$3,7,1)),MIN(J718,DATE(Einstellungen!$C$3,8,0)),Einstellungen!$F$13:$F$32)))</f>
        <v/>
      </c>
      <c r="S718" s="49">
        <f>IF(OR(A718="",D718=""),0,MAX(0,NETWORKDAYS(MAX(D718,DATE(Einstellungen!$C$3,8,1)),MIN(J718,DATE(Einstellungen!$C$3,9,0)),Einstellungen!$F$13:$F$32)))</f>
        <v/>
      </c>
      <c r="T718" s="49">
        <f>IF(OR(A718="",D718=""),0,MAX(0,NETWORKDAYS(MAX(D718,DATE(Einstellungen!$C$3,9,1)),MIN(J718,DATE(Einstellungen!$C$3,10,0)),Einstellungen!$F$13:$F$32)))</f>
        <v/>
      </c>
      <c r="U718" s="49">
        <f>IF(OR(A718="",D718=""),0,MAX(0,NETWORKDAYS(MAX(D718,DATE(Einstellungen!$C$3,10,1)),MIN(J718,DATE(Einstellungen!$C$3,11,0)),Einstellungen!$F$13:$F$32)))</f>
        <v/>
      </c>
      <c r="V718" s="49">
        <f>IF(OR(A718="",D718=""),0,MAX(0,NETWORKDAYS(MAX(D718,DATE(Einstellungen!$C$3,11,1)),MIN(J718,DATE(Einstellungen!$C$3,12,0)),Einstellungen!$F$13:$F$32)))</f>
        <v/>
      </c>
      <c r="W718" s="49">
        <f>IF(OR(A718="",D718=""),0,MAX(0,NETWORKDAYS(MAX(D718,DATE(Einstellungen!$C$3,12,1)),MIN(J718,DATE(Einstellungen!$C$3,13,0)),Einstellungen!$F$13:$F$32)))</f>
        <v/>
      </c>
      <c r="X718" s="50">
        <f>L718*K718</f>
        <v/>
      </c>
      <c r="Y718" s="50">
        <f>M718*K718</f>
        <v/>
      </c>
      <c r="Z718" s="50">
        <f>N718*K718</f>
        <v/>
      </c>
      <c r="AA718" s="50">
        <f>O718*K718</f>
        <v/>
      </c>
      <c r="AB718" s="50">
        <f>P718*K718</f>
        <v/>
      </c>
      <c r="AC718" s="50">
        <f>Q718*K718</f>
        <v/>
      </c>
      <c r="AD718" s="50">
        <f>R718*K718</f>
        <v/>
      </c>
      <c r="AE718" s="50">
        <f>S718*K718</f>
        <v/>
      </c>
      <c r="AF718" s="50">
        <f>T718*K718</f>
        <v/>
      </c>
      <c r="AG718" s="50">
        <f>U718*K718</f>
        <v/>
      </c>
      <c r="AH718" s="50">
        <f>V718*K718</f>
        <v/>
      </c>
      <c r="AI718" s="50">
        <f>W718*K718</f>
        <v/>
      </c>
    </row>
    <row r="719">
      <c r="A719" s="25" t="n"/>
      <c r="B719" s="45">
        <f>IF(A719="","",IFERROR(INDEX(Mitarbeiter!$B$6:$B$205,MATCH($A719,Mitarbeiter!$A$6:$A$205,0)),"?"))</f>
        <v/>
      </c>
      <c r="C719" s="46" t="n"/>
      <c r="D719" s="26" t="n"/>
      <c r="E719" s="26" t="n"/>
      <c r="F719" s="24">
        <f>IF(A719="","",SUM(L719:W719))</f>
        <v/>
      </c>
      <c r="G719" s="36">
        <f>IF(A719="","",SUM(X719:AI719))</f>
        <v/>
      </c>
      <c r="H719" s="8">
        <f>IF(A719="","",IF(ISNA(MATCH(A719,Mitarbeiter!$A$6:$A$205,0)),"Pers.-Nr. unbekannt",IF(D719="","Von fehlt",IF(AND(C719&lt;&gt;Einstellungen!$C$4,C719&lt;&gt;Einstellungen!$C$5),"Objekt fehlt",IF(J719&lt;D719,"Bis vor Von",IF(D719&lt;INDEX(Mitarbeiter!$C$6:$C$205,MATCH($A719,Mitarbeiter!$A$6:$A$205,0)),"vor Eintritt",IF(AND(INDEX(Mitarbeiter!$D$6:$D$205,MATCH($A719,Mitarbeiter!$A$6:$A$205,0))&lt;&gt;"",D719&gt;INDEX(Mitarbeiter!$D$6:$D$205,MATCH($A719,Mitarbeiter!$A$6:$A$205,0))),"nach Austritt",IF(E719="","offen","ok"))))))))</f>
        <v/>
      </c>
      <c r="J719" s="47">
        <f>IF(A719="","",IF(E719="",Einstellungen!$C$9,E719))</f>
        <v/>
      </c>
      <c r="K719" s="48">
        <f>IF(A719="",0,IFERROR(INDEX(Mitarbeiter!$F$6:$F$205,MATCH($A719,Mitarbeiter!$A$6:$A$205,0)),0))</f>
        <v/>
      </c>
      <c r="L719" s="49">
        <f>IF(OR(A719="",D719=""),0,MAX(0,NETWORKDAYS(MAX(D719,DATE(Einstellungen!$C$3,1,1)),MIN(J719,DATE(Einstellungen!$C$3,2,0)),Einstellungen!$F$13:$F$32)))</f>
        <v/>
      </c>
      <c r="M719" s="49">
        <f>IF(OR(A719="",D719=""),0,MAX(0,NETWORKDAYS(MAX(D719,DATE(Einstellungen!$C$3,2,1)),MIN(J719,DATE(Einstellungen!$C$3,3,0)),Einstellungen!$F$13:$F$32)))</f>
        <v/>
      </c>
      <c r="N719" s="49">
        <f>IF(OR(A719="",D719=""),0,MAX(0,NETWORKDAYS(MAX(D719,DATE(Einstellungen!$C$3,3,1)),MIN(J719,DATE(Einstellungen!$C$3,4,0)),Einstellungen!$F$13:$F$32)))</f>
        <v/>
      </c>
      <c r="O719" s="49">
        <f>IF(OR(A719="",D719=""),0,MAX(0,NETWORKDAYS(MAX(D719,DATE(Einstellungen!$C$3,4,1)),MIN(J719,DATE(Einstellungen!$C$3,5,0)),Einstellungen!$F$13:$F$32)))</f>
        <v/>
      </c>
      <c r="P719" s="49">
        <f>IF(OR(A719="",D719=""),0,MAX(0,NETWORKDAYS(MAX(D719,DATE(Einstellungen!$C$3,5,1)),MIN(J719,DATE(Einstellungen!$C$3,6,0)),Einstellungen!$F$13:$F$32)))</f>
        <v/>
      </c>
      <c r="Q719" s="49">
        <f>IF(OR(A719="",D719=""),0,MAX(0,NETWORKDAYS(MAX(D719,DATE(Einstellungen!$C$3,6,1)),MIN(J719,DATE(Einstellungen!$C$3,7,0)),Einstellungen!$F$13:$F$32)))</f>
        <v/>
      </c>
      <c r="R719" s="49">
        <f>IF(OR(A719="",D719=""),0,MAX(0,NETWORKDAYS(MAX(D719,DATE(Einstellungen!$C$3,7,1)),MIN(J719,DATE(Einstellungen!$C$3,8,0)),Einstellungen!$F$13:$F$32)))</f>
        <v/>
      </c>
      <c r="S719" s="49">
        <f>IF(OR(A719="",D719=""),0,MAX(0,NETWORKDAYS(MAX(D719,DATE(Einstellungen!$C$3,8,1)),MIN(J719,DATE(Einstellungen!$C$3,9,0)),Einstellungen!$F$13:$F$32)))</f>
        <v/>
      </c>
      <c r="T719" s="49">
        <f>IF(OR(A719="",D719=""),0,MAX(0,NETWORKDAYS(MAX(D719,DATE(Einstellungen!$C$3,9,1)),MIN(J719,DATE(Einstellungen!$C$3,10,0)),Einstellungen!$F$13:$F$32)))</f>
        <v/>
      </c>
      <c r="U719" s="49">
        <f>IF(OR(A719="",D719=""),0,MAX(0,NETWORKDAYS(MAX(D719,DATE(Einstellungen!$C$3,10,1)),MIN(J719,DATE(Einstellungen!$C$3,11,0)),Einstellungen!$F$13:$F$32)))</f>
        <v/>
      </c>
      <c r="V719" s="49">
        <f>IF(OR(A719="",D719=""),0,MAX(0,NETWORKDAYS(MAX(D719,DATE(Einstellungen!$C$3,11,1)),MIN(J719,DATE(Einstellungen!$C$3,12,0)),Einstellungen!$F$13:$F$32)))</f>
        <v/>
      </c>
      <c r="W719" s="49">
        <f>IF(OR(A719="",D719=""),0,MAX(0,NETWORKDAYS(MAX(D719,DATE(Einstellungen!$C$3,12,1)),MIN(J719,DATE(Einstellungen!$C$3,13,0)),Einstellungen!$F$13:$F$32)))</f>
        <v/>
      </c>
      <c r="X719" s="50">
        <f>L719*K719</f>
        <v/>
      </c>
      <c r="Y719" s="50">
        <f>M719*K719</f>
        <v/>
      </c>
      <c r="Z719" s="50">
        <f>N719*K719</f>
        <v/>
      </c>
      <c r="AA719" s="50">
        <f>O719*K719</f>
        <v/>
      </c>
      <c r="AB719" s="50">
        <f>P719*K719</f>
        <v/>
      </c>
      <c r="AC719" s="50">
        <f>Q719*K719</f>
        <v/>
      </c>
      <c r="AD719" s="50">
        <f>R719*K719</f>
        <v/>
      </c>
      <c r="AE719" s="50">
        <f>S719*K719</f>
        <v/>
      </c>
      <c r="AF719" s="50">
        <f>T719*K719</f>
        <v/>
      </c>
      <c r="AG719" s="50">
        <f>U719*K719</f>
        <v/>
      </c>
      <c r="AH719" s="50">
        <f>V719*K719</f>
        <v/>
      </c>
      <c r="AI719" s="50">
        <f>W719*K719</f>
        <v/>
      </c>
    </row>
    <row r="720">
      <c r="A720" s="25" t="n"/>
      <c r="B720" s="45">
        <f>IF(A720="","",IFERROR(INDEX(Mitarbeiter!$B$6:$B$205,MATCH($A720,Mitarbeiter!$A$6:$A$205,0)),"?"))</f>
        <v/>
      </c>
      <c r="C720" s="46" t="n"/>
      <c r="D720" s="26" t="n"/>
      <c r="E720" s="26" t="n"/>
      <c r="F720" s="24">
        <f>IF(A720="","",SUM(L720:W720))</f>
        <v/>
      </c>
      <c r="G720" s="36">
        <f>IF(A720="","",SUM(X720:AI720))</f>
        <v/>
      </c>
      <c r="H720" s="8">
        <f>IF(A720="","",IF(ISNA(MATCH(A720,Mitarbeiter!$A$6:$A$205,0)),"Pers.-Nr. unbekannt",IF(D720="","Von fehlt",IF(AND(C720&lt;&gt;Einstellungen!$C$4,C720&lt;&gt;Einstellungen!$C$5),"Objekt fehlt",IF(J720&lt;D720,"Bis vor Von",IF(D720&lt;INDEX(Mitarbeiter!$C$6:$C$205,MATCH($A720,Mitarbeiter!$A$6:$A$205,0)),"vor Eintritt",IF(AND(INDEX(Mitarbeiter!$D$6:$D$205,MATCH($A720,Mitarbeiter!$A$6:$A$205,0))&lt;&gt;"",D720&gt;INDEX(Mitarbeiter!$D$6:$D$205,MATCH($A720,Mitarbeiter!$A$6:$A$205,0))),"nach Austritt",IF(E720="","offen","ok"))))))))</f>
        <v/>
      </c>
      <c r="J720" s="47">
        <f>IF(A720="","",IF(E720="",Einstellungen!$C$9,E720))</f>
        <v/>
      </c>
      <c r="K720" s="48">
        <f>IF(A720="",0,IFERROR(INDEX(Mitarbeiter!$F$6:$F$205,MATCH($A720,Mitarbeiter!$A$6:$A$205,0)),0))</f>
        <v/>
      </c>
      <c r="L720" s="49">
        <f>IF(OR(A720="",D720=""),0,MAX(0,NETWORKDAYS(MAX(D720,DATE(Einstellungen!$C$3,1,1)),MIN(J720,DATE(Einstellungen!$C$3,2,0)),Einstellungen!$F$13:$F$32)))</f>
        <v/>
      </c>
      <c r="M720" s="49">
        <f>IF(OR(A720="",D720=""),0,MAX(0,NETWORKDAYS(MAX(D720,DATE(Einstellungen!$C$3,2,1)),MIN(J720,DATE(Einstellungen!$C$3,3,0)),Einstellungen!$F$13:$F$32)))</f>
        <v/>
      </c>
      <c r="N720" s="49">
        <f>IF(OR(A720="",D720=""),0,MAX(0,NETWORKDAYS(MAX(D720,DATE(Einstellungen!$C$3,3,1)),MIN(J720,DATE(Einstellungen!$C$3,4,0)),Einstellungen!$F$13:$F$32)))</f>
        <v/>
      </c>
      <c r="O720" s="49">
        <f>IF(OR(A720="",D720=""),0,MAX(0,NETWORKDAYS(MAX(D720,DATE(Einstellungen!$C$3,4,1)),MIN(J720,DATE(Einstellungen!$C$3,5,0)),Einstellungen!$F$13:$F$32)))</f>
        <v/>
      </c>
      <c r="P720" s="49">
        <f>IF(OR(A720="",D720=""),0,MAX(0,NETWORKDAYS(MAX(D720,DATE(Einstellungen!$C$3,5,1)),MIN(J720,DATE(Einstellungen!$C$3,6,0)),Einstellungen!$F$13:$F$32)))</f>
        <v/>
      </c>
      <c r="Q720" s="49">
        <f>IF(OR(A720="",D720=""),0,MAX(0,NETWORKDAYS(MAX(D720,DATE(Einstellungen!$C$3,6,1)),MIN(J720,DATE(Einstellungen!$C$3,7,0)),Einstellungen!$F$13:$F$32)))</f>
        <v/>
      </c>
      <c r="R720" s="49">
        <f>IF(OR(A720="",D720=""),0,MAX(0,NETWORKDAYS(MAX(D720,DATE(Einstellungen!$C$3,7,1)),MIN(J720,DATE(Einstellungen!$C$3,8,0)),Einstellungen!$F$13:$F$32)))</f>
        <v/>
      </c>
      <c r="S720" s="49">
        <f>IF(OR(A720="",D720=""),0,MAX(0,NETWORKDAYS(MAX(D720,DATE(Einstellungen!$C$3,8,1)),MIN(J720,DATE(Einstellungen!$C$3,9,0)),Einstellungen!$F$13:$F$32)))</f>
        <v/>
      </c>
      <c r="T720" s="49">
        <f>IF(OR(A720="",D720=""),0,MAX(0,NETWORKDAYS(MAX(D720,DATE(Einstellungen!$C$3,9,1)),MIN(J720,DATE(Einstellungen!$C$3,10,0)),Einstellungen!$F$13:$F$32)))</f>
        <v/>
      </c>
      <c r="U720" s="49">
        <f>IF(OR(A720="",D720=""),0,MAX(0,NETWORKDAYS(MAX(D720,DATE(Einstellungen!$C$3,10,1)),MIN(J720,DATE(Einstellungen!$C$3,11,0)),Einstellungen!$F$13:$F$32)))</f>
        <v/>
      </c>
      <c r="V720" s="49">
        <f>IF(OR(A720="",D720=""),0,MAX(0,NETWORKDAYS(MAX(D720,DATE(Einstellungen!$C$3,11,1)),MIN(J720,DATE(Einstellungen!$C$3,12,0)),Einstellungen!$F$13:$F$32)))</f>
        <v/>
      </c>
      <c r="W720" s="49">
        <f>IF(OR(A720="",D720=""),0,MAX(0,NETWORKDAYS(MAX(D720,DATE(Einstellungen!$C$3,12,1)),MIN(J720,DATE(Einstellungen!$C$3,13,0)),Einstellungen!$F$13:$F$32)))</f>
        <v/>
      </c>
      <c r="X720" s="50">
        <f>L720*K720</f>
        <v/>
      </c>
      <c r="Y720" s="50">
        <f>M720*K720</f>
        <v/>
      </c>
      <c r="Z720" s="50">
        <f>N720*K720</f>
        <v/>
      </c>
      <c r="AA720" s="50">
        <f>O720*K720</f>
        <v/>
      </c>
      <c r="AB720" s="50">
        <f>P720*K720</f>
        <v/>
      </c>
      <c r="AC720" s="50">
        <f>Q720*K720</f>
        <v/>
      </c>
      <c r="AD720" s="50">
        <f>R720*K720</f>
        <v/>
      </c>
      <c r="AE720" s="50">
        <f>S720*K720</f>
        <v/>
      </c>
      <c r="AF720" s="50">
        <f>T720*K720</f>
        <v/>
      </c>
      <c r="AG720" s="50">
        <f>U720*K720</f>
        <v/>
      </c>
      <c r="AH720" s="50">
        <f>V720*K720</f>
        <v/>
      </c>
      <c r="AI720" s="50">
        <f>W720*K720</f>
        <v/>
      </c>
    </row>
    <row r="721">
      <c r="A721" s="25" t="n"/>
      <c r="B721" s="45">
        <f>IF(A721="","",IFERROR(INDEX(Mitarbeiter!$B$6:$B$205,MATCH($A721,Mitarbeiter!$A$6:$A$205,0)),"?"))</f>
        <v/>
      </c>
      <c r="C721" s="46" t="n"/>
      <c r="D721" s="26" t="n"/>
      <c r="E721" s="26" t="n"/>
      <c r="F721" s="24">
        <f>IF(A721="","",SUM(L721:W721))</f>
        <v/>
      </c>
      <c r="G721" s="36">
        <f>IF(A721="","",SUM(X721:AI721))</f>
        <v/>
      </c>
      <c r="H721" s="8">
        <f>IF(A721="","",IF(ISNA(MATCH(A721,Mitarbeiter!$A$6:$A$205,0)),"Pers.-Nr. unbekannt",IF(D721="","Von fehlt",IF(AND(C721&lt;&gt;Einstellungen!$C$4,C721&lt;&gt;Einstellungen!$C$5),"Objekt fehlt",IF(J721&lt;D721,"Bis vor Von",IF(D721&lt;INDEX(Mitarbeiter!$C$6:$C$205,MATCH($A721,Mitarbeiter!$A$6:$A$205,0)),"vor Eintritt",IF(AND(INDEX(Mitarbeiter!$D$6:$D$205,MATCH($A721,Mitarbeiter!$A$6:$A$205,0))&lt;&gt;"",D721&gt;INDEX(Mitarbeiter!$D$6:$D$205,MATCH($A721,Mitarbeiter!$A$6:$A$205,0))),"nach Austritt",IF(E721="","offen","ok"))))))))</f>
        <v/>
      </c>
      <c r="J721" s="47">
        <f>IF(A721="","",IF(E721="",Einstellungen!$C$9,E721))</f>
        <v/>
      </c>
      <c r="K721" s="48">
        <f>IF(A721="",0,IFERROR(INDEX(Mitarbeiter!$F$6:$F$205,MATCH($A721,Mitarbeiter!$A$6:$A$205,0)),0))</f>
        <v/>
      </c>
      <c r="L721" s="49">
        <f>IF(OR(A721="",D721=""),0,MAX(0,NETWORKDAYS(MAX(D721,DATE(Einstellungen!$C$3,1,1)),MIN(J721,DATE(Einstellungen!$C$3,2,0)),Einstellungen!$F$13:$F$32)))</f>
        <v/>
      </c>
      <c r="M721" s="49">
        <f>IF(OR(A721="",D721=""),0,MAX(0,NETWORKDAYS(MAX(D721,DATE(Einstellungen!$C$3,2,1)),MIN(J721,DATE(Einstellungen!$C$3,3,0)),Einstellungen!$F$13:$F$32)))</f>
        <v/>
      </c>
      <c r="N721" s="49">
        <f>IF(OR(A721="",D721=""),0,MAX(0,NETWORKDAYS(MAX(D721,DATE(Einstellungen!$C$3,3,1)),MIN(J721,DATE(Einstellungen!$C$3,4,0)),Einstellungen!$F$13:$F$32)))</f>
        <v/>
      </c>
      <c r="O721" s="49">
        <f>IF(OR(A721="",D721=""),0,MAX(0,NETWORKDAYS(MAX(D721,DATE(Einstellungen!$C$3,4,1)),MIN(J721,DATE(Einstellungen!$C$3,5,0)),Einstellungen!$F$13:$F$32)))</f>
        <v/>
      </c>
      <c r="P721" s="49">
        <f>IF(OR(A721="",D721=""),0,MAX(0,NETWORKDAYS(MAX(D721,DATE(Einstellungen!$C$3,5,1)),MIN(J721,DATE(Einstellungen!$C$3,6,0)),Einstellungen!$F$13:$F$32)))</f>
        <v/>
      </c>
      <c r="Q721" s="49">
        <f>IF(OR(A721="",D721=""),0,MAX(0,NETWORKDAYS(MAX(D721,DATE(Einstellungen!$C$3,6,1)),MIN(J721,DATE(Einstellungen!$C$3,7,0)),Einstellungen!$F$13:$F$32)))</f>
        <v/>
      </c>
      <c r="R721" s="49">
        <f>IF(OR(A721="",D721=""),0,MAX(0,NETWORKDAYS(MAX(D721,DATE(Einstellungen!$C$3,7,1)),MIN(J721,DATE(Einstellungen!$C$3,8,0)),Einstellungen!$F$13:$F$32)))</f>
        <v/>
      </c>
      <c r="S721" s="49">
        <f>IF(OR(A721="",D721=""),0,MAX(0,NETWORKDAYS(MAX(D721,DATE(Einstellungen!$C$3,8,1)),MIN(J721,DATE(Einstellungen!$C$3,9,0)),Einstellungen!$F$13:$F$32)))</f>
        <v/>
      </c>
      <c r="T721" s="49">
        <f>IF(OR(A721="",D721=""),0,MAX(0,NETWORKDAYS(MAX(D721,DATE(Einstellungen!$C$3,9,1)),MIN(J721,DATE(Einstellungen!$C$3,10,0)),Einstellungen!$F$13:$F$32)))</f>
        <v/>
      </c>
      <c r="U721" s="49">
        <f>IF(OR(A721="",D721=""),0,MAX(0,NETWORKDAYS(MAX(D721,DATE(Einstellungen!$C$3,10,1)),MIN(J721,DATE(Einstellungen!$C$3,11,0)),Einstellungen!$F$13:$F$32)))</f>
        <v/>
      </c>
      <c r="V721" s="49">
        <f>IF(OR(A721="",D721=""),0,MAX(0,NETWORKDAYS(MAX(D721,DATE(Einstellungen!$C$3,11,1)),MIN(J721,DATE(Einstellungen!$C$3,12,0)),Einstellungen!$F$13:$F$32)))</f>
        <v/>
      </c>
      <c r="W721" s="49">
        <f>IF(OR(A721="",D721=""),0,MAX(0,NETWORKDAYS(MAX(D721,DATE(Einstellungen!$C$3,12,1)),MIN(J721,DATE(Einstellungen!$C$3,13,0)),Einstellungen!$F$13:$F$32)))</f>
        <v/>
      </c>
      <c r="X721" s="50">
        <f>L721*K721</f>
        <v/>
      </c>
      <c r="Y721" s="50">
        <f>M721*K721</f>
        <v/>
      </c>
      <c r="Z721" s="50">
        <f>N721*K721</f>
        <v/>
      </c>
      <c r="AA721" s="50">
        <f>O721*K721</f>
        <v/>
      </c>
      <c r="AB721" s="50">
        <f>P721*K721</f>
        <v/>
      </c>
      <c r="AC721" s="50">
        <f>Q721*K721</f>
        <v/>
      </c>
      <c r="AD721" s="50">
        <f>R721*K721</f>
        <v/>
      </c>
      <c r="AE721" s="50">
        <f>S721*K721</f>
        <v/>
      </c>
      <c r="AF721" s="50">
        <f>T721*K721</f>
        <v/>
      </c>
      <c r="AG721" s="50">
        <f>U721*K721</f>
        <v/>
      </c>
      <c r="AH721" s="50">
        <f>V721*K721</f>
        <v/>
      </c>
      <c r="AI721" s="50">
        <f>W721*K721</f>
        <v/>
      </c>
    </row>
    <row r="722">
      <c r="A722" s="25" t="n"/>
      <c r="B722" s="45">
        <f>IF(A722="","",IFERROR(INDEX(Mitarbeiter!$B$6:$B$205,MATCH($A722,Mitarbeiter!$A$6:$A$205,0)),"?"))</f>
        <v/>
      </c>
      <c r="C722" s="46" t="n"/>
      <c r="D722" s="26" t="n"/>
      <c r="E722" s="26" t="n"/>
      <c r="F722" s="24">
        <f>IF(A722="","",SUM(L722:W722))</f>
        <v/>
      </c>
      <c r="G722" s="36">
        <f>IF(A722="","",SUM(X722:AI722))</f>
        <v/>
      </c>
      <c r="H722" s="8">
        <f>IF(A722="","",IF(ISNA(MATCH(A722,Mitarbeiter!$A$6:$A$205,0)),"Pers.-Nr. unbekannt",IF(D722="","Von fehlt",IF(AND(C722&lt;&gt;Einstellungen!$C$4,C722&lt;&gt;Einstellungen!$C$5),"Objekt fehlt",IF(J722&lt;D722,"Bis vor Von",IF(D722&lt;INDEX(Mitarbeiter!$C$6:$C$205,MATCH($A722,Mitarbeiter!$A$6:$A$205,0)),"vor Eintritt",IF(AND(INDEX(Mitarbeiter!$D$6:$D$205,MATCH($A722,Mitarbeiter!$A$6:$A$205,0))&lt;&gt;"",D722&gt;INDEX(Mitarbeiter!$D$6:$D$205,MATCH($A722,Mitarbeiter!$A$6:$A$205,0))),"nach Austritt",IF(E722="","offen","ok"))))))))</f>
        <v/>
      </c>
      <c r="J722" s="47">
        <f>IF(A722="","",IF(E722="",Einstellungen!$C$9,E722))</f>
        <v/>
      </c>
      <c r="K722" s="48">
        <f>IF(A722="",0,IFERROR(INDEX(Mitarbeiter!$F$6:$F$205,MATCH($A722,Mitarbeiter!$A$6:$A$205,0)),0))</f>
        <v/>
      </c>
      <c r="L722" s="49">
        <f>IF(OR(A722="",D722=""),0,MAX(0,NETWORKDAYS(MAX(D722,DATE(Einstellungen!$C$3,1,1)),MIN(J722,DATE(Einstellungen!$C$3,2,0)),Einstellungen!$F$13:$F$32)))</f>
        <v/>
      </c>
      <c r="M722" s="49">
        <f>IF(OR(A722="",D722=""),0,MAX(0,NETWORKDAYS(MAX(D722,DATE(Einstellungen!$C$3,2,1)),MIN(J722,DATE(Einstellungen!$C$3,3,0)),Einstellungen!$F$13:$F$32)))</f>
        <v/>
      </c>
      <c r="N722" s="49">
        <f>IF(OR(A722="",D722=""),0,MAX(0,NETWORKDAYS(MAX(D722,DATE(Einstellungen!$C$3,3,1)),MIN(J722,DATE(Einstellungen!$C$3,4,0)),Einstellungen!$F$13:$F$32)))</f>
        <v/>
      </c>
      <c r="O722" s="49">
        <f>IF(OR(A722="",D722=""),0,MAX(0,NETWORKDAYS(MAX(D722,DATE(Einstellungen!$C$3,4,1)),MIN(J722,DATE(Einstellungen!$C$3,5,0)),Einstellungen!$F$13:$F$32)))</f>
        <v/>
      </c>
      <c r="P722" s="49">
        <f>IF(OR(A722="",D722=""),0,MAX(0,NETWORKDAYS(MAX(D722,DATE(Einstellungen!$C$3,5,1)),MIN(J722,DATE(Einstellungen!$C$3,6,0)),Einstellungen!$F$13:$F$32)))</f>
        <v/>
      </c>
      <c r="Q722" s="49">
        <f>IF(OR(A722="",D722=""),0,MAX(0,NETWORKDAYS(MAX(D722,DATE(Einstellungen!$C$3,6,1)),MIN(J722,DATE(Einstellungen!$C$3,7,0)),Einstellungen!$F$13:$F$32)))</f>
        <v/>
      </c>
      <c r="R722" s="49">
        <f>IF(OR(A722="",D722=""),0,MAX(0,NETWORKDAYS(MAX(D722,DATE(Einstellungen!$C$3,7,1)),MIN(J722,DATE(Einstellungen!$C$3,8,0)),Einstellungen!$F$13:$F$32)))</f>
        <v/>
      </c>
      <c r="S722" s="49">
        <f>IF(OR(A722="",D722=""),0,MAX(0,NETWORKDAYS(MAX(D722,DATE(Einstellungen!$C$3,8,1)),MIN(J722,DATE(Einstellungen!$C$3,9,0)),Einstellungen!$F$13:$F$32)))</f>
        <v/>
      </c>
      <c r="T722" s="49">
        <f>IF(OR(A722="",D722=""),0,MAX(0,NETWORKDAYS(MAX(D722,DATE(Einstellungen!$C$3,9,1)),MIN(J722,DATE(Einstellungen!$C$3,10,0)),Einstellungen!$F$13:$F$32)))</f>
        <v/>
      </c>
      <c r="U722" s="49">
        <f>IF(OR(A722="",D722=""),0,MAX(0,NETWORKDAYS(MAX(D722,DATE(Einstellungen!$C$3,10,1)),MIN(J722,DATE(Einstellungen!$C$3,11,0)),Einstellungen!$F$13:$F$32)))</f>
        <v/>
      </c>
      <c r="V722" s="49">
        <f>IF(OR(A722="",D722=""),0,MAX(0,NETWORKDAYS(MAX(D722,DATE(Einstellungen!$C$3,11,1)),MIN(J722,DATE(Einstellungen!$C$3,12,0)),Einstellungen!$F$13:$F$32)))</f>
        <v/>
      </c>
      <c r="W722" s="49">
        <f>IF(OR(A722="",D722=""),0,MAX(0,NETWORKDAYS(MAX(D722,DATE(Einstellungen!$C$3,12,1)),MIN(J722,DATE(Einstellungen!$C$3,13,0)),Einstellungen!$F$13:$F$32)))</f>
        <v/>
      </c>
      <c r="X722" s="50">
        <f>L722*K722</f>
        <v/>
      </c>
      <c r="Y722" s="50">
        <f>M722*K722</f>
        <v/>
      </c>
      <c r="Z722" s="50">
        <f>N722*K722</f>
        <v/>
      </c>
      <c r="AA722" s="50">
        <f>O722*K722</f>
        <v/>
      </c>
      <c r="AB722" s="50">
        <f>P722*K722</f>
        <v/>
      </c>
      <c r="AC722" s="50">
        <f>Q722*K722</f>
        <v/>
      </c>
      <c r="AD722" s="50">
        <f>R722*K722</f>
        <v/>
      </c>
      <c r="AE722" s="50">
        <f>S722*K722</f>
        <v/>
      </c>
      <c r="AF722" s="50">
        <f>T722*K722</f>
        <v/>
      </c>
      <c r="AG722" s="50">
        <f>U722*K722</f>
        <v/>
      </c>
      <c r="AH722" s="50">
        <f>V722*K722</f>
        <v/>
      </c>
      <c r="AI722" s="50">
        <f>W722*K722</f>
        <v/>
      </c>
    </row>
    <row r="723">
      <c r="A723" s="25" t="n"/>
      <c r="B723" s="45">
        <f>IF(A723="","",IFERROR(INDEX(Mitarbeiter!$B$6:$B$205,MATCH($A723,Mitarbeiter!$A$6:$A$205,0)),"?"))</f>
        <v/>
      </c>
      <c r="C723" s="46" t="n"/>
      <c r="D723" s="26" t="n"/>
      <c r="E723" s="26" t="n"/>
      <c r="F723" s="24">
        <f>IF(A723="","",SUM(L723:W723))</f>
        <v/>
      </c>
      <c r="G723" s="36">
        <f>IF(A723="","",SUM(X723:AI723))</f>
        <v/>
      </c>
      <c r="H723" s="8">
        <f>IF(A723="","",IF(ISNA(MATCH(A723,Mitarbeiter!$A$6:$A$205,0)),"Pers.-Nr. unbekannt",IF(D723="","Von fehlt",IF(AND(C723&lt;&gt;Einstellungen!$C$4,C723&lt;&gt;Einstellungen!$C$5),"Objekt fehlt",IF(J723&lt;D723,"Bis vor Von",IF(D723&lt;INDEX(Mitarbeiter!$C$6:$C$205,MATCH($A723,Mitarbeiter!$A$6:$A$205,0)),"vor Eintritt",IF(AND(INDEX(Mitarbeiter!$D$6:$D$205,MATCH($A723,Mitarbeiter!$A$6:$A$205,0))&lt;&gt;"",D723&gt;INDEX(Mitarbeiter!$D$6:$D$205,MATCH($A723,Mitarbeiter!$A$6:$A$205,0))),"nach Austritt",IF(E723="","offen","ok"))))))))</f>
        <v/>
      </c>
      <c r="J723" s="47">
        <f>IF(A723="","",IF(E723="",Einstellungen!$C$9,E723))</f>
        <v/>
      </c>
      <c r="K723" s="48">
        <f>IF(A723="",0,IFERROR(INDEX(Mitarbeiter!$F$6:$F$205,MATCH($A723,Mitarbeiter!$A$6:$A$205,0)),0))</f>
        <v/>
      </c>
      <c r="L723" s="49">
        <f>IF(OR(A723="",D723=""),0,MAX(0,NETWORKDAYS(MAX(D723,DATE(Einstellungen!$C$3,1,1)),MIN(J723,DATE(Einstellungen!$C$3,2,0)),Einstellungen!$F$13:$F$32)))</f>
        <v/>
      </c>
      <c r="M723" s="49">
        <f>IF(OR(A723="",D723=""),0,MAX(0,NETWORKDAYS(MAX(D723,DATE(Einstellungen!$C$3,2,1)),MIN(J723,DATE(Einstellungen!$C$3,3,0)),Einstellungen!$F$13:$F$32)))</f>
        <v/>
      </c>
      <c r="N723" s="49">
        <f>IF(OR(A723="",D723=""),0,MAX(0,NETWORKDAYS(MAX(D723,DATE(Einstellungen!$C$3,3,1)),MIN(J723,DATE(Einstellungen!$C$3,4,0)),Einstellungen!$F$13:$F$32)))</f>
        <v/>
      </c>
      <c r="O723" s="49">
        <f>IF(OR(A723="",D723=""),0,MAX(0,NETWORKDAYS(MAX(D723,DATE(Einstellungen!$C$3,4,1)),MIN(J723,DATE(Einstellungen!$C$3,5,0)),Einstellungen!$F$13:$F$32)))</f>
        <v/>
      </c>
      <c r="P723" s="49">
        <f>IF(OR(A723="",D723=""),0,MAX(0,NETWORKDAYS(MAX(D723,DATE(Einstellungen!$C$3,5,1)),MIN(J723,DATE(Einstellungen!$C$3,6,0)),Einstellungen!$F$13:$F$32)))</f>
        <v/>
      </c>
      <c r="Q723" s="49">
        <f>IF(OR(A723="",D723=""),0,MAX(0,NETWORKDAYS(MAX(D723,DATE(Einstellungen!$C$3,6,1)),MIN(J723,DATE(Einstellungen!$C$3,7,0)),Einstellungen!$F$13:$F$32)))</f>
        <v/>
      </c>
      <c r="R723" s="49">
        <f>IF(OR(A723="",D723=""),0,MAX(0,NETWORKDAYS(MAX(D723,DATE(Einstellungen!$C$3,7,1)),MIN(J723,DATE(Einstellungen!$C$3,8,0)),Einstellungen!$F$13:$F$32)))</f>
        <v/>
      </c>
      <c r="S723" s="49">
        <f>IF(OR(A723="",D723=""),0,MAX(0,NETWORKDAYS(MAX(D723,DATE(Einstellungen!$C$3,8,1)),MIN(J723,DATE(Einstellungen!$C$3,9,0)),Einstellungen!$F$13:$F$32)))</f>
        <v/>
      </c>
      <c r="T723" s="49">
        <f>IF(OR(A723="",D723=""),0,MAX(0,NETWORKDAYS(MAX(D723,DATE(Einstellungen!$C$3,9,1)),MIN(J723,DATE(Einstellungen!$C$3,10,0)),Einstellungen!$F$13:$F$32)))</f>
        <v/>
      </c>
      <c r="U723" s="49">
        <f>IF(OR(A723="",D723=""),0,MAX(0,NETWORKDAYS(MAX(D723,DATE(Einstellungen!$C$3,10,1)),MIN(J723,DATE(Einstellungen!$C$3,11,0)),Einstellungen!$F$13:$F$32)))</f>
        <v/>
      </c>
      <c r="V723" s="49">
        <f>IF(OR(A723="",D723=""),0,MAX(0,NETWORKDAYS(MAX(D723,DATE(Einstellungen!$C$3,11,1)),MIN(J723,DATE(Einstellungen!$C$3,12,0)),Einstellungen!$F$13:$F$32)))</f>
        <v/>
      </c>
      <c r="W723" s="49">
        <f>IF(OR(A723="",D723=""),0,MAX(0,NETWORKDAYS(MAX(D723,DATE(Einstellungen!$C$3,12,1)),MIN(J723,DATE(Einstellungen!$C$3,13,0)),Einstellungen!$F$13:$F$32)))</f>
        <v/>
      </c>
      <c r="X723" s="50">
        <f>L723*K723</f>
        <v/>
      </c>
      <c r="Y723" s="50">
        <f>M723*K723</f>
        <v/>
      </c>
      <c r="Z723" s="50">
        <f>N723*K723</f>
        <v/>
      </c>
      <c r="AA723" s="50">
        <f>O723*K723</f>
        <v/>
      </c>
      <c r="AB723" s="50">
        <f>P723*K723</f>
        <v/>
      </c>
      <c r="AC723" s="50">
        <f>Q723*K723</f>
        <v/>
      </c>
      <c r="AD723" s="50">
        <f>R723*K723</f>
        <v/>
      </c>
      <c r="AE723" s="50">
        <f>S723*K723</f>
        <v/>
      </c>
      <c r="AF723" s="50">
        <f>T723*K723</f>
        <v/>
      </c>
      <c r="AG723" s="50">
        <f>U723*K723</f>
        <v/>
      </c>
      <c r="AH723" s="50">
        <f>V723*K723</f>
        <v/>
      </c>
      <c r="AI723" s="50">
        <f>W723*K723</f>
        <v/>
      </c>
    </row>
    <row r="724">
      <c r="A724" s="25" t="n"/>
      <c r="B724" s="45">
        <f>IF(A724="","",IFERROR(INDEX(Mitarbeiter!$B$6:$B$205,MATCH($A724,Mitarbeiter!$A$6:$A$205,0)),"?"))</f>
        <v/>
      </c>
      <c r="C724" s="46" t="n"/>
      <c r="D724" s="26" t="n"/>
      <c r="E724" s="26" t="n"/>
      <c r="F724" s="24">
        <f>IF(A724="","",SUM(L724:W724))</f>
        <v/>
      </c>
      <c r="G724" s="36">
        <f>IF(A724="","",SUM(X724:AI724))</f>
        <v/>
      </c>
      <c r="H724" s="8">
        <f>IF(A724="","",IF(ISNA(MATCH(A724,Mitarbeiter!$A$6:$A$205,0)),"Pers.-Nr. unbekannt",IF(D724="","Von fehlt",IF(AND(C724&lt;&gt;Einstellungen!$C$4,C724&lt;&gt;Einstellungen!$C$5),"Objekt fehlt",IF(J724&lt;D724,"Bis vor Von",IF(D724&lt;INDEX(Mitarbeiter!$C$6:$C$205,MATCH($A724,Mitarbeiter!$A$6:$A$205,0)),"vor Eintritt",IF(AND(INDEX(Mitarbeiter!$D$6:$D$205,MATCH($A724,Mitarbeiter!$A$6:$A$205,0))&lt;&gt;"",D724&gt;INDEX(Mitarbeiter!$D$6:$D$205,MATCH($A724,Mitarbeiter!$A$6:$A$205,0))),"nach Austritt",IF(E724="","offen","ok"))))))))</f>
        <v/>
      </c>
      <c r="J724" s="47">
        <f>IF(A724="","",IF(E724="",Einstellungen!$C$9,E724))</f>
        <v/>
      </c>
      <c r="K724" s="48">
        <f>IF(A724="",0,IFERROR(INDEX(Mitarbeiter!$F$6:$F$205,MATCH($A724,Mitarbeiter!$A$6:$A$205,0)),0))</f>
        <v/>
      </c>
      <c r="L724" s="49">
        <f>IF(OR(A724="",D724=""),0,MAX(0,NETWORKDAYS(MAX(D724,DATE(Einstellungen!$C$3,1,1)),MIN(J724,DATE(Einstellungen!$C$3,2,0)),Einstellungen!$F$13:$F$32)))</f>
        <v/>
      </c>
      <c r="M724" s="49">
        <f>IF(OR(A724="",D724=""),0,MAX(0,NETWORKDAYS(MAX(D724,DATE(Einstellungen!$C$3,2,1)),MIN(J724,DATE(Einstellungen!$C$3,3,0)),Einstellungen!$F$13:$F$32)))</f>
        <v/>
      </c>
      <c r="N724" s="49">
        <f>IF(OR(A724="",D724=""),0,MAX(0,NETWORKDAYS(MAX(D724,DATE(Einstellungen!$C$3,3,1)),MIN(J724,DATE(Einstellungen!$C$3,4,0)),Einstellungen!$F$13:$F$32)))</f>
        <v/>
      </c>
      <c r="O724" s="49">
        <f>IF(OR(A724="",D724=""),0,MAX(0,NETWORKDAYS(MAX(D724,DATE(Einstellungen!$C$3,4,1)),MIN(J724,DATE(Einstellungen!$C$3,5,0)),Einstellungen!$F$13:$F$32)))</f>
        <v/>
      </c>
      <c r="P724" s="49">
        <f>IF(OR(A724="",D724=""),0,MAX(0,NETWORKDAYS(MAX(D724,DATE(Einstellungen!$C$3,5,1)),MIN(J724,DATE(Einstellungen!$C$3,6,0)),Einstellungen!$F$13:$F$32)))</f>
        <v/>
      </c>
      <c r="Q724" s="49">
        <f>IF(OR(A724="",D724=""),0,MAX(0,NETWORKDAYS(MAX(D724,DATE(Einstellungen!$C$3,6,1)),MIN(J724,DATE(Einstellungen!$C$3,7,0)),Einstellungen!$F$13:$F$32)))</f>
        <v/>
      </c>
      <c r="R724" s="49">
        <f>IF(OR(A724="",D724=""),0,MAX(0,NETWORKDAYS(MAX(D724,DATE(Einstellungen!$C$3,7,1)),MIN(J724,DATE(Einstellungen!$C$3,8,0)),Einstellungen!$F$13:$F$32)))</f>
        <v/>
      </c>
      <c r="S724" s="49">
        <f>IF(OR(A724="",D724=""),0,MAX(0,NETWORKDAYS(MAX(D724,DATE(Einstellungen!$C$3,8,1)),MIN(J724,DATE(Einstellungen!$C$3,9,0)),Einstellungen!$F$13:$F$32)))</f>
        <v/>
      </c>
      <c r="T724" s="49">
        <f>IF(OR(A724="",D724=""),0,MAX(0,NETWORKDAYS(MAX(D724,DATE(Einstellungen!$C$3,9,1)),MIN(J724,DATE(Einstellungen!$C$3,10,0)),Einstellungen!$F$13:$F$32)))</f>
        <v/>
      </c>
      <c r="U724" s="49">
        <f>IF(OR(A724="",D724=""),0,MAX(0,NETWORKDAYS(MAX(D724,DATE(Einstellungen!$C$3,10,1)),MIN(J724,DATE(Einstellungen!$C$3,11,0)),Einstellungen!$F$13:$F$32)))</f>
        <v/>
      </c>
      <c r="V724" s="49">
        <f>IF(OR(A724="",D724=""),0,MAX(0,NETWORKDAYS(MAX(D724,DATE(Einstellungen!$C$3,11,1)),MIN(J724,DATE(Einstellungen!$C$3,12,0)),Einstellungen!$F$13:$F$32)))</f>
        <v/>
      </c>
      <c r="W724" s="49">
        <f>IF(OR(A724="",D724=""),0,MAX(0,NETWORKDAYS(MAX(D724,DATE(Einstellungen!$C$3,12,1)),MIN(J724,DATE(Einstellungen!$C$3,13,0)),Einstellungen!$F$13:$F$32)))</f>
        <v/>
      </c>
      <c r="X724" s="50">
        <f>L724*K724</f>
        <v/>
      </c>
      <c r="Y724" s="50">
        <f>M724*K724</f>
        <v/>
      </c>
      <c r="Z724" s="50">
        <f>N724*K724</f>
        <v/>
      </c>
      <c r="AA724" s="50">
        <f>O724*K724</f>
        <v/>
      </c>
      <c r="AB724" s="50">
        <f>P724*K724</f>
        <v/>
      </c>
      <c r="AC724" s="50">
        <f>Q724*K724</f>
        <v/>
      </c>
      <c r="AD724" s="50">
        <f>R724*K724</f>
        <v/>
      </c>
      <c r="AE724" s="50">
        <f>S724*K724</f>
        <v/>
      </c>
      <c r="AF724" s="50">
        <f>T724*K724</f>
        <v/>
      </c>
      <c r="AG724" s="50">
        <f>U724*K724</f>
        <v/>
      </c>
      <c r="AH724" s="50">
        <f>V724*K724</f>
        <v/>
      </c>
      <c r="AI724" s="50">
        <f>W724*K724</f>
        <v/>
      </c>
    </row>
    <row r="725">
      <c r="A725" s="25" t="n"/>
      <c r="B725" s="45">
        <f>IF(A725="","",IFERROR(INDEX(Mitarbeiter!$B$6:$B$205,MATCH($A725,Mitarbeiter!$A$6:$A$205,0)),"?"))</f>
        <v/>
      </c>
      <c r="C725" s="46" t="n"/>
      <c r="D725" s="26" t="n"/>
      <c r="E725" s="26" t="n"/>
      <c r="F725" s="24">
        <f>IF(A725="","",SUM(L725:W725))</f>
        <v/>
      </c>
      <c r="G725" s="36">
        <f>IF(A725="","",SUM(X725:AI725))</f>
        <v/>
      </c>
      <c r="H725" s="8">
        <f>IF(A725="","",IF(ISNA(MATCH(A725,Mitarbeiter!$A$6:$A$205,0)),"Pers.-Nr. unbekannt",IF(D725="","Von fehlt",IF(AND(C725&lt;&gt;Einstellungen!$C$4,C725&lt;&gt;Einstellungen!$C$5),"Objekt fehlt",IF(J725&lt;D725,"Bis vor Von",IF(D725&lt;INDEX(Mitarbeiter!$C$6:$C$205,MATCH($A725,Mitarbeiter!$A$6:$A$205,0)),"vor Eintritt",IF(AND(INDEX(Mitarbeiter!$D$6:$D$205,MATCH($A725,Mitarbeiter!$A$6:$A$205,0))&lt;&gt;"",D725&gt;INDEX(Mitarbeiter!$D$6:$D$205,MATCH($A725,Mitarbeiter!$A$6:$A$205,0))),"nach Austritt",IF(E725="","offen","ok"))))))))</f>
        <v/>
      </c>
      <c r="J725" s="47">
        <f>IF(A725="","",IF(E725="",Einstellungen!$C$9,E725))</f>
        <v/>
      </c>
      <c r="K725" s="48">
        <f>IF(A725="",0,IFERROR(INDEX(Mitarbeiter!$F$6:$F$205,MATCH($A725,Mitarbeiter!$A$6:$A$205,0)),0))</f>
        <v/>
      </c>
      <c r="L725" s="49">
        <f>IF(OR(A725="",D725=""),0,MAX(0,NETWORKDAYS(MAX(D725,DATE(Einstellungen!$C$3,1,1)),MIN(J725,DATE(Einstellungen!$C$3,2,0)),Einstellungen!$F$13:$F$32)))</f>
        <v/>
      </c>
      <c r="M725" s="49">
        <f>IF(OR(A725="",D725=""),0,MAX(0,NETWORKDAYS(MAX(D725,DATE(Einstellungen!$C$3,2,1)),MIN(J725,DATE(Einstellungen!$C$3,3,0)),Einstellungen!$F$13:$F$32)))</f>
        <v/>
      </c>
      <c r="N725" s="49">
        <f>IF(OR(A725="",D725=""),0,MAX(0,NETWORKDAYS(MAX(D725,DATE(Einstellungen!$C$3,3,1)),MIN(J725,DATE(Einstellungen!$C$3,4,0)),Einstellungen!$F$13:$F$32)))</f>
        <v/>
      </c>
      <c r="O725" s="49">
        <f>IF(OR(A725="",D725=""),0,MAX(0,NETWORKDAYS(MAX(D725,DATE(Einstellungen!$C$3,4,1)),MIN(J725,DATE(Einstellungen!$C$3,5,0)),Einstellungen!$F$13:$F$32)))</f>
        <v/>
      </c>
      <c r="P725" s="49">
        <f>IF(OR(A725="",D725=""),0,MAX(0,NETWORKDAYS(MAX(D725,DATE(Einstellungen!$C$3,5,1)),MIN(J725,DATE(Einstellungen!$C$3,6,0)),Einstellungen!$F$13:$F$32)))</f>
        <v/>
      </c>
      <c r="Q725" s="49">
        <f>IF(OR(A725="",D725=""),0,MAX(0,NETWORKDAYS(MAX(D725,DATE(Einstellungen!$C$3,6,1)),MIN(J725,DATE(Einstellungen!$C$3,7,0)),Einstellungen!$F$13:$F$32)))</f>
        <v/>
      </c>
      <c r="R725" s="49">
        <f>IF(OR(A725="",D725=""),0,MAX(0,NETWORKDAYS(MAX(D725,DATE(Einstellungen!$C$3,7,1)),MIN(J725,DATE(Einstellungen!$C$3,8,0)),Einstellungen!$F$13:$F$32)))</f>
        <v/>
      </c>
      <c r="S725" s="49">
        <f>IF(OR(A725="",D725=""),0,MAX(0,NETWORKDAYS(MAX(D725,DATE(Einstellungen!$C$3,8,1)),MIN(J725,DATE(Einstellungen!$C$3,9,0)),Einstellungen!$F$13:$F$32)))</f>
        <v/>
      </c>
      <c r="T725" s="49">
        <f>IF(OR(A725="",D725=""),0,MAX(0,NETWORKDAYS(MAX(D725,DATE(Einstellungen!$C$3,9,1)),MIN(J725,DATE(Einstellungen!$C$3,10,0)),Einstellungen!$F$13:$F$32)))</f>
        <v/>
      </c>
      <c r="U725" s="49">
        <f>IF(OR(A725="",D725=""),0,MAX(0,NETWORKDAYS(MAX(D725,DATE(Einstellungen!$C$3,10,1)),MIN(J725,DATE(Einstellungen!$C$3,11,0)),Einstellungen!$F$13:$F$32)))</f>
        <v/>
      </c>
      <c r="V725" s="49">
        <f>IF(OR(A725="",D725=""),0,MAX(0,NETWORKDAYS(MAX(D725,DATE(Einstellungen!$C$3,11,1)),MIN(J725,DATE(Einstellungen!$C$3,12,0)),Einstellungen!$F$13:$F$32)))</f>
        <v/>
      </c>
      <c r="W725" s="49">
        <f>IF(OR(A725="",D725=""),0,MAX(0,NETWORKDAYS(MAX(D725,DATE(Einstellungen!$C$3,12,1)),MIN(J725,DATE(Einstellungen!$C$3,13,0)),Einstellungen!$F$13:$F$32)))</f>
        <v/>
      </c>
      <c r="X725" s="50">
        <f>L725*K725</f>
        <v/>
      </c>
      <c r="Y725" s="50">
        <f>M725*K725</f>
        <v/>
      </c>
      <c r="Z725" s="50">
        <f>N725*K725</f>
        <v/>
      </c>
      <c r="AA725" s="50">
        <f>O725*K725</f>
        <v/>
      </c>
      <c r="AB725" s="50">
        <f>P725*K725</f>
        <v/>
      </c>
      <c r="AC725" s="50">
        <f>Q725*K725</f>
        <v/>
      </c>
      <c r="AD725" s="50">
        <f>R725*K725</f>
        <v/>
      </c>
      <c r="AE725" s="50">
        <f>S725*K725</f>
        <v/>
      </c>
      <c r="AF725" s="50">
        <f>T725*K725</f>
        <v/>
      </c>
      <c r="AG725" s="50">
        <f>U725*K725</f>
        <v/>
      </c>
      <c r="AH725" s="50">
        <f>V725*K725</f>
        <v/>
      </c>
      <c r="AI725" s="50">
        <f>W725*K725</f>
        <v/>
      </c>
    </row>
    <row r="726">
      <c r="A726" s="25" t="n"/>
      <c r="B726" s="45">
        <f>IF(A726="","",IFERROR(INDEX(Mitarbeiter!$B$6:$B$205,MATCH($A726,Mitarbeiter!$A$6:$A$205,0)),"?"))</f>
        <v/>
      </c>
      <c r="C726" s="46" t="n"/>
      <c r="D726" s="26" t="n"/>
      <c r="E726" s="26" t="n"/>
      <c r="F726" s="24">
        <f>IF(A726="","",SUM(L726:W726))</f>
        <v/>
      </c>
      <c r="G726" s="36">
        <f>IF(A726="","",SUM(X726:AI726))</f>
        <v/>
      </c>
      <c r="H726" s="8">
        <f>IF(A726="","",IF(ISNA(MATCH(A726,Mitarbeiter!$A$6:$A$205,0)),"Pers.-Nr. unbekannt",IF(D726="","Von fehlt",IF(AND(C726&lt;&gt;Einstellungen!$C$4,C726&lt;&gt;Einstellungen!$C$5),"Objekt fehlt",IF(J726&lt;D726,"Bis vor Von",IF(D726&lt;INDEX(Mitarbeiter!$C$6:$C$205,MATCH($A726,Mitarbeiter!$A$6:$A$205,0)),"vor Eintritt",IF(AND(INDEX(Mitarbeiter!$D$6:$D$205,MATCH($A726,Mitarbeiter!$A$6:$A$205,0))&lt;&gt;"",D726&gt;INDEX(Mitarbeiter!$D$6:$D$205,MATCH($A726,Mitarbeiter!$A$6:$A$205,0))),"nach Austritt",IF(E726="","offen","ok"))))))))</f>
        <v/>
      </c>
      <c r="J726" s="47">
        <f>IF(A726="","",IF(E726="",Einstellungen!$C$9,E726))</f>
        <v/>
      </c>
      <c r="K726" s="48">
        <f>IF(A726="",0,IFERROR(INDEX(Mitarbeiter!$F$6:$F$205,MATCH($A726,Mitarbeiter!$A$6:$A$205,0)),0))</f>
        <v/>
      </c>
      <c r="L726" s="49">
        <f>IF(OR(A726="",D726=""),0,MAX(0,NETWORKDAYS(MAX(D726,DATE(Einstellungen!$C$3,1,1)),MIN(J726,DATE(Einstellungen!$C$3,2,0)),Einstellungen!$F$13:$F$32)))</f>
        <v/>
      </c>
      <c r="M726" s="49">
        <f>IF(OR(A726="",D726=""),0,MAX(0,NETWORKDAYS(MAX(D726,DATE(Einstellungen!$C$3,2,1)),MIN(J726,DATE(Einstellungen!$C$3,3,0)),Einstellungen!$F$13:$F$32)))</f>
        <v/>
      </c>
      <c r="N726" s="49">
        <f>IF(OR(A726="",D726=""),0,MAX(0,NETWORKDAYS(MAX(D726,DATE(Einstellungen!$C$3,3,1)),MIN(J726,DATE(Einstellungen!$C$3,4,0)),Einstellungen!$F$13:$F$32)))</f>
        <v/>
      </c>
      <c r="O726" s="49">
        <f>IF(OR(A726="",D726=""),0,MAX(0,NETWORKDAYS(MAX(D726,DATE(Einstellungen!$C$3,4,1)),MIN(J726,DATE(Einstellungen!$C$3,5,0)),Einstellungen!$F$13:$F$32)))</f>
        <v/>
      </c>
      <c r="P726" s="49">
        <f>IF(OR(A726="",D726=""),0,MAX(0,NETWORKDAYS(MAX(D726,DATE(Einstellungen!$C$3,5,1)),MIN(J726,DATE(Einstellungen!$C$3,6,0)),Einstellungen!$F$13:$F$32)))</f>
        <v/>
      </c>
      <c r="Q726" s="49">
        <f>IF(OR(A726="",D726=""),0,MAX(0,NETWORKDAYS(MAX(D726,DATE(Einstellungen!$C$3,6,1)),MIN(J726,DATE(Einstellungen!$C$3,7,0)),Einstellungen!$F$13:$F$32)))</f>
        <v/>
      </c>
      <c r="R726" s="49">
        <f>IF(OR(A726="",D726=""),0,MAX(0,NETWORKDAYS(MAX(D726,DATE(Einstellungen!$C$3,7,1)),MIN(J726,DATE(Einstellungen!$C$3,8,0)),Einstellungen!$F$13:$F$32)))</f>
        <v/>
      </c>
      <c r="S726" s="49">
        <f>IF(OR(A726="",D726=""),0,MAX(0,NETWORKDAYS(MAX(D726,DATE(Einstellungen!$C$3,8,1)),MIN(J726,DATE(Einstellungen!$C$3,9,0)),Einstellungen!$F$13:$F$32)))</f>
        <v/>
      </c>
      <c r="T726" s="49">
        <f>IF(OR(A726="",D726=""),0,MAX(0,NETWORKDAYS(MAX(D726,DATE(Einstellungen!$C$3,9,1)),MIN(J726,DATE(Einstellungen!$C$3,10,0)),Einstellungen!$F$13:$F$32)))</f>
        <v/>
      </c>
      <c r="U726" s="49">
        <f>IF(OR(A726="",D726=""),0,MAX(0,NETWORKDAYS(MAX(D726,DATE(Einstellungen!$C$3,10,1)),MIN(J726,DATE(Einstellungen!$C$3,11,0)),Einstellungen!$F$13:$F$32)))</f>
        <v/>
      </c>
      <c r="V726" s="49">
        <f>IF(OR(A726="",D726=""),0,MAX(0,NETWORKDAYS(MAX(D726,DATE(Einstellungen!$C$3,11,1)),MIN(J726,DATE(Einstellungen!$C$3,12,0)),Einstellungen!$F$13:$F$32)))</f>
        <v/>
      </c>
      <c r="W726" s="49">
        <f>IF(OR(A726="",D726=""),0,MAX(0,NETWORKDAYS(MAX(D726,DATE(Einstellungen!$C$3,12,1)),MIN(J726,DATE(Einstellungen!$C$3,13,0)),Einstellungen!$F$13:$F$32)))</f>
        <v/>
      </c>
      <c r="X726" s="50">
        <f>L726*K726</f>
        <v/>
      </c>
      <c r="Y726" s="50">
        <f>M726*K726</f>
        <v/>
      </c>
      <c r="Z726" s="50">
        <f>N726*K726</f>
        <v/>
      </c>
      <c r="AA726" s="50">
        <f>O726*K726</f>
        <v/>
      </c>
      <c r="AB726" s="50">
        <f>P726*K726</f>
        <v/>
      </c>
      <c r="AC726" s="50">
        <f>Q726*K726</f>
        <v/>
      </c>
      <c r="AD726" s="50">
        <f>R726*K726</f>
        <v/>
      </c>
      <c r="AE726" s="50">
        <f>S726*K726</f>
        <v/>
      </c>
      <c r="AF726" s="50">
        <f>T726*K726</f>
        <v/>
      </c>
      <c r="AG726" s="50">
        <f>U726*K726</f>
        <v/>
      </c>
      <c r="AH726" s="50">
        <f>V726*K726</f>
        <v/>
      </c>
      <c r="AI726" s="50">
        <f>W726*K726</f>
        <v/>
      </c>
    </row>
    <row r="727">
      <c r="A727" s="25" t="n"/>
      <c r="B727" s="45">
        <f>IF(A727="","",IFERROR(INDEX(Mitarbeiter!$B$6:$B$205,MATCH($A727,Mitarbeiter!$A$6:$A$205,0)),"?"))</f>
        <v/>
      </c>
      <c r="C727" s="46" t="n"/>
      <c r="D727" s="26" t="n"/>
      <c r="E727" s="26" t="n"/>
      <c r="F727" s="24">
        <f>IF(A727="","",SUM(L727:W727))</f>
        <v/>
      </c>
      <c r="G727" s="36">
        <f>IF(A727="","",SUM(X727:AI727))</f>
        <v/>
      </c>
      <c r="H727" s="8">
        <f>IF(A727="","",IF(ISNA(MATCH(A727,Mitarbeiter!$A$6:$A$205,0)),"Pers.-Nr. unbekannt",IF(D727="","Von fehlt",IF(AND(C727&lt;&gt;Einstellungen!$C$4,C727&lt;&gt;Einstellungen!$C$5),"Objekt fehlt",IF(J727&lt;D727,"Bis vor Von",IF(D727&lt;INDEX(Mitarbeiter!$C$6:$C$205,MATCH($A727,Mitarbeiter!$A$6:$A$205,0)),"vor Eintritt",IF(AND(INDEX(Mitarbeiter!$D$6:$D$205,MATCH($A727,Mitarbeiter!$A$6:$A$205,0))&lt;&gt;"",D727&gt;INDEX(Mitarbeiter!$D$6:$D$205,MATCH($A727,Mitarbeiter!$A$6:$A$205,0))),"nach Austritt",IF(E727="","offen","ok"))))))))</f>
        <v/>
      </c>
      <c r="J727" s="47">
        <f>IF(A727="","",IF(E727="",Einstellungen!$C$9,E727))</f>
        <v/>
      </c>
      <c r="K727" s="48">
        <f>IF(A727="",0,IFERROR(INDEX(Mitarbeiter!$F$6:$F$205,MATCH($A727,Mitarbeiter!$A$6:$A$205,0)),0))</f>
        <v/>
      </c>
      <c r="L727" s="49">
        <f>IF(OR(A727="",D727=""),0,MAX(0,NETWORKDAYS(MAX(D727,DATE(Einstellungen!$C$3,1,1)),MIN(J727,DATE(Einstellungen!$C$3,2,0)),Einstellungen!$F$13:$F$32)))</f>
        <v/>
      </c>
      <c r="M727" s="49">
        <f>IF(OR(A727="",D727=""),0,MAX(0,NETWORKDAYS(MAX(D727,DATE(Einstellungen!$C$3,2,1)),MIN(J727,DATE(Einstellungen!$C$3,3,0)),Einstellungen!$F$13:$F$32)))</f>
        <v/>
      </c>
      <c r="N727" s="49">
        <f>IF(OR(A727="",D727=""),0,MAX(0,NETWORKDAYS(MAX(D727,DATE(Einstellungen!$C$3,3,1)),MIN(J727,DATE(Einstellungen!$C$3,4,0)),Einstellungen!$F$13:$F$32)))</f>
        <v/>
      </c>
      <c r="O727" s="49">
        <f>IF(OR(A727="",D727=""),0,MAX(0,NETWORKDAYS(MAX(D727,DATE(Einstellungen!$C$3,4,1)),MIN(J727,DATE(Einstellungen!$C$3,5,0)),Einstellungen!$F$13:$F$32)))</f>
        <v/>
      </c>
      <c r="P727" s="49">
        <f>IF(OR(A727="",D727=""),0,MAX(0,NETWORKDAYS(MAX(D727,DATE(Einstellungen!$C$3,5,1)),MIN(J727,DATE(Einstellungen!$C$3,6,0)),Einstellungen!$F$13:$F$32)))</f>
        <v/>
      </c>
      <c r="Q727" s="49">
        <f>IF(OR(A727="",D727=""),0,MAX(0,NETWORKDAYS(MAX(D727,DATE(Einstellungen!$C$3,6,1)),MIN(J727,DATE(Einstellungen!$C$3,7,0)),Einstellungen!$F$13:$F$32)))</f>
        <v/>
      </c>
      <c r="R727" s="49">
        <f>IF(OR(A727="",D727=""),0,MAX(0,NETWORKDAYS(MAX(D727,DATE(Einstellungen!$C$3,7,1)),MIN(J727,DATE(Einstellungen!$C$3,8,0)),Einstellungen!$F$13:$F$32)))</f>
        <v/>
      </c>
      <c r="S727" s="49">
        <f>IF(OR(A727="",D727=""),0,MAX(0,NETWORKDAYS(MAX(D727,DATE(Einstellungen!$C$3,8,1)),MIN(J727,DATE(Einstellungen!$C$3,9,0)),Einstellungen!$F$13:$F$32)))</f>
        <v/>
      </c>
      <c r="T727" s="49">
        <f>IF(OR(A727="",D727=""),0,MAX(0,NETWORKDAYS(MAX(D727,DATE(Einstellungen!$C$3,9,1)),MIN(J727,DATE(Einstellungen!$C$3,10,0)),Einstellungen!$F$13:$F$32)))</f>
        <v/>
      </c>
      <c r="U727" s="49">
        <f>IF(OR(A727="",D727=""),0,MAX(0,NETWORKDAYS(MAX(D727,DATE(Einstellungen!$C$3,10,1)),MIN(J727,DATE(Einstellungen!$C$3,11,0)),Einstellungen!$F$13:$F$32)))</f>
        <v/>
      </c>
      <c r="V727" s="49">
        <f>IF(OR(A727="",D727=""),0,MAX(0,NETWORKDAYS(MAX(D727,DATE(Einstellungen!$C$3,11,1)),MIN(J727,DATE(Einstellungen!$C$3,12,0)),Einstellungen!$F$13:$F$32)))</f>
        <v/>
      </c>
      <c r="W727" s="49">
        <f>IF(OR(A727="",D727=""),0,MAX(0,NETWORKDAYS(MAX(D727,DATE(Einstellungen!$C$3,12,1)),MIN(J727,DATE(Einstellungen!$C$3,13,0)),Einstellungen!$F$13:$F$32)))</f>
        <v/>
      </c>
      <c r="X727" s="50">
        <f>L727*K727</f>
        <v/>
      </c>
      <c r="Y727" s="50">
        <f>M727*K727</f>
        <v/>
      </c>
      <c r="Z727" s="50">
        <f>N727*K727</f>
        <v/>
      </c>
      <c r="AA727" s="50">
        <f>O727*K727</f>
        <v/>
      </c>
      <c r="AB727" s="50">
        <f>P727*K727</f>
        <v/>
      </c>
      <c r="AC727" s="50">
        <f>Q727*K727</f>
        <v/>
      </c>
      <c r="AD727" s="50">
        <f>R727*K727</f>
        <v/>
      </c>
      <c r="AE727" s="50">
        <f>S727*K727</f>
        <v/>
      </c>
      <c r="AF727" s="50">
        <f>T727*K727</f>
        <v/>
      </c>
      <c r="AG727" s="50">
        <f>U727*K727</f>
        <v/>
      </c>
      <c r="AH727" s="50">
        <f>V727*K727</f>
        <v/>
      </c>
      <c r="AI727" s="50">
        <f>W727*K727</f>
        <v/>
      </c>
    </row>
    <row r="728">
      <c r="A728" s="25" t="n"/>
      <c r="B728" s="45">
        <f>IF(A728="","",IFERROR(INDEX(Mitarbeiter!$B$6:$B$205,MATCH($A728,Mitarbeiter!$A$6:$A$205,0)),"?"))</f>
        <v/>
      </c>
      <c r="C728" s="46" t="n"/>
      <c r="D728" s="26" t="n"/>
      <c r="E728" s="26" t="n"/>
      <c r="F728" s="24">
        <f>IF(A728="","",SUM(L728:W728))</f>
        <v/>
      </c>
      <c r="G728" s="36">
        <f>IF(A728="","",SUM(X728:AI728))</f>
        <v/>
      </c>
      <c r="H728" s="8">
        <f>IF(A728="","",IF(ISNA(MATCH(A728,Mitarbeiter!$A$6:$A$205,0)),"Pers.-Nr. unbekannt",IF(D728="","Von fehlt",IF(AND(C728&lt;&gt;Einstellungen!$C$4,C728&lt;&gt;Einstellungen!$C$5),"Objekt fehlt",IF(J728&lt;D728,"Bis vor Von",IF(D728&lt;INDEX(Mitarbeiter!$C$6:$C$205,MATCH($A728,Mitarbeiter!$A$6:$A$205,0)),"vor Eintritt",IF(AND(INDEX(Mitarbeiter!$D$6:$D$205,MATCH($A728,Mitarbeiter!$A$6:$A$205,0))&lt;&gt;"",D728&gt;INDEX(Mitarbeiter!$D$6:$D$205,MATCH($A728,Mitarbeiter!$A$6:$A$205,0))),"nach Austritt",IF(E728="","offen","ok"))))))))</f>
        <v/>
      </c>
      <c r="J728" s="47">
        <f>IF(A728="","",IF(E728="",Einstellungen!$C$9,E728))</f>
        <v/>
      </c>
      <c r="K728" s="48">
        <f>IF(A728="",0,IFERROR(INDEX(Mitarbeiter!$F$6:$F$205,MATCH($A728,Mitarbeiter!$A$6:$A$205,0)),0))</f>
        <v/>
      </c>
      <c r="L728" s="49">
        <f>IF(OR(A728="",D728=""),0,MAX(0,NETWORKDAYS(MAX(D728,DATE(Einstellungen!$C$3,1,1)),MIN(J728,DATE(Einstellungen!$C$3,2,0)),Einstellungen!$F$13:$F$32)))</f>
        <v/>
      </c>
      <c r="M728" s="49">
        <f>IF(OR(A728="",D728=""),0,MAX(0,NETWORKDAYS(MAX(D728,DATE(Einstellungen!$C$3,2,1)),MIN(J728,DATE(Einstellungen!$C$3,3,0)),Einstellungen!$F$13:$F$32)))</f>
        <v/>
      </c>
      <c r="N728" s="49">
        <f>IF(OR(A728="",D728=""),0,MAX(0,NETWORKDAYS(MAX(D728,DATE(Einstellungen!$C$3,3,1)),MIN(J728,DATE(Einstellungen!$C$3,4,0)),Einstellungen!$F$13:$F$32)))</f>
        <v/>
      </c>
      <c r="O728" s="49">
        <f>IF(OR(A728="",D728=""),0,MAX(0,NETWORKDAYS(MAX(D728,DATE(Einstellungen!$C$3,4,1)),MIN(J728,DATE(Einstellungen!$C$3,5,0)),Einstellungen!$F$13:$F$32)))</f>
        <v/>
      </c>
      <c r="P728" s="49">
        <f>IF(OR(A728="",D728=""),0,MAX(0,NETWORKDAYS(MAX(D728,DATE(Einstellungen!$C$3,5,1)),MIN(J728,DATE(Einstellungen!$C$3,6,0)),Einstellungen!$F$13:$F$32)))</f>
        <v/>
      </c>
      <c r="Q728" s="49">
        <f>IF(OR(A728="",D728=""),0,MAX(0,NETWORKDAYS(MAX(D728,DATE(Einstellungen!$C$3,6,1)),MIN(J728,DATE(Einstellungen!$C$3,7,0)),Einstellungen!$F$13:$F$32)))</f>
        <v/>
      </c>
      <c r="R728" s="49">
        <f>IF(OR(A728="",D728=""),0,MAX(0,NETWORKDAYS(MAX(D728,DATE(Einstellungen!$C$3,7,1)),MIN(J728,DATE(Einstellungen!$C$3,8,0)),Einstellungen!$F$13:$F$32)))</f>
        <v/>
      </c>
      <c r="S728" s="49">
        <f>IF(OR(A728="",D728=""),0,MAX(0,NETWORKDAYS(MAX(D728,DATE(Einstellungen!$C$3,8,1)),MIN(J728,DATE(Einstellungen!$C$3,9,0)),Einstellungen!$F$13:$F$32)))</f>
        <v/>
      </c>
      <c r="T728" s="49">
        <f>IF(OR(A728="",D728=""),0,MAX(0,NETWORKDAYS(MAX(D728,DATE(Einstellungen!$C$3,9,1)),MIN(J728,DATE(Einstellungen!$C$3,10,0)),Einstellungen!$F$13:$F$32)))</f>
        <v/>
      </c>
      <c r="U728" s="49">
        <f>IF(OR(A728="",D728=""),0,MAX(0,NETWORKDAYS(MAX(D728,DATE(Einstellungen!$C$3,10,1)),MIN(J728,DATE(Einstellungen!$C$3,11,0)),Einstellungen!$F$13:$F$32)))</f>
        <v/>
      </c>
      <c r="V728" s="49">
        <f>IF(OR(A728="",D728=""),0,MAX(0,NETWORKDAYS(MAX(D728,DATE(Einstellungen!$C$3,11,1)),MIN(J728,DATE(Einstellungen!$C$3,12,0)),Einstellungen!$F$13:$F$32)))</f>
        <v/>
      </c>
      <c r="W728" s="49">
        <f>IF(OR(A728="",D728=""),0,MAX(0,NETWORKDAYS(MAX(D728,DATE(Einstellungen!$C$3,12,1)),MIN(J728,DATE(Einstellungen!$C$3,13,0)),Einstellungen!$F$13:$F$32)))</f>
        <v/>
      </c>
      <c r="X728" s="50">
        <f>L728*K728</f>
        <v/>
      </c>
      <c r="Y728" s="50">
        <f>M728*K728</f>
        <v/>
      </c>
      <c r="Z728" s="50">
        <f>N728*K728</f>
        <v/>
      </c>
      <c r="AA728" s="50">
        <f>O728*K728</f>
        <v/>
      </c>
      <c r="AB728" s="50">
        <f>P728*K728</f>
        <v/>
      </c>
      <c r="AC728" s="50">
        <f>Q728*K728</f>
        <v/>
      </c>
      <c r="AD728" s="50">
        <f>R728*K728</f>
        <v/>
      </c>
      <c r="AE728" s="50">
        <f>S728*K728</f>
        <v/>
      </c>
      <c r="AF728" s="50">
        <f>T728*K728</f>
        <v/>
      </c>
      <c r="AG728" s="50">
        <f>U728*K728</f>
        <v/>
      </c>
      <c r="AH728" s="50">
        <f>V728*K728</f>
        <v/>
      </c>
      <c r="AI728" s="50">
        <f>W728*K728</f>
        <v/>
      </c>
    </row>
    <row r="729">
      <c r="A729" s="25" t="n"/>
      <c r="B729" s="45">
        <f>IF(A729="","",IFERROR(INDEX(Mitarbeiter!$B$6:$B$205,MATCH($A729,Mitarbeiter!$A$6:$A$205,0)),"?"))</f>
        <v/>
      </c>
      <c r="C729" s="46" t="n"/>
      <c r="D729" s="26" t="n"/>
      <c r="E729" s="26" t="n"/>
      <c r="F729" s="24">
        <f>IF(A729="","",SUM(L729:W729))</f>
        <v/>
      </c>
      <c r="G729" s="36">
        <f>IF(A729="","",SUM(X729:AI729))</f>
        <v/>
      </c>
      <c r="H729" s="8">
        <f>IF(A729="","",IF(ISNA(MATCH(A729,Mitarbeiter!$A$6:$A$205,0)),"Pers.-Nr. unbekannt",IF(D729="","Von fehlt",IF(AND(C729&lt;&gt;Einstellungen!$C$4,C729&lt;&gt;Einstellungen!$C$5),"Objekt fehlt",IF(J729&lt;D729,"Bis vor Von",IF(D729&lt;INDEX(Mitarbeiter!$C$6:$C$205,MATCH($A729,Mitarbeiter!$A$6:$A$205,0)),"vor Eintritt",IF(AND(INDEX(Mitarbeiter!$D$6:$D$205,MATCH($A729,Mitarbeiter!$A$6:$A$205,0))&lt;&gt;"",D729&gt;INDEX(Mitarbeiter!$D$6:$D$205,MATCH($A729,Mitarbeiter!$A$6:$A$205,0))),"nach Austritt",IF(E729="","offen","ok"))))))))</f>
        <v/>
      </c>
      <c r="J729" s="47">
        <f>IF(A729="","",IF(E729="",Einstellungen!$C$9,E729))</f>
        <v/>
      </c>
      <c r="K729" s="48">
        <f>IF(A729="",0,IFERROR(INDEX(Mitarbeiter!$F$6:$F$205,MATCH($A729,Mitarbeiter!$A$6:$A$205,0)),0))</f>
        <v/>
      </c>
      <c r="L729" s="49">
        <f>IF(OR(A729="",D729=""),0,MAX(0,NETWORKDAYS(MAX(D729,DATE(Einstellungen!$C$3,1,1)),MIN(J729,DATE(Einstellungen!$C$3,2,0)),Einstellungen!$F$13:$F$32)))</f>
        <v/>
      </c>
      <c r="M729" s="49">
        <f>IF(OR(A729="",D729=""),0,MAX(0,NETWORKDAYS(MAX(D729,DATE(Einstellungen!$C$3,2,1)),MIN(J729,DATE(Einstellungen!$C$3,3,0)),Einstellungen!$F$13:$F$32)))</f>
        <v/>
      </c>
      <c r="N729" s="49">
        <f>IF(OR(A729="",D729=""),0,MAX(0,NETWORKDAYS(MAX(D729,DATE(Einstellungen!$C$3,3,1)),MIN(J729,DATE(Einstellungen!$C$3,4,0)),Einstellungen!$F$13:$F$32)))</f>
        <v/>
      </c>
      <c r="O729" s="49">
        <f>IF(OR(A729="",D729=""),0,MAX(0,NETWORKDAYS(MAX(D729,DATE(Einstellungen!$C$3,4,1)),MIN(J729,DATE(Einstellungen!$C$3,5,0)),Einstellungen!$F$13:$F$32)))</f>
        <v/>
      </c>
      <c r="P729" s="49">
        <f>IF(OR(A729="",D729=""),0,MAX(0,NETWORKDAYS(MAX(D729,DATE(Einstellungen!$C$3,5,1)),MIN(J729,DATE(Einstellungen!$C$3,6,0)),Einstellungen!$F$13:$F$32)))</f>
        <v/>
      </c>
      <c r="Q729" s="49">
        <f>IF(OR(A729="",D729=""),0,MAX(0,NETWORKDAYS(MAX(D729,DATE(Einstellungen!$C$3,6,1)),MIN(J729,DATE(Einstellungen!$C$3,7,0)),Einstellungen!$F$13:$F$32)))</f>
        <v/>
      </c>
      <c r="R729" s="49">
        <f>IF(OR(A729="",D729=""),0,MAX(0,NETWORKDAYS(MAX(D729,DATE(Einstellungen!$C$3,7,1)),MIN(J729,DATE(Einstellungen!$C$3,8,0)),Einstellungen!$F$13:$F$32)))</f>
        <v/>
      </c>
      <c r="S729" s="49">
        <f>IF(OR(A729="",D729=""),0,MAX(0,NETWORKDAYS(MAX(D729,DATE(Einstellungen!$C$3,8,1)),MIN(J729,DATE(Einstellungen!$C$3,9,0)),Einstellungen!$F$13:$F$32)))</f>
        <v/>
      </c>
      <c r="T729" s="49">
        <f>IF(OR(A729="",D729=""),0,MAX(0,NETWORKDAYS(MAX(D729,DATE(Einstellungen!$C$3,9,1)),MIN(J729,DATE(Einstellungen!$C$3,10,0)),Einstellungen!$F$13:$F$32)))</f>
        <v/>
      </c>
      <c r="U729" s="49">
        <f>IF(OR(A729="",D729=""),0,MAX(0,NETWORKDAYS(MAX(D729,DATE(Einstellungen!$C$3,10,1)),MIN(J729,DATE(Einstellungen!$C$3,11,0)),Einstellungen!$F$13:$F$32)))</f>
        <v/>
      </c>
      <c r="V729" s="49">
        <f>IF(OR(A729="",D729=""),0,MAX(0,NETWORKDAYS(MAX(D729,DATE(Einstellungen!$C$3,11,1)),MIN(J729,DATE(Einstellungen!$C$3,12,0)),Einstellungen!$F$13:$F$32)))</f>
        <v/>
      </c>
      <c r="W729" s="49">
        <f>IF(OR(A729="",D729=""),0,MAX(0,NETWORKDAYS(MAX(D729,DATE(Einstellungen!$C$3,12,1)),MIN(J729,DATE(Einstellungen!$C$3,13,0)),Einstellungen!$F$13:$F$32)))</f>
        <v/>
      </c>
      <c r="X729" s="50">
        <f>L729*K729</f>
        <v/>
      </c>
      <c r="Y729" s="50">
        <f>M729*K729</f>
        <v/>
      </c>
      <c r="Z729" s="50">
        <f>N729*K729</f>
        <v/>
      </c>
      <c r="AA729" s="50">
        <f>O729*K729</f>
        <v/>
      </c>
      <c r="AB729" s="50">
        <f>P729*K729</f>
        <v/>
      </c>
      <c r="AC729" s="50">
        <f>Q729*K729</f>
        <v/>
      </c>
      <c r="AD729" s="50">
        <f>R729*K729</f>
        <v/>
      </c>
      <c r="AE729" s="50">
        <f>S729*K729</f>
        <v/>
      </c>
      <c r="AF729" s="50">
        <f>T729*K729</f>
        <v/>
      </c>
      <c r="AG729" s="50">
        <f>U729*K729</f>
        <v/>
      </c>
      <c r="AH729" s="50">
        <f>V729*K729</f>
        <v/>
      </c>
      <c r="AI729" s="50">
        <f>W729*K729</f>
        <v/>
      </c>
    </row>
    <row r="730">
      <c r="A730" s="25" t="n"/>
      <c r="B730" s="45">
        <f>IF(A730="","",IFERROR(INDEX(Mitarbeiter!$B$6:$B$205,MATCH($A730,Mitarbeiter!$A$6:$A$205,0)),"?"))</f>
        <v/>
      </c>
      <c r="C730" s="46" t="n"/>
      <c r="D730" s="26" t="n"/>
      <c r="E730" s="26" t="n"/>
      <c r="F730" s="24">
        <f>IF(A730="","",SUM(L730:W730))</f>
        <v/>
      </c>
      <c r="G730" s="36">
        <f>IF(A730="","",SUM(X730:AI730))</f>
        <v/>
      </c>
      <c r="H730" s="8">
        <f>IF(A730="","",IF(ISNA(MATCH(A730,Mitarbeiter!$A$6:$A$205,0)),"Pers.-Nr. unbekannt",IF(D730="","Von fehlt",IF(AND(C730&lt;&gt;Einstellungen!$C$4,C730&lt;&gt;Einstellungen!$C$5),"Objekt fehlt",IF(J730&lt;D730,"Bis vor Von",IF(D730&lt;INDEX(Mitarbeiter!$C$6:$C$205,MATCH($A730,Mitarbeiter!$A$6:$A$205,0)),"vor Eintritt",IF(AND(INDEX(Mitarbeiter!$D$6:$D$205,MATCH($A730,Mitarbeiter!$A$6:$A$205,0))&lt;&gt;"",D730&gt;INDEX(Mitarbeiter!$D$6:$D$205,MATCH($A730,Mitarbeiter!$A$6:$A$205,0))),"nach Austritt",IF(E730="","offen","ok"))))))))</f>
        <v/>
      </c>
      <c r="J730" s="47">
        <f>IF(A730="","",IF(E730="",Einstellungen!$C$9,E730))</f>
        <v/>
      </c>
      <c r="K730" s="48">
        <f>IF(A730="",0,IFERROR(INDEX(Mitarbeiter!$F$6:$F$205,MATCH($A730,Mitarbeiter!$A$6:$A$205,0)),0))</f>
        <v/>
      </c>
      <c r="L730" s="49">
        <f>IF(OR(A730="",D730=""),0,MAX(0,NETWORKDAYS(MAX(D730,DATE(Einstellungen!$C$3,1,1)),MIN(J730,DATE(Einstellungen!$C$3,2,0)),Einstellungen!$F$13:$F$32)))</f>
        <v/>
      </c>
      <c r="M730" s="49">
        <f>IF(OR(A730="",D730=""),0,MAX(0,NETWORKDAYS(MAX(D730,DATE(Einstellungen!$C$3,2,1)),MIN(J730,DATE(Einstellungen!$C$3,3,0)),Einstellungen!$F$13:$F$32)))</f>
        <v/>
      </c>
      <c r="N730" s="49">
        <f>IF(OR(A730="",D730=""),0,MAX(0,NETWORKDAYS(MAX(D730,DATE(Einstellungen!$C$3,3,1)),MIN(J730,DATE(Einstellungen!$C$3,4,0)),Einstellungen!$F$13:$F$32)))</f>
        <v/>
      </c>
      <c r="O730" s="49">
        <f>IF(OR(A730="",D730=""),0,MAX(0,NETWORKDAYS(MAX(D730,DATE(Einstellungen!$C$3,4,1)),MIN(J730,DATE(Einstellungen!$C$3,5,0)),Einstellungen!$F$13:$F$32)))</f>
        <v/>
      </c>
      <c r="P730" s="49">
        <f>IF(OR(A730="",D730=""),0,MAX(0,NETWORKDAYS(MAX(D730,DATE(Einstellungen!$C$3,5,1)),MIN(J730,DATE(Einstellungen!$C$3,6,0)),Einstellungen!$F$13:$F$32)))</f>
        <v/>
      </c>
      <c r="Q730" s="49">
        <f>IF(OR(A730="",D730=""),0,MAX(0,NETWORKDAYS(MAX(D730,DATE(Einstellungen!$C$3,6,1)),MIN(J730,DATE(Einstellungen!$C$3,7,0)),Einstellungen!$F$13:$F$32)))</f>
        <v/>
      </c>
      <c r="R730" s="49">
        <f>IF(OR(A730="",D730=""),0,MAX(0,NETWORKDAYS(MAX(D730,DATE(Einstellungen!$C$3,7,1)),MIN(J730,DATE(Einstellungen!$C$3,8,0)),Einstellungen!$F$13:$F$32)))</f>
        <v/>
      </c>
      <c r="S730" s="49">
        <f>IF(OR(A730="",D730=""),0,MAX(0,NETWORKDAYS(MAX(D730,DATE(Einstellungen!$C$3,8,1)),MIN(J730,DATE(Einstellungen!$C$3,9,0)),Einstellungen!$F$13:$F$32)))</f>
        <v/>
      </c>
      <c r="T730" s="49">
        <f>IF(OR(A730="",D730=""),0,MAX(0,NETWORKDAYS(MAX(D730,DATE(Einstellungen!$C$3,9,1)),MIN(J730,DATE(Einstellungen!$C$3,10,0)),Einstellungen!$F$13:$F$32)))</f>
        <v/>
      </c>
      <c r="U730" s="49">
        <f>IF(OR(A730="",D730=""),0,MAX(0,NETWORKDAYS(MAX(D730,DATE(Einstellungen!$C$3,10,1)),MIN(J730,DATE(Einstellungen!$C$3,11,0)),Einstellungen!$F$13:$F$32)))</f>
        <v/>
      </c>
      <c r="V730" s="49">
        <f>IF(OR(A730="",D730=""),0,MAX(0,NETWORKDAYS(MAX(D730,DATE(Einstellungen!$C$3,11,1)),MIN(J730,DATE(Einstellungen!$C$3,12,0)),Einstellungen!$F$13:$F$32)))</f>
        <v/>
      </c>
      <c r="W730" s="49">
        <f>IF(OR(A730="",D730=""),0,MAX(0,NETWORKDAYS(MAX(D730,DATE(Einstellungen!$C$3,12,1)),MIN(J730,DATE(Einstellungen!$C$3,13,0)),Einstellungen!$F$13:$F$32)))</f>
        <v/>
      </c>
      <c r="X730" s="50">
        <f>L730*K730</f>
        <v/>
      </c>
      <c r="Y730" s="50">
        <f>M730*K730</f>
        <v/>
      </c>
      <c r="Z730" s="50">
        <f>N730*K730</f>
        <v/>
      </c>
      <c r="AA730" s="50">
        <f>O730*K730</f>
        <v/>
      </c>
      <c r="AB730" s="50">
        <f>P730*K730</f>
        <v/>
      </c>
      <c r="AC730" s="50">
        <f>Q730*K730</f>
        <v/>
      </c>
      <c r="AD730" s="50">
        <f>R730*K730</f>
        <v/>
      </c>
      <c r="AE730" s="50">
        <f>S730*K730</f>
        <v/>
      </c>
      <c r="AF730" s="50">
        <f>T730*K730</f>
        <v/>
      </c>
      <c r="AG730" s="50">
        <f>U730*K730</f>
        <v/>
      </c>
      <c r="AH730" s="50">
        <f>V730*K730</f>
        <v/>
      </c>
      <c r="AI730" s="50">
        <f>W730*K730</f>
        <v/>
      </c>
    </row>
    <row r="731">
      <c r="A731" s="25" t="n"/>
      <c r="B731" s="45">
        <f>IF(A731="","",IFERROR(INDEX(Mitarbeiter!$B$6:$B$205,MATCH($A731,Mitarbeiter!$A$6:$A$205,0)),"?"))</f>
        <v/>
      </c>
      <c r="C731" s="46" t="n"/>
      <c r="D731" s="26" t="n"/>
      <c r="E731" s="26" t="n"/>
      <c r="F731" s="24">
        <f>IF(A731="","",SUM(L731:W731))</f>
        <v/>
      </c>
      <c r="G731" s="36">
        <f>IF(A731="","",SUM(X731:AI731))</f>
        <v/>
      </c>
      <c r="H731" s="8">
        <f>IF(A731="","",IF(ISNA(MATCH(A731,Mitarbeiter!$A$6:$A$205,0)),"Pers.-Nr. unbekannt",IF(D731="","Von fehlt",IF(AND(C731&lt;&gt;Einstellungen!$C$4,C731&lt;&gt;Einstellungen!$C$5),"Objekt fehlt",IF(J731&lt;D731,"Bis vor Von",IF(D731&lt;INDEX(Mitarbeiter!$C$6:$C$205,MATCH($A731,Mitarbeiter!$A$6:$A$205,0)),"vor Eintritt",IF(AND(INDEX(Mitarbeiter!$D$6:$D$205,MATCH($A731,Mitarbeiter!$A$6:$A$205,0))&lt;&gt;"",D731&gt;INDEX(Mitarbeiter!$D$6:$D$205,MATCH($A731,Mitarbeiter!$A$6:$A$205,0))),"nach Austritt",IF(E731="","offen","ok"))))))))</f>
        <v/>
      </c>
      <c r="J731" s="47">
        <f>IF(A731="","",IF(E731="",Einstellungen!$C$9,E731))</f>
        <v/>
      </c>
      <c r="K731" s="48">
        <f>IF(A731="",0,IFERROR(INDEX(Mitarbeiter!$F$6:$F$205,MATCH($A731,Mitarbeiter!$A$6:$A$205,0)),0))</f>
        <v/>
      </c>
      <c r="L731" s="49">
        <f>IF(OR(A731="",D731=""),0,MAX(0,NETWORKDAYS(MAX(D731,DATE(Einstellungen!$C$3,1,1)),MIN(J731,DATE(Einstellungen!$C$3,2,0)),Einstellungen!$F$13:$F$32)))</f>
        <v/>
      </c>
      <c r="M731" s="49">
        <f>IF(OR(A731="",D731=""),0,MAX(0,NETWORKDAYS(MAX(D731,DATE(Einstellungen!$C$3,2,1)),MIN(J731,DATE(Einstellungen!$C$3,3,0)),Einstellungen!$F$13:$F$32)))</f>
        <v/>
      </c>
      <c r="N731" s="49">
        <f>IF(OR(A731="",D731=""),0,MAX(0,NETWORKDAYS(MAX(D731,DATE(Einstellungen!$C$3,3,1)),MIN(J731,DATE(Einstellungen!$C$3,4,0)),Einstellungen!$F$13:$F$32)))</f>
        <v/>
      </c>
      <c r="O731" s="49">
        <f>IF(OR(A731="",D731=""),0,MAX(0,NETWORKDAYS(MAX(D731,DATE(Einstellungen!$C$3,4,1)),MIN(J731,DATE(Einstellungen!$C$3,5,0)),Einstellungen!$F$13:$F$32)))</f>
        <v/>
      </c>
      <c r="P731" s="49">
        <f>IF(OR(A731="",D731=""),0,MAX(0,NETWORKDAYS(MAX(D731,DATE(Einstellungen!$C$3,5,1)),MIN(J731,DATE(Einstellungen!$C$3,6,0)),Einstellungen!$F$13:$F$32)))</f>
        <v/>
      </c>
      <c r="Q731" s="49">
        <f>IF(OR(A731="",D731=""),0,MAX(0,NETWORKDAYS(MAX(D731,DATE(Einstellungen!$C$3,6,1)),MIN(J731,DATE(Einstellungen!$C$3,7,0)),Einstellungen!$F$13:$F$32)))</f>
        <v/>
      </c>
      <c r="R731" s="49">
        <f>IF(OR(A731="",D731=""),0,MAX(0,NETWORKDAYS(MAX(D731,DATE(Einstellungen!$C$3,7,1)),MIN(J731,DATE(Einstellungen!$C$3,8,0)),Einstellungen!$F$13:$F$32)))</f>
        <v/>
      </c>
      <c r="S731" s="49">
        <f>IF(OR(A731="",D731=""),0,MAX(0,NETWORKDAYS(MAX(D731,DATE(Einstellungen!$C$3,8,1)),MIN(J731,DATE(Einstellungen!$C$3,9,0)),Einstellungen!$F$13:$F$32)))</f>
        <v/>
      </c>
      <c r="T731" s="49">
        <f>IF(OR(A731="",D731=""),0,MAX(0,NETWORKDAYS(MAX(D731,DATE(Einstellungen!$C$3,9,1)),MIN(J731,DATE(Einstellungen!$C$3,10,0)),Einstellungen!$F$13:$F$32)))</f>
        <v/>
      </c>
      <c r="U731" s="49">
        <f>IF(OR(A731="",D731=""),0,MAX(0,NETWORKDAYS(MAX(D731,DATE(Einstellungen!$C$3,10,1)),MIN(J731,DATE(Einstellungen!$C$3,11,0)),Einstellungen!$F$13:$F$32)))</f>
        <v/>
      </c>
      <c r="V731" s="49">
        <f>IF(OR(A731="",D731=""),0,MAX(0,NETWORKDAYS(MAX(D731,DATE(Einstellungen!$C$3,11,1)),MIN(J731,DATE(Einstellungen!$C$3,12,0)),Einstellungen!$F$13:$F$32)))</f>
        <v/>
      </c>
      <c r="W731" s="49">
        <f>IF(OR(A731="",D731=""),0,MAX(0,NETWORKDAYS(MAX(D731,DATE(Einstellungen!$C$3,12,1)),MIN(J731,DATE(Einstellungen!$C$3,13,0)),Einstellungen!$F$13:$F$32)))</f>
        <v/>
      </c>
      <c r="X731" s="50">
        <f>L731*K731</f>
        <v/>
      </c>
      <c r="Y731" s="50">
        <f>M731*K731</f>
        <v/>
      </c>
      <c r="Z731" s="50">
        <f>N731*K731</f>
        <v/>
      </c>
      <c r="AA731" s="50">
        <f>O731*K731</f>
        <v/>
      </c>
      <c r="AB731" s="50">
        <f>P731*K731</f>
        <v/>
      </c>
      <c r="AC731" s="50">
        <f>Q731*K731</f>
        <v/>
      </c>
      <c r="AD731" s="50">
        <f>R731*K731</f>
        <v/>
      </c>
      <c r="AE731" s="50">
        <f>S731*K731</f>
        <v/>
      </c>
      <c r="AF731" s="50">
        <f>T731*K731</f>
        <v/>
      </c>
      <c r="AG731" s="50">
        <f>U731*K731</f>
        <v/>
      </c>
      <c r="AH731" s="50">
        <f>V731*K731</f>
        <v/>
      </c>
      <c r="AI731" s="50">
        <f>W731*K731</f>
        <v/>
      </c>
    </row>
    <row r="732">
      <c r="A732" s="25" t="n"/>
      <c r="B732" s="45">
        <f>IF(A732="","",IFERROR(INDEX(Mitarbeiter!$B$6:$B$205,MATCH($A732,Mitarbeiter!$A$6:$A$205,0)),"?"))</f>
        <v/>
      </c>
      <c r="C732" s="46" t="n"/>
      <c r="D732" s="26" t="n"/>
      <c r="E732" s="26" t="n"/>
      <c r="F732" s="24">
        <f>IF(A732="","",SUM(L732:W732))</f>
        <v/>
      </c>
      <c r="G732" s="36">
        <f>IF(A732="","",SUM(X732:AI732))</f>
        <v/>
      </c>
      <c r="H732" s="8">
        <f>IF(A732="","",IF(ISNA(MATCH(A732,Mitarbeiter!$A$6:$A$205,0)),"Pers.-Nr. unbekannt",IF(D732="","Von fehlt",IF(AND(C732&lt;&gt;Einstellungen!$C$4,C732&lt;&gt;Einstellungen!$C$5),"Objekt fehlt",IF(J732&lt;D732,"Bis vor Von",IF(D732&lt;INDEX(Mitarbeiter!$C$6:$C$205,MATCH($A732,Mitarbeiter!$A$6:$A$205,0)),"vor Eintritt",IF(AND(INDEX(Mitarbeiter!$D$6:$D$205,MATCH($A732,Mitarbeiter!$A$6:$A$205,0))&lt;&gt;"",D732&gt;INDEX(Mitarbeiter!$D$6:$D$205,MATCH($A732,Mitarbeiter!$A$6:$A$205,0))),"nach Austritt",IF(E732="","offen","ok"))))))))</f>
        <v/>
      </c>
      <c r="J732" s="47">
        <f>IF(A732="","",IF(E732="",Einstellungen!$C$9,E732))</f>
        <v/>
      </c>
      <c r="K732" s="48">
        <f>IF(A732="",0,IFERROR(INDEX(Mitarbeiter!$F$6:$F$205,MATCH($A732,Mitarbeiter!$A$6:$A$205,0)),0))</f>
        <v/>
      </c>
      <c r="L732" s="49">
        <f>IF(OR(A732="",D732=""),0,MAX(0,NETWORKDAYS(MAX(D732,DATE(Einstellungen!$C$3,1,1)),MIN(J732,DATE(Einstellungen!$C$3,2,0)),Einstellungen!$F$13:$F$32)))</f>
        <v/>
      </c>
      <c r="M732" s="49">
        <f>IF(OR(A732="",D732=""),0,MAX(0,NETWORKDAYS(MAX(D732,DATE(Einstellungen!$C$3,2,1)),MIN(J732,DATE(Einstellungen!$C$3,3,0)),Einstellungen!$F$13:$F$32)))</f>
        <v/>
      </c>
      <c r="N732" s="49">
        <f>IF(OR(A732="",D732=""),0,MAX(0,NETWORKDAYS(MAX(D732,DATE(Einstellungen!$C$3,3,1)),MIN(J732,DATE(Einstellungen!$C$3,4,0)),Einstellungen!$F$13:$F$32)))</f>
        <v/>
      </c>
      <c r="O732" s="49">
        <f>IF(OR(A732="",D732=""),0,MAX(0,NETWORKDAYS(MAX(D732,DATE(Einstellungen!$C$3,4,1)),MIN(J732,DATE(Einstellungen!$C$3,5,0)),Einstellungen!$F$13:$F$32)))</f>
        <v/>
      </c>
      <c r="P732" s="49">
        <f>IF(OR(A732="",D732=""),0,MAX(0,NETWORKDAYS(MAX(D732,DATE(Einstellungen!$C$3,5,1)),MIN(J732,DATE(Einstellungen!$C$3,6,0)),Einstellungen!$F$13:$F$32)))</f>
        <v/>
      </c>
      <c r="Q732" s="49">
        <f>IF(OR(A732="",D732=""),0,MAX(0,NETWORKDAYS(MAX(D732,DATE(Einstellungen!$C$3,6,1)),MIN(J732,DATE(Einstellungen!$C$3,7,0)),Einstellungen!$F$13:$F$32)))</f>
        <v/>
      </c>
      <c r="R732" s="49">
        <f>IF(OR(A732="",D732=""),0,MAX(0,NETWORKDAYS(MAX(D732,DATE(Einstellungen!$C$3,7,1)),MIN(J732,DATE(Einstellungen!$C$3,8,0)),Einstellungen!$F$13:$F$32)))</f>
        <v/>
      </c>
      <c r="S732" s="49">
        <f>IF(OR(A732="",D732=""),0,MAX(0,NETWORKDAYS(MAX(D732,DATE(Einstellungen!$C$3,8,1)),MIN(J732,DATE(Einstellungen!$C$3,9,0)),Einstellungen!$F$13:$F$32)))</f>
        <v/>
      </c>
      <c r="T732" s="49">
        <f>IF(OR(A732="",D732=""),0,MAX(0,NETWORKDAYS(MAX(D732,DATE(Einstellungen!$C$3,9,1)),MIN(J732,DATE(Einstellungen!$C$3,10,0)),Einstellungen!$F$13:$F$32)))</f>
        <v/>
      </c>
      <c r="U732" s="49">
        <f>IF(OR(A732="",D732=""),0,MAX(0,NETWORKDAYS(MAX(D732,DATE(Einstellungen!$C$3,10,1)),MIN(J732,DATE(Einstellungen!$C$3,11,0)),Einstellungen!$F$13:$F$32)))</f>
        <v/>
      </c>
      <c r="V732" s="49">
        <f>IF(OR(A732="",D732=""),0,MAX(0,NETWORKDAYS(MAX(D732,DATE(Einstellungen!$C$3,11,1)),MIN(J732,DATE(Einstellungen!$C$3,12,0)),Einstellungen!$F$13:$F$32)))</f>
        <v/>
      </c>
      <c r="W732" s="49">
        <f>IF(OR(A732="",D732=""),0,MAX(0,NETWORKDAYS(MAX(D732,DATE(Einstellungen!$C$3,12,1)),MIN(J732,DATE(Einstellungen!$C$3,13,0)),Einstellungen!$F$13:$F$32)))</f>
        <v/>
      </c>
      <c r="X732" s="50">
        <f>L732*K732</f>
        <v/>
      </c>
      <c r="Y732" s="50">
        <f>M732*K732</f>
        <v/>
      </c>
      <c r="Z732" s="50">
        <f>N732*K732</f>
        <v/>
      </c>
      <c r="AA732" s="50">
        <f>O732*K732</f>
        <v/>
      </c>
      <c r="AB732" s="50">
        <f>P732*K732</f>
        <v/>
      </c>
      <c r="AC732" s="50">
        <f>Q732*K732</f>
        <v/>
      </c>
      <c r="AD732" s="50">
        <f>R732*K732</f>
        <v/>
      </c>
      <c r="AE732" s="50">
        <f>S732*K732</f>
        <v/>
      </c>
      <c r="AF732" s="50">
        <f>T732*K732</f>
        <v/>
      </c>
      <c r="AG732" s="50">
        <f>U732*K732</f>
        <v/>
      </c>
      <c r="AH732" s="50">
        <f>V732*K732</f>
        <v/>
      </c>
      <c r="AI732" s="50">
        <f>W732*K732</f>
        <v/>
      </c>
    </row>
    <row r="733">
      <c r="A733" s="25" t="n"/>
      <c r="B733" s="45">
        <f>IF(A733="","",IFERROR(INDEX(Mitarbeiter!$B$6:$B$205,MATCH($A733,Mitarbeiter!$A$6:$A$205,0)),"?"))</f>
        <v/>
      </c>
      <c r="C733" s="46" t="n"/>
      <c r="D733" s="26" t="n"/>
      <c r="E733" s="26" t="n"/>
      <c r="F733" s="24">
        <f>IF(A733="","",SUM(L733:W733))</f>
        <v/>
      </c>
      <c r="G733" s="36">
        <f>IF(A733="","",SUM(X733:AI733))</f>
        <v/>
      </c>
      <c r="H733" s="8">
        <f>IF(A733="","",IF(ISNA(MATCH(A733,Mitarbeiter!$A$6:$A$205,0)),"Pers.-Nr. unbekannt",IF(D733="","Von fehlt",IF(AND(C733&lt;&gt;Einstellungen!$C$4,C733&lt;&gt;Einstellungen!$C$5),"Objekt fehlt",IF(J733&lt;D733,"Bis vor Von",IF(D733&lt;INDEX(Mitarbeiter!$C$6:$C$205,MATCH($A733,Mitarbeiter!$A$6:$A$205,0)),"vor Eintritt",IF(AND(INDEX(Mitarbeiter!$D$6:$D$205,MATCH($A733,Mitarbeiter!$A$6:$A$205,0))&lt;&gt;"",D733&gt;INDEX(Mitarbeiter!$D$6:$D$205,MATCH($A733,Mitarbeiter!$A$6:$A$205,0))),"nach Austritt",IF(E733="","offen","ok"))))))))</f>
        <v/>
      </c>
      <c r="J733" s="47">
        <f>IF(A733="","",IF(E733="",Einstellungen!$C$9,E733))</f>
        <v/>
      </c>
      <c r="K733" s="48">
        <f>IF(A733="",0,IFERROR(INDEX(Mitarbeiter!$F$6:$F$205,MATCH($A733,Mitarbeiter!$A$6:$A$205,0)),0))</f>
        <v/>
      </c>
      <c r="L733" s="49">
        <f>IF(OR(A733="",D733=""),0,MAX(0,NETWORKDAYS(MAX(D733,DATE(Einstellungen!$C$3,1,1)),MIN(J733,DATE(Einstellungen!$C$3,2,0)),Einstellungen!$F$13:$F$32)))</f>
        <v/>
      </c>
      <c r="M733" s="49">
        <f>IF(OR(A733="",D733=""),0,MAX(0,NETWORKDAYS(MAX(D733,DATE(Einstellungen!$C$3,2,1)),MIN(J733,DATE(Einstellungen!$C$3,3,0)),Einstellungen!$F$13:$F$32)))</f>
        <v/>
      </c>
      <c r="N733" s="49">
        <f>IF(OR(A733="",D733=""),0,MAX(0,NETWORKDAYS(MAX(D733,DATE(Einstellungen!$C$3,3,1)),MIN(J733,DATE(Einstellungen!$C$3,4,0)),Einstellungen!$F$13:$F$32)))</f>
        <v/>
      </c>
      <c r="O733" s="49">
        <f>IF(OR(A733="",D733=""),0,MAX(0,NETWORKDAYS(MAX(D733,DATE(Einstellungen!$C$3,4,1)),MIN(J733,DATE(Einstellungen!$C$3,5,0)),Einstellungen!$F$13:$F$32)))</f>
        <v/>
      </c>
      <c r="P733" s="49">
        <f>IF(OR(A733="",D733=""),0,MAX(0,NETWORKDAYS(MAX(D733,DATE(Einstellungen!$C$3,5,1)),MIN(J733,DATE(Einstellungen!$C$3,6,0)),Einstellungen!$F$13:$F$32)))</f>
        <v/>
      </c>
      <c r="Q733" s="49">
        <f>IF(OR(A733="",D733=""),0,MAX(0,NETWORKDAYS(MAX(D733,DATE(Einstellungen!$C$3,6,1)),MIN(J733,DATE(Einstellungen!$C$3,7,0)),Einstellungen!$F$13:$F$32)))</f>
        <v/>
      </c>
      <c r="R733" s="49">
        <f>IF(OR(A733="",D733=""),0,MAX(0,NETWORKDAYS(MAX(D733,DATE(Einstellungen!$C$3,7,1)),MIN(J733,DATE(Einstellungen!$C$3,8,0)),Einstellungen!$F$13:$F$32)))</f>
        <v/>
      </c>
      <c r="S733" s="49">
        <f>IF(OR(A733="",D733=""),0,MAX(0,NETWORKDAYS(MAX(D733,DATE(Einstellungen!$C$3,8,1)),MIN(J733,DATE(Einstellungen!$C$3,9,0)),Einstellungen!$F$13:$F$32)))</f>
        <v/>
      </c>
      <c r="T733" s="49">
        <f>IF(OR(A733="",D733=""),0,MAX(0,NETWORKDAYS(MAX(D733,DATE(Einstellungen!$C$3,9,1)),MIN(J733,DATE(Einstellungen!$C$3,10,0)),Einstellungen!$F$13:$F$32)))</f>
        <v/>
      </c>
      <c r="U733" s="49">
        <f>IF(OR(A733="",D733=""),0,MAX(0,NETWORKDAYS(MAX(D733,DATE(Einstellungen!$C$3,10,1)),MIN(J733,DATE(Einstellungen!$C$3,11,0)),Einstellungen!$F$13:$F$32)))</f>
        <v/>
      </c>
      <c r="V733" s="49">
        <f>IF(OR(A733="",D733=""),0,MAX(0,NETWORKDAYS(MAX(D733,DATE(Einstellungen!$C$3,11,1)),MIN(J733,DATE(Einstellungen!$C$3,12,0)),Einstellungen!$F$13:$F$32)))</f>
        <v/>
      </c>
      <c r="W733" s="49">
        <f>IF(OR(A733="",D733=""),0,MAX(0,NETWORKDAYS(MAX(D733,DATE(Einstellungen!$C$3,12,1)),MIN(J733,DATE(Einstellungen!$C$3,13,0)),Einstellungen!$F$13:$F$32)))</f>
        <v/>
      </c>
      <c r="X733" s="50">
        <f>L733*K733</f>
        <v/>
      </c>
      <c r="Y733" s="50">
        <f>M733*K733</f>
        <v/>
      </c>
      <c r="Z733" s="50">
        <f>N733*K733</f>
        <v/>
      </c>
      <c r="AA733" s="50">
        <f>O733*K733</f>
        <v/>
      </c>
      <c r="AB733" s="50">
        <f>P733*K733</f>
        <v/>
      </c>
      <c r="AC733" s="50">
        <f>Q733*K733</f>
        <v/>
      </c>
      <c r="AD733" s="50">
        <f>R733*K733</f>
        <v/>
      </c>
      <c r="AE733" s="50">
        <f>S733*K733</f>
        <v/>
      </c>
      <c r="AF733" s="50">
        <f>T733*K733</f>
        <v/>
      </c>
      <c r="AG733" s="50">
        <f>U733*K733</f>
        <v/>
      </c>
      <c r="AH733" s="50">
        <f>V733*K733</f>
        <v/>
      </c>
      <c r="AI733" s="50">
        <f>W733*K733</f>
        <v/>
      </c>
    </row>
    <row r="734">
      <c r="A734" s="25" t="n"/>
      <c r="B734" s="45">
        <f>IF(A734="","",IFERROR(INDEX(Mitarbeiter!$B$6:$B$205,MATCH($A734,Mitarbeiter!$A$6:$A$205,0)),"?"))</f>
        <v/>
      </c>
      <c r="C734" s="46" t="n"/>
      <c r="D734" s="26" t="n"/>
      <c r="E734" s="26" t="n"/>
      <c r="F734" s="24">
        <f>IF(A734="","",SUM(L734:W734))</f>
        <v/>
      </c>
      <c r="G734" s="36">
        <f>IF(A734="","",SUM(X734:AI734))</f>
        <v/>
      </c>
      <c r="H734" s="8">
        <f>IF(A734="","",IF(ISNA(MATCH(A734,Mitarbeiter!$A$6:$A$205,0)),"Pers.-Nr. unbekannt",IF(D734="","Von fehlt",IF(AND(C734&lt;&gt;Einstellungen!$C$4,C734&lt;&gt;Einstellungen!$C$5),"Objekt fehlt",IF(J734&lt;D734,"Bis vor Von",IF(D734&lt;INDEX(Mitarbeiter!$C$6:$C$205,MATCH($A734,Mitarbeiter!$A$6:$A$205,0)),"vor Eintritt",IF(AND(INDEX(Mitarbeiter!$D$6:$D$205,MATCH($A734,Mitarbeiter!$A$6:$A$205,0))&lt;&gt;"",D734&gt;INDEX(Mitarbeiter!$D$6:$D$205,MATCH($A734,Mitarbeiter!$A$6:$A$205,0))),"nach Austritt",IF(E734="","offen","ok"))))))))</f>
        <v/>
      </c>
      <c r="J734" s="47">
        <f>IF(A734="","",IF(E734="",Einstellungen!$C$9,E734))</f>
        <v/>
      </c>
      <c r="K734" s="48">
        <f>IF(A734="",0,IFERROR(INDEX(Mitarbeiter!$F$6:$F$205,MATCH($A734,Mitarbeiter!$A$6:$A$205,0)),0))</f>
        <v/>
      </c>
      <c r="L734" s="49">
        <f>IF(OR(A734="",D734=""),0,MAX(0,NETWORKDAYS(MAX(D734,DATE(Einstellungen!$C$3,1,1)),MIN(J734,DATE(Einstellungen!$C$3,2,0)),Einstellungen!$F$13:$F$32)))</f>
        <v/>
      </c>
      <c r="M734" s="49">
        <f>IF(OR(A734="",D734=""),0,MAX(0,NETWORKDAYS(MAX(D734,DATE(Einstellungen!$C$3,2,1)),MIN(J734,DATE(Einstellungen!$C$3,3,0)),Einstellungen!$F$13:$F$32)))</f>
        <v/>
      </c>
      <c r="N734" s="49">
        <f>IF(OR(A734="",D734=""),0,MAX(0,NETWORKDAYS(MAX(D734,DATE(Einstellungen!$C$3,3,1)),MIN(J734,DATE(Einstellungen!$C$3,4,0)),Einstellungen!$F$13:$F$32)))</f>
        <v/>
      </c>
      <c r="O734" s="49">
        <f>IF(OR(A734="",D734=""),0,MAX(0,NETWORKDAYS(MAX(D734,DATE(Einstellungen!$C$3,4,1)),MIN(J734,DATE(Einstellungen!$C$3,5,0)),Einstellungen!$F$13:$F$32)))</f>
        <v/>
      </c>
      <c r="P734" s="49">
        <f>IF(OR(A734="",D734=""),0,MAX(0,NETWORKDAYS(MAX(D734,DATE(Einstellungen!$C$3,5,1)),MIN(J734,DATE(Einstellungen!$C$3,6,0)),Einstellungen!$F$13:$F$32)))</f>
        <v/>
      </c>
      <c r="Q734" s="49">
        <f>IF(OR(A734="",D734=""),0,MAX(0,NETWORKDAYS(MAX(D734,DATE(Einstellungen!$C$3,6,1)),MIN(J734,DATE(Einstellungen!$C$3,7,0)),Einstellungen!$F$13:$F$32)))</f>
        <v/>
      </c>
      <c r="R734" s="49">
        <f>IF(OR(A734="",D734=""),0,MAX(0,NETWORKDAYS(MAX(D734,DATE(Einstellungen!$C$3,7,1)),MIN(J734,DATE(Einstellungen!$C$3,8,0)),Einstellungen!$F$13:$F$32)))</f>
        <v/>
      </c>
      <c r="S734" s="49">
        <f>IF(OR(A734="",D734=""),0,MAX(0,NETWORKDAYS(MAX(D734,DATE(Einstellungen!$C$3,8,1)),MIN(J734,DATE(Einstellungen!$C$3,9,0)),Einstellungen!$F$13:$F$32)))</f>
        <v/>
      </c>
      <c r="T734" s="49">
        <f>IF(OR(A734="",D734=""),0,MAX(0,NETWORKDAYS(MAX(D734,DATE(Einstellungen!$C$3,9,1)),MIN(J734,DATE(Einstellungen!$C$3,10,0)),Einstellungen!$F$13:$F$32)))</f>
        <v/>
      </c>
      <c r="U734" s="49">
        <f>IF(OR(A734="",D734=""),0,MAX(0,NETWORKDAYS(MAX(D734,DATE(Einstellungen!$C$3,10,1)),MIN(J734,DATE(Einstellungen!$C$3,11,0)),Einstellungen!$F$13:$F$32)))</f>
        <v/>
      </c>
      <c r="V734" s="49">
        <f>IF(OR(A734="",D734=""),0,MAX(0,NETWORKDAYS(MAX(D734,DATE(Einstellungen!$C$3,11,1)),MIN(J734,DATE(Einstellungen!$C$3,12,0)),Einstellungen!$F$13:$F$32)))</f>
        <v/>
      </c>
      <c r="W734" s="49">
        <f>IF(OR(A734="",D734=""),0,MAX(0,NETWORKDAYS(MAX(D734,DATE(Einstellungen!$C$3,12,1)),MIN(J734,DATE(Einstellungen!$C$3,13,0)),Einstellungen!$F$13:$F$32)))</f>
        <v/>
      </c>
      <c r="X734" s="50">
        <f>L734*K734</f>
        <v/>
      </c>
      <c r="Y734" s="50">
        <f>M734*K734</f>
        <v/>
      </c>
      <c r="Z734" s="50">
        <f>N734*K734</f>
        <v/>
      </c>
      <c r="AA734" s="50">
        <f>O734*K734</f>
        <v/>
      </c>
      <c r="AB734" s="50">
        <f>P734*K734</f>
        <v/>
      </c>
      <c r="AC734" s="50">
        <f>Q734*K734</f>
        <v/>
      </c>
      <c r="AD734" s="50">
        <f>R734*K734</f>
        <v/>
      </c>
      <c r="AE734" s="50">
        <f>S734*K734</f>
        <v/>
      </c>
      <c r="AF734" s="50">
        <f>T734*K734</f>
        <v/>
      </c>
      <c r="AG734" s="50">
        <f>U734*K734</f>
        <v/>
      </c>
      <c r="AH734" s="50">
        <f>V734*K734</f>
        <v/>
      </c>
      <c r="AI734" s="50">
        <f>W734*K734</f>
        <v/>
      </c>
    </row>
    <row r="735">
      <c r="A735" s="25" t="n"/>
      <c r="B735" s="45">
        <f>IF(A735="","",IFERROR(INDEX(Mitarbeiter!$B$6:$B$205,MATCH($A735,Mitarbeiter!$A$6:$A$205,0)),"?"))</f>
        <v/>
      </c>
      <c r="C735" s="46" t="n"/>
      <c r="D735" s="26" t="n"/>
      <c r="E735" s="26" t="n"/>
      <c r="F735" s="24">
        <f>IF(A735="","",SUM(L735:W735))</f>
        <v/>
      </c>
      <c r="G735" s="36">
        <f>IF(A735="","",SUM(X735:AI735))</f>
        <v/>
      </c>
      <c r="H735" s="8">
        <f>IF(A735="","",IF(ISNA(MATCH(A735,Mitarbeiter!$A$6:$A$205,0)),"Pers.-Nr. unbekannt",IF(D735="","Von fehlt",IF(AND(C735&lt;&gt;Einstellungen!$C$4,C735&lt;&gt;Einstellungen!$C$5),"Objekt fehlt",IF(J735&lt;D735,"Bis vor Von",IF(D735&lt;INDEX(Mitarbeiter!$C$6:$C$205,MATCH($A735,Mitarbeiter!$A$6:$A$205,0)),"vor Eintritt",IF(AND(INDEX(Mitarbeiter!$D$6:$D$205,MATCH($A735,Mitarbeiter!$A$6:$A$205,0))&lt;&gt;"",D735&gt;INDEX(Mitarbeiter!$D$6:$D$205,MATCH($A735,Mitarbeiter!$A$6:$A$205,0))),"nach Austritt",IF(E735="","offen","ok"))))))))</f>
        <v/>
      </c>
      <c r="J735" s="47">
        <f>IF(A735="","",IF(E735="",Einstellungen!$C$9,E735))</f>
        <v/>
      </c>
      <c r="K735" s="48">
        <f>IF(A735="",0,IFERROR(INDEX(Mitarbeiter!$F$6:$F$205,MATCH($A735,Mitarbeiter!$A$6:$A$205,0)),0))</f>
        <v/>
      </c>
      <c r="L735" s="49">
        <f>IF(OR(A735="",D735=""),0,MAX(0,NETWORKDAYS(MAX(D735,DATE(Einstellungen!$C$3,1,1)),MIN(J735,DATE(Einstellungen!$C$3,2,0)),Einstellungen!$F$13:$F$32)))</f>
        <v/>
      </c>
      <c r="M735" s="49">
        <f>IF(OR(A735="",D735=""),0,MAX(0,NETWORKDAYS(MAX(D735,DATE(Einstellungen!$C$3,2,1)),MIN(J735,DATE(Einstellungen!$C$3,3,0)),Einstellungen!$F$13:$F$32)))</f>
        <v/>
      </c>
      <c r="N735" s="49">
        <f>IF(OR(A735="",D735=""),0,MAX(0,NETWORKDAYS(MAX(D735,DATE(Einstellungen!$C$3,3,1)),MIN(J735,DATE(Einstellungen!$C$3,4,0)),Einstellungen!$F$13:$F$32)))</f>
        <v/>
      </c>
      <c r="O735" s="49">
        <f>IF(OR(A735="",D735=""),0,MAX(0,NETWORKDAYS(MAX(D735,DATE(Einstellungen!$C$3,4,1)),MIN(J735,DATE(Einstellungen!$C$3,5,0)),Einstellungen!$F$13:$F$32)))</f>
        <v/>
      </c>
      <c r="P735" s="49">
        <f>IF(OR(A735="",D735=""),0,MAX(0,NETWORKDAYS(MAX(D735,DATE(Einstellungen!$C$3,5,1)),MIN(J735,DATE(Einstellungen!$C$3,6,0)),Einstellungen!$F$13:$F$32)))</f>
        <v/>
      </c>
      <c r="Q735" s="49">
        <f>IF(OR(A735="",D735=""),0,MAX(0,NETWORKDAYS(MAX(D735,DATE(Einstellungen!$C$3,6,1)),MIN(J735,DATE(Einstellungen!$C$3,7,0)),Einstellungen!$F$13:$F$32)))</f>
        <v/>
      </c>
      <c r="R735" s="49">
        <f>IF(OR(A735="",D735=""),0,MAX(0,NETWORKDAYS(MAX(D735,DATE(Einstellungen!$C$3,7,1)),MIN(J735,DATE(Einstellungen!$C$3,8,0)),Einstellungen!$F$13:$F$32)))</f>
        <v/>
      </c>
      <c r="S735" s="49">
        <f>IF(OR(A735="",D735=""),0,MAX(0,NETWORKDAYS(MAX(D735,DATE(Einstellungen!$C$3,8,1)),MIN(J735,DATE(Einstellungen!$C$3,9,0)),Einstellungen!$F$13:$F$32)))</f>
        <v/>
      </c>
      <c r="T735" s="49">
        <f>IF(OR(A735="",D735=""),0,MAX(0,NETWORKDAYS(MAX(D735,DATE(Einstellungen!$C$3,9,1)),MIN(J735,DATE(Einstellungen!$C$3,10,0)),Einstellungen!$F$13:$F$32)))</f>
        <v/>
      </c>
      <c r="U735" s="49">
        <f>IF(OR(A735="",D735=""),0,MAX(0,NETWORKDAYS(MAX(D735,DATE(Einstellungen!$C$3,10,1)),MIN(J735,DATE(Einstellungen!$C$3,11,0)),Einstellungen!$F$13:$F$32)))</f>
        <v/>
      </c>
      <c r="V735" s="49">
        <f>IF(OR(A735="",D735=""),0,MAX(0,NETWORKDAYS(MAX(D735,DATE(Einstellungen!$C$3,11,1)),MIN(J735,DATE(Einstellungen!$C$3,12,0)),Einstellungen!$F$13:$F$32)))</f>
        <v/>
      </c>
      <c r="W735" s="49">
        <f>IF(OR(A735="",D735=""),0,MAX(0,NETWORKDAYS(MAX(D735,DATE(Einstellungen!$C$3,12,1)),MIN(J735,DATE(Einstellungen!$C$3,13,0)),Einstellungen!$F$13:$F$32)))</f>
        <v/>
      </c>
      <c r="X735" s="50">
        <f>L735*K735</f>
        <v/>
      </c>
      <c r="Y735" s="50">
        <f>M735*K735</f>
        <v/>
      </c>
      <c r="Z735" s="50">
        <f>N735*K735</f>
        <v/>
      </c>
      <c r="AA735" s="50">
        <f>O735*K735</f>
        <v/>
      </c>
      <c r="AB735" s="50">
        <f>P735*K735</f>
        <v/>
      </c>
      <c r="AC735" s="50">
        <f>Q735*K735</f>
        <v/>
      </c>
      <c r="AD735" s="50">
        <f>R735*K735</f>
        <v/>
      </c>
      <c r="AE735" s="50">
        <f>S735*K735</f>
        <v/>
      </c>
      <c r="AF735" s="50">
        <f>T735*K735</f>
        <v/>
      </c>
      <c r="AG735" s="50">
        <f>U735*K735</f>
        <v/>
      </c>
      <c r="AH735" s="50">
        <f>V735*K735</f>
        <v/>
      </c>
      <c r="AI735" s="50">
        <f>W735*K735</f>
        <v/>
      </c>
    </row>
    <row r="736">
      <c r="A736" s="25" t="n"/>
      <c r="B736" s="45">
        <f>IF(A736="","",IFERROR(INDEX(Mitarbeiter!$B$6:$B$205,MATCH($A736,Mitarbeiter!$A$6:$A$205,0)),"?"))</f>
        <v/>
      </c>
      <c r="C736" s="46" t="n"/>
      <c r="D736" s="26" t="n"/>
      <c r="E736" s="26" t="n"/>
      <c r="F736" s="24">
        <f>IF(A736="","",SUM(L736:W736))</f>
        <v/>
      </c>
      <c r="G736" s="36">
        <f>IF(A736="","",SUM(X736:AI736))</f>
        <v/>
      </c>
      <c r="H736" s="8">
        <f>IF(A736="","",IF(ISNA(MATCH(A736,Mitarbeiter!$A$6:$A$205,0)),"Pers.-Nr. unbekannt",IF(D736="","Von fehlt",IF(AND(C736&lt;&gt;Einstellungen!$C$4,C736&lt;&gt;Einstellungen!$C$5),"Objekt fehlt",IF(J736&lt;D736,"Bis vor Von",IF(D736&lt;INDEX(Mitarbeiter!$C$6:$C$205,MATCH($A736,Mitarbeiter!$A$6:$A$205,0)),"vor Eintritt",IF(AND(INDEX(Mitarbeiter!$D$6:$D$205,MATCH($A736,Mitarbeiter!$A$6:$A$205,0))&lt;&gt;"",D736&gt;INDEX(Mitarbeiter!$D$6:$D$205,MATCH($A736,Mitarbeiter!$A$6:$A$205,0))),"nach Austritt",IF(E736="","offen","ok"))))))))</f>
        <v/>
      </c>
      <c r="J736" s="47">
        <f>IF(A736="","",IF(E736="",Einstellungen!$C$9,E736))</f>
        <v/>
      </c>
      <c r="K736" s="48">
        <f>IF(A736="",0,IFERROR(INDEX(Mitarbeiter!$F$6:$F$205,MATCH($A736,Mitarbeiter!$A$6:$A$205,0)),0))</f>
        <v/>
      </c>
      <c r="L736" s="49">
        <f>IF(OR(A736="",D736=""),0,MAX(0,NETWORKDAYS(MAX(D736,DATE(Einstellungen!$C$3,1,1)),MIN(J736,DATE(Einstellungen!$C$3,2,0)),Einstellungen!$F$13:$F$32)))</f>
        <v/>
      </c>
      <c r="M736" s="49">
        <f>IF(OR(A736="",D736=""),0,MAX(0,NETWORKDAYS(MAX(D736,DATE(Einstellungen!$C$3,2,1)),MIN(J736,DATE(Einstellungen!$C$3,3,0)),Einstellungen!$F$13:$F$32)))</f>
        <v/>
      </c>
      <c r="N736" s="49">
        <f>IF(OR(A736="",D736=""),0,MAX(0,NETWORKDAYS(MAX(D736,DATE(Einstellungen!$C$3,3,1)),MIN(J736,DATE(Einstellungen!$C$3,4,0)),Einstellungen!$F$13:$F$32)))</f>
        <v/>
      </c>
      <c r="O736" s="49">
        <f>IF(OR(A736="",D736=""),0,MAX(0,NETWORKDAYS(MAX(D736,DATE(Einstellungen!$C$3,4,1)),MIN(J736,DATE(Einstellungen!$C$3,5,0)),Einstellungen!$F$13:$F$32)))</f>
        <v/>
      </c>
      <c r="P736" s="49">
        <f>IF(OR(A736="",D736=""),0,MAX(0,NETWORKDAYS(MAX(D736,DATE(Einstellungen!$C$3,5,1)),MIN(J736,DATE(Einstellungen!$C$3,6,0)),Einstellungen!$F$13:$F$32)))</f>
        <v/>
      </c>
      <c r="Q736" s="49">
        <f>IF(OR(A736="",D736=""),0,MAX(0,NETWORKDAYS(MAX(D736,DATE(Einstellungen!$C$3,6,1)),MIN(J736,DATE(Einstellungen!$C$3,7,0)),Einstellungen!$F$13:$F$32)))</f>
        <v/>
      </c>
      <c r="R736" s="49">
        <f>IF(OR(A736="",D736=""),0,MAX(0,NETWORKDAYS(MAX(D736,DATE(Einstellungen!$C$3,7,1)),MIN(J736,DATE(Einstellungen!$C$3,8,0)),Einstellungen!$F$13:$F$32)))</f>
        <v/>
      </c>
      <c r="S736" s="49">
        <f>IF(OR(A736="",D736=""),0,MAX(0,NETWORKDAYS(MAX(D736,DATE(Einstellungen!$C$3,8,1)),MIN(J736,DATE(Einstellungen!$C$3,9,0)),Einstellungen!$F$13:$F$32)))</f>
        <v/>
      </c>
      <c r="T736" s="49">
        <f>IF(OR(A736="",D736=""),0,MAX(0,NETWORKDAYS(MAX(D736,DATE(Einstellungen!$C$3,9,1)),MIN(J736,DATE(Einstellungen!$C$3,10,0)),Einstellungen!$F$13:$F$32)))</f>
        <v/>
      </c>
      <c r="U736" s="49">
        <f>IF(OR(A736="",D736=""),0,MAX(0,NETWORKDAYS(MAX(D736,DATE(Einstellungen!$C$3,10,1)),MIN(J736,DATE(Einstellungen!$C$3,11,0)),Einstellungen!$F$13:$F$32)))</f>
        <v/>
      </c>
      <c r="V736" s="49">
        <f>IF(OR(A736="",D736=""),0,MAX(0,NETWORKDAYS(MAX(D736,DATE(Einstellungen!$C$3,11,1)),MIN(J736,DATE(Einstellungen!$C$3,12,0)),Einstellungen!$F$13:$F$32)))</f>
        <v/>
      </c>
      <c r="W736" s="49">
        <f>IF(OR(A736="",D736=""),0,MAX(0,NETWORKDAYS(MAX(D736,DATE(Einstellungen!$C$3,12,1)),MIN(J736,DATE(Einstellungen!$C$3,13,0)),Einstellungen!$F$13:$F$32)))</f>
        <v/>
      </c>
      <c r="X736" s="50">
        <f>L736*K736</f>
        <v/>
      </c>
      <c r="Y736" s="50">
        <f>M736*K736</f>
        <v/>
      </c>
      <c r="Z736" s="50">
        <f>N736*K736</f>
        <v/>
      </c>
      <c r="AA736" s="50">
        <f>O736*K736</f>
        <v/>
      </c>
      <c r="AB736" s="50">
        <f>P736*K736</f>
        <v/>
      </c>
      <c r="AC736" s="50">
        <f>Q736*K736</f>
        <v/>
      </c>
      <c r="AD736" s="50">
        <f>R736*K736</f>
        <v/>
      </c>
      <c r="AE736" s="50">
        <f>S736*K736</f>
        <v/>
      </c>
      <c r="AF736" s="50">
        <f>T736*K736</f>
        <v/>
      </c>
      <c r="AG736" s="50">
        <f>U736*K736</f>
        <v/>
      </c>
      <c r="AH736" s="50">
        <f>V736*K736</f>
        <v/>
      </c>
      <c r="AI736" s="50">
        <f>W736*K736</f>
        <v/>
      </c>
    </row>
    <row r="737">
      <c r="A737" s="25" t="n"/>
      <c r="B737" s="45">
        <f>IF(A737="","",IFERROR(INDEX(Mitarbeiter!$B$6:$B$205,MATCH($A737,Mitarbeiter!$A$6:$A$205,0)),"?"))</f>
        <v/>
      </c>
      <c r="C737" s="46" t="n"/>
      <c r="D737" s="26" t="n"/>
      <c r="E737" s="26" t="n"/>
      <c r="F737" s="24">
        <f>IF(A737="","",SUM(L737:W737))</f>
        <v/>
      </c>
      <c r="G737" s="36">
        <f>IF(A737="","",SUM(X737:AI737))</f>
        <v/>
      </c>
      <c r="H737" s="8">
        <f>IF(A737="","",IF(ISNA(MATCH(A737,Mitarbeiter!$A$6:$A$205,0)),"Pers.-Nr. unbekannt",IF(D737="","Von fehlt",IF(AND(C737&lt;&gt;Einstellungen!$C$4,C737&lt;&gt;Einstellungen!$C$5),"Objekt fehlt",IF(J737&lt;D737,"Bis vor Von",IF(D737&lt;INDEX(Mitarbeiter!$C$6:$C$205,MATCH($A737,Mitarbeiter!$A$6:$A$205,0)),"vor Eintritt",IF(AND(INDEX(Mitarbeiter!$D$6:$D$205,MATCH($A737,Mitarbeiter!$A$6:$A$205,0))&lt;&gt;"",D737&gt;INDEX(Mitarbeiter!$D$6:$D$205,MATCH($A737,Mitarbeiter!$A$6:$A$205,0))),"nach Austritt",IF(E737="","offen","ok"))))))))</f>
        <v/>
      </c>
      <c r="J737" s="47">
        <f>IF(A737="","",IF(E737="",Einstellungen!$C$9,E737))</f>
        <v/>
      </c>
      <c r="K737" s="48">
        <f>IF(A737="",0,IFERROR(INDEX(Mitarbeiter!$F$6:$F$205,MATCH($A737,Mitarbeiter!$A$6:$A$205,0)),0))</f>
        <v/>
      </c>
      <c r="L737" s="49">
        <f>IF(OR(A737="",D737=""),0,MAX(0,NETWORKDAYS(MAX(D737,DATE(Einstellungen!$C$3,1,1)),MIN(J737,DATE(Einstellungen!$C$3,2,0)),Einstellungen!$F$13:$F$32)))</f>
        <v/>
      </c>
      <c r="M737" s="49">
        <f>IF(OR(A737="",D737=""),0,MAX(0,NETWORKDAYS(MAX(D737,DATE(Einstellungen!$C$3,2,1)),MIN(J737,DATE(Einstellungen!$C$3,3,0)),Einstellungen!$F$13:$F$32)))</f>
        <v/>
      </c>
      <c r="N737" s="49">
        <f>IF(OR(A737="",D737=""),0,MAX(0,NETWORKDAYS(MAX(D737,DATE(Einstellungen!$C$3,3,1)),MIN(J737,DATE(Einstellungen!$C$3,4,0)),Einstellungen!$F$13:$F$32)))</f>
        <v/>
      </c>
      <c r="O737" s="49">
        <f>IF(OR(A737="",D737=""),0,MAX(0,NETWORKDAYS(MAX(D737,DATE(Einstellungen!$C$3,4,1)),MIN(J737,DATE(Einstellungen!$C$3,5,0)),Einstellungen!$F$13:$F$32)))</f>
        <v/>
      </c>
      <c r="P737" s="49">
        <f>IF(OR(A737="",D737=""),0,MAX(0,NETWORKDAYS(MAX(D737,DATE(Einstellungen!$C$3,5,1)),MIN(J737,DATE(Einstellungen!$C$3,6,0)),Einstellungen!$F$13:$F$32)))</f>
        <v/>
      </c>
      <c r="Q737" s="49">
        <f>IF(OR(A737="",D737=""),0,MAX(0,NETWORKDAYS(MAX(D737,DATE(Einstellungen!$C$3,6,1)),MIN(J737,DATE(Einstellungen!$C$3,7,0)),Einstellungen!$F$13:$F$32)))</f>
        <v/>
      </c>
      <c r="R737" s="49">
        <f>IF(OR(A737="",D737=""),0,MAX(0,NETWORKDAYS(MAX(D737,DATE(Einstellungen!$C$3,7,1)),MIN(J737,DATE(Einstellungen!$C$3,8,0)),Einstellungen!$F$13:$F$32)))</f>
        <v/>
      </c>
      <c r="S737" s="49">
        <f>IF(OR(A737="",D737=""),0,MAX(0,NETWORKDAYS(MAX(D737,DATE(Einstellungen!$C$3,8,1)),MIN(J737,DATE(Einstellungen!$C$3,9,0)),Einstellungen!$F$13:$F$32)))</f>
        <v/>
      </c>
      <c r="T737" s="49">
        <f>IF(OR(A737="",D737=""),0,MAX(0,NETWORKDAYS(MAX(D737,DATE(Einstellungen!$C$3,9,1)),MIN(J737,DATE(Einstellungen!$C$3,10,0)),Einstellungen!$F$13:$F$32)))</f>
        <v/>
      </c>
      <c r="U737" s="49">
        <f>IF(OR(A737="",D737=""),0,MAX(0,NETWORKDAYS(MAX(D737,DATE(Einstellungen!$C$3,10,1)),MIN(J737,DATE(Einstellungen!$C$3,11,0)),Einstellungen!$F$13:$F$32)))</f>
        <v/>
      </c>
      <c r="V737" s="49">
        <f>IF(OR(A737="",D737=""),0,MAX(0,NETWORKDAYS(MAX(D737,DATE(Einstellungen!$C$3,11,1)),MIN(J737,DATE(Einstellungen!$C$3,12,0)),Einstellungen!$F$13:$F$32)))</f>
        <v/>
      </c>
      <c r="W737" s="49">
        <f>IF(OR(A737="",D737=""),0,MAX(0,NETWORKDAYS(MAX(D737,DATE(Einstellungen!$C$3,12,1)),MIN(J737,DATE(Einstellungen!$C$3,13,0)),Einstellungen!$F$13:$F$32)))</f>
        <v/>
      </c>
      <c r="X737" s="50">
        <f>L737*K737</f>
        <v/>
      </c>
      <c r="Y737" s="50">
        <f>M737*K737</f>
        <v/>
      </c>
      <c r="Z737" s="50">
        <f>N737*K737</f>
        <v/>
      </c>
      <c r="AA737" s="50">
        <f>O737*K737</f>
        <v/>
      </c>
      <c r="AB737" s="50">
        <f>P737*K737</f>
        <v/>
      </c>
      <c r="AC737" s="50">
        <f>Q737*K737</f>
        <v/>
      </c>
      <c r="AD737" s="50">
        <f>R737*K737</f>
        <v/>
      </c>
      <c r="AE737" s="50">
        <f>S737*K737</f>
        <v/>
      </c>
      <c r="AF737" s="50">
        <f>T737*K737</f>
        <v/>
      </c>
      <c r="AG737" s="50">
        <f>U737*K737</f>
        <v/>
      </c>
      <c r="AH737" s="50">
        <f>V737*K737</f>
        <v/>
      </c>
      <c r="AI737" s="50">
        <f>W737*K737</f>
        <v/>
      </c>
    </row>
    <row r="738">
      <c r="A738" s="25" t="n"/>
      <c r="B738" s="45">
        <f>IF(A738="","",IFERROR(INDEX(Mitarbeiter!$B$6:$B$205,MATCH($A738,Mitarbeiter!$A$6:$A$205,0)),"?"))</f>
        <v/>
      </c>
      <c r="C738" s="46" t="n"/>
      <c r="D738" s="26" t="n"/>
      <c r="E738" s="26" t="n"/>
      <c r="F738" s="24">
        <f>IF(A738="","",SUM(L738:W738))</f>
        <v/>
      </c>
      <c r="G738" s="36">
        <f>IF(A738="","",SUM(X738:AI738))</f>
        <v/>
      </c>
      <c r="H738" s="8">
        <f>IF(A738="","",IF(ISNA(MATCH(A738,Mitarbeiter!$A$6:$A$205,0)),"Pers.-Nr. unbekannt",IF(D738="","Von fehlt",IF(AND(C738&lt;&gt;Einstellungen!$C$4,C738&lt;&gt;Einstellungen!$C$5),"Objekt fehlt",IF(J738&lt;D738,"Bis vor Von",IF(D738&lt;INDEX(Mitarbeiter!$C$6:$C$205,MATCH($A738,Mitarbeiter!$A$6:$A$205,0)),"vor Eintritt",IF(AND(INDEX(Mitarbeiter!$D$6:$D$205,MATCH($A738,Mitarbeiter!$A$6:$A$205,0))&lt;&gt;"",D738&gt;INDEX(Mitarbeiter!$D$6:$D$205,MATCH($A738,Mitarbeiter!$A$6:$A$205,0))),"nach Austritt",IF(E738="","offen","ok"))))))))</f>
        <v/>
      </c>
      <c r="J738" s="47">
        <f>IF(A738="","",IF(E738="",Einstellungen!$C$9,E738))</f>
        <v/>
      </c>
      <c r="K738" s="48">
        <f>IF(A738="",0,IFERROR(INDEX(Mitarbeiter!$F$6:$F$205,MATCH($A738,Mitarbeiter!$A$6:$A$205,0)),0))</f>
        <v/>
      </c>
      <c r="L738" s="49">
        <f>IF(OR(A738="",D738=""),0,MAX(0,NETWORKDAYS(MAX(D738,DATE(Einstellungen!$C$3,1,1)),MIN(J738,DATE(Einstellungen!$C$3,2,0)),Einstellungen!$F$13:$F$32)))</f>
        <v/>
      </c>
      <c r="M738" s="49">
        <f>IF(OR(A738="",D738=""),0,MAX(0,NETWORKDAYS(MAX(D738,DATE(Einstellungen!$C$3,2,1)),MIN(J738,DATE(Einstellungen!$C$3,3,0)),Einstellungen!$F$13:$F$32)))</f>
        <v/>
      </c>
      <c r="N738" s="49">
        <f>IF(OR(A738="",D738=""),0,MAX(0,NETWORKDAYS(MAX(D738,DATE(Einstellungen!$C$3,3,1)),MIN(J738,DATE(Einstellungen!$C$3,4,0)),Einstellungen!$F$13:$F$32)))</f>
        <v/>
      </c>
      <c r="O738" s="49">
        <f>IF(OR(A738="",D738=""),0,MAX(0,NETWORKDAYS(MAX(D738,DATE(Einstellungen!$C$3,4,1)),MIN(J738,DATE(Einstellungen!$C$3,5,0)),Einstellungen!$F$13:$F$32)))</f>
        <v/>
      </c>
      <c r="P738" s="49">
        <f>IF(OR(A738="",D738=""),0,MAX(0,NETWORKDAYS(MAX(D738,DATE(Einstellungen!$C$3,5,1)),MIN(J738,DATE(Einstellungen!$C$3,6,0)),Einstellungen!$F$13:$F$32)))</f>
        <v/>
      </c>
      <c r="Q738" s="49">
        <f>IF(OR(A738="",D738=""),0,MAX(0,NETWORKDAYS(MAX(D738,DATE(Einstellungen!$C$3,6,1)),MIN(J738,DATE(Einstellungen!$C$3,7,0)),Einstellungen!$F$13:$F$32)))</f>
        <v/>
      </c>
      <c r="R738" s="49">
        <f>IF(OR(A738="",D738=""),0,MAX(0,NETWORKDAYS(MAX(D738,DATE(Einstellungen!$C$3,7,1)),MIN(J738,DATE(Einstellungen!$C$3,8,0)),Einstellungen!$F$13:$F$32)))</f>
        <v/>
      </c>
      <c r="S738" s="49">
        <f>IF(OR(A738="",D738=""),0,MAX(0,NETWORKDAYS(MAX(D738,DATE(Einstellungen!$C$3,8,1)),MIN(J738,DATE(Einstellungen!$C$3,9,0)),Einstellungen!$F$13:$F$32)))</f>
        <v/>
      </c>
      <c r="T738" s="49">
        <f>IF(OR(A738="",D738=""),0,MAX(0,NETWORKDAYS(MAX(D738,DATE(Einstellungen!$C$3,9,1)),MIN(J738,DATE(Einstellungen!$C$3,10,0)),Einstellungen!$F$13:$F$32)))</f>
        <v/>
      </c>
      <c r="U738" s="49">
        <f>IF(OR(A738="",D738=""),0,MAX(0,NETWORKDAYS(MAX(D738,DATE(Einstellungen!$C$3,10,1)),MIN(J738,DATE(Einstellungen!$C$3,11,0)),Einstellungen!$F$13:$F$32)))</f>
        <v/>
      </c>
      <c r="V738" s="49">
        <f>IF(OR(A738="",D738=""),0,MAX(0,NETWORKDAYS(MAX(D738,DATE(Einstellungen!$C$3,11,1)),MIN(J738,DATE(Einstellungen!$C$3,12,0)),Einstellungen!$F$13:$F$32)))</f>
        <v/>
      </c>
      <c r="W738" s="49">
        <f>IF(OR(A738="",D738=""),0,MAX(0,NETWORKDAYS(MAX(D738,DATE(Einstellungen!$C$3,12,1)),MIN(J738,DATE(Einstellungen!$C$3,13,0)),Einstellungen!$F$13:$F$32)))</f>
        <v/>
      </c>
      <c r="X738" s="50">
        <f>L738*K738</f>
        <v/>
      </c>
      <c r="Y738" s="50">
        <f>M738*K738</f>
        <v/>
      </c>
      <c r="Z738" s="50">
        <f>N738*K738</f>
        <v/>
      </c>
      <c r="AA738" s="50">
        <f>O738*K738</f>
        <v/>
      </c>
      <c r="AB738" s="50">
        <f>P738*K738</f>
        <v/>
      </c>
      <c r="AC738" s="50">
        <f>Q738*K738</f>
        <v/>
      </c>
      <c r="AD738" s="50">
        <f>R738*K738</f>
        <v/>
      </c>
      <c r="AE738" s="50">
        <f>S738*K738</f>
        <v/>
      </c>
      <c r="AF738" s="50">
        <f>T738*K738</f>
        <v/>
      </c>
      <c r="AG738" s="50">
        <f>U738*K738</f>
        <v/>
      </c>
      <c r="AH738" s="50">
        <f>V738*K738</f>
        <v/>
      </c>
      <c r="AI738" s="50">
        <f>W738*K738</f>
        <v/>
      </c>
    </row>
    <row r="739">
      <c r="A739" s="25" t="n"/>
      <c r="B739" s="45">
        <f>IF(A739="","",IFERROR(INDEX(Mitarbeiter!$B$6:$B$205,MATCH($A739,Mitarbeiter!$A$6:$A$205,0)),"?"))</f>
        <v/>
      </c>
      <c r="C739" s="46" t="n"/>
      <c r="D739" s="26" t="n"/>
      <c r="E739" s="26" t="n"/>
      <c r="F739" s="24">
        <f>IF(A739="","",SUM(L739:W739))</f>
        <v/>
      </c>
      <c r="G739" s="36">
        <f>IF(A739="","",SUM(X739:AI739))</f>
        <v/>
      </c>
      <c r="H739" s="8">
        <f>IF(A739="","",IF(ISNA(MATCH(A739,Mitarbeiter!$A$6:$A$205,0)),"Pers.-Nr. unbekannt",IF(D739="","Von fehlt",IF(AND(C739&lt;&gt;Einstellungen!$C$4,C739&lt;&gt;Einstellungen!$C$5),"Objekt fehlt",IF(J739&lt;D739,"Bis vor Von",IF(D739&lt;INDEX(Mitarbeiter!$C$6:$C$205,MATCH($A739,Mitarbeiter!$A$6:$A$205,0)),"vor Eintritt",IF(AND(INDEX(Mitarbeiter!$D$6:$D$205,MATCH($A739,Mitarbeiter!$A$6:$A$205,0))&lt;&gt;"",D739&gt;INDEX(Mitarbeiter!$D$6:$D$205,MATCH($A739,Mitarbeiter!$A$6:$A$205,0))),"nach Austritt",IF(E739="","offen","ok"))))))))</f>
        <v/>
      </c>
      <c r="J739" s="47">
        <f>IF(A739="","",IF(E739="",Einstellungen!$C$9,E739))</f>
        <v/>
      </c>
      <c r="K739" s="48">
        <f>IF(A739="",0,IFERROR(INDEX(Mitarbeiter!$F$6:$F$205,MATCH($A739,Mitarbeiter!$A$6:$A$205,0)),0))</f>
        <v/>
      </c>
      <c r="L739" s="49">
        <f>IF(OR(A739="",D739=""),0,MAX(0,NETWORKDAYS(MAX(D739,DATE(Einstellungen!$C$3,1,1)),MIN(J739,DATE(Einstellungen!$C$3,2,0)),Einstellungen!$F$13:$F$32)))</f>
        <v/>
      </c>
      <c r="M739" s="49">
        <f>IF(OR(A739="",D739=""),0,MAX(0,NETWORKDAYS(MAX(D739,DATE(Einstellungen!$C$3,2,1)),MIN(J739,DATE(Einstellungen!$C$3,3,0)),Einstellungen!$F$13:$F$32)))</f>
        <v/>
      </c>
      <c r="N739" s="49">
        <f>IF(OR(A739="",D739=""),0,MAX(0,NETWORKDAYS(MAX(D739,DATE(Einstellungen!$C$3,3,1)),MIN(J739,DATE(Einstellungen!$C$3,4,0)),Einstellungen!$F$13:$F$32)))</f>
        <v/>
      </c>
      <c r="O739" s="49">
        <f>IF(OR(A739="",D739=""),0,MAX(0,NETWORKDAYS(MAX(D739,DATE(Einstellungen!$C$3,4,1)),MIN(J739,DATE(Einstellungen!$C$3,5,0)),Einstellungen!$F$13:$F$32)))</f>
        <v/>
      </c>
      <c r="P739" s="49">
        <f>IF(OR(A739="",D739=""),0,MAX(0,NETWORKDAYS(MAX(D739,DATE(Einstellungen!$C$3,5,1)),MIN(J739,DATE(Einstellungen!$C$3,6,0)),Einstellungen!$F$13:$F$32)))</f>
        <v/>
      </c>
      <c r="Q739" s="49">
        <f>IF(OR(A739="",D739=""),0,MAX(0,NETWORKDAYS(MAX(D739,DATE(Einstellungen!$C$3,6,1)),MIN(J739,DATE(Einstellungen!$C$3,7,0)),Einstellungen!$F$13:$F$32)))</f>
        <v/>
      </c>
      <c r="R739" s="49">
        <f>IF(OR(A739="",D739=""),0,MAX(0,NETWORKDAYS(MAX(D739,DATE(Einstellungen!$C$3,7,1)),MIN(J739,DATE(Einstellungen!$C$3,8,0)),Einstellungen!$F$13:$F$32)))</f>
        <v/>
      </c>
      <c r="S739" s="49">
        <f>IF(OR(A739="",D739=""),0,MAX(0,NETWORKDAYS(MAX(D739,DATE(Einstellungen!$C$3,8,1)),MIN(J739,DATE(Einstellungen!$C$3,9,0)),Einstellungen!$F$13:$F$32)))</f>
        <v/>
      </c>
      <c r="T739" s="49">
        <f>IF(OR(A739="",D739=""),0,MAX(0,NETWORKDAYS(MAX(D739,DATE(Einstellungen!$C$3,9,1)),MIN(J739,DATE(Einstellungen!$C$3,10,0)),Einstellungen!$F$13:$F$32)))</f>
        <v/>
      </c>
      <c r="U739" s="49">
        <f>IF(OR(A739="",D739=""),0,MAX(0,NETWORKDAYS(MAX(D739,DATE(Einstellungen!$C$3,10,1)),MIN(J739,DATE(Einstellungen!$C$3,11,0)),Einstellungen!$F$13:$F$32)))</f>
        <v/>
      </c>
      <c r="V739" s="49">
        <f>IF(OR(A739="",D739=""),0,MAX(0,NETWORKDAYS(MAX(D739,DATE(Einstellungen!$C$3,11,1)),MIN(J739,DATE(Einstellungen!$C$3,12,0)),Einstellungen!$F$13:$F$32)))</f>
        <v/>
      </c>
      <c r="W739" s="49">
        <f>IF(OR(A739="",D739=""),0,MAX(0,NETWORKDAYS(MAX(D739,DATE(Einstellungen!$C$3,12,1)),MIN(J739,DATE(Einstellungen!$C$3,13,0)),Einstellungen!$F$13:$F$32)))</f>
        <v/>
      </c>
      <c r="X739" s="50">
        <f>L739*K739</f>
        <v/>
      </c>
      <c r="Y739" s="50">
        <f>M739*K739</f>
        <v/>
      </c>
      <c r="Z739" s="50">
        <f>N739*K739</f>
        <v/>
      </c>
      <c r="AA739" s="50">
        <f>O739*K739</f>
        <v/>
      </c>
      <c r="AB739" s="50">
        <f>P739*K739</f>
        <v/>
      </c>
      <c r="AC739" s="50">
        <f>Q739*K739</f>
        <v/>
      </c>
      <c r="AD739" s="50">
        <f>R739*K739</f>
        <v/>
      </c>
      <c r="AE739" s="50">
        <f>S739*K739</f>
        <v/>
      </c>
      <c r="AF739" s="50">
        <f>T739*K739</f>
        <v/>
      </c>
      <c r="AG739" s="50">
        <f>U739*K739</f>
        <v/>
      </c>
      <c r="AH739" s="50">
        <f>V739*K739</f>
        <v/>
      </c>
      <c r="AI739" s="50">
        <f>W739*K739</f>
        <v/>
      </c>
    </row>
    <row r="740">
      <c r="A740" s="25" t="n"/>
      <c r="B740" s="45">
        <f>IF(A740="","",IFERROR(INDEX(Mitarbeiter!$B$6:$B$205,MATCH($A740,Mitarbeiter!$A$6:$A$205,0)),"?"))</f>
        <v/>
      </c>
      <c r="C740" s="46" t="n"/>
      <c r="D740" s="26" t="n"/>
      <c r="E740" s="26" t="n"/>
      <c r="F740" s="24">
        <f>IF(A740="","",SUM(L740:W740))</f>
        <v/>
      </c>
      <c r="G740" s="36">
        <f>IF(A740="","",SUM(X740:AI740))</f>
        <v/>
      </c>
      <c r="H740" s="8">
        <f>IF(A740="","",IF(ISNA(MATCH(A740,Mitarbeiter!$A$6:$A$205,0)),"Pers.-Nr. unbekannt",IF(D740="","Von fehlt",IF(AND(C740&lt;&gt;Einstellungen!$C$4,C740&lt;&gt;Einstellungen!$C$5),"Objekt fehlt",IF(J740&lt;D740,"Bis vor Von",IF(D740&lt;INDEX(Mitarbeiter!$C$6:$C$205,MATCH($A740,Mitarbeiter!$A$6:$A$205,0)),"vor Eintritt",IF(AND(INDEX(Mitarbeiter!$D$6:$D$205,MATCH($A740,Mitarbeiter!$A$6:$A$205,0))&lt;&gt;"",D740&gt;INDEX(Mitarbeiter!$D$6:$D$205,MATCH($A740,Mitarbeiter!$A$6:$A$205,0))),"nach Austritt",IF(E740="","offen","ok"))))))))</f>
        <v/>
      </c>
      <c r="J740" s="47">
        <f>IF(A740="","",IF(E740="",Einstellungen!$C$9,E740))</f>
        <v/>
      </c>
      <c r="K740" s="48">
        <f>IF(A740="",0,IFERROR(INDEX(Mitarbeiter!$F$6:$F$205,MATCH($A740,Mitarbeiter!$A$6:$A$205,0)),0))</f>
        <v/>
      </c>
      <c r="L740" s="49">
        <f>IF(OR(A740="",D740=""),0,MAX(0,NETWORKDAYS(MAX(D740,DATE(Einstellungen!$C$3,1,1)),MIN(J740,DATE(Einstellungen!$C$3,2,0)),Einstellungen!$F$13:$F$32)))</f>
        <v/>
      </c>
      <c r="M740" s="49">
        <f>IF(OR(A740="",D740=""),0,MAX(0,NETWORKDAYS(MAX(D740,DATE(Einstellungen!$C$3,2,1)),MIN(J740,DATE(Einstellungen!$C$3,3,0)),Einstellungen!$F$13:$F$32)))</f>
        <v/>
      </c>
      <c r="N740" s="49">
        <f>IF(OR(A740="",D740=""),0,MAX(0,NETWORKDAYS(MAX(D740,DATE(Einstellungen!$C$3,3,1)),MIN(J740,DATE(Einstellungen!$C$3,4,0)),Einstellungen!$F$13:$F$32)))</f>
        <v/>
      </c>
      <c r="O740" s="49">
        <f>IF(OR(A740="",D740=""),0,MAX(0,NETWORKDAYS(MAX(D740,DATE(Einstellungen!$C$3,4,1)),MIN(J740,DATE(Einstellungen!$C$3,5,0)),Einstellungen!$F$13:$F$32)))</f>
        <v/>
      </c>
      <c r="P740" s="49">
        <f>IF(OR(A740="",D740=""),0,MAX(0,NETWORKDAYS(MAX(D740,DATE(Einstellungen!$C$3,5,1)),MIN(J740,DATE(Einstellungen!$C$3,6,0)),Einstellungen!$F$13:$F$32)))</f>
        <v/>
      </c>
      <c r="Q740" s="49">
        <f>IF(OR(A740="",D740=""),0,MAX(0,NETWORKDAYS(MAX(D740,DATE(Einstellungen!$C$3,6,1)),MIN(J740,DATE(Einstellungen!$C$3,7,0)),Einstellungen!$F$13:$F$32)))</f>
        <v/>
      </c>
      <c r="R740" s="49">
        <f>IF(OR(A740="",D740=""),0,MAX(0,NETWORKDAYS(MAX(D740,DATE(Einstellungen!$C$3,7,1)),MIN(J740,DATE(Einstellungen!$C$3,8,0)),Einstellungen!$F$13:$F$32)))</f>
        <v/>
      </c>
      <c r="S740" s="49">
        <f>IF(OR(A740="",D740=""),0,MAX(0,NETWORKDAYS(MAX(D740,DATE(Einstellungen!$C$3,8,1)),MIN(J740,DATE(Einstellungen!$C$3,9,0)),Einstellungen!$F$13:$F$32)))</f>
        <v/>
      </c>
      <c r="T740" s="49">
        <f>IF(OR(A740="",D740=""),0,MAX(0,NETWORKDAYS(MAX(D740,DATE(Einstellungen!$C$3,9,1)),MIN(J740,DATE(Einstellungen!$C$3,10,0)),Einstellungen!$F$13:$F$32)))</f>
        <v/>
      </c>
      <c r="U740" s="49">
        <f>IF(OR(A740="",D740=""),0,MAX(0,NETWORKDAYS(MAX(D740,DATE(Einstellungen!$C$3,10,1)),MIN(J740,DATE(Einstellungen!$C$3,11,0)),Einstellungen!$F$13:$F$32)))</f>
        <v/>
      </c>
      <c r="V740" s="49">
        <f>IF(OR(A740="",D740=""),0,MAX(0,NETWORKDAYS(MAX(D740,DATE(Einstellungen!$C$3,11,1)),MIN(J740,DATE(Einstellungen!$C$3,12,0)),Einstellungen!$F$13:$F$32)))</f>
        <v/>
      </c>
      <c r="W740" s="49">
        <f>IF(OR(A740="",D740=""),0,MAX(0,NETWORKDAYS(MAX(D740,DATE(Einstellungen!$C$3,12,1)),MIN(J740,DATE(Einstellungen!$C$3,13,0)),Einstellungen!$F$13:$F$32)))</f>
        <v/>
      </c>
      <c r="X740" s="50">
        <f>L740*K740</f>
        <v/>
      </c>
      <c r="Y740" s="50">
        <f>M740*K740</f>
        <v/>
      </c>
      <c r="Z740" s="50">
        <f>N740*K740</f>
        <v/>
      </c>
      <c r="AA740" s="50">
        <f>O740*K740</f>
        <v/>
      </c>
      <c r="AB740" s="50">
        <f>P740*K740</f>
        <v/>
      </c>
      <c r="AC740" s="50">
        <f>Q740*K740</f>
        <v/>
      </c>
      <c r="AD740" s="50">
        <f>R740*K740</f>
        <v/>
      </c>
      <c r="AE740" s="50">
        <f>S740*K740</f>
        <v/>
      </c>
      <c r="AF740" s="50">
        <f>T740*K740</f>
        <v/>
      </c>
      <c r="AG740" s="50">
        <f>U740*K740</f>
        <v/>
      </c>
      <c r="AH740" s="50">
        <f>V740*K740</f>
        <v/>
      </c>
      <c r="AI740" s="50">
        <f>W740*K740</f>
        <v/>
      </c>
    </row>
    <row r="741">
      <c r="A741" s="25" t="n"/>
      <c r="B741" s="45">
        <f>IF(A741="","",IFERROR(INDEX(Mitarbeiter!$B$6:$B$205,MATCH($A741,Mitarbeiter!$A$6:$A$205,0)),"?"))</f>
        <v/>
      </c>
      <c r="C741" s="46" t="n"/>
      <c r="D741" s="26" t="n"/>
      <c r="E741" s="26" t="n"/>
      <c r="F741" s="24">
        <f>IF(A741="","",SUM(L741:W741))</f>
        <v/>
      </c>
      <c r="G741" s="36">
        <f>IF(A741="","",SUM(X741:AI741))</f>
        <v/>
      </c>
      <c r="H741" s="8">
        <f>IF(A741="","",IF(ISNA(MATCH(A741,Mitarbeiter!$A$6:$A$205,0)),"Pers.-Nr. unbekannt",IF(D741="","Von fehlt",IF(AND(C741&lt;&gt;Einstellungen!$C$4,C741&lt;&gt;Einstellungen!$C$5),"Objekt fehlt",IF(J741&lt;D741,"Bis vor Von",IF(D741&lt;INDEX(Mitarbeiter!$C$6:$C$205,MATCH($A741,Mitarbeiter!$A$6:$A$205,0)),"vor Eintritt",IF(AND(INDEX(Mitarbeiter!$D$6:$D$205,MATCH($A741,Mitarbeiter!$A$6:$A$205,0))&lt;&gt;"",D741&gt;INDEX(Mitarbeiter!$D$6:$D$205,MATCH($A741,Mitarbeiter!$A$6:$A$205,0))),"nach Austritt",IF(E741="","offen","ok"))))))))</f>
        <v/>
      </c>
      <c r="J741" s="47">
        <f>IF(A741="","",IF(E741="",Einstellungen!$C$9,E741))</f>
        <v/>
      </c>
      <c r="K741" s="48">
        <f>IF(A741="",0,IFERROR(INDEX(Mitarbeiter!$F$6:$F$205,MATCH($A741,Mitarbeiter!$A$6:$A$205,0)),0))</f>
        <v/>
      </c>
      <c r="L741" s="49">
        <f>IF(OR(A741="",D741=""),0,MAX(0,NETWORKDAYS(MAX(D741,DATE(Einstellungen!$C$3,1,1)),MIN(J741,DATE(Einstellungen!$C$3,2,0)),Einstellungen!$F$13:$F$32)))</f>
        <v/>
      </c>
      <c r="M741" s="49">
        <f>IF(OR(A741="",D741=""),0,MAX(0,NETWORKDAYS(MAX(D741,DATE(Einstellungen!$C$3,2,1)),MIN(J741,DATE(Einstellungen!$C$3,3,0)),Einstellungen!$F$13:$F$32)))</f>
        <v/>
      </c>
      <c r="N741" s="49">
        <f>IF(OR(A741="",D741=""),0,MAX(0,NETWORKDAYS(MAX(D741,DATE(Einstellungen!$C$3,3,1)),MIN(J741,DATE(Einstellungen!$C$3,4,0)),Einstellungen!$F$13:$F$32)))</f>
        <v/>
      </c>
      <c r="O741" s="49">
        <f>IF(OR(A741="",D741=""),0,MAX(0,NETWORKDAYS(MAX(D741,DATE(Einstellungen!$C$3,4,1)),MIN(J741,DATE(Einstellungen!$C$3,5,0)),Einstellungen!$F$13:$F$32)))</f>
        <v/>
      </c>
      <c r="P741" s="49">
        <f>IF(OR(A741="",D741=""),0,MAX(0,NETWORKDAYS(MAX(D741,DATE(Einstellungen!$C$3,5,1)),MIN(J741,DATE(Einstellungen!$C$3,6,0)),Einstellungen!$F$13:$F$32)))</f>
        <v/>
      </c>
      <c r="Q741" s="49">
        <f>IF(OR(A741="",D741=""),0,MAX(0,NETWORKDAYS(MAX(D741,DATE(Einstellungen!$C$3,6,1)),MIN(J741,DATE(Einstellungen!$C$3,7,0)),Einstellungen!$F$13:$F$32)))</f>
        <v/>
      </c>
      <c r="R741" s="49">
        <f>IF(OR(A741="",D741=""),0,MAX(0,NETWORKDAYS(MAX(D741,DATE(Einstellungen!$C$3,7,1)),MIN(J741,DATE(Einstellungen!$C$3,8,0)),Einstellungen!$F$13:$F$32)))</f>
        <v/>
      </c>
      <c r="S741" s="49">
        <f>IF(OR(A741="",D741=""),0,MAX(0,NETWORKDAYS(MAX(D741,DATE(Einstellungen!$C$3,8,1)),MIN(J741,DATE(Einstellungen!$C$3,9,0)),Einstellungen!$F$13:$F$32)))</f>
        <v/>
      </c>
      <c r="T741" s="49">
        <f>IF(OR(A741="",D741=""),0,MAX(0,NETWORKDAYS(MAX(D741,DATE(Einstellungen!$C$3,9,1)),MIN(J741,DATE(Einstellungen!$C$3,10,0)),Einstellungen!$F$13:$F$32)))</f>
        <v/>
      </c>
      <c r="U741" s="49">
        <f>IF(OR(A741="",D741=""),0,MAX(0,NETWORKDAYS(MAX(D741,DATE(Einstellungen!$C$3,10,1)),MIN(J741,DATE(Einstellungen!$C$3,11,0)),Einstellungen!$F$13:$F$32)))</f>
        <v/>
      </c>
      <c r="V741" s="49">
        <f>IF(OR(A741="",D741=""),0,MAX(0,NETWORKDAYS(MAX(D741,DATE(Einstellungen!$C$3,11,1)),MIN(J741,DATE(Einstellungen!$C$3,12,0)),Einstellungen!$F$13:$F$32)))</f>
        <v/>
      </c>
      <c r="W741" s="49">
        <f>IF(OR(A741="",D741=""),0,MAX(0,NETWORKDAYS(MAX(D741,DATE(Einstellungen!$C$3,12,1)),MIN(J741,DATE(Einstellungen!$C$3,13,0)),Einstellungen!$F$13:$F$32)))</f>
        <v/>
      </c>
      <c r="X741" s="50">
        <f>L741*K741</f>
        <v/>
      </c>
      <c r="Y741" s="50">
        <f>M741*K741</f>
        <v/>
      </c>
      <c r="Z741" s="50">
        <f>N741*K741</f>
        <v/>
      </c>
      <c r="AA741" s="50">
        <f>O741*K741</f>
        <v/>
      </c>
      <c r="AB741" s="50">
        <f>P741*K741</f>
        <v/>
      </c>
      <c r="AC741" s="50">
        <f>Q741*K741</f>
        <v/>
      </c>
      <c r="AD741" s="50">
        <f>R741*K741</f>
        <v/>
      </c>
      <c r="AE741" s="50">
        <f>S741*K741</f>
        <v/>
      </c>
      <c r="AF741" s="50">
        <f>T741*K741</f>
        <v/>
      </c>
      <c r="AG741" s="50">
        <f>U741*K741</f>
        <v/>
      </c>
      <c r="AH741" s="50">
        <f>V741*K741</f>
        <v/>
      </c>
      <c r="AI741" s="50">
        <f>W741*K741</f>
        <v/>
      </c>
    </row>
    <row r="742">
      <c r="A742" s="25" t="n"/>
      <c r="B742" s="45">
        <f>IF(A742="","",IFERROR(INDEX(Mitarbeiter!$B$6:$B$205,MATCH($A742,Mitarbeiter!$A$6:$A$205,0)),"?"))</f>
        <v/>
      </c>
      <c r="C742" s="46" t="n"/>
      <c r="D742" s="26" t="n"/>
      <c r="E742" s="26" t="n"/>
      <c r="F742" s="24">
        <f>IF(A742="","",SUM(L742:W742))</f>
        <v/>
      </c>
      <c r="G742" s="36">
        <f>IF(A742="","",SUM(X742:AI742))</f>
        <v/>
      </c>
      <c r="H742" s="8">
        <f>IF(A742="","",IF(ISNA(MATCH(A742,Mitarbeiter!$A$6:$A$205,0)),"Pers.-Nr. unbekannt",IF(D742="","Von fehlt",IF(AND(C742&lt;&gt;Einstellungen!$C$4,C742&lt;&gt;Einstellungen!$C$5),"Objekt fehlt",IF(J742&lt;D742,"Bis vor Von",IF(D742&lt;INDEX(Mitarbeiter!$C$6:$C$205,MATCH($A742,Mitarbeiter!$A$6:$A$205,0)),"vor Eintritt",IF(AND(INDEX(Mitarbeiter!$D$6:$D$205,MATCH($A742,Mitarbeiter!$A$6:$A$205,0))&lt;&gt;"",D742&gt;INDEX(Mitarbeiter!$D$6:$D$205,MATCH($A742,Mitarbeiter!$A$6:$A$205,0))),"nach Austritt",IF(E742="","offen","ok"))))))))</f>
        <v/>
      </c>
      <c r="J742" s="47">
        <f>IF(A742="","",IF(E742="",Einstellungen!$C$9,E742))</f>
        <v/>
      </c>
      <c r="K742" s="48">
        <f>IF(A742="",0,IFERROR(INDEX(Mitarbeiter!$F$6:$F$205,MATCH($A742,Mitarbeiter!$A$6:$A$205,0)),0))</f>
        <v/>
      </c>
      <c r="L742" s="49">
        <f>IF(OR(A742="",D742=""),0,MAX(0,NETWORKDAYS(MAX(D742,DATE(Einstellungen!$C$3,1,1)),MIN(J742,DATE(Einstellungen!$C$3,2,0)),Einstellungen!$F$13:$F$32)))</f>
        <v/>
      </c>
      <c r="M742" s="49">
        <f>IF(OR(A742="",D742=""),0,MAX(0,NETWORKDAYS(MAX(D742,DATE(Einstellungen!$C$3,2,1)),MIN(J742,DATE(Einstellungen!$C$3,3,0)),Einstellungen!$F$13:$F$32)))</f>
        <v/>
      </c>
      <c r="N742" s="49">
        <f>IF(OR(A742="",D742=""),0,MAX(0,NETWORKDAYS(MAX(D742,DATE(Einstellungen!$C$3,3,1)),MIN(J742,DATE(Einstellungen!$C$3,4,0)),Einstellungen!$F$13:$F$32)))</f>
        <v/>
      </c>
      <c r="O742" s="49">
        <f>IF(OR(A742="",D742=""),0,MAX(0,NETWORKDAYS(MAX(D742,DATE(Einstellungen!$C$3,4,1)),MIN(J742,DATE(Einstellungen!$C$3,5,0)),Einstellungen!$F$13:$F$32)))</f>
        <v/>
      </c>
      <c r="P742" s="49">
        <f>IF(OR(A742="",D742=""),0,MAX(0,NETWORKDAYS(MAX(D742,DATE(Einstellungen!$C$3,5,1)),MIN(J742,DATE(Einstellungen!$C$3,6,0)),Einstellungen!$F$13:$F$32)))</f>
        <v/>
      </c>
      <c r="Q742" s="49">
        <f>IF(OR(A742="",D742=""),0,MAX(0,NETWORKDAYS(MAX(D742,DATE(Einstellungen!$C$3,6,1)),MIN(J742,DATE(Einstellungen!$C$3,7,0)),Einstellungen!$F$13:$F$32)))</f>
        <v/>
      </c>
      <c r="R742" s="49">
        <f>IF(OR(A742="",D742=""),0,MAX(0,NETWORKDAYS(MAX(D742,DATE(Einstellungen!$C$3,7,1)),MIN(J742,DATE(Einstellungen!$C$3,8,0)),Einstellungen!$F$13:$F$32)))</f>
        <v/>
      </c>
      <c r="S742" s="49">
        <f>IF(OR(A742="",D742=""),0,MAX(0,NETWORKDAYS(MAX(D742,DATE(Einstellungen!$C$3,8,1)),MIN(J742,DATE(Einstellungen!$C$3,9,0)),Einstellungen!$F$13:$F$32)))</f>
        <v/>
      </c>
      <c r="T742" s="49">
        <f>IF(OR(A742="",D742=""),0,MAX(0,NETWORKDAYS(MAX(D742,DATE(Einstellungen!$C$3,9,1)),MIN(J742,DATE(Einstellungen!$C$3,10,0)),Einstellungen!$F$13:$F$32)))</f>
        <v/>
      </c>
      <c r="U742" s="49">
        <f>IF(OR(A742="",D742=""),0,MAX(0,NETWORKDAYS(MAX(D742,DATE(Einstellungen!$C$3,10,1)),MIN(J742,DATE(Einstellungen!$C$3,11,0)),Einstellungen!$F$13:$F$32)))</f>
        <v/>
      </c>
      <c r="V742" s="49">
        <f>IF(OR(A742="",D742=""),0,MAX(0,NETWORKDAYS(MAX(D742,DATE(Einstellungen!$C$3,11,1)),MIN(J742,DATE(Einstellungen!$C$3,12,0)),Einstellungen!$F$13:$F$32)))</f>
        <v/>
      </c>
      <c r="W742" s="49">
        <f>IF(OR(A742="",D742=""),0,MAX(0,NETWORKDAYS(MAX(D742,DATE(Einstellungen!$C$3,12,1)),MIN(J742,DATE(Einstellungen!$C$3,13,0)),Einstellungen!$F$13:$F$32)))</f>
        <v/>
      </c>
      <c r="X742" s="50">
        <f>L742*K742</f>
        <v/>
      </c>
      <c r="Y742" s="50">
        <f>M742*K742</f>
        <v/>
      </c>
      <c r="Z742" s="50">
        <f>N742*K742</f>
        <v/>
      </c>
      <c r="AA742" s="50">
        <f>O742*K742</f>
        <v/>
      </c>
      <c r="AB742" s="50">
        <f>P742*K742</f>
        <v/>
      </c>
      <c r="AC742" s="50">
        <f>Q742*K742</f>
        <v/>
      </c>
      <c r="AD742" s="50">
        <f>R742*K742</f>
        <v/>
      </c>
      <c r="AE742" s="50">
        <f>S742*K742</f>
        <v/>
      </c>
      <c r="AF742" s="50">
        <f>T742*K742</f>
        <v/>
      </c>
      <c r="AG742" s="50">
        <f>U742*K742</f>
        <v/>
      </c>
      <c r="AH742" s="50">
        <f>V742*K742</f>
        <v/>
      </c>
      <c r="AI742" s="50">
        <f>W742*K742</f>
        <v/>
      </c>
    </row>
    <row r="743">
      <c r="A743" s="25" t="n"/>
      <c r="B743" s="45">
        <f>IF(A743="","",IFERROR(INDEX(Mitarbeiter!$B$6:$B$205,MATCH($A743,Mitarbeiter!$A$6:$A$205,0)),"?"))</f>
        <v/>
      </c>
      <c r="C743" s="46" t="n"/>
      <c r="D743" s="26" t="n"/>
      <c r="E743" s="26" t="n"/>
      <c r="F743" s="24">
        <f>IF(A743="","",SUM(L743:W743))</f>
        <v/>
      </c>
      <c r="G743" s="36">
        <f>IF(A743="","",SUM(X743:AI743))</f>
        <v/>
      </c>
      <c r="H743" s="8">
        <f>IF(A743="","",IF(ISNA(MATCH(A743,Mitarbeiter!$A$6:$A$205,0)),"Pers.-Nr. unbekannt",IF(D743="","Von fehlt",IF(AND(C743&lt;&gt;Einstellungen!$C$4,C743&lt;&gt;Einstellungen!$C$5),"Objekt fehlt",IF(J743&lt;D743,"Bis vor Von",IF(D743&lt;INDEX(Mitarbeiter!$C$6:$C$205,MATCH($A743,Mitarbeiter!$A$6:$A$205,0)),"vor Eintritt",IF(AND(INDEX(Mitarbeiter!$D$6:$D$205,MATCH($A743,Mitarbeiter!$A$6:$A$205,0))&lt;&gt;"",D743&gt;INDEX(Mitarbeiter!$D$6:$D$205,MATCH($A743,Mitarbeiter!$A$6:$A$205,0))),"nach Austritt",IF(E743="","offen","ok"))))))))</f>
        <v/>
      </c>
      <c r="J743" s="47">
        <f>IF(A743="","",IF(E743="",Einstellungen!$C$9,E743))</f>
        <v/>
      </c>
      <c r="K743" s="48">
        <f>IF(A743="",0,IFERROR(INDEX(Mitarbeiter!$F$6:$F$205,MATCH($A743,Mitarbeiter!$A$6:$A$205,0)),0))</f>
        <v/>
      </c>
      <c r="L743" s="49">
        <f>IF(OR(A743="",D743=""),0,MAX(0,NETWORKDAYS(MAX(D743,DATE(Einstellungen!$C$3,1,1)),MIN(J743,DATE(Einstellungen!$C$3,2,0)),Einstellungen!$F$13:$F$32)))</f>
        <v/>
      </c>
      <c r="M743" s="49">
        <f>IF(OR(A743="",D743=""),0,MAX(0,NETWORKDAYS(MAX(D743,DATE(Einstellungen!$C$3,2,1)),MIN(J743,DATE(Einstellungen!$C$3,3,0)),Einstellungen!$F$13:$F$32)))</f>
        <v/>
      </c>
      <c r="N743" s="49">
        <f>IF(OR(A743="",D743=""),0,MAX(0,NETWORKDAYS(MAX(D743,DATE(Einstellungen!$C$3,3,1)),MIN(J743,DATE(Einstellungen!$C$3,4,0)),Einstellungen!$F$13:$F$32)))</f>
        <v/>
      </c>
      <c r="O743" s="49">
        <f>IF(OR(A743="",D743=""),0,MAX(0,NETWORKDAYS(MAX(D743,DATE(Einstellungen!$C$3,4,1)),MIN(J743,DATE(Einstellungen!$C$3,5,0)),Einstellungen!$F$13:$F$32)))</f>
        <v/>
      </c>
      <c r="P743" s="49">
        <f>IF(OR(A743="",D743=""),0,MAX(0,NETWORKDAYS(MAX(D743,DATE(Einstellungen!$C$3,5,1)),MIN(J743,DATE(Einstellungen!$C$3,6,0)),Einstellungen!$F$13:$F$32)))</f>
        <v/>
      </c>
      <c r="Q743" s="49">
        <f>IF(OR(A743="",D743=""),0,MAX(0,NETWORKDAYS(MAX(D743,DATE(Einstellungen!$C$3,6,1)),MIN(J743,DATE(Einstellungen!$C$3,7,0)),Einstellungen!$F$13:$F$32)))</f>
        <v/>
      </c>
      <c r="R743" s="49">
        <f>IF(OR(A743="",D743=""),0,MAX(0,NETWORKDAYS(MAX(D743,DATE(Einstellungen!$C$3,7,1)),MIN(J743,DATE(Einstellungen!$C$3,8,0)),Einstellungen!$F$13:$F$32)))</f>
        <v/>
      </c>
      <c r="S743" s="49">
        <f>IF(OR(A743="",D743=""),0,MAX(0,NETWORKDAYS(MAX(D743,DATE(Einstellungen!$C$3,8,1)),MIN(J743,DATE(Einstellungen!$C$3,9,0)),Einstellungen!$F$13:$F$32)))</f>
        <v/>
      </c>
      <c r="T743" s="49">
        <f>IF(OR(A743="",D743=""),0,MAX(0,NETWORKDAYS(MAX(D743,DATE(Einstellungen!$C$3,9,1)),MIN(J743,DATE(Einstellungen!$C$3,10,0)),Einstellungen!$F$13:$F$32)))</f>
        <v/>
      </c>
      <c r="U743" s="49">
        <f>IF(OR(A743="",D743=""),0,MAX(0,NETWORKDAYS(MAX(D743,DATE(Einstellungen!$C$3,10,1)),MIN(J743,DATE(Einstellungen!$C$3,11,0)),Einstellungen!$F$13:$F$32)))</f>
        <v/>
      </c>
      <c r="V743" s="49">
        <f>IF(OR(A743="",D743=""),0,MAX(0,NETWORKDAYS(MAX(D743,DATE(Einstellungen!$C$3,11,1)),MIN(J743,DATE(Einstellungen!$C$3,12,0)),Einstellungen!$F$13:$F$32)))</f>
        <v/>
      </c>
      <c r="W743" s="49">
        <f>IF(OR(A743="",D743=""),0,MAX(0,NETWORKDAYS(MAX(D743,DATE(Einstellungen!$C$3,12,1)),MIN(J743,DATE(Einstellungen!$C$3,13,0)),Einstellungen!$F$13:$F$32)))</f>
        <v/>
      </c>
      <c r="X743" s="50">
        <f>L743*K743</f>
        <v/>
      </c>
      <c r="Y743" s="50">
        <f>M743*K743</f>
        <v/>
      </c>
      <c r="Z743" s="50">
        <f>N743*K743</f>
        <v/>
      </c>
      <c r="AA743" s="50">
        <f>O743*K743</f>
        <v/>
      </c>
      <c r="AB743" s="50">
        <f>P743*K743</f>
        <v/>
      </c>
      <c r="AC743" s="50">
        <f>Q743*K743</f>
        <v/>
      </c>
      <c r="AD743" s="50">
        <f>R743*K743</f>
        <v/>
      </c>
      <c r="AE743" s="50">
        <f>S743*K743</f>
        <v/>
      </c>
      <c r="AF743" s="50">
        <f>T743*K743</f>
        <v/>
      </c>
      <c r="AG743" s="50">
        <f>U743*K743</f>
        <v/>
      </c>
      <c r="AH743" s="50">
        <f>V743*K743</f>
        <v/>
      </c>
      <c r="AI743" s="50">
        <f>W743*K743</f>
        <v/>
      </c>
    </row>
    <row r="744">
      <c r="A744" s="25" t="n"/>
      <c r="B744" s="45">
        <f>IF(A744="","",IFERROR(INDEX(Mitarbeiter!$B$6:$B$205,MATCH($A744,Mitarbeiter!$A$6:$A$205,0)),"?"))</f>
        <v/>
      </c>
      <c r="C744" s="46" t="n"/>
      <c r="D744" s="26" t="n"/>
      <c r="E744" s="26" t="n"/>
      <c r="F744" s="24">
        <f>IF(A744="","",SUM(L744:W744))</f>
        <v/>
      </c>
      <c r="G744" s="36">
        <f>IF(A744="","",SUM(X744:AI744))</f>
        <v/>
      </c>
      <c r="H744" s="8">
        <f>IF(A744="","",IF(ISNA(MATCH(A744,Mitarbeiter!$A$6:$A$205,0)),"Pers.-Nr. unbekannt",IF(D744="","Von fehlt",IF(AND(C744&lt;&gt;Einstellungen!$C$4,C744&lt;&gt;Einstellungen!$C$5),"Objekt fehlt",IF(J744&lt;D744,"Bis vor Von",IF(D744&lt;INDEX(Mitarbeiter!$C$6:$C$205,MATCH($A744,Mitarbeiter!$A$6:$A$205,0)),"vor Eintritt",IF(AND(INDEX(Mitarbeiter!$D$6:$D$205,MATCH($A744,Mitarbeiter!$A$6:$A$205,0))&lt;&gt;"",D744&gt;INDEX(Mitarbeiter!$D$6:$D$205,MATCH($A744,Mitarbeiter!$A$6:$A$205,0))),"nach Austritt",IF(E744="","offen","ok"))))))))</f>
        <v/>
      </c>
      <c r="J744" s="47">
        <f>IF(A744="","",IF(E744="",Einstellungen!$C$9,E744))</f>
        <v/>
      </c>
      <c r="K744" s="48">
        <f>IF(A744="",0,IFERROR(INDEX(Mitarbeiter!$F$6:$F$205,MATCH($A744,Mitarbeiter!$A$6:$A$205,0)),0))</f>
        <v/>
      </c>
      <c r="L744" s="49">
        <f>IF(OR(A744="",D744=""),0,MAX(0,NETWORKDAYS(MAX(D744,DATE(Einstellungen!$C$3,1,1)),MIN(J744,DATE(Einstellungen!$C$3,2,0)),Einstellungen!$F$13:$F$32)))</f>
        <v/>
      </c>
      <c r="M744" s="49">
        <f>IF(OR(A744="",D744=""),0,MAX(0,NETWORKDAYS(MAX(D744,DATE(Einstellungen!$C$3,2,1)),MIN(J744,DATE(Einstellungen!$C$3,3,0)),Einstellungen!$F$13:$F$32)))</f>
        <v/>
      </c>
      <c r="N744" s="49">
        <f>IF(OR(A744="",D744=""),0,MAX(0,NETWORKDAYS(MAX(D744,DATE(Einstellungen!$C$3,3,1)),MIN(J744,DATE(Einstellungen!$C$3,4,0)),Einstellungen!$F$13:$F$32)))</f>
        <v/>
      </c>
      <c r="O744" s="49">
        <f>IF(OR(A744="",D744=""),0,MAX(0,NETWORKDAYS(MAX(D744,DATE(Einstellungen!$C$3,4,1)),MIN(J744,DATE(Einstellungen!$C$3,5,0)),Einstellungen!$F$13:$F$32)))</f>
        <v/>
      </c>
      <c r="P744" s="49">
        <f>IF(OR(A744="",D744=""),0,MAX(0,NETWORKDAYS(MAX(D744,DATE(Einstellungen!$C$3,5,1)),MIN(J744,DATE(Einstellungen!$C$3,6,0)),Einstellungen!$F$13:$F$32)))</f>
        <v/>
      </c>
      <c r="Q744" s="49">
        <f>IF(OR(A744="",D744=""),0,MAX(0,NETWORKDAYS(MAX(D744,DATE(Einstellungen!$C$3,6,1)),MIN(J744,DATE(Einstellungen!$C$3,7,0)),Einstellungen!$F$13:$F$32)))</f>
        <v/>
      </c>
      <c r="R744" s="49">
        <f>IF(OR(A744="",D744=""),0,MAX(0,NETWORKDAYS(MAX(D744,DATE(Einstellungen!$C$3,7,1)),MIN(J744,DATE(Einstellungen!$C$3,8,0)),Einstellungen!$F$13:$F$32)))</f>
        <v/>
      </c>
      <c r="S744" s="49">
        <f>IF(OR(A744="",D744=""),0,MAX(0,NETWORKDAYS(MAX(D744,DATE(Einstellungen!$C$3,8,1)),MIN(J744,DATE(Einstellungen!$C$3,9,0)),Einstellungen!$F$13:$F$32)))</f>
        <v/>
      </c>
      <c r="T744" s="49">
        <f>IF(OR(A744="",D744=""),0,MAX(0,NETWORKDAYS(MAX(D744,DATE(Einstellungen!$C$3,9,1)),MIN(J744,DATE(Einstellungen!$C$3,10,0)),Einstellungen!$F$13:$F$32)))</f>
        <v/>
      </c>
      <c r="U744" s="49">
        <f>IF(OR(A744="",D744=""),0,MAX(0,NETWORKDAYS(MAX(D744,DATE(Einstellungen!$C$3,10,1)),MIN(J744,DATE(Einstellungen!$C$3,11,0)),Einstellungen!$F$13:$F$32)))</f>
        <v/>
      </c>
      <c r="V744" s="49">
        <f>IF(OR(A744="",D744=""),0,MAX(0,NETWORKDAYS(MAX(D744,DATE(Einstellungen!$C$3,11,1)),MIN(J744,DATE(Einstellungen!$C$3,12,0)),Einstellungen!$F$13:$F$32)))</f>
        <v/>
      </c>
      <c r="W744" s="49">
        <f>IF(OR(A744="",D744=""),0,MAX(0,NETWORKDAYS(MAX(D744,DATE(Einstellungen!$C$3,12,1)),MIN(J744,DATE(Einstellungen!$C$3,13,0)),Einstellungen!$F$13:$F$32)))</f>
        <v/>
      </c>
      <c r="X744" s="50">
        <f>L744*K744</f>
        <v/>
      </c>
      <c r="Y744" s="50">
        <f>M744*K744</f>
        <v/>
      </c>
      <c r="Z744" s="50">
        <f>N744*K744</f>
        <v/>
      </c>
      <c r="AA744" s="50">
        <f>O744*K744</f>
        <v/>
      </c>
      <c r="AB744" s="50">
        <f>P744*K744</f>
        <v/>
      </c>
      <c r="AC744" s="50">
        <f>Q744*K744</f>
        <v/>
      </c>
      <c r="AD744" s="50">
        <f>R744*K744</f>
        <v/>
      </c>
      <c r="AE744" s="50">
        <f>S744*K744</f>
        <v/>
      </c>
      <c r="AF744" s="50">
        <f>T744*K744</f>
        <v/>
      </c>
      <c r="AG744" s="50">
        <f>U744*K744</f>
        <v/>
      </c>
      <c r="AH744" s="50">
        <f>V744*K744</f>
        <v/>
      </c>
      <c r="AI744" s="50">
        <f>W744*K744</f>
        <v/>
      </c>
    </row>
    <row r="745">
      <c r="A745" s="25" t="n"/>
      <c r="B745" s="45">
        <f>IF(A745="","",IFERROR(INDEX(Mitarbeiter!$B$6:$B$205,MATCH($A745,Mitarbeiter!$A$6:$A$205,0)),"?"))</f>
        <v/>
      </c>
      <c r="C745" s="46" t="n"/>
      <c r="D745" s="26" t="n"/>
      <c r="E745" s="26" t="n"/>
      <c r="F745" s="24">
        <f>IF(A745="","",SUM(L745:W745))</f>
        <v/>
      </c>
      <c r="G745" s="36">
        <f>IF(A745="","",SUM(X745:AI745))</f>
        <v/>
      </c>
      <c r="H745" s="8">
        <f>IF(A745="","",IF(ISNA(MATCH(A745,Mitarbeiter!$A$6:$A$205,0)),"Pers.-Nr. unbekannt",IF(D745="","Von fehlt",IF(AND(C745&lt;&gt;Einstellungen!$C$4,C745&lt;&gt;Einstellungen!$C$5),"Objekt fehlt",IF(J745&lt;D745,"Bis vor Von",IF(D745&lt;INDEX(Mitarbeiter!$C$6:$C$205,MATCH($A745,Mitarbeiter!$A$6:$A$205,0)),"vor Eintritt",IF(AND(INDEX(Mitarbeiter!$D$6:$D$205,MATCH($A745,Mitarbeiter!$A$6:$A$205,0))&lt;&gt;"",D745&gt;INDEX(Mitarbeiter!$D$6:$D$205,MATCH($A745,Mitarbeiter!$A$6:$A$205,0))),"nach Austritt",IF(E745="","offen","ok"))))))))</f>
        <v/>
      </c>
      <c r="J745" s="47">
        <f>IF(A745="","",IF(E745="",Einstellungen!$C$9,E745))</f>
        <v/>
      </c>
      <c r="K745" s="48">
        <f>IF(A745="",0,IFERROR(INDEX(Mitarbeiter!$F$6:$F$205,MATCH($A745,Mitarbeiter!$A$6:$A$205,0)),0))</f>
        <v/>
      </c>
      <c r="L745" s="49">
        <f>IF(OR(A745="",D745=""),0,MAX(0,NETWORKDAYS(MAX(D745,DATE(Einstellungen!$C$3,1,1)),MIN(J745,DATE(Einstellungen!$C$3,2,0)),Einstellungen!$F$13:$F$32)))</f>
        <v/>
      </c>
      <c r="M745" s="49">
        <f>IF(OR(A745="",D745=""),0,MAX(0,NETWORKDAYS(MAX(D745,DATE(Einstellungen!$C$3,2,1)),MIN(J745,DATE(Einstellungen!$C$3,3,0)),Einstellungen!$F$13:$F$32)))</f>
        <v/>
      </c>
      <c r="N745" s="49">
        <f>IF(OR(A745="",D745=""),0,MAX(0,NETWORKDAYS(MAX(D745,DATE(Einstellungen!$C$3,3,1)),MIN(J745,DATE(Einstellungen!$C$3,4,0)),Einstellungen!$F$13:$F$32)))</f>
        <v/>
      </c>
      <c r="O745" s="49">
        <f>IF(OR(A745="",D745=""),0,MAX(0,NETWORKDAYS(MAX(D745,DATE(Einstellungen!$C$3,4,1)),MIN(J745,DATE(Einstellungen!$C$3,5,0)),Einstellungen!$F$13:$F$32)))</f>
        <v/>
      </c>
      <c r="P745" s="49">
        <f>IF(OR(A745="",D745=""),0,MAX(0,NETWORKDAYS(MAX(D745,DATE(Einstellungen!$C$3,5,1)),MIN(J745,DATE(Einstellungen!$C$3,6,0)),Einstellungen!$F$13:$F$32)))</f>
        <v/>
      </c>
      <c r="Q745" s="49">
        <f>IF(OR(A745="",D745=""),0,MAX(0,NETWORKDAYS(MAX(D745,DATE(Einstellungen!$C$3,6,1)),MIN(J745,DATE(Einstellungen!$C$3,7,0)),Einstellungen!$F$13:$F$32)))</f>
        <v/>
      </c>
      <c r="R745" s="49">
        <f>IF(OR(A745="",D745=""),0,MAX(0,NETWORKDAYS(MAX(D745,DATE(Einstellungen!$C$3,7,1)),MIN(J745,DATE(Einstellungen!$C$3,8,0)),Einstellungen!$F$13:$F$32)))</f>
        <v/>
      </c>
      <c r="S745" s="49">
        <f>IF(OR(A745="",D745=""),0,MAX(0,NETWORKDAYS(MAX(D745,DATE(Einstellungen!$C$3,8,1)),MIN(J745,DATE(Einstellungen!$C$3,9,0)),Einstellungen!$F$13:$F$32)))</f>
        <v/>
      </c>
      <c r="T745" s="49">
        <f>IF(OR(A745="",D745=""),0,MAX(0,NETWORKDAYS(MAX(D745,DATE(Einstellungen!$C$3,9,1)),MIN(J745,DATE(Einstellungen!$C$3,10,0)),Einstellungen!$F$13:$F$32)))</f>
        <v/>
      </c>
      <c r="U745" s="49">
        <f>IF(OR(A745="",D745=""),0,MAX(0,NETWORKDAYS(MAX(D745,DATE(Einstellungen!$C$3,10,1)),MIN(J745,DATE(Einstellungen!$C$3,11,0)),Einstellungen!$F$13:$F$32)))</f>
        <v/>
      </c>
      <c r="V745" s="49">
        <f>IF(OR(A745="",D745=""),0,MAX(0,NETWORKDAYS(MAX(D745,DATE(Einstellungen!$C$3,11,1)),MIN(J745,DATE(Einstellungen!$C$3,12,0)),Einstellungen!$F$13:$F$32)))</f>
        <v/>
      </c>
      <c r="W745" s="49">
        <f>IF(OR(A745="",D745=""),0,MAX(0,NETWORKDAYS(MAX(D745,DATE(Einstellungen!$C$3,12,1)),MIN(J745,DATE(Einstellungen!$C$3,13,0)),Einstellungen!$F$13:$F$32)))</f>
        <v/>
      </c>
      <c r="X745" s="50">
        <f>L745*K745</f>
        <v/>
      </c>
      <c r="Y745" s="50">
        <f>M745*K745</f>
        <v/>
      </c>
      <c r="Z745" s="50">
        <f>N745*K745</f>
        <v/>
      </c>
      <c r="AA745" s="50">
        <f>O745*K745</f>
        <v/>
      </c>
      <c r="AB745" s="50">
        <f>P745*K745</f>
        <v/>
      </c>
      <c r="AC745" s="50">
        <f>Q745*K745</f>
        <v/>
      </c>
      <c r="AD745" s="50">
        <f>R745*K745</f>
        <v/>
      </c>
      <c r="AE745" s="50">
        <f>S745*K745</f>
        <v/>
      </c>
      <c r="AF745" s="50">
        <f>T745*K745</f>
        <v/>
      </c>
      <c r="AG745" s="50">
        <f>U745*K745</f>
        <v/>
      </c>
      <c r="AH745" s="50">
        <f>V745*K745</f>
        <v/>
      </c>
      <c r="AI745" s="50">
        <f>W745*K745</f>
        <v/>
      </c>
    </row>
    <row r="746">
      <c r="A746" s="25" t="n"/>
      <c r="B746" s="45">
        <f>IF(A746="","",IFERROR(INDEX(Mitarbeiter!$B$6:$B$205,MATCH($A746,Mitarbeiter!$A$6:$A$205,0)),"?"))</f>
        <v/>
      </c>
      <c r="C746" s="46" t="n"/>
      <c r="D746" s="26" t="n"/>
      <c r="E746" s="26" t="n"/>
      <c r="F746" s="24">
        <f>IF(A746="","",SUM(L746:W746))</f>
        <v/>
      </c>
      <c r="G746" s="36">
        <f>IF(A746="","",SUM(X746:AI746))</f>
        <v/>
      </c>
      <c r="H746" s="8">
        <f>IF(A746="","",IF(ISNA(MATCH(A746,Mitarbeiter!$A$6:$A$205,0)),"Pers.-Nr. unbekannt",IF(D746="","Von fehlt",IF(AND(C746&lt;&gt;Einstellungen!$C$4,C746&lt;&gt;Einstellungen!$C$5),"Objekt fehlt",IF(J746&lt;D746,"Bis vor Von",IF(D746&lt;INDEX(Mitarbeiter!$C$6:$C$205,MATCH($A746,Mitarbeiter!$A$6:$A$205,0)),"vor Eintritt",IF(AND(INDEX(Mitarbeiter!$D$6:$D$205,MATCH($A746,Mitarbeiter!$A$6:$A$205,0))&lt;&gt;"",D746&gt;INDEX(Mitarbeiter!$D$6:$D$205,MATCH($A746,Mitarbeiter!$A$6:$A$205,0))),"nach Austritt",IF(E746="","offen","ok"))))))))</f>
        <v/>
      </c>
      <c r="J746" s="47">
        <f>IF(A746="","",IF(E746="",Einstellungen!$C$9,E746))</f>
        <v/>
      </c>
      <c r="K746" s="48">
        <f>IF(A746="",0,IFERROR(INDEX(Mitarbeiter!$F$6:$F$205,MATCH($A746,Mitarbeiter!$A$6:$A$205,0)),0))</f>
        <v/>
      </c>
      <c r="L746" s="49">
        <f>IF(OR(A746="",D746=""),0,MAX(0,NETWORKDAYS(MAX(D746,DATE(Einstellungen!$C$3,1,1)),MIN(J746,DATE(Einstellungen!$C$3,2,0)),Einstellungen!$F$13:$F$32)))</f>
        <v/>
      </c>
      <c r="M746" s="49">
        <f>IF(OR(A746="",D746=""),0,MAX(0,NETWORKDAYS(MAX(D746,DATE(Einstellungen!$C$3,2,1)),MIN(J746,DATE(Einstellungen!$C$3,3,0)),Einstellungen!$F$13:$F$32)))</f>
        <v/>
      </c>
      <c r="N746" s="49">
        <f>IF(OR(A746="",D746=""),0,MAX(0,NETWORKDAYS(MAX(D746,DATE(Einstellungen!$C$3,3,1)),MIN(J746,DATE(Einstellungen!$C$3,4,0)),Einstellungen!$F$13:$F$32)))</f>
        <v/>
      </c>
      <c r="O746" s="49">
        <f>IF(OR(A746="",D746=""),0,MAX(0,NETWORKDAYS(MAX(D746,DATE(Einstellungen!$C$3,4,1)),MIN(J746,DATE(Einstellungen!$C$3,5,0)),Einstellungen!$F$13:$F$32)))</f>
        <v/>
      </c>
      <c r="P746" s="49">
        <f>IF(OR(A746="",D746=""),0,MAX(0,NETWORKDAYS(MAX(D746,DATE(Einstellungen!$C$3,5,1)),MIN(J746,DATE(Einstellungen!$C$3,6,0)),Einstellungen!$F$13:$F$32)))</f>
        <v/>
      </c>
      <c r="Q746" s="49">
        <f>IF(OR(A746="",D746=""),0,MAX(0,NETWORKDAYS(MAX(D746,DATE(Einstellungen!$C$3,6,1)),MIN(J746,DATE(Einstellungen!$C$3,7,0)),Einstellungen!$F$13:$F$32)))</f>
        <v/>
      </c>
      <c r="R746" s="49">
        <f>IF(OR(A746="",D746=""),0,MAX(0,NETWORKDAYS(MAX(D746,DATE(Einstellungen!$C$3,7,1)),MIN(J746,DATE(Einstellungen!$C$3,8,0)),Einstellungen!$F$13:$F$32)))</f>
        <v/>
      </c>
      <c r="S746" s="49">
        <f>IF(OR(A746="",D746=""),0,MAX(0,NETWORKDAYS(MAX(D746,DATE(Einstellungen!$C$3,8,1)),MIN(J746,DATE(Einstellungen!$C$3,9,0)),Einstellungen!$F$13:$F$32)))</f>
        <v/>
      </c>
      <c r="T746" s="49">
        <f>IF(OR(A746="",D746=""),0,MAX(0,NETWORKDAYS(MAX(D746,DATE(Einstellungen!$C$3,9,1)),MIN(J746,DATE(Einstellungen!$C$3,10,0)),Einstellungen!$F$13:$F$32)))</f>
        <v/>
      </c>
      <c r="U746" s="49">
        <f>IF(OR(A746="",D746=""),0,MAX(0,NETWORKDAYS(MAX(D746,DATE(Einstellungen!$C$3,10,1)),MIN(J746,DATE(Einstellungen!$C$3,11,0)),Einstellungen!$F$13:$F$32)))</f>
        <v/>
      </c>
      <c r="V746" s="49">
        <f>IF(OR(A746="",D746=""),0,MAX(0,NETWORKDAYS(MAX(D746,DATE(Einstellungen!$C$3,11,1)),MIN(J746,DATE(Einstellungen!$C$3,12,0)),Einstellungen!$F$13:$F$32)))</f>
        <v/>
      </c>
      <c r="W746" s="49">
        <f>IF(OR(A746="",D746=""),0,MAX(0,NETWORKDAYS(MAX(D746,DATE(Einstellungen!$C$3,12,1)),MIN(J746,DATE(Einstellungen!$C$3,13,0)),Einstellungen!$F$13:$F$32)))</f>
        <v/>
      </c>
      <c r="X746" s="50">
        <f>L746*K746</f>
        <v/>
      </c>
      <c r="Y746" s="50">
        <f>M746*K746</f>
        <v/>
      </c>
      <c r="Z746" s="50">
        <f>N746*K746</f>
        <v/>
      </c>
      <c r="AA746" s="50">
        <f>O746*K746</f>
        <v/>
      </c>
      <c r="AB746" s="50">
        <f>P746*K746</f>
        <v/>
      </c>
      <c r="AC746" s="50">
        <f>Q746*K746</f>
        <v/>
      </c>
      <c r="AD746" s="50">
        <f>R746*K746</f>
        <v/>
      </c>
      <c r="AE746" s="50">
        <f>S746*K746</f>
        <v/>
      </c>
      <c r="AF746" s="50">
        <f>T746*K746</f>
        <v/>
      </c>
      <c r="AG746" s="50">
        <f>U746*K746</f>
        <v/>
      </c>
      <c r="AH746" s="50">
        <f>V746*K746</f>
        <v/>
      </c>
      <c r="AI746" s="50">
        <f>W746*K746</f>
        <v/>
      </c>
    </row>
    <row r="747">
      <c r="A747" s="25" t="n"/>
      <c r="B747" s="45">
        <f>IF(A747="","",IFERROR(INDEX(Mitarbeiter!$B$6:$B$205,MATCH($A747,Mitarbeiter!$A$6:$A$205,0)),"?"))</f>
        <v/>
      </c>
      <c r="C747" s="46" t="n"/>
      <c r="D747" s="26" t="n"/>
      <c r="E747" s="26" t="n"/>
      <c r="F747" s="24">
        <f>IF(A747="","",SUM(L747:W747))</f>
        <v/>
      </c>
      <c r="G747" s="36">
        <f>IF(A747="","",SUM(X747:AI747))</f>
        <v/>
      </c>
      <c r="H747" s="8">
        <f>IF(A747="","",IF(ISNA(MATCH(A747,Mitarbeiter!$A$6:$A$205,0)),"Pers.-Nr. unbekannt",IF(D747="","Von fehlt",IF(AND(C747&lt;&gt;Einstellungen!$C$4,C747&lt;&gt;Einstellungen!$C$5),"Objekt fehlt",IF(J747&lt;D747,"Bis vor Von",IF(D747&lt;INDEX(Mitarbeiter!$C$6:$C$205,MATCH($A747,Mitarbeiter!$A$6:$A$205,0)),"vor Eintritt",IF(AND(INDEX(Mitarbeiter!$D$6:$D$205,MATCH($A747,Mitarbeiter!$A$6:$A$205,0))&lt;&gt;"",D747&gt;INDEX(Mitarbeiter!$D$6:$D$205,MATCH($A747,Mitarbeiter!$A$6:$A$205,0))),"nach Austritt",IF(E747="","offen","ok"))))))))</f>
        <v/>
      </c>
      <c r="J747" s="47">
        <f>IF(A747="","",IF(E747="",Einstellungen!$C$9,E747))</f>
        <v/>
      </c>
      <c r="K747" s="48">
        <f>IF(A747="",0,IFERROR(INDEX(Mitarbeiter!$F$6:$F$205,MATCH($A747,Mitarbeiter!$A$6:$A$205,0)),0))</f>
        <v/>
      </c>
      <c r="L747" s="49">
        <f>IF(OR(A747="",D747=""),0,MAX(0,NETWORKDAYS(MAX(D747,DATE(Einstellungen!$C$3,1,1)),MIN(J747,DATE(Einstellungen!$C$3,2,0)),Einstellungen!$F$13:$F$32)))</f>
        <v/>
      </c>
      <c r="M747" s="49">
        <f>IF(OR(A747="",D747=""),0,MAX(0,NETWORKDAYS(MAX(D747,DATE(Einstellungen!$C$3,2,1)),MIN(J747,DATE(Einstellungen!$C$3,3,0)),Einstellungen!$F$13:$F$32)))</f>
        <v/>
      </c>
      <c r="N747" s="49">
        <f>IF(OR(A747="",D747=""),0,MAX(0,NETWORKDAYS(MAX(D747,DATE(Einstellungen!$C$3,3,1)),MIN(J747,DATE(Einstellungen!$C$3,4,0)),Einstellungen!$F$13:$F$32)))</f>
        <v/>
      </c>
      <c r="O747" s="49">
        <f>IF(OR(A747="",D747=""),0,MAX(0,NETWORKDAYS(MAX(D747,DATE(Einstellungen!$C$3,4,1)),MIN(J747,DATE(Einstellungen!$C$3,5,0)),Einstellungen!$F$13:$F$32)))</f>
        <v/>
      </c>
      <c r="P747" s="49">
        <f>IF(OR(A747="",D747=""),0,MAX(0,NETWORKDAYS(MAX(D747,DATE(Einstellungen!$C$3,5,1)),MIN(J747,DATE(Einstellungen!$C$3,6,0)),Einstellungen!$F$13:$F$32)))</f>
        <v/>
      </c>
      <c r="Q747" s="49">
        <f>IF(OR(A747="",D747=""),0,MAX(0,NETWORKDAYS(MAX(D747,DATE(Einstellungen!$C$3,6,1)),MIN(J747,DATE(Einstellungen!$C$3,7,0)),Einstellungen!$F$13:$F$32)))</f>
        <v/>
      </c>
      <c r="R747" s="49">
        <f>IF(OR(A747="",D747=""),0,MAX(0,NETWORKDAYS(MAX(D747,DATE(Einstellungen!$C$3,7,1)),MIN(J747,DATE(Einstellungen!$C$3,8,0)),Einstellungen!$F$13:$F$32)))</f>
        <v/>
      </c>
      <c r="S747" s="49">
        <f>IF(OR(A747="",D747=""),0,MAX(0,NETWORKDAYS(MAX(D747,DATE(Einstellungen!$C$3,8,1)),MIN(J747,DATE(Einstellungen!$C$3,9,0)),Einstellungen!$F$13:$F$32)))</f>
        <v/>
      </c>
      <c r="T747" s="49">
        <f>IF(OR(A747="",D747=""),0,MAX(0,NETWORKDAYS(MAX(D747,DATE(Einstellungen!$C$3,9,1)),MIN(J747,DATE(Einstellungen!$C$3,10,0)),Einstellungen!$F$13:$F$32)))</f>
        <v/>
      </c>
      <c r="U747" s="49">
        <f>IF(OR(A747="",D747=""),0,MAX(0,NETWORKDAYS(MAX(D747,DATE(Einstellungen!$C$3,10,1)),MIN(J747,DATE(Einstellungen!$C$3,11,0)),Einstellungen!$F$13:$F$32)))</f>
        <v/>
      </c>
      <c r="V747" s="49">
        <f>IF(OR(A747="",D747=""),0,MAX(0,NETWORKDAYS(MAX(D747,DATE(Einstellungen!$C$3,11,1)),MIN(J747,DATE(Einstellungen!$C$3,12,0)),Einstellungen!$F$13:$F$32)))</f>
        <v/>
      </c>
      <c r="W747" s="49">
        <f>IF(OR(A747="",D747=""),0,MAX(0,NETWORKDAYS(MAX(D747,DATE(Einstellungen!$C$3,12,1)),MIN(J747,DATE(Einstellungen!$C$3,13,0)),Einstellungen!$F$13:$F$32)))</f>
        <v/>
      </c>
      <c r="X747" s="50">
        <f>L747*K747</f>
        <v/>
      </c>
      <c r="Y747" s="50">
        <f>M747*K747</f>
        <v/>
      </c>
      <c r="Z747" s="50">
        <f>N747*K747</f>
        <v/>
      </c>
      <c r="AA747" s="50">
        <f>O747*K747</f>
        <v/>
      </c>
      <c r="AB747" s="50">
        <f>P747*K747</f>
        <v/>
      </c>
      <c r="AC747" s="50">
        <f>Q747*K747</f>
        <v/>
      </c>
      <c r="AD747" s="50">
        <f>R747*K747</f>
        <v/>
      </c>
      <c r="AE747" s="50">
        <f>S747*K747</f>
        <v/>
      </c>
      <c r="AF747" s="50">
        <f>T747*K747</f>
        <v/>
      </c>
      <c r="AG747" s="50">
        <f>U747*K747</f>
        <v/>
      </c>
      <c r="AH747" s="50">
        <f>V747*K747</f>
        <v/>
      </c>
      <c r="AI747" s="50">
        <f>W747*K747</f>
        <v/>
      </c>
    </row>
    <row r="748">
      <c r="A748" s="25" t="n"/>
      <c r="B748" s="45">
        <f>IF(A748="","",IFERROR(INDEX(Mitarbeiter!$B$6:$B$205,MATCH($A748,Mitarbeiter!$A$6:$A$205,0)),"?"))</f>
        <v/>
      </c>
      <c r="C748" s="46" t="n"/>
      <c r="D748" s="26" t="n"/>
      <c r="E748" s="26" t="n"/>
      <c r="F748" s="24">
        <f>IF(A748="","",SUM(L748:W748))</f>
        <v/>
      </c>
      <c r="G748" s="36">
        <f>IF(A748="","",SUM(X748:AI748))</f>
        <v/>
      </c>
      <c r="H748" s="8">
        <f>IF(A748="","",IF(ISNA(MATCH(A748,Mitarbeiter!$A$6:$A$205,0)),"Pers.-Nr. unbekannt",IF(D748="","Von fehlt",IF(AND(C748&lt;&gt;Einstellungen!$C$4,C748&lt;&gt;Einstellungen!$C$5),"Objekt fehlt",IF(J748&lt;D748,"Bis vor Von",IF(D748&lt;INDEX(Mitarbeiter!$C$6:$C$205,MATCH($A748,Mitarbeiter!$A$6:$A$205,0)),"vor Eintritt",IF(AND(INDEX(Mitarbeiter!$D$6:$D$205,MATCH($A748,Mitarbeiter!$A$6:$A$205,0))&lt;&gt;"",D748&gt;INDEX(Mitarbeiter!$D$6:$D$205,MATCH($A748,Mitarbeiter!$A$6:$A$205,0))),"nach Austritt",IF(E748="","offen","ok"))))))))</f>
        <v/>
      </c>
      <c r="J748" s="47">
        <f>IF(A748="","",IF(E748="",Einstellungen!$C$9,E748))</f>
        <v/>
      </c>
      <c r="K748" s="48">
        <f>IF(A748="",0,IFERROR(INDEX(Mitarbeiter!$F$6:$F$205,MATCH($A748,Mitarbeiter!$A$6:$A$205,0)),0))</f>
        <v/>
      </c>
      <c r="L748" s="49">
        <f>IF(OR(A748="",D748=""),0,MAX(0,NETWORKDAYS(MAX(D748,DATE(Einstellungen!$C$3,1,1)),MIN(J748,DATE(Einstellungen!$C$3,2,0)),Einstellungen!$F$13:$F$32)))</f>
        <v/>
      </c>
      <c r="M748" s="49">
        <f>IF(OR(A748="",D748=""),0,MAX(0,NETWORKDAYS(MAX(D748,DATE(Einstellungen!$C$3,2,1)),MIN(J748,DATE(Einstellungen!$C$3,3,0)),Einstellungen!$F$13:$F$32)))</f>
        <v/>
      </c>
      <c r="N748" s="49">
        <f>IF(OR(A748="",D748=""),0,MAX(0,NETWORKDAYS(MAX(D748,DATE(Einstellungen!$C$3,3,1)),MIN(J748,DATE(Einstellungen!$C$3,4,0)),Einstellungen!$F$13:$F$32)))</f>
        <v/>
      </c>
      <c r="O748" s="49">
        <f>IF(OR(A748="",D748=""),0,MAX(0,NETWORKDAYS(MAX(D748,DATE(Einstellungen!$C$3,4,1)),MIN(J748,DATE(Einstellungen!$C$3,5,0)),Einstellungen!$F$13:$F$32)))</f>
        <v/>
      </c>
      <c r="P748" s="49">
        <f>IF(OR(A748="",D748=""),0,MAX(0,NETWORKDAYS(MAX(D748,DATE(Einstellungen!$C$3,5,1)),MIN(J748,DATE(Einstellungen!$C$3,6,0)),Einstellungen!$F$13:$F$32)))</f>
        <v/>
      </c>
      <c r="Q748" s="49">
        <f>IF(OR(A748="",D748=""),0,MAX(0,NETWORKDAYS(MAX(D748,DATE(Einstellungen!$C$3,6,1)),MIN(J748,DATE(Einstellungen!$C$3,7,0)),Einstellungen!$F$13:$F$32)))</f>
        <v/>
      </c>
      <c r="R748" s="49">
        <f>IF(OR(A748="",D748=""),0,MAX(0,NETWORKDAYS(MAX(D748,DATE(Einstellungen!$C$3,7,1)),MIN(J748,DATE(Einstellungen!$C$3,8,0)),Einstellungen!$F$13:$F$32)))</f>
        <v/>
      </c>
      <c r="S748" s="49">
        <f>IF(OR(A748="",D748=""),0,MAX(0,NETWORKDAYS(MAX(D748,DATE(Einstellungen!$C$3,8,1)),MIN(J748,DATE(Einstellungen!$C$3,9,0)),Einstellungen!$F$13:$F$32)))</f>
        <v/>
      </c>
      <c r="T748" s="49">
        <f>IF(OR(A748="",D748=""),0,MAX(0,NETWORKDAYS(MAX(D748,DATE(Einstellungen!$C$3,9,1)),MIN(J748,DATE(Einstellungen!$C$3,10,0)),Einstellungen!$F$13:$F$32)))</f>
        <v/>
      </c>
      <c r="U748" s="49">
        <f>IF(OR(A748="",D748=""),0,MAX(0,NETWORKDAYS(MAX(D748,DATE(Einstellungen!$C$3,10,1)),MIN(J748,DATE(Einstellungen!$C$3,11,0)),Einstellungen!$F$13:$F$32)))</f>
        <v/>
      </c>
      <c r="V748" s="49">
        <f>IF(OR(A748="",D748=""),0,MAX(0,NETWORKDAYS(MAX(D748,DATE(Einstellungen!$C$3,11,1)),MIN(J748,DATE(Einstellungen!$C$3,12,0)),Einstellungen!$F$13:$F$32)))</f>
        <v/>
      </c>
      <c r="W748" s="49">
        <f>IF(OR(A748="",D748=""),0,MAX(0,NETWORKDAYS(MAX(D748,DATE(Einstellungen!$C$3,12,1)),MIN(J748,DATE(Einstellungen!$C$3,13,0)),Einstellungen!$F$13:$F$32)))</f>
        <v/>
      </c>
      <c r="X748" s="50">
        <f>L748*K748</f>
        <v/>
      </c>
      <c r="Y748" s="50">
        <f>M748*K748</f>
        <v/>
      </c>
      <c r="Z748" s="50">
        <f>N748*K748</f>
        <v/>
      </c>
      <c r="AA748" s="50">
        <f>O748*K748</f>
        <v/>
      </c>
      <c r="AB748" s="50">
        <f>P748*K748</f>
        <v/>
      </c>
      <c r="AC748" s="50">
        <f>Q748*K748</f>
        <v/>
      </c>
      <c r="AD748" s="50">
        <f>R748*K748</f>
        <v/>
      </c>
      <c r="AE748" s="50">
        <f>S748*K748</f>
        <v/>
      </c>
      <c r="AF748" s="50">
        <f>T748*K748</f>
        <v/>
      </c>
      <c r="AG748" s="50">
        <f>U748*K748</f>
        <v/>
      </c>
      <c r="AH748" s="50">
        <f>V748*K748</f>
        <v/>
      </c>
      <c r="AI748" s="50">
        <f>W748*K748</f>
        <v/>
      </c>
    </row>
    <row r="749">
      <c r="A749" s="25" t="n"/>
      <c r="B749" s="45">
        <f>IF(A749="","",IFERROR(INDEX(Mitarbeiter!$B$6:$B$205,MATCH($A749,Mitarbeiter!$A$6:$A$205,0)),"?"))</f>
        <v/>
      </c>
      <c r="C749" s="46" t="n"/>
      <c r="D749" s="26" t="n"/>
      <c r="E749" s="26" t="n"/>
      <c r="F749" s="24">
        <f>IF(A749="","",SUM(L749:W749))</f>
        <v/>
      </c>
      <c r="G749" s="36">
        <f>IF(A749="","",SUM(X749:AI749))</f>
        <v/>
      </c>
      <c r="H749" s="8">
        <f>IF(A749="","",IF(ISNA(MATCH(A749,Mitarbeiter!$A$6:$A$205,0)),"Pers.-Nr. unbekannt",IF(D749="","Von fehlt",IF(AND(C749&lt;&gt;Einstellungen!$C$4,C749&lt;&gt;Einstellungen!$C$5),"Objekt fehlt",IF(J749&lt;D749,"Bis vor Von",IF(D749&lt;INDEX(Mitarbeiter!$C$6:$C$205,MATCH($A749,Mitarbeiter!$A$6:$A$205,0)),"vor Eintritt",IF(AND(INDEX(Mitarbeiter!$D$6:$D$205,MATCH($A749,Mitarbeiter!$A$6:$A$205,0))&lt;&gt;"",D749&gt;INDEX(Mitarbeiter!$D$6:$D$205,MATCH($A749,Mitarbeiter!$A$6:$A$205,0))),"nach Austritt",IF(E749="","offen","ok"))))))))</f>
        <v/>
      </c>
      <c r="J749" s="47">
        <f>IF(A749="","",IF(E749="",Einstellungen!$C$9,E749))</f>
        <v/>
      </c>
      <c r="K749" s="48">
        <f>IF(A749="",0,IFERROR(INDEX(Mitarbeiter!$F$6:$F$205,MATCH($A749,Mitarbeiter!$A$6:$A$205,0)),0))</f>
        <v/>
      </c>
      <c r="L749" s="49">
        <f>IF(OR(A749="",D749=""),0,MAX(0,NETWORKDAYS(MAX(D749,DATE(Einstellungen!$C$3,1,1)),MIN(J749,DATE(Einstellungen!$C$3,2,0)),Einstellungen!$F$13:$F$32)))</f>
        <v/>
      </c>
      <c r="M749" s="49">
        <f>IF(OR(A749="",D749=""),0,MAX(0,NETWORKDAYS(MAX(D749,DATE(Einstellungen!$C$3,2,1)),MIN(J749,DATE(Einstellungen!$C$3,3,0)),Einstellungen!$F$13:$F$32)))</f>
        <v/>
      </c>
      <c r="N749" s="49">
        <f>IF(OR(A749="",D749=""),0,MAX(0,NETWORKDAYS(MAX(D749,DATE(Einstellungen!$C$3,3,1)),MIN(J749,DATE(Einstellungen!$C$3,4,0)),Einstellungen!$F$13:$F$32)))</f>
        <v/>
      </c>
      <c r="O749" s="49">
        <f>IF(OR(A749="",D749=""),0,MAX(0,NETWORKDAYS(MAX(D749,DATE(Einstellungen!$C$3,4,1)),MIN(J749,DATE(Einstellungen!$C$3,5,0)),Einstellungen!$F$13:$F$32)))</f>
        <v/>
      </c>
      <c r="P749" s="49">
        <f>IF(OR(A749="",D749=""),0,MAX(0,NETWORKDAYS(MAX(D749,DATE(Einstellungen!$C$3,5,1)),MIN(J749,DATE(Einstellungen!$C$3,6,0)),Einstellungen!$F$13:$F$32)))</f>
        <v/>
      </c>
      <c r="Q749" s="49">
        <f>IF(OR(A749="",D749=""),0,MAX(0,NETWORKDAYS(MAX(D749,DATE(Einstellungen!$C$3,6,1)),MIN(J749,DATE(Einstellungen!$C$3,7,0)),Einstellungen!$F$13:$F$32)))</f>
        <v/>
      </c>
      <c r="R749" s="49">
        <f>IF(OR(A749="",D749=""),0,MAX(0,NETWORKDAYS(MAX(D749,DATE(Einstellungen!$C$3,7,1)),MIN(J749,DATE(Einstellungen!$C$3,8,0)),Einstellungen!$F$13:$F$32)))</f>
        <v/>
      </c>
      <c r="S749" s="49">
        <f>IF(OR(A749="",D749=""),0,MAX(0,NETWORKDAYS(MAX(D749,DATE(Einstellungen!$C$3,8,1)),MIN(J749,DATE(Einstellungen!$C$3,9,0)),Einstellungen!$F$13:$F$32)))</f>
        <v/>
      </c>
      <c r="T749" s="49">
        <f>IF(OR(A749="",D749=""),0,MAX(0,NETWORKDAYS(MAX(D749,DATE(Einstellungen!$C$3,9,1)),MIN(J749,DATE(Einstellungen!$C$3,10,0)),Einstellungen!$F$13:$F$32)))</f>
        <v/>
      </c>
      <c r="U749" s="49">
        <f>IF(OR(A749="",D749=""),0,MAX(0,NETWORKDAYS(MAX(D749,DATE(Einstellungen!$C$3,10,1)),MIN(J749,DATE(Einstellungen!$C$3,11,0)),Einstellungen!$F$13:$F$32)))</f>
        <v/>
      </c>
      <c r="V749" s="49">
        <f>IF(OR(A749="",D749=""),0,MAX(0,NETWORKDAYS(MAX(D749,DATE(Einstellungen!$C$3,11,1)),MIN(J749,DATE(Einstellungen!$C$3,12,0)),Einstellungen!$F$13:$F$32)))</f>
        <v/>
      </c>
      <c r="W749" s="49">
        <f>IF(OR(A749="",D749=""),0,MAX(0,NETWORKDAYS(MAX(D749,DATE(Einstellungen!$C$3,12,1)),MIN(J749,DATE(Einstellungen!$C$3,13,0)),Einstellungen!$F$13:$F$32)))</f>
        <v/>
      </c>
      <c r="X749" s="50">
        <f>L749*K749</f>
        <v/>
      </c>
      <c r="Y749" s="50">
        <f>M749*K749</f>
        <v/>
      </c>
      <c r="Z749" s="50">
        <f>N749*K749</f>
        <v/>
      </c>
      <c r="AA749" s="50">
        <f>O749*K749</f>
        <v/>
      </c>
      <c r="AB749" s="50">
        <f>P749*K749</f>
        <v/>
      </c>
      <c r="AC749" s="50">
        <f>Q749*K749</f>
        <v/>
      </c>
      <c r="AD749" s="50">
        <f>R749*K749</f>
        <v/>
      </c>
      <c r="AE749" s="50">
        <f>S749*K749</f>
        <v/>
      </c>
      <c r="AF749" s="50">
        <f>T749*K749</f>
        <v/>
      </c>
      <c r="AG749" s="50">
        <f>U749*K749</f>
        <v/>
      </c>
      <c r="AH749" s="50">
        <f>V749*K749</f>
        <v/>
      </c>
      <c r="AI749" s="50">
        <f>W749*K749</f>
        <v/>
      </c>
    </row>
    <row r="750">
      <c r="A750" s="25" t="n"/>
      <c r="B750" s="45">
        <f>IF(A750="","",IFERROR(INDEX(Mitarbeiter!$B$6:$B$205,MATCH($A750,Mitarbeiter!$A$6:$A$205,0)),"?"))</f>
        <v/>
      </c>
      <c r="C750" s="46" t="n"/>
      <c r="D750" s="26" t="n"/>
      <c r="E750" s="26" t="n"/>
      <c r="F750" s="24">
        <f>IF(A750="","",SUM(L750:W750))</f>
        <v/>
      </c>
      <c r="G750" s="36">
        <f>IF(A750="","",SUM(X750:AI750))</f>
        <v/>
      </c>
      <c r="H750" s="8">
        <f>IF(A750="","",IF(ISNA(MATCH(A750,Mitarbeiter!$A$6:$A$205,0)),"Pers.-Nr. unbekannt",IF(D750="","Von fehlt",IF(AND(C750&lt;&gt;Einstellungen!$C$4,C750&lt;&gt;Einstellungen!$C$5),"Objekt fehlt",IF(J750&lt;D750,"Bis vor Von",IF(D750&lt;INDEX(Mitarbeiter!$C$6:$C$205,MATCH($A750,Mitarbeiter!$A$6:$A$205,0)),"vor Eintritt",IF(AND(INDEX(Mitarbeiter!$D$6:$D$205,MATCH($A750,Mitarbeiter!$A$6:$A$205,0))&lt;&gt;"",D750&gt;INDEX(Mitarbeiter!$D$6:$D$205,MATCH($A750,Mitarbeiter!$A$6:$A$205,0))),"nach Austritt",IF(E750="","offen","ok"))))))))</f>
        <v/>
      </c>
      <c r="J750" s="47">
        <f>IF(A750="","",IF(E750="",Einstellungen!$C$9,E750))</f>
        <v/>
      </c>
      <c r="K750" s="48">
        <f>IF(A750="",0,IFERROR(INDEX(Mitarbeiter!$F$6:$F$205,MATCH($A750,Mitarbeiter!$A$6:$A$205,0)),0))</f>
        <v/>
      </c>
      <c r="L750" s="49">
        <f>IF(OR(A750="",D750=""),0,MAX(0,NETWORKDAYS(MAX(D750,DATE(Einstellungen!$C$3,1,1)),MIN(J750,DATE(Einstellungen!$C$3,2,0)),Einstellungen!$F$13:$F$32)))</f>
        <v/>
      </c>
      <c r="M750" s="49">
        <f>IF(OR(A750="",D750=""),0,MAX(0,NETWORKDAYS(MAX(D750,DATE(Einstellungen!$C$3,2,1)),MIN(J750,DATE(Einstellungen!$C$3,3,0)),Einstellungen!$F$13:$F$32)))</f>
        <v/>
      </c>
      <c r="N750" s="49">
        <f>IF(OR(A750="",D750=""),0,MAX(0,NETWORKDAYS(MAX(D750,DATE(Einstellungen!$C$3,3,1)),MIN(J750,DATE(Einstellungen!$C$3,4,0)),Einstellungen!$F$13:$F$32)))</f>
        <v/>
      </c>
      <c r="O750" s="49">
        <f>IF(OR(A750="",D750=""),0,MAX(0,NETWORKDAYS(MAX(D750,DATE(Einstellungen!$C$3,4,1)),MIN(J750,DATE(Einstellungen!$C$3,5,0)),Einstellungen!$F$13:$F$32)))</f>
        <v/>
      </c>
      <c r="P750" s="49">
        <f>IF(OR(A750="",D750=""),0,MAX(0,NETWORKDAYS(MAX(D750,DATE(Einstellungen!$C$3,5,1)),MIN(J750,DATE(Einstellungen!$C$3,6,0)),Einstellungen!$F$13:$F$32)))</f>
        <v/>
      </c>
      <c r="Q750" s="49">
        <f>IF(OR(A750="",D750=""),0,MAX(0,NETWORKDAYS(MAX(D750,DATE(Einstellungen!$C$3,6,1)),MIN(J750,DATE(Einstellungen!$C$3,7,0)),Einstellungen!$F$13:$F$32)))</f>
        <v/>
      </c>
      <c r="R750" s="49">
        <f>IF(OR(A750="",D750=""),0,MAX(0,NETWORKDAYS(MAX(D750,DATE(Einstellungen!$C$3,7,1)),MIN(J750,DATE(Einstellungen!$C$3,8,0)),Einstellungen!$F$13:$F$32)))</f>
        <v/>
      </c>
      <c r="S750" s="49">
        <f>IF(OR(A750="",D750=""),0,MAX(0,NETWORKDAYS(MAX(D750,DATE(Einstellungen!$C$3,8,1)),MIN(J750,DATE(Einstellungen!$C$3,9,0)),Einstellungen!$F$13:$F$32)))</f>
        <v/>
      </c>
      <c r="T750" s="49">
        <f>IF(OR(A750="",D750=""),0,MAX(0,NETWORKDAYS(MAX(D750,DATE(Einstellungen!$C$3,9,1)),MIN(J750,DATE(Einstellungen!$C$3,10,0)),Einstellungen!$F$13:$F$32)))</f>
        <v/>
      </c>
      <c r="U750" s="49">
        <f>IF(OR(A750="",D750=""),0,MAX(0,NETWORKDAYS(MAX(D750,DATE(Einstellungen!$C$3,10,1)),MIN(J750,DATE(Einstellungen!$C$3,11,0)),Einstellungen!$F$13:$F$32)))</f>
        <v/>
      </c>
      <c r="V750" s="49">
        <f>IF(OR(A750="",D750=""),0,MAX(0,NETWORKDAYS(MAX(D750,DATE(Einstellungen!$C$3,11,1)),MIN(J750,DATE(Einstellungen!$C$3,12,0)),Einstellungen!$F$13:$F$32)))</f>
        <v/>
      </c>
      <c r="W750" s="49">
        <f>IF(OR(A750="",D750=""),0,MAX(0,NETWORKDAYS(MAX(D750,DATE(Einstellungen!$C$3,12,1)),MIN(J750,DATE(Einstellungen!$C$3,13,0)),Einstellungen!$F$13:$F$32)))</f>
        <v/>
      </c>
      <c r="X750" s="50">
        <f>L750*K750</f>
        <v/>
      </c>
      <c r="Y750" s="50">
        <f>M750*K750</f>
        <v/>
      </c>
      <c r="Z750" s="50">
        <f>N750*K750</f>
        <v/>
      </c>
      <c r="AA750" s="50">
        <f>O750*K750</f>
        <v/>
      </c>
      <c r="AB750" s="50">
        <f>P750*K750</f>
        <v/>
      </c>
      <c r="AC750" s="50">
        <f>Q750*K750</f>
        <v/>
      </c>
      <c r="AD750" s="50">
        <f>R750*K750</f>
        <v/>
      </c>
      <c r="AE750" s="50">
        <f>S750*K750</f>
        <v/>
      </c>
      <c r="AF750" s="50">
        <f>T750*K750</f>
        <v/>
      </c>
      <c r="AG750" s="50">
        <f>U750*K750</f>
        <v/>
      </c>
      <c r="AH750" s="50">
        <f>V750*K750</f>
        <v/>
      </c>
      <c r="AI750" s="50">
        <f>W750*K750</f>
        <v/>
      </c>
    </row>
    <row r="751">
      <c r="A751" s="25" t="n"/>
      <c r="B751" s="45">
        <f>IF(A751="","",IFERROR(INDEX(Mitarbeiter!$B$6:$B$205,MATCH($A751,Mitarbeiter!$A$6:$A$205,0)),"?"))</f>
        <v/>
      </c>
      <c r="C751" s="46" t="n"/>
      <c r="D751" s="26" t="n"/>
      <c r="E751" s="26" t="n"/>
      <c r="F751" s="24">
        <f>IF(A751="","",SUM(L751:W751))</f>
        <v/>
      </c>
      <c r="G751" s="36">
        <f>IF(A751="","",SUM(X751:AI751))</f>
        <v/>
      </c>
      <c r="H751" s="8">
        <f>IF(A751="","",IF(ISNA(MATCH(A751,Mitarbeiter!$A$6:$A$205,0)),"Pers.-Nr. unbekannt",IF(D751="","Von fehlt",IF(AND(C751&lt;&gt;Einstellungen!$C$4,C751&lt;&gt;Einstellungen!$C$5),"Objekt fehlt",IF(J751&lt;D751,"Bis vor Von",IF(D751&lt;INDEX(Mitarbeiter!$C$6:$C$205,MATCH($A751,Mitarbeiter!$A$6:$A$205,0)),"vor Eintritt",IF(AND(INDEX(Mitarbeiter!$D$6:$D$205,MATCH($A751,Mitarbeiter!$A$6:$A$205,0))&lt;&gt;"",D751&gt;INDEX(Mitarbeiter!$D$6:$D$205,MATCH($A751,Mitarbeiter!$A$6:$A$205,0))),"nach Austritt",IF(E751="","offen","ok"))))))))</f>
        <v/>
      </c>
      <c r="J751" s="47">
        <f>IF(A751="","",IF(E751="",Einstellungen!$C$9,E751))</f>
        <v/>
      </c>
      <c r="K751" s="48">
        <f>IF(A751="",0,IFERROR(INDEX(Mitarbeiter!$F$6:$F$205,MATCH($A751,Mitarbeiter!$A$6:$A$205,0)),0))</f>
        <v/>
      </c>
      <c r="L751" s="49">
        <f>IF(OR(A751="",D751=""),0,MAX(0,NETWORKDAYS(MAX(D751,DATE(Einstellungen!$C$3,1,1)),MIN(J751,DATE(Einstellungen!$C$3,2,0)),Einstellungen!$F$13:$F$32)))</f>
        <v/>
      </c>
      <c r="M751" s="49">
        <f>IF(OR(A751="",D751=""),0,MAX(0,NETWORKDAYS(MAX(D751,DATE(Einstellungen!$C$3,2,1)),MIN(J751,DATE(Einstellungen!$C$3,3,0)),Einstellungen!$F$13:$F$32)))</f>
        <v/>
      </c>
      <c r="N751" s="49">
        <f>IF(OR(A751="",D751=""),0,MAX(0,NETWORKDAYS(MAX(D751,DATE(Einstellungen!$C$3,3,1)),MIN(J751,DATE(Einstellungen!$C$3,4,0)),Einstellungen!$F$13:$F$32)))</f>
        <v/>
      </c>
      <c r="O751" s="49">
        <f>IF(OR(A751="",D751=""),0,MAX(0,NETWORKDAYS(MAX(D751,DATE(Einstellungen!$C$3,4,1)),MIN(J751,DATE(Einstellungen!$C$3,5,0)),Einstellungen!$F$13:$F$32)))</f>
        <v/>
      </c>
      <c r="P751" s="49">
        <f>IF(OR(A751="",D751=""),0,MAX(0,NETWORKDAYS(MAX(D751,DATE(Einstellungen!$C$3,5,1)),MIN(J751,DATE(Einstellungen!$C$3,6,0)),Einstellungen!$F$13:$F$32)))</f>
        <v/>
      </c>
      <c r="Q751" s="49">
        <f>IF(OR(A751="",D751=""),0,MAX(0,NETWORKDAYS(MAX(D751,DATE(Einstellungen!$C$3,6,1)),MIN(J751,DATE(Einstellungen!$C$3,7,0)),Einstellungen!$F$13:$F$32)))</f>
        <v/>
      </c>
      <c r="R751" s="49">
        <f>IF(OR(A751="",D751=""),0,MAX(0,NETWORKDAYS(MAX(D751,DATE(Einstellungen!$C$3,7,1)),MIN(J751,DATE(Einstellungen!$C$3,8,0)),Einstellungen!$F$13:$F$32)))</f>
        <v/>
      </c>
      <c r="S751" s="49">
        <f>IF(OR(A751="",D751=""),0,MAX(0,NETWORKDAYS(MAX(D751,DATE(Einstellungen!$C$3,8,1)),MIN(J751,DATE(Einstellungen!$C$3,9,0)),Einstellungen!$F$13:$F$32)))</f>
        <v/>
      </c>
      <c r="T751" s="49">
        <f>IF(OR(A751="",D751=""),0,MAX(0,NETWORKDAYS(MAX(D751,DATE(Einstellungen!$C$3,9,1)),MIN(J751,DATE(Einstellungen!$C$3,10,0)),Einstellungen!$F$13:$F$32)))</f>
        <v/>
      </c>
      <c r="U751" s="49">
        <f>IF(OR(A751="",D751=""),0,MAX(0,NETWORKDAYS(MAX(D751,DATE(Einstellungen!$C$3,10,1)),MIN(J751,DATE(Einstellungen!$C$3,11,0)),Einstellungen!$F$13:$F$32)))</f>
        <v/>
      </c>
      <c r="V751" s="49">
        <f>IF(OR(A751="",D751=""),0,MAX(0,NETWORKDAYS(MAX(D751,DATE(Einstellungen!$C$3,11,1)),MIN(J751,DATE(Einstellungen!$C$3,12,0)),Einstellungen!$F$13:$F$32)))</f>
        <v/>
      </c>
      <c r="W751" s="49">
        <f>IF(OR(A751="",D751=""),0,MAX(0,NETWORKDAYS(MAX(D751,DATE(Einstellungen!$C$3,12,1)),MIN(J751,DATE(Einstellungen!$C$3,13,0)),Einstellungen!$F$13:$F$32)))</f>
        <v/>
      </c>
      <c r="X751" s="50">
        <f>L751*K751</f>
        <v/>
      </c>
      <c r="Y751" s="50">
        <f>M751*K751</f>
        <v/>
      </c>
      <c r="Z751" s="50">
        <f>N751*K751</f>
        <v/>
      </c>
      <c r="AA751" s="50">
        <f>O751*K751</f>
        <v/>
      </c>
      <c r="AB751" s="50">
        <f>P751*K751</f>
        <v/>
      </c>
      <c r="AC751" s="50">
        <f>Q751*K751</f>
        <v/>
      </c>
      <c r="AD751" s="50">
        <f>R751*K751</f>
        <v/>
      </c>
      <c r="AE751" s="50">
        <f>S751*K751</f>
        <v/>
      </c>
      <c r="AF751" s="50">
        <f>T751*K751</f>
        <v/>
      </c>
      <c r="AG751" s="50">
        <f>U751*K751</f>
        <v/>
      </c>
      <c r="AH751" s="50">
        <f>V751*K751</f>
        <v/>
      </c>
      <c r="AI751" s="50">
        <f>W751*K751</f>
        <v/>
      </c>
    </row>
    <row r="752">
      <c r="A752" s="25" t="n"/>
      <c r="B752" s="45">
        <f>IF(A752="","",IFERROR(INDEX(Mitarbeiter!$B$6:$B$205,MATCH($A752,Mitarbeiter!$A$6:$A$205,0)),"?"))</f>
        <v/>
      </c>
      <c r="C752" s="46" t="n"/>
      <c r="D752" s="26" t="n"/>
      <c r="E752" s="26" t="n"/>
      <c r="F752" s="24">
        <f>IF(A752="","",SUM(L752:W752))</f>
        <v/>
      </c>
      <c r="G752" s="36">
        <f>IF(A752="","",SUM(X752:AI752))</f>
        <v/>
      </c>
      <c r="H752" s="8">
        <f>IF(A752="","",IF(ISNA(MATCH(A752,Mitarbeiter!$A$6:$A$205,0)),"Pers.-Nr. unbekannt",IF(D752="","Von fehlt",IF(AND(C752&lt;&gt;Einstellungen!$C$4,C752&lt;&gt;Einstellungen!$C$5),"Objekt fehlt",IF(J752&lt;D752,"Bis vor Von",IF(D752&lt;INDEX(Mitarbeiter!$C$6:$C$205,MATCH($A752,Mitarbeiter!$A$6:$A$205,0)),"vor Eintritt",IF(AND(INDEX(Mitarbeiter!$D$6:$D$205,MATCH($A752,Mitarbeiter!$A$6:$A$205,0))&lt;&gt;"",D752&gt;INDEX(Mitarbeiter!$D$6:$D$205,MATCH($A752,Mitarbeiter!$A$6:$A$205,0))),"nach Austritt",IF(E752="","offen","ok"))))))))</f>
        <v/>
      </c>
      <c r="J752" s="47">
        <f>IF(A752="","",IF(E752="",Einstellungen!$C$9,E752))</f>
        <v/>
      </c>
      <c r="K752" s="48">
        <f>IF(A752="",0,IFERROR(INDEX(Mitarbeiter!$F$6:$F$205,MATCH($A752,Mitarbeiter!$A$6:$A$205,0)),0))</f>
        <v/>
      </c>
      <c r="L752" s="49">
        <f>IF(OR(A752="",D752=""),0,MAX(0,NETWORKDAYS(MAX(D752,DATE(Einstellungen!$C$3,1,1)),MIN(J752,DATE(Einstellungen!$C$3,2,0)),Einstellungen!$F$13:$F$32)))</f>
        <v/>
      </c>
      <c r="M752" s="49">
        <f>IF(OR(A752="",D752=""),0,MAX(0,NETWORKDAYS(MAX(D752,DATE(Einstellungen!$C$3,2,1)),MIN(J752,DATE(Einstellungen!$C$3,3,0)),Einstellungen!$F$13:$F$32)))</f>
        <v/>
      </c>
      <c r="N752" s="49">
        <f>IF(OR(A752="",D752=""),0,MAX(0,NETWORKDAYS(MAX(D752,DATE(Einstellungen!$C$3,3,1)),MIN(J752,DATE(Einstellungen!$C$3,4,0)),Einstellungen!$F$13:$F$32)))</f>
        <v/>
      </c>
      <c r="O752" s="49">
        <f>IF(OR(A752="",D752=""),0,MAX(0,NETWORKDAYS(MAX(D752,DATE(Einstellungen!$C$3,4,1)),MIN(J752,DATE(Einstellungen!$C$3,5,0)),Einstellungen!$F$13:$F$32)))</f>
        <v/>
      </c>
      <c r="P752" s="49">
        <f>IF(OR(A752="",D752=""),0,MAX(0,NETWORKDAYS(MAX(D752,DATE(Einstellungen!$C$3,5,1)),MIN(J752,DATE(Einstellungen!$C$3,6,0)),Einstellungen!$F$13:$F$32)))</f>
        <v/>
      </c>
      <c r="Q752" s="49">
        <f>IF(OR(A752="",D752=""),0,MAX(0,NETWORKDAYS(MAX(D752,DATE(Einstellungen!$C$3,6,1)),MIN(J752,DATE(Einstellungen!$C$3,7,0)),Einstellungen!$F$13:$F$32)))</f>
        <v/>
      </c>
      <c r="R752" s="49">
        <f>IF(OR(A752="",D752=""),0,MAX(0,NETWORKDAYS(MAX(D752,DATE(Einstellungen!$C$3,7,1)),MIN(J752,DATE(Einstellungen!$C$3,8,0)),Einstellungen!$F$13:$F$32)))</f>
        <v/>
      </c>
      <c r="S752" s="49">
        <f>IF(OR(A752="",D752=""),0,MAX(0,NETWORKDAYS(MAX(D752,DATE(Einstellungen!$C$3,8,1)),MIN(J752,DATE(Einstellungen!$C$3,9,0)),Einstellungen!$F$13:$F$32)))</f>
        <v/>
      </c>
      <c r="T752" s="49">
        <f>IF(OR(A752="",D752=""),0,MAX(0,NETWORKDAYS(MAX(D752,DATE(Einstellungen!$C$3,9,1)),MIN(J752,DATE(Einstellungen!$C$3,10,0)),Einstellungen!$F$13:$F$32)))</f>
        <v/>
      </c>
      <c r="U752" s="49">
        <f>IF(OR(A752="",D752=""),0,MAX(0,NETWORKDAYS(MAX(D752,DATE(Einstellungen!$C$3,10,1)),MIN(J752,DATE(Einstellungen!$C$3,11,0)),Einstellungen!$F$13:$F$32)))</f>
        <v/>
      </c>
      <c r="V752" s="49">
        <f>IF(OR(A752="",D752=""),0,MAX(0,NETWORKDAYS(MAX(D752,DATE(Einstellungen!$C$3,11,1)),MIN(J752,DATE(Einstellungen!$C$3,12,0)),Einstellungen!$F$13:$F$32)))</f>
        <v/>
      </c>
      <c r="W752" s="49">
        <f>IF(OR(A752="",D752=""),0,MAX(0,NETWORKDAYS(MAX(D752,DATE(Einstellungen!$C$3,12,1)),MIN(J752,DATE(Einstellungen!$C$3,13,0)),Einstellungen!$F$13:$F$32)))</f>
        <v/>
      </c>
      <c r="X752" s="50">
        <f>L752*K752</f>
        <v/>
      </c>
      <c r="Y752" s="50">
        <f>M752*K752</f>
        <v/>
      </c>
      <c r="Z752" s="50">
        <f>N752*K752</f>
        <v/>
      </c>
      <c r="AA752" s="50">
        <f>O752*K752</f>
        <v/>
      </c>
      <c r="AB752" s="50">
        <f>P752*K752</f>
        <v/>
      </c>
      <c r="AC752" s="50">
        <f>Q752*K752</f>
        <v/>
      </c>
      <c r="AD752" s="50">
        <f>R752*K752</f>
        <v/>
      </c>
      <c r="AE752" s="50">
        <f>S752*K752</f>
        <v/>
      </c>
      <c r="AF752" s="50">
        <f>T752*K752</f>
        <v/>
      </c>
      <c r="AG752" s="50">
        <f>U752*K752</f>
        <v/>
      </c>
      <c r="AH752" s="50">
        <f>V752*K752</f>
        <v/>
      </c>
      <c r="AI752" s="50">
        <f>W752*K752</f>
        <v/>
      </c>
    </row>
    <row r="753">
      <c r="A753" s="25" t="n"/>
      <c r="B753" s="45">
        <f>IF(A753="","",IFERROR(INDEX(Mitarbeiter!$B$6:$B$205,MATCH($A753,Mitarbeiter!$A$6:$A$205,0)),"?"))</f>
        <v/>
      </c>
      <c r="C753" s="46" t="n"/>
      <c r="D753" s="26" t="n"/>
      <c r="E753" s="26" t="n"/>
      <c r="F753" s="24">
        <f>IF(A753="","",SUM(L753:W753))</f>
        <v/>
      </c>
      <c r="G753" s="36">
        <f>IF(A753="","",SUM(X753:AI753))</f>
        <v/>
      </c>
      <c r="H753" s="8">
        <f>IF(A753="","",IF(ISNA(MATCH(A753,Mitarbeiter!$A$6:$A$205,0)),"Pers.-Nr. unbekannt",IF(D753="","Von fehlt",IF(AND(C753&lt;&gt;Einstellungen!$C$4,C753&lt;&gt;Einstellungen!$C$5),"Objekt fehlt",IF(J753&lt;D753,"Bis vor Von",IF(D753&lt;INDEX(Mitarbeiter!$C$6:$C$205,MATCH($A753,Mitarbeiter!$A$6:$A$205,0)),"vor Eintritt",IF(AND(INDEX(Mitarbeiter!$D$6:$D$205,MATCH($A753,Mitarbeiter!$A$6:$A$205,0))&lt;&gt;"",D753&gt;INDEX(Mitarbeiter!$D$6:$D$205,MATCH($A753,Mitarbeiter!$A$6:$A$205,0))),"nach Austritt",IF(E753="","offen","ok"))))))))</f>
        <v/>
      </c>
      <c r="J753" s="47">
        <f>IF(A753="","",IF(E753="",Einstellungen!$C$9,E753))</f>
        <v/>
      </c>
      <c r="K753" s="48">
        <f>IF(A753="",0,IFERROR(INDEX(Mitarbeiter!$F$6:$F$205,MATCH($A753,Mitarbeiter!$A$6:$A$205,0)),0))</f>
        <v/>
      </c>
      <c r="L753" s="49">
        <f>IF(OR(A753="",D753=""),0,MAX(0,NETWORKDAYS(MAX(D753,DATE(Einstellungen!$C$3,1,1)),MIN(J753,DATE(Einstellungen!$C$3,2,0)),Einstellungen!$F$13:$F$32)))</f>
        <v/>
      </c>
      <c r="M753" s="49">
        <f>IF(OR(A753="",D753=""),0,MAX(0,NETWORKDAYS(MAX(D753,DATE(Einstellungen!$C$3,2,1)),MIN(J753,DATE(Einstellungen!$C$3,3,0)),Einstellungen!$F$13:$F$32)))</f>
        <v/>
      </c>
      <c r="N753" s="49">
        <f>IF(OR(A753="",D753=""),0,MAX(0,NETWORKDAYS(MAX(D753,DATE(Einstellungen!$C$3,3,1)),MIN(J753,DATE(Einstellungen!$C$3,4,0)),Einstellungen!$F$13:$F$32)))</f>
        <v/>
      </c>
      <c r="O753" s="49">
        <f>IF(OR(A753="",D753=""),0,MAX(0,NETWORKDAYS(MAX(D753,DATE(Einstellungen!$C$3,4,1)),MIN(J753,DATE(Einstellungen!$C$3,5,0)),Einstellungen!$F$13:$F$32)))</f>
        <v/>
      </c>
      <c r="P753" s="49">
        <f>IF(OR(A753="",D753=""),0,MAX(0,NETWORKDAYS(MAX(D753,DATE(Einstellungen!$C$3,5,1)),MIN(J753,DATE(Einstellungen!$C$3,6,0)),Einstellungen!$F$13:$F$32)))</f>
        <v/>
      </c>
      <c r="Q753" s="49">
        <f>IF(OR(A753="",D753=""),0,MAX(0,NETWORKDAYS(MAX(D753,DATE(Einstellungen!$C$3,6,1)),MIN(J753,DATE(Einstellungen!$C$3,7,0)),Einstellungen!$F$13:$F$32)))</f>
        <v/>
      </c>
      <c r="R753" s="49">
        <f>IF(OR(A753="",D753=""),0,MAX(0,NETWORKDAYS(MAX(D753,DATE(Einstellungen!$C$3,7,1)),MIN(J753,DATE(Einstellungen!$C$3,8,0)),Einstellungen!$F$13:$F$32)))</f>
        <v/>
      </c>
      <c r="S753" s="49">
        <f>IF(OR(A753="",D753=""),0,MAX(0,NETWORKDAYS(MAX(D753,DATE(Einstellungen!$C$3,8,1)),MIN(J753,DATE(Einstellungen!$C$3,9,0)),Einstellungen!$F$13:$F$32)))</f>
        <v/>
      </c>
      <c r="T753" s="49">
        <f>IF(OR(A753="",D753=""),0,MAX(0,NETWORKDAYS(MAX(D753,DATE(Einstellungen!$C$3,9,1)),MIN(J753,DATE(Einstellungen!$C$3,10,0)),Einstellungen!$F$13:$F$32)))</f>
        <v/>
      </c>
      <c r="U753" s="49">
        <f>IF(OR(A753="",D753=""),0,MAX(0,NETWORKDAYS(MAX(D753,DATE(Einstellungen!$C$3,10,1)),MIN(J753,DATE(Einstellungen!$C$3,11,0)),Einstellungen!$F$13:$F$32)))</f>
        <v/>
      </c>
      <c r="V753" s="49">
        <f>IF(OR(A753="",D753=""),0,MAX(0,NETWORKDAYS(MAX(D753,DATE(Einstellungen!$C$3,11,1)),MIN(J753,DATE(Einstellungen!$C$3,12,0)),Einstellungen!$F$13:$F$32)))</f>
        <v/>
      </c>
      <c r="W753" s="49">
        <f>IF(OR(A753="",D753=""),0,MAX(0,NETWORKDAYS(MAX(D753,DATE(Einstellungen!$C$3,12,1)),MIN(J753,DATE(Einstellungen!$C$3,13,0)),Einstellungen!$F$13:$F$32)))</f>
        <v/>
      </c>
      <c r="X753" s="50">
        <f>L753*K753</f>
        <v/>
      </c>
      <c r="Y753" s="50">
        <f>M753*K753</f>
        <v/>
      </c>
      <c r="Z753" s="50">
        <f>N753*K753</f>
        <v/>
      </c>
      <c r="AA753" s="50">
        <f>O753*K753</f>
        <v/>
      </c>
      <c r="AB753" s="50">
        <f>P753*K753</f>
        <v/>
      </c>
      <c r="AC753" s="50">
        <f>Q753*K753</f>
        <v/>
      </c>
      <c r="AD753" s="50">
        <f>R753*K753</f>
        <v/>
      </c>
      <c r="AE753" s="50">
        <f>S753*K753</f>
        <v/>
      </c>
      <c r="AF753" s="50">
        <f>T753*K753</f>
        <v/>
      </c>
      <c r="AG753" s="50">
        <f>U753*K753</f>
        <v/>
      </c>
      <c r="AH753" s="50">
        <f>V753*K753</f>
        <v/>
      </c>
      <c r="AI753" s="50">
        <f>W753*K753</f>
        <v/>
      </c>
    </row>
    <row r="754">
      <c r="A754" s="25" t="n"/>
      <c r="B754" s="45">
        <f>IF(A754="","",IFERROR(INDEX(Mitarbeiter!$B$6:$B$205,MATCH($A754,Mitarbeiter!$A$6:$A$205,0)),"?"))</f>
        <v/>
      </c>
      <c r="C754" s="46" t="n"/>
      <c r="D754" s="26" t="n"/>
      <c r="E754" s="26" t="n"/>
      <c r="F754" s="24">
        <f>IF(A754="","",SUM(L754:W754))</f>
        <v/>
      </c>
      <c r="G754" s="36">
        <f>IF(A754="","",SUM(X754:AI754))</f>
        <v/>
      </c>
      <c r="H754" s="8">
        <f>IF(A754="","",IF(ISNA(MATCH(A754,Mitarbeiter!$A$6:$A$205,0)),"Pers.-Nr. unbekannt",IF(D754="","Von fehlt",IF(AND(C754&lt;&gt;Einstellungen!$C$4,C754&lt;&gt;Einstellungen!$C$5),"Objekt fehlt",IF(J754&lt;D754,"Bis vor Von",IF(D754&lt;INDEX(Mitarbeiter!$C$6:$C$205,MATCH($A754,Mitarbeiter!$A$6:$A$205,0)),"vor Eintritt",IF(AND(INDEX(Mitarbeiter!$D$6:$D$205,MATCH($A754,Mitarbeiter!$A$6:$A$205,0))&lt;&gt;"",D754&gt;INDEX(Mitarbeiter!$D$6:$D$205,MATCH($A754,Mitarbeiter!$A$6:$A$205,0))),"nach Austritt",IF(E754="","offen","ok"))))))))</f>
        <v/>
      </c>
      <c r="J754" s="47">
        <f>IF(A754="","",IF(E754="",Einstellungen!$C$9,E754))</f>
        <v/>
      </c>
      <c r="K754" s="48">
        <f>IF(A754="",0,IFERROR(INDEX(Mitarbeiter!$F$6:$F$205,MATCH($A754,Mitarbeiter!$A$6:$A$205,0)),0))</f>
        <v/>
      </c>
      <c r="L754" s="49">
        <f>IF(OR(A754="",D754=""),0,MAX(0,NETWORKDAYS(MAX(D754,DATE(Einstellungen!$C$3,1,1)),MIN(J754,DATE(Einstellungen!$C$3,2,0)),Einstellungen!$F$13:$F$32)))</f>
        <v/>
      </c>
      <c r="M754" s="49">
        <f>IF(OR(A754="",D754=""),0,MAX(0,NETWORKDAYS(MAX(D754,DATE(Einstellungen!$C$3,2,1)),MIN(J754,DATE(Einstellungen!$C$3,3,0)),Einstellungen!$F$13:$F$32)))</f>
        <v/>
      </c>
      <c r="N754" s="49">
        <f>IF(OR(A754="",D754=""),0,MAX(0,NETWORKDAYS(MAX(D754,DATE(Einstellungen!$C$3,3,1)),MIN(J754,DATE(Einstellungen!$C$3,4,0)),Einstellungen!$F$13:$F$32)))</f>
        <v/>
      </c>
      <c r="O754" s="49">
        <f>IF(OR(A754="",D754=""),0,MAX(0,NETWORKDAYS(MAX(D754,DATE(Einstellungen!$C$3,4,1)),MIN(J754,DATE(Einstellungen!$C$3,5,0)),Einstellungen!$F$13:$F$32)))</f>
        <v/>
      </c>
      <c r="P754" s="49">
        <f>IF(OR(A754="",D754=""),0,MAX(0,NETWORKDAYS(MAX(D754,DATE(Einstellungen!$C$3,5,1)),MIN(J754,DATE(Einstellungen!$C$3,6,0)),Einstellungen!$F$13:$F$32)))</f>
        <v/>
      </c>
      <c r="Q754" s="49">
        <f>IF(OR(A754="",D754=""),0,MAX(0,NETWORKDAYS(MAX(D754,DATE(Einstellungen!$C$3,6,1)),MIN(J754,DATE(Einstellungen!$C$3,7,0)),Einstellungen!$F$13:$F$32)))</f>
        <v/>
      </c>
      <c r="R754" s="49">
        <f>IF(OR(A754="",D754=""),0,MAX(0,NETWORKDAYS(MAX(D754,DATE(Einstellungen!$C$3,7,1)),MIN(J754,DATE(Einstellungen!$C$3,8,0)),Einstellungen!$F$13:$F$32)))</f>
        <v/>
      </c>
      <c r="S754" s="49">
        <f>IF(OR(A754="",D754=""),0,MAX(0,NETWORKDAYS(MAX(D754,DATE(Einstellungen!$C$3,8,1)),MIN(J754,DATE(Einstellungen!$C$3,9,0)),Einstellungen!$F$13:$F$32)))</f>
        <v/>
      </c>
      <c r="T754" s="49">
        <f>IF(OR(A754="",D754=""),0,MAX(0,NETWORKDAYS(MAX(D754,DATE(Einstellungen!$C$3,9,1)),MIN(J754,DATE(Einstellungen!$C$3,10,0)),Einstellungen!$F$13:$F$32)))</f>
        <v/>
      </c>
      <c r="U754" s="49">
        <f>IF(OR(A754="",D754=""),0,MAX(0,NETWORKDAYS(MAX(D754,DATE(Einstellungen!$C$3,10,1)),MIN(J754,DATE(Einstellungen!$C$3,11,0)),Einstellungen!$F$13:$F$32)))</f>
        <v/>
      </c>
      <c r="V754" s="49">
        <f>IF(OR(A754="",D754=""),0,MAX(0,NETWORKDAYS(MAX(D754,DATE(Einstellungen!$C$3,11,1)),MIN(J754,DATE(Einstellungen!$C$3,12,0)),Einstellungen!$F$13:$F$32)))</f>
        <v/>
      </c>
      <c r="W754" s="49">
        <f>IF(OR(A754="",D754=""),0,MAX(0,NETWORKDAYS(MAX(D754,DATE(Einstellungen!$C$3,12,1)),MIN(J754,DATE(Einstellungen!$C$3,13,0)),Einstellungen!$F$13:$F$32)))</f>
        <v/>
      </c>
      <c r="X754" s="50">
        <f>L754*K754</f>
        <v/>
      </c>
      <c r="Y754" s="50">
        <f>M754*K754</f>
        <v/>
      </c>
      <c r="Z754" s="50">
        <f>N754*K754</f>
        <v/>
      </c>
      <c r="AA754" s="50">
        <f>O754*K754</f>
        <v/>
      </c>
      <c r="AB754" s="50">
        <f>P754*K754</f>
        <v/>
      </c>
      <c r="AC754" s="50">
        <f>Q754*K754</f>
        <v/>
      </c>
      <c r="AD754" s="50">
        <f>R754*K754</f>
        <v/>
      </c>
      <c r="AE754" s="50">
        <f>S754*K754</f>
        <v/>
      </c>
      <c r="AF754" s="50">
        <f>T754*K754</f>
        <v/>
      </c>
      <c r="AG754" s="50">
        <f>U754*K754</f>
        <v/>
      </c>
      <c r="AH754" s="50">
        <f>V754*K754</f>
        <v/>
      </c>
      <c r="AI754" s="50">
        <f>W754*K754</f>
        <v/>
      </c>
    </row>
    <row r="755">
      <c r="A755" s="25" t="n"/>
      <c r="B755" s="45">
        <f>IF(A755="","",IFERROR(INDEX(Mitarbeiter!$B$6:$B$205,MATCH($A755,Mitarbeiter!$A$6:$A$205,0)),"?"))</f>
        <v/>
      </c>
      <c r="C755" s="46" t="n"/>
      <c r="D755" s="26" t="n"/>
      <c r="E755" s="26" t="n"/>
      <c r="F755" s="24">
        <f>IF(A755="","",SUM(L755:W755))</f>
        <v/>
      </c>
      <c r="G755" s="36">
        <f>IF(A755="","",SUM(X755:AI755))</f>
        <v/>
      </c>
      <c r="H755" s="8">
        <f>IF(A755="","",IF(ISNA(MATCH(A755,Mitarbeiter!$A$6:$A$205,0)),"Pers.-Nr. unbekannt",IF(D755="","Von fehlt",IF(AND(C755&lt;&gt;Einstellungen!$C$4,C755&lt;&gt;Einstellungen!$C$5),"Objekt fehlt",IF(J755&lt;D755,"Bis vor Von",IF(D755&lt;INDEX(Mitarbeiter!$C$6:$C$205,MATCH($A755,Mitarbeiter!$A$6:$A$205,0)),"vor Eintritt",IF(AND(INDEX(Mitarbeiter!$D$6:$D$205,MATCH($A755,Mitarbeiter!$A$6:$A$205,0))&lt;&gt;"",D755&gt;INDEX(Mitarbeiter!$D$6:$D$205,MATCH($A755,Mitarbeiter!$A$6:$A$205,0))),"nach Austritt",IF(E755="","offen","ok"))))))))</f>
        <v/>
      </c>
      <c r="J755" s="47">
        <f>IF(A755="","",IF(E755="",Einstellungen!$C$9,E755))</f>
        <v/>
      </c>
      <c r="K755" s="48">
        <f>IF(A755="",0,IFERROR(INDEX(Mitarbeiter!$F$6:$F$205,MATCH($A755,Mitarbeiter!$A$6:$A$205,0)),0))</f>
        <v/>
      </c>
      <c r="L755" s="49">
        <f>IF(OR(A755="",D755=""),0,MAX(0,NETWORKDAYS(MAX(D755,DATE(Einstellungen!$C$3,1,1)),MIN(J755,DATE(Einstellungen!$C$3,2,0)),Einstellungen!$F$13:$F$32)))</f>
        <v/>
      </c>
      <c r="M755" s="49">
        <f>IF(OR(A755="",D755=""),0,MAX(0,NETWORKDAYS(MAX(D755,DATE(Einstellungen!$C$3,2,1)),MIN(J755,DATE(Einstellungen!$C$3,3,0)),Einstellungen!$F$13:$F$32)))</f>
        <v/>
      </c>
      <c r="N755" s="49">
        <f>IF(OR(A755="",D755=""),0,MAX(0,NETWORKDAYS(MAX(D755,DATE(Einstellungen!$C$3,3,1)),MIN(J755,DATE(Einstellungen!$C$3,4,0)),Einstellungen!$F$13:$F$32)))</f>
        <v/>
      </c>
      <c r="O755" s="49">
        <f>IF(OR(A755="",D755=""),0,MAX(0,NETWORKDAYS(MAX(D755,DATE(Einstellungen!$C$3,4,1)),MIN(J755,DATE(Einstellungen!$C$3,5,0)),Einstellungen!$F$13:$F$32)))</f>
        <v/>
      </c>
      <c r="P755" s="49">
        <f>IF(OR(A755="",D755=""),0,MAX(0,NETWORKDAYS(MAX(D755,DATE(Einstellungen!$C$3,5,1)),MIN(J755,DATE(Einstellungen!$C$3,6,0)),Einstellungen!$F$13:$F$32)))</f>
        <v/>
      </c>
      <c r="Q755" s="49">
        <f>IF(OR(A755="",D755=""),0,MAX(0,NETWORKDAYS(MAX(D755,DATE(Einstellungen!$C$3,6,1)),MIN(J755,DATE(Einstellungen!$C$3,7,0)),Einstellungen!$F$13:$F$32)))</f>
        <v/>
      </c>
      <c r="R755" s="49">
        <f>IF(OR(A755="",D755=""),0,MAX(0,NETWORKDAYS(MAX(D755,DATE(Einstellungen!$C$3,7,1)),MIN(J755,DATE(Einstellungen!$C$3,8,0)),Einstellungen!$F$13:$F$32)))</f>
        <v/>
      </c>
      <c r="S755" s="49">
        <f>IF(OR(A755="",D755=""),0,MAX(0,NETWORKDAYS(MAX(D755,DATE(Einstellungen!$C$3,8,1)),MIN(J755,DATE(Einstellungen!$C$3,9,0)),Einstellungen!$F$13:$F$32)))</f>
        <v/>
      </c>
      <c r="T755" s="49">
        <f>IF(OR(A755="",D755=""),0,MAX(0,NETWORKDAYS(MAX(D755,DATE(Einstellungen!$C$3,9,1)),MIN(J755,DATE(Einstellungen!$C$3,10,0)),Einstellungen!$F$13:$F$32)))</f>
        <v/>
      </c>
      <c r="U755" s="49">
        <f>IF(OR(A755="",D755=""),0,MAX(0,NETWORKDAYS(MAX(D755,DATE(Einstellungen!$C$3,10,1)),MIN(J755,DATE(Einstellungen!$C$3,11,0)),Einstellungen!$F$13:$F$32)))</f>
        <v/>
      </c>
      <c r="V755" s="49">
        <f>IF(OR(A755="",D755=""),0,MAX(0,NETWORKDAYS(MAX(D755,DATE(Einstellungen!$C$3,11,1)),MIN(J755,DATE(Einstellungen!$C$3,12,0)),Einstellungen!$F$13:$F$32)))</f>
        <v/>
      </c>
      <c r="W755" s="49">
        <f>IF(OR(A755="",D755=""),0,MAX(0,NETWORKDAYS(MAX(D755,DATE(Einstellungen!$C$3,12,1)),MIN(J755,DATE(Einstellungen!$C$3,13,0)),Einstellungen!$F$13:$F$32)))</f>
        <v/>
      </c>
      <c r="X755" s="50">
        <f>L755*K755</f>
        <v/>
      </c>
      <c r="Y755" s="50">
        <f>M755*K755</f>
        <v/>
      </c>
      <c r="Z755" s="50">
        <f>N755*K755</f>
        <v/>
      </c>
      <c r="AA755" s="50">
        <f>O755*K755</f>
        <v/>
      </c>
      <c r="AB755" s="50">
        <f>P755*K755</f>
        <v/>
      </c>
      <c r="AC755" s="50">
        <f>Q755*K755</f>
        <v/>
      </c>
      <c r="AD755" s="50">
        <f>R755*K755</f>
        <v/>
      </c>
      <c r="AE755" s="50">
        <f>S755*K755</f>
        <v/>
      </c>
      <c r="AF755" s="50">
        <f>T755*K755</f>
        <v/>
      </c>
      <c r="AG755" s="50">
        <f>U755*K755</f>
        <v/>
      </c>
      <c r="AH755" s="50">
        <f>V755*K755</f>
        <v/>
      </c>
      <c r="AI755" s="50">
        <f>W755*K755</f>
        <v/>
      </c>
    </row>
    <row r="756">
      <c r="A756" s="25" t="n"/>
      <c r="B756" s="45">
        <f>IF(A756="","",IFERROR(INDEX(Mitarbeiter!$B$6:$B$205,MATCH($A756,Mitarbeiter!$A$6:$A$205,0)),"?"))</f>
        <v/>
      </c>
      <c r="C756" s="46" t="n"/>
      <c r="D756" s="26" t="n"/>
      <c r="E756" s="26" t="n"/>
      <c r="F756" s="24">
        <f>IF(A756="","",SUM(L756:W756))</f>
        <v/>
      </c>
      <c r="G756" s="36">
        <f>IF(A756="","",SUM(X756:AI756))</f>
        <v/>
      </c>
      <c r="H756" s="8">
        <f>IF(A756="","",IF(ISNA(MATCH(A756,Mitarbeiter!$A$6:$A$205,0)),"Pers.-Nr. unbekannt",IF(D756="","Von fehlt",IF(AND(C756&lt;&gt;Einstellungen!$C$4,C756&lt;&gt;Einstellungen!$C$5),"Objekt fehlt",IF(J756&lt;D756,"Bis vor Von",IF(D756&lt;INDEX(Mitarbeiter!$C$6:$C$205,MATCH($A756,Mitarbeiter!$A$6:$A$205,0)),"vor Eintritt",IF(AND(INDEX(Mitarbeiter!$D$6:$D$205,MATCH($A756,Mitarbeiter!$A$6:$A$205,0))&lt;&gt;"",D756&gt;INDEX(Mitarbeiter!$D$6:$D$205,MATCH($A756,Mitarbeiter!$A$6:$A$205,0))),"nach Austritt",IF(E756="","offen","ok"))))))))</f>
        <v/>
      </c>
      <c r="J756" s="47">
        <f>IF(A756="","",IF(E756="",Einstellungen!$C$9,E756))</f>
        <v/>
      </c>
      <c r="K756" s="48">
        <f>IF(A756="",0,IFERROR(INDEX(Mitarbeiter!$F$6:$F$205,MATCH($A756,Mitarbeiter!$A$6:$A$205,0)),0))</f>
        <v/>
      </c>
      <c r="L756" s="49">
        <f>IF(OR(A756="",D756=""),0,MAX(0,NETWORKDAYS(MAX(D756,DATE(Einstellungen!$C$3,1,1)),MIN(J756,DATE(Einstellungen!$C$3,2,0)),Einstellungen!$F$13:$F$32)))</f>
        <v/>
      </c>
      <c r="M756" s="49">
        <f>IF(OR(A756="",D756=""),0,MAX(0,NETWORKDAYS(MAX(D756,DATE(Einstellungen!$C$3,2,1)),MIN(J756,DATE(Einstellungen!$C$3,3,0)),Einstellungen!$F$13:$F$32)))</f>
        <v/>
      </c>
      <c r="N756" s="49">
        <f>IF(OR(A756="",D756=""),0,MAX(0,NETWORKDAYS(MAX(D756,DATE(Einstellungen!$C$3,3,1)),MIN(J756,DATE(Einstellungen!$C$3,4,0)),Einstellungen!$F$13:$F$32)))</f>
        <v/>
      </c>
      <c r="O756" s="49">
        <f>IF(OR(A756="",D756=""),0,MAX(0,NETWORKDAYS(MAX(D756,DATE(Einstellungen!$C$3,4,1)),MIN(J756,DATE(Einstellungen!$C$3,5,0)),Einstellungen!$F$13:$F$32)))</f>
        <v/>
      </c>
      <c r="P756" s="49">
        <f>IF(OR(A756="",D756=""),0,MAX(0,NETWORKDAYS(MAX(D756,DATE(Einstellungen!$C$3,5,1)),MIN(J756,DATE(Einstellungen!$C$3,6,0)),Einstellungen!$F$13:$F$32)))</f>
        <v/>
      </c>
      <c r="Q756" s="49">
        <f>IF(OR(A756="",D756=""),0,MAX(0,NETWORKDAYS(MAX(D756,DATE(Einstellungen!$C$3,6,1)),MIN(J756,DATE(Einstellungen!$C$3,7,0)),Einstellungen!$F$13:$F$32)))</f>
        <v/>
      </c>
      <c r="R756" s="49">
        <f>IF(OR(A756="",D756=""),0,MAX(0,NETWORKDAYS(MAX(D756,DATE(Einstellungen!$C$3,7,1)),MIN(J756,DATE(Einstellungen!$C$3,8,0)),Einstellungen!$F$13:$F$32)))</f>
        <v/>
      </c>
      <c r="S756" s="49">
        <f>IF(OR(A756="",D756=""),0,MAX(0,NETWORKDAYS(MAX(D756,DATE(Einstellungen!$C$3,8,1)),MIN(J756,DATE(Einstellungen!$C$3,9,0)),Einstellungen!$F$13:$F$32)))</f>
        <v/>
      </c>
      <c r="T756" s="49">
        <f>IF(OR(A756="",D756=""),0,MAX(0,NETWORKDAYS(MAX(D756,DATE(Einstellungen!$C$3,9,1)),MIN(J756,DATE(Einstellungen!$C$3,10,0)),Einstellungen!$F$13:$F$32)))</f>
        <v/>
      </c>
      <c r="U756" s="49">
        <f>IF(OR(A756="",D756=""),0,MAX(0,NETWORKDAYS(MAX(D756,DATE(Einstellungen!$C$3,10,1)),MIN(J756,DATE(Einstellungen!$C$3,11,0)),Einstellungen!$F$13:$F$32)))</f>
        <v/>
      </c>
      <c r="V756" s="49">
        <f>IF(OR(A756="",D756=""),0,MAX(0,NETWORKDAYS(MAX(D756,DATE(Einstellungen!$C$3,11,1)),MIN(J756,DATE(Einstellungen!$C$3,12,0)),Einstellungen!$F$13:$F$32)))</f>
        <v/>
      </c>
      <c r="W756" s="49">
        <f>IF(OR(A756="",D756=""),0,MAX(0,NETWORKDAYS(MAX(D756,DATE(Einstellungen!$C$3,12,1)),MIN(J756,DATE(Einstellungen!$C$3,13,0)),Einstellungen!$F$13:$F$32)))</f>
        <v/>
      </c>
      <c r="X756" s="50">
        <f>L756*K756</f>
        <v/>
      </c>
      <c r="Y756" s="50">
        <f>M756*K756</f>
        <v/>
      </c>
      <c r="Z756" s="50">
        <f>N756*K756</f>
        <v/>
      </c>
      <c r="AA756" s="50">
        <f>O756*K756</f>
        <v/>
      </c>
      <c r="AB756" s="50">
        <f>P756*K756</f>
        <v/>
      </c>
      <c r="AC756" s="50">
        <f>Q756*K756</f>
        <v/>
      </c>
      <c r="AD756" s="50">
        <f>R756*K756</f>
        <v/>
      </c>
      <c r="AE756" s="50">
        <f>S756*K756</f>
        <v/>
      </c>
      <c r="AF756" s="50">
        <f>T756*K756</f>
        <v/>
      </c>
      <c r="AG756" s="50">
        <f>U756*K756</f>
        <v/>
      </c>
      <c r="AH756" s="50">
        <f>V756*K756</f>
        <v/>
      </c>
      <c r="AI756" s="50">
        <f>W756*K756</f>
        <v/>
      </c>
    </row>
    <row r="757">
      <c r="A757" s="25" t="n"/>
      <c r="B757" s="45">
        <f>IF(A757="","",IFERROR(INDEX(Mitarbeiter!$B$6:$B$205,MATCH($A757,Mitarbeiter!$A$6:$A$205,0)),"?"))</f>
        <v/>
      </c>
      <c r="C757" s="46" t="n"/>
      <c r="D757" s="26" t="n"/>
      <c r="E757" s="26" t="n"/>
      <c r="F757" s="24">
        <f>IF(A757="","",SUM(L757:W757))</f>
        <v/>
      </c>
      <c r="G757" s="36">
        <f>IF(A757="","",SUM(X757:AI757))</f>
        <v/>
      </c>
      <c r="H757" s="8">
        <f>IF(A757="","",IF(ISNA(MATCH(A757,Mitarbeiter!$A$6:$A$205,0)),"Pers.-Nr. unbekannt",IF(D757="","Von fehlt",IF(AND(C757&lt;&gt;Einstellungen!$C$4,C757&lt;&gt;Einstellungen!$C$5),"Objekt fehlt",IF(J757&lt;D757,"Bis vor Von",IF(D757&lt;INDEX(Mitarbeiter!$C$6:$C$205,MATCH($A757,Mitarbeiter!$A$6:$A$205,0)),"vor Eintritt",IF(AND(INDEX(Mitarbeiter!$D$6:$D$205,MATCH($A757,Mitarbeiter!$A$6:$A$205,0))&lt;&gt;"",D757&gt;INDEX(Mitarbeiter!$D$6:$D$205,MATCH($A757,Mitarbeiter!$A$6:$A$205,0))),"nach Austritt",IF(E757="","offen","ok"))))))))</f>
        <v/>
      </c>
      <c r="J757" s="47">
        <f>IF(A757="","",IF(E757="",Einstellungen!$C$9,E757))</f>
        <v/>
      </c>
      <c r="K757" s="48">
        <f>IF(A757="",0,IFERROR(INDEX(Mitarbeiter!$F$6:$F$205,MATCH($A757,Mitarbeiter!$A$6:$A$205,0)),0))</f>
        <v/>
      </c>
      <c r="L757" s="49">
        <f>IF(OR(A757="",D757=""),0,MAX(0,NETWORKDAYS(MAX(D757,DATE(Einstellungen!$C$3,1,1)),MIN(J757,DATE(Einstellungen!$C$3,2,0)),Einstellungen!$F$13:$F$32)))</f>
        <v/>
      </c>
      <c r="M757" s="49">
        <f>IF(OR(A757="",D757=""),0,MAX(0,NETWORKDAYS(MAX(D757,DATE(Einstellungen!$C$3,2,1)),MIN(J757,DATE(Einstellungen!$C$3,3,0)),Einstellungen!$F$13:$F$32)))</f>
        <v/>
      </c>
      <c r="N757" s="49">
        <f>IF(OR(A757="",D757=""),0,MAX(0,NETWORKDAYS(MAX(D757,DATE(Einstellungen!$C$3,3,1)),MIN(J757,DATE(Einstellungen!$C$3,4,0)),Einstellungen!$F$13:$F$32)))</f>
        <v/>
      </c>
      <c r="O757" s="49">
        <f>IF(OR(A757="",D757=""),0,MAX(0,NETWORKDAYS(MAX(D757,DATE(Einstellungen!$C$3,4,1)),MIN(J757,DATE(Einstellungen!$C$3,5,0)),Einstellungen!$F$13:$F$32)))</f>
        <v/>
      </c>
      <c r="P757" s="49">
        <f>IF(OR(A757="",D757=""),0,MAX(0,NETWORKDAYS(MAX(D757,DATE(Einstellungen!$C$3,5,1)),MIN(J757,DATE(Einstellungen!$C$3,6,0)),Einstellungen!$F$13:$F$32)))</f>
        <v/>
      </c>
      <c r="Q757" s="49">
        <f>IF(OR(A757="",D757=""),0,MAX(0,NETWORKDAYS(MAX(D757,DATE(Einstellungen!$C$3,6,1)),MIN(J757,DATE(Einstellungen!$C$3,7,0)),Einstellungen!$F$13:$F$32)))</f>
        <v/>
      </c>
      <c r="R757" s="49">
        <f>IF(OR(A757="",D757=""),0,MAX(0,NETWORKDAYS(MAX(D757,DATE(Einstellungen!$C$3,7,1)),MIN(J757,DATE(Einstellungen!$C$3,8,0)),Einstellungen!$F$13:$F$32)))</f>
        <v/>
      </c>
      <c r="S757" s="49">
        <f>IF(OR(A757="",D757=""),0,MAX(0,NETWORKDAYS(MAX(D757,DATE(Einstellungen!$C$3,8,1)),MIN(J757,DATE(Einstellungen!$C$3,9,0)),Einstellungen!$F$13:$F$32)))</f>
        <v/>
      </c>
      <c r="T757" s="49">
        <f>IF(OR(A757="",D757=""),0,MAX(0,NETWORKDAYS(MAX(D757,DATE(Einstellungen!$C$3,9,1)),MIN(J757,DATE(Einstellungen!$C$3,10,0)),Einstellungen!$F$13:$F$32)))</f>
        <v/>
      </c>
      <c r="U757" s="49">
        <f>IF(OR(A757="",D757=""),0,MAX(0,NETWORKDAYS(MAX(D757,DATE(Einstellungen!$C$3,10,1)),MIN(J757,DATE(Einstellungen!$C$3,11,0)),Einstellungen!$F$13:$F$32)))</f>
        <v/>
      </c>
      <c r="V757" s="49">
        <f>IF(OR(A757="",D757=""),0,MAX(0,NETWORKDAYS(MAX(D757,DATE(Einstellungen!$C$3,11,1)),MIN(J757,DATE(Einstellungen!$C$3,12,0)),Einstellungen!$F$13:$F$32)))</f>
        <v/>
      </c>
      <c r="W757" s="49">
        <f>IF(OR(A757="",D757=""),0,MAX(0,NETWORKDAYS(MAX(D757,DATE(Einstellungen!$C$3,12,1)),MIN(J757,DATE(Einstellungen!$C$3,13,0)),Einstellungen!$F$13:$F$32)))</f>
        <v/>
      </c>
      <c r="X757" s="50">
        <f>L757*K757</f>
        <v/>
      </c>
      <c r="Y757" s="50">
        <f>M757*K757</f>
        <v/>
      </c>
      <c r="Z757" s="50">
        <f>N757*K757</f>
        <v/>
      </c>
      <c r="AA757" s="50">
        <f>O757*K757</f>
        <v/>
      </c>
      <c r="AB757" s="50">
        <f>P757*K757</f>
        <v/>
      </c>
      <c r="AC757" s="50">
        <f>Q757*K757</f>
        <v/>
      </c>
      <c r="AD757" s="50">
        <f>R757*K757</f>
        <v/>
      </c>
      <c r="AE757" s="50">
        <f>S757*K757</f>
        <v/>
      </c>
      <c r="AF757" s="50">
        <f>T757*K757</f>
        <v/>
      </c>
      <c r="AG757" s="50">
        <f>U757*K757</f>
        <v/>
      </c>
      <c r="AH757" s="50">
        <f>V757*K757</f>
        <v/>
      </c>
      <c r="AI757" s="50">
        <f>W757*K757</f>
        <v/>
      </c>
    </row>
    <row r="758">
      <c r="A758" s="25" t="n"/>
      <c r="B758" s="45">
        <f>IF(A758="","",IFERROR(INDEX(Mitarbeiter!$B$6:$B$205,MATCH($A758,Mitarbeiter!$A$6:$A$205,0)),"?"))</f>
        <v/>
      </c>
      <c r="C758" s="46" t="n"/>
      <c r="D758" s="26" t="n"/>
      <c r="E758" s="26" t="n"/>
      <c r="F758" s="24">
        <f>IF(A758="","",SUM(L758:W758))</f>
        <v/>
      </c>
      <c r="G758" s="36">
        <f>IF(A758="","",SUM(X758:AI758))</f>
        <v/>
      </c>
      <c r="H758" s="8">
        <f>IF(A758="","",IF(ISNA(MATCH(A758,Mitarbeiter!$A$6:$A$205,0)),"Pers.-Nr. unbekannt",IF(D758="","Von fehlt",IF(AND(C758&lt;&gt;Einstellungen!$C$4,C758&lt;&gt;Einstellungen!$C$5),"Objekt fehlt",IF(J758&lt;D758,"Bis vor Von",IF(D758&lt;INDEX(Mitarbeiter!$C$6:$C$205,MATCH($A758,Mitarbeiter!$A$6:$A$205,0)),"vor Eintritt",IF(AND(INDEX(Mitarbeiter!$D$6:$D$205,MATCH($A758,Mitarbeiter!$A$6:$A$205,0))&lt;&gt;"",D758&gt;INDEX(Mitarbeiter!$D$6:$D$205,MATCH($A758,Mitarbeiter!$A$6:$A$205,0))),"nach Austritt",IF(E758="","offen","ok"))))))))</f>
        <v/>
      </c>
      <c r="J758" s="47">
        <f>IF(A758="","",IF(E758="",Einstellungen!$C$9,E758))</f>
        <v/>
      </c>
      <c r="K758" s="48">
        <f>IF(A758="",0,IFERROR(INDEX(Mitarbeiter!$F$6:$F$205,MATCH($A758,Mitarbeiter!$A$6:$A$205,0)),0))</f>
        <v/>
      </c>
      <c r="L758" s="49">
        <f>IF(OR(A758="",D758=""),0,MAX(0,NETWORKDAYS(MAX(D758,DATE(Einstellungen!$C$3,1,1)),MIN(J758,DATE(Einstellungen!$C$3,2,0)),Einstellungen!$F$13:$F$32)))</f>
        <v/>
      </c>
      <c r="M758" s="49">
        <f>IF(OR(A758="",D758=""),0,MAX(0,NETWORKDAYS(MAX(D758,DATE(Einstellungen!$C$3,2,1)),MIN(J758,DATE(Einstellungen!$C$3,3,0)),Einstellungen!$F$13:$F$32)))</f>
        <v/>
      </c>
      <c r="N758" s="49">
        <f>IF(OR(A758="",D758=""),0,MAX(0,NETWORKDAYS(MAX(D758,DATE(Einstellungen!$C$3,3,1)),MIN(J758,DATE(Einstellungen!$C$3,4,0)),Einstellungen!$F$13:$F$32)))</f>
        <v/>
      </c>
      <c r="O758" s="49">
        <f>IF(OR(A758="",D758=""),0,MAX(0,NETWORKDAYS(MAX(D758,DATE(Einstellungen!$C$3,4,1)),MIN(J758,DATE(Einstellungen!$C$3,5,0)),Einstellungen!$F$13:$F$32)))</f>
        <v/>
      </c>
      <c r="P758" s="49">
        <f>IF(OR(A758="",D758=""),0,MAX(0,NETWORKDAYS(MAX(D758,DATE(Einstellungen!$C$3,5,1)),MIN(J758,DATE(Einstellungen!$C$3,6,0)),Einstellungen!$F$13:$F$32)))</f>
        <v/>
      </c>
      <c r="Q758" s="49">
        <f>IF(OR(A758="",D758=""),0,MAX(0,NETWORKDAYS(MAX(D758,DATE(Einstellungen!$C$3,6,1)),MIN(J758,DATE(Einstellungen!$C$3,7,0)),Einstellungen!$F$13:$F$32)))</f>
        <v/>
      </c>
      <c r="R758" s="49">
        <f>IF(OR(A758="",D758=""),0,MAX(0,NETWORKDAYS(MAX(D758,DATE(Einstellungen!$C$3,7,1)),MIN(J758,DATE(Einstellungen!$C$3,8,0)),Einstellungen!$F$13:$F$32)))</f>
        <v/>
      </c>
      <c r="S758" s="49">
        <f>IF(OR(A758="",D758=""),0,MAX(0,NETWORKDAYS(MAX(D758,DATE(Einstellungen!$C$3,8,1)),MIN(J758,DATE(Einstellungen!$C$3,9,0)),Einstellungen!$F$13:$F$32)))</f>
        <v/>
      </c>
      <c r="T758" s="49">
        <f>IF(OR(A758="",D758=""),0,MAX(0,NETWORKDAYS(MAX(D758,DATE(Einstellungen!$C$3,9,1)),MIN(J758,DATE(Einstellungen!$C$3,10,0)),Einstellungen!$F$13:$F$32)))</f>
        <v/>
      </c>
      <c r="U758" s="49">
        <f>IF(OR(A758="",D758=""),0,MAX(0,NETWORKDAYS(MAX(D758,DATE(Einstellungen!$C$3,10,1)),MIN(J758,DATE(Einstellungen!$C$3,11,0)),Einstellungen!$F$13:$F$32)))</f>
        <v/>
      </c>
      <c r="V758" s="49">
        <f>IF(OR(A758="",D758=""),0,MAX(0,NETWORKDAYS(MAX(D758,DATE(Einstellungen!$C$3,11,1)),MIN(J758,DATE(Einstellungen!$C$3,12,0)),Einstellungen!$F$13:$F$32)))</f>
        <v/>
      </c>
      <c r="W758" s="49">
        <f>IF(OR(A758="",D758=""),0,MAX(0,NETWORKDAYS(MAX(D758,DATE(Einstellungen!$C$3,12,1)),MIN(J758,DATE(Einstellungen!$C$3,13,0)),Einstellungen!$F$13:$F$32)))</f>
        <v/>
      </c>
      <c r="X758" s="50">
        <f>L758*K758</f>
        <v/>
      </c>
      <c r="Y758" s="50">
        <f>M758*K758</f>
        <v/>
      </c>
      <c r="Z758" s="50">
        <f>N758*K758</f>
        <v/>
      </c>
      <c r="AA758" s="50">
        <f>O758*K758</f>
        <v/>
      </c>
      <c r="AB758" s="50">
        <f>P758*K758</f>
        <v/>
      </c>
      <c r="AC758" s="50">
        <f>Q758*K758</f>
        <v/>
      </c>
      <c r="AD758" s="50">
        <f>R758*K758</f>
        <v/>
      </c>
      <c r="AE758" s="50">
        <f>S758*K758</f>
        <v/>
      </c>
      <c r="AF758" s="50">
        <f>T758*K758</f>
        <v/>
      </c>
      <c r="AG758" s="50">
        <f>U758*K758</f>
        <v/>
      </c>
      <c r="AH758" s="50">
        <f>V758*K758</f>
        <v/>
      </c>
      <c r="AI758" s="50">
        <f>W758*K758</f>
        <v/>
      </c>
    </row>
    <row r="759">
      <c r="A759" s="25" t="n"/>
      <c r="B759" s="45">
        <f>IF(A759="","",IFERROR(INDEX(Mitarbeiter!$B$6:$B$205,MATCH($A759,Mitarbeiter!$A$6:$A$205,0)),"?"))</f>
        <v/>
      </c>
      <c r="C759" s="46" t="n"/>
      <c r="D759" s="26" t="n"/>
      <c r="E759" s="26" t="n"/>
      <c r="F759" s="24">
        <f>IF(A759="","",SUM(L759:W759))</f>
        <v/>
      </c>
      <c r="G759" s="36">
        <f>IF(A759="","",SUM(X759:AI759))</f>
        <v/>
      </c>
      <c r="H759" s="8">
        <f>IF(A759="","",IF(ISNA(MATCH(A759,Mitarbeiter!$A$6:$A$205,0)),"Pers.-Nr. unbekannt",IF(D759="","Von fehlt",IF(AND(C759&lt;&gt;Einstellungen!$C$4,C759&lt;&gt;Einstellungen!$C$5),"Objekt fehlt",IF(J759&lt;D759,"Bis vor Von",IF(D759&lt;INDEX(Mitarbeiter!$C$6:$C$205,MATCH($A759,Mitarbeiter!$A$6:$A$205,0)),"vor Eintritt",IF(AND(INDEX(Mitarbeiter!$D$6:$D$205,MATCH($A759,Mitarbeiter!$A$6:$A$205,0))&lt;&gt;"",D759&gt;INDEX(Mitarbeiter!$D$6:$D$205,MATCH($A759,Mitarbeiter!$A$6:$A$205,0))),"nach Austritt",IF(E759="","offen","ok"))))))))</f>
        <v/>
      </c>
      <c r="J759" s="47">
        <f>IF(A759="","",IF(E759="",Einstellungen!$C$9,E759))</f>
        <v/>
      </c>
      <c r="K759" s="48">
        <f>IF(A759="",0,IFERROR(INDEX(Mitarbeiter!$F$6:$F$205,MATCH($A759,Mitarbeiter!$A$6:$A$205,0)),0))</f>
        <v/>
      </c>
      <c r="L759" s="49">
        <f>IF(OR(A759="",D759=""),0,MAX(0,NETWORKDAYS(MAX(D759,DATE(Einstellungen!$C$3,1,1)),MIN(J759,DATE(Einstellungen!$C$3,2,0)),Einstellungen!$F$13:$F$32)))</f>
        <v/>
      </c>
      <c r="M759" s="49">
        <f>IF(OR(A759="",D759=""),0,MAX(0,NETWORKDAYS(MAX(D759,DATE(Einstellungen!$C$3,2,1)),MIN(J759,DATE(Einstellungen!$C$3,3,0)),Einstellungen!$F$13:$F$32)))</f>
        <v/>
      </c>
      <c r="N759" s="49">
        <f>IF(OR(A759="",D759=""),0,MAX(0,NETWORKDAYS(MAX(D759,DATE(Einstellungen!$C$3,3,1)),MIN(J759,DATE(Einstellungen!$C$3,4,0)),Einstellungen!$F$13:$F$32)))</f>
        <v/>
      </c>
      <c r="O759" s="49">
        <f>IF(OR(A759="",D759=""),0,MAX(0,NETWORKDAYS(MAX(D759,DATE(Einstellungen!$C$3,4,1)),MIN(J759,DATE(Einstellungen!$C$3,5,0)),Einstellungen!$F$13:$F$32)))</f>
        <v/>
      </c>
      <c r="P759" s="49">
        <f>IF(OR(A759="",D759=""),0,MAX(0,NETWORKDAYS(MAX(D759,DATE(Einstellungen!$C$3,5,1)),MIN(J759,DATE(Einstellungen!$C$3,6,0)),Einstellungen!$F$13:$F$32)))</f>
        <v/>
      </c>
      <c r="Q759" s="49">
        <f>IF(OR(A759="",D759=""),0,MAX(0,NETWORKDAYS(MAX(D759,DATE(Einstellungen!$C$3,6,1)),MIN(J759,DATE(Einstellungen!$C$3,7,0)),Einstellungen!$F$13:$F$32)))</f>
        <v/>
      </c>
      <c r="R759" s="49">
        <f>IF(OR(A759="",D759=""),0,MAX(0,NETWORKDAYS(MAX(D759,DATE(Einstellungen!$C$3,7,1)),MIN(J759,DATE(Einstellungen!$C$3,8,0)),Einstellungen!$F$13:$F$32)))</f>
        <v/>
      </c>
      <c r="S759" s="49">
        <f>IF(OR(A759="",D759=""),0,MAX(0,NETWORKDAYS(MAX(D759,DATE(Einstellungen!$C$3,8,1)),MIN(J759,DATE(Einstellungen!$C$3,9,0)),Einstellungen!$F$13:$F$32)))</f>
        <v/>
      </c>
      <c r="T759" s="49">
        <f>IF(OR(A759="",D759=""),0,MAX(0,NETWORKDAYS(MAX(D759,DATE(Einstellungen!$C$3,9,1)),MIN(J759,DATE(Einstellungen!$C$3,10,0)),Einstellungen!$F$13:$F$32)))</f>
        <v/>
      </c>
      <c r="U759" s="49">
        <f>IF(OR(A759="",D759=""),0,MAX(0,NETWORKDAYS(MAX(D759,DATE(Einstellungen!$C$3,10,1)),MIN(J759,DATE(Einstellungen!$C$3,11,0)),Einstellungen!$F$13:$F$32)))</f>
        <v/>
      </c>
      <c r="V759" s="49">
        <f>IF(OR(A759="",D759=""),0,MAX(0,NETWORKDAYS(MAX(D759,DATE(Einstellungen!$C$3,11,1)),MIN(J759,DATE(Einstellungen!$C$3,12,0)),Einstellungen!$F$13:$F$32)))</f>
        <v/>
      </c>
      <c r="W759" s="49">
        <f>IF(OR(A759="",D759=""),0,MAX(0,NETWORKDAYS(MAX(D759,DATE(Einstellungen!$C$3,12,1)),MIN(J759,DATE(Einstellungen!$C$3,13,0)),Einstellungen!$F$13:$F$32)))</f>
        <v/>
      </c>
      <c r="X759" s="50">
        <f>L759*K759</f>
        <v/>
      </c>
      <c r="Y759" s="50">
        <f>M759*K759</f>
        <v/>
      </c>
      <c r="Z759" s="50">
        <f>N759*K759</f>
        <v/>
      </c>
      <c r="AA759" s="50">
        <f>O759*K759</f>
        <v/>
      </c>
      <c r="AB759" s="50">
        <f>P759*K759</f>
        <v/>
      </c>
      <c r="AC759" s="50">
        <f>Q759*K759</f>
        <v/>
      </c>
      <c r="AD759" s="50">
        <f>R759*K759</f>
        <v/>
      </c>
      <c r="AE759" s="50">
        <f>S759*K759</f>
        <v/>
      </c>
      <c r="AF759" s="50">
        <f>T759*K759</f>
        <v/>
      </c>
      <c r="AG759" s="50">
        <f>U759*K759</f>
        <v/>
      </c>
      <c r="AH759" s="50">
        <f>V759*K759</f>
        <v/>
      </c>
      <c r="AI759" s="50">
        <f>W759*K759</f>
        <v/>
      </c>
    </row>
    <row r="760">
      <c r="A760" s="25" t="n"/>
      <c r="B760" s="45">
        <f>IF(A760="","",IFERROR(INDEX(Mitarbeiter!$B$6:$B$205,MATCH($A760,Mitarbeiter!$A$6:$A$205,0)),"?"))</f>
        <v/>
      </c>
      <c r="C760" s="46" t="n"/>
      <c r="D760" s="26" t="n"/>
      <c r="E760" s="26" t="n"/>
      <c r="F760" s="24">
        <f>IF(A760="","",SUM(L760:W760))</f>
        <v/>
      </c>
      <c r="G760" s="36">
        <f>IF(A760="","",SUM(X760:AI760))</f>
        <v/>
      </c>
      <c r="H760" s="8">
        <f>IF(A760="","",IF(ISNA(MATCH(A760,Mitarbeiter!$A$6:$A$205,0)),"Pers.-Nr. unbekannt",IF(D760="","Von fehlt",IF(AND(C760&lt;&gt;Einstellungen!$C$4,C760&lt;&gt;Einstellungen!$C$5),"Objekt fehlt",IF(J760&lt;D760,"Bis vor Von",IF(D760&lt;INDEX(Mitarbeiter!$C$6:$C$205,MATCH($A760,Mitarbeiter!$A$6:$A$205,0)),"vor Eintritt",IF(AND(INDEX(Mitarbeiter!$D$6:$D$205,MATCH($A760,Mitarbeiter!$A$6:$A$205,0))&lt;&gt;"",D760&gt;INDEX(Mitarbeiter!$D$6:$D$205,MATCH($A760,Mitarbeiter!$A$6:$A$205,0))),"nach Austritt",IF(E760="","offen","ok"))))))))</f>
        <v/>
      </c>
      <c r="J760" s="47">
        <f>IF(A760="","",IF(E760="",Einstellungen!$C$9,E760))</f>
        <v/>
      </c>
      <c r="K760" s="48">
        <f>IF(A760="",0,IFERROR(INDEX(Mitarbeiter!$F$6:$F$205,MATCH($A760,Mitarbeiter!$A$6:$A$205,0)),0))</f>
        <v/>
      </c>
      <c r="L760" s="49">
        <f>IF(OR(A760="",D760=""),0,MAX(0,NETWORKDAYS(MAX(D760,DATE(Einstellungen!$C$3,1,1)),MIN(J760,DATE(Einstellungen!$C$3,2,0)),Einstellungen!$F$13:$F$32)))</f>
        <v/>
      </c>
      <c r="M760" s="49">
        <f>IF(OR(A760="",D760=""),0,MAX(0,NETWORKDAYS(MAX(D760,DATE(Einstellungen!$C$3,2,1)),MIN(J760,DATE(Einstellungen!$C$3,3,0)),Einstellungen!$F$13:$F$32)))</f>
        <v/>
      </c>
      <c r="N760" s="49">
        <f>IF(OR(A760="",D760=""),0,MAX(0,NETWORKDAYS(MAX(D760,DATE(Einstellungen!$C$3,3,1)),MIN(J760,DATE(Einstellungen!$C$3,4,0)),Einstellungen!$F$13:$F$32)))</f>
        <v/>
      </c>
      <c r="O760" s="49">
        <f>IF(OR(A760="",D760=""),0,MAX(0,NETWORKDAYS(MAX(D760,DATE(Einstellungen!$C$3,4,1)),MIN(J760,DATE(Einstellungen!$C$3,5,0)),Einstellungen!$F$13:$F$32)))</f>
        <v/>
      </c>
      <c r="P760" s="49">
        <f>IF(OR(A760="",D760=""),0,MAX(0,NETWORKDAYS(MAX(D760,DATE(Einstellungen!$C$3,5,1)),MIN(J760,DATE(Einstellungen!$C$3,6,0)),Einstellungen!$F$13:$F$32)))</f>
        <v/>
      </c>
      <c r="Q760" s="49">
        <f>IF(OR(A760="",D760=""),0,MAX(0,NETWORKDAYS(MAX(D760,DATE(Einstellungen!$C$3,6,1)),MIN(J760,DATE(Einstellungen!$C$3,7,0)),Einstellungen!$F$13:$F$32)))</f>
        <v/>
      </c>
      <c r="R760" s="49">
        <f>IF(OR(A760="",D760=""),0,MAX(0,NETWORKDAYS(MAX(D760,DATE(Einstellungen!$C$3,7,1)),MIN(J760,DATE(Einstellungen!$C$3,8,0)),Einstellungen!$F$13:$F$32)))</f>
        <v/>
      </c>
      <c r="S760" s="49">
        <f>IF(OR(A760="",D760=""),0,MAX(0,NETWORKDAYS(MAX(D760,DATE(Einstellungen!$C$3,8,1)),MIN(J760,DATE(Einstellungen!$C$3,9,0)),Einstellungen!$F$13:$F$32)))</f>
        <v/>
      </c>
      <c r="T760" s="49">
        <f>IF(OR(A760="",D760=""),0,MAX(0,NETWORKDAYS(MAX(D760,DATE(Einstellungen!$C$3,9,1)),MIN(J760,DATE(Einstellungen!$C$3,10,0)),Einstellungen!$F$13:$F$32)))</f>
        <v/>
      </c>
      <c r="U760" s="49">
        <f>IF(OR(A760="",D760=""),0,MAX(0,NETWORKDAYS(MAX(D760,DATE(Einstellungen!$C$3,10,1)),MIN(J760,DATE(Einstellungen!$C$3,11,0)),Einstellungen!$F$13:$F$32)))</f>
        <v/>
      </c>
      <c r="V760" s="49">
        <f>IF(OR(A760="",D760=""),0,MAX(0,NETWORKDAYS(MAX(D760,DATE(Einstellungen!$C$3,11,1)),MIN(J760,DATE(Einstellungen!$C$3,12,0)),Einstellungen!$F$13:$F$32)))</f>
        <v/>
      </c>
      <c r="W760" s="49">
        <f>IF(OR(A760="",D760=""),0,MAX(0,NETWORKDAYS(MAX(D760,DATE(Einstellungen!$C$3,12,1)),MIN(J760,DATE(Einstellungen!$C$3,13,0)),Einstellungen!$F$13:$F$32)))</f>
        <v/>
      </c>
      <c r="X760" s="50">
        <f>L760*K760</f>
        <v/>
      </c>
      <c r="Y760" s="50">
        <f>M760*K760</f>
        <v/>
      </c>
      <c r="Z760" s="50">
        <f>N760*K760</f>
        <v/>
      </c>
      <c r="AA760" s="50">
        <f>O760*K760</f>
        <v/>
      </c>
      <c r="AB760" s="50">
        <f>P760*K760</f>
        <v/>
      </c>
      <c r="AC760" s="50">
        <f>Q760*K760</f>
        <v/>
      </c>
      <c r="AD760" s="50">
        <f>R760*K760</f>
        <v/>
      </c>
      <c r="AE760" s="50">
        <f>S760*K760</f>
        <v/>
      </c>
      <c r="AF760" s="50">
        <f>T760*K760</f>
        <v/>
      </c>
      <c r="AG760" s="50">
        <f>U760*K760</f>
        <v/>
      </c>
      <c r="AH760" s="50">
        <f>V760*K760</f>
        <v/>
      </c>
      <c r="AI760" s="50">
        <f>W760*K760</f>
        <v/>
      </c>
    </row>
    <row r="761">
      <c r="A761" s="25" t="n"/>
      <c r="B761" s="45">
        <f>IF(A761="","",IFERROR(INDEX(Mitarbeiter!$B$6:$B$205,MATCH($A761,Mitarbeiter!$A$6:$A$205,0)),"?"))</f>
        <v/>
      </c>
      <c r="C761" s="46" t="n"/>
      <c r="D761" s="26" t="n"/>
      <c r="E761" s="26" t="n"/>
      <c r="F761" s="24">
        <f>IF(A761="","",SUM(L761:W761))</f>
        <v/>
      </c>
      <c r="G761" s="36">
        <f>IF(A761="","",SUM(X761:AI761))</f>
        <v/>
      </c>
      <c r="H761" s="8">
        <f>IF(A761="","",IF(ISNA(MATCH(A761,Mitarbeiter!$A$6:$A$205,0)),"Pers.-Nr. unbekannt",IF(D761="","Von fehlt",IF(AND(C761&lt;&gt;Einstellungen!$C$4,C761&lt;&gt;Einstellungen!$C$5),"Objekt fehlt",IF(J761&lt;D761,"Bis vor Von",IF(D761&lt;INDEX(Mitarbeiter!$C$6:$C$205,MATCH($A761,Mitarbeiter!$A$6:$A$205,0)),"vor Eintritt",IF(AND(INDEX(Mitarbeiter!$D$6:$D$205,MATCH($A761,Mitarbeiter!$A$6:$A$205,0))&lt;&gt;"",D761&gt;INDEX(Mitarbeiter!$D$6:$D$205,MATCH($A761,Mitarbeiter!$A$6:$A$205,0))),"nach Austritt",IF(E761="","offen","ok"))))))))</f>
        <v/>
      </c>
      <c r="J761" s="47">
        <f>IF(A761="","",IF(E761="",Einstellungen!$C$9,E761))</f>
        <v/>
      </c>
      <c r="K761" s="48">
        <f>IF(A761="",0,IFERROR(INDEX(Mitarbeiter!$F$6:$F$205,MATCH($A761,Mitarbeiter!$A$6:$A$205,0)),0))</f>
        <v/>
      </c>
      <c r="L761" s="49">
        <f>IF(OR(A761="",D761=""),0,MAX(0,NETWORKDAYS(MAX(D761,DATE(Einstellungen!$C$3,1,1)),MIN(J761,DATE(Einstellungen!$C$3,2,0)),Einstellungen!$F$13:$F$32)))</f>
        <v/>
      </c>
      <c r="M761" s="49">
        <f>IF(OR(A761="",D761=""),0,MAX(0,NETWORKDAYS(MAX(D761,DATE(Einstellungen!$C$3,2,1)),MIN(J761,DATE(Einstellungen!$C$3,3,0)),Einstellungen!$F$13:$F$32)))</f>
        <v/>
      </c>
      <c r="N761" s="49">
        <f>IF(OR(A761="",D761=""),0,MAX(0,NETWORKDAYS(MAX(D761,DATE(Einstellungen!$C$3,3,1)),MIN(J761,DATE(Einstellungen!$C$3,4,0)),Einstellungen!$F$13:$F$32)))</f>
        <v/>
      </c>
      <c r="O761" s="49">
        <f>IF(OR(A761="",D761=""),0,MAX(0,NETWORKDAYS(MAX(D761,DATE(Einstellungen!$C$3,4,1)),MIN(J761,DATE(Einstellungen!$C$3,5,0)),Einstellungen!$F$13:$F$32)))</f>
        <v/>
      </c>
      <c r="P761" s="49">
        <f>IF(OR(A761="",D761=""),0,MAX(0,NETWORKDAYS(MAX(D761,DATE(Einstellungen!$C$3,5,1)),MIN(J761,DATE(Einstellungen!$C$3,6,0)),Einstellungen!$F$13:$F$32)))</f>
        <v/>
      </c>
      <c r="Q761" s="49">
        <f>IF(OR(A761="",D761=""),0,MAX(0,NETWORKDAYS(MAX(D761,DATE(Einstellungen!$C$3,6,1)),MIN(J761,DATE(Einstellungen!$C$3,7,0)),Einstellungen!$F$13:$F$32)))</f>
        <v/>
      </c>
      <c r="R761" s="49">
        <f>IF(OR(A761="",D761=""),0,MAX(0,NETWORKDAYS(MAX(D761,DATE(Einstellungen!$C$3,7,1)),MIN(J761,DATE(Einstellungen!$C$3,8,0)),Einstellungen!$F$13:$F$32)))</f>
        <v/>
      </c>
      <c r="S761" s="49">
        <f>IF(OR(A761="",D761=""),0,MAX(0,NETWORKDAYS(MAX(D761,DATE(Einstellungen!$C$3,8,1)),MIN(J761,DATE(Einstellungen!$C$3,9,0)),Einstellungen!$F$13:$F$32)))</f>
        <v/>
      </c>
      <c r="T761" s="49">
        <f>IF(OR(A761="",D761=""),0,MAX(0,NETWORKDAYS(MAX(D761,DATE(Einstellungen!$C$3,9,1)),MIN(J761,DATE(Einstellungen!$C$3,10,0)),Einstellungen!$F$13:$F$32)))</f>
        <v/>
      </c>
      <c r="U761" s="49">
        <f>IF(OR(A761="",D761=""),0,MAX(0,NETWORKDAYS(MAX(D761,DATE(Einstellungen!$C$3,10,1)),MIN(J761,DATE(Einstellungen!$C$3,11,0)),Einstellungen!$F$13:$F$32)))</f>
        <v/>
      </c>
      <c r="V761" s="49">
        <f>IF(OR(A761="",D761=""),0,MAX(0,NETWORKDAYS(MAX(D761,DATE(Einstellungen!$C$3,11,1)),MIN(J761,DATE(Einstellungen!$C$3,12,0)),Einstellungen!$F$13:$F$32)))</f>
        <v/>
      </c>
      <c r="W761" s="49">
        <f>IF(OR(A761="",D761=""),0,MAX(0,NETWORKDAYS(MAX(D761,DATE(Einstellungen!$C$3,12,1)),MIN(J761,DATE(Einstellungen!$C$3,13,0)),Einstellungen!$F$13:$F$32)))</f>
        <v/>
      </c>
      <c r="X761" s="50">
        <f>L761*K761</f>
        <v/>
      </c>
      <c r="Y761" s="50">
        <f>M761*K761</f>
        <v/>
      </c>
      <c r="Z761" s="50">
        <f>N761*K761</f>
        <v/>
      </c>
      <c r="AA761" s="50">
        <f>O761*K761</f>
        <v/>
      </c>
      <c r="AB761" s="50">
        <f>P761*K761</f>
        <v/>
      </c>
      <c r="AC761" s="50">
        <f>Q761*K761</f>
        <v/>
      </c>
      <c r="AD761" s="50">
        <f>R761*K761</f>
        <v/>
      </c>
      <c r="AE761" s="50">
        <f>S761*K761</f>
        <v/>
      </c>
      <c r="AF761" s="50">
        <f>T761*K761</f>
        <v/>
      </c>
      <c r="AG761" s="50">
        <f>U761*K761</f>
        <v/>
      </c>
      <c r="AH761" s="50">
        <f>V761*K761</f>
        <v/>
      </c>
      <c r="AI761" s="50">
        <f>W761*K761</f>
        <v/>
      </c>
    </row>
    <row r="762">
      <c r="A762" s="25" t="n"/>
      <c r="B762" s="45">
        <f>IF(A762="","",IFERROR(INDEX(Mitarbeiter!$B$6:$B$205,MATCH($A762,Mitarbeiter!$A$6:$A$205,0)),"?"))</f>
        <v/>
      </c>
      <c r="C762" s="46" t="n"/>
      <c r="D762" s="26" t="n"/>
      <c r="E762" s="26" t="n"/>
      <c r="F762" s="24">
        <f>IF(A762="","",SUM(L762:W762))</f>
        <v/>
      </c>
      <c r="G762" s="36">
        <f>IF(A762="","",SUM(X762:AI762))</f>
        <v/>
      </c>
      <c r="H762" s="8">
        <f>IF(A762="","",IF(ISNA(MATCH(A762,Mitarbeiter!$A$6:$A$205,0)),"Pers.-Nr. unbekannt",IF(D762="","Von fehlt",IF(AND(C762&lt;&gt;Einstellungen!$C$4,C762&lt;&gt;Einstellungen!$C$5),"Objekt fehlt",IF(J762&lt;D762,"Bis vor Von",IF(D762&lt;INDEX(Mitarbeiter!$C$6:$C$205,MATCH($A762,Mitarbeiter!$A$6:$A$205,0)),"vor Eintritt",IF(AND(INDEX(Mitarbeiter!$D$6:$D$205,MATCH($A762,Mitarbeiter!$A$6:$A$205,0))&lt;&gt;"",D762&gt;INDEX(Mitarbeiter!$D$6:$D$205,MATCH($A762,Mitarbeiter!$A$6:$A$205,0))),"nach Austritt",IF(E762="","offen","ok"))))))))</f>
        <v/>
      </c>
      <c r="J762" s="47">
        <f>IF(A762="","",IF(E762="",Einstellungen!$C$9,E762))</f>
        <v/>
      </c>
      <c r="K762" s="48">
        <f>IF(A762="",0,IFERROR(INDEX(Mitarbeiter!$F$6:$F$205,MATCH($A762,Mitarbeiter!$A$6:$A$205,0)),0))</f>
        <v/>
      </c>
      <c r="L762" s="49">
        <f>IF(OR(A762="",D762=""),0,MAX(0,NETWORKDAYS(MAX(D762,DATE(Einstellungen!$C$3,1,1)),MIN(J762,DATE(Einstellungen!$C$3,2,0)),Einstellungen!$F$13:$F$32)))</f>
        <v/>
      </c>
      <c r="M762" s="49">
        <f>IF(OR(A762="",D762=""),0,MAX(0,NETWORKDAYS(MAX(D762,DATE(Einstellungen!$C$3,2,1)),MIN(J762,DATE(Einstellungen!$C$3,3,0)),Einstellungen!$F$13:$F$32)))</f>
        <v/>
      </c>
      <c r="N762" s="49">
        <f>IF(OR(A762="",D762=""),0,MAX(0,NETWORKDAYS(MAX(D762,DATE(Einstellungen!$C$3,3,1)),MIN(J762,DATE(Einstellungen!$C$3,4,0)),Einstellungen!$F$13:$F$32)))</f>
        <v/>
      </c>
      <c r="O762" s="49">
        <f>IF(OR(A762="",D762=""),0,MAX(0,NETWORKDAYS(MAX(D762,DATE(Einstellungen!$C$3,4,1)),MIN(J762,DATE(Einstellungen!$C$3,5,0)),Einstellungen!$F$13:$F$32)))</f>
        <v/>
      </c>
      <c r="P762" s="49">
        <f>IF(OR(A762="",D762=""),0,MAX(0,NETWORKDAYS(MAX(D762,DATE(Einstellungen!$C$3,5,1)),MIN(J762,DATE(Einstellungen!$C$3,6,0)),Einstellungen!$F$13:$F$32)))</f>
        <v/>
      </c>
      <c r="Q762" s="49">
        <f>IF(OR(A762="",D762=""),0,MAX(0,NETWORKDAYS(MAX(D762,DATE(Einstellungen!$C$3,6,1)),MIN(J762,DATE(Einstellungen!$C$3,7,0)),Einstellungen!$F$13:$F$32)))</f>
        <v/>
      </c>
      <c r="R762" s="49">
        <f>IF(OR(A762="",D762=""),0,MAX(0,NETWORKDAYS(MAX(D762,DATE(Einstellungen!$C$3,7,1)),MIN(J762,DATE(Einstellungen!$C$3,8,0)),Einstellungen!$F$13:$F$32)))</f>
        <v/>
      </c>
      <c r="S762" s="49">
        <f>IF(OR(A762="",D762=""),0,MAX(0,NETWORKDAYS(MAX(D762,DATE(Einstellungen!$C$3,8,1)),MIN(J762,DATE(Einstellungen!$C$3,9,0)),Einstellungen!$F$13:$F$32)))</f>
        <v/>
      </c>
      <c r="T762" s="49">
        <f>IF(OR(A762="",D762=""),0,MAX(0,NETWORKDAYS(MAX(D762,DATE(Einstellungen!$C$3,9,1)),MIN(J762,DATE(Einstellungen!$C$3,10,0)),Einstellungen!$F$13:$F$32)))</f>
        <v/>
      </c>
      <c r="U762" s="49">
        <f>IF(OR(A762="",D762=""),0,MAX(0,NETWORKDAYS(MAX(D762,DATE(Einstellungen!$C$3,10,1)),MIN(J762,DATE(Einstellungen!$C$3,11,0)),Einstellungen!$F$13:$F$32)))</f>
        <v/>
      </c>
      <c r="V762" s="49">
        <f>IF(OR(A762="",D762=""),0,MAX(0,NETWORKDAYS(MAX(D762,DATE(Einstellungen!$C$3,11,1)),MIN(J762,DATE(Einstellungen!$C$3,12,0)),Einstellungen!$F$13:$F$32)))</f>
        <v/>
      </c>
      <c r="W762" s="49">
        <f>IF(OR(A762="",D762=""),0,MAX(0,NETWORKDAYS(MAX(D762,DATE(Einstellungen!$C$3,12,1)),MIN(J762,DATE(Einstellungen!$C$3,13,0)),Einstellungen!$F$13:$F$32)))</f>
        <v/>
      </c>
      <c r="X762" s="50">
        <f>L762*K762</f>
        <v/>
      </c>
      <c r="Y762" s="50">
        <f>M762*K762</f>
        <v/>
      </c>
      <c r="Z762" s="50">
        <f>N762*K762</f>
        <v/>
      </c>
      <c r="AA762" s="50">
        <f>O762*K762</f>
        <v/>
      </c>
      <c r="AB762" s="50">
        <f>P762*K762</f>
        <v/>
      </c>
      <c r="AC762" s="50">
        <f>Q762*K762</f>
        <v/>
      </c>
      <c r="AD762" s="50">
        <f>R762*K762</f>
        <v/>
      </c>
      <c r="AE762" s="50">
        <f>S762*K762</f>
        <v/>
      </c>
      <c r="AF762" s="50">
        <f>T762*K762</f>
        <v/>
      </c>
      <c r="AG762" s="50">
        <f>U762*K762</f>
        <v/>
      </c>
      <c r="AH762" s="50">
        <f>V762*K762</f>
        <v/>
      </c>
      <c r="AI762" s="50">
        <f>W762*K762</f>
        <v/>
      </c>
    </row>
    <row r="763">
      <c r="A763" s="25" t="n"/>
      <c r="B763" s="45">
        <f>IF(A763="","",IFERROR(INDEX(Mitarbeiter!$B$6:$B$205,MATCH($A763,Mitarbeiter!$A$6:$A$205,0)),"?"))</f>
        <v/>
      </c>
      <c r="C763" s="46" t="n"/>
      <c r="D763" s="26" t="n"/>
      <c r="E763" s="26" t="n"/>
      <c r="F763" s="24">
        <f>IF(A763="","",SUM(L763:W763))</f>
        <v/>
      </c>
      <c r="G763" s="36">
        <f>IF(A763="","",SUM(X763:AI763))</f>
        <v/>
      </c>
      <c r="H763" s="8">
        <f>IF(A763="","",IF(ISNA(MATCH(A763,Mitarbeiter!$A$6:$A$205,0)),"Pers.-Nr. unbekannt",IF(D763="","Von fehlt",IF(AND(C763&lt;&gt;Einstellungen!$C$4,C763&lt;&gt;Einstellungen!$C$5),"Objekt fehlt",IF(J763&lt;D763,"Bis vor Von",IF(D763&lt;INDEX(Mitarbeiter!$C$6:$C$205,MATCH($A763,Mitarbeiter!$A$6:$A$205,0)),"vor Eintritt",IF(AND(INDEX(Mitarbeiter!$D$6:$D$205,MATCH($A763,Mitarbeiter!$A$6:$A$205,0))&lt;&gt;"",D763&gt;INDEX(Mitarbeiter!$D$6:$D$205,MATCH($A763,Mitarbeiter!$A$6:$A$205,0))),"nach Austritt",IF(E763="","offen","ok"))))))))</f>
        <v/>
      </c>
      <c r="J763" s="47">
        <f>IF(A763="","",IF(E763="",Einstellungen!$C$9,E763))</f>
        <v/>
      </c>
      <c r="K763" s="48">
        <f>IF(A763="",0,IFERROR(INDEX(Mitarbeiter!$F$6:$F$205,MATCH($A763,Mitarbeiter!$A$6:$A$205,0)),0))</f>
        <v/>
      </c>
      <c r="L763" s="49">
        <f>IF(OR(A763="",D763=""),0,MAX(0,NETWORKDAYS(MAX(D763,DATE(Einstellungen!$C$3,1,1)),MIN(J763,DATE(Einstellungen!$C$3,2,0)),Einstellungen!$F$13:$F$32)))</f>
        <v/>
      </c>
      <c r="M763" s="49">
        <f>IF(OR(A763="",D763=""),0,MAX(0,NETWORKDAYS(MAX(D763,DATE(Einstellungen!$C$3,2,1)),MIN(J763,DATE(Einstellungen!$C$3,3,0)),Einstellungen!$F$13:$F$32)))</f>
        <v/>
      </c>
      <c r="N763" s="49">
        <f>IF(OR(A763="",D763=""),0,MAX(0,NETWORKDAYS(MAX(D763,DATE(Einstellungen!$C$3,3,1)),MIN(J763,DATE(Einstellungen!$C$3,4,0)),Einstellungen!$F$13:$F$32)))</f>
        <v/>
      </c>
      <c r="O763" s="49">
        <f>IF(OR(A763="",D763=""),0,MAX(0,NETWORKDAYS(MAX(D763,DATE(Einstellungen!$C$3,4,1)),MIN(J763,DATE(Einstellungen!$C$3,5,0)),Einstellungen!$F$13:$F$32)))</f>
        <v/>
      </c>
      <c r="P763" s="49">
        <f>IF(OR(A763="",D763=""),0,MAX(0,NETWORKDAYS(MAX(D763,DATE(Einstellungen!$C$3,5,1)),MIN(J763,DATE(Einstellungen!$C$3,6,0)),Einstellungen!$F$13:$F$32)))</f>
        <v/>
      </c>
      <c r="Q763" s="49">
        <f>IF(OR(A763="",D763=""),0,MAX(0,NETWORKDAYS(MAX(D763,DATE(Einstellungen!$C$3,6,1)),MIN(J763,DATE(Einstellungen!$C$3,7,0)),Einstellungen!$F$13:$F$32)))</f>
        <v/>
      </c>
      <c r="R763" s="49">
        <f>IF(OR(A763="",D763=""),0,MAX(0,NETWORKDAYS(MAX(D763,DATE(Einstellungen!$C$3,7,1)),MIN(J763,DATE(Einstellungen!$C$3,8,0)),Einstellungen!$F$13:$F$32)))</f>
        <v/>
      </c>
      <c r="S763" s="49">
        <f>IF(OR(A763="",D763=""),0,MAX(0,NETWORKDAYS(MAX(D763,DATE(Einstellungen!$C$3,8,1)),MIN(J763,DATE(Einstellungen!$C$3,9,0)),Einstellungen!$F$13:$F$32)))</f>
        <v/>
      </c>
      <c r="T763" s="49">
        <f>IF(OR(A763="",D763=""),0,MAX(0,NETWORKDAYS(MAX(D763,DATE(Einstellungen!$C$3,9,1)),MIN(J763,DATE(Einstellungen!$C$3,10,0)),Einstellungen!$F$13:$F$32)))</f>
        <v/>
      </c>
      <c r="U763" s="49">
        <f>IF(OR(A763="",D763=""),0,MAX(0,NETWORKDAYS(MAX(D763,DATE(Einstellungen!$C$3,10,1)),MIN(J763,DATE(Einstellungen!$C$3,11,0)),Einstellungen!$F$13:$F$32)))</f>
        <v/>
      </c>
      <c r="V763" s="49">
        <f>IF(OR(A763="",D763=""),0,MAX(0,NETWORKDAYS(MAX(D763,DATE(Einstellungen!$C$3,11,1)),MIN(J763,DATE(Einstellungen!$C$3,12,0)),Einstellungen!$F$13:$F$32)))</f>
        <v/>
      </c>
      <c r="W763" s="49">
        <f>IF(OR(A763="",D763=""),0,MAX(0,NETWORKDAYS(MAX(D763,DATE(Einstellungen!$C$3,12,1)),MIN(J763,DATE(Einstellungen!$C$3,13,0)),Einstellungen!$F$13:$F$32)))</f>
        <v/>
      </c>
      <c r="X763" s="50">
        <f>L763*K763</f>
        <v/>
      </c>
      <c r="Y763" s="50">
        <f>M763*K763</f>
        <v/>
      </c>
      <c r="Z763" s="50">
        <f>N763*K763</f>
        <v/>
      </c>
      <c r="AA763" s="50">
        <f>O763*K763</f>
        <v/>
      </c>
      <c r="AB763" s="50">
        <f>P763*K763</f>
        <v/>
      </c>
      <c r="AC763" s="50">
        <f>Q763*K763</f>
        <v/>
      </c>
      <c r="AD763" s="50">
        <f>R763*K763</f>
        <v/>
      </c>
      <c r="AE763" s="50">
        <f>S763*K763</f>
        <v/>
      </c>
      <c r="AF763" s="50">
        <f>T763*K763</f>
        <v/>
      </c>
      <c r="AG763" s="50">
        <f>U763*K763</f>
        <v/>
      </c>
      <c r="AH763" s="50">
        <f>V763*K763</f>
        <v/>
      </c>
      <c r="AI763" s="50">
        <f>W763*K763</f>
        <v/>
      </c>
    </row>
    <row r="764">
      <c r="A764" s="25" t="n"/>
      <c r="B764" s="45">
        <f>IF(A764="","",IFERROR(INDEX(Mitarbeiter!$B$6:$B$205,MATCH($A764,Mitarbeiter!$A$6:$A$205,0)),"?"))</f>
        <v/>
      </c>
      <c r="C764" s="46" t="n"/>
      <c r="D764" s="26" t="n"/>
      <c r="E764" s="26" t="n"/>
      <c r="F764" s="24">
        <f>IF(A764="","",SUM(L764:W764))</f>
        <v/>
      </c>
      <c r="G764" s="36">
        <f>IF(A764="","",SUM(X764:AI764))</f>
        <v/>
      </c>
      <c r="H764" s="8">
        <f>IF(A764="","",IF(ISNA(MATCH(A764,Mitarbeiter!$A$6:$A$205,0)),"Pers.-Nr. unbekannt",IF(D764="","Von fehlt",IF(AND(C764&lt;&gt;Einstellungen!$C$4,C764&lt;&gt;Einstellungen!$C$5),"Objekt fehlt",IF(J764&lt;D764,"Bis vor Von",IF(D764&lt;INDEX(Mitarbeiter!$C$6:$C$205,MATCH($A764,Mitarbeiter!$A$6:$A$205,0)),"vor Eintritt",IF(AND(INDEX(Mitarbeiter!$D$6:$D$205,MATCH($A764,Mitarbeiter!$A$6:$A$205,0))&lt;&gt;"",D764&gt;INDEX(Mitarbeiter!$D$6:$D$205,MATCH($A764,Mitarbeiter!$A$6:$A$205,0))),"nach Austritt",IF(E764="","offen","ok"))))))))</f>
        <v/>
      </c>
      <c r="J764" s="47">
        <f>IF(A764="","",IF(E764="",Einstellungen!$C$9,E764))</f>
        <v/>
      </c>
      <c r="K764" s="48">
        <f>IF(A764="",0,IFERROR(INDEX(Mitarbeiter!$F$6:$F$205,MATCH($A764,Mitarbeiter!$A$6:$A$205,0)),0))</f>
        <v/>
      </c>
      <c r="L764" s="49">
        <f>IF(OR(A764="",D764=""),0,MAX(0,NETWORKDAYS(MAX(D764,DATE(Einstellungen!$C$3,1,1)),MIN(J764,DATE(Einstellungen!$C$3,2,0)),Einstellungen!$F$13:$F$32)))</f>
        <v/>
      </c>
      <c r="M764" s="49">
        <f>IF(OR(A764="",D764=""),0,MAX(0,NETWORKDAYS(MAX(D764,DATE(Einstellungen!$C$3,2,1)),MIN(J764,DATE(Einstellungen!$C$3,3,0)),Einstellungen!$F$13:$F$32)))</f>
        <v/>
      </c>
      <c r="N764" s="49">
        <f>IF(OR(A764="",D764=""),0,MAX(0,NETWORKDAYS(MAX(D764,DATE(Einstellungen!$C$3,3,1)),MIN(J764,DATE(Einstellungen!$C$3,4,0)),Einstellungen!$F$13:$F$32)))</f>
        <v/>
      </c>
      <c r="O764" s="49">
        <f>IF(OR(A764="",D764=""),0,MAX(0,NETWORKDAYS(MAX(D764,DATE(Einstellungen!$C$3,4,1)),MIN(J764,DATE(Einstellungen!$C$3,5,0)),Einstellungen!$F$13:$F$32)))</f>
        <v/>
      </c>
      <c r="P764" s="49">
        <f>IF(OR(A764="",D764=""),0,MAX(0,NETWORKDAYS(MAX(D764,DATE(Einstellungen!$C$3,5,1)),MIN(J764,DATE(Einstellungen!$C$3,6,0)),Einstellungen!$F$13:$F$32)))</f>
        <v/>
      </c>
      <c r="Q764" s="49">
        <f>IF(OR(A764="",D764=""),0,MAX(0,NETWORKDAYS(MAX(D764,DATE(Einstellungen!$C$3,6,1)),MIN(J764,DATE(Einstellungen!$C$3,7,0)),Einstellungen!$F$13:$F$32)))</f>
        <v/>
      </c>
      <c r="R764" s="49">
        <f>IF(OR(A764="",D764=""),0,MAX(0,NETWORKDAYS(MAX(D764,DATE(Einstellungen!$C$3,7,1)),MIN(J764,DATE(Einstellungen!$C$3,8,0)),Einstellungen!$F$13:$F$32)))</f>
        <v/>
      </c>
      <c r="S764" s="49">
        <f>IF(OR(A764="",D764=""),0,MAX(0,NETWORKDAYS(MAX(D764,DATE(Einstellungen!$C$3,8,1)),MIN(J764,DATE(Einstellungen!$C$3,9,0)),Einstellungen!$F$13:$F$32)))</f>
        <v/>
      </c>
      <c r="T764" s="49">
        <f>IF(OR(A764="",D764=""),0,MAX(0,NETWORKDAYS(MAX(D764,DATE(Einstellungen!$C$3,9,1)),MIN(J764,DATE(Einstellungen!$C$3,10,0)),Einstellungen!$F$13:$F$32)))</f>
        <v/>
      </c>
      <c r="U764" s="49">
        <f>IF(OR(A764="",D764=""),0,MAX(0,NETWORKDAYS(MAX(D764,DATE(Einstellungen!$C$3,10,1)),MIN(J764,DATE(Einstellungen!$C$3,11,0)),Einstellungen!$F$13:$F$32)))</f>
        <v/>
      </c>
      <c r="V764" s="49">
        <f>IF(OR(A764="",D764=""),0,MAX(0,NETWORKDAYS(MAX(D764,DATE(Einstellungen!$C$3,11,1)),MIN(J764,DATE(Einstellungen!$C$3,12,0)),Einstellungen!$F$13:$F$32)))</f>
        <v/>
      </c>
      <c r="W764" s="49">
        <f>IF(OR(A764="",D764=""),0,MAX(0,NETWORKDAYS(MAX(D764,DATE(Einstellungen!$C$3,12,1)),MIN(J764,DATE(Einstellungen!$C$3,13,0)),Einstellungen!$F$13:$F$32)))</f>
        <v/>
      </c>
      <c r="X764" s="50">
        <f>L764*K764</f>
        <v/>
      </c>
      <c r="Y764" s="50">
        <f>M764*K764</f>
        <v/>
      </c>
      <c r="Z764" s="50">
        <f>N764*K764</f>
        <v/>
      </c>
      <c r="AA764" s="50">
        <f>O764*K764</f>
        <v/>
      </c>
      <c r="AB764" s="50">
        <f>P764*K764</f>
        <v/>
      </c>
      <c r="AC764" s="50">
        <f>Q764*K764</f>
        <v/>
      </c>
      <c r="AD764" s="50">
        <f>R764*K764</f>
        <v/>
      </c>
      <c r="AE764" s="50">
        <f>S764*K764</f>
        <v/>
      </c>
      <c r="AF764" s="50">
        <f>T764*K764</f>
        <v/>
      </c>
      <c r="AG764" s="50">
        <f>U764*K764</f>
        <v/>
      </c>
      <c r="AH764" s="50">
        <f>V764*K764</f>
        <v/>
      </c>
      <c r="AI764" s="50">
        <f>W764*K764</f>
        <v/>
      </c>
    </row>
    <row r="765">
      <c r="A765" s="25" t="n"/>
      <c r="B765" s="45">
        <f>IF(A765="","",IFERROR(INDEX(Mitarbeiter!$B$6:$B$205,MATCH($A765,Mitarbeiter!$A$6:$A$205,0)),"?"))</f>
        <v/>
      </c>
      <c r="C765" s="46" t="n"/>
      <c r="D765" s="26" t="n"/>
      <c r="E765" s="26" t="n"/>
      <c r="F765" s="24">
        <f>IF(A765="","",SUM(L765:W765))</f>
        <v/>
      </c>
      <c r="G765" s="36">
        <f>IF(A765="","",SUM(X765:AI765))</f>
        <v/>
      </c>
      <c r="H765" s="8">
        <f>IF(A765="","",IF(ISNA(MATCH(A765,Mitarbeiter!$A$6:$A$205,0)),"Pers.-Nr. unbekannt",IF(D765="","Von fehlt",IF(AND(C765&lt;&gt;Einstellungen!$C$4,C765&lt;&gt;Einstellungen!$C$5),"Objekt fehlt",IF(J765&lt;D765,"Bis vor Von",IF(D765&lt;INDEX(Mitarbeiter!$C$6:$C$205,MATCH($A765,Mitarbeiter!$A$6:$A$205,0)),"vor Eintritt",IF(AND(INDEX(Mitarbeiter!$D$6:$D$205,MATCH($A765,Mitarbeiter!$A$6:$A$205,0))&lt;&gt;"",D765&gt;INDEX(Mitarbeiter!$D$6:$D$205,MATCH($A765,Mitarbeiter!$A$6:$A$205,0))),"nach Austritt",IF(E765="","offen","ok"))))))))</f>
        <v/>
      </c>
      <c r="J765" s="47">
        <f>IF(A765="","",IF(E765="",Einstellungen!$C$9,E765))</f>
        <v/>
      </c>
      <c r="K765" s="48">
        <f>IF(A765="",0,IFERROR(INDEX(Mitarbeiter!$F$6:$F$205,MATCH($A765,Mitarbeiter!$A$6:$A$205,0)),0))</f>
        <v/>
      </c>
      <c r="L765" s="49">
        <f>IF(OR(A765="",D765=""),0,MAX(0,NETWORKDAYS(MAX(D765,DATE(Einstellungen!$C$3,1,1)),MIN(J765,DATE(Einstellungen!$C$3,2,0)),Einstellungen!$F$13:$F$32)))</f>
        <v/>
      </c>
      <c r="M765" s="49">
        <f>IF(OR(A765="",D765=""),0,MAX(0,NETWORKDAYS(MAX(D765,DATE(Einstellungen!$C$3,2,1)),MIN(J765,DATE(Einstellungen!$C$3,3,0)),Einstellungen!$F$13:$F$32)))</f>
        <v/>
      </c>
      <c r="N765" s="49">
        <f>IF(OR(A765="",D765=""),0,MAX(0,NETWORKDAYS(MAX(D765,DATE(Einstellungen!$C$3,3,1)),MIN(J765,DATE(Einstellungen!$C$3,4,0)),Einstellungen!$F$13:$F$32)))</f>
        <v/>
      </c>
      <c r="O765" s="49">
        <f>IF(OR(A765="",D765=""),0,MAX(0,NETWORKDAYS(MAX(D765,DATE(Einstellungen!$C$3,4,1)),MIN(J765,DATE(Einstellungen!$C$3,5,0)),Einstellungen!$F$13:$F$32)))</f>
        <v/>
      </c>
      <c r="P765" s="49">
        <f>IF(OR(A765="",D765=""),0,MAX(0,NETWORKDAYS(MAX(D765,DATE(Einstellungen!$C$3,5,1)),MIN(J765,DATE(Einstellungen!$C$3,6,0)),Einstellungen!$F$13:$F$32)))</f>
        <v/>
      </c>
      <c r="Q765" s="49">
        <f>IF(OR(A765="",D765=""),0,MAX(0,NETWORKDAYS(MAX(D765,DATE(Einstellungen!$C$3,6,1)),MIN(J765,DATE(Einstellungen!$C$3,7,0)),Einstellungen!$F$13:$F$32)))</f>
        <v/>
      </c>
      <c r="R765" s="49">
        <f>IF(OR(A765="",D765=""),0,MAX(0,NETWORKDAYS(MAX(D765,DATE(Einstellungen!$C$3,7,1)),MIN(J765,DATE(Einstellungen!$C$3,8,0)),Einstellungen!$F$13:$F$32)))</f>
        <v/>
      </c>
      <c r="S765" s="49">
        <f>IF(OR(A765="",D765=""),0,MAX(0,NETWORKDAYS(MAX(D765,DATE(Einstellungen!$C$3,8,1)),MIN(J765,DATE(Einstellungen!$C$3,9,0)),Einstellungen!$F$13:$F$32)))</f>
        <v/>
      </c>
      <c r="T765" s="49">
        <f>IF(OR(A765="",D765=""),0,MAX(0,NETWORKDAYS(MAX(D765,DATE(Einstellungen!$C$3,9,1)),MIN(J765,DATE(Einstellungen!$C$3,10,0)),Einstellungen!$F$13:$F$32)))</f>
        <v/>
      </c>
      <c r="U765" s="49">
        <f>IF(OR(A765="",D765=""),0,MAX(0,NETWORKDAYS(MAX(D765,DATE(Einstellungen!$C$3,10,1)),MIN(J765,DATE(Einstellungen!$C$3,11,0)),Einstellungen!$F$13:$F$32)))</f>
        <v/>
      </c>
      <c r="V765" s="49">
        <f>IF(OR(A765="",D765=""),0,MAX(0,NETWORKDAYS(MAX(D765,DATE(Einstellungen!$C$3,11,1)),MIN(J765,DATE(Einstellungen!$C$3,12,0)),Einstellungen!$F$13:$F$32)))</f>
        <v/>
      </c>
      <c r="W765" s="49">
        <f>IF(OR(A765="",D765=""),0,MAX(0,NETWORKDAYS(MAX(D765,DATE(Einstellungen!$C$3,12,1)),MIN(J765,DATE(Einstellungen!$C$3,13,0)),Einstellungen!$F$13:$F$32)))</f>
        <v/>
      </c>
      <c r="X765" s="50">
        <f>L765*K765</f>
        <v/>
      </c>
      <c r="Y765" s="50">
        <f>M765*K765</f>
        <v/>
      </c>
      <c r="Z765" s="50">
        <f>N765*K765</f>
        <v/>
      </c>
      <c r="AA765" s="50">
        <f>O765*K765</f>
        <v/>
      </c>
      <c r="AB765" s="50">
        <f>P765*K765</f>
        <v/>
      </c>
      <c r="AC765" s="50">
        <f>Q765*K765</f>
        <v/>
      </c>
      <c r="AD765" s="50">
        <f>R765*K765</f>
        <v/>
      </c>
      <c r="AE765" s="50">
        <f>S765*K765</f>
        <v/>
      </c>
      <c r="AF765" s="50">
        <f>T765*K765</f>
        <v/>
      </c>
      <c r="AG765" s="50">
        <f>U765*K765</f>
        <v/>
      </c>
      <c r="AH765" s="50">
        <f>V765*K765</f>
        <v/>
      </c>
      <c r="AI765" s="50">
        <f>W765*K765</f>
        <v/>
      </c>
    </row>
    <row r="766">
      <c r="A766" s="25" t="n"/>
      <c r="B766" s="45">
        <f>IF(A766="","",IFERROR(INDEX(Mitarbeiter!$B$6:$B$205,MATCH($A766,Mitarbeiter!$A$6:$A$205,0)),"?"))</f>
        <v/>
      </c>
      <c r="C766" s="46" t="n"/>
      <c r="D766" s="26" t="n"/>
      <c r="E766" s="26" t="n"/>
      <c r="F766" s="24">
        <f>IF(A766="","",SUM(L766:W766))</f>
        <v/>
      </c>
      <c r="G766" s="36">
        <f>IF(A766="","",SUM(X766:AI766))</f>
        <v/>
      </c>
      <c r="H766" s="8">
        <f>IF(A766="","",IF(ISNA(MATCH(A766,Mitarbeiter!$A$6:$A$205,0)),"Pers.-Nr. unbekannt",IF(D766="","Von fehlt",IF(AND(C766&lt;&gt;Einstellungen!$C$4,C766&lt;&gt;Einstellungen!$C$5),"Objekt fehlt",IF(J766&lt;D766,"Bis vor Von",IF(D766&lt;INDEX(Mitarbeiter!$C$6:$C$205,MATCH($A766,Mitarbeiter!$A$6:$A$205,0)),"vor Eintritt",IF(AND(INDEX(Mitarbeiter!$D$6:$D$205,MATCH($A766,Mitarbeiter!$A$6:$A$205,0))&lt;&gt;"",D766&gt;INDEX(Mitarbeiter!$D$6:$D$205,MATCH($A766,Mitarbeiter!$A$6:$A$205,0))),"nach Austritt",IF(E766="","offen","ok"))))))))</f>
        <v/>
      </c>
      <c r="J766" s="47">
        <f>IF(A766="","",IF(E766="",Einstellungen!$C$9,E766))</f>
        <v/>
      </c>
      <c r="K766" s="48">
        <f>IF(A766="",0,IFERROR(INDEX(Mitarbeiter!$F$6:$F$205,MATCH($A766,Mitarbeiter!$A$6:$A$205,0)),0))</f>
        <v/>
      </c>
      <c r="L766" s="49">
        <f>IF(OR(A766="",D766=""),0,MAX(0,NETWORKDAYS(MAX(D766,DATE(Einstellungen!$C$3,1,1)),MIN(J766,DATE(Einstellungen!$C$3,2,0)),Einstellungen!$F$13:$F$32)))</f>
        <v/>
      </c>
      <c r="M766" s="49">
        <f>IF(OR(A766="",D766=""),0,MAX(0,NETWORKDAYS(MAX(D766,DATE(Einstellungen!$C$3,2,1)),MIN(J766,DATE(Einstellungen!$C$3,3,0)),Einstellungen!$F$13:$F$32)))</f>
        <v/>
      </c>
      <c r="N766" s="49">
        <f>IF(OR(A766="",D766=""),0,MAX(0,NETWORKDAYS(MAX(D766,DATE(Einstellungen!$C$3,3,1)),MIN(J766,DATE(Einstellungen!$C$3,4,0)),Einstellungen!$F$13:$F$32)))</f>
        <v/>
      </c>
      <c r="O766" s="49">
        <f>IF(OR(A766="",D766=""),0,MAX(0,NETWORKDAYS(MAX(D766,DATE(Einstellungen!$C$3,4,1)),MIN(J766,DATE(Einstellungen!$C$3,5,0)),Einstellungen!$F$13:$F$32)))</f>
        <v/>
      </c>
      <c r="P766" s="49">
        <f>IF(OR(A766="",D766=""),0,MAX(0,NETWORKDAYS(MAX(D766,DATE(Einstellungen!$C$3,5,1)),MIN(J766,DATE(Einstellungen!$C$3,6,0)),Einstellungen!$F$13:$F$32)))</f>
        <v/>
      </c>
      <c r="Q766" s="49">
        <f>IF(OR(A766="",D766=""),0,MAX(0,NETWORKDAYS(MAX(D766,DATE(Einstellungen!$C$3,6,1)),MIN(J766,DATE(Einstellungen!$C$3,7,0)),Einstellungen!$F$13:$F$32)))</f>
        <v/>
      </c>
      <c r="R766" s="49">
        <f>IF(OR(A766="",D766=""),0,MAX(0,NETWORKDAYS(MAX(D766,DATE(Einstellungen!$C$3,7,1)),MIN(J766,DATE(Einstellungen!$C$3,8,0)),Einstellungen!$F$13:$F$32)))</f>
        <v/>
      </c>
      <c r="S766" s="49">
        <f>IF(OR(A766="",D766=""),0,MAX(0,NETWORKDAYS(MAX(D766,DATE(Einstellungen!$C$3,8,1)),MIN(J766,DATE(Einstellungen!$C$3,9,0)),Einstellungen!$F$13:$F$32)))</f>
        <v/>
      </c>
      <c r="T766" s="49">
        <f>IF(OR(A766="",D766=""),0,MAX(0,NETWORKDAYS(MAX(D766,DATE(Einstellungen!$C$3,9,1)),MIN(J766,DATE(Einstellungen!$C$3,10,0)),Einstellungen!$F$13:$F$32)))</f>
        <v/>
      </c>
      <c r="U766" s="49">
        <f>IF(OR(A766="",D766=""),0,MAX(0,NETWORKDAYS(MAX(D766,DATE(Einstellungen!$C$3,10,1)),MIN(J766,DATE(Einstellungen!$C$3,11,0)),Einstellungen!$F$13:$F$32)))</f>
        <v/>
      </c>
      <c r="V766" s="49">
        <f>IF(OR(A766="",D766=""),0,MAX(0,NETWORKDAYS(MAX(D766,DATE(Einstellungen!$C$3,11,1)),MIN(J766,DATE(Einstellungen!$C$3,12,0)),Einstellungen!$F$13:$F$32)))</f>
        <v/>
      </c>
      <c r="W766" s="49">
        <f>IF(OR(A766="",D766=""),0,MAX(0,NETWORKDAYS(MAX(D766,DATE(Einstellungen!$C$3,12,1)),MIN(J766,DATE(Einstellungen!$C$3,13,0)),Einstellungen!$F$13:$F$32)))</f>
        <v/>
      </c>
      <c r="X766" s="50">
        <f>L766*K766</f>
        <v/>
      </c>
      <c r="Y766" s="50">
        <f>M766*K766</f>
        <v/>
      </c>
      <c r="Z766" s="50">
        <f>N766*K766</f>
        <v/>
      </c>
      <c r="AA766" s="50">
        <f>O766*K766</f>
        <v/>
      </c>
      <c r="AB766" s="50">
        <f>P766*K766</f>
        <v/>
      </c>
      <c r="AC766" s="50">
        <f>Q766*K766</f>
        <v/>
      </c>
      <c r="AD766" s="50">
        <f>R766*K766</f>
        <v/>
      </c>
      <c r="AE766" s="50">
        <f>S766*K766</f>
        <v/>
      </c>
      <c r="AF766" s="50">
        <f>T766*K766</f>
        <v/>
      </c>
      <c r="AG766" s="50">
        <f>U766*K766</f>
        <v/>
      </c>
      <c r="AH766" s="50">
        <f>V766*K766</f>
        <v/>
      </c>
      <c r="AI766" s="50">
        <f>W766*K766</f>
        <v/>
      </c>
    </row>
    <row r="767">
      <c r="A767" s="25" t="n"/>
      <c r="B767" s="45">
        <f>IF(A767="","",IFERROR(INDEX(Mitarbeiter!$B$6:$B$205,MATCH($A767,Mitarbeiter!$A$6:$A$205,0)),"?"))</f>
        <v/>
      </c>
      <c r="C767" s="46" t="n"/>
      <c r="D767" s="26" t="n"/>
      <c r="E767" s="26" t="n"/>
      <c r="F767" s="24">
        <f>IF(A767="","",SUM(L767:W767))</f>
        <v/>
      </c>
      <c r="G767" s="36">
        <f>IF(A767="","",SUM(X767:AI767))</f>
        <v/>
      </c>
      <c r="H767" s="8">
        <f>IF(A767="","",IF(ISNA(MATCH(A767,Mitarbeiter!$A$6:$A$205,0)),"Pers.-Nr. unbekannt",IF(D767="","Von fehlt",IF(AND(C767&lt;&gt;Einstellungen!$C$4,C767&lt;&gt;Einstellungen!$C$5),"Objekt fehlt",IF(J767&lt;D767,"Bis vor Von",IF(D767&lt;INDEX(Mitarbeiter!$C$6:$C$205,MATCH($A767,Mitarbeiter!$A$6:$A$205,0)),"vor Eintritt",IF(AND(INDEX(Mitarbeiter!$D$6:$D$205,MATCH($A767,Mitarbeiter!$A$6:$A$205,0))&lt;&gt;"",D767&gt;INDEX(Mitarbeiter!$D$6:$D$205,MATCH($A767,Mitarbeiter!$A$6:$A$205,0))),"nach Austritt",IF(E767="","offen","ok"))))))))</f>
        <v/>
      </c>
      <c r="J767" s="47">
        <f>IF(A767="","",IF(E767="",Einstellungen!$C$9,E767))</f>
        <v/>
      </c>
      <c r="K767" s="48">
        <f>IF(A767="",0,IFERROR(INDEX(Mitarbeiter!$F$6:$F$205,MATCH($A767,Mitarbeiter!$A$6:$A$205,0)),0))</f>
        <v/>
      </c>
      <c r="L767" s="49">
        <f>IF(OR(A767="",D767=""),0,MAX(0,NETWORKDAYS(MAX(D767,DATE(Einstellungen!$C$3,1,1)),MIN(J767,DATE(Einstellungen!$C$3,2,0)),Einstellungen!$F$13:$F$32)))</f>
        <v/>
      </c>
      <c r="M767" s="49">
        <f>IF(OR(A767="",D767=""),0,MAX(0,NETWORKDAYS(MAX(D767,DATE(Einstellungen!$C$3,2,1)),MIN(J767,DATE(Einstellungen!$C$3,3,0)),Einstellungen!$F$13:$F$32)))</f>
        <v/>
      </c>
      <c r="N767" s="49">
        <f>IF(OR(A767="",D767=""),0,MAX(0,NETWORKDAYS(MAX(D767,DATE(Einstellungen!$C$3,3,1)),MIN(J767,DATE(Einstellungen!$C$3,4,0)),Einstellungen!$F$13:$F$32)))</f>
        <v/>
      </c>
      <c r="O767" s="49">
        <f>IF(OR(A767="",D767=""),0,MAX(0,NETWORKDAYS(MAX(D767,DATE(Einstellungen!$C$3,4,1)),MIN(J767,DATE(Einstellungen!$C$3,5,0)),Einstellungen!$F$13:$F$32)))</f>
        <v/>
      </c>
      <c r="P767" s="49">
        <f>IF(OR(A767="",D767=""),0,MAX(0,NETWORKDAYS(MAX(D767,DATE(Einstellungen!$C$3,5,1)),MIN(J767,DATE(Einstellungen!$C$3,6,0)),Einstellungen!$F$13:$F$32)))</f>
        <v/>
      </c>
      <c r="Q767" s="49">
        <f>IF(OR(A767="",D767=""),0,MAX(0,NETWORKDAYS(MAX(D767,DATE(Einstellungen!$C$3,6,1)),MIN(J767,DATE(Einstellungen!$C$3,7,0)),Einstellungen!$F$13:$F$32)))</f>
        <v/>
      </c>
      <c r="R767" s="49">
        <f>IF(OR(A767="",D767=""),0,MAX(0,NETWORKDAYS(MAX(D767,DATE(Einstellungen!$C$3,7,1)),MIN(J767,DATE(Einstellungen!$C$3,8,0)),Einstellungen!$F$13:$F$32)))</f>
        <v/>
      </c>
      <c r="S767" s="49">
        <f>IF(OR(A767="",D767=""),0,MAX(0,NETWORKDAYS(MAX(D767,DATE(Einstellungen!$C$3,8,1)),MIN(J767,DATE(Einstellungen!$C$3,9,0)),Einstellungen!$F$13:$F$32)))</f>
        <v/>
      </c>
      <c r="T767" s="49">
        <f>IF(OR(A767="",D767=""),0,MAX(0,NETWORKDAYS(MAX(D767,DATE(Einstellungen!$C$3,9,1)),MIN(J767,DATE(Einstellungen!$C$3,10,0)),Einstellungen!$F$13:$F$32)))</f>
        <v/>
      </c>
      <c r="U767" s="49">
        <f>IF(OR(A767="",D767=""),0,MAX(0,NETWORKDAYS(MAX(D767,DATE(Einstellungen!$C$3,10,1)),MIN(J767,DATE(Einstellungen!$C$3,11,0)),Einstellungen!$F$13:$F$32)))</f>
        <v/>
      </c>
      <c r="V767" s="49">
        <f>IF(OR(A767="",D767=""),0,MAX(0,NETWORKDAYS(MAX(D767,DATE(Einstellungen!$C$3,11,1)),MIN(J767,DATE(Einstellungen!$C$3,12,0)),Einstellungen!$F$13:$F$32)))</f>
        <v/>
      </c>
      <c r="W767" s="49">
        <f>IF(OR(A767="",D767=""),0,MAX(0,NETWORKDAYS(MAX(D767,DATE(Einstellungen!$C$3,12,1)),MIN(J767,DATE(Einstellungen!$C$3,13,0)),Einstellungen!$F$13:$F$32)))</f>
        <v/>
      </c>
      <c r="X767" s="50">
        <f>L767*K767</f>
        <v/>
      </c>
      <c r="Y767" s="50">
        <f>M767*K767</f>
        <v/>
      </c>
      <c r="Z767" s="50">
        <f>N767*K767</f>
        <v/>
      </c>
      <c r="AA767" s="50">
        <f>O767*K767</f>
        <v/>
      </c>
      <c r="AB767" s="50">
        <f>P767*K767</f>
        <v/>
      </c>
      <c r="AC767" s="50">
        <f>Q767*K767</f>
        <v/>
      </c>
      <c r="AD767" s="50">
        <f>R767*K767</f>
        <v/>
      </c>
      <c r="AE767" s="50">
        <f>S767*K767</f>
        <v/>
      </c>
      <c r="AF767" s="50">
        <f>T767*K767</f>
        <v/>
      </c>
      <c r="AG767" s="50">
        <f>U767*K767</f>
        <v/>
      </c>
      <c r="AH767" s="50">
        <f>V767*K767</f>
        <v/>
      </c>
      <c r="AI767" s="50">
        <f>W767*K767</f>
        <v/>
      </c>
    </row>
    <row r="768">
      <c r="A768" s="25" t="n"/>
      <c r="B768" s="45">
        <f>IF(A768="","",IFERROR(INDEX(Mitarbeiter!$B$6:$B$205,MATCH($A768,Mitarbeiter!$A$6:$A$205,0)),"?"))</f>
        <v/>
      </c>
      <c r="C768" s="46" t="n"/>
      <c r="D768" s="26" t="n"/>
      <c r="E768" s="26" t="n"/>
      <c r="F768" s="24">
        <f>IF(A768="","",SUM(L768:W768))</f>
        <v/>
      </c>
      <c r="G768" s="36">
        <f>IF(A768="","",SUM(X768:AI768))</f>
        <v/>
      </c>
      <c r="H768" s="8">
        <f>IF(A768="","",IF(ISNA(MATCH(A768,Mitarbeiter!$A$6:$A$205,0)),"Pers.-Nr. unbekannt",IF(D768="","Von fehlt",IF(AND(C768&lt;&gt;Einstellungen!$C$4,C768&lt;&gt;Einstellungen!$C$5),"Objekt fehlt",IF(J768&lt;D768,"Bis vor Von",IF(D768&lt;INDEX(Mitarbeiter!$C$6:$C$205,MATCH($A768,Mitarbeiter!$A$6:$A$205,0)),"vor Eintritt",IF(AND(INDEX(Mitarbeiter!$D$6:$D$205,MATCH($A768,Mitarbeiter!$A$6:$A$205,0))&lt;&gt;"",D768&gt;INDEX(Mitarbeiter!$D$6:$D$205,MATCH($A768,Mitarbeiter!$A$6:$A$205,0))),"nach Austritt",IF(E768="","offen","ok"))))))))</f>
        <v/>
      </c>
      <c r="J768" s="47">
        <f>IF(A768="","",IF(E768="",Einstellungen!$C$9,E768))</f>
        <v/>
      </c>
      <c r="K768" s="48">
        <f>IF(A768="",0,IFERROR(INDEX(Mitarbeiter!$F$6:$F$205,MATCH($A768,Mitarbeiter!$A$6:$A$205,0)),0))</f>
        <v/>
      </c>
      <c r="L768" s="49">
        <f>IF(OR(A768="",D768=""),0,MAX(0,NETWORKDAYS(MAX(D768,DATE(Einstellungen!$C$3,1,1)),MIN(J768,DATE(Einstellungen!$C$3,2,0)),Einstellungen!$F$13:$F$32)))</f>
        <v/>
      </c>
      <c r="M768" s="49">
        <f>IF(OR(A768="",D768=""),0,MAX(0,NETWORKDAYS(MAX(D768,DATE(Einstellungen!$C$3,2,1)),MIN(J768,DATE(Einstellungen!$C$3,3,0)),Einstellungen!$F$13:$F$32)))</f>
        <v/>
      </c>
      <c r="N768" s="49">
        <f>IF(OR(A768="",D768=""),0,MAX(0,NETWORKDAYS(MAX(D768,DATE(Einstellungen!$C$3,3,1)),MIN(J768,DATE(Einstellungen!$C$3,4,0)),Einstellungen!$F$13:$F$32)))</f>
        <v/>
      </c>
      <c r="O768" s="49">
        <f>IF(OR(A768="",D768=""),0,MAX(0,NETWORKDAYS(MAX(D768,DATE(Einstellungen!$C$3,4,1)),MIN(J768,DATE(Einstellungen!$C$3,5,0)),Einstellungen!$F$13:$F$32)))</f>
        <v/>
      </c>
      <c r="P768" s="49">
        <f>IF(OR(A768="",D768=""),0,MAX(0,NETWORKDAYS(MAX(D768,DATE(Einstellungen!$C$3,5,1)),MIN(J768,DATE(Einstellungen!$C$3,6,0)),Einstellungen!$F$13:$F$32)))</f>
        <v/>
      </c>
      <c r="Q768" s="49">
        <f>IF(OR(A768="",D768=""),0,MAX(0,NETWORKDAYS(MAX(D768,DATE(Einstellungen!$C$3,6,1)),MIN(J768,DATE(Einstellungen!$C$3,7,0)),Einstellungen!$F$13:$F$32)))</f>
        <v/>
      </c>
      <c r="R768" s="49">
        <f>IF(OR(A768="",D768=""),0,MAX(0,NETWORKDAYS(MAX(D768,DATE(Einstellungen!$C$3,7,1)),MIN(J768,DATE(Einstellungen!$C$3,8,0)),Einstellungen!$F$13:$F$32)))</f>
        <v/>
      </c>
      <c r="S768" s="49">
        <f>IF(OR(A768="",D768=""),0,MAX(0,NETWORKDAYS(MAX(D768,DATE(Einstellungen!$C$3,8,1)),MIN(J768,DATE(Einstellungen!$C$3,9,0)),Einstellungen!$F$13:$F$32)))</f>
        <v/>
      </c>
      <c r="T768" s="49">
        <f>IF(OR(A768="",D768=""),0,MAX(0,NETWORKDAYS(MAX(D768,DATE(Einstellungen!$C$3,9,1)),MIN(J768,DATE(Einstellungen!$C$3,10,0)),Einstellungen!$F$13:$F$32)))</f>
        <v/>
      </c>
      <c r="U768" s="49">
        <f>IF(OR(A768="",D768=""),0,MAX(0,NETWORKDAYS(MAX(D768,DATE(Einstellungen!$C$3,10,1)),MIN(J768,DATE(Einstellungen!$C$3,11,0)),Einstellungen!$F$13:$F$32)))</f>
        <v/>
      </c>
      <c r="V768" s="49">
        <f>IF(OR(A768="",D768=""),0,MAX(0,NETWORKDAYS(MAX(D768,DATE(Einstellungen!$C$3,11,1)),MIN(J768,DATE(Einstellungen!$C$3,12,0)),Einstellungen!$F$13:$F$32)))</f>
        <v/>
      </c>
      <c r="W768" s="49">
        <f>IF(OR(A768="",D768=""),0,MAX(0,NETWORKDAYS(MAX(D768,DATE(Einstellungen!$C$3,12,1)),MIN(J768,DATE(Einstellungen!$C$3,13,0)),Einstellungen!$F$13:$F$32)))</f>
        <v/>
      </c>
      <c r="X768" s="50">
        <f>L768*K768</f>
        <v/>
      </c>
      <c r="Y768" s="50">
        <f>M768*K768</f>
        <v/>
      </c>
      <c r="Z768" s="50">
        <f>N768*K768</f>
        <v/>
      </c>
      <c r="AA768" s="50">
        <f>O768*K768</f>
        <v/>
      </c>
      <c r="AB768" s="50">
        <f>P768*K768</f>
        <v/>
      </c>
      <c r="AC768" s="50">
        <f>Q768*K768</f>
        <v/>
      </c>
      <c r="AD768" s="50">
        <f>R768*K768</f>
        <v/>
      </c>
      <c r="AE768" s="50">
        <f>S768*K768</f>
        <v/>
      </c>
      <c r="AF768" s="50">
        <f>T768*K768</f>
        <v/>
      </c>
      <c r="AG768" s="50">
        <f>U768*K768</f>
        <v/>
      </c>
      <c r="AH768" s="50">
        <f>V768*K768</f>
        <v/>
      </c>
      <c r="AI768" s="50">
        <f>W768*K768</f>
        <v/>
      </c>
    </row>
    <row r="769">
      <c r="A769" s="25" t="n"/>
      <c r="B769" s="45">
        <f>IF(A769="","",IFERROR(INDEX(Mitarbeiter!$B$6:$B$205,MATCH($A769,Mitarbeiter!$A$6:$A$205,0)),"?"))</f>
        <v/>
      </c>
      <c r="C769" s="46" t="n"/>
      <c r="D769" s="26" t="n"/>
      <c r="E769" s="26" t="n"/>
      <c r="F769" s="24">
        <f>IF(A769="","",SUM(L769:W769))</f>
        <v/>
      </c>
      <c r="G769" s="36">
        <f>IF(A769="","",SUM(X769:AI769))</f>
        <v/>
      </c>
      <c r="H769" s="8">
        <f>IF(A769="","",IF(ISNA(MATCH(A769,Mitarbeiter!$A$6:$A$205,0)),"Pers.-Nr. unbekannt",IF(D769="","Von fehlt",IF(AND(C769&lt;&gt;Einstellungen!$C$4,C769&lt;&gt;Einstellungen!$C$5),"Objekt fehlt",IF(J769&lt;D769,"Bis vor Von",IF(D769&lt;INDEX(Mitarbeiter!$C$6:$C$205,MATCH($A769,Mitarbeiter!$A$6:$A$205,0)),"vor Eintritt",IF(AND(INDEX(Mitarbeiter!$D$6:$D$205,MATCH($A769,Mitarbeiter!$A$6:$A$205,0))&lt;&gt;"",D769&gt;INDEX(Mitarbeiter!$D$6:$D$205,MATCH($A769,Mitarbeiter!$A$6:$A$205,0))),"nach Austritt",IF(E769="","offen","ok"))))))))</f>
        <v/>
      </c>
      <c r="J769" s="47">
        <f>IF(A769="","",IF(E769="",Einstellungen!$C$9,E769))</f>
        <v/>
      </c>
      <c r="K769" s="48">
        <f>IF(A769="",0,IFERROR(INDEX(Mitarbeiter!$F$6:$F$205,MATCH($A769,Mitarbeiter!$A$6:$A$205,0)),0))</f>
        <v/>
      </c>
      <c r="L769" s="49">
        <f>IF(OR(A769="",D769=""),0,MAX(0,NETWORKDAYS(MAX(D769,DATE(Einstellungen!$C$3,1,1)),MIN(J769,DATE(Einstellungen!$C$3,2,0)),Einstellungen!$F$13:$F$32)))</f>
        <v/>
      </c>
      <c r="M769" s="49">
        <f>IF(OR(A769="",D769=""),0,MAX(0,NETWORKDAYS(MAX(D769,DATE(Einstellungen!$C$3,2,1)),MIN(J769,DATE(Einstellungen!$C$3,3,0)),Einstellungen!$F$13:$F$32)))</f>
        <v/>
      </c>
      <c r="N769" s="49">
        <f>IF(OR(A769="",D769=""),0,MAX(0,NETWORKDAYS(MAX(D769,DATE(Einstellungen!$C$3,3,1)),MIN(J769,DATE(Einstellungen!$C$3,4,0)),Einstellungen!$F$13:$F$32)))</f>
        <v/>
      </c>
      <c r="O769" s="49">
        <f>IF(OR(A769="",D769=""),0,MAX(0,NETWORKDAYS(MAX(D769,DATE(Einstellungen!$C$3,4,1)),MIN(J769,DATE(Einstellungen!$C$3,5,0)),Einstellungen!$F$13:$F$32)))</f>
        <v/>
      </c>
      <c r="P769" s="49">
        <f>IF(OR(A769="",D769=""),0,MAX(0,NETWORKDAYS(MAX(D769,DATE(Einstellungen!$C$3,5,1)),MIN(J769,DATE(Einstellungen!$C$3,6,0)),Einstellungen!$F$13:$F$32)))</f>
        <v/>
      </c>
      <c r="Q769" s="49">
        <f>IF(OR(A769="",D769=""),0,MAX(0,NETWORKDAYS(MAX(D769,DATE(Einstellungen!$C$3,6,1)),MIN(J769,DATE(Einstellungen!$C$3,7,0)),Einstellungen!$F$13:$F$32)))</f>
        <v/>
      </c>
      <c r="R769" s="49">
        <f>IF(OR(A769="",D769=""),0,MAX(0,NETWORKDAYS(MAX(D769,DATE(Einstellungen!$C$3,7,1)),MIN(J769,DATE(Einstellungen!$C$3,8,0)),Einstellungen!$F$13:$F$32)))</f>
        <v/>
      </c>
      <c r="S769" s="49">
        <f>IF(OR(A769="",D769=""),0,MAX(0,NETWORKDAYS(MAX(D769,DATE(Einstellungen!$C$3,8,1)),MIN(J769,DATE(Einstellungen!$C$3,9,0)),Einstellungen!$F$13:$F$32)))</f>
        <v/>
      </c>
      <c r="T769" s="49">
        <f>IF(OR(A769="",D769=""),0,MAX(0,NETWORKDAYS(MAX(D769,DATE(Einstellungen!$C$3,9,1)),MIN(J769,DATE(Einstellungen!$C$3,10,0)),Einstellungen!$F$13:$F$32)))</f>
        <v/>
      </c>
      <c r="U769" s="49">
        <f>IF(OR(A769="",D769=""),0,MAX(0,NETWORKDAYS(MAX(D769,DATE(Einstellungen!$C$3,10,1)),MIN(J769,DATE(Einstellungen!$C$3,11,0)),Einstellungen!$F$13:$F$32)))</f>
        <v/>
      </c>
      <c r="V769" s="49">
        <f>IF(OR(A769="",D769=""),0,MAX(0,NETWORKDAYS(MAX(D769,DATE(Einstellungen!$C$3,11,1)),MIN(J769,DATE(Einstellungen!$C$3,12,0)),Einstellungen!$F$13:$F$32)))</f>
        <v/>
      </c>
      <c r="W769" s="49">
        <f>IF(OR(A769="",D769=""),0,MAX(0,NETWORKDAYS(MAX(D769,DATE(Einstellungen!$C$3,12,1)),MIN(J769,DATE(Einstellungen!$C$3,13,0)),Einstellungen!$F$13:$F$32)))</f>
        <v/>
      </c>
      <c r="X769" s="50">
        <f>L769*K769</f>
        <v/>
      </c>
      <c r="Y769" s="50">
        <f>M769*K769</f>
        <v/>
      </c>
      <c r="Z769" s="50">
        <f>N769*K769</f>
        <v/>
      </c>
      <c r="AA769" s="50">
        <f>O769*K769</f>
        <v/>
      </c>
      <c r="AB769" s="50">
        <f>P769*K769</f>
        <v/>
      </c>
      <c r="AC769" s="50">
        <f>Q769*K769</f>
        <v/>
      </c>
      <c r="AD769" s="50">
        <f>R769*K769</f>
        <v/>
      </c>
      <c r="AE769" s="50">
        <f>S769*K769</f>
        <v/>
      </c>
      <c r="AF769" s="50">
        <f>T769*K769</f>
        <v/>
      </c>
      <c r="AG769" s="50">
        <f>U769*K769</f>
        <v/>
      </c>
      <c r="AH769" s="50">
        <f>V769*K769</f>
        <v/>
      </c>
      <c r="AI769" s="50">
        <f>W769*K769</f>
        <v/>
      </c>
    </row>
    <row r="770">
      <c r="A770" s="25" t="n"/>
      <c r="B770" s="45">
        <f>IF(A770="","",IFERROR(INDEX(Mitarbeiter!$B$6:$B$205,MATCH($A770,Mitarbeiter!$A$6:$A$205,0)),"?"))</f>
        <v/>
      </c>
      <c r="C770" s="46" t="n"/>
      <c r="D770" s="26" t="n"/>
      <c r="E770" s="26" t="n"/>
      <c r="F770" s="24">
        <f>IF(A770="","",SUM(L770:W770))</f>
        <v/>
      </c>
      <c r="G770" s="36">
        <f>IF(A770="","",SUM(X770:AI770))</f>
        <v/>
      </c>
      <c r="H770" s="8">
        <f>IF(A770="","",IF(ISNA(MATCH(A770,Mitarbeiter!$A$6:$A$205,0)),"Pers.-Nr. unbekannt",IF(D770="","Von fehlt",IF(AND(C770&lt;&gt;Einstellungen!$C$4,C770&lt;&gt;Einstellungen!$C$5),"Objekt fehlt",IF(J770&lt;D770,"Bis vor Von",IF(D770&lt;INDEX(Mitarbeiter!$C$6:$C$205,MATCH($A770,Mitarbeiter!$A$6:$A$205,0)),"vor Eintritt",IF(AND(INDEX(Mitarbeiter!$D$6:$D$205,MATCH($A770,Mitarbeiter!$A$6:$A$205,0))&lt;&gt;"",D770&gt;INDEX(Mitarbeiter!$D$6:$D$205,MATCH($A770,Mitarbeiter!$A$6:$A$205,0))),"nach Austritt",IF(E770="","offen","ok"))))))))</f>
        <v/>
      </c>
      <c r="J770" s="47">
        <f>IF(A770="","",IF(E770="",Einstellungen!$C$9,E770))</f>
        <v/>
      </c>
      <c r="K770" s="48">
        <f>IF(A770="",0,IFERROR(INDEX(Mitarbeiter!$F$6:$F$205,MATCH($A770,Mitarbeiter!$A$6:$A$205,0)),0))</f>
        <v/>
      </c>
      <c r="L770" s="49">
        <f>IF(OR(A770="",D770=""),0,MAX(0,NETWORKDAYS(MAX(D770,DATE(Einstellungen!$C$3,1,1)),MIN(J770,DATE(Einstellungen!$C$3,2,0)),Einstellungen!$F$13:$F$32)))</f>
        <v/>
      </c>
      <c r="M770" s="49">
        <f>IF(OR(A770="",D770=""),0,MAX(0,NETWORKDAYS(MAX(D770,DATE(Einstellungen!$C$3,2,1)),MIN(J770,DATE(Einstellungen!$C$3,3,0)),Einstellungen!$F$13:$F$32)))</f>
        <v/>
      </c>
      <c r="N770" s="49">
        <f>IF(OR(A770="",D770=""),0,MAX(0,NETWORKDAYS(MAX(D770,DATE(Einstellungen!$C$3,3,1)),MIN(J770,DATE(Einstellungen!$C$3,4,0)),Einstellungen!$F$13:$F$32)))</f>
        <v/>
      </c>
      <c r="O770" s="49">
        <f>IF(OR(A770="",D770=""),0,MAX(0,NETWORKDAYS(MAX(D770,DATE(Einstellungen!$C$3,4,1)),MIN(J770,DATE(Einstellungen!$C$3,5,0)),Einstellungen!$F$13:$F$32)))</f>
        <v/>
      </c>
      <c r="P770" s="49">
        <f>IF(OR(A770="",D770=""),0,MAX(0,NETWORKDAYS(MAX(D770,DATE(Einstellungen!$C$3,5,1)),MIN(J770,DATE(Einstellungen!$C$3,6,0)),Einstellungen!$F$13:$F$32)))</f>
        <v/>
      </c>
      <c r="Q770" s="49">
        <f>IF(OR(A770="",D770=""),0,MAX(0,NETWORKDAYS(MAX(D770,DATE(Einstellungen!$C$3,6,1)),MIN(J770,DATE(Einstellungen!$C$3,7,0)),Einstellungen!$F$13:$F$32)))</f>
        <v/>
      </c>
      <c r="R770" s="49">
        <f>IF(OR(A770="",D770=""),0,MAX(0,NETWORKDAYS(MAX(D770,DATE(Einstellungen!$C$3,7,1)),MIN(J770,DATE(Einstellungen!$C$3,8,0)),Einstellungen!$F$13:$F$32)))</f>
        <v/>
      </c>
      <c r="S770" s="49">
        <f>IF(OR(A770="",D770=""),0,MAX(0,NETWORKDAYS(MAX(D770,DATE(Einstellungen!$C$3,8,1)),MIN(J770,DATE(Einstellungen!$C$3,9,0)),Einstellungen!$F$13:$F$32)))</f>
        <v/>
      </c>
      <c r="T770" s="49">
        <f>IF(OR(A770="",D770=""),0,MAX(0,NETWORKDAYS(MAX(D770,DATE(Einstellungen!$C$3,9,1)),MIN(J770,DATE(Einstellungen!$C$3,10,0)),Einstellungen!$F$13:$F$32)))</f>
        <v/>
      </c>
      <c r="U770" s="49">
        <f>IF(OR(A770="",D770=""),0,MAX(0,NETWORKDAYS(MAX(D770,DATE(Einstellungen!$C$3,10,1)),MIN(J770,DATE(Einstellungen!$C$3,11,0)),Einstellungen!$F$13:$F$32)))</f>
        <v/>
      </c>
      <c r="V770" s="49">
        <f>IF(OR(A770="",D770=""),0,MAX(0,NETWORKDAYS(MAX(D770,DATE(Einstellungen!$C$3,11,1)),MIN(J770,DATE(Einstellungen!$C$3,12,0)),Einstellungen!$F$13:$F$32)))</f>
        <v/>
      </c>
      <c r="W770" s="49">
        <f>IF(OR(A770="",D770=""),0,MAX(0,NETWORKDAYS(MAX(D770,DATE(Einstellungen!$C$3,12,1)),MIN(J770,DATE(Einstellungen!$C$3,13,0)),Einstellungen!$F$13:$F$32)))</f>
        <v/>
      </c>
      <c r="X770" s="50">
        <f>L770*K770</f>
        <v/>
      </c>
      <c r="Y770" s="50">
        <f>M770*K770</f>
        <v/>
      </c>
      <c r="Z770" s="50">
        <f>N770*K770</f>
        <v/>
      </c>
      <c r="AA770" s="50">
        <f>O770*K770</f>
        <v/>
      </c>
      <c r="AB770" s="50">
        <f>P770*K770</f>
        <v/>
      </c>
      <c r="AC770" s="50">
        <f>Q770*K770</f>
        <v/>
      </c>
      <c r="AD770" s="50">
        <f>R770*K770</f>
        <v/>
      </c>
      <c r="AE770" s="50">
        <f>S770*K770</f>
        <v/>
      </c>
      <c r="AF770" s="50">
        <f>T770*K770</f>
        <v/>
      </c>
      <c r="AG770" s="50">
        <f>U770*K770</f>
        <v/>
      </c>
      <c r="AH770" s="50">
        <f>V770*K770</f>
        <v/>
      </c>
      <c r="AI770" s="50">
        <f>W770*K770</f>
        <v/>
      </c>
    </row>
    <row r="771">
      <c r="A771" s="25" t="n"/>
      <c r="B771" s="45">
        <f>IF(A771="","",IFERROR(INDEX(Mitarbeiter!$B$6:$B$205,MATCH($A771,Mitarbeiter!$A$6:$A$205,0)),"?"))</f>
        <v/>
      </c>
      <c r="C771" s="46" t="n"/>
      <c r="D771" s="26" t="n"/>
      <c r="E771" s="26" t="n"/>
      <c r="F771" s="24">
        <f>IF(A771="","",SUM(L771:W771))</f>
        <v/>
      </c>
      <c r="G771" s="36">
        <f>IF(A771="","",SUM(X771:AI771))</f>
        <v/>
      </c>
      <c r="H771" s="8">
        <f>IF(A771="","",IF(ISNA(MATCH(A771,Mitarbeiter!$A$6:$A$205,0)),"Pers.-Nr. unbekannt",IF(D771="","Von fehlt",IF(AND(C771&lt;&gt;Einstellungen!$C$4,C771&lt;&gt;Einstellungen!$C$5),"Objekt fehlt",IF(J771&lt;D771,"Bis vor Von",IF(D771&lt;INDEX(Mitarbeiter!$C$6:$C$205,MATCH($A771,Mitarbeiter!$A$6:$A$205,0)),"vor Eintritt",IF(AND(INDEX(Mitarbeiter!$D$6:$D$205,MATCH($A771,Mitarbeiter!$A$6:$A$205,0))&lt;&gt;"",D771&gt;INDEX(Mitarbeiter!$D$6:$D$205,MATCH($A771,Mitarbeiter!$A$6:$A$205,0))),"nach Austritt",IF(E771="","offen","ok"))))))))</f>
        <v/>
      </c>
      <c r="J771" s="47">
        <f>IF(A771="","",IF(E771="",Einstellungen!$C$9,E771))</f>
        <v/>
      </c>
      <c r="K771" s="48">
        <f>IF(A771="",0,IFERROR(INDEX(Mitarbeiter!$F$6:$F$205,MATCH($A771,Mitarbeiter!$A$6:$A$205,0)),0))</f>
        <v/>
      </c>
      <c r="L771" s="49">
        <f>IF(OR(A771="",D771=""),0,MAX(0,NETWORKDAYS(MAX(D771,DATE(Einstellungen!$C$3,1,1)),MIN(J771,DATE(Einstellungen!$C$3,2,0)),Einstellungen!$F$13:$F$32)))</f>
        <v/>
      </c>
      <c r="M771" s="49">
        <f>IF(OR(A771="",D771=""),0,MAX(0,NETWORKDAYS(MAX(D771,DATE(Einstellungen!$C$3,2,1)),MIN(J771,DATE(Einstellungen!$C$3,3,0)),Einstellungen!$F$13:$F$32)))</f>
        <v/>
      </c>
      <c r="N771" s="49">
        <f>IF(OR(A771="",D771=""),0,MAX(0,NETWORKDAYS(MAX(D771,DATE(Einstellungen!$C$3,3,1)),MIN(J771,DATE(Einstellungen!$C$3,4,0)),Einstellungen!$F$13:$F$32)))</f>
        <v/>
      </c>
      <c r="O771" s="49">
        <f>IF(OR(A771="",D771=""),0,MAX(0,NETWORKDAYS(MAX(D771,DATE(Einstellungen!$C$3,4,1)),MIN(J771,DATE(Einstellungen!$C$3,5,0)),Einstellungen!$F$13:$F$32)))</f>
        <v/>
      </c>
      <c r="P771" s="49">
        <f>IF(OR(A771="",D771=""),0,MAX(0,NETWORKDAYS(MAX(D771,DATE(Einstellungen!$C$3,5,1)),MIN(J771,DATE(Einstellungen!$C$3,6,0)),Einstellungen!$F$13:$F$32)))</f>
        <v/>
      </c>
      <c r="Q771" s="49">
        <f>IF(OR(A771="",D771=""),0,MAX(0,NETWORKDAYS(MAX(D771,DATE(Einstellungen!$C$3,6,1)),MIN(J771,DATE(Einstellungen!$C$3,7,0)),Einstellungen!$F$13:$F$32)))</f>
        <v/>
      </c>
      <c r="R771" s="49">
        <f>IF(OR(A771="",D771=""),0,MAX(0,NETWORKDAYS(MAX(D771,DATE(Einstellungen!$C$3,7,1)),MIN(J771,DATE(Einstellungen!$C$3,8,0)),Einstellungen!$F$13:$F$32)))</f>
        <v/>
      </c>
      <c r="S771" s="49">
        <f>IF(OR(A771="",D771=""),0,MAX(0,NETWORKDAYS(MAX(D771,DATE(Einstellungen!$C$3,8,1)),MIN(J771,DATE(Einstellungen!$C$3,9,0)),Einstellungen!$F$13:$F$32)))</f>
        <v/>
      </c>
      <c r="T771" s="49">
        <f>IF(OR(A771="",D771=""),0,MAX(0,NETWORKDAYS(MAX(D771,DATE(Einstellungen!$C$3,9,1)),MIN(J771,DATE(Einstellungen!$C$3,10,0)),Einstellungen!$F$13:$F$32)))</f>
        <v/>
      </c>
      <c r="U771" s="49">
        <f>IF(OR(A771="",D771=""),0,MAX(0,NETWORKDAYS(MAX(D771,DATE(Einstellungen!$C$3,10,1)),MIN(J771,DATE(Einstellungen!$C$3,11,0)),Einstellungen!$F$13:$F$32)))</f>
        <v/>
      </c>
      <c r="V771" s="49">
        <f>IF(OR(A771="",D771=""),0,MAX(0,NETWORKDAYS(MAX(D771,DATE(Einstellungen!$C$3,11,1)),MIN(J771,DATE(Einstellungen!$C$3,12,0)),Einstellungen!$F$13:$F$32)))</f>
        <v/>
      </c>
      <c r="W771" s="49">
        <f>IF(OR(A771="",D771=""),0,MAX(0,NETWORKDAYS(MAX(D771,DATE(Einstellungen!$C$3,12,1)),MIN(J771,DATE(Einstellungen!$C$3,13,0)),Einstellungen!$F$13:$F$32)))</f>
        <v/>
      </c>
      <c r="X771" s="50">
        <f>L771*K771</f>
        <v/>
      </c>
      <c r="Y771" s="50">
        <f>M771*K771</f>
        <v/>
      </c>
      <c r="Z771" s="50">
        <f>N771*K771</f>
        <v/>
      </c>
      <c r="AA771" s="50">
        <f>O771*K771</f>
        <v/>
      </c>
      <c r="AB771" s="50">
        <f>P771*K771</f>
        <v/>
      </c>
      <c r="AC771" s="50">
        <f>Q771*K771</f>
        <v/>
      </c>
      <c r="AD771" s="50">
        <f>R771*K771</f>
        <v/>
      </c>
      <c r="AE771" s="50">
        <f>S771*K771</f>
        <v/>
      </c>
      <c r="AF771" s="50">
        <f>T771*K771</f>
        <v/>
      </c>
      <c r="AG771" s="50">
        <f>U771*K771</f>
        <v/>
      </c>
      <c r="AH771" s="50">
        <f>V771*K771</f>
        <v/>
      </c>
      <c r="AI771" s="50">
        <f>W771*K771</f>
        <v/>
      </c>
    </row>
    <row r="772">
      <c r="A772" s="25" t="n"/>
      <c r="B772" s="45">
        <f>IF(A772="","",IFERROR(INDEX(Mitarbeiter!$B$6:$B$205,MATCH($A772,Mitarbeiter!$A$6:$A$205,0)),"?"))</f>
        <v/>
      </c>
      <c r="C772" s="46" t="n"/>
      <c r="D772" s="26" t="n"/>
      <c r="E772" s="26" t="n"/>
      <c r="F772" s="24">
        <f>IF(A772="","",SUM(L772:W772))</f>
        <v/>
      </c>
      <c r="G772" s="36">
        <f>IF(A772="","",SUM(X772:AI772))</f>
        <v/>
      </c>
      <c r="H772" s="8">
        <f>IF(A772="","",IF(ISNA(MATCH(A772,Mitarbeiter!$A$6:$A$205,0)),"Pers.-Nr. unbekannt",IF(D772="","Von fehlt",IF(AND(C772&lt;&gt;Einstellungen!$C$4,C772&lt;&gt;Einstellungen!$C$5),"Objekt fehlt",IF(J772&lt;D772,"Bis vor Von",IF(D772&lt;INDEX(Mitarbeiter!$C$6:$C$205,MATCH($A772,Mitarbeiter!$A$6:$A$205,0)),"vor Eintritt",IF(AND(INDEX(Mitarbeiter!$D$6:$D$205,MATCH($A772,Mitarbeiter!$A$6:$A$205,0))&lt;&gt;"",D772&gt;INDEX(Mitarbeiter!$D$6:$D$205,MATCH($A772,Mitarbeiter!$A$6:$A$205,0))),"nach Austritt",IF(E772="","offen","ok"))))))))</f>
        <v/>
      </c>
      <c r="J772" s="47">
        <f>IF(A772="","",IF(E772="",Einstellungen!$C$9,E772))</f>
        <v/>
      </c>
      <c r="K772" s="48">
        <f>IF(A772="",0,IFERROR(INDEX(Mitarbeiter!$F$6:$F$205,MATCH($A772,Mitarbeiter!$A$6:$A$205,0)),0))</f>
        <v/>
      </c>
      <c r="L772" s="49">
        <f>IF(OR(A772="",D772=""),0,MAX(0,NETWORKDAYS(MAX(D772,DATE(Einstellungen!$C$3,1,1)),MIN(J772,DATE(Einstellungen!$C$3,2,0)),Einstellungen!$F$13:$F$32)))</f>
        <v/>
      </c>
      <c r="M772" s="49">
        <f>IF(OR(A772="",D772=""),0,MAX(0,NETWORKDAYS(MAX(D772,DATE(Einstellungen!$C$3,2,1)),MIN(J772,DATE(Einstellungen!$C$3,3,0)),Einstellungen!$F$13:$F$32)))</f>
        <v/>
      </c>
      <c r="N772" s="49">
        <f>IF(OR(A772="",D772=""),0,MAX(0,NETWORKDAYS(MAX(D772,DATE(Einstellungen!$C$3,3,1)),MIN(J772,DATE(Einstellungen!$C$3,4,0)),Einstellungen!$F$13:$F$32)))</f>
        <v/>
      </c>
      <c r="O772" s="49">
        <f>IF(OR(A772="",D772=""),0,MAX(0,NETWORKDAYS(MAX(D772,DATE(Einstellungen!$C$3,4,1)),MIN(J772,DATE(Einstellungen!$C$3,5,0)),Einstellungen!$F$13:$F$32)))</f>
        <v/>
      </c>
      <c r="P772" s="49">
        <f>IF(OR(A772="",D772=""),0,MAX(0,NETWORKDAYS(MAX(D772,DATE(Einstellungen!$C$3,5,1)),MIN(J772,DATE(Einstellungen!$C$3,6,0)),Einstellungen!$F$13:$F$32)))</f>
        <v/>
      </c>
      <c r="Q772" s="49">
        <f>IF(OR(A772="",D772=""),0,MAX(0,NETWORKDAYS(MAX(D772,DATE(Einstellungen!$C$3,6,1)),MIN(J772,DATE(Einstellungen!$C$3,7,0)),Einstellungen!$F$13:$F$32)))</f>
        <v/>
      </c>
      <c r="R772" s="49">
        <f>IF(OR(A772="",D772=""),0,MAX(0,NETWORKDAYS(MAX(D772,DATE(Einstellungen!$C$3,7,1)),MIN(J772,DATE(Einstellungen!$C$3,8,0)),Einstellungen!$F$13:$F$32)))</f>
        <v/>
      </c>
      <c r="S772" s="49">
        <f>IF(OR(A772="",D772=""),0,MAX(0,NETWORKDAYS(MAX(D772,DATE(Einstellungen!$C$3,8,1)),MIN(J772,DATE(Einstellungen!$C$3,9,0)),Einstellungen!$F$13:$F$32)))</f>
        <v/>
      </c>
      <c r="T772" s="49">
        <f>IF(OR(A772="",D772=""),0,MAX(0,NETWORKDAYS(MAX(D772,DATE(Einstellungen!$C$3,9,1)),MIN(J772,DATE(Einstellungen!$C$3,10,0)),Einstellungen!$F$13:$F$32)))</f>
        <v/>
      </c>
      <c r="U772" s="49">
        <f>IF(OR(A772="",D772=""),0,MAX(0,NETWORKDAYS(MAX(D772,DATE(Einstellungen!$C$3,10,1)),MIN(J772,DATE(Einstellungen!$C$3,11,0)),Einstellungen!$F$13:$F$32)))</f>
        <v/>
      </c>
      <c r="V772" s="49">
        <f>IF(OR(A772="",D772=""),0,MAX(0,NETWORKDAYS(MAX(D772,DATE(Einstellungen!$C$3,11,1)),MIN(J772,DATE(Einstellungen!$C$3,12,0)),Einstellungen!$F$13:$F$32)))</f>
        <v/>
      </c>
      <c r="W772" s="49">
        <f>IF(OR(A772="",D772=""),0,MAX(0,NETWORKDAYS(MAX(D772,DATE(Einstellungen!$C$3,12,1)),MIN(J772,DATE(Einstellungen!$C$3,13,0)),Einstellungen!$F$13:$F$32)))</f>
        <v/>
      </c>
      <c r="X772" s="50">
        <f>L772*K772</f>
        <v/>
      </c>
      <c r="Y772" s="50">
        <f>M772*K772</f>
        <v/>
      </c>
      <c r="Z772" s="50">
        <f>N772*K772</f>
        <v/>
      </c>
      <c r="AA772" s="50">
        <f>O772*K772</f>
        <v/>
      </c>
      <c r="AB772" s="50">
        <f>P772*K772</f>
        <v/>
      </c>
      <c r="AC772" s="50">
        <f>Q772*K772</f>
        <v/>
      </c>
      <c r="AD772" s="50">
        <f>R772*K772</f>
        <v/>
      </c>
      <c r="AE772" s="50">
        <f>S772*K772</f>
        <v/>
      </c>
      <c r="AF772" s="50">
        <f>T772*K772</f>
        <v/>
      </c>
      <c r="AG772" s="50">
        <f>U772*K772</f>
        <v/>
      </c>
      <c r="AH772" s="50">
        <f>V772*K772</f>
        <v/>
      </c>
      <c r="AI772" s="50">
        <f>W772*K772</f>
        <v/>
      </c>
    </row>
    <row r="773">
      <c r="A773" s="25" t="n"/>
      <c r="B773" s="45">
        <f>IF(A773="","",IFERROR(INDEX(Mitarbeiter!$B$6:$B$205,MATCH($A773,Mitarbeiter!$A$6:$A$205,0)),"?"))</f>
        <v/>
      </c>
      <c r="C773" s="46" t="n"/>
      <c r="D773" s="26" t="n"/>
      <c r="E773" s="26" t="n"/>
      <c r="F773" s="24">
        <f>IF(A773="","",SUM(L773:W773))</f>
        <v/>
      </c>
      <c r="G773" s="36">
        <f>IF(A773="","",SUM(X773:AI773))</f>
        <v/>
      </c>
      <c r="H773" s="8">
        <f>IF(A773="","",IF(ISNA(MATCH(A773,Mitarbeiter!$A$6:$A$205,0)),"Pers.-Nr. unbekannt",IF(D773="","Von fehlt",IF(AND(C773&lt;&gt;Einstellungen!$C$4,C773&lt;&gt;Einstellungen!$C$5),"Objekt fehlt",IF(J773&lt;D773,"Bis vor Von",IF(D773&lt;INDEX(Mitarbeiter!$C$6:$C$205,MATCH($A773,Mitarbeiter!$A$6:$A$205,0)),"vor Eintritt",IF(AND(INDEX(Mitarbeiter!$D$6:$D$205,MATCH($A773,Mitarbeiter!$A$6:$A$205,0))&lt;&gt;"",D773&gt;INDEX(Mitarbeiter!$D$6:$D$205,MATCH($A773,Mitarbeiter!$A$6:$A$205,0))),"nach Austritt",IF(E773="","offen","ok"))))))))</f>
        <v/>
      </c>
      <c r="J773" s="47">
        <f>IF(A773="","",IF(E773="",Einstellungen!$C$9,E773))</f>
        <v/>
      </c>
      <c r="K773" s="48">
        <f>IF(A773="",0,IFERROR(INDEX(Mitarbeiter!$F$6:$F$205,MATCH($A773,Mitarbeiter!$A$6:$A$205,0)),0))</f>
        <v/>
      </c>
      <c r="L773" s="49">
        <f>IF(OR(A773="",D773=""),0,MAX(0,NETWORKDAYS(MAX(D773,DATE(Einstellungen!$C$3,1,1)),MIN(J773,DATE(Einstellungen!$C$3,2,0)),Einstellungen!$F$13:$F$32)))</f>
        <v/>
      </c>
      <c r="M773" s="49">
        <f>IF(OR(A773="",D773=""),0,MAX(0,NETWORKDAYS(MAX(D773,DATE(Einstellungen!$C$3,2,1)),MIN(J773,DATE(Einstellungen!$C$3,3,0)),Einstellungen!$F$13:$F$32)))</f>
        <v/>
      </c>
      <c r="N773" s="49">
        <f>IF(OR(A773="",D773=""),0,MAX(0,NETWORKDAYS(MAX(D773,DATE(Einstellungen!$C$3,3,1)),MIN(J773,DATE(Einstellungen!$C$3,4,0)),Einstellungen!$F$13:$F$32)))</f>
        <v/>
      </c>
      <c r="O773" s="49">
        <f>IF(OR(A773="",D773=""),0,MAX(0,NETWORKDAYS(MAX(D773,DATE(Einstellungen!$C$3,4,1)),MIN(J773,DATE(Einstellungen!$C$3,5,0)),Einstellungen!$F$13:$F$32)))</f>
        <v/>
      </c>
      <c r="P773" s="49">
        <f>IF(OR(A773="",D773=""),0,MAX(0,NETWORKDAYS(MAX(D773,DATE(Einstellungen!$C$3,5,1)),MIN(J773,DATE(Einstellungen!$C$3,6,0)),Einstellungen!$F$13:$F$32)))</f>
        <v/>
      </c>
      <c r="Q773" s="49">
        <f>IF(OR(A773="",D773=""),0,MAX(0,NETWORKDAYS(MAX(D773,DATE(Einstellungen!$C$3,6,1)),MIN(J773,DATE(Einstellungen!$C$3,7,0)),Einstellungen!$F$13:$F$32)))</f>
        <v/>
      </c>
      <c r="R773" s="49">
        <f>IF(OR(A773="",D773=""),0,MAX(0,NETWORKDAYS(MAX(D773,DATE(Einstellungen!$C$3,7,1)),MIN(J773,DATE(Einstellungen!$C$3,8,0)),Einstellungen!$F$13:$F$32)))</f>
        <v/>
      </c>
      <c r="S773" s="49">
        <f>IF(OR(A773="",D773=""),0,MAX(0,NETWORKDAYS(MAX(D773,DATE(Einstellungen!$C$3,8,1)),MIN(J773,DATE(Einstellungen!$C$3,9,0)),Einstellungen!$F$13:$F$32)))</f>
        <v/>
      </c>
      <c r="T773" s="49">
        <f>IF(OR(A773="",D773=""),0,MAX(0,NETWORKDAYS(MAX(D773,DATE(Einstellungen!$C$3,9,1)),MIN(J773,DATE(Einstellungen!$C$3,10,0)),Einstellungen!$F$13:$F$32)))</f>
        <v/>
      </c>
      <c r="U773" s="49">
        <f>IF(OR(A773="",D773=""),0,MAX(0,NETWORKDAYS(MAX(D773,DATE(Einstellungen!$C$3,10,1)),MIN(J773,DATE(Einstellungen!$C$3,11,0)),Einstellungen!$F$13:$F$32)))</f>
        <v/>
      </c>
      <c r="V773" s="49">
        <f>IF(OR(A773="",D773=""),0,MAX(0,NETWORKDAYS(MAX(D773,DATE(Einstellungen!$C$3,11,1)),MIN(J773,DATE(Einstellungen!$C$3,12,0)),Einstellungen!$F$13:$F$32)))</f>
        <v/>
      </c>
      <c r="W773" s="49">
        <f>IF(OR(A773="",D773=""),0,MAX(0,NETWORKDAYS(MAX(D773,DATE(Einstellungen!$C$3,12,1)),MIN(J773,DATE(Einstellungen!$C$3,13,0)),Einstellungen!$F$13:$F$32)))</f>
        <v/>
      </c>
      <c r="X773" s="50">
        <f>L773*K773</f>
        <v/>
      </c>
      <c r="Y773" s="50">
        <f>M773*K773</f>
        <v/>
      </c>
      <c r="Z773" s="50">
        <f>N773*K773</f>
        <v/>
      </c>
      <c r="AA773" s="50">
        <f>O773*K773</f>
        <v/>
      </c>
      <c r="AB773" s="50">
        <f>P773*K773</f>
        <v/>
      </c>
      <c r="AC773" s="50">
        <f>Q773*K773</f>
        <v/>
      </c>
      <c r="AD773" s="50">
        <f>R773*K773</f>
        <v/>
      </c>
      <c r="AE773" s="50">
        <f>S773*K773</f>
        <v/>
      </c>
      <c r="AF773" s="50">
        <f>T773*K773</f>
        <v/>
      </c>
      <c r="AG773" s="50">
        <f>U773*K773</f>
        <v/>
      </c>
      <c r="AH773" s="50">
        <f>V773*K773</f>
        <v/>
      </c>
      <c r="AI773" s="50">
        <f>W773*K773</f>
        <v/>
      </c>
    </row>
    <row r="774">
      <c r="A774" s="25" t="n"/>
      <c r="B774" s="45">
        <f>IF(A774="","",IFERROR(INDEX(Mitarbeiter!$B$6:$B$205,MATCH($A774,Mitarbeiter!$A$6:$A$205,0)),"?"))</f>
        <v/>
      </c>
      <c r="C774" s="46" t="n"/>
      <c r="D774" s="26" t="n"/>
      <c r="E774" s="26" t="n"/>
      <c r="F774" s="24">
        <f>IF(A774="","",SUM(L774:W774))</f>
        <v/>
      </c>
      <c r="G774" s="36">
        <f>IF(A774="","",SUM(X774:AI774))</f>
        <v/>
      </c>
      <c r="H774" s="8">
        <f>IF(A774="","",IF(ISNA(MATCH(A774,Mitarbeiter!$A$6:$A$205,0)),"Pers.-Nr. unbekannt",IF(D774="","Von fehlt",IF(AND(C774&lt;&gt;Einstellungen!$C$4,C774&lt;&gt;Einstellungen!$C$5),"Objekt fehlt",IF(J774&lt;D774,"Bis vor Von",IF(D774&lt;INDEX(Mitarbeiter!$C$6:$C$205,MATCH($A774,Mitarbeiter!$A$6:$A$205,0)),"vor Eintritt",IF(AND(INDEX(Mitarbeiter!$D$6:$D$205,MATCH($A774,Mitarbeiter!$A$6:$A$205,0))&lt;&gt;"",D774&gt;INDEX(Mitarbeiter!$D$6:$D$205,MATCH($A774,Mitarbeiter!$A$6:$A$205,0))),"nach Austritt",IF(E774="","offen","ok"))))))))</f>
        <v/>
      </c>
      <c r="J774" s="47">
        <f>IF(A774="","",IF(E774="",Einstellungen!$C$9,E774))</f>
        <v/>
      </c>
      <c r="K774" s="48">
        <f>IF(A774="",0,IFERROR(INDEX(Mitarbeiter!$F$6:$F$205,MATCH($A774,Mitarbeiter!$A$6:$A$205,0)),0))</f>
        <v/>
      </c>
      <c r="L774" s="49">
        <f>IF(OR(A774="",D774=""),0,MAX(0,NETWORKDAYS(MAX(D774,DATE(Einstellungen!$C$3,1,1)),MIN(J774,DATE(Einstellungen!$C$3,2,0)),Einstellungen!$F$13:$F$32)))</f>
        <v/>
      </c>
      <c r="M774" s="49">
        <f>IF(OR(A774="",D774=""),0,MAX(0,NETWORKDAYS(MAX(D774,DATE(Einstellungen!$C$3,2,1)),MIN(J774,DATE(Einstellungen!$C$3,3,0)),Einstellungen!$F$13:$F$32)))</f>
        <v/>
      </c>
      <c r="N774" s="49">
        <f>IF(OR(A774="",D774=""),0,MAX(0,NETWORKDAYS(MAX(D774,DATE(Einstellungen!$C$3,3,1)),MIN(J774,DATE(Einstellungen!$C$3,4,0)),Einstellungen!$F$13:$F$32)))</f>
        <v/>
      </c>
      <c r="O774" s="49">
        <f>IF(OR(A774="",D774=""),0,MAX(0,NETWORKDAYS(MAX(D774,DATE(Einstellungen!$C$3,4,1)),MIN(J774,DATE(Einstellungen!$C$3,5,0)),Einstellungen!$F$13:$F$32)))</f>
        <v/>
      </c>
      <c r="P774" s="49">
        <f>IF(OR(A774="",D774=""),0,MAX(0,NETWORKDAYS(MAX(D774,DATE(Einstellungen!$C$3,5,1)),MIN(J774,DATE(Einstellungen!$C$3,6,0)),Einstellungen!$F$13:$F$32)))</f>
        <v/>
      </c>
      <c r="Q774" s="49">
        <f>IF(OR(A774="",D774=""),0,MAX(0,NETWORKDAYS(MAX(D774,DATE(Einstellungen!$C$3,6,1)),MIN(J774,DATE(Einstellungen!$C$3,7,0)),Einstellungen!$F$13:$F$32)))</f>
        <v/>
      </c>
      <c r="R774" s="49">
        <f>IF(OR(A774="",D774=""),0,MAX(0,NETWORKDAYS(MAX(D774,DATE(Einstellungen!$C$3,7,1)),MIN(J774,DATE(Einstellungen!$C$3,8,0)),Einstellungen!$F$13:$F$32)))</f>
        <v/>
      </c>
      <c r="S774" s="49">
        <f>IF(OR(A774="",D774=""),0,MAX(0,NETWORKDAYS(MAX(D774,DATE(Einstellungen!$C$3,8,1)),MIN(J774,DATE(Einstellungen!$C$3,9,0)),Einstellungen!$F$13:$F$32)))</f>
        <v/>
      </c>
      <c r="T774" s="49">
        <f>IF(OR(A774="",D774=""),0,MAX(0,NETWORKDAYS(MAX(D774,DATE(Einstellungen!$C$3,9,1)),MIN(J774,DATE(Einstellungen!$C$3,10,0)),Einstellungen!$F$13:$F$32)))</f>
        <v/>
      </c>
      <c r="U774" s="49">
        <f>IF(OR(A774="",D774=""),0,MAX(0,NETWORKDAYS(MAX(D774,DATE(Einstellungen!$C$3,10,1)),MIN(J774,DATE(Einstellungen!$C$3,11,0)),Einstellungen!$F$13:$F$32)))</f>
        <v/>
      </c>
      <c r="V774" s="49">
        <f>IF(OR(A774="",D774=""),0,MAX(0,NETWORKDAYS(MAX(D774,DATE(Einstellungen!$C$3,11,1)),MIN(J774,DATE(Einstellungen!$C$3,12,0)),Einstellungen!$F$13:$F$32)))</f>
        <v/>
      </c>
      <c r="W774" s="49">
        <f>IF(OR(A774="",D774=""),0,MAX(0,NETWORKDAYS(MAX(D774,DATE(Einstellungen!$C$3,12,1)),MIN(J774,DATE(Einstellungen!$C$3,13,0)),Einstellungen!$F$13:$F$32)))</f>
        <v/>
      </c>
      <c r="X774" s="50">
        <f>L774*K774</f>
        <v/>
      </c>
      <c r="Y774" s="50">
        <f>M774*K774</f>
        <v/>
      </c>
      <c r="Z774" s="50">
        <f>N774*K774</f>
        <v/>
      </c>
      <c r="AA774" s="50">
        <f>O774*K774</f>
        <v/>
      </c>
      <c r="AB774" s="50">
        <f>P774*K774</f>
        <v/>
      </c>
      <c r="AC774" s="50">
        <f>Q774*K774</f>
        <v/>
      </c>
      <c r="AD774" s="50">
        <f>R774*K774</f>
        <v/>
      </c>
      <c r="AE774" s="50">
        <f>S774*K774</f>
        <v/>
      </c>
      <c r="AF774" s="50">
        <f>T774*K774</f>
        <v/>
      </c>
      <c r="AG774" s="50">
        <f>U774*K774</f>
        <v/>
      </c>
      <c r="AH774" s="50">
        <f>V774*K774</f>
        <v/>
      </c>
      <c r="AI774" s="50">
        <f>W774*K774</f>
        <v/>
      </c>
    </row>
    <row r="775">
      <c r="A775" s="25" t="n"/>
      <c r="B775" s="45">
        <f>IF(A775="","",IFERROR(INDEX(Mitarbeiter!$B$6:$B$205,MATCH($A775,Mitarbeiter!$A$6:$A$205,0)),"?"))</f>
        <v/>
      </c>
      <c r="C775" s="46" t="n"/>
      <c r="D775" s="26" t="n"/>
      <c r="E775" s="26" t="n"/>
      <c r="F775" s="24">
        <f>IF(A775="","",SUM(L775:W775))</f>
        <v/>
      </c>
      <c r="G775" s="36">
        <f>IF(A775="","",SUM(X775:AI775))</f>
        <v/>
      </c>
      <c r="H775" s="8">
        <f>IF(A775="","",IF(ISNA(MATCH(A775,Mitarbeiter!$A$6:$A$205,0)),"Pers.-Nr. unbekannt",IF(D775="","Von fehlt",IF(AND(C775&lt;&gt;Einstellungen!$C$4,C775&lt;&gt;Einstellungen!$C$5),"Objekt fehlt",IF(J775&lt;D775,"Bis vor Von",IF(D775&lt;INDEX(Mitarbeiter!$C$6:$C$205,MATCH($A775,Mitarbeiter!$A$6:$A$205,0)),"vor Eintritt",IF(AND(INDEX(Mitarbeiter!$D$6:$D$205,MATCH($A775,Mitarbeiter!$A$6:$A$205,0))&lt;&gt;"",D775&gt;INDEX(Mitarbeiter!$D$6:$D$205,MATCH($A775,Mitarbeiter!$A$6:$A$205,0))),"nach Austritt",IF(E775="","offen","ok"))))))))</f>
        <v/>
      </c>
      <c r="J775" s="47">
        <f>IF(A775="","",IF(E775="",Einstellungen!$C$9,E775))</f>
        <v/>
      </c>
      <c r="K775" s="48">
        <f>IF(A775="",0,IFERROR(INDEX(Mitarbeiter!$F$6:$F$205,MATCH($A775,Mitarbeiter!$A$6:$A$205,0)),0))</f>
        <v/>
      </c>
      <c r="L775" s="49">
        <f>IF(OR(A775="",D775=""),0,MAX(0,NETWORKDAYS(MAX(D775,DATE(Einstellungen!$C$3,1,1)),MIN(J775,DATE(Einstellungen!$C$3,2,0)),Einstellungen!$F$13:$F$32)))</f>
        <v/>
      </c>
      <c r="M775" s="49">
        <f>IF(OR(A775="",D775=""),0,MAX(0,NETWORKDAYS(MAX(D775,DATE(Einstellungen!$C$3,2,1)),MIN(J775,DATE(Einstellungen!$C$3,3,0)),Einstellungen!$F$13:$F$32)))</f>
        <v/>
      </c>
      <c r="N775" s="49">
        <f>IF(OR(A775="",D775=""),0,MAX(0,NETWORKDAYS(MAX(D775,DATE(Einstellungen!$C$3,3,1)),MIN(J775,DATE(Einstellungen!$C$3,4,0)),Einstellungen!$F$13:$F$32)))</f>
        <v/>
      </c>
      <c r="O775" s="49">
        <f>IF(OR(A775="",D775=""),0,MAX(0,NETWORKDAYS(MAX(D775,DATE(Einstellungen!$C$3,4,1)),MIN(J775,DATE(Einstellungen!$C$3,5,0)),Einstellungen!$F$13:$F$32)))</f>
        <v/>
      </c>
      <c r="P775" s="49">
        <f>IF(OR(A775="",D775=""),0,MAX(0,NETWORKDAYS(MAX(D775,DATE(Einstellungen!$C$3,5,1)),MIN(J775,DATE(Einstellungen!$C$3,6,0)),Einstellungen!$F$13:$F$32)))</f>
        <v/>
      </c>
      <c r="Q775" s="49">
        <f>IF(OR(A775="",D775=""),0,MAX(0,NETWORKDAYS(MAX(D775,DATE(Einstellungen!$C$3,6,1)),MIN(J775,DATE(Einstellungen!$C$3,7,0)),Einstellungen!$F$13:$F$32)))</f>
        <v/>
      </c>
      <c r="R775" s="49">
        <f>IF(OR(A775="",D775=""),0,MAX(0,NETWORKDAYS(MAX(D775,DATE(Einstellungen!$C$3,7,1)),MIN(J775,DATE(Einstellungen!$C$3,8,0)),Einstellungen!$F$13:$F$32)))</f>
        <v/>
      </c>
      <c r="S775" s="49">
        <f>IF(OR(A775="",D775=""),0,MAX(0,NETWORKDAYS(MAX(D775,DATE(Einstellungen!$C$3,8,1)),MIN(J775,DATE(Einstellungen!$C$3,9,0)),Einstellungen!$F$13:$F$32)))</f>
        <v/>
      </c>
      <c r="T775" s="49">
        <f>IF(OR(A775="",D775=""),0,MAX(0,NETWORKDAYS(MAX(D775,DATE(Einstellungen!$C$3,9,1)),MIN(J775,DATE(Einstellungen!$C$3,10,0)),Einstellungen!$F$13:$F$32)))</f>
        <v/>
      </c>
      <c r="U775" s="49">
        <f>IF(OR(A775="",D775=""),0,MAX(0,NETWORKDAYS(MAX(D775,DATE(Einstellungen!$C$3,10,1)),MIN(J775,DATE(Einstellungen!$C$3,11,0)),Einstellungen!$F$13:$F$32)))</f>
        <v/>
      </c>
      <c r="V775" s="49">
        <f>IF(OR(A775="",D775=""),0,MAX(0,NETWORKDAYS(MAX(D775,DATE(Einstellungen!$C$3,11,1)),MIN(J775,DATE(Einstellungen!$C$3,12,0)),Einstellungen!$F$13:$F$32)))</f>
        <v/>
      </c>
      <c r="W775" s="49">
        <f>IF(OR(A775="",D775=""),0,MAX(0,NETWORKDAYS(MAX(D775,DATE(Einstellungen!$C$3,12,1)),MIN(J775,DATE(Einstellungen!$C$3,13,0)),Einstellungen!$F$13:$F$32)))</f>
        <v/>
      </c>
      <c r="X775" s="50">
        <f>L775*K775</f>
        <v/>
      </c>
      <c r="Y775" s="50">
        <f>M775*K775</f>
        <v/>
      </c>
      <c r="Z775" s="50">
        <f>N775*K775</f>
        <v/>
      </c>
      <c r="AA775" s="50">
        <f>O775*K775</f>
        <v/>
      </c>
      <c r="AB775" s="50">
        <f>P775*K775</f>
        <v/>
      </c>
      <c r="AC775" s="50">
        <f>Q775*K775</f>
        <v/>
      </c>
      <c r="AD775" s="50">
        <f>R775*K775</f>
        <v/>
      </c>
      <c r="AE775" s="50">
        <f>S775*K775</f>
        <v/>
      </c>
      <c r="AF775" s="50">
        <f>T775*K775</f>
        <v/>
      </c>
      <c r="AG775" s="50">
        <f>U775*K775</f>
        <v/>
      </c>
      <c r="AH775" s="50">
        <f>V775*K775</f>
        <v/>
      </c>
      <c r="AI775" s="50">
        <f>W775*K775</f>
        <v/>
      </c>
    </row>
    <row r="776">
      <c r="A776" s="25" t="n"/>
      <c r="B776" s="45">
        <f>IF(A776="","",IFERROR(INDEX(Mitarbeiter!$B$6:$B$205,MATCH($A776,Mitarbeiter!$A$6:$A$205,0)),"?"))</f>
        <v/>
      </c>
      <c r="C776" s="46" t="n"/>
      <c r="D776" s="26" t="n"/>
      <c r="E776" s="26" t="n"/>
      <c r="F776" s="24">
        <f>IF(A776="","",SUM(L776:W776))</f>
        <v/>
      </c>
      <c r="G776" s="36">
        <f>IF(A776="","",SUM(X776:AI776))</f>
        <v/>
      </c>
      <c r="H776" s="8">
        <f>IF(A776="","",IF(ISNA(MATCH(A776,Mitarbeiter!$A$6:$A$205,0)),"Pers.-Nr. unbekannt",IF(D776="","Von fehlt",IF(AND(C776&lt;&gt;Einstellungen!$C$4,C776&lt;&gt;Einstellungen!$C$5),"Objekt fehlt",IF(J776&lt;D776,"Bis vor Von",IF(D776&lt;INDEX(Mitarbeiter!$C$6:$C$205,MATCH($A776,Mitarbeiter!$A$6:$A$205,0)),"vor Eintritt",IF(AND(INDEX(Mitarbeiter!$D$6:$D$205,MATCH($A776,Mitarbeiter!$A$6:$A$205,0))&lt;&gt;"",D776&gt;INDEX(Mitarbeiter!$D$6:$D$205,MATCH($A776,Mitarbeiter!$A$6:$A$205,0))),"nach Austritt",IF(E776="","offen","ok"))))))))</f>
        <v/>
      </c>
      <c r="J776" s="47">
        <f>IF(A776="","",IF(E776="",Einstellungen!$C$9,E776))</f>
        <v/>
      </c>
      <c r="K776" s="48">
        <f>IF(A776="",0,IFERROR(INDEX(Mitarbeiter!$F$6:$F$205,MATCH($A776,Mitarbeiter!$A$6:$A$205,0)),0))</f>
        <v/>
      </c>
      <c r="L776" s="49">
        <f>IF(OR(A776="",D776=""),0,MAX(0,NETWORKDAYS(MAX(D776,DATE(Einstellungen!$C$3,1,1)),MIN(J776,DATE(Einstellungen!$C$3,2,0)),Einstellungen!$F$13:$F$32)))</f>
        <v/>
      </c>
      <c r="M776" s="49">
        <f>IF(OR(A776="",D776=""),0,MAX(0,NETWORKDAYS(MAX(D776,DATE(Einstellungen!$C$3,2,1)),MIN(J776,DATE(Einstellungen!$C$3,3,0)),Einstellungen!$F$13:$F$32)))</f>
        <v/>
      </c>
      <c r="N776" s="49">
        <f>IF(OR(A776="",D776=""),0,MAX(0,NETWORKDAYS(MAX(D776,DATE(Einstellungen!$C$3,3,1)),MIN(J776,DATE(Einstellungen!$C$3,4,0)),Einstellungen!$F$13:$F$32)))</f>
        <v/>
      </c>
      <c r="O776" s="49">
        <f>IF(OR(A776="",D776=""),0,MAX(0,NETWORKDAYS(MAX(D776,DATE(Einstellungen!$C$3,4,1)),MIN(J776,DATE(Einstellungen!$C$3,5,0)),Einstellungen!$F$13:$F$32)))</f>
        <v/>
      </c>
      <c r="P776" s="49">
        <f>IF(OR(A776="",D776=""),0,MAX(0,NETWORKDAYS(MAX(D776,DATE(Einstellungen!$C$3,5,1)),MIN(J776,DATE(Einstellungen!$C$3,6,0)),Einstellungen!$F$13:$F$32)))</f>
        <v/>
      </c>
      <c r="Q776" s="49">
        <f>IF(OR(A776="",D776=""),0,MAX(0,NETWORKDAYS(MAX(D776,DATE(Einstellungen!$C$3,6,1)),MIN(J776,DATE(Einstellungen!$C$3,7,0)),Einstellungen!$F$13:$F$32)))</f>
        <v/>
      </c>
      <c r="R776" s="49">
        <f>IF(OR(A776="",D776=""),0,MAX(0,NETWORKDAYS(MAX(D776,DATE(Einstellungen!$C$3,7,1)),MIN(J776,DATE(Einstellungen!$C$3,8,0)),Einstellungen!$F$13:$F$32)))</f>
        <v/>
      </c>
      <c r="S776" s="49">
        <f>IF(OR(A776="",D776=""),0,MAX(0,NETWORKDAYS(MAX(D776,DATE(Einstellungen!$C$3,8,1)),MIN(J776,DATE(Einstellungen!$C$3,9,0)),Einstellungen!$F$13:$F$32)))</f>
        <v/>
      </c>
      <c r="T776" s="49">
        <f>IF(OR(A776="",D776=""),0,MAX(0,NETWORKDAYS(MAX(D776,DATE(Einstellungen!$C$3,9,1)),MIN(J776,DATE(Einstellungen!$C$3,10,0)),Einstellungen!$F$13:$F$32)))</f>
        <v/>
      </c>
      <c r="U776" s="49">
        <f>IF(OR(A776="",D776=""),0,MAX(0,NETWORKDAYS(MAX(D776,DATE(Einstellungen!$C$3,10,1)),MIN(J776,DATE(Einstellungen!$C$3,11,0)),Einstellungen!$F$13:$F$32)))</f>
        <v/>
      </c>
      <c r="V776" s="49">
        <f>IF(OR(A776="",D776=""),0,MAX(0,NETWORKDAYS(MAX(D776,DATE(Einstellungen!$C$3,11,1)),MIN(J776,DATE(Einstellungen!$C$3,12,0)),Einstellungen!$F$13:$F$32)))</f>
        <v/>
      </c>
      <c r="W776" s="49">
        <f>IF(OR(A776="",D776=""),0,MAX(0,NETWORKDAYS(MAX(D776,DATE(Einstellungen!$C$3,12,1)),MIN(J776,DATE(Einstellungen!$C$3,13,0)),Einstellungen!$F$13:$F$32)))</f>
        <v/>
      </c>
      <c r="X776" s="50">
        <f>L776*K776</f>
        <v/>
      </c>
      <c r="Y776" s="50">
        <f>M776*K776</f>
        <v/>
      </c>
      <c r="Z776" s="50">
        <f>N776*K776</f>
        <v/>
      </c>
      <c r="AA776" s="50">
        <f>O776*K776</f>
        <v/>
      </c>
      <c r="AB776" s="50">
        <f>P776*K776</f>
        <v/>
      </c>
      <c r="AC776" s="50">
        <f>Q776*K776</f>
        <v/>
      </c>
      <c r="AD776" s="50">
        <f>R776*K776</f>
        <v/>
      </c>
      <c r="AE776" s="50">
        <f>S776*K776</f>
        <v/>
      </c>
      <c r="AF776" s="50">
        <f>T776*K776</f>
        <v/>
      </c>
      <c r="AG776" s="50">
        <f>U776*K776</f>
        <v/>
      </c>
      <c r="AH776" s="50">
        <f>V776*K776</f>
        <v/>
      </c>
      <c r="AI776" s="50">
        <f>W776*K776</f>
        <v/>
      </c>
    </row>
    <row r="777">
      <c r="A777" s="25" t="n"/>
      <c r="B777" s="45">
        <f>IF(A777="","",IFERROR(INDEX(Mitarbeiter!$B$6:$B$205,MATCH($A777,Mitarbeiter!$A$6:$A$205,0)),"?"))</f>
        <v/>
      </c>
      <c r="C777" s="46" t="n"/>
      <c r="D777" s="26" t="n"/>
      <c r="E777" s="26" t="n"/>
      <c r="F777" s="24">
        <f>IF(A777="","",SUM(L777:W777))</f>
        <v/>
      </c>
      <c r="G777" s="36">
        <f>IF(A777="","",SUM(X777:AI777))</f>
        <v/>
      </c>
      <c r="H777" s="8">
        <f>IF(A777="","",IF(ISNA(MATCH(A777,Mitarbeiter!$A$6:$A$205,0)),"Pers.-Nr. unbekannt",IF(D777="","Von fehlt",IF(AND(C777&lt;&gt;Einstellungen!$C$4,C777&lt;&gt;Einstellungen!$C$5),"Objekt fehlt",IF(J777&lt;D777,"Bis vor Von",IF(D777&lt;INDEX(Mitarbeiter!$C$6:$C$205,MATCH($A777,Mitarbeiter!$A$6:$A$205,0)),"vor Eintritt",IF(AND(INDEX(Mitarbeiter!$D$6:$D$205,MATCH($A777,Mitarbeiter!$A$6:$A$205,0))&lt;&gt;"",D777&gt;INDEX(Mitarbeiter!$D$6:$D$205,MATCH($A777,Mitarbeiter!$A$6:$A$205,0))),"nach Austritt",IF(E777="","offen","ok"))))))))</f>
        <v/>
      </c>
      <c r="J777" s="47">
        <f>IF(A777="","",IF(E777="",Einstellungen!$C$9,E777))</f>
        <v/>
      </c>
      <c r="K777" s="48">
        <f>IF(A777="",0,IFERROR(INDEX(Mitarbeiter!$F$6:$F$205,MATCH($A777,Mitarbeiter!$A$6:$A$205,0)),0))</f>
        <v/>
      </c>
      <c r="L777" s="49">
        <f>IF(OR(A777="",D777=""),0,MAX(0,NETWORKDAYS(MAX(D777,DATE(Einstellungen!$C$3,1,1)),MIN(J777,DATE(Einstellungen!$C$3,2,0)),Einstellungen!$F$13:$F$32)))</f>
        <v/>
      </c>
      <c r="M777" s="49">
        <f>IF(OR(A777="",D777=""),0,MAX(0,NETWORKDAYS(MAX(D777,DATE(Einstellungen!$C$3,2,1)),MIN(J777,DATE(Einstellungen!$C$3,3,0)),Einstellungen!$F$13:$F$32)))</f>
        <v/>
      </c>
      <c r="N777" s="49">
        <f>IF(OR(A777="",D777=""),0,MAX(0,NETWORKDAYS(MAX(D777,DATE(Einstellungen!$C$3,3,1)),MIN(J777,DATE(Einstellungen!$C$3,4,0)),Einstellungen!$F$13:$F$32)))</f>
        <v/>
      </c>
      <c r="O777" s="49">
        <f>IF(OR(A777="",D777=""),0,MAX(0,NETWORKDAYS(MAX(D777,DATE(Einstellungen!$C$3,4,1)),MIN(J777,DATE(Einstellungen!$C$3,5,0)),Einstellungen!$F$13:$F$32)))</f>
        <v/>
      </c>
      <c r="P777" s="49">
        <f>IF(OR(A777="",D777=""),0,MAX(0,NETWORKDAYS(MAX(D777,DATE(Einstellungen!$C$3,5,1)),MIN(J777,DATE(Einstellungen!$C$3,6,0)),Einstellungen!$F$13:$F$32)))</f>
        <v/>
      </c>
      <c r="Q777" s="49">
        <f>IF(OR(A777="",D777=""),0,MAX(0,NETWORKDAYS(MAX(D777,DATE(Einstellungen!$C$3,6,1)),MIN(J777,DATE(Einstellungen!$C$3,7,0)),Einstellungen!$F$13:$F$32)))</f>
        <v/>
      </c>
      <c r="R777" s="49">
        <f>IF(OR(A777="",D777=""),0,MAX(0,NETWORKDAYS(MAX(D777,DATE(Einstellungen!$C$3,7,1)),MIN(J777,DATE(Einstellungen!$C$3,8,0)),Einstellungen!$F$13:$F$32)))</f>
        <v/>
      </c>
      <c r="S777" s="49">
        <f>IF(OR(A777="",D777=""),0,MAX(0,NETWORKDAYS(MAX(D777,DATE(Einstellungen!$C$3,8,1)),MIN(J777,DATE(Einstellungen!$C$3,9,0)),Einstellungen!$F$13:$F$32)))</f>
        <v/>
      </c>
      <c r="T777" s="49">
        <f>IF(OR(A777="",D777=""),0,MAX(0,NETWORKDAYS(MAX(D777,DATE(Einstellungen!$C$3,9,1)),MIN(J777,DATE(Einstellungen!$C$3,10,0)),Einstellungen!$F$13:$F$32)))</f>
        <v/>
      </c>
      <c r="U777" s="49">
        <f>IF(OR(A777="",D777=""),0,MAX(0,NETWORKDAYS(MAX(D777,DATE(Einstellungen!$C$3,10,1)),MIN(J777,DATE(Einstellungen!$C$3,11,0)),Einstellungen!$F$13:$F$32)))</f>
        <v/>
      </c>
      <c r="V777" s="49">
        <f>IF(OR(A777="",D777=""),0,MAX(0,NETWORKDAYS(MAX(D777,DATE(Einstellungen!$C$3,11,1)),MIN(J777,DATE(Einstellungen!$C$3,12,0)),Einstellungen!$F$13:$F$32)))</f>
        <v/>
      </c>
      <c r="W777" s="49">
        <f>IF(OR(A777="",D777=""),0,MAX(0,NETWORKDAYS(MAX(D777,DATE(Einstellungen!$C$3,12,1)),MIN(J777,DATE(Einstellungen!$C$3,13,0)),Einstellungen!$F$13:$F$32)))</f>
        <v/>
      </c>
      <c r="X777" s="50">
        <f>L777*K777</f>
        <v/>
      </c>
      <c r="Y777" s="50">
        <f>M777*K777</f>
        <v/>
      </c>
      <c r="Z777" s="50">
        <f>N777*K777</f>
        <v/>
      </c>
      <c r="AA777" s="50">
        <f>O777*K777</f>
        <v/>
      </c>
      <c r="AB777" s="50">
        <f>P777*K777</f>
        <v/>
      </c>
      <c r="AC777" s="50">
        <f>Q777*K777</f>
        <v/>
      </c>
      <c r="AD777" s="50">
        <f>R777*K777</f>
        <v/>
      </c>
      <c r="AE777" s="50">
        <f>S777*K777</f>
        <v/>
      </c>
      <c r="AF777" s="50">
        <f>T777*K777</f>
        <v/>
      </c>
      <c r="AG777" s="50">
        <f>U777*K777</f>
        <v/>
      </c>
      <c r="AH777" s="50">
        <f>V777*K777</f>
        <v/>
      </c>
      <c r="AI777" s="50">
        <f>W777*K777</f>
        <v/>
      </c>
    </row>
    <row r="778">
      <c r="A778" s="25" t="n"/>
      <c r="B778" s="45">
        <f>IF(A778="","",IFERROR(INDEX(Mitarbeiter!$B$6:$B$205,MATCH($A778,Mitarbeiter!$A$6:$A$205,0)),"?"))</f>
        <v/>
      </c>
      <c r="C778" s="46" t="n"/>
      <c r="D778" s="26" t="n"/>
      <c r="E778" s="26" t="n"/>
      <c r="F778" s="24">
        <f>IF(A778="","",SUM(L778:W778))</f>
        <v/>
      </c>
      <c r="G778" s="36">
        <f>IF(A778="","",SUM(X778:AI778))</f>
        <v/>
      </c>
      <c r="H778" s="8">
        <f>IF(A778="","",IF(ISNA(MATCH(A778,Mitarbeiter!$A$6:$A$205,0)),"Pers.-Nr. unbekannt",IF(D778="","Von fehlt",IF(AND(C778&lt;&gt;Einstellungen!$C$4,C778&lt;&gt;Einstellungen!$C$5),"Objekt fehlt",IF(J778&lt;D778,"Bis vor Von",IF(D778&lt;INDEX(Mitarbeiter!$C$6:$C$205,MATCH($A778,Mitarbeiter!$A$6:$A$205,0)),"vor Eintritt",IF(AND(INDEX(Mitarbeiter!$D$6:$D$205,MATCH($A778,Mitarbeiter!$A$6:$A$205,0))&lt;&gt;"",D778&gt;INDEX(Mitarbeiter!$D$6:$D$205,MATCH($A778,Mitarbeiter!$A$6:$A$205,0))),"nach Austritt",IF(E778="","offen","ok"))))))))</f>
        <v/>
      </c>
      <c r="J778" s="47">
        <f>IF(A778="","",IF(E778="",Einstellungen!$C$9,E778))</f>
        <v/>
      </c>
      <c r="K778" s="48">
        <f>IF(A778="",0,IFERROR(INDEX(Mitarbeiter!$F$6:$F$205,MATCH($A778,Mitarbeiter!$A$6:$A$205,0)),0))</f>
        <v/>
      </c>
      <c r="L778" s="49">
        <f>IF(OR(A778="",D778=""),0,MAX(0,NETWORKDAYS(MAX(D778,DATE(Einstellungen!$C$3,1,1)),MIN(J778,DATE(Einstellungen!$C$3,2,0)),Einstellungen!$F$13:$F$32)))</f>
        <v/>
      </c>
      <c r="M778" s="49">
        <f>IF(OR(A778="",D778=""),0,MAX(0,NETWORKDAYS(MAX(D778,DATE(Einstellungen!$C$3,2,1)),MIN(J778,DATE(Einstellungen!$C$3,3,0)),Einstellungen!$F$13:$F$32)))</f>
        <v/>
      </c>
      <c r="N778" s="49">
        <f>IF(OR(A778="",D778=""),0,MAX(0,NETWORKDAYS(MAX(D778,DATE(Einstellungen!$C$3,3,1)),MIN(J778,DATE(Einstellungen!$C$3,4,0)),Einstellungen!$F$13:$F$32)))</f>
        <v/>
      </c>
      <c r="O778" s="49">
        <f>IF(OR(A778="",D778=""),0,MAX(0,NETWORKDAYS(MAX(D778,DATE(Einstellungen!$C$3,4,1)),MIN(J778,DATE(Einstellungen!$C$3,5,0)),Einstellungen!$F$13:$F$32)))</f>
        <v/>
      </c>
      <c r="P778" s="49">
        <f>IF(OR(A778="",D778=""),0,MAX(0,NETWORKDAYS(MAX(D778,DATE(Einstellungen!$C$3,5,1)),MIN(J778,DATE(Einstellungen!$C$3,6,0)),Einstellungen!$F$13:$F$32)))</f>
        <v/>
      </c>
      <c r="Q778" s="49">
        <f>IF(OR(A778="",D778=""),0,MAX(0,NETWORKDAYS(MAX(D778,DATE(Einstellungen!$C$3,6,1)),MIN(J778,DATE(Einstellungen!$C$3,7,0)),Einstellungen!$F$13:$F$32)))</f>
        <v/>
      </c>
      <c r="R778" s="49">
        <f>IF(OR(A778="",D778=""),0,MAX(0,NETWORKDAYS(MAX(D778,DATE(Einstellungen!$C$3,7,1)),MIN(J778,DATE(Einstellungen!$C$3,8,0)),Einstellungen!$F$13:$F$32)))</f>
        <v/>
      </c>
      <c r="S778" s="49">
        <f>IF(OR(A778="",D778=""),0,MAX(0,NETWORKDAYS(MAX(D778,DATE(Einstellungen!$C$3,8,1)),MIN(J778,DATE(Einstellungen!$C$3,9,0)),Einstellungen!$F$13:$F$32)))</f>
        <v/>
      </c>
      <c r="T778" s="49">
        <f>IF(OR(A778="",D778=""),0,MAX(0,NETWORKDAYS(MAX(D778,DATE(Einstellungen!$C$3,9,1)),MIN(J778,DATE(Einstellungen!$C$3,10,0)),Einstellungen!$F$13:$F$32)))</f>
        <v/>
      </c>
      <c r="U778" s="49">
        <f>IF(OR(A778="",D778=""),0,MAX(0,NETWORKDAYS(MAX(D778,DATE(Einstellungen!$C$3,10,1)),MIN(J778,DATE(Einstellungen!$C$3,11,0)),Einstellungen!$F$13:$F$32)))</f>
        <v/>
      </c>
      <c r="V778" s="49">
        <f>IF(OR(A778="",D778=""),0,MAX(0,NETWORKDAYS(MAX(D778,DATE(Einstellungen!$C$3,11,1)),MIN(J778,DATE(Einstellungen!$C$3,12,0)),Einstellungen!$F$13:$F$32)))</f>
        <v/>
      </c>
      <c r="W778" s="49">
        <f>IF(OR(A778="",D778=""),0,MAX(0,NETWORKDAYS(MAX(D778,DATE(Einstellungen!$C$3,12,1)),MIN(J778,DATE(Einstellungen!$C$3,13,0)),Einstellungen!$F$13:$F$32)))</f>
        <v/>
      </c>
      <c r="X778" s="50">
        <f>L778*K778</f>
        <v/>
      </c>
      <c r="Y778" s="50">
        <f>M778*K778</f>
        <v/>
      </c>
      <c r="Z778" s="50">
        <f>N778*K778</f>
        <v/>
      </c>
      <c r="AA778" s="50">
        <f>O778*K778</f>
        <v/>
      </c>
      <c r="AB778" s="50">
        <f>P778*K778</f>
        <v/>
      </c>
      <c r="AC778" s="50">
        <f>Q778*K778</f>
        <v/>
      </c>
      <c r="AD778" s="50">
        <f>R778*K778</f>
        <v/>
      </c>
      <c r="AE778" s="50">
        <f>S778*K778</f>
        <v/>
      </c>
      <c r="AF778" s="50">
        <f>T778*K778</f>
        <v/>
      </c>
      <c r="AG778" s="50">
        <f>U778*K778</f>
        <v/>
      </c>
      <c r="AH778" s="50">
        <f>V778*K778</f>
        <v/>
      </c>
      <c r="AI778" s="50">
        <f>W778*K778</f>
        <v/>
      </c>
    </row>
    <row r="779">
      <c r="A779" s="25" t="n"/>
      <c r="B779" s="45">
        <f>IF(A779="","",IFERROR(INDEX(Mitarbeiter!$B$6:$B$205,MATCH($A779,Mitarbeiter!$A$6:$A$205,0)),"?"))</f>
        <v/>
      </c>
      <c r="C779" s="46" t="n"/>
      <c r="D779" s="26" t="n"/>
      <c r="E779" s="26" t="n"/>
      <c r="F779" s="24">
        <f>IF(A779="","",SUM(L779:W779))</f>
        <v/>
      </c>
      <c r="G779" s="36">
        <f>IF(A779="","",SUM(X779:AI779))</f>
        <v/>
      </c>
      <c r="H779" s="8">
        <f>IF(A779="","",IF(ISNA(MATCH(A779,Mitarbeiter!$A$6:$A$205,0)),"Pers.-Nr. unbekannt",IF(D779="","Von fehlt",IF(AND(C779&lt;&gt;Einstellungen!$C$4,C779&lt;&gt;Einstellungen!$C$5),"Objekt fehlt",IF(J779&lt;D779,"Bis vor Von",IF(D779&lt;INDEX(Mitarbeiter!$C$6:$C$205,MATCH($A779,Mitarbeiter!$A$6:$A$205,0)),"vor Eintritt",IF(AND(INDEX(Mitarbeiter!$D$6:$D$205,MATCH($A779,Mitarbeiter!$A$6:$A$205,0))&lt;&gt;"",D779&gt;INDEX(Mitarbeiter!$D$6:$D$205,MATCH($A779,Mitarbeiter!$A$6:$A$205,0))),"nach Austritt",IF(E779="","offen","ok"))))))))</f>
        <v/>
      </c>
      <c r="J779" s="47">
        <f>IF(A779="","",IF(E779="",Einstellungen!$C$9,E779))</f>
        <v/>
      </c>
      <c r="K779" s="48">
        <f>IF(A779="",0,IFERROR(INDEX(Mitarbeiter!$F$6:$F$205,MATCH($A779,Mitarbeiter!$A$6:$A$205,0)),0))</f>
        <v/>
      </c>
      <c r="L779" s="49">
        <f>IF(OR(A779="",D779=""),0,MAX(0,NETWORKDAYS(MAX(D779,DATE(Einstellungen!$C$3,1,1)),MIN(J779,DATE(Einstellungen!$C$3,2,0)),Einstellungen!$F$13:$F$32)))</f>
        <v/>
      </c>
      <c r="M779" s="49">
        <f>IF(OR(A779="",D779=""),0,MAX(0,NETWORKDAYS(MAX(D779,DATE(Einstellungen!$C$3,2,1)),MIN(J779,DATE(Einstellungen!$C$3,3,0)),Einstellungen!$F$13:$F$32)))</f>
        <v/>
      </c>
      <c r="N779" s="49">
        <f>IF(OR(A779="",D779=""),0,MAX(0,NETWORKDAYS(MAX(D779,DATE(Einstellungen!$C$3,3,1)),MIN(J779,DATE(Einstellungen!$C$3,4,0)),Einstellungen!$F$13:$F$32)))</f>
        <v/>
      </c>
      <c r="O779" s="49">
        <f>IF(OR(A779="",D779=""),0,MAX(0,NETWORKDAYS(MAX(D779,DATE(Einstellungen!$C$3,4,1)),MIN(J779,DATE(Einstellungen!$C$3,5,0)),Einstellungen!$F$13:$F$32)))</f>
        <v/>
      </c>
      <c r="P779" s="49">
        <f>IF(OR(A779="",D779=""),0,MAX(0,NETWORKDAYS(MAX(D779,DATE(Einstellungen!$C$3,5,1)),MIN(J779,DATE(Einstellungen!$C$3,6,0)),Einstellungen!$F$13:$F$32)))</f>
        <v/>
      </c>
      <c r="Q779" s="49">
        <f>IF(OR(A779="",D779=""),0,MAX(0,NETWORKDAYS(MAX(D779,DATE(Einstellungen!$C$3,6,1)),MIN(J779,DATE(Einstellungen!$C$3,7,0)),Einstellungen!$F$13:$F$32)))</f>
        <v/>
      </c>
      <c r="R779" s="49">
        <f>IF(OR(A779="",D779=""),0,MAX(0,NETWORKDAYS(MAX(D779,DATE(Einstellungen!$C$3,7,1)),MIN(J779,DATE(Einstellungen!$C$3,8,0)),Einstellungen!$F$13:$F$32)))</f>
        <v/>
      </c>
      <c r="S779" s="49">
        <f>IF(OR(A779="",D779=""),0,MAX(0,NETWORKDAYS(MAX(D779,DATE(Einstellungen!$C$3,8,1)),MIN(J779,DATE(Einstellungen!$C$3,9,0)),Einstellungen!$F$13:$F$32)))</f>
        <v/>
      </c>
      <c r="T779" s="49">
        <f>IF(OR(A779="",D779=""),0,MAX(0,NETWORKDAYS(MAX(D779,DATE(Einstellungen!$C$3,9,1)),MIN(J779,DATE(Einstellungen!$C$3,10,0)),Einstellungen!$F$13:$F$32)))</f>
        <v/>
      </c>
      <c r="U779" s="49">
        <f>IF(OR(A779="",D779=""),0,MAX(0,NETWORKDAYS(MAX(D779,DATE(Einstellungen!$C$3,10,1)),MIN(J779,DATE(Einstellungen!$C$3,11,0)),Einstellungen!$F$13:$F$32)))</f>
        <v/>
      </c>
      <c r="V779" s="49">
        <f>IF(OR(A779="",D779=""),0,MAX(0,NETWORKDAYS(MAX(D779,DATE(Einstellungen!$C$3,11,1)),MIN(J779,DATE(Einstellungen!$C$3,12,0)),Einstellungen!$F$13:$F$32)))</f>
        <v/>
      </c>
      <c r="W779" s="49">
        <f>IF(OR(A779="",D779=""),0,MAX(0,NETWORKDAYS(MAX(D779,DATE(Einstellungen!$C$3,12,1)),MIN(J779,DATE(Einstellungen!$C$3,13,0)),Einstellungen!$F$13:$F$32)))</f>
        <v/>
      </c>
      <c r="X779" s="50">
        <f>L779*K779</f>
        <v/>
      </c>
      <c r="Y779" s="50">
        <f>M779*K779</f>
        <v/>
      </c>
      <c r="Z779" s="50">
        <f>N779*K779</f>
        <v/>
      </c>
      <c r="AA779" s="50">
        <f>O779*K779</f>
        <v/>
      </c>
      <c r="AB779" s="50">
        <f>P779*K779</f>
        <v/>
      </c>
      <c r="AC779" s="50">
        <f>Q779*K779</f>
        <v/>
      </c>
      <c r="AD779" s="50">
        <f>R779*K779</f>
        <v/>
      </c>
      <c r="AE779" s="50">
        <f>S779*K779</f>
        <v/>
      </c>
      <c r="AF779" s="50">
        <f>T779*K779</f>
        <v/>
      </c>
      <c r="AG779" s="50">
        <f>U779*K779</f>
        <v/>
      </c>
      <c r="AH779" s="50">
        <f>V779*K779</f>
        <v/>
      </c>
      <c r="AI779" s="50">
        <f>W779*K779</f>
        <v/>
      </c>
    </row>
    <row r="780">
      <c r="A780" s="25" t="n"/>
      <c r="B780" s="45">
        <f>IF(A780="","",IFERROR(INDEX(Mitarbeiter!$B$6:$B$205,MATCH($A780,Mitarbeiter!$A$6:$A$205,0)),"?"))</f>
        <v/>
      </c>
      <c r="C780" s="46" t="n"/>
      <c r="D780" s="26" t="n"/>
      <c r="E780" s="26" t="n"/>
      <c r="F780" s="24">
        <f>IF(A780="","",SUM(L780:W780))</f>
        <v/>
      </c>
      <c r="G780" s="36">
        <f>IF(A780="","",SUM(X780:AI780))</f>
        <v/>
      </c>
      <c r="H780" s="8">
        <f>IF(A780="","",IF(ISNA(MATCH(A780,Mitarbeiter!$A$6:$A$205,0)),"Pers.-Nr. unbekannt",IF(D780="","Von fehlt",IF(AND(C780&lt;&gt;Einstellungen!$C$4,C780&lt;&gt;Einstellungen!$C$5),"Objekt fehlt",IF(J780&lt;D780,"Bis vor Von",IF(D780&lt;INDEX(Mitarbeiter!$C$6:$C$205,MATCH($A780,Mitarbeiter!$A$6:$A$205,0)),"vor Eintritt",IF(AND(INDEX(Mitarbeiter!$D$6:$D$205,MATCH($A780,Mitarbeiter!$A$6:$A$205,0))&lt;&gt;"",D780&gt;INDEX(Mitarbeiter!$D$6:$D$205,MATCH($A780,Mitarbeiter!$A$6:$A$205,0))),"nach Austritt",IF(E780="","offen","ok"))))))))</f>
        <v/>
      </c>
      <c r="J780" s="47">
        <f>IF(A780="","",IF(E780="",Einstellungen!$C$9,E780))</f>
        <v/>
      </c>
      <c r="K780" s="48">
        <f>IF(A780="",0,IFERROR(INDEX(Mitarbeiter!$F$6:$F$205,MATCH($A780,Mitarbeiter!$A$6:$A$205,0)),0))</f>
        <v/>
      </c>
      <c r="L780" s="49">
        <f>IF(OR(A780="",D780=""),0,MAX(0,NETWORKDAYS(MAX(D780,DATE(Einstellungen!$C$3,1,1)),MIN(J780,DATE(Einstellungen!$C$3,2,0)),Einstellungen!$F$13:$F$32)))</f>
        <v/>
      </c>
      <c r="M780" s="49">
        <f>IF(OR(A780="",D780=""),0,MAX(0,NETWORKDAYS(MAX(D780,DATE(Einstellungen!$C$3,2,1)),MIN(J780,DATE(Einstellungen!$C$3,3,0)),Einstellungen!$F$13:$F$32)))</f>
        <v/>
      </c>
      <c r="N780" s="49">
        <f>IF(OR(A780="",D780=""),0,MAX(0,NETWORKDAYS(MAX(D780,DATE(Einstellungen!$C$3,3,1)),MIN(J780,DATE(Einstellungen!$C$3,4,0)),Einstellungen!$F$13:$F$32)))</f>
        <v/>
      </c>
      <c r="O780" s="49">
        <f>IF(OR(A780="",D780=""),0,MAX(0,NETWORKDAYS(MAX(D780,DATE(Einstellungen!$C$3,4,1)),MIN(J780,DATE(Einstellungen!$C$3,5,0)),Einstellungen!$F$13:$F$32)))</f>
        <v/>
      </c>
      <c r="P780" s="49">
        <f>IF(OR(A780="",D780=""),0,MAX(0,NETWORKDAYS(MAX(D780,DATE(Einstellungen!$C$3,5,1)),MIN(J780,DATE(Einstellungen!$C$3,6,0)),Einstellungen!$F$13:$F$32)))</f>
        <v/>
      </c>
      <c r="Q780" s="49">
        <f>IF(OR(A780="",D780=""),0,MAX(0,NETWORKDAYS(MAX(D780,DATE(Einstellungen!$C$3,6,1)),MIN(J780,DATE(Einstellungen!$C$3,7,0)),Einstellungen!$F$13:$F$32)))</f>
        <v/>
      </c>
      <c r="R780" s="49">
        <f>IF(OR(A780="",D780=""),0,MAX(0,NETWORKDAYS(MAX(D780,DATE(Einstellungen!$C$3,7,1)),MIN(J780,DATE(Einstellungen!$C$3,8,0)),Einstellungen!$F$13:$F$32)))</f>
        <v/>
      </c>
      <c r="S780" s="49">
        <f>IF(OR(A780="",D780=""),0,MAX(0,NETWORKDAYS(MAX(D780,DATE(Einstellungen!$C$3,8,1)),MIN(J780,DATE(Einstellungen!$C$3,9,0)),Einstellungen!$F$13:$F$32)))</f>
        <v/>
      </c>
      <c r="T780" s="49">
        <f>IF(OR(A780="",D780=""),0,MAX(0,NETWORKDAYS(MAX(D780,DATE(Einstellungen!$C$3,9,1)),MIN(J780,DATE(Einstellungen!$C$3,10,0)),Einstellungen!$F$13:$F$32)))</f>
        <v/>
      </c>
      <c r="U780" s="49">
        <f>IF(OR(A780="",D780=""),0,MAX(0,NETWORKDAYS(MAX(D780,DATE(Einstellungen!$C$3,10,1)),MIN(J780,DATE(Einstellungen!$C$3,11,0)),Einstellungen!$F$13:$F$32)))</f>
        <v/>
      </c>
      <c r="V780" s="49">
        <f>IF(OR(A780="",D780=""),0,MAX(0,NETWORKDAYS(MAX(D780,DATE(Einstellungen!$C$3,11,1)),MIN(J780,DATE(Einstellungen!$C$3,12,0)),Einstellungen!$F$13:$F$32)))</f>
        <v/>
      </c>
      <c r="W780" s="49">
        <f>IF(OR(A780="",D780=""),0,MAX(0,NETWORKDAYS(MAX(D780,DATE(Einstellungen!$C$3,12,1)),MIN(J780,DATE(Einstellungen!$C$3,13,0)),Einstellungen!$F$13:$F$32)))</f>
        <v/>
      </c>
      <c r="X780" s="50">
        <f>L780*K780</f>
        <v/>
      </c>
      <c r="Y780" s="50">
        <f>M780*K780</f>
        <v/>
      </c>
      <c r="Z780" s="50">
        <f>N780*K780</f>
        <v/>
      </c>
      <c r="AA780" s="50">
        <f>O780*K780</f>
        <v/>
      </c>
      <c r="AB780" s="50">
        <f>P780*K780</f>
        <v/>
      </c>
      <c r="AC780" s="50">
        <f>Q780*K780</f>
        <v/>
      </c>
      <c r="AD780" s="50">
        <f>R780*K780</f>
        <v/>
      </c>
      <c r="AE780" s="50">
        <f>S780*K780</f>
        <v/>
      </c>
      <c r="AF780" s="50">
        <f>T780*K780</f>
        <v/>
      </c>
      <c r="AG780" s="50">
        <f>U780*K780</f>
        <v/>
      </c>
      <c r="AH780" s="50">
        <f>V780*K780</f>
        <v/>
      </c>
      <c r="AI780" s="50">
        <f>W780*K780</f>
        <v/>
      </c>
    </row>
    <row r="781">
      <c r="A781" s="25" t="n"/>
      <c r="B781" s="45">
        <f>IF(A781="","",IFERROR(INDEX(Mitarbeiter!$B$6:$B$205,MATCH($A781,Mitarbeiter!$A$6:$A$205,0)),"?"))</f>
        <v/>
      </c>
      <c r="C781" s="46" t="n"/>
      <c r="D781" s="26" t="n"/>
      <c r="E781" s="26" t="n"/>
      <c r="F781" s="24">
        <f>IF(A781="","",SUM(L781:W781))</f>
        <v/>
      </c>
      <c r="G781" s="36">
        <f>IF(A781="","",SUM(X781:AI781))</f>
        <v/>
      </c>
      <c r="H781" s="8">
        <f>IF(A781="","",IF(ISNA(MATCH(A781,Mitarbeiter!$A$6:$A$205,0)),"Pers.-Nr. unbekannt",IF(D781="","Von fehlt",IF(AND(C781&lt;&gt;Einstellungen!$C$4,C781&lt;&gt;Einstellungen!$C$5),"Objekt fehlt",IF(J781&lt;D781,"Bis vor Von",IF(D781&lt;INDEX(Mitarbeiter!$C$6:$C$205,MATCH($A781,Mitarbeiter!$A$6:$A$205,0)),"vor Eintritt",IF(AND(INDEX(Mitarbeiter!$D$6:$D$205,MATCH($A781,Mitarbeiter!$A$6:$A$205,0))&lt;&gt;"",D781&gt;INDEX(Mitarbeiter!$D$6:$D$205,MATCH($A781,Mitarbeiter!$A$6:$A$205,0))),"nach Austritt",IF(E781="","offen","ok"))))))))</f>
        <v/>
      </c>
      <c r="J781" s="47">
        <f>IF(A781="","",IF(E781="",Einstellungen!$C$9,E781))</f>
        <v/>
      </c>
      <c r="K781" s="48">
        <f>IF(A781="",0,IFERROR(INDEX(Mitarbeiter!$F$6:$F$205,MATCH($A781,Mitarbeiter!$A$6:$A$205,0)),0))</f>
        <v/>
      </c>
      <c r="L781" s="49">
        <f>IF(OR(A781="",D781=""),0,MAX(0,NETWORKDAYS(MAX(D781,DATE(Einstellungen!$C$3,1,1)),MIN(J781,DATE(Einstellungen!$C$3,2,0)),Einstellungen!$F$13:$F$32)))</f>
        <v/>
      </c>
      <c r="M781" s="49">
        <f>IF(OR(A781="",D781=""),0,MAX(0,NETWORKDAYS(MAX(D781,DATE(Einstellungen!$C$3,2,1)),MIN(J781,DATE(Einstellungen!$C$3,3,0)),Einstellungen!$F$13:$F$32)))</f>
        <v/>
      </c>
      <c r="N781" s="49">
        <f>IF(OR(A781="",D781=""),0,MAX(0,NETWORKDAYS(MAX(D781,DATE(Einstellungen!$C$3,3,1)),MIN(J781,DATE(Einstellungen!$C$3,4,0)),Einstellungen!$F$13:$F$32)))</f>
        <v/>
      </c>
      <c r="O781" s="49">
        <f>IF(OR(A781="",D781=""),0,MAX(0,NETWORKDAYS(MAX(D781,DATE(Einstellungen!$C$3,4,1)),MIN(J781,DATE(Einstellungen!$C$3,5,0)),Einstellungen!$F$13:$F$32)))</f>
        <v/>
      </c>
      <c r="P781" s="49">
        <f>IF(OR(A781="",D781=""),0,MAX(0,NETWORKDAYS(MAX(D781,DATE(Einstellungen!$C$3,5,1)),MIN(J781,DATE(Einstellungen!$C$3,6,0)),Einstellungen!$F$13:$F$32)))</f>
        <v/>
      </c>
      <c r="Q781" s="49">
        <f>IF(OR(A781="",D781=""),0,MAX(0,NETWORKDAYS(MAX(D781,DATE(Einstellungen!$C$3,6,1)),MIN(J781,DATE(Einstellungen!$C$3,7,0)),Einstellungen!$F$13:$F$32)))</f>
        <v/>
      </c>
      <c r="R781" s="49">
        <f>IF(OR(A781="",D781=""),0,MAX(0,NETWORKDAYS(MAX(D781,DATE(Einstellungen!$C$3,7,1)),MIN(J781,DATE(Einstellungen!$C$3,8,0)),Einstellungen!$F$13:$F$32)))</f>
        <v/>
      </c>
      <c r="S781" s="49">
        <f>IF(OR(A781="",D781=""),0,MAX(0,NETWORKDAYS(MAX(D781,DATE(Einstellungen!$C$3,8,1)),MIN(J781,DATE(Einstellungen!$C$3,9,0)),Einstellungen!$F$13:$F$32)))</f>
        <v/>
      </c>
      <c r="T781" s="49">
        <f>IF(OR(A781="",D781=""),0,MAX(0,NETWORKDAYS(MAX(D781,DATE(Einstellungen!$C$3,9,1)),MIN(J781,DATE(Einstellungen!$C$3,10,0)),Einstellungen!$F$13:$F$32)))</f>
        <v/>
      </c>
      <c r="U781" s="49">
        <f>IF(OR(A781="",D781=""),0,MAX(0,NETWORKDAYS(MAX(D781,DATE(Einstellungen!$C$3,10,1)),MIN(J781,DATE(Einstellungen!$C$3,11,0)),Einstellungen!$F$13:$F$32)))</f>
        <v/>
      </c>
      <c r="V781" s="49">
        <f>IF(OR(A781="",D781=""),0,MAX(0,NETWORKDAYS(MAX(D781,DATE(Einstellungen!$C$3,11,1)),MIN(J781,DATE(Einstellungen!$C$3,12,0)),Einstellungen!$F$13:$F$32)))</f>
        <v/>
      </c>
      <c r="W781" s="49">
        <f>IF(OR(A781="",D781=""),0,MAX(0,NETWORKDAYS(MAX(D781,DATE(Einstellungen!$C$3,12,1)),MIN(J781,DATE(Einstellungen!$C$3,13,0)),Einstellungen!$F$13:$F$32)))</f>
        <v/>
      </c>
      <c r="X781" s="50">
        <f>L781*K781</f>
        <v/>
      </c>
      <c r="Y781" s="50">
        <f>M781*K781</f>
        <v/>
      </c>
      <c r="Z781" s="50">
        <f>N781*K781</f>
        <v/>
      </c>
      <c r="AA781" s="50">
        <f>O781*K781</f>
        <v/>
      </c>
      <c r="AB781" s="50">
        <f>P781*K781</f>
        <v/>
      </c>
      <c r="AC781" s="50">
        <f>Q781*K781</f>
        <v/>
      </c>
      <c r="AD781" s="50">
        <f>R781*K781</f>
        <v/>
      </c>
      <c r="AE781" s="50">
        <f>S781*K781</f>
        <v/>
      </c>
      <c r="AF781" s="50">
        <f>T781*K781</f>
        <v/>
      </c>
      <c r="AG781" s="50">
        <f>U781*K781</f>
        <v/>
      </c>
      <c r="AH781" s="50">
        <f>V781*K781</f>
        <v/>
      </c>
      <c r="AI781" s="50">
        <f>W781*K781</f>
        <v/>
      </c>
    </row>
    <row r="782">
      <c r="A782" s="25" t="n"/>
      <c r="B782" s="45">
        <f>IF(A782="","",IFERROR(INDEX(Mitarbeiter!$B$6:$B$205,MATCH($A782,Mitarbeiter!$A$6:$A$205,0)),"?"))</f>
        <v/>
      </c>
      <c r="C782" s="46" t="n"/>
      <c r="D782" s="26" t="n"/>
      <c r="E782" s="26" t="n"/>
      <c r="F782" s="24">
        <f>IF(A782="","",SUM(L782:W782))</f>
        <v/>
      </c>
      <c r="G782" s="36">
        <f>IF(A782="","",SUM(X782:AI782))</f>
        <v/>
      </c>
      <c r="H782" s="8">
        <f>IF(A782="","",IF(ISNA(MATCH(A782,Mitarbeiter!$A$6:$A$205,0)),"Pers.-Nr. unbekannt",IF(D782="","Von fehlt",IF(AND(C782&lt;&gt;Einstellungen!$C$4,C782&lt;&gt;Einstellungen!$C$5),"Objekt fehlt",IF(J782&lt;D782,"Bis vor Von",IF(D782&lt;INDEX(Mitarbeiter!$C$6:$C$205,MATCH($A782,Mitarbeiter!$A$6:$A$205,0)),"vor Eintritt",IF(AND(INDEX(Mitarbeiter!$D$6:$D$205,MATCH($A782,Mitarbeiter!$A$6:$A$205,0))&lt;&gt;"",D782&gt;INDEX(Mitarbeiter!$D$6:$D$205,MATCH($A782,Mitarbeiter!$A$6:$A$205,0))),"nach Austritt",IF(E782="","offen","ok"))))))))</f>
        <v/>
      </c>
      <c r="J782" s="47">
        <f>IF(A782="","",IF(E782="",Einstellungen!$C$9,E782))</f>
        <v/>
      </c>
      <c r="K782" s="48">
        <f>IF(A782="",0,IFERROR(INDEX(Mitarbeiter!$F$6:$F$205,MATCH($A782,Mitarbeiter!$A$6:$A$205,0)),0))</f>
        <v/>
      </c>
      <c r="L782" s="49">
        <f>IF(OR(A782="",D782=""),0,MAX(0,NETWORKDAYS(MAX(D782,DATE(Einstellungen!$C$3,1,1)),MIN(J782,DATE(Einstellungen!$C$3,2,0)),Einstellungen!$F$13:$F$32)))</f>
        <v/>
      </c>
      <c r="M782" s="49">
        <f>IF(OR(A782="",D782=""),0,MAX(0,NETWORKDAYS(MAX(D782,DATE(Einstellungen!$C$3,2,1)),MIN(J782,DATE(Einstellungen!$C$3,3,0)),Einstellungen!$F$13:$F$32)))</f>
        <v/>
      </c>
      <c r="N782" s="49">
        <f>IF(OR(A782="",D782=""),0,MAX(0,NETWORKDAYS(MAX(D782,DATE(Einstellungen!$C$3,3,1)),MIN(J782,DATE(Einstellungen!$C$3,4,0)),Einstellungen!$F$13:$F$32)))</f>
        <v/>
      </c>
      <c r="O782" s="49">
        <f>IF(OR(A782="",D782=""),0,MAX(0,NETWORKDAYS(MAX(D782,DATE(Einstellungen!$C$3,4,1)),MIN(J782,DATE(Einstellungen!$C$3,5,0)),Einstellungen!$F$13:$F$32)))</f>
        <v/>
      </c>
      <c r="P782" s="49">
        <f>IF(OR(A782="",D782=""),0,MAX(0,NETWORKDAYS(MAX(D782,DATE(Einstellungen!$C$3,5,1)),MIN(J782,DATE(Einstellungen!$C$3,6,0)),Einstellungen!$F$13:$F$32)))</f>
        <v/>
      </c>
      <c r="Q782" s="49">
        <f>IF(OR(A782="",D782=""),0,MAX(0,NETWORKDAYS(MAX(D782,DATE(Einstellungen!$C$3,6,1)),MIN(J782,DATE(Einstellungen!$C$3,7,0)),Einstellungen!$F$13:$F$32)))</f>
        <v/>
      </c>
      <c r="R782" s="49">
        <f>IF(OR(A782="",D782=""),0,MAX(0,NETWORKDAYS(MAX(D782,DATE(Einstellungen!$C$3,7,1)),MIN(J782,DATE(Einstellungen!$C$3,8,0)),Einstellungen!$F$13:$F$32)))</f>
        <v/>
      </c>
      <c r="S782" s="49">
        <f>IF(OR(A782="",D782=""),0,MAX(0,NETWORKDAYS(MAX(D782,DATE(Einstellungen!$C$3,8,1)),MIN(J782,DATE(Einstellungen!$C$3,9,0)),Einstellungen!$F$13:$F$32)))</f>
        <v/>
      </c>
      <c r="T782" s="49">
        <f>IF(OR(A782="",D782=""),0,MAX(0,NETWORKDAYS(MAX(D782,DATE(Einstellungen!$C$3,9,1)),MIN(J782,DATE(Einstellungen!$C$3,10,0)),Einstellungen!$F$13:$F$32)))</f>
        <v/>
      </c>
      <c r="U782" s="49">
        <f>IF(OR(A782="",D782=""),0,MAX(0,NETWORKDAYS(MAX(D782,DATE(Einstellungen!$C$3,10,1)),MIN(J782,DATE(Einstellungen!$C$3,11,0)),Einstellungen!$F$13:$F$32)))</f>
        <v/>
      </c>
      <c r="V782" s="49">
        <f>IF(OR(A782="",D782=""),0,MAX(0,NETWORKDAYS(MAX(D782,DATE(Einstellungen!$C$3,11,1)),MIN(J782,DATE(Einstellungen!$C$3,12,0)),Einstellungen!$F$13:$F$32)))</f>
        <v/>
      </c>
      <c r="W782" s="49">
        <f>IF(OR(A782="",D782=""),0,MAX(0,NETWORKDAYS(MAX(D782,DATE(Einstellungen!$C$3,12,1)),MIN(J782,DATE(Einstellungen!$C$3,13,0)),Einstellungen!$F$13:$F$32)))</f>
        <v/>
      </c>
      <c r="X782" s="50">
        <f>L782*K782</f>
        <v/>
      </c>
      <c r="Y782" s="50">
        <f>M782*K782</f>
        <v/>
      </c>
      <c r="Z782" s="50">
        <f>N782*K782</f>
        <v/>
      </c>
      <c r="AA782" s="50">
        <f>O782*K782</f>
        <v/>
      </c>
      <c r="AB782" s="50">
        <f>P782*K782</f>
        <v/>
      </c>
      <c r="AC782" s="50">
        <f>Q782*K782</f>
        <v/>
      </c>
      <c r="AD782" s="50">
        <f>R782*K782</f>
        <v/>
      </c>
      <c r="AE782" s="50">
        <f>S782*K782</f>
        <v/>
      </c>
      <c r="AF782" s="50">
        <f>T782*K782</f>
        <v/>
      </c>
      <c r="AG782" s="50">
        <f>U782*K782</f>
        <v/>
      </c>
      <c r="AH782" s="50">
        <f>V782*K782</f>
        <v/>
      </c>
      <c r="AI782" s="50">
        <f>W782*K782</f>
        <v/>
      </c>
    </row>
    <row r="783">
      <c r="A783" s="25" t="n"/>
      <c r="B783" s="45">
        <f>IF(A783="","",IFERROR(INDEX(Mitarbeiter!$B$6:$B$205,MATCH($A783,Mitarbeiter!$A$6:$A$205,0)),"?"))</f>
        <v/>
      </c>
      <c r="C783" s="46" t="n"/>
      <c r="D783" s="26" t="n"/>
      <c r="E783" s="26" t="n"/>
      <c r="F783" s="24">
        <f>IF(A783="","",SUM(L783:W783))</f>
        <v/>
      </c>
      <c r="G783" s="36">
        <f>IF(A783="","",SUM(X783:AI783))</f>
        <v/>
      </c>
      <c r="H783" s="8">
        <f>IF(A783="","",IF(ISNA(MATCH(A783,Mitarbeiter!$A$6:$A$205,0)),"Pers.-Nr. unbekannt",IF(D783="","Von fehlt",IF(AND(C783&lt;&gt;Einstellungen!$C$4,C783&lt;&gt;Einstellungen!$C$5),"Objekt fehlt",IF(J783&lt;D783,"Bis vor Von",IF(D783&lt;INDEX(Mitarbeiter!$C$6:$C$205,MATCH($A783,Mitarbeiter!$A$6:$A$205,0)),"vor Eintritt",IF(AND(INDEX(Mitarbeiter!$D$6:$D$205,MATCH($A783,Mitarbeiter!$A$6:$A$205,0))&lt;&gt;"",D783&gt;INDEX(Mitarbeiter!$D$6:$D$205,MATCH($A783,Mitarbeiter!$A$6:$A$205,0))),"nach Austritt",IF(E783="","offen","ok"))))))))</f>
        <v/>
      </c>
      <c r="J783" s="47">
        <f>IF(A783="","",IF(E783="",Einstellungen!$C$9,E783))</f>
        <v/>
      </c>
      <c r="K783" s="48">
        <f>IF(A783="",0,IFERROR(INDEX(Mitarbeiter!$F$6:$F$205,MATCH($A783,Mitarbeiter!$A$6:$A$205,0)),0))</f>
        <v/>
      </c>
      <c r="L783" s="49">
        <f>IF(OR(A783="",D783=""),0,MAX(0,NETWORKDAYS(MAX(D783,DATE(Einstellungen!$C$3,1,1)),MIN(J783,DATE(Einstellungen!$C$3,2,0)),Einstellungen!$F$13:$F$32)))</f>
        <v/>
      </c>
      <c r="M783" s="49">
        <f>IF(OR(A783="",D783=""),0,MAX(0,NETWORKDAYS(MAX(D783,DATE(Einstellungen!$C$3,2,1)),MIN(J783,DATE(Einstellungen!$C$3,3,0)),Einstellungen!$F$13:$F$32)))</f>
        <v/>
      </c>
      <c r="N783" s="49">
        <f>IF(OR(A783="",D783=""),0,MAX(0,NETWORKDAYS(MAX(D783,DATE(Einstellungen!$C$3,3,1)),MIN(J783,DATE(Einstellungen!$C$3,4,0)),Einstellungen!$F$13:$F$32)))</f>
        <v/>
      </c>
      <c r="O783" s="49">
        <f>IF(OR(A783="",D783=""),0,MAX(0,NETWORKDAYS(MAX(D783,DATE(Einstellungen!$C$3,4,1)),MIN(J783,DATE(Einstellungen!$C$3,5,0)),Einstellungen!$F$13:$F$32)))</f>
        <v/>
      </c>
      <c r="P783" s="49">
        <f>IF(OR(A783="",D783=""),0,MAX(0,NETWORKDAYS(MAX(D783,DATE(Einstellungen!$C$3,5,1)),MIN(J783,DATE(Einstellungen!$C$3,6,0)),Einstellungen!$F$13:$F$32)))</f>
        <v/>
      </c>
      <c r="Q783" s="49">
        <f>IF(OR(A783="",D783=""),0,MAX(0,NETWORKDAYS(MAX(D783,DATE(Einstellungen!$C$3,6,1)),MIN(J783,DATE(Einstellungen!$C$3,7,0)),Einstellungen!$F$13:$F$32)))</f>
        <v/>
      </c>
      <c r="R783" s="49">
        <f>IF(OR(A783="",D783=""),0,MAX(0,NETWORKDAYS(MAX(D783,DATE(Einstellungen!$C$3,7,1)),MIN(J783,DATE(Einstellungen!$C$3,8,0)),Einstellungen!$F$13:$F$32)))</f>
        <v/>
      </c>
      <c r="S783" s="49">
        <f>IF(OR(A783="",D783=""),0,MAX(0,NETWORKDAYS(MAX(D783,DATE(Einstellungen!$C$3,8,1)),MIN(J783,DATE(Einstellungen!$C$3,9,0)),Einstellungen!$F$13:$F$32)))</f>
        <v/>
      </c>
      <c r="T783" s="49">
        <f>IF(OR(A783="",D783=""),0,MAX(0,NETWORKDAYS(MAX(D783,DATE(Einstellungen!$C$3,9,1)),MIN(J783,DATE(Einstellungen!$C$3,10,0)),Einstellungen!$F$13:$F$32)))</f>
        <v/>
      </c>
      <c r="U783" s="49">
        <f>IF(OR(A783="",D783=""),0,MAX(0,NETWORKDAYS(MAX(D783,DATE(Einstellungen!$C$3,10,1)),MIN(J783,DATE(Einstellungen!$C$3,11,0)),Einstellungen!$F$13:$F$32)))</f>
        <v/>
      </c>
      <c r="V783" s="49">
        <f>IF(OR(A783="",D783=""),0,MAX(0,NETWORKDAYS(MAX(D783,DATE(Einstellungen!$C$3,11,1)),MIN(J783,DATE(Einstellungen!$C$3,12,0)),Einstellungen!$F$13:$F$32)))</f>
        <v/>
      </c>
      <c r="W783" s="49">
        <f>IF(OR(A783="",D783=""),0,MAX(0,NETWORKDAYS(MAX(D783,DATE(Einstellungen!$C$3,12,1)),MIN(J783,DATE(Einstellungen!$C$3,13,0)),Einstellungen!$F$13:$F$32)))</f>
        <v/>
      </c>
      <c r="X783" s="50">
        <f>L783*K783</f>
        <v/>
      </c>
      <c r="Y783" s="50">
        <f>M783*K783</f>
        <v/>
      </c>
      <c r="Z783" s="50">
        <f>N783*K783</f>
        <v/>
      </c>
      <c r="AA783" s="50">
        <f>O783*K783</f>
        <v/>
      </c>
      <c r="AB783" s="50">
        <f>P783*K783</f>
        <v/>
      </c>
      <c r="AC783" s="50">
        <f>Q783*K783</f>
        <v/>
      </c>
      <c r="AD783" s="50">
        <f>R783*K783</f>
        <v/>
      </c>
      <c r="AE783" s="50">
        <f>S783*K783</f>
        <v/>
      </c>
      <c r="AF783" s="50">
        <f>T783*K783</f>
        <v/>
      </c>
      <c r="AG783" s="50">
        <f>U783*K783</f>
        <v/>
      </c>
      <c r="AH783" s="50">
        <f>V783*K783</f>
        <v/>
      </c>
      <c r="AI783" s="50">
        <f>W783*K783</f>
        <v/>
      </c>
    </row>
    <row r="784">
      <c r="A784" s="25" t="n"/>
      <c r="B784" s="45">
        <f>IF(A784="","",IFERROR(INDEX(Mitarbeiter!$B$6:$B$205,MATCH($A784,Mitarbeiter!$A$6:$A$205,0)),"?"))</f>
        <v/>
      </c>
      <c r="C784" s="46" t="n"/>
      <c r="D784" s="26" t="n"/>
      <c r="E784" s="26" t="n"/>
      <c r="F784" s="24">
        <f>IF(A784="","",SUM(L784:W784))</f>
        <v/>
      </c>
      <c r="G784" s="36">
        <f>IF(A784="","",SUM(X784:AI784))</f>
        <v/>
      </c>
      <c r="H784" s="8">
        <f>IF(A784="","",IF(ISNA(MATCH(A784,Mitarbeiter!$A$6:$A$205,0)),"Pers.-Nr. unbekannt",IF(D784="","Von fehlt",IF(AND(C784&lt;&gt;Einstellungen!$C$4,C784&lt;&gt;Einstellungen!$C$5),"Objekt fehlt",IF(J784&lt;D784,"Bis vor Von",IF(D784&lt;INDEX(Mitarbeiter!$C$6:$C$205,MATCH($A784,Mitarbeiter!$A$6:$A$205,0)),"vor Eintritt",IF(AND(INDEX(Mitarbeiter!$D$6:$D$205,MATCH($A784,Mitarbeiter!$A$6:$A$205,0))&lt;&gt;"",D784&gt;INDEX(Mitarbeiter!$D$6:$D$205,MATCH($A784,Mitarbeiter!$A$6:$A$205,0))),"nach Austritt",IF(E784="","offen","ok"))))))))</f>
        <v/>
      </c>
      <c r="J784" s="47">
        <f>IF(A784="","",IF(E784="",Einstellungen!$C$9,E784))</f>
        <v/>
      </c>
      <c r="K784" s="48">
        <f>IF(A784="",0,IFERROR(INDEX(Mitarbeiter!$F$6:$F$205,MATCH($A784,Mitarbeiter!$A$6:$A$205,0)),0))</f>
        <v/>
      </c>
      <c r="L784" s="49">
        <f>IF(OR(A784="",D784=""),0,MAX(0,NETWORKDAYS(MAX(D784,DATE(Einstellungen!$C$3,1,1)),MIN(J784,DATE(Einstellungen!$C$3,2,0)),Einstellungen!$F$13:$F$32)))</f>
        <v/>
      </c>
      <c r="M784" s="49">
        <f>IF(OR(A784="",D784=""),0,MAX(0,NETWORKDAYS(MAX(D784,DATE(Einstellungen!$C$3,2,1)),MIN(J784,DATE(Einstellungen!$C$3,3,0)),Einstellungen!$F$13:$F$32)))</f>
        <v/>
      </c>
      <c r="N784" s="49">
        <f>IF(OR(A784="",D784=""),0,MAX(0,NETWORKDAYS(MAX(D784,DATE(Einstellungen!$C$3,3,1)),MIN(J784,DATE(Einstellungen!$C$3,4,0)),Einstellungen!$F$13:$F$32)))</f>
        <v/>
      </c>
      <c r="O784" s="49">
        <f>IF(OR(A784="",D784=""),0,MAX(0,NETWORKDAYS(MAX(D784,DATE(Einstellungen!$C$3,4,1)),MIN(J784,DATE(Einstellungen!$C$3,5,0)),Einstellungen!$F$13:$F$32)))</f>
        <v/>
      </c>
      <c r="P784" s="49">
        <f>IF(OR(A784="",D784=""),0,MAX(0,NETWORKDAYS(MAX(D784,DATE(Einstellungen!$C$3,5,1)),MIN(J784,DATE(Einstellungen!$C$3,6,0)),Einstellungen!$F$13:$F$32)))</f>
        <v/>
      </c>
      <c r="Q784" s="49">
        <f>IF(OR(A784="",D784=""),0,MAX(0,NETWORKDAYS(MAX(D784,DATE(Einstellungen!$C$3,6,1)),MIN(J784,DATE(Einstellungen!$C$3,7,0)),Einstellungen!$F$13:$F$32)))</f>
        <v/>
      </c>
      <c r="R784" s="49">
        <f>IF(OR(A784="",D784=""),0,MAX(0,NETWORKDAYS(MAX(D784,DATE(Einstellungen!$C$3,7,1)),MIN(J784,DATE(Einstellungen!$C$3,8,0)),Einstellungen!$F$13:$F$32)))</f>
        <v/>
      </c>
      <c r="S784" s="49">
        <f>IF(OR(A784="",D784=""),0,MAX(0,NETWORKDAYS(MAX(D784,DATE(Einstellungen!$C$3,8,1)),MIN(J784,DATE(Einstellungen!$C$3,9,0)),Einstellungen!$F$13:$F$32)))</f>
        <v/>
      </c>
      <c r="T784" s="49">
        <f>IF(OR(A784="",D784=""),0,MAX(0,NETWORKDAYS(MAX(D784,DATE(Einstellungen!$C$3,9,1)),MIN(J784,DATE(Einstellungen!$C$3,10,0)),Einstellungen!$F$13:$F$32)))</f>
        <v/>
      </c>
      <c r="U784" s="49">
        <f>IF(OR(A784="",D784=""),0,MAX(0,NETWORKDAYS(MAX(D784,DATE(Einstellungen!$C$3,10,1)),MIN(J784,DATE(Einstellungen!$C$3,11,0)),Einstellungen!$F$13:$F$32)))</f>
        <v/>
      </c>
      <c r="V784" s="49">
        <f>IF(OR(A784="",D784=""),0,MAX(0,NETWORKDAYS(MAX(D784,DATE(Einstellungen!$C$3,11,1)),MIN(J784,DATE(Einstellungen!$C$3,12,0)),Einstellungen!$F$13:$F$32)))</f>
        <v/>
      </c>
      <c r="W784" s="49">
        <f>IF(OR(A784="",D784=""),0,MAX(0,NETWORKDAYS(MAX(D784,DATE(Einstellungen!$C$3,12,1)),MIN(J784,DATE(Einstellungen!$C$3,13,0)),Einstellungen!$F$13:$F$32)))</f>
        <v/>
      </c>
      <c r="X784" s="50">
        <f>L784*K784</f>
        <v/>
      </c>
      <c r="Y784" s="50">
        <f>M784*K784</f>
        <v/>
      </c>
      <c r="Z784" s="50">
        <f>N784*K784</f>
        <v/>
      </c>
      <c r="AA784" s="50">
        <f>O784*K784</f>
        <v/>
      </c>
      <c r="AB784" s="50">
        <f>P784*K784</f>
        <v/>
      </c>
      <c r="AC784" s="50">
        <f>Q784*K784</f>
        <v/>
      </c>
      <c r="AD784" s="50">
        <f>R784*K784</f>
        <v/>
      </c>
      <c r="AE784" s="50">
        <f>S784*K784</f>
        <v/>
      </c>
      <c r="AF784" s="50">
        <f>T784*K784</f>
        <v/>
      </c>
      <c r="AG784" s="50">
        <f>U784*K784</f>
        <v/>
      </c>
      <c r="AH784" s="50">
        <f>V784*K784</f>
        <v/>
      </c>
      <c r="AI784" s="50">
        <f>W784*K784</f>
        <v/>
      </c>
    </row>
    <row r="785">
      <c r="A785" s="25" t="n"/>
      <c r="B785" s="45">
        <f>IF(A785="","",IFERROR(INDEX(Mitarbeiter!$B$6:$B$205,MATCH($A785,Mitarbeiter!$A$6:$A$205,0)),"?"))</f>
        <v/>
      </c>
      <c r="C785" s="46" t="n"/>
      <c r="D785" s="26" t="n"/>
      <c r="E785" s="26" t="n"/>
      <c r="F785" s="24">
        <f>IF(A785="","",SUM(L785:W785))</f>
        <v/>
      </c>
      <c r="G785" s="36">
        <f>IF(A785="","",SUM(X785:AI785))</f>
        <v/>
      </c>
      <c r="H785" s="8">
        <f>IF(A785="","",IF(ISNA(MATCH(A785,Mitarbeiter!$A$6:$A$205,0)),"Pers.-Nr. unbekannt",IF(D785="","Von fehlt",IF(AND(C785&lt;&gt;Einstellungen!$C$4,C785&lt;&gt;Einstellungen!$C$5),"Objekt fehlt",IF(J785&lt;D785,"Bis vor Von",IF(D785&lt;INDEX(Mitarbeiter!$C$6:$C$205,MATCH($A785,Mitarbeiter!$A$6:$A$205,0)),"vor Eintritt",IF(AND(INDEX(Mitarbeiter!$D$6:$D$205,MATCH($A785,Mitarbeiter!$A$6:$A$205,0))&lt;&gt;"",D785&gt;INDEX(Mitarbeiter!$D$6:$D$205,MATCH($A785,Mitarbeiter!$A$6:$A$205,0))),"nach Austritt",IF(E785="","offen","ok"))))))))</f>
        <v/>
      </c>
      <c r="J785" s="47">
        <f>IF(A785="","",IF(E785="",Einstellungen!$C$9,E785))</f>
        <v/>
      </c>
      <c r="K785" s="48">
        <f>IF(A785="",0,IFERROR(INDEX(Mitarbeiter!$F$6:$F$205,MATCH($A785,Mitarbeiter!$A$6:$A$205,0)),0))</f>
        <v/>
      </c>
      <c r="L785" s="49">
        <f>IF(OR(A785="",D785=""),0,MAX(0,NETWORKDAYS(MAX(D785,DATE(Einstellungen!$C$3,1,1)),MIN(J785,DATE(Einstellungen!$C$3,2,0)),Einstellungen!$F$13:$F$32)))</f>
        <v/>
      </c>
      <c r="M785" s="49">
        <f>IF(OR(A785="",D785=""),0,MAX(0,NETWORKDAYS(MAX(D785,DATE(Einstellungen!$C$3,2,1)),MIN(J785,DATE(Einstellungen!$C$3,3,0)),Einstellungen!$F$13:$F$32)))</f>
        <v/>
      </c>
      <c r="N785" s="49">
        <f>IF(OR(A785="",D785=""),0,MAX(0,NETWORKDAYS(MAX(D785,DATE(Einstellungen!$C$3,3,1)),MIN(J785,DATE(Einstellungen!$C$3,4,0)),Einstellungen!$F$13:$F$32)))</f>
        <v/>
      </c>
      <c r="O785" s="49">
        <f>IF(OR(A785="",D785=""),0,MAX(0,NETWORKDAYS(MAX(D785,DATE(Einstellungen!$C$3,4,1)),MIN(J785,DATE(Einstellungen!$C$3,5,0)),Einstellungen!$F$13:$F$32)))</f>
        <v/>
      </c>
      <c r="P785" s="49">
        <f>IF(OR(A785="",D785=""),0,MAX(0,NETWORKDAYS(MAX(D785,DATE(Einstellungen!$C$3,5,1)),MIN(J785,DATE(Einstellungen!$C$3,6,0)),Einstellungen!$F$13:$F$32)))</f>
        <v/>
      </c>
      <c r="Q785" s="49">
        <f>IF(OR(A785="",D785=""),0,MAX(0,NETWORKDAYS(MAX(D785,DATE(Einstellungen!$C$3,6,1)),MIN(J785,DATE(Einstellungen!$C$3,7,0)),Einstellungen!$F$13:$F$32)))</f>
        <v/>
      </c>
      <c r="R785" s="49">
        <f>IF(OR(A785="",D785=""),0,MAX(0,NETWORKDAYS(MAX(D785,DATE(Einstellungen!$C$3,7,1)),MIN(J785,DATE(Einstellungen!$C$3,8,0)),Einstellungen!$F$13:$F$32)))</f>
        <v/>
      </c>
      <c r="S785" s="49">
        <f>IF(OR(A785="",D785=""),0,MAX(0,NETWORKDAYS(MAX(D785,DATE(Einstellungen!$C$3,8,1)),MIN(J785,DATE(Einstellungen!$C$3,9,0)),Einstellungen!$F$13:$F$32)))</f>
        <v/>
      </c>
      <c r="T785" s="49">
        <f>IF(OR(A785="",D785=""),0,MAX(0,NETWORKDAYS(MAX(D785,DATE(Einstellungen!$C$3,9,1)),MIN(J785,DATE(Einstellungen!$C$3,10,0)),Einstellungen!$F$13:$F$32)))</f>
        <v/>
      </c>
      <c r="U785" s="49">
        <f>IF(OR(A785="",D785=""),0,MAX(0,NETWORKDAYS(MAX(D785,DATE(Einstellungen!$C$3,10,1)),MIN(J785,DATE(Einstellungen!$C$3,11,0)),Einstellungen!$F$13:$F$32)))</f>
        <v/>
      </c>
      <c r="V785" s="49">
        <f>IF(OR(A785="",D785=""),0,MAX(0,NETWORKDAYS(MAX(D785,DATE(Einstellungen!$C$3,11,1)),MIN(J785,DATE(Einstellungen!$C$3,12,0)),Einstellungen!$F$13:$F$32)))</f>
        <v/>
      </c>
      <c r="W785" s="49">
        <f>IF(OR(A785="",D785=""),0,MAX(0,NETWORKDAYS(MAX(D785,DATE(Einstellungen!$C$3,12,1)),MIN(J785,DATE(Einstellungen!$C$3,13,0)),Einstellungen!$F$13:$F$32)))</f>
        <v/>
      </c>
      <c r="X785" s="50">
        <f>L785*K785</f>
        <v/>
      </c>
      <c r="Y785" s="50">
        <f>M785*K785</f>
        <v/>
      </c>
      <c r="Z785" s="50">
        <f>N785*K785</f>
        <v/>
      </c>
      <c r="AA785" s="50">
        <f>O785*K785</f>
        <v/>
      </c>
      <c r="AB785" s="50">
        <f>P785*K785</f>
        <v/>
      </c>
      <c r="AC785" s="50">
        <f>Q785*K785</f>
        <v/>
      </c>
      <c r="AD785" s="50">
        <f>R785*K785</f>
        <v/>
      </c>
      <c r="AE785" s="50">
        <f>S785*K785</f>
        <v/>
      </c>
      <c r="AF785" s="50">
        <f>T785*K785</f>
        <v/>
      </c>
      <c r="AG785" s="50">
        <f>U785*K785</f>
        <v/>
      </c>
      <c r="AH785" s="50">
        <f>V785*K785</f>
        <v/>
      </c>
      <c r="AI785" s="50">
        <f>W785*K785</f>
        <v/>
      </c>
    </row>
    <row r="786">
      <c r="A786" s="25" t="n"/>
      <c r="B786" s="45">
        <f>IF(A786="","",IFERROR(INDEX(Mitarbeiter!$B$6:$B$205,MATCH($A786,Mitarbeiter!$A$6:$A$205,0)),"?"))</f>
        <v/>
      </c>
      <c r="C786" s="46" t="n"/>
      <c r="D786" s="26" t="n"/>
      <c r="E786" s="26" t="n"/>
      <c r="F786" s="24">
        <f>IF(A786="","",SUM(L786:W786))</f>
        <v/>
      </c>
      <c r="G786" s="36">
        <f>IF(A786="","",SUM(X786:AI786))</f>
        <v/>
      </c>
      <c r="H786" s="8">
        <f>IF(A786="","",IF(ISNA(MATCH(A786,Mitarbeiter!$A$6:$A$205,0)),"Pers.-Nr. unbekannt",IF(D786="","Von fehlt",IF(AND(C786&lt;&gt;Einstellungen!$C$4,C786&lt;&gt;Einstellungen!$C$5),"Objekt fehlt",IF(J786&lt;D786,"Bis vor Von",IF(D786&lt;INDEX(Mitarbeiter!$C$6:$C$205,MATCH($A786,Mitarbeiter!$A$6:$A$205,0)),"vor Eintritt",IF(AND(INDEX(Mitarbeiter!$D$6:$D$205,MATCH($A786,Mitarbeiter!$A$6:$A$205,0))&lt;&gt;"",D786&gt;INDEX(Mitarbeiter!$D$6:$D$205,MATCH($A786,Mitarbeiter!$A$6:$A$205,0))),"nach Austritt",IF(E786="","offen","ok"))))))))</f>
        <v/>
      </c>
      <c r="J786" s="47">
        <f>IF(A786="","",IF(E786="",Einstellungen!$C$9,E786))</f>
        <v/>
      </c>
      <c r="K786" s="48">
        <f>IF(A786="",0,IFERROR(INDEX(Mitarbeiter!$F$6:$F$205,MATCH($A786,Mitarbeiter!$A$6:$A$205,0)),0))</f>
        <v/>
      </c>
      <c r="L786" s="49">
        <f>IF(OR(A786="",D786=""),0,MAX(0,NETWORKDAYS(MAX(D786,DATE(Einstellungen!$C$3,1,1)),MIN(J786,DATE(Einstellungen!$C$3,2,0)),Einstellungen!$F$13:$F$32)))</f>
        <v/>
      </c>
      <c r="M786" s="49">
        <f>IF(OR(A786="",D786=""),0,MAX(0,NETWORKDAYS(MAX(D786,DATE(Einstellungen!$C$3,2,1)),MIN(J786,DATE(Einstellungen!$C$3,3,0)),Einstellungen!$F$13:$F$32)))</f>
        <v/>
      </c>
      <c r="N786" s="49">
        <f>IF(OR(A786="",D786=""),0,MAX(0,NETWORKDAYS(MAX(D786,DATE(Einstellungen!$C$3,3,1)),MIN(J786,DATE(Einstellungen!$C$3,4,0)),Einstellungen!$F$13:$F$32)))</f>
        <v/>
      </c>
      <c r="O786" s="49">
        <f>IF(OR(A786="",D786=""),0,MAX(0,NETWORKDAYS(MAX(D786,DATE(Einstellungen!$C$3,4,1)),MIN(J786,DATE(Einstellungen!$C$3,5,0)),Einstellungen!$F$13:$F$32)))</f>
        <v/>
      </c>
      <c r="P786" s="49">
        <f>IF(OR(A786="",D786=""),0,MAX(0,NETWORKDAYS(MAX(D786,DATE(Einstellungen!$C$3,5,1)),MIN(J786,DATE(Einstellungen!$C$3,6,0)),Einstellungen!$F$13:$F$32)))</f>
        <v/>
      </c>
      <c r="Q786" s="49">
        <f>IF(OR(A786="",D786=""),0,MAX(0,NETWORKDAYS(MAX(D786,DATE(Einstellungen!$C$3,6,1)),MIN(J786,DATE(Einstellungen!$C$3,7,0)),Einstellungen!$F$13:$F$32)))</f>
        <v/>
      </c>
      <c r="R786" s="49">
        <f>IF(OR(A786="",D786=""),0,MAX(0,NETWORKDAYS(MAX(D786,DATE(Einstellungen!$C$3,7,1)),MIN(J786,DATE(Einstellungen!$C$3,8,0)),Einstellungen!$F$13:$F$32)))</f>
        <v/>
      </c>
      <c r="S786" s="49">
        <f>IF(OR(A786="",D786=""),0,MAX(0,NETWORKDAYS(MAX(D786,DATE(Einstellungen!$C$3,8,1)),MIN(J786,DATE(Einstellungen!$C$3,9,0)),Einstellungen!$F$13:$F$32)))</f>
        <v/>
      </c>
      <c r="T786" s="49">
        <f>IF(OR(A786="",D786=""),0,MAX(0,NETWORKDAYS(MAX(D786,DATE(Einstellungen!$C$3,9,1)),MIN(J786,DATE(Einstellungen!$C$3,10,0)),Einstellungen!$F$13:$F$32)))</f>
        <v/>
      </c>
      <c r="U786" s="49">
        <f>IF(OR(A786="",D786=""),0,MAX(0,NETWORKDAYS(MAX(D786,DATE(Einstellungen!$C$3,10,1)),MIN(J786,DATE(Einstellungen!$C$3,11,0)),Einstellungen!$F$13:$F$32)))</f>
        <v/>
      </c>
      <c r="V786" s="49">
        <f>IF(OR(A786="",D786=""),0,MAX(0,NETWORKDAYS(MAX(D786,DATE(Einstellungen!$C$3,11,1)),MIN(J786,DATE(Einstellungen!$C$3,12,0)),Einstellungen!$F$13:$F$32)))</f>
        <v/>
      </c>
      <c r="W786" s="49">
        <f>IF(OR(A786="",D786=""),0,MAX(0,NETWORKDAYS(MAX(D786,DATE(Einstellungen!$C$3,12,1)),MIN(J786,DATE(Einstellungen!$C$3,13,0)),Einstellungen!$F$13:$F$32)))</f>
        <v/>
      </c>
      <c r="X786" s="50">
        <f>L786*K786</f>
        <v/>
      </c>
      <c r="Y786" s="50">
        <f>M786*K786</f>
        <v/>
      </c>
      <c r="Z786" s="50">
        <f>N786*K786</f>
        <v/>
      </c>
      <c r="AA786" s="50">
        <f>O786*K786</f>
        <v/>
      </c>
      <c r="AB786" s="50">
        <f>P786*K786</f>
        <v/>
      </c>
      <c r="AC786" s="50">
        <f>Q786*K786</f>
        <v/>
      </c>
      <c r="AD786" s="50">
        <f>R786*K786</f>
        <v/>
      </c>
      <c r="AE786" s="50">
        <f>S786*K786</f>
        <v/>
      </c>
      <c r="AF786" s="50">
        <f>T786*K786</f>
        <v/>
      </c>
      <c r="AG786" s="50">
        <f>U786*K786</f>
        <v/>
      </c>
      <c r="AH786" s="50">
        <f>V786*K786</f>
        <v/>
      </c>
      <c r="AI786" s="50">
        <f>W786*K786</f>
        <v/>
      </c>
    </row>
    <row r="787">
      <c r="A787" s="25" t="n"/>
      <c r="B787" s="45">
        <f>IF(A787="","",IFERROR(INDEX(Mitarbeiter!$B$6:$B$205,MATCH($A787,Mitarbeiter!$A$6:$A$205,0)),"?"))</f>
        <v/>
      </c>
      <c r="C787" s="46" t="n"/>
      <c r="D787" s="26" t="n"/>
      <c r="E787" s="26" t="n"/>
      <c r="F787" s="24">
        <f>IF(A787="","",SUM(L787:W787))</f>
        <v/>
      </c>
      <c r="G787" s="36">
        <f>IF(A787="","",SUM(X787:AI787))</f>
        <v/>
      </c>
      <c r="H787" s="8">
        <f>IF(A787="","",IF(ISNA(MATCH(A787,Mitarbeiter!$A$6:$A$205,0)),"Pers.-Nr. unbekannt",IF(D787="","Von fehlt",IF(AND(C787&lt;&gt;Einstellungen!$C$4,C787&lt;&gt;Einstellungen!$C$5),"Objekt fehlt",IF(J787&lt;D787,"Bis vor Von",IF(D787&lt;INDEX(Mitarbeiter!$C$6:$C$205,MATCH($A787,Mitarbeiter!$A$6:$A$205,0)),"vor Eintritt",IF(AND(INDEX(Mitarbeiter!$D$6:$D$205,MATCH($A787,Mitarbeiter!$A$6:$A$205,0))&lt;&gt;"",D787&gt;INDEX(Mitarbeiter!$D$6:$D$205,MATCH($A787,Mitarbeiter!$A$6:$A$205,0))),"nach Austritt",IF(E787="","offen","ok"))))))))</f>
        <v/>
      </c>
      <c r="J787" s="47">
        <f>IF(A787="","",IF(E787="",Einstellungen!$C$9,E787))</f>
        <v/>
      </c>
      <c r="K787" s="48">
        <f>IF(A787="",0,IFERROR(INDEX(Mitarbeiter!$F$6:$F$205,MATCH($A787,Mitarbeiter!$A$6:$A$205,0)),0))</f>
        <v/>
      </c>
      <c r="L787" s="49">
        <f>IF(OR(A787="",D787=""),0,MAX(0,NETWORKDAYS(MAX(D787,DATE(Einstellungen!$C$3,1,1)),MIN(J787,DATE(Einstellungen!$C$3,2,0)),Einstellungen!$F$13:$F$32)))</f>
        <v/>
      </c>
      <c r="M787" s="49">
        <f>IF(OR(A787="",D787=""),0,MAX(0,NETWORKDAYS(MAX(D787,DATE(Einstellungen!$C$3,2,1)),MIN(J787,DATE(Einstellungen!$C$3,3,0)),Einstellungen!$F$13:$F$32)))</f>
        <v/>
      </c>
      <c r="N787" s="49">
        <f>IF(OR(A787="",D787=""),0,MAX(0,NETWORKDAYS(MAX(D787,DATE(Einstellungen!$C$3,3,1)),MIN(J787,DATE(Einstellungen!$C$3,4,0)),Einstellungen!$F$13:$F$32)))</f>
        <v/>
      </c>
      <c r="O787" s="49">
        <f>IF(OR(A787="",D787=""),0,MAX(0,NETWORKDAYS(MAX(D787,DATE(Einstellungen!$C$3,4,1)),MIN(J787,DATE(Einstellungen!$C$3,5,0)),Einstellungen!$F$13:$F$32)))</f>
        <v/>
      </c>
      <c r="P787" s="49">
        <f>IF(OR(A787="",D787=""),0,MAX(0,NETWORKDAYS(MAX(D787,DATE(Einstellungen!$C$3,5,1)),MIN(J787,DATE(Einstellungen!$C$3,6,0)),Einstellungen!$F$13:$F$32)))</f>
        <v/>
      </c>
      <c r="Q787" s="49">
        <f>IF(OR(A787="",D787=""),0,MAX(0,NETWORKDAYS(MAX(D787,DATE(Einstellungen!$C$3,6,1)),MIN(J787,DATE(Einstellungen!$C$3,7,0)),Einstellungen!$F$13:$F$32)))</f>
        <v/>
      </c>
      <c r="R787" s="49">
        <f>IF(OR(A787="",D787=""),0,MAX(0,NETWORKDAYS(MAX(D787,DATE(Einstellungen!$C$3,7,1)),MIN(J787,DATE(Einstellungen!$C$3,8,0)),Einstellungen!$F$13:$F$32)))</f>
        <v/>
      </c>
      <c r="S787" s="49">
        <f>IF(OR(A787="",D787=""),0,MAX(0,NETWORKDAYS(MAX(D787,DATE(Einstellungen!$C$3,8,1)),MIN(J787,DATE(Einstellungen!$C$3,9,0)),Einstellungen!$F$13:$F$32)))</f>
        <v/>
      </c>
      <c r="T787" s="49">
        <f>IF(OR(A787="",D787=""),0,MAX(0,NETWORKDAYS(MAX(D787,DATE(Einstellungen!$C$3,9,1)),MIN(J787,DATE(Einstellungen!$C$3,10,0)),Einstellungen!$F$13:$F$32)))</f>
        <v/>
      </c>
      <c r="U787" s="49">
        <f>IF(OR(A787="",D787=""),0,MAX(0,NETWORKDAYS(MAX(D787,DATE(Einstellungen!$C$3,10,1)),MIN(J787,DATE(Einstellungen!$C$3,11,0)),Einstellungen!$F$13:$F$32)))</f>
        <v/>
      </c>
      <c r="V787" s="49">
        <f>IF(OR(A787="",D787=""),0,MAX(0,NETWORKDAYS(MAX(D787,DATE(Einstellungen!$C$3,11,1)),MIN(J787,DATE(Einstellungen!$C$3,12,0)),Einstellungen!$F$13:$F$32)))</f>
        <v/>
      </c>
      <c r="W787" s="49">
        <f>IF(OR(A787="",D787=""),0,MAX(0,NETWORKDAYS(MAX(D787,DATE(Einstellungen!$C$3,12,1)),MIN(J787,DATE(Einstellungen!$C$3,13,0)),Einstellungen!$F$13:$F$32)))</f>
        <v/>
      </c>
      <c r="X787" s="50">
        <f>L787*K787</f>
        <v/>
      </c>
      <c r="Y787" s="50">
        <f>M787*K787</f>
        <v/>
      </c>
      <c r="Z787" s="50">
        <f>N787*K787</f>
        <v/>
      </c>
      <c r="AA787" s="50">
        <f>O787*K787</f>
        <v/>
      </c>
      <c r="AB787" s="50">
        <f>P787*K787</f>
        <v/>
      </c>
      <c r="AC787" s="50">
        <f>Q787*K787</f>
        <v/>
      </c>
      <c r="AD787" s="50">
        <f>R787*K787</f>
        <v/>
      </c>
      <c r="AE787" s="50">
        <f>S787*K787</f>
        <v/>
      </c>
      <c r="AF787" s="50">
        <f>T787*K787</f>
        <v/>
      </c>
      <c r="AG787" s="50">
        <f>U787*K787</f>
        <v/>
      </c>
      <c r="AH787" s="50">
        <f>V787*K787</f>
        <v/>
      </c>
      <c r="AI787" s="50">
        <f>W787*K787</f>
        <v/>
      </c>
    </row>
    <row r="788">
      <c r="A788" s="25" t="n"/>
      <c r="B788" s="45">
        <f>IF(A788="","",IFERROR(INDEX(Mitarbeiter!$B$6:$B$205,MATCH($A788,Mitarbeiter!$A$6:$A$205,0)),"?"))</f>
        <v/>
      </c>
      <c r="C788" s="46" t="n"/>
      <c r="D788" s="26" t="n"/>
      <c r="E788" s="26" t="n"/>
      <c r="F788" s="24">
        <f>IF(A788="","",SUM(L788:W788))</f>
        <v/>
      </c>
      <c r="G788" s="36">
        <f>IF(A788="","",SUM(X788:AI788))</f>
        <v/>
      </c>
      <c r="H788" s="8">
        <f>IF(A788="","",IF(ISNA(MATCH(A788,Mitarbeiter!$A$6:$A$205,0)),"Pers.-Nr. unbekannt",IF(D788="","Von fehlt",IF(AND(C788&lt;&gt;Einstellungen!$C$4,C788&lt;&gt;Einstellungen!$C$5),"Objekt fehlt",IF(J788&lt;D788,"Bis vor Von",IF(D788&lt;INDEX(Mitarbeiter!$C$6:$C$205,MATCH($A788,Mitarbeiter!$A$6:$A$205,0)),"vor Eintritt",IF(AND(INDEX(Mitarbeiter!$D$6:$D$205,MATCH($A788,Mitarbeiter!$A$6:$A$205,0))&lt;&gt;"",D788&gt;INDEX(Mitarbeiter!$D$6:$D$205,MATCH($A788,Mitarbeiter!$A$6:$A$205,0))),"nach Austritt",IF(E788="","offen","ok"))))))))</f>
        <v/>
      </c>
      <c r="J788" s="47">
        <f>IF(A788="","",IF(E788="",Einstellungen!$C$9,E788))</f>
        <v/>
      </c>
      <c r="K788" s="48">
        <f>IF(A788="",0,IFERROR(INDEX(Mitarbeiter!$F$6:$F$205,MATCH($A788,Mitarbeiter!$A$6:$A$205,0)),0))</f>
        <v/>
      </c>
      <c r="L788" s="49">
        <f>IF(OR(A788="",D788=""),0,MAX(0,NETWORKDAYS(MAX(D788,DATE(Einstellungen!$C$3,1,1)),MIN(J788,DATE(Einstellungen!$C$3,2,0)),Einstellungen!$F$13:$F$32)))</f>
        <v/>
      </c>
      <c r="M788" s="49">
        <f>IF(OR(A788="",D788=""),0,MAX(0,NETWORKDAYS(MAX(D788,DATE(Einstellungen!$C$3,2,1)),MIN(J788,DATE(Einstellungen!$C$3,3,0)),Einstellungen!$F$13:$F$32)))</f>
        <v/>
      </c>
      <c r="N788" s="49">
        <f>IF(OR(A788="",D788=""),0,MAX(0,NETWORKDAYS(MAX(D788,DATE(Einstellungen!$C$3,3,1)),MIN(J788,DATE(Einstellungen!$C$3,4,0)),Einstellungen!$F$13:$F$32)))</f>
        <v/>
      </c>
      <c r="O788" s="49">
        <f>IF(OR(A788="",D788=""),0,MAX(0,NETWORKDAYS(MAX(D788,DATE(Einstellungen!$C$3,4,1)),MIN(J788,DATE(Einstellungen!$C$3,5,0)),Einstellungen!$F$13:$F$32)))</f>
        <v/>
      </c>
      <c r="P788" s="49">
        <f>IF(OR(A788="",D788=""),0,MAX(0,NETWORKDAYS(MAX(D788,DATE(Einstellungen!$C$3,5,1)),MIN(J788,DATE(Einstellungen!$C$3,6,0)),Einstellungen!$F$13:$F$32)))</f>
        <v/>
      </c>
      <c r="Q788" s="49">
        <f>IF(OR(A788="",D788=""),0,MAX(0,NETWORKDAYS(MAX(D788,DATE(Einstellungen!$C$3,6,1)),MIN(J788,DATE(Einstellungen!$C$3,7,0)),Einstellungen!$F$13:$F$32)))</f>
        <v/>
      </c>
      <c r="R788" s="49">
        <f>IF(OR(A788="",D788=""),0,MAX(0,NETWORKDAYS(MAX(D788,DATE(Einstellungen!$C$3,7,1)),MIN(J788,DATE(Einstellungen!$C$3,8,0)),Einstellungen!$F$13:$F$32)))</f>
        <v/>
      </c>
      <c r="S788" s="49">
        <f>IF(OR(A788="",D788=""),0,MAX(0,NETWORKDAYS(MAX(D788,DATE(Einstellungen!$C$3,8,1)),MIN(J788,DATE(Einstellungen!$C$3,9,0)),Einstellungen!$F$13:$F$32)))</f>
        <v/>
      </c>
      <c r="T788" s="49">
        <f>IF(OR(A788="",D788=""),0,MAX(0,NETWORKDAYS(MAX(D788,DATE(Einstellungen!$C$3,9,1)),MIN(J788,DATE(Einstellungen!$C$3,10,0)),Einstellungen!$F$13:$F$32)))</f>
        <v/>
      </c>
      <c r="U788" s="49">
        <f>IF(OR(A788="",D788=""),0,MAX(0,NETWORKDAYS(MAX(D788,DATE(Einstellungen!$C$3,10,1)),MIN(J788,DATE(Einstellungen!$C$3,11,0)),Einstellungen!$F$13:$F$32)))</f>
        <v/>
      </c>
      <c r="V788" s="49">
        <f>IF(OR(A788="",D788=""),0,MAX(0,NETWORKDAYS(MAX(D788,DATE(Einstellungen!$C$3,11,1)),MIN(J788,DATE(Einstellungen!$C$3,12,0)),Einstellungen!$F$13:$F$32)))</f>
        <v/>
      </c>
      <c r="W788" s="49">
        <f>IF(OR(A788="",D788=""),0,MAX(0,NETWORKDAYS(MAX(D788,DATE(Einstellungen!$C$3,12,1)),MIN(J788,DATE(Einstellungen!$C$3,13,0)),Einstellungen!$F$13:$F$32)))</f>
        <v/>
      </c>
      <c r="X788" s="50">
        <f>L788*K788</f>
        <v/>
      </c>
      <c r="Y788" s="50">
        <f>M788*K788</f>
        <v/>
      </c>
      <c r="Z788" s="50">
        <f>N788*K788</f>
        <v/>
      </c>
      <c r="AA788" s="50">
        <f>O788*K788</f>
        <v/>
      </c>
      <c r="AB788" s="50">
        <f>P788*K788</f>
        <v/>
      </c>
      <c r="AC788" s="50">
        <f>Q788*K788</f>
        <v/>
      </c>
      <c r="AD788" s="50">
        <f>R788*K788</f>
        <v/>
      </c>
      <c r="AE788" s="50">
        <f>S788*K788</f>
        <v/>
      </c>
      <c r="AF788" s="50">
        <f>T788*K788</f>
        <v/>
      </c>
      <c r="AG788" s="50">
        <f>U788*K788</f>
        <v/>
      </c>
      <c r="AH788" s="50">
        <f>V788*K788</f>
        <v/>
      </c>
      <c r="AI788" s="50">
        <f>W788*K788</f>
        <v/>
      </c>
    </row>
    <row r="789">
      <c r="A789" s="25" t="n"/>
      <c r="B789" s="45">
        <f>IF(A789="","",IFERROR(INDEX(Mitarbeiter!$B$6:$B$205,MATCH($A789,Mitarbeiter!$A$6:$A$205,0)),"?"))</f>
        <v/>
      </c>
      <c r="C789" s="46" t="n"/>
      <c r="D789" s="26" t="n"/>
      <c r="E789" s="26" t="n"/>
      <c r="F789" s="24">
        <f>IF(A789="","",SUM(L789:W789))</f>
        <v/>
      </c>
      <c r="G789" s="36">
        <f>IF(A789="","",SUM(X789:AI789))</f>
        <v/>
      </c>
      <c r="H789" s="8">
        <f>IF(A789="","",IF(ISNA(MATCH(A789,Mitarbeiter!$A$6:$A$205,0)),"Pers.-Nr. unbekannt",IF(D789="","Von fehlt",IF(AND(C789&lt;&gt;Einstellungen!$C$4,C789&lt;&gt;Einstellungen!$C$5),"Objekt fehlt",IF(J789&lt;D789,"Bis vor Von",IF(D789&lt;INDEX(Mitarbeiter!$C$6:$C$205,MATCH($A789,Mitarbeiter!$A$6:$A$205,0)),"vor Eintritt",IF(AND(INDEX(Mitarbeiter!$D$6:$D$205,MATCH($A789,Mitarbeiter!$A$6:$A$205,0))&lt;&gt;"",D789&gt;INDEX(Mitarbeiter!$D$6:$D$205,MATCH($A789,Mitarbeiter!$A$6:$A$205,0))),"nach Austritt",IF(E789="","offen","ok"))))))))</f>
        <v/>
      </c>
      <c r="J789" s="47">
        <f>IF(A789="","",IF(E789="",Einstellungen!$C$9,E789))</f>
        <v/>
      </c>
      <c r="K789" s="48">
        <f>IF(A789="",0,IFERROR(INDEX(Mitarbeiter!$F$6:$F$205,MATCH($A789,Mitarbeiter!$A$6:$A$205,0)),0))</f>
        <v/>
      </c>
      <c r="L789" s="49">
        <f>IF(OR(A789="",D789=""),0,MAX(0,NETWORKDAYS(MAX(D789,DATE(Einstellungen!$C$3,1,1)),MIN(J789,DATE(Einstellungen!$C$3,2,0)),Einstellungen!$F$13:$F$32)))</f>
        <v/>
      </c>
      <c r="M789" s="49">
        <f>IF(OR(A789="",D789=""),0,MAX(0,NETWORKDAYS(MAX(D789,DATE(Einstellungen!$C$3,2,1)),MIN(J789,DATE(Einstellungen!$C$3,3,0)),Einstellungen!$F$13:$F$32)))</f>
        <v/>
      </c>
      <c r="N789" s="49">
        <f>IF(OR(A789="",D789=""),0,MAX(0,NETWORKDAYS(MAX(D789,DATE(Einstellungen!$C$3,3,1)),MIN(J789,DATE(Einstellungen!$C$3,4,0)),Einstellungen!$F$13:$F$32)))</f>
        <v/>
      </c>
      <c r="O789" s="49">
        <f>IF(OR(A789="",D789=""),0,MAX(0,NETWORKDAYS(MAX(D789,DATE(Einstellungen!$C$3,4,1)),MIN(J789,DATE(Einstellungen!$C$3,5,0)),Einstellungen!$F$13:$F$32)))</f>
        <v/>
      </c>
      <c r="P789" s="49">
        <f>IF(OR(A789="",D789=""),0,MAX(0,NETWORKDAYS(MAX(D789,DATE(Einstellungen!$C$3,5,1)),MIN(J789,DATE(Einstellungen!$C$3,6,0)),Einstellungen!$F$13:$F$32)))</f>
        <v/>
      </c>
      <c r="Q789" s="49">
        <f>IF(OR(A789="",D789=""),0,MAX(0,NETWORKDAYS(MAX(D789,DATE(Einstellungen!$C$3,6,1)),MIN(J789,DATE(Einstellungen!$C$3,7,0)),Einstellungen!$F$13:$F$32)))</f>
        <v/>
      </c>
      <c r="R789" s="49">
        <f>IF(OR(A789="",D789=""),0,MAX(0,NETWORKDAYS(MAX(D789,DATE(Einstellungen!$C$3,7,1)),MIN(J789,DATE(Einstellungen!$C$3,8,0)),Einstellungen!$F$13:$F$32)))</f>
        <v/>
      </c>
      <c r="S789" s="49">
        <f>IF(OR(A789="",D789=""),0,MAX(0,NETWORKDAYS(MAX(D789,DATE(Einstellungen!$C$3,8,1)),MIN(J789,DATE(Einstellungen!$C$3,9,0)),Einstellungen!$F$13:$F$32)))</f>
        <v/>
      </c>
      <c r="T789" s="49">
        <f>IF(OR(A789="",D789=""),0,MAX(0,NETWORKDAYS(MAX(D789,DATE(Einstellungen!$C$3,9,1)),MIN(J789,DATE(Einstellungen!$C$3,10,0)),Einstellungen!$F$13:$F$32)))</f>
        <v/>
      </c>
      <c r="U789" s="49">
        <f>IF(OR(A789="",D789=""),0,MAX(0,NETWORKDAYS(MAX(D789,DATE(Einstellungen!$C$3,10,1)),MIN(J789,DATE(Einstellungen!$C$3,11,0)),Einstellungen!$F$13:$F$32)))</f>
        <v/>
      </c>
      <c r="V789" s="49">
        <f>IF(OR(A789="",D789=""),0,MAX(0,NETWORKDAYS(MAX(D789,DATE(Einstellungen!$C$3,11,1)),MIN(J789,DATE(Einstellungen!$C$3,12,0)),Einstellungen!$F$13:$F$32)))</f>
        <v/>
      </c>
      <c r="W789" s="49">
        <f>IF(OR(A789="",D789=""),0,MAX(0,NETWORKDAYS(MAX(D789,DATE(Einstellungen!$C$3,12,1)),MIN(J789,DATE(Einstellungen!$C$3,13,0)),Einstellungen!$F$13:$F$32)))</f>
        <v/>
      </c>
      <c r="X789" s="50">
        <f>L789*K789</f>
        <v/>
      </c>
      <c r="Y789" s="50">
        <f>M789*K789</f>
        <v/>
      </c>
      <c r="Z789" s="50">
        <f>N789*K789</f>
        <v/>
      </c>
      <c r="AA789" s="50">
        <f>O789*K789</f>
        <v/>
      </c>
      <c r="AB789" s="50">
        <f>P789*K789</f>
        <v/>
      </c>
      <c r="AC789" s="50">
        <f>Q789*K789</f>
        <v/>
      </c>
      <c r="AD789" s="50">
        <f>R789*K789</f>
        <v/>
      </c>
      <c r="AE789" s="50">
        <f>S789*K789</f>
        <v/>
      </c>
      <c r="AF789" s="50">
        <f>T789*K789</f>
        <v/>
      </c>
      <c r="AG789" s="50">
        <f>U789*K789</f>
        <v/>
      </c>
      <c r="AH789" s="50">
        <f>V789*K789</f>
        <v/>
      </c>
      <c r="AI789" s="50">
        <f>W789*K789</f>
        <v/>
      </c>
    </row>
    <row r="790">
      <c r="A790" s="25" t="n"/>
      <c r="B790" s="45">
        <f>IF(A790="","",IFERROR(INDEX(Mitarbeiter!$B$6:$B$205,MATCH($A790,Mitarbeiter!$A$6:$A$205,0)),"?"))</f>
        <v/>
      </c>
      <c r="C790" s="46" t="n"/>
      <c r="D790" s="26" t="n"/>
      <c r="E790" s="26" t="n"/>
      <c r="F790" s="24">
        <f>IF(A790="","",SUM(L790:W790))</f>
        <v/>
      </c>
      <c r="G790" s="36">
        <f>IF(A790="","",SUM(X790:AI790))</f>
        <v/>
      </c>
      <c r="H790" s="8">
        <f>IF(A790="","",IF(ISNA(MATCH(A790,Mitarbeiter!$A$6:$A$205,0)),"Pers.-Nr. unbekannt",IF(D790="","Von fehlt",IF(AND(C790&lt;&gt;Einstellungen!$C$4,C790&lt;&gt;Einstellungen!$C$5),"Objekt fehlt",IF(J790&lt;D790,"Bis vor Von",IF(D790&lt;INDEX(Mitarbeiter!$C$6:$C$205,MATCH($A790,Mitarbeiter!$A$6:$A$205,0)),"vor Eintritt",IF(AND(INDEX(Mitarbeiter!$D$6:$D$205,MATCH($A790,Mitarbeiter!$A$6:$A$205,0))&lt;&gt;"",D790&gt;INDEX(Mitarbeiter!$D$6:$D$205,MATCH($A790,Mitarbeiter!$A$6:$A$205,0))),"nach Austritt",IF(E790="","offen","ok"))))))))</f>
        <v/>
      </c>
      <c r="J790" s="47">
        <f>IF(A790="","",IF(E790="",Einstellungen!$C$9,E790))</f>
        <v/>
      </c>
      <c r="K790" s="48">
        <f>IF(A790="",0,IFERROR(INDEX(Mitarbeiter!$F$6:$F$205,MATCH($A790,Mitarbeiter!$A$6:$A$205,0)),0))</f>
        <v/>
      </c>
      <c r="L790" s="49">
        <f>IF(OR(A790="",D790=""),0,MAX(0,NETWORKDAYS(MAX(D790,DATE(Einstellungen!$C$3,1,1)),MIN(J790,DATE(Einstellungen!$C$3,2,0)),Einstellungen!$F$13:$F$32)))</f>
        <v/>
      </c>
      <c r="M790" s="49">
        <f>IF(OR(A790="",D790=""),0,MAX(0,NETWORKDAYS(MAX(D790,DATE(Einstellungen!$C$3,2,1)),MIN(J790,DATE(Einstellungen!$C$3,3,0)),Einstellungen!$F$13:$F$32)))</f>
        <v/>
      </c>
      <c r="N790" s="49">
        <f>IF(OR(A790="",D790=""),0,MAX(0,NETWORKDAYS(MAX(D790,DATE(Einstellungen!$C$3,3,1)),MIN(J790,DATE(Einstellungen!$C$3,4,0)),Einstellungen!$F$13:$F$32)))</f>
        <v/>
      </c>
      <c r="O790" s="49">
        <f>IF(OR(A790="",D790=""),0,MAX(0,NETWORKDAYS(MAX(D790,DATE(Einstellungen!$C$3,4,1)),MIN(J790,DATE(Einstellungen!$C$3,5,0)),Einstellungen!$F$13:$F$32)))</f>
        <v/>
      </c>
      <c r="P790" s="49">
        <f>IF(OR(A790="",D790=""),0,MAX(0,NETWORKDAYS(MAX(D790,DATE(Einstellungen!$C$3,5,1)),MIN(J790,DATE(Einstellungen!$C$3,6,0)),Einstellungen!$F$13:$F$32)))</f>
        <v/>
      </c>
      <c r="Q790" s="49">
        <f>IF(OR(A790="",D790=""),0,MAX(0,NETWORKDAYS(MAX(D790,DATE(Einstellungen!$C$3,6,1)),MIN(J790,DATE(Einstellungen!$C$3,7,0)),Einstellungen!$F$13:$F$32)))</f>
        <v/>
      </c>
      <c r="R790" s="49">
        <f>IF(OR(A790="",D790=""),0,MAX(0,NETWORKDAYS(MAX(D790,DATE(Einstellungen!$C$3,7,1)),MIN(J790,DATE(Einstellungen!$C$3,8,0)),Einstellungen!$F$13:$F$32)))</f>
        <v/>
      </c>
      <c r="S790" s="49">
        <f>IF(OR(A790="",D790=""),0,MAX(0,NETWORKDAYS(MAX(D790,DATE(Einstellungen!$C$3,8,1)),MIN(J790,DATE(Einstellungen!$C$3,9,0)),Einstellungen!$F$13:$F$32)))</f>
        <v/>
      </c>
      <c r="T790" s="49">
        <f>IF(OR(A790="",D790=""),0,MAX(0,NETWORKDAYS(MAX(D790,DATE(Einstellungen!$C$3,9,1)),MIN(J790,DATE(Einstellungen!$C$3,10,0)),Einstellungen!$F$13:$F$32)))</f>
        <v/>
      </c>
      <c r="U790" s="49">
        <f>IF(OR(A790="",D790=""),0,MAX(0,NETWORKDAYS(MAX(D790,DATE(Einstellungen!$C$3,10,1)),MIN(J790,DATE(Einstellungen!$C$3,11,0)),Einstellungen!$F$13:$F$32)))</f>
        <v/>
      </c>
      <c r="V790" s="49">
        <f>IF(OR(A790="",D790=""),0,MAX(0,NETWORKDAYS(MAX(D790,DATE(Einstellungen!$C$3,11,1)),MIN(J790,DATE(Einstellungen!$C$3,12,0)),Einstellungen!$F$13:$F$32)))</f>
        <v/>
      </c>
      <c r="W790" s="49">
        <f>IF(OR(A790="",D790=""),0,MAX(0,NETWORKDAYS(MAX(D790,DATE(Einstellungen!$C$3,12,1)),MIN(J790,DATE(Einstellungen!$C$3,13,0)),Einstellungen!$F$13:$F$32)))</f>
        <v/>
      </c>
      <c r="X790" s="50">
        <f>L790*K790</f>
        <v/>
      </c>
      <c r="Y790" s="50">
        <f>M790*K790</f>
        <v/>
      </c>
      <c r="Z790" s="50">
        <f>N790*K790</f>
        <v/>
      </c>
      <c r="AA790" s="50">
        <f>O790*K790</f>
        <v/>
      </c>
      <c r="AB790" s="50">
        <f>P790*K790</f>
        <v/>
      </c>
      <c r="AC790" s="50">
        <f>Q790*K790</f>
        <v/>
      </c>
      <c r="AD790" s="50">
        <f>R790*K790</f>
        <v/>
      </c>
      <c r="AE790" s="50">
        <f>S790*K790</f>
        <v/>
      </c>
      <c r="AF790" s="50">
        <f>T790*K790</f>
        <v/>
      </c>
      <c r="AG790" s="50">
        <f>U790*K790</f>
        <v/>
      </c>
      <c r="AH790" s="50">
        <f>V790*K790</f>
        <v/>
      </c>
      <c r="AI790" s="50">
        <f>W790*K790</f>
        <v/>
      </c>
    </row>
    <row r="791">
      <c r="A791" s="25" t="n"/>
      <c r="B791" s="45">
        <f>IF(A791="","",IFERROR(INDEX(Mitarbeiter!$B$6:$B$205,MATCH($A791,Mitarbeiter!$A$6:$A$205,0)),"?"))</f>
        <v/>
      </c>
      <c r="C791" s="46" t="n"/>
      <c r="D791" s="26" t="n"/>
      <c r="E791" s="26" t="n"/>
      <c r="F791" s="24">
        <f>IF(A791="","",SUM(L791:W791))</f>
        <v/>
      </c>
      <c r="G791" s="36">
        <f>IF(A791="","",SUM(X791:AI791))</f>
        <v/>
      </c>
      <c r="H791" s="8">
        <f>IF(A791="","",IF(ISNA(MATCH(A791,Mitarbeiter!$A$6:$A$205,0)),"Pers.-Nr. unbekannt",IF(D791="","Von fehlt",IF(AND(C791&lt;&gt;Einstellungen!$C$4,C791&lt;&gt;Einstellungen!$C$5),"Objekt fehlt",IF(J791&lt;D791,"Bis vor Von",IF(D791&lt;INDEX(Mitarbeiter!$C$6:$C$205,MATCH($A791,Mitarbeiter!$A$6:$A$205,0)),"vor Eintritt",IF(AND(INDEX(Mitarbeiter!$D$6:$D$205,MATCH($A791,Mitarbeiter!$A$6:$A$205,0))&lt;&gt;"",D791&gt;INDEX(Mitarbeiter!$D$6:$D$205,MATCH($A791,Mitarbeiter!$A$6:$A$205,0))),"nach Austritt",IF(E791="","offen","ok"))))))))</f>
        <v/>
      </c>
      <c r="J791" s="47">
        <f>IF(A791="","",IF(E791="",Einstellungen!$C$9,E791))</f>
        <v/>
      </c>
      <c r="K791" s="48">
        <f>IF(A791="",0,IFERROR(INDEX(Mitarbeiter!$F$6:$F$205,MATCH($A791,Mitarbeiter!$A$6:$A$205,0)),0))</f>
        <v/>
      </c>
      <c r="L791" s="49">
        <f>IF(OR(A791="",D791=""),0,MAX(0,NETWORKDAYS(MAX(D791,DATE(Einstellungen!$C$3,1,1)),MIN(J791,DATE(Einstellungen!$C$3,2,0)),Einstellungen!$F$13:$F$32)))</f>
        <v/>
      </c>
      <c r="M791" s="49">
        <f>IF(OR(A791="",D791=""),0,MAX(0,NETWORKDAYS(MAX(D791,DATE(Einstellungen!$C$3,2,1)),MIN(J791,DATE(Einstellungen!$C$3,3,0)),Einstellungen!$F$13:$F$32)))</f>
        <v/>
      </c>
      <c r="N791" s="49">
        <f>IF(OR(A791="",D791=""),0,MAX(0,NETWORKDAYS(MAX(D791,DATE(Einstellungen!$C$3,3,1)),MIN(J791,DATE(Einstellungen!$C$3,4,0)),Einstellungen!$F$13:$F$32)))</f>
        <v/>
      </c>
      <c r="O791" s="49">
        <f>IF(OR(A791="",D791=""),0,MAX(0,NETWORKDAYS(MAX(D791,DATE(Einstellungen!$C$3,4,1)),MIN(J791,DATE(Einstellungen!$C$3,5,0)),Einstellungen!$F$13:$F$32)))</f>
        <v/>
      </c>
      <c r="P791" s="49">
        <f>IF(OR(A791="",D791=""),0,MAX(0,NETWORKDAYS(MAX(D791,DATE(Einstellungen!$C$3,5,1)),MIN(J791,DATE(Einstellungen!$C$3,6,0)),Einstellungen!$F$13:$F$32)))</f>
        <v/>
      </c>
      <c r="Q791" s="49">
        <f>IF(OR(A791="",D791=""),0,MAX(0,NETWORKDAYS(MAX(D791,DATE(Einstellungen!$C$3,6,1)),MIN(J791,DATE(Einstellungen!$C$3,7,0)),Einstellungen!$F$13:$F$32)))</f>
        <v/>
      </c>
      <c r="R791" s="49">
        <f>IF(OR(A791="",D791=""),0,MAX(0,NETWORKDAYS(MAX(D791,DATE(Einstellungen!$C$3,7,1)),MIN(J791,DATE(Einstellungen!$C$3,8,0)),Einstellungen!$F$13:$F$32)))</f>
        <v/>
      </c>
      <c r="S791" s="49">
        <f>IF(OR(A791="",D791=""),0,MAX(0,NETWORKDAYS(MAX(D791,DATE(Einstellungen!$C$3,8,1)),MIN(J791,DATE(Einstellungen!$C$3,9,0)),Einstellungen!$F$13:$F$32)))</f>
        <v/>
      </c>
      <c r="T791" s="49">
        <f>IF(OR(A791="",D791=""),0,MAX(0,NETWORKDAYS(MAX(D791,DATE(Einstellungen!$C$3,9,1)),MIN(J791,DATE(Einstellungen!$C$3,10,0)),Einstellungen!$F$13:$F$32)))</f>
        <v/>
      </c>
      <c r="U791" s="49">
        <f>IF(OR(A791="",D791=""),0,MAX(0,NETWORKDAYS(MAX(D791,DATE(Einstellungen!$C$3,10,1)),MIN(J791,DATE(Einstellungen!$C$3,11,0)),Einstellungen!$F$13:$F$32)))</f>
        <v/>
      </c>
      <c r="V791" s="49">
        <f>IF(OR(A791="",D791=""),0,MAX(0,NETWORKDAYS(MAX(D791,DATE(Einstellungen!$C$3,11,1)),MIN(J791,DATE(Einstellungen!$C$3,12,0)),Einstellungen!$F$13:$F$32)))</f>
        <v/>
      </c>
      <c r="W791" s="49">
        <f>IF(OR(A791="",D791=""),0,MAX(0,NETWORKDAYS(MAX(D791,DATE(Einstellungen!$C$3,12,1)),MIN(J791,DATE(Einstellungen!$C$3,13,0)),Einstellungen!$F$13:$F$32)))</f>
        <v/>
      </c>
      <c r="X791" s="50">
        <f>L791*K791</f>
        <v/>
      </c>
      <c r="Y791" s="50">
        <f>M791*K791</f>
        <v/>
      </c>
      <c r="Z791" s="50">
        <f>N791*K791</f>
        <v/>
      </c>
      <c r="AA791" s="50">
        <f>O791*K791</f>
        <v/>
      </c>
      <c r="AB791" s="50">
        <f>P791*K791</f>
        <v/>
      </c>
      <c r="AC791" s="50">
        <f>Q791*K791</f>
        <v/>
      </c>
      <c r="AD791" s="50">
        <f>R791*K791</f>
        <v/>
      </c>
      <c r="AE791" s="50">
        <f>S791*K791</f>
        <v/>
      </c>
      <c r="AF791" s="50">
        <f>T791*K791</f>
        <v/>
      </c>
      <c r="AG791" s="50">
        <f>U791*K791</f>
        <v/>
      </c>
      <c r="AH791" s="50">
        <f>V791*K791</f>
        <v/>
      </c>
      <c r="AI791" s="50">
        <f>W791*K791</f>
        <v/>
      </c>
    </row>
    <row r="792">
      <c r="A792" s="25" t="n"/>
      <c r="B792" s="45">
        <f>IF(A792="","",IFERROR(INDEX(Mitarbeiter!$B$6:$B$205,MATCH($A792,Mitarbeiter!$A$6:$A$205,0)),"?"))</f>
        <v/>
      </c>
      <c r="C792" s="46" t="n"/>
      <c r="D792" s="26" t="n"/>
      <c r="E792" s="26" t="n"/>
      <c r="F792" s="24">
        <f>IF(A792="","",SUM(L792:W792))</f>
        <v/>
      </c>
      <c r="G792" s="36">
        <f>IF(A792="","",SUM(X792:AI792))</f>
        <v/>
      </c>
      <c r="H792" s="8">
        <f>IF(A792="","",IF(ISNA(MATCH(A792,Mitarbeiter!$A$6:$A$205,0)),"Pers.-Nr. unbekannt",IF(D792="","Von fehlt",IF(AND(C792&lt;&gt;Einstellungen!$C$4,C792&lt;&gt;Einstellungen!$C$5),"Objekt fehlt",IF(J792&lt;D792,"Bis vor Von",IF(D792&lt;INDEX(Mitarbeiter!$C$6:$C$205,MATCH($A792,Mitarbeiter!$A$6:$A$205,0)),"vor Eintritt",IF(AND(INDEX(Mitarbeiter!$D$6:$D$205,MATCH($A792,Mitarbeiter!$A$6:$A$205,0))&lt;&gt;"",D792&gt;INDEX(Mitarbeiter!$D$6:$D$205,MATCH($A792,Mitarbeiter!$A$6:$A$205,0))),"nach Austritt",IF(E792="","offen","ok"))))))))</f>
        <v/>
      </c>
      <c r="J792" s="47">
        <f>IF(A792="","",IF(E792="",Einstellungen!$C$9,E792))</f>
        <v/>
      </c>
      <c r="K792" s="48">
        <f>IF(A792="",0,IFERROR(INDEX(Mitarbeiter!$F$6:$F$205,MATCH($A792,Mitarbeiter!$A$6:$A$205,0)),0))</f>
        <v/>
      </c>
      <c r="L792" s="49">
        <f>IF(OR(A792="",D792=""),0,MAX(0,NETWORKDAYS(MAX(D792,DATE(Einstellungen!$C$3,1,1)),MIN(J792,DATE(Einstellungen!$C$3,2,0)),Einstellungen!$F$13:$F$32)))</f>
        <v/>
      </c>
      <c r="M792" s="49">
        <f>IF(OR(A792="",D792=""),0,MAX(0,NETWORKDAYS(MAX(D792,DATE(Einstellungen!$C$3,2,1)),MIN(J792,DATE(Einstellungen!$C$3,3,0)),Einstellungen!$F$13:$F$32)))</f>
        <v/>
      </c>
      <c r="N792" s="49">
        <f>IF(OR(A792="",D792=""),0,MAX(0,NETWORKDAYS(MAX(D792,DATE(Einstellungen!$C$3,3,1)),MIN(J792,DATE(Einstellungen!$C$3,4,0)),Einstellungen!$F$13:$F$32)))</f>
        <v/>
      </c>
      <c r="O792" s="49">
        <f>IF(OR(A792="",D792=""),0,MAX(0,NETWORKDAYS(MAX(D792,DATE(Einstellungen!$C$3,4,1)),MIN(J792,DATE(Einstellungen!$C$3,5,0)),Einstellungen!$F$13:$F$32)))</f>
        <v/>
      </c>
      <c r="P792" s="49">
        <f>IF(OR(A792="",D792=""),0,MAX(0,NETWORKDAYS(MAX(D792,DATE(Einstellungen!$C$3,5,1)),MIN(J792,DATE(Einstellungen!$C$3,6,0)),Einstellungen!$F$13:$F$32)))</f>
        <v/>
      </c>
      <c r="Q792" s="49">
        <f>IF(OR(A792="",D792=""),0,MAX(0,NETWORKDAYS(MAX(D792,DATE(Einstellungen!$C$3,6,1)),MIN(J792,DATE(Einstellungen!$C$3,7,0)),Einstellungen!$F$13:$F$32)))</f>
        <v/>
      </c>
      <c r="R792" s="49">
        <f>IF(OR(A792="",D792=""),0,MAX(0,NETWORKDAYS(MAX(D792,DATE(Einstellungen!$C$3,7,1)),MIN(J792,DATE(Einstellungen!$C$3,8,0)),Einstellungen!$F$13:$F$32)))</f>
        <v/>
      </c>
      <c r="S792" s="49">
        <f>IF(OR(A792="",D792=""),0,MAX(0,NETWORKDAYS(MAX(D792,DATE(Einstellungen!$C$3,8,1)),MIN(J792,DATE(Einstellungen!$C$3,9,0)),Einstellungen!$F$13:$F$32)))</f>
        <v/>
      </c>
      <c r="T792" s="49">
        <f>IF(OR(A792="",D792=""),0,MAX(0,NETWORKDAYS(MAX(D792,DATE(Einstellungen!$C$3,9,1)),MIN(J792,DATE(Einstellungen!$C$3,10,0)),Einstellungen!$F$13:$F$32)))</f>
        <v/>
      </c>
      <c r="U792" s="49">
        <f>IF(OR(A792="",D792=""),0,MAX(0,NETWORKDAYS(MAX(D792,DATE(Einstellungen!$C$3,10,1)),MIN(J792,DATE(Einstellungen!$C$3,11,0)),Einstellungen!$F$13:$F$32)))</f>
        <v/>
      </c>
      <c r="V792" s="49">
        <f>IF(OR(A792="",D792=""),0,MAX(0,NETWORKDAYS(MAX(D792,DATE(Einstellungen!$C$3,11,1)),MIN(J792,DATE(Einstellungen!$C$3,12,0)),Einstellungen!$F$13:$F$32)))</f>
        <v/>
      </c>
      <c r="W792" s="49">
        <f>IF(OR(A792="",D792=""),0,MAX(0,NETWORKDAYS(MAX(D792,DATE(Einstellungen!$C$3,12,1)),MIN(J792,DATE(Einstellungen!$C$3,13,0)),Einstellungen!$F$13:$F$32)))</f>
        <v/>
      </c>
      <c r="X792" s="50">
        <f>L792*K792</f>
        <v/>
      </c>
      <c r="Y792" s="50">
        <f>M792*K792</f>
        <v/>
      </c>
      <c r="Z792" s="50">
        <f>N792*K792</f>
        <v/>
      </c>
      <c r="AA792" s="50">
        <f>O792*K792</f>
        <v/>
      </c>
      <c r="AB792" s="50">
        <f>P792*K792</f>
        <v/>
      </c>
      <c r="AC792" s="50">
        <f>Q792*K792</f>
        <v/>
      </c>
      <c r="AD792" s="50">
        <f>R792*K792</f>
        <v/>
      </c>
      <c r="AE792" s="50">
        <f>S792*K792</f>
        <v/>
      </c>
      <c r="AF792" s="50">
        <f>T792*K792</f>
        <v/>
      </c>
      <c r="AG792" s="50">
        <f>U792*K792</f>
        <v/>
      </c>
      <c r="AH792" s="50">
        <f>V792*K792</f>
        <v/>
      </c>
      <c r="AI792" s="50">
        <f>W792*K792</f>
        <v/>
      </c>
    </row>
    <row r="793">
      <c r="A793" s="25" t="n"/>
      <c r="B793" s="45">
        <f>IF(A793="","",IFERROR(INDEX(Mitarbeiter!$B$6:$B$205,MATCH($A793,Mitarbeiter!$A$6:$A$205,0)),"?"))</f>
        <v/>
      </c>
      <c r="C793" s="46" t="n"/>
      <c r="D793" s="26" t="n"/>
      <c r="E793" s="26" t="n"/>
      <c r="F793" s="24">
        <f>IF(A793="","",SUM(L793:W793))</f>
        <v/>
      </c>
      <c r="G793" s="36">
        <f>IF(A793="","",SUM(X793:AI793))</f>
        <v/>
      </c>
      <c r="H793" s="8">
        <f>IF(A793="","",IF(ISNA(MATCH(A793,Mitarbeiter!$A$6:$A$205,0)),"Pers.-Nr. unbekannt",IF(D793="","Von fehlt",IF(AND(C793&lt;&gt;Einstellungen!$C$4,C793&lt;&gt;Einstellungen!$C$5),"Objekt fehlt",IF(J793&lt;D793,"Bis vor Von",IF(D793&lt;INDEX(Mitarbeiter!$C$6:$C$205,MATCH($A793,Mitarbeiter!$A$6:$A$205,0)),"vor Eintritt",IF(AND(INDEX(Mitarbeiter!$D$6:$D$205,MATCH($A793,Mitarbeiter!$A$6:$A$205,0))&lt;&gt;"",D793&gt;INDEX(Mitarbeiter!$D$6:$D$205,MATCH($A793,Mitarbeiter!$A$6:$A$205,0))),"nach Austritt",IF(E793="","offen","ok"))))))))</f>
        <v/>
      </c>
      <c r="J793" s="47">
        <f>IF(A793="","",IF(E793="",Einstellungen!$C$9,E793))</f>
        <v/>
      </c>
      <c r="K793" s="48">
        <f>IF(A793="",0,IFERROR(INDEX(Mitarbeiter!$F$6:$F$205,MATCH($A793,Mitarbeiter!$A$6:$A$205,0)),0))</f>
        <v/>
      </c>
      <c r="L793" s="49">
        <f>IF(OR(A793="",D793=""),0,MAX(0,NETWORKDAYS(MAX(D793,DATE(Einstellungen!$C$3,1,1)),MIN(J793,DATE(Einstellungen!$C$3,2,0)),Einstellungen!$F$13:$F$32)))</f>
        <v/>
      </c>
      <c r="M793" s="49">
        <f>IF(OR(A793="",D793=""),0,MAX(0,NETWORKDAYS(MAX(D793,DATE(Einstellungen!$C$3,2,1)),MIN(J793,DATE(Einstellungen!$C$3,3,0)),Einstellungen!$F$13:$F$32)))</f>
        <v/>
      </c>
      <c r="N793" s="49">
        <f>IF(OR(A793="",D793=""),0,MAX(0,NETWORKDAYS(MAX(D793,DATE(Einstellungen!$C$3,3,1)),MIN(J793,DATE(Einstellungen!$C$3,4,0)),Einstellungen!$F$13:$F$32)))</f>
        <v/>
      </c>
      <c r="O793" s="49">
        <f>IF(OR(A793="",D793=""),0,MAX(0,NETWORKDAYS(MAX(D793,DATE(Einstellungen!$C$3,4,1)),MIN(J793,DATE(Einstellungen!$C$3,5,0)),Einstellungen!$F$13:$F$32)))</f>
        <v/>
      </c>
      <c r="P793" s="49">
        <f>IF(OR(A793="",D793=""),0,MAX(0,NETWORKDAYS(MAX(D793,DATE(Einstellungen!$C$3,5,1)),MIN(J793,DATE(Einstellungen!$C$3,6,0)),Einstellungen!$F$13:$F$32)))</f>
        <v/>
      </c>
      <c r="Q793" s="49">
        <f>IF(OR(A793="",D793=""),0,MAX(0,NETWORKDAYS(MAX(D793,DATE(Einstellungen!$C$3,6,1)),MIN(J793,DATE(Einstellungen!$C$3,7,0)),Einstellungen!$F$13:$F$32)))</f>
        <v/>
      </c>
      <c r="R793" s="49">
        <f>IF(OR(A793="",D793=""),0,MAX(0,NETWORKDAYS(MAX(D793,DATE(Einstellungen!$C$3,7,1)),MIN(J793,DATE(Einstellungen!$C$3,8,0)),Einstellungen!$F$13:$F$32)))</f>
        <v/>
      </c>
      <c r="S793" s="49">
        <f>IF(OR(A793="",D793=""),0,MAX(0,NETWORKDAYS(MAX(D793,DATE(Einstellungen!$C$3,8,1)),MIN(J793,DATE(Einstellungen!$C$3,9,0)),Einstellungen!$F$13:$F$32)))</f>
        <v/>
      </c>
      <c r="T793" s="49">
        <f>IF(OR(A793="",D793=""),0,MAX(0,NETWORKDAYS(MAX(D793,DATE(Einstellungen!$C$3,9,1)),MIN(J793,DATE(Einstellungen!$C$3,10,0)),Einstellungen!$F$13:$F$32)))</f>
        <v/>
      </c>
      <c r="U793" s="49">
        <f>IF(OR(A793="",D793=""),0,MAX(0,NETWORKDAYS(MAX(D793,DATE(Einstellungen!$C$3,10,1)),MIN(J793,DATE(Einstellungen!$C$3,11,0)),Einstellungen!$F$13:$F$32)))</f>
        <v/>
      </c>
      <c r="V793" s="49">
        <f>IF(OR(A793="",D793=""),0,MAX(0,NETWORKDAYS(MAX(D793,DATE(Einstellungen!$C$3,11,1)),MIN(J793,DATE(Einstellungen!$C$3,12,0)),Einstellungen!$F$13:$F$32)))</f>
        <v/>
      </c>
      <c r="W793" s="49">
        <f>IF(OR(A793="",D793=""),0,MAX(0,NETWORKDAYS(MAX(D793,DATE(Einstellungen!$C$3,12,1)),MIN(J793,DATE(Einstellungen!$C$3,13,0)),Einstellungen!$F$13:$F$32)))</f>
        <v/>
      </c>
      <c r="X793" s="50">
        <f>L793*K793</f>
        <v/>
      </c>
      <c r="Y793" s="50">
        <f>M793*K793</f>
        <v/>
      </c>
      <c r="Z793" s="50">
        <f>N793*K793</f>
        <v/>
      </c>
      <c r="AA793" s="50">
        <f>O793*K793</f>
        <v/>
      </c>
      <c r="AB793" s="50">
        <f>P793*K793</f>
        <v/>
      </c>
      <c r="AC793" s="50">
        <f>Q793*K793</f>
        <v/>
      </c>
      <c r="AD793" s="50">
        <f>R793*K793</f>
        <v/>
      </c>
      <c r="AE793" s="50">
        <f>S793*K793</f>
        <v/>
      </c>
      <c r="AF793" s="50">
        <f>T793*K793</f>
        <v/>
      </c>
      <c r="AG793" s="50">
        <f>U793*K793</f>
        <v/>
      </c>
      <c r="AH793" s="50">
        <f>V793*K793</f>
        <v/>
      </c>
      <c r="AI793" s="50">
        <f>W793*K793</f>
        <v/>
      </c>
    </row>
    <row r="794">
      <c r="A794" s="25" t="n"/>
      <c r="B794" s="45">
        <f>IF(A794="","",IFERROR(INDEX(Mitarbeiter!$B$6:$B$205,MATCH($A794,Mitarbeiter!$A$6:$A$205,0)),"?"))</f>
        <v/>
      </c>
      <c r="C794" s="46" t="n"/>
      <c r="D794" s="26" t="n"/>
      <c r="E794" s="26" t="n"/>
      <c r="F794" s="24">
        <f>IF(A794="","",SUM(L794:W794))</f>
        <v/>
      </c>
      <c r="G794" s="36">
        <f>IF(A794="","",SUM(X794:AI794))</f>
        <v/>
      </c>
      <c r="H794" s="8">
        <f>IF(A794="","",IF(ISNA(MATCH(A794,Mitarbeiter!$A$6:$A$205,0)),"Pers.-Nr. unbekannt",IF(D794="","Von fehlt",IF(AND(C794&lt;&gt;Einstellungen!$C$4,C794&lt;&gt;Einstellungen!$C$5),"Objekt fehlt",IF(J794&lt;D794,"Bis vor Von",IF(D794&lt;INDEX(Mitarbeiter!$C$6:$C$205,MATCH($A794,Mitarbeiter!$A$6:$A$205,0)),"vor Eintritt",IF(AND(INDEX(Mitarbeiter!$D$6:$D$205,MATCH($A794,Mitarbeiter!$A$6:$A$205,0))&lt;&gt;"",D794&gt;INDEX(Mitarbeiter!$D$6:$D$205,MATCH($A794,Mitarbeiter!$A$6:$A$205,0))),"nach Austritt",IF(E794="","offen","ok"))))))))</f>
        <v/>
      </c>
      <c r="J794" s="47">
        <f>IF(A794="","",IF(E794="",Einstellungen!$C$9,E794))</f>
        <v/>
      </c>
      <c r="K794" s="48">
        <f>IF(A794="",0,IFERROR(INDEX(Mitarbeiter!$F$6:$F$205,MATCH($A794,Mitarbeiter!$A$6:$A$205,0)),0))</f>
        <v/>
      </c>
      <c r="L794" s="49">
        <f>IF(OR(A794="",D794=""),0,MAX(0,NETWORKDAYS(MAX(D794,DATE(Einstellungen!$C$3,1,1)),MIN(J794,DATE(Einstellungen!$C$3,2,0)),Einstellungen!$F$13:$F$32)))</f>
        <v/>
      </c>
      <c r="M794" s="49">
        <f>IF(OR(A794="",D794=""),0,MAX(0,NETWORKDAYS(MAX(D794,DATE(Einstellungen!$C$3,2,1)),MIN(J794,DATE(Einstellungen!$C$3,3,0)),Einstellungen!$F$13:$F$32)))</f>
        <v/>
      </c>
      <c r="N794" s="49">
        <f>IF(OR(A794="",D794=""),0,MAX(0,NETWORKDAYS(MAX(D794,DATE(Einstellungen!$C$3,3,1)),MIN(J794,DATE(Einstellungen!$C$3,4,0)),Einstellungen!$F$13:$F$32)))</f>
        <v/>
      </c>
      <c r="O794" s="49">
        <f>IF(OR(A794="",D794=""),0,MAX(0,NETWORKDAYS(MAX(D794,DATE(Einstellungen!$C$3,4,1)),MIN(J794,DATE(Einstellungen!$C$3,5,0)),Einstellungen!$F$13:$F$32)))</f>
        <v/>
      </c>
      <c r="P794" s="49">
        <f>IF(OR(A794="",D794=""),0,MAX(0,NETWORKDAYS(MAX(D794,DATE(Einstellungen!$C$3,5,1)),MIN(J794,DATE(Einstellungen!$C$3,6,0)),Einstellungen!$F$13:$F$32)))</f>
        <v/>
      </c>
      <c r="Q794" s="49">
        <f>IF(OR(A794="",D794=""),0,MAX(0,NETWORKDAYS(MAX(D794,DATE(Einstellungen!$C$3,6,1)),MIN(J794,DATE(Einstellungen!$C$3,7,0)),Einstellungen!$F$13:$F$32)))</f>
        <v/>
      </c>
      <c r="R794" s="49">
        <f>IF(OR(A794="",D794=""),0,MAX(0,NETWORKDAYS(MAX(D794,DATE(Einstellungen!$C$3,7,1)),MIN(J794,DATE(Einstellungen!$C$3,8,0)),Einstellungen!$F$13:$F$32)))</f>
        <v/>
      </c>
      <c r="S794" s="49">
        <f>IF(OR(A794="",D794=""),0,MAX(0,NETWORKDAYS(MAX(D794,DATE(Einstellungen!$C$3,8,1)),MIN(J794,DATE(Einstellungen!$C$3,9,0)),Einstellungen!$F$13:$F$32)))</f>
        <v/>
      </c>
      <c r="T794" s="49">
        <f>IF(OR(A794="",D794=""),0,MAX(0,NETWORKDAYS(MAX(D794,DATE(Einstellungen!$C$3,9,1)),MIN(J794,DATE(Einstellungen!$C$3,10,0)),Einstellungen!$F$13:$F$32)))</f>
        <v/>
      </c>
      <c r="U794" s="49">
        <f>IF(OR(A794="",D794=""),0,MAX(0,NETWORKDAYS(MAX(D794,DATE(Einstellungen!$C$3,10,1)),MIN(J794,DATE(Einstellungen!$C$3,11,0)),Einstellungen!$F$13:$F$32)))</f>
        <v/>
      </c>
      <c r="V794" s="49">
        <f>IF(OR(A794="",D794=""),0,MAX(0,NETWORKDAYS(MAX(D794,DATE(Einstellungen!$C$3,11,1)),MIN(J794,DATE(Einstellungen!$C$3,12,0)),Einstellungen!$F$13:$F$32)))</f>
        <v/>
      </c>
      <c r="W794" s="49">
        <f>IF(OR(A794="",D794=""),0,MAX(0,NETWORKDAYS(MAX(D794,DATE(Einstellungen!$C$3,12,1)),MIN(J794,DATE(Einstellungen!$C$3,13,0)),Einstellungen!$F$13:$F$32)))</f>
        <v/>
      </c>
      <c r="X794" s="50">
        <f>L794*K794</f>
        <v/>
      </c>
      <c r="Y794" s="50">
        <f>M794*K794</f>
        <v/>
      </c>
      <c r="Z794" s="50">
        <f>N794*K794</f>
        <v/>
      </c>
      <c r="AA794" s="50">
        <f>O794*K794</f>
        <v/>
      </c>
      <c r="AB794" s="50">
        <f>P794*K794</f>
        <v/>
      </c>
      <c r="AC794" s="50">
        <f>Q794*K794</f>
        <v/>
      </c>
      <c r="AD794" s="50">
        <f>R794*K794</f>
        <v/>
      </c>
      <c r="AE794" s="50">
        <f>S794*K794</f>
        <v/>
      </c>
      <c r="AF794" s="50">
        <f>T794*K794</f>
        <v/>
      </c>
      <c r="AG794" s="50">
        <f>U794*K794</f>
        <v/>
      </c>
      <c r="AH794" s="50">
        <f>V794*K794</f>
        <v/>
      </c>
      <c r="AI794" s="50">
        <f>W794*K794</f>
        <v/>
      </c>
    </row>
    <row r="795">
      <c r="A795" s="25" t="n"/>
      <c r="B795" s="45">
        <f>IF(A795="","",IFERROR(INDEX(Mitarbeiter!$B$6:$B$205,MATCH($A795,Mitarbeiter!$A$6:$A$205,0)),"?"))</f>
        <v/>
      </c>
      <c r="C795" s="46" t="n"/>
      <c r="D795" s="26" t="n"/>
      <c r="E795" s="26" t="n"/>
      <c r="F795" s="24">
        <f>IF(A795="","",SUM(L795:W795))</f>
        <v/>
      </c>
      <c r="G795" s="36">
        <f>IF(A795="","",SUM(X795:AI795))</f>
        <v/>
      </c>
      <c r="H795" s="8">
        <f>IF(A795="","",IF(ISNA(MATCH(A795,Mitarbeiter!$A$6:$A$205,0)),"Pers.-Nr. unbekannt",IF(D795="","Von fehlt",IF(AND(C795&lt;&gt;Einstellungen!$C$4,C795&lt;&gt;Einstellungen!$C$5),"Objekt fehlt",IF(J795&lt;D795,"Bis vor Von",IF(D795&lt;INDEX(Mitarbeiter!$C$6:$C$205,MATCH($A795,Mitarbeiter!$A$6:$A$205,0)),"vor Eintritt",IF(AND(INDEX(Mitarbeiter!$D$6:$D$205,MATCH($A795,Mitarbeiter!$A$6:$A$205,0))&lt;&gt;"",D795&gt;INDEX(Mitarbeiter!$D$6:$D$205,MATCH($A795,Mitarbeiter!$A$6:$A$205,0))),"nach Austritt",IF(E795="","offen","ok"))))))))</f>
        <v/>
      </c>
      <c r="J795" s="47">
        <f>IF(A795="","",IF(E795="",Einstellungen!$C$9,E795))</f>
        <v/>
      </c>
      <c r="K795" s="48">
        <f>IF(A795="",0,IFERROR(INDEX(Mitarbeiter!$F$6:$F$205,MATCH($A795,Mitarbeiter!$A$6:$A$205,0)),0))</f>
        <v/>
      </c>
      <c r="L795" s="49">
        <f>IF(OR(A795="",D795=""),0,MAX(0,NETWORKDAYS(MAX(D795,DATE(Einstellungen!$C$3,1,1)),MIN(J795,DATE(Einstellungen!$C$3,2,0)),Einstellungen!$F$13:$F$32)))</f>
        <v/>
      </c>
      <c r="M795" s="49">
        <f>IF(OR(A795="",D795=""),0,MAX(0,NETWORKDAYS(MAX(D795,DATE(Einstellungen!$C$3,2,1)),MIN(J795,DATE(Einstellungen!$C$3,3,0)),Einstellungen!$F$13:$F$32)))</f>
        <v/>
      </c>
      <c r="N795" s="49">
        <f>IF(OR(A795="",D795=""),0,MAX(0,NETWORKDAYS(MAX(D795,DATE(Einstellungen!$C$3,3,1)),MIN(J795,DATE(Einstellungen!$C$3,4,0)),Einstellungen!$F$13:$F$32)))</f>
        <v/>
      </c>
      <c r="O795" s="49">
        <f>IF(OR(A795="",D795=""),0,MAX(0,NETWORKDAYS(MAX(D795,DATE(Einstellungen!$C$3,4,1)),MIN(J795,DATE(Einstellungen!$C$3,5,0)),Einstellungen!$F$13:$F$32)))</f>
        <v/>
      </c>
      <c r="P795" s="49">
        <f>IF(OR(A795="",D795=""),0,MAX(0,NETWORKDAYS(MAX(D795,DATE(Einstellungen!$C$3,5,1)),MIN(J795,DATE(Einstellungen!$C$3,6,0)),Einstellungen!$F$13:$F$32)))</f>
        <v/>
      </c>
      <c r="Q795" s="49">
        <f>IF(OR(A795="",D795=""),0,MAX(0,NETWORKDAYS(MAX(D795,DATE(Einstellungen!$C$3,6,1)),MIN(J795,DATE(Einstellungen!$C$3,7,0)),Einstellungen!$F$13:$F$32)))</f>
        <v/>
      </c>
      <c r="R795" s="49">
        <f>IF(OR(A795="",D795=""),0,MAX(0,NETWORKDAYS(MAX(D795,DATE(Einstellungen!$C$3,7,1)),MIN(J795,DATE(Einstellungen!$C$3,8,0)),Einstellungen!$F$13:$F$32)))</f>
        <v/>
      </c>
      <c r="S795" s="49">
        <f>IF(OR(A795="",D795=""),0,MAX(0,NETWORKDAYS(MAX(D795,DATE(Einstellungen!$C$3,8,1)),MIN(J795,DATE(Einstellungen!$C$3,9,0)),Einstellungen!$F$13:$F$32)))</f>
        <v/>
      </c>
      <c r="T795" s="49">
        <f>IF(OR(A795="",D795=""),0,MAX(0,NETWORKDAYS(MAX(D795,DATE(Einstellungen!$C$3,9,1)),MIN(J795,DATE(Einstellungen!$C$3,10,0)),Einstellungen!$F$13:$F$32)))</f>
        <v/>
      </c>
      <c r="U795" s="49">
        <f>IF(OR(A795="",D795=""),0,MAX(0,NETWORKDAYS(MAX(D795,DATE(Einstellungen!$C$3,10,1)),MIN(J795,DATE(Einstellungen!$C$3,11,0)),Einstellungen!$F$13:$F$32)))</f>
        <v/>
      </c>
      <c r="V795" s="49">
        <f>IF(OR(A795="",D795=""),0,MAX(0,NETWORKDAYS(MAX(D795,DATE(Einstellungen!$C$3,11,1)),MIN(J795,DATE(Einstellungen!$C$3,12,0)),Einstellungen!$F$13:$F$32)))</f>
        <v/>
      </c>
      <c r="W795" s="49">
        <f>IF(OR(A795="",D795=""),0,MAX(0,NETWORKDAYS(MAX(D795,DATE(Einstellungen!$C$3,12,1)),MIN(J795,DATE(Einstellungen!$C$3,13,0)),Einstellungen!$F$13:$F$32)))</f>
        <v/>
      </c>
      <c r="X795" s="50">
        <f>L795*K795</f>
        <v/>
      </c>
      <c r="Y795" s="50">
        <f>M795*K795</f>
        <v/>
      </c>
      <c r="Z795" s="50">
        <f>N795*K795</f>
        <v/>
      </c>
      <c r="AA795" s="50">
        <f>O795*K795</f>
        <v/>
      </c>
      <c r="AB795" s="50">
        <f>P795*K795</f>
        <v/>
      </c>
      <c r="AC795" s="50">
        <f>Q795*K795</f>
        <v/>
      </c>
      <c r="AD795" s="50">
        <f>R795*K795</f>
        <v/>
      </c>
      <c r="AE795" s="50">
        <f>S795*K795</f>
        <v/>
      </c>
      <c r="AF795" s="50">
        <f>T795*K795</f>
        <v/>
      </c>
      <c r="AG795" s="50">
        <f>U795*K795</f>
        <v/>
      </c>
      <c r="AH795" s="50">
        <f>V795*K795</f>
        <v/>
      </c>
      <c r="AI795" s="50">
        <f>W795*K795</f>
        <v/>
      </c>
    </row>
    <row r="796">
      <c r="A796" s="25" t="n"/>
      <c r="B796" s="45">
        <f>IF(A796="","",IFERROR(INDEX(Mitarbeiter!$B$6:$B$205,MATCH($A796,Mitarbeiter!$A$6:$A$205,0)),"?"))</f>
        <v/>
      </c>
      <c r="C796" s="46" t="n"/>
      <c r="D796" s="26" t="n"/>
      <c r="E796" s="26" t="n"/>
      <c r="F796" s="24">
        <f>IF(A796="","",SUM(L796:W796))</f>
        <v/>
      </c>
      <c r="G796" s="36">
        <f>IF(A796="","",SUM(X796:AI796))</f>
        <v/>
      </c>
      <c r="H796" s="8">
        <f>IF(A796="","",IF(ISNA(MATCH(A796,Mitarbeiter!$A$6:$A$205,0)),"Pers.-Nr. unbekannt",IF(D796="","Von fehlt",IF(AND(C796&lt;&gt;Einstellungen!$C$4,C796&lt;&gt;Einstellungen!$C$5),"Objekt fehlt",IF(J796&lt;D796,"Bis vor Von",IF(D796&lt;INDEX(Mitarbeiter!$C$6:$C$205,MATCH($A796,Mitarbeiter!$A$6:$A$205,0)),"vor Eintritt",IF(AND(INDEX(Mitarbeiter!$D$6:$D$205,MATCH($A796,Mitarbeiter!$A$6:$A$205,0))&lt;&gt;"",D796&gt;INDEX(Mitarbeiter!$D$6:$D$205,MATCH($A796,Mitarbeiter!$A$6:$A$205,0))),"nach Austritt",IF(E796="","offen","ok"))))))))</f>
        <v/>
      </c>
      <c r="J796" s="47">
        <f>IF(A796="","",IF(E796="",Einstellungen!$C$9,E796))</f>
        <v/>
      </c>
      <c r="K796" s="48">
        <f>IF(A796="",0,IFERROR(INDEX(Mitarbeiter!$F$6:$F$205,MATCH($A796,Mitarbeiter!$A$6:$A$205,0)),0))</f>
        <v/>
      </c>
      <c r="L796" s="49">
        <f>IF(OR(A796="",D796=""),0,MAX(0,NETWORKDAYS(MAX(D796,DATE(Einstellungen!$C$3,1,1)),MIN(J796,DATE(Einstellungen!$C$3,2,0)),Einstellungen!$F$13:$F$32)))</f>
        <v/>
      </c>
      <c r="M796" s="49">
        <f>IF(OR(A796="",D796=""),0,MAX(0,NETWORKDAYS(MAX(D796,DATE(Einstellungen!$C$3,2,1)),MIN(J796,DATE(Einstellungen!$C$3,3,0)),Einstellungen!$F$13:$F$32)))</f>
        <v/>
      </c>
      <c r="N796" s="49">
        <f>IF(OR(A796="",D796=""),0,MAX(0,NETWORKDAYS(MAX(D796,DATE(Einstellungen!$C$3,3,1)),MIN(J796,DATE(Einstellungen!$C$3,4,0)),Einstellungen!$F$13:$F$32)))</f>
        <v/>
      </c>
      <c r="O796" s="49">
        <f>IF(OR(A796="",D796=""),0,MAX(0,NETWORKDAYS(MAX(D796,DATE(Einstellungen!$C$3,4,1)),MIN(J796,DATE(Einstellungen!$C$3,5,0)),Einstellungen!$F$13:$F$32)))</f>
        <v/>
      </c>
      <c r="P796" s="49">
        <f>IF(OR(A796="",D796=""),0,MAX(0,NETWORKDAYS(MAX(D796,DATE(Einstellungen!$C$3,5,1)),MIN(J796,DATE(Einstellungen!$C$3,6,0)),Einstellungen!$F$13:$F$32)))</f>
        <v/>
      </c>
      <c r="Q796" s="49">
        <f>IF(OR(A796="",D796=""),0,MAX(0,NETWORKDAYS(MAX(D796,DATE(Einstellungen!$C$3,6,1)),MIN(J796,DATE(Einstellungen!$C$3,7,0)),Einstellungen!$F$13:$F$32)))</f>
        <v/>
      </c>
      <c r="R796" s="49">
        <f>IF(OR(A796="",D796=""),0,MAX(0,NETWORKDAYS(MAX(D796,DATE(Einstellungen!$C$3,7,1)),MIN(J796,DATE(Einstellungen!$C$3,8,0)),Einstellungen!$F$13:$F$32)))</f>
        <v/>
      </c>
      <c r="S796" s="49">
        <f>IF(OR(A796="",D796=""),0,MAX(0,NETWORKDAYS(MAX(D796,DATE(Einstellungen!$C$3,8,1)),MIN(J796,DATE(Einstellungen!$C$3,9,0)),Einstellungen!$F$13:$F$32)))</f>
        <v/>
      </c>
      <c r="T796" s="49">
        <f>IF(OR(A796="",D796=""),0,MAX(0,NETWORKDAYS(MAX(D796,DATE(Einstellungen!$C$3,9,1)),MIN(J796,DATE(Einstellungen!$C$3,10,0)),Einstellungen!$F$13:$F$32)))</f>
        <v/>
      </c>
      <c r="U796" s="49">
        <f>IF(OR(A796="",D796=""),0,MAX(0,NETWORKDAYS(MAX(D796,DATE(Einstellungen!$C$3,10,1)),MIN(J796,DATE(Einstellungen!$C$3,11,0)),Einstellungen!$F$13:$F$32)))</f>
        <v/>
      </c>
      <c r="V796" s="49">
        <f>IF(OR(A796="",D796=""),0,MAX(0,NETWORKDAYS(MAX(D796,DATE(Einstellungen!$C$3,11,1)),MIN(J796,DATE(Einstellungen!$C$3,12,0)),Einstellungen!$F$13:$F$32)))</f>
        <v/>
      </c>
      <c r="W796" s="49">
        <f>IF(OR(A796="",D796=""),0,MAX(0,NETWORKDAYS(MAX(D796,DATE(Einstellungen!$C$3,12,1)),MIN(J796,DATE(Einstellungen!$C$3,13,0)),Einstellungen!$F$13:$F$32)))</f>
        <v/>
      </c>
      <c r="X796" s="50">
        <f>L796*K796</f>
        <v/>
      </c>
      <c r="Y796" s="50">
        <f>M796*K796</f>
        <v/>
      </c>
      <c r="Z796" s="50">
        <f>N796*K796</f>
        <v/>
      </c>
      <c r="AA796" s="50">
        <f>O796*K796</f>
        <v/>
      </c>
      <c r="AB796" s="50">
        <f>P796*K796</f>
        <v/>
      </c>
      <c r="AC796" s="50">
        <f>Q796*K796</f>
        <v/>
      </c>
      <c r="AD796" s="50">
        <f>R796*K796</f>
        <v/>
      </c>
      <c r="AE796" s="50">
        <f>S796*K796</f>
        <v/>
      </c>
      <c r="AF796" s="50">
        <f>T796*K796</f>
        <v/>
      </c>
      <c r="AG796" s="50">
        <f>U796*K796</f>
        <v/>
      </c>
      <c r="AH796" s="50">
        <f>V796*K796</f>
        <v/>
      </c>
      <c r="AI796" s="50">
        <f>W796*K796</f>
        <v/>
      </c>
    </row>
    <row r="797">
      <c r="A797" s="25" t="n"/>
      <c r="B797" s="45">
        <f>IF(A797="","",IFERROR(INDEX(Mitarbeiter!$B$6:$B$205,MATCH($A797,Mitarbeiter!$A$6:$A$205,0)),"?"))</f>
        <v/>
      </c>
      <c r="C797" s="46" t="n"/>
      <c r="D797" s="26" t="n"/>
      <c r="E797" s="26" t="n"/>
      <c r="F797" s="24">
        <f>IF(A797="","",SUM(L797:W797))</f>
        <v/>
      </c>
      <c r="G797" s="36">
        <f>IF(A797="","",SUM(X797:AI797))</f>
        <v/>
      </c>
      <c r="H797" s="8">
        <f>IF(A797="","",IF(ISNA(MATCH(A797,Mitarbeiter!$A$6:$A$205,0)),"Pers.-Nr. unbekannt",IF(D797="","Von fehlt",IF(AND(C797&lt;&gt;Einstellungen!$C$4,C797&lt;&gt;Einstellungen!$C$5),"Objekt fehlt",IF(J797&lt;D797,"Bis vor Von",IF(D797&lt;INDEX(Mitarbeiter!$C$6:$C$205,MATCH($A797,Mitarbeiter!$A$6:$A$205,0)),"vor Eintritt",IF(AND(INDEX(Mitarbeiter!$D$6:$D$205,MATCH($A797,Mitarbeiter!$A$6:$A$205,0))&lt;&gt;"",D797&gt;INDEX(Mitarbeiter!$D$6:$D$205,MATCH($A797,Mitarbeiter!$A$6:$A$205,0))),"nach Austritt",IF(E797="","offen","ok"))))))))</f>
        <v/>
      </c>
      <c r="J797" s="47">
        <f>IF(A797="","",IF(E797="",Einstellungen!$C$9,E797))</f>
        <v/>
      </c>
      <c r="K797" s="48">
        <f>IF(A797="",0,IFERROR(INDEX(Mitarbeiter!$F$6:$F$205,MATCH($A797,Mitarbeiter!$A$6:$A$205,0)),0))</f>
        <v/>
      </c>
      <c r="L797" s="49">
        <f>IF(OR(A797="",D797=""),0,MAX(0,NETWORKDAYS(MAX(D797,DATE(Einstellungen!$C$3,1,1)),MIN(J797,DATE(Einstellungen!$C$3,2,0)),Einstellungen!$F$13:$F$32)))</f>
        <v/>
      </c>
      <c r="M797" s="49">
        <f>IF(OR(A797="",D797=""),0,MAX(0,NETWORKDAYS(MAX(D797,DATE(Einstellungen!$C$3,2,1)),MIN(J797,DATE(Einstellungen!$C$3,3,0)),Einstellungen!$F$13:$F$32)))</f>
        <v/>
      </c>
      <c r="N797" s="49">
        <f>IF(OR(A797="",D797=""),0,MAX(0,NETWORKDAYS(MAX(D797,DATE(Einstellungen!$C$3,3,1)),MIN(J797,DATE(Einstellungen!$C$3,4,0)),Einstellungen!$F$13:$F$32)))</f>
        <v/>
      </c>
      <c r="O797" s="49">
        <f>IF(OR(A797="",D797=""),0,MAX(0,NETWORKDAYS(MAX(D797,DATE(Einstellungen!$C$3,4,1)),MIN(J797,DATE(Einstellungen!$C$3,5,0)),Einstellungen!$F$13:$F$32)))</f>
        <v/>
      </c>
      <c r="P797" s="49">
        <f>IF(OR(A797="",D797=""),0,MAX(0,NETWORKDAYS(MAX(D797,DATE(Einstellungen!$C$3,5,1)),MIN(J797,DATE(Einstellungen!$C$3,6,0)),Einstellungen!$F$13:$F$32)))</f>
        <v/>
      </c>
      <c r="Q797" s="49">
        <f>IF(OR(A797="",D797=""),0,MAX(0,NETWORKDAYS(MAX(D797,DATE(Einstellungen!$C$3,6,1)),MIN(J797,DATE(Einstellungen!$C$3,7,0)),Einstellungen!$F$13:$F$32)))</f>
        <v/>
      </c>
      <c r="R797" s="49">
        <f>IF(OR(A797="",D797=""),0,MAX(0,NETWORKDAYS(MAX(D797,DATE(Einstellungen!$C$3,7,1)),MIN(J797,DATE(Einstellungen!$C$3,8,0)),Einstellungen!$F$13:$F$32)))</f>
        <v/>
      </c>
      <c r="S797" s="49">
        <f>IF(OR(A797="",D797=""),0,MAX(0,NETWORKDAYS(MAX(D797,DATE(Einstellungen!$C$3,8,1)),MIN(J797,DATE(Einstellungen!$C$3,9,0)),Einstellungen!$F$13:$F$32)))</f>
        <v/>
      </c>
      <c r="T797" s="49">
        <f>IF(OR(A797="",D797=""),0,MAX(0,NETWORKDAYS(MAX(D797,DATE(Einstellungen!$C$3,9,1)),MIN(J797,DATE(Einstellungen!$C$3,10,0)),Einstellungen!$F$13:$F$32)))</f>
        <v/>
      </c>
      <c r="U797" s="49">
        <f>IF(OR(A797="",D797=""),0,MAX(0,NETWORKDAYS(MAX(D797,DATE(Einstellungen!$C$3,10,1)),MIN(J797,DATE(Einstellungen!$C$3,11,0)),Einstellungen!$F$13:$F$32)))</f>
        <v/>
      </c>
      <c r="V797" s="49">
        <f>IF(OR(A797="",D797=""),0,MAX(0,NETWORKDAYS(MAX(D797,DATE(Einstellungen!$C$3,11,1)),MIN(J797,DATE(Einstellungen!$C$3,12,0)),Einstellungen!$F$13:$F$32)))</f>
        <v/>
      </c>
      <c r="W797" s="49">
        <f>IF(OR(A797="",D797=""),0,MAX(0,NETWORKDAYS(MAX(D797,DATE(Einstellungen!$C$3,12,1)),MIN(J797,DATE(Einstellungen!$C$3,13,0)),Einstellungen!$F$13:$F$32)))</f>
        <v/>
      </c>
      <c r="X797" s="50">
        <f>L797*K797</f>
        <v/>
      </c>
      <c r="Y797" s="50">
        <f>M797*K797</f>
        <v/>
      </c>
      <c r="Z797" s="50">
        <f>N797*K797</f>
        <v/>
      </c>
      <c r="AA797" s="50">
        <f>O797*K797</f>
        <v/>
      </c>
      <c r="AB797" s="50">
        <f>P797*K797</f>
        <v/>
      </c>
      <c r="AC797" s="50">
        <f>Q797*K797</f>
        <v/>
      </c>
      <c r="AD797" s="50">
        <f>R797*K797</f>
        <v/>
      </c>
      <c r="AE797" s="50">
        <f>S797*K797</f>
        <v/>
      </c>
      <c r="AF797" s="50">
        <f>T797*K797</f>
        <v/>
      </c>
      <c r="AG797" s="50">
        <f>U797*K797</f>
        <v/>
      </c>
      <c r="AH797" s="50">
        <f>V797*K797</f>
        <v/>
      </c>
      <c r="AI797" s="50">
        <f>W797*K797</f>
        <v/>
      </c>
    </row>
    <row r="798">
      <c r="A798" s="25" t="n"/>
      <c r="B798" s="45">
        <f>IF(A798="","",IFERROR(INDEX(Mitarbeiter!$B$6:$B$205,MATCH($A798,Mitarbeiter!$A$6:$A$205,0)),"?"))</f>
        <v/>
      </c>
      <c r="C798" s="46" t="n"/>
      <c r="D798" s="26" t="n"/>
      <c r="E798" s="26" t="n"/>
      <c r="F798" s="24">
        <f>IF(A798="","",SUM(L798:W798))</f>
        <v/>
      </c>
      <c r="G798" s="36">
        <f>IF(A798="","",SUM(X798:AI798))</f>
        <v/>
      </c>
      <c r="H798" s="8">
        <f>IF(A798="","",IF(ISNA(MATCH(A798,Mitarbeiter!$A$6:$A$205,0)),"Pers.-Nr. unbekannt",IF(D798="","Von fehlt",IF(AND(C798&lt;&gt;Einstellungen!$C$4,C798&lt;&gt;Einstellungen!$C$5),"Objekt fehlt",IF(J798&lt;D798,"Bis vor Von",IF(D798&lt;INDEX(Mitarbeiter!$C$6:$C$205,MATCH($A798,Mitarbeiter!$A$6:$A$205,0)),"vor Eintritt",IF(AND(INDEX(Mitarbeiter!$D$6:$D$205,MATCH($A798,Mitarbeiter!$A$6:$A$205,0))&lt;&gt;"",D798&gt;INDEX(Mitarbeiter!$D$6:$D$205,MATCH($A798,Mitarbeiter!$A$6:$A$205,0))),"nach Austritt",IF(E798="","offen","ok"))))))))</f>
        <v/>
      </c>
      <c r="J798" s="47">
        <f>IF(A798="","",IF(E798="",Einstellungen!$C$9,E798))</f>
        <v/>
      </c>
      <c r="K798" s="48">
        <f>IF(A798="",0,IFERROR(INDEX(Mitarbeiter!$F$6:$F$205,MATCH($A798,Mitarbeiter!$A$6:$A$205,0)),0))</f>
        <v/>
      </c>
      <c r="L798" s="49">
        <f>IF(OR(A798="",D798=""),0,MAX(0,NETWORKDAYS(MAX(D798,DATE(Einstellungen!$C$3,1,1)),MIN(J798,DATE(Einstellungen!$C$3,2,0)),Einstellungen!$F$13:$F$32)))</f>
        <v/>
      </c>
      <c r="M798" s="49">
        <f>IF(OR(A798="",D798=""),0,MAX(0,NETWORKDAYS(MAX(D798,DATE(Einstellungen!$C$3,2,1)),MIN(J798,DATE(Einstellungen!$C$3,3,0)),Einstellungen!$F$13:$F$32)))</f>
        <v/>
      </c>
      <c r="N798" s="49">
        <f>IF(OR(A798="",D798=""),0,MAX(0,NETWORKDAYS(MAX(D798,DATE(Einstellungen!$C$3,3,1)),MIN(J798,DATE(Einstellungen!$C$3,4,0)),Einstellungen!$F$13:$F$32)))</f>
        <v/>
      </c>
      <c r="O798" s="49">
        <f>IF(OR(A798="",D798=""),0,MAX(0,NETWORKDAYS(MAX(D798,DATE(Einstellungen!$C$3,4,1)),MIN(J798,DATE(Einstellungen!$C$3,5,0)),Einstellungen!$F$13:$F$32)))</f>
        <v/>
      </c>
      <c r="P798" s="49">
        <f>IF(OR(A798="",D798=""),0,MAX(0,NETWORKDAYS(MAX(D798,DATE(Einstellungen!$C$3,5,1)),MIN(J798,DATE(Einstellungen!$C$3,6,0)),Einstellungen!$F$13:$F$32)))</f>
        <v/>
      </c>
      <c r="Q798" s="49">
        <f>IF(OR(A798="",D798=""),0,MAX(0,NETWORKDAYS(MAX(D798,DATE(Einstellungen!$C$3,6,1)),MIN(J798,DATE(Einstellungen!$C$3,7,0)),Einstellungen!$F$13:$F$32)))</f>
        <v/>
      </c>
      <c r="R798" s="49">
        <f>IF(OR(A798="",D798=""),0,MAX(0,NETWORKDAYS(MAX(D798,DATE(Einstellungen!$C$3,7,1)),MIN(J798,DATE(Einstellungen!$C$3,8,0)),Einstellungen!$F$13:$F$32)))</f>
        <v/>
      </c>
      <c r="S798" s="49">
        <f>IF(OR(A798="",D798=""),0,MAX(0,NETWORKDAYS(MAX(D798,DATE(Einstellungen!$C$3,8,1)),MIN(J798,DATE(Einstellungen!$C$3,9,0)),Einstellungen!$F$13:$F$32)))</f>
        <v/>
      </c>
      <c r="T798" s="49">
        <f>IF(OR(A798="",D798=""),0,MAX(0,NETWORKDAYS(MAX(D798,DATE(Einstellungen!$C$3,9,1)),MIN(J798,DATE(Einstellungen!$C$3,10,0)),Einstellungen!$F$13:$F$32)))</f>
        <v/>
      </c>
      <c r="U798" s="49">
        <f>IF(OR(A798="",D798=""),0,MAX(0,NETWORKDAYS(MAX(D798,DATE(Einstellungen!$C$3,10,1)),MIN(J798,DATE(Einstellungen!$C$3,11,0)),Einstellungen!$F$13:$F$32)))</f>
        <v/>
      </c>
      <c r="V798" s="49">
        <f>IF(OR(A798="",D798=""),0,MAX(0,NETWORKDAYS(MAX(D798,DATE(Einstellungen!$C$3,11,1)),MIN(J798,DATE(Einstellungen!$C$3,12,0)),Einstellungen!$F$13:$F$32)))</f>
        <v/>
      </c>
      <c r="W798" s="49">
        <f>IF(OR(A798="",D798=""),0,MAX(0,NETWORKDAYS(MAX(D798,DATE(Einstellungen!$C$3,12,1)),MIN(J798,DATE(Einstellungen!$C$3,13,0)),Einstellungen!$F$13:$F$32)))</f>
        <v/>
      </c>
      <c r="X798" s="50">
        <f>L798*K798</f>
        <v/>
      </c>
      <c r="Y798" s="50">
        <f>M798*K798</f>
        <v/>
      </c>
      <c r="Z798" s="50">
        <f>N798*K798</f>
        <v/>
      </c>
      <c r="AA798" s="50">
        <f>O798*K798</f>
        <v/>
      </c>
      <c r="AB798" s="50">
        <f>P798*K798</f>
        <v/>
      </c>
      <c r="AC798" s="50">
        <f>Q798*K798</f>
        <v/>
      </c>
      <c r="AD798" s="50">
        <f>R798*K798</f>
        <v/>
      </c>
      <c r="AE798" s="50">
        <f>S798*K798</f>
        <v/>
      </c>
      <c r="AF798" s="50">
        <f>T798*K798</f>
        <v/>
      </c>
      <c r="AG798" s="50">
        <f>U798*K798</f>
        <v/>
      </c>
      <c r="AH798" s="50">
        <f>V798*K798</f>
        <v/>
      </c>
      <c r="AI798" s="50">
        <f>W798*K798</f>
        <v/>
      </c>
    </row>
    <row r="799">
      <c r="A799" s="25" t="n"/>
      <c r="B799" s="45">
        <f>IF(A799="","",IFERROR(INDEX(Mitarbeiter!$B$6:$B$205,MATCH($A799,Mitarbeiter!$A$6:$A$205,0)),"?"))</f>
        <v/>
      </c>
      <c r="C799" s="46" t="n"/>
      <c r="D799" s="26" t="n"/>
      <c r="E799" s="26" t="n"/>
      <c r="F799" s="24">
        <f>IF(A799="","",SUM(L799:W799))</f>
        <v/>
      </c>
      <c r="G799" s="36">
        <f>IF(A799="","",SUM(X799:AI799))</f>
        <v/>
      </c>
      <c r="H799" s="8">
        <f>IF(A799="","",IF(ISNA(MATCH(A799,Mitarbeiter!$A$6:$A$205,0)),"Pers.-Nr. unbekannt",IF(D799="","Von fehlt",IF(AND(C799&lt;&gt;Einstellungen!$C$4,C799&lt;&gt;Einstellungen!$C$5),"Objekt fehlt",IF(J799&lt;D799,"Bis vor Von",IF(D799&lt;INDEX(Mitarbeiter!$C$6:$C$205,MATCH($A799,Mitarbeiter!$A$6:$A$205,0)),"vor Eintritt",IF(AND(INDEX(Mitarbeiter!$D$6:$D$205,MATCH($A799,Mitarbeiter!$A$6:$A$205,0))&lt;&gt;"",D799&gt;INDEX(Mitarbeiter!$D$6:$D$205,MATCH($A799,Mitarbeiter!$A$6:$A$205,0))),"nach Austritt",IF(E799="","offen","ok"))))))))</f>
        <v/>
      </c>
      <c r="J799" s="47">
        <f>IF(A799="","",IF(E799="",Einstellungen!$C$9,E799))</f>
        <v/>
      </c>
      <c r="K799" s="48">
        <f>IF(A799="",0,IFERROR(INDEX(Mitarbeiter!$F$6:$F$205,MATCH($A799,Mitarbeiter!$A$6:$A$205,0)),0))</f>
        <v/>
      </c>
      <c r="L799" s="49">
        <f>IF(OR(A799="",D799=""),0,MAX(0,NETWORKDAYS(MAX(D799,DATE(Einstellungen!$C$3,1,1)),MIN(J799,DATE(Einstellungen!$C$3,2,0)),Einstellungen!$F$13:$F$32)))</f>
        <v/>
      </c>
      <c r="M799" s="49">
        <f>IF(OR(A799="",D799=""),0,MAX(0,NETWORKDAYS(MAX(D799,DATE(Einstellungen!$C$3,2,1)),MIN(J799,DATE(Einstellungen!$C$3,3,0)),Einstellungen!$F$13:$F$32)))</f>
        <v/>
      </c>
      <c r="N799" s="49">
        <f>IF(OR(A799="",D799=""),0,MAX(0,NETWORKDAYS(MAX(D799,DATE(Einstellungen!$C$3,3,1)),MIN(J799,DATE(Einstellungen!$C$3,4,0)),Einstellungen!$F$13:$F$32)))</f>
        <v/>
      </c>
      <c r="O799" s="49">
        <f>IF(OR(A799="",D799=""),0,MAX(0,NETWORKDAYS(MAX(D799,DATE(Einstellungen!$C$3,4,1)),MIN(J799,DATE(Einstellungen!$C$3,5,0)),Einstellungen!$F$13:$F$32)))</f>
        <v/>
      </c>
      <c r="P799" s="49">
        <f>IF(OR(A799="",D799=""),0,MAX(0,NETWORKDAYS(MAX(D799,DATE(Einstellungen!$C$3,5,1)),MIN(J799,DATE(Einstellungen!$C$3,6,0)),Einstellungen!$F$13:$F$32)))</f>
        <v/>
      </c>
      <c r="Q799" s="49">
        <f>IF(OR(A799="",D799=""),0,MAX(0,NETWORKDAYS(MAX(D799,DATE(Einstellungen!$C$3,6,1)),MIN(J799,DATE(Einstellungen!$C$3,7,0)),Einstellungen!$F$13:$F$32)))</f>
        <v/>
      </c>
      <c r="R799" s="49">
        <f>IF(OR(A799="",D799=""),0,MAX(0,NETWORKDAYS(MAX(D799,DATE(Einstellungen!$C$3,7,1)),MIN(J799,DATE(Einstellungen!$C$3,8,0)),Einstellungen!$F$13:$F$32)))</f>
        <v/>
      </c>
      <c r="S799" s="49">
        <f>IF(OR(A799="",D799=""),0,MAX(0,NETWORKDAYS(MAX(D799,DATE(Einstellungen!$C$3,8,1)),MIN(J799,DATE(Einstellungen!$C$3,9,0)),Einstellungen!$F$13:$F$32)))</f>
        <v/>
      </c>
      <c r="T799" s="49">
        <f>IF(OR(A799="",D799=""),0,MAX(0,NETWORKDAYS(MAX(D799,DATE(Einstellungen!$C$3,9,1)),MIN(J799,DATE(Einstellungen!$C$3,10,0)),Einstellungen!$F$13:$F$32)))</f>
        <v/>
      </c>
      <c r="U799" s="49">
        <f>IF(OR(A799="",D799=""),0,MAX(0,NETWORKDAYS(MAX(D799,DATE(Einstellungen!$C$3,10,1)),MIN(J799,DATE(Einstellungen!$C$3,11,0)),Einstellungen!$F$13:$F$32)))</f>
        <v/>
      </c>
      <c r="V799" s="49">
        <f>IF(OR(A799="",D799=""),0,MAX(0,NETWORKDAYS(MAX(D799,DATE(Einstellungen!$C$3,11,1)),MIN(J799,DATE(Einstellungen!$C$3,12,0)),Einstellungen!$F$13:$F$32)))</f>
        <v/>
      </c>
      <c r="W799" s="49">
        <f>IF(OR(A799="",D799=""),0,MAX(0,NETWORKDAYS(MAX(D799,DATE(Einstellungen!$C$3,12,1)),MIN(J799,DATE(Einstellungen!$C$3,13,0)),Einstellungen!$F$13:$F$32)))</f>
        <v/>
      </c>
      <c r="X799" s="50">
        <f>L799*K799</f>
        <v/>
      </c>
      <c r="Y799" s="50">
        <f>M799*K799</f>
        <v/>
      </c>
      <c r="Z799" s="50">
        <f>N799*K799</f>
        <v/>
      </c>
      <c r="AA799" s="50">
        <f>O799*K799</f>
        <v/>
      </c>
      <c r="AB799" s="50">
        <f>P799*K799</f>
        <v/>
      </c>
      <c r="AC799" s="50">
        <f>Q799*K799</f>
        <v/>
      </c>
      <c r="AD799" s="50">
        <f>R799*K799</f>
        <v/>
      </c>
      <c r="AE799" s="50">
        <f>S799*K799</f>
        <v/>
      </c>
      <c r="AF799" s="50">
        <f>T799*K799</f>
        <v/>
      </c>
      <c r="AG799" s="50">
        <f>U799*K799</f>
        <v/>
      </c>
      <c r="AH799" s="50">
        <f>V799*K799</f>
        <v/>
      </c>
      <c r="AI799" s="50">
        <f>W799*K799</f>
        <v/>
      </c>
    </row>
    <row r="800">
      <c r="A800" s="25" t="n"/>
      <c r="B800" s="45">
        <f>IF(A800="","",IFERROR(INDEX(Mitarbeiter!$B$6:$B$205,MATCH($A800,Mitarbeiter!$A$6:$A$205,0)),"?"))</f>
        <v/>
      </c>
      <c r="C800" s="46" t="n"/>
      <c r="D800" s="26" t="n"/>
      <c r="E800" s="26" t="n"/>
      <c r="F800" s="24">
        <f>IF(A800="","",SUM(L800:W800))</f>
        <v/>
      </c>
      <c r="G800" s="36">
        <f>IF(A800="","",SUM(X800:AI800))</f>
        <v/>
      </c>
      <c r="H800" s="8">
        <f>IF(A800="","",IF(ISNA(MATCH(A800,Mitarbeiter!$A$6:$A$205,0)),"Pers.-Nr. unbekannt",IF(D800="","Von fehlt",IF(AND(C800&lt;&gt;Einstellungen!$C$4,C800&lt;&gt;Einstellungen!$C$5),"Objekt fehlt",IF(J800&lt;D800,"Bis vor Von",IF(D800&lt;INDEX(Mitarbeiter!$C$6:$C$205,MATCH($A800,Mitarbeiter!$A$6:$A$205,0)),"vor Eintritt",IF(AND(INDEX(Mitarbeiter!$D$6:$D$205,MATCH($A800,Mitarbeiter!$A$6:$A$205,0))&lt;&gt;"",D800&gt;INDEX(Mitarbeiter!$D$6:$D$205,MATCH($A800,Mitarbeiter!$A$6:$A$205,0))),"nach Austritt",IF(E800="","offen","ok"))))))))</f>
        <v/>
      </c>
      <c r="J800" s="47">
        <f>IF(A800="","",IF(E800="",Einstellungen!$C$9,E800))</f>
        <v/>
      </c>
      <c r="K800" s="48">
        <f>IF(A800="",0,IFERROR(INDEX(Mitarbeiter!$F$6:$F$205,MATCH($A800,Mitarbeiter!$A$6:$A$205,0)),0))</f>
        <v/>
      </c>
      <c r="L800" s="49">
        <f>IF(OR(A800="",D800=""),0,MAX(0,NETWORKDAYS(MAX(D800,DATE(Einstellungen!$C$3,1,1)),MIN(J800,DATE(Einstellungen!$C$3,2,0)),Einstellungen!$F$13:$F$32)))</f>
        <v/>
      </c>
      <c r="M800" s="49">
        <f>IF(OR(A800="",D800=""),0,MAX(0,NETWORKDAYS(MAX(D800,DATE(Einstellungen!$C$3,2,1)),MIN(J800,DATE(Einstellungen!$C$3,3,0)),Einstellungen!$F$13:$F$32)))</f>
        <v/>
      </c>
      <c r="N800" s="49">
        <f>IF(OR(A800="",D800=""),0,MAX(0,NETWORKDAYS(MAX(D800,DATE(Einstellungen!$C$3,3,1)),MIN(J800,DATE(Einstellungen!$C$3,4,0)),Einstellungen!$F$13:$F$32)))</f>
        <v/>
      </c>
      <c r="O800" s="49">
        <f>IF(OR(A800="",D800=""),0,MAX(0,NETWORKDAYS(MAX(D800,DATE(Einstellungen!$C$3,4,1)),MIN(J800,DATE(Einstellungen!$C$3,5,0)),Einstellungen!$F$13:$F$32)))</f>
        <v/>
      </c>
      <c r="P800" s="49">
        <f>IF(OR(A800="",D800=""),0,MAX(0,NETWORKDAYS(MAX(D800,DATE(Einstellungen!$C$3,5,1)),MIN(J800,DATE(Einstellungen!$C$3,6,0)),Einstellungen!$F$13:$F$32)))</f>
        <v/>
      </c>
      <c r="Q800" s="49">
        <f>IF(OR(A800="",D800=""),0,MAX(0,NETWORKDAYS(MAX(D800,DATE(Einstellungen!$C$3,6,1)),MIN(J800,DATE(Einstellungen!$C$3,7,0)),Einstellungen!$F$13:$F$32)))</f>
        <v/>
      </c>
      <c r="R800" s="49">
        <f>IF(OR(A800="",D800=""),0,MAX(0,NETWORKDAYS(MAX(D800,DATE(Einstellungen!$C$3,7,1)),MIN(J800,DATE(Einstellungen!$C$3,8,0)),Einstellungen!$F$13:$F$32)))</f>
        <v/>
      </c>
      <c r="S800" s="49">
        <f>IF(OR(A800="",D800=""),0,MAX(0,NETWORKDAYS(MAX(D800,DATE(Einstellungen!$C$3,8,1)),MIN(J800,DATE(Einstellungen!$C$3,9,0)),Einstellungen!$F$13:$F$32)))</f>
        <v/>
      </c>
      <c r="T800" s="49">
        <f>IF(OR(A800="",D800=""),0,MAX(0,NETWORKDAYS(MAX(D800,DATE(Einstellungen!$C$3,9,1)),MIN(J800,DATE(Einstellungen!$C$3,10,0)),Einstellungen!$F$13:$F$32)))</f>
        <v/>
      </c>
      <c r="U800" s="49">
        <f>IF(OR(A800="",D800=""),0,MAX(0,NETWORKDAYS(MAX(D800,DATE(Einstellungen!$C$3,10,1)),MIN(J800,DATE(Einstellungen!$C$3,11,0)),Einstellungen!$F$13:$F$32)))</f>
        <v/>
      </c>
      <c r="V800" s="49">
        <f>IF(OR(A800="",D800=""),0,MAX(0,NETWORKDAYS(MAX(D800,DATE(Einstellungen!$C$3,11,1)),MIN(J800,DATE(Einstellungen!$C$3,12,0)),Einstellungen!$F$13:$F$32)))</f>
        <v/>
      </c>
      <c r="W800" s="49">
        <f>IF(OR(A800="",D800=""),0,MAX(0,NETWORKDAYS(MAX(D800,DATE(Einstellungen!$C$3,12,1)),MIN(J800,DATE(Einstellungen!$C$3,13,0)),Einstellungen!$F$13:$F$32)))</f>
        <v/>
      </c>
      <c r="X800" s="50">
        <f>L800*K800</f>
        <v/>
      </c>
      <c r="Y800" s="50">
        <f>M800*K800</f>
        <v/>
      </c>
      <c r="Z800" s="50">
        <f>N800*K800</f>
        <v/>
      </c>
      <c r="AA800" s="50">
        <f>O800*K800</f>
        <v/>
      </c>
      <c r="AB800" s="50">
        <f>P800*K800</f>
        <v/>
      </c>
      <c r="AC800" s="50">
        <f>Q800*K800</f>
        <v/>
      </c>
      <c r="AD800" s="50">
        <f>R800*K800</f>
        <v/>
      </c>
      <c r="AE800" s="50">
        <f>S800*K800</f>
        <v/>
      </c>
      <c r="AF800" s="50">
        <f>T800*K800</f>
        <v/>
      </c>
      <c r="AG800" s="50">
        <f>U800*K800</f>
        <v/>
      </c>
      <c r="AH800" s="50">
        <f>V800*K800</f>
        <v/>
      </c>
      <c r="AI800" s="50">
        <f>W800*K800</f>
        <v/>
      </c>
    </row>
    <row r="801">
      <c r="A801" s="25" t="n"/>
      <c r="B801" s="45">
        <f>IF(A801="","",IFERROR(INDEX(Mitarbeiter!$B$6:$B$205,MATCH($A801,Mitarbeiter!$A$6:$A$205,0)),"?"))</f>
        <v/>
      </c>
      <c r="C801" s="46" t="n"/>
      <c r="D801" s="26" t="n"/>
      <c r="E801" s="26" t="n"/>
      <c r="F801" s="24">
        <f>IF(A801="","",SUM(L801:W801))</f>
        <v/>
      </c>
      <c r="G801" s="36">
        <f>IF(A801="","",SUM(X801:AI801))</f>
        <v/>
      </c>
      <c r="H801" s="8">
        <f>IF(A801="","",IF(ISNA(MATCH(A801,Mitarbeiter!$A$6:$A$205,0)),"Pers.-Nr. unbekannt",IF(D801="","Von fehlt",IF(AND(C801&lt;&gt;Einstellungen!$C$4,C801&lt;&gt;Einstellungen!$C$5),"Objekt fehlt",IF(J801&lt;D801,"Bis vor Von",IF(D801&lt;INDEX(Mitarbeiter!$C$6:$C$205,MATCH($A801,Mitarbeiter!$A$6:$A$205,0)),"vor Eintritt",IF(AND(INDEX(Mitarbeiter!$D$6:$D$205,MATCH($A801,Mitarbeiter!$A$6:$A$205,0))&lt;&gt;"",D801&gt;INDEX(Mitarbeiter!$D$6:$D$205,MATCH($A801,Mitarbeiter!$A$6:$A$205,0))),"nach Austritt",IF(E801="","offen","ok"))))))))</f>
        <v/>
      </c>
      <c r="J801" s="47">
        <f>IF(A801="","",IF(E801="",Einstellungen!$C$9,E801))</f>
        <v/>
      </c>
      <c r="K801" s="48">
        <f>IF(A801="",0,IFERROR(INDEX(Mitarbeiter!$F$6:$F$205,MATCH($A801,Mitarbeiter!$A$6:$A$205,0)),0))</f>
        <v/>
      </c>
      <c r="L801" s="49">
        <f>IF(OR(A801="",D801=""),0,MAX(0,NETWORKDAYS(MAX(D801,DATE(Einstellungen!$C$3,1,1)),MIN(J801,DATE(Einstellungen!$C$3,2,0)),Einstellungen!$F$13:$F$32)))</f>
        <v/>
      </c>
      <c r="M801" s="49">
        <f>IF(OR(A801="",D801=""),0,MAX(0,NETWORKDAYS(MAX(D801,DATE(Einstellungen!$C$3,2,1)),MIN(J801,DATE(Einstellungen!$C$3,3,0)),Einstellungen!$F$13:$F$32)))</f>
        <v/>
      </c>
      <c r="N801" s="49">
        <f>IF(OR(A801="",D801=""),0,MAX(0,NETWORKDAYS(MAX(D801,DATE(Einstellungen!$C$3,3,1)),MIN(J801,DATE(Einstellungen!$C$3,4,0)),Einstellungen!$F$13:$F$32)))</f>
        <v/>
      </c>
      <c r="O801" s="49">
        <f>IF(OR(A801="",D801=""),0,MAX(0,NETWORKDAYS(MAX(D801,DATE(Einstellungen!$C$3,4,1)),MIN(J801,DATE(Einstellungen!$C$3,5,0)),Einstellungen!$F$13:$F$32)))</f>
        <v/>
      </c>
      <c r="P801" s="49">
        <f>IF(OR(A801="",D801=""),0,MAX(0,NETWORKDAYS(MAX(D801,DATE(Einstellungen!$C$3,5,1)),MIN(J801,DATE(Einstellungen!$C$3,6,0)),Einstellungen!$F$13:$F$32)))</f>
        <v/>
      </c>
      <c r="Q801" s="49">
        <f>IF(OR(A801="",D801=""),0,MAX(0,NETWORKDAYS(MAX(D801,DATE(Einstellungen!$C$3,6,1)),MIN(J801,DATE(Einstellungen!$C$3,7,0)),Einstellungen!$F$13:$F$32)))</f>
        <v/>
      </c>
      <c r="R801" s="49">
        <f>IF(OR(A801="",D801=""),0,MAX(0,NETWORKDAYS(MAX(D801,DATE(Einstellungen!$C$3,7,1)),MIN(J801,DATE(Einstellungen!$C$3,8,0)),Einstellungen!$F$13:$F$32)))</f>
        <v/>
      </c>
      <c r="S801" s="49">
        <f>IF(OR(A801="",D801=""),0,MAX(0,NETWORKDAYS(MAX(D801,DATE(Einstellungen!$C$3,8,1)),MIN(J801,DATE(Einstellungen!$C$3,9,0)),Einstellungen!$F$13:$F$32)))</f>
        <v/>
      </c>
      <c r="T801" s="49">
        <f>IF(OR(A801="",D801=""),0,MAX(0,NETWORKDAYS(MAX(D801,DATE(Einstellungen!$C$3,9,1)),MIN(J801,DATE(Einstellungen!$C$3,10,0)),Einstellungen!$F$13:$F$32)))</f>
        <v/>
      </c>
      <c r="U801" s="49">
        <f>IF(OR(A801="",D801=""),0,MAX(0,NETWORKDAYS(MAX(D801,DATE(Einstellungen!$C$3,10,1)),MIN(J801,DATE(Einstellungen!$C$3,11,0)),Einstellungen!$F$13:$F$32)))</f>
        <v/>
      </c>
      <c r="V801" s="49">
        <f>IF(OR(A801="",D801=""),0,MAX(0,NETWORKDAYS(MAX(D801,DATE(Einstellungen!$C$3,11,1)),MIN(J801,DATE(Einstellungen!$C$3,12,0)),Einstellungen!$F$13:$F$32)))</f>
        <v/>
      </c>
      <c r="W801" s="49">
        <f>IF(OR(A801="",D801=""),0,MAX(0,NETWORKDAYS(MAX(D801,DATE(Einstellungen!$C$3,12,1)),MIN(J801,DATE(Einstellungen!$C$3,13,0)),Einstellungen!$F$13:$F$32)))</f>
        <v/>
      </c>
      <c r="X801" s="50">
        <f>L801*K801</f>
        <v/>
      </c>
      <c r="Y801" s="50">
        <f>M801*K801</f>
        <v/>
      </c>
      <c r="Z801" s="50">
        <f>N801*K801</f>
        <v/>
      </c>
      <c r="AA801" s="50">
        <f>O801*K801</f>
        <v/>
      </c>
      <c r="AB801" s="50">
        <f>P801*K801</f>
        <v/>
      </c>
      <c r="AC801" s="50">
        <f>Q801*K801</f>
        <v/>
      </c>
      <c r="AD801" s="50">
        <f>R801*K801</f>
        <v/>
      </c>
      <c r="AE801" s="50">
        <f>S801*K801</f>
        <v/>
      </c>
      <c r="AF801" s="50">
        <f>T801*K801</f>
        <v/>
      </c>
      <c r="AG801" s="50">
        <f>U801*K801</f>
        <v/>
      </c>
      <c r="AH801" s="50">
        <f>V801*K801</f>
        <v/>
      </c>
      <c r="AI801" s="50">
        <f>W801*K801</f>
        <v/>
      </c>
    </row>
    <row r="802">
      <c r="A802" s="25" t="n"/>
      <c r="B802" s="45">
        <f>IF(A802="","",IFERROR(INDEX(Mitarbeiter!$B$6:$B$205,MATCH($A802,Mitarbeiter!$A$6:$A$205,0)),"?"))</f>
        <v/>
      </c>
      <c r="C802" s="46" t="n"/>
      <c r="D802" s="26" t="n"/>
      <c r="E802" s="26" t="n"/>
      <c r="F802" s="24">
        <f>IF(A802="","",SUM(L802:W802))</f>
        <v/>
      </c>
      <c r="G802" s="36">
        <f>IF(A802="","",SUM(X802:AI802))</f>
        <v/>
      </c>
      <c r="H802" s="8">
        <f>IF(A802="","",IF(ISNA(MATCH(A802,Mitarbeiter!$A$6:$A$205,0)),"Pers.-Nr. unbekannt",IF(D802="","Von fehlt",IF(AND(C802&lt;&gt;Einstellungen!$C$4,C802&lt;&gt;Einstellungen!$C$5),"Objekt fehlt",IF(J802&lt;D802,"Bis vor Von",IF(D802&lt;INDEX(Mitarbeiter!$C$6:$C$205,MATCH($A802,Mitarbeiter!$A$6:$A$205,0)),"vor Eintritt",IF(AND(INDEX(Mitarbeiter!$D$6:$D$205,MATCH($A802,Mitarbeiter!$A$6:$A$205,0))&lt;&gt;"",D802&gt;INDEX(Mitarbeiter!$D$6:$D$205,MATCH($A802,Mitarbeiter!$A$6:$A$205,0))),"nach Austritt",IF(E802="","offen","ok"))))))))</f>
        <v/>
      </c>
      <c r="J802" s="47">
        <f>IF(A802="","",IF(E802="",Einstellungen!$C$9,E802))</f>
        <v/>
      </c>
      <c r="K802" s="48">
        <f>IF(A802="",0,IFERROR(INDEX(Mitarbeiter!$F$6:$F$205,MATCH($A802,Mitarbeiter!$A$6:$A$205,0)),0))</f>
        <v/>
      </c>
      <c r="L802" s="49">
        <f>IF(OR(A802="",D802=""),0,MAX(0,NETWORKDAYS(MAX(D802,DATE(Einstellungen!$C$3,1,1)),MIN(J802,DATE(Einstellungen!$C$3,2,0)),Einstellungen!$F$13:$F$32)))</f>
        <v/>
      </c>
      <c r="M802" s="49">
        <f>IF(OR(A802="",D802=""),0,MAX(0,NETWORKDAYS(MAX(D802,DATE(Einstellungen!$C$3,2,1)),MIN(J802,DATE(Einstellungen!$C$3,3,0)),Einstellungen!$F$13:$F$32)))</f>
        <v/>
      </c>
      <c r="N802" s="49">
        <f>IF(OR(A802="",D802=""),0,MAX(0,NETWORKDAYS(MAX(D802,DATE(Einstellungen!$C$3,3,1)),MIN(J802,DATE(Einstellungen!$C$3,4,0)),Einstellungen!$F$13:$F$32)))</f>
        <v/>
      </c>
      <c r="O802" s="49">
        <f>IF(OR(A802="",D802=""),0,MAX(0,NETWORKDAYS(MAX(D802,DATE(Einstellungen!$C$3,4,1)),MIN(J802,DATE(Einstellungen!$C$3,5,0)),Einstellungen!$F$13:$F$32)))</f>
        <v/>
      </c>
      <c r="P802" s="49">
        <f>IF(OR(A802="",D802=""),0,MAX(0,NETWORKDAYS(MAX(D802,DATE(Einstellungen!$C$3,5,1)),MIN(J802,DATE(Einstellungen!$C$3,6,0)),Einstellungen!$F$13:$F$32)))</f>
        <v/>
      </c>
      <c r="Q802" s="49">
        <f>IF(OR(A802="",D802=""),0,MAX(0,NETWORKDAYS(MAX(D802,DATE(Einstellungen!$C$3,6,1)),MIN(J802,DATE(Einstellungen!$C$3,7,0)),Einstellungen!$F$13:$F$32)))</f>
        <v/>
      </c>
      <c r="R802" s="49">
        <f>IF(OR(A802="",D802=""),0,MAX(0,NETWORKDAYS(MAX(D802,DATE(Einstellungen!$C$3,7,1)),MIN(J802,DATE(Einstellungen!$C$3,8,0)),Einstellungen!$F$13:$F$32)))</f>
        <v/>
      </c>
      <c r="S802" s="49">
        <f>IF(OR(A802="",D802=""),0,MAX(0,NETWORKDAYS(MAX(D802,DATE(Einstellungen!$C$3,8,1)),MIN(J802,DATE(Einstellungen!$C$3,9,0)),Einstellungen!$F$13:$F$32)))</f>
        <v/>
      </c>
      <c r="T802" s="49">
        <f>IF(OR(A802="",D802=""),0,MAX(0,NETWORKDAYS(MAX(D802,DATE(Einstellungen!$C$3,9,1)),MIN(J802,DATE(Einstellungen!$C$3,10,0)),Einstellungen!$F$13:$F$32)))</f>
        <v/>
      </c>
      <c r="U802" s="49">
        <f>IF(OR(A802="",D802=""),0,MAX(0,NETWORKDAYS(MAX(D802,DATE(Einstellungen!$C$3,10,1)),MIN(J802,DATE(Einstellungen!$C$3,11,0)),Einstellungen!$F$13:$F$32)))</f>
        <v/>
      </c>
      <c r="V802" s="49">
        <f>IF(OR(A802="",D802=""),0,MAX(0,NETWORKDAYS(MAX(D802,DATE(Einstellungen!$C$3,11,1)),MIN(J802,DATE(Einstellungen!$C$3,12,0)),Einstellungen!$F$13:$F$32)))</f>
        <v/>
      </c>
      <c r="W802" s="49">
        <f>IF(OR(A802="",D802=""),0,MAX(0,NETWORKDAYS(MAX(D802,DATE(Einstellungen!$C$3,12,1)),MIN(J802,DATE(Einstellungen!$C$3,13,0)),Einstellungen!$F$13:$F$32)))</f>
        <v/>
      </c>
      <c r="X802" s="50">
        <f>L802*K802</f>
        <v/>
      </c>
      <c r="Y802" s="50">
        <f>M802*K802</f>
        <v/>
      </c>
      <c r="Z802" s="50">
        <f>N802*K802</f>
        <v/>
      </c>
      <c r="AA802" s="50">
        <f>O802*K802</f>
        <v/>
      </c>
      <c r="AB802" s="50">
        <f>P802*K802</f>
        <v/>
      </c>
      <c r="AC802" s="50">
        <f>Q802*K802</f>
        <v/>
      </c>
      <c r="AD802" s="50">
        <f>R802*K802</f>
        <v/>
      </c>
      <c r="AE802" s="50">
        <f>S802*K802</f>
        <v/>
      </c>
      <c r="AF802" s="50">
        <f>T802*K802</f>
        <v/>
      </c>
      <c r="AG802" s="50">
        <f>U802*K802</f>
        <v/>
      </c>
      <c r="AH802" s="50">
        <f>V802*K802</f>
        <v/>
      </c>
      <c r="AI802" s="50">
        <f>W802*K802</f>
        <v/>
      </c>
    </row>
    <row r="803">
      <c r="A803" s="25" t="n"/>
      <c r="B803" s="45">
        <f>IF(A803="","",IFERROR(INDEX(Mitarbeiter!$B$6:$B$205,MATCH($A803,Mitarbeiter!$A$6:$A$205,0)),"?"))</f>
        <v/>
      </c>
      <c r="C803" s="46" t="n"/>
      <c r="D803" s="26" t="n"/>
      <c r="E803" s="26" t="n"/>
      <c r="F803" s="24">
        <f>IF(A803="","",SUM(L803:W803))</f>
        <v/>
      </c>
      <c r="G803" s="36">
        <f>IF(A803="","",SUM(X803:AI803))</f>
        <v/>
      </c>
      <c r="H803" s="8">
        <f>IF(A803="","",IF(ISNA(MATCH(A803,Mitarbeiter!$A$6:$A$205,0)),"Pers.-Nr. unbekannt",IF(D803="","Von fehlt",IF(AND(C803&lt;&gt;Einstellungen!$C$4,C803&lt;&gt;Einstellungen!$C$5),"Objekt fehlt",IF(J803&lt;D803,"Bis vor Von",IF(D803&lt;INDEX(Mitarbeiter!$C$6:$C$205,MATCH($A803,Mitarbeiter!$A$6:$A$205,0)),"vor Eintritt",IF(AND(INDEX(Mitarbeiter!$D$6:$D$205,MATCH($A803,Mitarbeiter!$A$6:$A$205,0))&lt;&gt;"",D803&gt;INDEX(Mitarbeiter!$D$6:$D$205,MATCH($A803,Mitarbeiter!$A$6:$A$205,0))),"nach Austritt",IF(E803="","offen","ok"))))))))</f>
        <v/>
      </c>
      <c r="J803" s="47">
        <f>IF(A803="","",IF(E803="",Einstellungen!$C$9,E803))</f>
        <v/>
      </c>
      <c r="K803" s="48">
        <f>IF(A803="",0,IFERROR(INDEX(Mitarbeiter!$F$6:$F$205,MATCH($A803,Mitarbeiter!$A$6:$A$205,0)),0))</f>
        <v/>
      </c>
      <c r="L803" s="49">
        <f>IF(OR(A803="",D803=""),0,MAX(0,NETWORKDAYS(MAX(D803,DATE(Einstellungen!$C$3,1,1)),MIN(J803,DATE(Einstellungen!$C$3,2,0)),Einstellungen!$F$13:$F$32)))</f>
        <v/>
      </c>
      <c r="M803" s="49">
        <f>IF(OR(A803="",D803=""),0,MAX(0,NETWORKDAYS(MAX(D803,DATE(Einstellungen!$C$3,2,1)),MIN(J803,DATE(Einstellungen!$C$3,3,0)),Einstellungen!$F$13:$F$32)))</f>
        <v/>
      </c>
      <c r="N803" s="49">
        <f>IF(OR(A803="",D803=""),0,MAX(0,NETWORKDAYS(MAX(D803,DATE(Einstellungen!$C$3,3,1)),MIN(J803,DATE(Einstellungen!$C$3,4,0)),Einstellungen!$F$13:$F$32)))</f>
        <v/>
      </c>
      <c r="O803" s="49">
        <f>IF(OR(A803="",D803=""),0,MAX(0,NETWORKDAYS(MAX(D803,DATE(Einstellungen!$C$3,4,1)),MIN(J803,DATE(Einstellungen!$C$3,5,0)),Einstellungen!$F$13:$F$32)))</f>
        <v/>
      </c>
      <c r="P803" s="49">
        <f>IF(OR(A803="",D803=""),0,MAX(0,NETWORKDAYS(MAX(D803,DATE(Einstellungen!$C$3,5,1)),MIN(J803,DATE(Einstellungen!$C$3,6,0)),Einstellungen!$F$13:$F$32)))</f>
        <v/>
      </c>
      <c r="Q803" s="49">
        <f>IF(OR(A803="",D803=""),0,MAX(0,NETWORKDAYS(MAX(D803,DATE(Einstellungen!$C$3,6,1)),MIN(J803,DATE(Einstellungen!$C$3,7,0)),Einstellungen!$F$13:$F$32)))</f>
        <v/>
      </c>
      <c r="R803" s="49">
        <f>IF(OR(A803="",D803=""),0,MAX(0,NETWORKDAYS(MAX(D803,DATE(Einstellungen!$C$3,7,1)),MIN(J803,DATE(Einstellungen!$C$3,8,0)),Einstellungen!$F$13:$F$32)))</f>
        <v/>
      </c>
      <c r="S803" s="49">
        <f>IF(OR(A803="",D803=""),0,MAX(0,NETWORKDAYS(MAX(D803,DATE(Einstellungen!$C$3,8,1)),MIN(J803,DATE(Einstellungen!$C$3,9,0)),Einstellungen!$F$13:$F$32)))</f>
        <v/>
      </c>
      <c r="T803" s="49">
        <f>IF(OR(A803="",D803=""),0,MAX(0,NETWORKDAYS(MAX(D803,DATE(Einstellungen!$C$3,9,1)),MIN(J803,DATE(Einstellungen!$C$3,10,0)),Einstellungen!$F$13:$F$32)))</f>
        <v/>
      </c>
      <c r="U803" s="49">
        <f>IF(OR(A803="",D803=""),0,MAX(0,NETWORKDAYS(MAX(D803,DATE(Einstellungen!$C$3,10,1)),MIN(J803,DATE(Einstellungen!$C$3,11,0)),Einstellungen!$F$13:$F$32)))</f>
        <v/>
      </c>
      <c r="V803" s="49">
        <f>IF(OR(A803="",D803=""),0,MAX(0,NETWORKDAYS(MAX(D803,DATE(Einstellungen!$C$3,11,1)),MIN(J803,DATE(Einstellungen!$C$3,12,0)),Einstellungen!$F$13:$F$32)))</f>
        <v/>
      </c>
      <c r="W803" s="49">
        <f>IF(OR(A803="",D803=""),0,MAX(0,NETWORKDAYS(MAX(D803,DATE(Einstellungen!$C$3,12,1)),MIN(J803,DATE(Einstellungen!$C$3,13,0)),Einstellungen!$F$13:$F$32)))</f>
        <v/>
      </c>
      <c r="X803" s="50">
        <f>L803*K803</f>
        <v/>
      </c>
      <c r="Y803" s="50">
        <f>M803*K803</f>
        <v/>
      </c>
      <c r="Z803" s="50">
        <f>N803*K803</f>
        <v/>
      </c>
      <c r="AA803" s="50">
        <f>O803*K803</f>
        <v/>
      </c>
      <c r="AB803" s="50">
        <f>P803*K803</f>
        <v/>
      </c>
      <c r="AC803" s="50">
        <f>Q803*K803</f>
        <v/>
      </c>
      <c r="AD803" s="50">
        <f>R803*K803</f>
        <v/>
      </c>
      <c r="AE803" s="50">
        <f>S803*K803</f>
        <v/>
      </c>
      <c r="AF803" s="50">
        <f>T803*K803</f>
        <v/>
      </c>
      <c r="AG803" s="50">
        <f>U803*K803</f>
        <v/>
      </c>
      <c r="AH803" s="50">
        <f>V803*K803</f>
        <v/>
      </c>
      <c r="AI803" s="50">
        <f>W803*K803</f>
        <v/>
      </c>
    </row>
    <row r="804">
      <c r="A804" s="25" t="n"/>
      <c r="B804" s="45">
        <f>IF(A804="","",IFERROR(INDEX(Mitarbeiter!$B$6:$B$205,MATCH($A804,Mitarbeiter!$A$6:$A$205,0)),"?"))</f>
        <v/>
      </c>
      <c r="C804" s="46" t="n"/>
      <c r="D804" s="26" t="n"/>
      <c r="E804" s="26" t="n"/>
      <c r="F804" s="24">
        <f>IF(A804="","",SUM(L804:W804))</f>
        <v/>
      </c>
      <c r="G804" s="36">
        <f>IF(A804="","",SUM(X804:AI804))</f>
        <v/>
      </c>
      <c r="H804" s="8">
        <f>IF(A804="","",IF(ISNA(MATCH(A804,Mitarbeiter!$A$6:$A$205,0)),"Pers.-Nr. unbekannt",IF(D804="","Von fehlt",IF(AND(C804&lt;&gt;Einstellungen!$C$4,C804&lt;&gt;Einstellungen!$C$5),"Objekt fehlt",IF(J804&lt;D804,"Bis vor Von",IF(D804&lt;INDEX(Mitarbeiter!$C$6:$C$205,MATCH($A804,Mitarbeiter!$A$6:$A$205,0)),"vor Eintritt",IF(AND(INDEX(Mitarbeiter!$D$6:$D$205,MATCH($A804,Mitarbeiter!$A$6:$A$205,0))&lt;&gt;"",D804&gt;INDEX(Mitarbeiter!$D$6:$D$205,MATCH($A804,Mitarbeiter!$A$6:$A$205,0))),"nach Austritt",IF(E804="","offen","ok"))))))))</f>
        <v/>
      </c>
      <c r="J804" s="47">
        <f>IF(A804="","",IF(E804="",Einstellungen!$C$9,E804))</f>
        <v/>
      </c>
      <c r="K804" s="48">
        <f>IF(A804="",0,IFERROR(INDEX(Mitarbeiter!$F$6:$F$205,MATCH($A804,Mitarbeiter!$A$6:$A$205,0)),0))</f>
        <v/>
      </c>
      <c r="L804" s="49">
        <f>IF(OR(A804="",D804=""),0,MAX(0,NETWORKDAYS(MAX(D804,DATE(Einstellungen!$C$3,1,1)),MIN(J804,DATE(Einstellungen!$C$3,2,0)),Einstellungen!$F$13:$F$32)))</f>
        <v/>
      </c>
      <c r="M804" s="49">
        <f>IF(OR(A804="",D804=""),0,MAX(0,NETWORKDAYS(MAX(D804,DATE(Einstellungen!$C$3,2,1)),MIN(J804,DATE(Einstellungen!$C$3,3,0)),Einstellungen!$F$13:$F$32)))</f>
        <v/>
      </c>
      <c r="N804" s="49">
        <f>IF(OR(A804="",D804=""),0,MAX(0,NETWORKDAYS(MAX(D804,DATE(Einstellungen!$C$3,3,1)),MIN(J804,DATE(Einstellungen!$C$3,4,0)),Einstellungen!$F$13:$F$32)))</f>
        <v/>
      </c>
      <c r="O804" s="49">
        <f>IF(OR(A804="",D804=""),0,MAX(0,NETWORKDAYS(MAX(D804,DATE(Einstellungen!$C$3,4,1)),MIN(J804,DATE(Einstellungen!$C$3,5,0)),Einstellungen!$F$13:$F$32)))</f>
        <v/>
      </c>
      <c r="P804" s="49">
        <f>IF(OR(A804="",D804=""),0,MAX(0,NETWORKDAYS(MAX(D804,DATE(Einstellungen!$C$3,5,1)),MIN(J804,DATE(Einstellungen!$C$3,6,0)),Einstellungen!$F$13:$F$32)))</f>
        <v/>
      </c>
      <c r="Q804" s="49">
        <f>IF(OR(A804="",D804=""),0,MAX(0,NETWORKDAYS(MAX(D804,DATE(Einstellungen!$C$3,6,1)),MIN(J804,DATE(Einstellungen!$C$3,7,0)),Einstellungen!$F$13:$F$32)))</f>
        <v/>
      </c>
      <c r="R804" s="49">
        <f>IF(OR(A804="",D804=""),0,MAX(0,NETWORKDAYS(MAX(D804,DATE(Einstellungen!$C$3,7,1)),MIN(J804,DATE(Einstellungen!$C$3,8,0)),Einstellungen!$F$13:$F$32)))</f>
        <v/>
      </c>
      <c r="S804" s="49">
        <f>IF(OR(A804="",D804=""),0,MAX(0,NETWORKDAYS(MAX(D804,DATE(Einstellungen!$C$3,8,1)),MIN(J804,DATE(Einstellungen!$C$3,9,0)),Einstellungen!$F$13:$F$32)))</f>
        <v/>
      </c>
      <c r="T804" s="49">
        <f>IF(OR(A804="",D804=""),0,MAX(0,NETWORKDAYS(MAX(D804,DATE(Einstellungen!$C$3,9,1)),MIN(J804,DATE(Einstellungen!$C$3,10,0)),Einstellungen!$F$13:$F$32)))</f>
        <v/>
      </c>
      <c r="U804" s="49">
        <f>IF(OR(A804="",D804=""),0,MAX(0,NETWORKDAYS(MAX(D804,DATE(Einstellungen!$C$3,10,1)),MIN(J804,DATE(Einstellungen!$C$3,11,0)),Einstellungen!$F$13:$F$32)))</f>
        <v/>
      </c>
      <c r="V804" s="49">
        <f>IF(OR(A804="",D804=""),0,MAX(0,NETWORKDAYS(MAX(D804,DATE(Einstellungen!$C$3,11,1)),MIN(J804,DATE(Einstellungen!$C$3,12,0)),Einstellungen!$F$13:$F$32)))</f>
        <v/>
      </c>
      <c r="W804" s="49">
        <f>IF(OR(A804="",D804=""),0,MAX(0,NETWORKDAYS(MAX(D804,DATE(Einstellungen!$C$3,12,1)),MIN(J804,DATE(Einstellungen!$C$3,13,0)),Einstellungen!$F$13:$F$32)))</f>
        <v/>
      </c>
      <c r="X804" s="50">
        <f>L804*K804</f>
        <v/>
      </c>
      <c r="Y804" s="50">
        <f>M804*K804</f>
        <v/>
      </c>
      <c r="Z804" s="50">
        <f>N804*K804</f>
        <v/>
      </c>
      <c r="AA804" s="50">
        <f>O804*K804</f>
        <v/>
      </c>
      <c r="AB804" s="50">
        <f>P804*K804</f>
        <v/>
      </c>
      <c r="AC804" s="50">
        <f>Q804*K804</f>
        <v/>
      </c>
      <c r="AD804" s="50">
        <f>R804*K804</f>
        <v/>
      </c>
      <c r="AE804" s="50">
        <f>S804*K804</f>
        <v/>
      </c>
      <c r="AF804" s="50">
        <f>T804*K804</f>
        <v/>
      </c>
      <c r="AG804" s="50">
        <f>U804*K804</f>
        <v/>
      </c>
      <c r="AH804" s="50">
        <f>V804*K804</f>
        <v/>
      </c>
      <c r="AI804" s="50">
        <f>W804*K804</f>
        <v/>
      </c>
    </row>
    <row r="805">
      <c r="A805" s="25" t="n"/>
      <c r="B805" s="45">
        <f>IF(A805="","",IFERROR(INDEX(Mitarbeiter!$B$6:$B$205,MATCH($A805,Mitarbeiter!$A$6:$A$205,0)),"?"))</f>
        <v/>
      </c>
      <c r="C805" s="46" t="n"/>
      <c r="D805" s="26" t="n"/>
      <c r="E805" s="26" t="n"/>
      <c r="F805" s="24">
        <f>IF(A805="","",SUM(L805:W805))</f>
        <v/>
      </c>
      <c r="G805" s="36">
        <f>IF(A805="","",SUM(X805:AI805))</f>
        <v/>
      </c>
      <c r="H805" s="8">
        <f>IF(A805="","",IF(ISNA(MATCH(A805,Mitarbeiter!$A$6:$A$205,0)),"Pers.-Nr. unbekannt",IF(D805="","Von fehlt",IF(AND(C805&lt;&gt;Einstellungen!$C$4,C805&lt;&gt;Einstellungen!$C$5),"Objekt fehlt",IF(J805&lt;D805,"Bis vor Von",IF(D805&lt;INDEX(Mitarbeiter!$C$6:$C$205,MATCH($A805,Mitarbeiter!$A$6:$A$205,0)),"vor Eintritt",IF(AND(INDEX(Mitarbeiter!$D$6:$D$205,MATCH($A805,Mitarbeiter!$A$6:$A$205,0))&lt;&gt;"",D805&gt;INDEX(Mitarbeiter!$D$6:$D$205,MATCH($A805,Mitarbeiter!$A$6:$A$205,0))),"nach Austritt",IF(E805="","offen","ok"))))))))</f>
        <v/>
      </c>
      <c r="J805" s="47">
        <f>IF(A805="","",IF(E805="",Einstellungen!$C$9,E805))</f>
        <v/>
      </c>
      <c r="K805" s="48">
        <f>IF(A805="",0,IFERROR(INDEX(Mitarbeiter!$F$6:$F$205,MATCH($A805,Mitarbeiter!$A$6:$A$205,0)),0))</f>
        <v/>
      </c>
      <c r="L805" s="49">
        <f>IF(OR(A805="",D805=""),0,MAX(0,NETWORKDAYS(MAX(D805,DATE(Einstellungen!$C$3,1,1)),MIN(J805,DATE(Einstellungen!$C$3,2,0)),Einstellungen!$F$13:$F$32)))</f>
        <v/>
      </c>
      <c r="M805" s="49">
        <f>IF(OR(A805="",D805=""),0,MAX(0,NETWORKDAYS(MAX(D805,DATE(Einstellungen!$C$3,2,1)),MIN(J805,DATE(Einstellungen!$C$3,3,0)),Einstellungen!$F$13:$F$32)))</f>
        <v/>
      </c>
      <c r="N805" s="49">
        <f>IF(OR(A805="",D805=""),0,MAX(0,NETWORKDAYS(MAX(D805,DATE(Einstellungen!$C$3,3,1)),MIN(J805,DATE(Einstellungen!$C$3,4,0)),Einstellungen!$F$13:$F$32)))</f>
        <v/>
      </c>
      <c r="O805" s="49">
        <f>IF(OR(A805="",D805=""),0,MAX(0,NETWORKDAYS(MAX(D805,DATE(Einstellungen!$C$3,4,1)),MIN(J805,DATE(Einstellungen!$C$3,5,0)),Einstellungen!$F$13:$F$32)))</f>
        <v/>
      </c>
      <c r="P805" s="49">
        <f>IF(OR(A805="",D805=""),0,MAX(0,NETWORKDAYS(MAX(D805,DATE(Einstellungen!$C$3,5,1)),MIN(J805,DATE(Einstellungen!$C$3,6,0)),Einstellungen!$F$13:$F$32)))</f>
        <v/>
      </c>
      <c r="Q805" s="49">
        <f>IF(OR(A805="",D805=""),0,MAX(0,NETWORKDAYS(MAX(D805,DATE(Einstellungen!$C$3,6,1)),MIN(J805,DATE(Einstellungen!$C$3,7,0)),Einstellungen!$F$13:$F$32)))</f>
        <v/>
      </c>
      <c r="R805" s="49">
        <f>IF(OR(A805="",D805=""),0,MAX(0,NETWORKDAYS(MAX(D805,DATE(Einstellungen!$C$3,7,1)),MIN(J805,DATE(Einstellungen!$C$3,8,0)),Einstellungen!$F$13:$F$32)))</f>
        <v/>
      </c>
      <c r="S805" s="49">
        <f>IF(OR(A805="",D805=""),0,MAX(0,NETWORKDAYS(MAX(D805,DATE(Einstellungen!$C$3,8,1)),MIN(J805,DATE(Einstellungen!$C$3,9,0)),Einstellungen!$F$13:$F$32)))</f>
        <v/>
      </c>
      <c r="T805" s="49">
        <f>IF(OR(A805="",D805=""),0,MAX(0,NETWORKDAYS(MAX(D805,DATE(Einstellungen!$C$3,9,1)),MIN(J805,DATE(Einstellungen!$C$3,10,0)),Einstellungen!$F$13:$F$32)))</f>
        <v/>
      </c>
      <c r="U805" s="49">
        <f>IF(OR(A805="",D805=""),0,MAX(0,NETWORKDAYS(MAX(D805,DATE(Einstellungen!$C$3,10,1)),MIN(J805,DATE(Einstellungen!$C$3,11,0)),Einstellungen!$F$13:$F$32)))</f>
        <v/>
      </c>
      <c r="V805" s="49">
        <f>IF(OR(A805="",D805=""),0,MAX(0,NETWORKDAYS(MAX(D805,DATE(Einstellungen!$C$3,11,1)),MIN(J805,DATE(Einstellungen!$C$3,12,0)),Einstellungen!$F$13:$F$32)))</f>
        <v/>
      </c>
      <c r="W805" s="49">
        <f>IF(OR(A805="",D805=""),0,MAX(0,NETWORKDAYS(MAX(D805,DATE(Einstellungen!$C$3,12,1)),MIN(J805,DATE(Einstellungen!$C$3,13,0)),Einstellungen!$F$13:$F$32)))</f>
        <v/>
      </c>
      <c r="X805" s="50">
        <f>L805*K805</f>
        <v/>
      </c>
      <c r="Y805" s="50">
        <f>M805*K805</f>
        <v/>
      </c>
      <c r="Z805" s="50">
        <f>N805*K805</f>
        <v/>
      </c>
      <c r="AA805" s="50">
        <f>O805*K805</f>
        <v/>
      </c>
      <c r="AB805" s="50">
        <f>P805*K805</f>
        <v/>
      </c>
      <c r="AC805" s="50">
        <f>Q805*K805</f>
        <v/>
      </c>
      <c r="AD805" s="50">
        <f>R805*K805</f>
        <v/>
      </c>
      <c r="AE805" s="50">
        <f>S805*K805</f>
        <v/>
      </c>
      <c r="AF805" s="50">
        <f>T805*K805</f>
        <v/>
      </c>
      <c r="AG805" s="50">
        <f>U805*K805</f>
        <v/>
      </c>
      <c r="AH805" s="50">
        <f>V805*K805</f>
        <v/>
      </c>
      <c r="AI805" s="50">
        <f>W805*K805</f>
        <v/>
      </c>
    </row>
    <row r="806">
      <c r="A806" s="25" t="n"/>
      <c r="B806" s="45">
        <f>IF(A806="","",IFERROR(INDEX(Mitarbeiter!$B$6:$B$205,MATCH($A806,Mitarbeiter!$A$6:$A$205,0)),"?"))</f>
        <v/>
      </c>
      <c r="C806" s="46" t="n"/>
      <c r="D806" s="26" t="n"/>
      <c r="E806" s="26" t="n"/>
      <c r="F806" s="24">
        <f>IF(A806="","",SUM(L806:W806))</f>
        <v/>
      </c>
      <c r="G806" s="36">
        <f>IF(A806="","",SUM(X806:AI806))</f>
        <v/>
      </c>
      <c r="H806" s="8">
        <f>IF(A806="","",IF(ISNA(MATCH(A806,Mitarbeiter!$A$6:$A$205,0)),"Pers.-Nr. unbekannt",IF(D806="","Von fehlt",IF(AND(C806&lt;&gt;Einstellungen!$C$4,C806&lt;&gt;Einstellungen!$C$5),"Objekt fehlt",IF(J806&lt;D806,"Bis vor Von",IF(D806&lt;INDEX(Mitarbeiter!$C$6:$C$205,MATCH($A806,Mitarbeiter!$A$6:$A$205,0)),"vor Eintritt",IF(AND(INDEX(Mitarbeiter!$D$6:$D$205,MATCH($A806,Mitarbeiter!$A$6:$A$205,0))&lt;&gt;"",D806&gt;INDEX(Mitarbeiter!$D$6:$D$205,MATCH($A806,Mitarbeiter!$A$6:$A$205,0))),"nach Austritt",IF(E806="","offen","ok"))))))))</f>
        <v/>
      </c>
      <c r="J806" s="47">
        <f>IF(A806="","",IF(E806="",Einstellungen!$C$9,E806))</f>
        <v/>
      </c>
      <c r="K806" s="48">
        <f>IF(A806="",0,IFERROR(INDEX(Mitarbeiter!$F$6:$F$205,MATCH($A806,Mitarbeiter!$A$6:$A$205,0)),0))</f>
        <v/>
      </c>
      <c r="L806" s="49">
        <f>IF(OR(A806="",D806=""),0,MAX(0,NETWORKDAYS(MAX(D806,DATE(Einstellungen!$C$3,1,1)),MIN(J806,DATE(Einstellungen!$C$3,2,0)),Einstellungen!$F$13:$F$32)))</f>
        <v/>
      </c>
      <c r="M806" s="49">
        <f>IF(OR(A806="",D806=""),0,MAX(0,NETWORKDAYS(MAX(D806,DATE(Einstellungen!$C$3,2,1)),MIN(J806,DATE(Einstellungen!$C$3,3,0)),Einstellungen!$F$13:$F$32)))</f>
        <v/>
      </c>
      <c r="N806" s="49">
        <f>IF(OR(A806="",D806=""),0,MAX(0,NETWORKDAYS(MAX(D806,DATE(Einstellungen!$C$3,3,1)),MIN(J806,DATE(Einstellungen!$C$3,4,0)),Einstellungen!$F$13:$F$32)))</f>
        <v/>
      </c>
      <c r="O806" s="49">
        <f>IF(OR(A806="",D806=""),0,MAX(0,NETWORKDAYS(MAX(D806,DATE(Einstellungen!$C$3,4,1)),MIN(J806,DATE(Einstellungen!$C$3,5,0)),Einstellungen!$F$13:$F$32)))</f>
        <v/>
      </c>
      <c r="P806" s="49">
        <f>IF(OR(A806="",D806=""),0,MAX(0,NETWORKDAYS(MAX(D806,DATE(Einstellungen!$C$3,5,1)),MIN(J806,DATE(Einstellungen!$C$3,6,0)),Einstellungen!$F$13:$F$32)))</f>
        <v/>
      </c>
      <c r="Q806" s="49">
        <f>IF(OR(A806="",D806=""),0,MAX(0,NETWORKDAYS(MAX(D806,DATE(Einstellungen!$C$3,6,1)),MIN(J806,DATE(Einstellungen!$C$3,7,0)),Einstellungen!$F$13:$F$32)))</f>
        <v/>
      </c>
      <c r="R806" s="49">
        <f>IF(OR(A806="",D806=""),0,MAX(0,NETWORKDAYS(MAX(D806,DATE(Einstellungen!$C$3,7,1)),MIN(J806,DATE(Einstellungen!$C$3,8,0)),Einstellungen!$F$13:$F$32)))</f>
        <v/>
      </c>
      <c r="S806" s="49">
        <f>IF(OR(A806="",D806=""),0,MAX(0,NETWORKDAYS(MAX(D806,DATE(Einstellungen!$C$3,8,1)),MIN(J806,DATE(Einstellungen!$C$3,9,0)),Einstellungen!$F$13:$F$32)))</f>
        <v/>
      </c>
      <c r="T806" s="49">
        <f>IF(OR(A806="",D806=""),0,MAX(0,NETWORKDAYS(MAX(D806,DATE(Einstellungen!$C$3,9,1)),MIN(J806,DATE(Einstellungen!$C$3,10,0)),Einstellungen!$F$13:$F$32)))</f>
        <v/>
      </c>
      <c r="U806" s="49">
        <f>IF(OR(A806="",D806=""),0,MAX(0,NETWORKDAYS(MAX(D806,DATE(Einstellungen!$C$3,10,1)),MIN(J806,DATE(Einstellungen!$C$3,11,0)),Einstellungen!$F$13:$F$32)))</f>
        <v/>
      </c>
      <c r="V806" s="49">
        <f>IF(OR(A806="",D806=""),0,MAX(0,NETWORKDAYS(MAX(D806,DATE(Einstellungen!$C$3,11,1)),MIN(J806,DATE(Einstellungen!$C$3,12,0)),Einstellungen!$F$13:$F$32)))</f>
        <v/>
      </c>
      <c r="W806" s="49">
        <f>IF(OR(A806="",D806=""),0,MAX(0,NETWORKDAYS(MAX(D806,DATE(Einstellungen!$C$3,12,1)),MIN(J806,DATE(Einstellungen!$C$3,13,0)),Einstellungen!$F$13:$F$32)))</f>
        <v/>
      </c>
      <c r="X806" s="50">
        <f>L806*K806</f>
        <v/>
      </c>
      <c r="Y806" s="50">
        <f>M806*K806</f>
        <v/>
      </c>
      <c r="Z806" s="50">
        <f>N806*K806</f>
        <v/>
      </c>
      <c r="AA806" s="50">
        <f>O806*K806</f>
        <v/>
      </c>
      <c r="AB806" s="50">
        <f>P806*K806</f>
        <v/>
      </c>
      <c r="AC806" s="50">
        <f>Q806*K806</f>
        <v/>
      </c>
      <c r="AD806" s="50">
        <f>R806*K806</f>
        <v/>
      </c>
      <c r="AE806" s="50">
        <f>S806*K806</f>
        <v/>
      </c>
      <c r="AF806" s="50">
        <f>T806*K806</f>
        <v/>
      </c>
      <c r="AG806" s="50">
        <f>U806*K806</f>
        <v/>
      </c>
      <c r="AH806" s="50">
        <f>V806*K806</f>
        <v/>
      </c>
      <c r="AI806" s="50">
        <f>W806*K806</f>
        <v/>
      </c>
    </row>
    <row r="807">
      <c r="A807" s="25" t="n"/>
      <c r="B807" s="45">
        <f>IF(A807="","",IFERROR(INDEX(Mitarbeiter!$B$6:$B$205,MATCH($A807,Mitarbeiter!$A$6:$A$205,0)),"?"))</f>
        <v/>
      </c>
      <c r="C807" s="46" t="n"/>
      <c r="D807" s="26" t="n"/>
      <c r="E807" s="26" t="n"/>
      <c r="F807" s="24">
        <f>IF(A807="","",SUM(L807:W807))</f>
        <v/>
      </c>
      <c r="G807" s="36">
        <f>IF(A807="","",SUM(X807:AI807))</f>
        <v/>
      </c>
      <c r="H807" s="8">
        <f>IF(A807="","",IF(ISNA(MATCH(A807,Mitarbeiter!$A$6:$A$205,0)),"Pers.-Nr. unbekannt",IF(D807="","Von fehlt",IF(AND(C807&lt;&gt;Einstellungen!$C$4,C807&lt;&gt;Einstellungen!$C$5),"Objekt fehlt",IF(J807&lt;D807,"Bis vor Von",IF(D807&lt;INDEX(Mitarbeiter!$C$6:$C$205,MATCH($A807,Mitarbeiter!$A$6:$A$205,0)),"vor Eintritt",IF(AND(INDEX(Mitarbeiter!$D$6:$D$205,MATCH($A807,Mitarbeiter!$A$6:$A$205,0))&lt;&gt;"",D807&gt;INDEX(Mitarbeiter!$D$6:$D$205,MATCH($A807,Mitarbeiter!$A$6:$A$205,0))),"nach Austritt",IF(E807="","offen","ok"))))))))</f>
        <v/>
      </c>
      <c r="J807" s="47">
        <f>IF(A807="","",IF(E807="",Einstellungen!$C$9,E807))</f>
        <v/>
      </c>
      <c r="K807" s="48">
        <f>IF(A807="",0,IFERROR(INDEX(Mitarbeiter!$F$6:$F$205,MATCH($A807,Mitarbeiter!$A$6:$A$205,0)),0))</f>
        <v/>
      </c>
      <c r="L807" s="49">
        <f>IF(OR(A807="",D807=""),0,MAX(0,NETWORKDAYS(MAX(D807,DATE(Einstellungen!$C$3,1,1)),MIN(J807,DATE(Einstellungen!$C$3,2,0)),Einstellungen!$F$13:$F$32)))</f>
        <v/>
      </c>
      <c r="M807" s="49">
        <f>IF(OR(A807="",D807=""),0,MAX(0,NETWORKDAYS(MAX(D807,DATE(Einstellungen!$C$3,2,1)),MIN(J807,DATE(Einstellungen!$C$3,3,0)),Einstellungen!$F$13:$F$32)))</f>
        <v/>
      </c>
      <c r="N807" s="49">
        <f>IF(OR(A807="",D807=""),0,MAX(0,NETWORKDAYS(MAX(D807,DATE(Einstellungen!$C$3,3,1)),MIN(J807,DATE(Einstellungen!$C$3,4,0)),Einstellungen!$F$13:$F$32)))</f>
        <v/>
      </c>
      <c r="O807" s="49">
        <f>IF(OR(A807="",D807=""),0,MAX(0,NETWORKDAYS(MAX(D807,DATE(Einstellungen!$C$3,4,1)),MIN(J807,DATE(Einstellungen!$C$3,5,0)),Einstellungen!$F$13:$F$32)))</f>
        <v/>
      </c>
      <c r="P807" s="49">
        <f>IF(OR(A807="",D807=""),0,MAX(0,NETWORKDAYS(MAX(D807,DATE(Einstellungen!$C$3,5,1)),MIN(J807,DATE(Einstellungen!$C$3,6,0)),Einstellungen!$F$13:$F$32)))</f>
        <v/>
      </c>
      <c r="Q807" s="49">
        <f>IF(OR(A807="",D807=""),0,MAX(0,NETWORKDAYS(MAX(D807,DATE(Einstellungen!$C$3,6,1)),MIN(J807,DATE(Einstellungen!$C$3,7,0)),Einstellungen!$F$13:$F$32)))</f>
        <v/>
      </c>
      <c r="R807" s="49">
        <f>IF(OR(A807="",D807=""),0,MAX(0,NETWORKDAYS(MAX(D807,DATE(Einstellungen!$C$3,7,1)),MIN(J807,DATE(Einstellungen!$C$3,8,0)),Einstellungen!$F$13:$F$32)))</f>
        <v/>
      </c>
      <c r="S807" s="49">
        <f>IF(OR(A807="",D807=""),0,MAX(0,NETWORKDAYS(MAX(D807,DATE(Einstellungen!$C$3,8,1)),MIN(J807,DATE(Einstellungen!$C$3,9,0)),Einstellungen!$F$13:$F$32)))</f>
        <v/>
      </c>
      <c r="T807" s="49">
        <f>IF(OR(A807="",D807=""),0,MAX(0,NETWORKDAYS(MAX(D807,DATE(Einstellungen!$C$3,9,1)),MIN(J807,DATE(Einstellungen!$C$3,10,0)),Einstellungen!$F$13:$F$32)))</f>
        <v/>
      </c>
      <c r="U807" s="49">
        <f>IF(OR(A807="",D807=""),0,MAX(0,NETWORKDAYS(MAX(D807,DATE(Einstellungen!$C$3,10,1)),MIN(J807,DATE(Einstellungen!$C$3,11,0)),Einstellungen!$F$13:$F$32)))</f>
        <v/>
      </c>
      <c r="V807" s="49">
        <f>IF(OR(A807="",D807=""),0,MAX(0,NETWORKDAYS(MAX(D807,DATE(Einstellungen!$C$3,11,1)),MIN(J807,DATE(Einstellungen!$C$3,12,0)),Einstellungen!$F$13:$F$32)))</f>
        <v/>
      </c>
      <c r="W807" s="49">
        <f>IF(OR(A807="",D807=""),0,MAX(0,NETWORKDAYS(MAX(D807,DATE(Einstellungen!$C$3,12,1)),MIN(J807,DATE(Einstellungen!$C$3,13,0)),Einstellungen!$F$13:$F$32)))</f>
        <v/>
      </c>
      <c r="X807" s="50">
        <f>L807*K807</f>
        <v/>
      </c>
      <c r="Y807" s="50">
        <f>M807*K807</f>
        <v/>
      </c>
      <c r="Z807" s="50">
        <f>N807*K807</f>
        <v/>
      </c>
      <c r="AA807" s="50">
        <f>O807*K807</f>
        <v/>
      </c>
      <c r="AB807" s="50">
        <f>P807*K807</f>
        <v/>
      </c>
      <c r="AC807" s="50">
        <f>Q807*K807</f>
        <v/>
      </c>
      <c r="AD807" s="50">
        <f>R807*K807</f>
        <v/>
      </c>
      <c r="AE807" s="50">
        <f>S807*K807</f>
        <v/>
      </c>
      <c r="AF807" s="50">
        <f>T807*K807</f>
        <v/>
      </c>
      <c r="AG807" s="50">
        <f>U807*K807</f>
        <v/>
      </c>
      <c r="AH807" s="50">
        <f>V807*K807</f>
        <v/>
      </c>
      <c r="AI807" s="50">
        <f>W807*K807</f>
        <v/>
      </c>
    </row>
    <row r="808">
      <c r="A808" s="25" t="n"/>
      <c r="B808" s="45">
        <f>IF(A808="","",IFERROR(INDEX(Mitarbeiter!$B$6:$B$205,MATCH($A808,Mitarbeiter!$A$6:$A$205,0)),"?"))</f>
        <v/>
      </c>
      <c r="C808" s="46" t="n"/>
      <c r="D808" s="26" t="n"/>
      <c r="E808" s="26" t="n"/>
      <c r="F808" s="24">
        <f>IF(A808="","",SUM(L808:W808))</f>
        <v/>
      </c>
      <c r="G808" s="36">
        <f>IF(A808="","",SUM(X808:AI808))</f>
        <v/>
      </c>
      <c r="H808" s="8">
        <f>IF(A808="","",IF(ISNA(MATCH(A808,Mitarbeiter!$A$6:$A$205,0)),"Pers.-Nr. unbekannt",IF(D808="","Von fehlt",IF(AND(C808&lt;&gt;Einstellungen!$C$4,C808&lt;&gt;Einstellungen!$C$5),"Objekt fehlt",IF(J808&lt;D808,"Bis vor Von",IF(D808&lt;INDEX(Mitarbeiter!$C$6:$C$205,MATCH($A808,Mitarbeiter!$A$6:$A$205,0)),"vor Eintritt",IF(AND(INDEX(Mitarbeiter!$D$6:$D$205,MATCH($A808,Mitarbeiter!$A$6:$A$205,0))&lt;&gt;"",D808&gt;INDEX(Mitarbeiter!$D$6:$D$205,MATCH($A808,Mitarbeiter!$A$6:$A$205,0))),"nach Austritt",IF(E808="","offen","ok"))))))))</f>
        <v/>
      </c>
      <c r="J808" s="47">
        <f>IF(A808="","",IF(E808="",Einstellungen!$C$9,E808))</f>
        <v/>
      </c>
      <c r="K808" s="48">
        <f>IF(A808="",0,IFERROR(INDEX(Mitarbeiter!$F$6:$F$205,MATCH($A808,Mitarbeiter!$A$6:$A$205,0)),0))</f>
        <v/>
      </c>
      <c r="L808" s="49">
        <f>IF(OR(A808="",D808=""),0,MAX(0,NETWORKDAYS(MAX(D808,DATE(Einstellungen!$C$3,1,1)),MIN(J808,DATE(Einstellungen!$C$3,2,0)),Einstellungen!$F$13:$F$32)))</f>
        <v/>
      </c>
      <c r="M808" s="49">
        <f>IF(OR(A808="",D808=""),0,MAX(0,NETWORKDAYS(MAX(D808,DATE(Einstellungen!$C$3,2,1)),MIN(J808,DATE(Einstellungen!$C$3,3,0)),Einstellungen!$F$13:$F$32)))</f>
        <v/>
      </c>
      <c r="N808" s="49">
        <f>IF(OR(A808="",D808=""),0,MAX(0,NETWORKDAYS(MAX(D808,DATE(Einstellungen!$C$3,3,1)),MIN(J808,DATE(Einstellungen!$C$3,4,0)),Einstellungen!$F$13:$F$32)))</f>
        <v/>
      </c>
      <c r="O808" s="49">
        <f>IF(OR(A808="",D808=""),0,MAX(0,NETWORKDAYS(MAX(D808,DATE(Einstellungen!$C$3,4,1)),MIN(J808,DATE(Einstellungen!$C$3,5,0)),Einstellungen!$F$13:$F$32)))</f>
        <v/>
      </c>
      <c r="P808" s="49">
        <f>IF(OR(A808="",D808=""),0,MAX(0,NETWORKDAYS(MAX(D808,DATE(Einstellungen!$C$3,5,1)),MIN(J808,DATE(Einstellungen!$C$3,6,0)),Einstellungen!$F$13:$F$32)))</f>
        <v/>
      </c>
      <c r="Q808" s="49">
        <f>IF(OR(A808="",D808=""),0,MAX(0,NETWORKDAYS(MAX(D808,DATE(Einstellungen!$C$3,6,1)),MIN(J808,DATE(Einstellungen!$C$3,7,0)),Einstellungen!$F$13:$F$32)))</f>
        <v/>
      </c>
      <c r="R808" s="49">
        <f>IF(OR(A808="",D808=""),0,MAX(0,NETWORKDAYS(MAX(D808,DATE(Einstellungen!$C$3,7,1)),MIN(J808,DATE(Einstellungen!$C$3,8,0)),Einstellungen!$F$13:$F$32)))</f>
        <v/>
      </c>
      <c r="S808" s="49">
        <f>IF(OR(A808="",D808=""),0,MAX(0,NETWORKDAYS(MAX(D808,DATE(Einstellungen!$C$3,8,1)),MIN(J808,DATE(Einstellungen!$C$3,9,0)),Einstellungen!$F$13:$F$32)))</f>
        <v/>
      </c>
      <c r="T808" s="49">
        <f>IF(OR(A808="",D808=""),0,MAX(0,NETWORKDAYS(MAX(D808,DATE(Einstellungen!$C$3,9,1)),MIN(J808,DATE(Einstellungen!$C$3,10,0)),Einstellungen!$F$13:$F$32)))</f>
        <v/>
      </c>
      <c r="U808" s="49">
        <f>IF(OR(A808="",D808=""),0,MAX(0,NETWORKDAYS(MAX(D808,DATE(Einstellungen!$C$3,10,1)),MIN(J808,DATE(Einstellungen!$C$3,11,0)),Einstellungen!$F$13:$F$32)))</f>
        <v/>
      </c>
      <c r="V808" s="49">
        <f>IF(OR(A808="",D808=""),0,MAX(0,NETWORKDAYS(MAX(D808,DATE(Einstellungen!$C$3,11,1)),MIN(J808,DATE(Einstellungen!$C$3,12,0)),Einstellungen!$F$13:$F$32)))</f>
        <v/>
      </c>
      <c r="W808" s="49">
        <f>IF(OR(A808="",D808=""),0,MAX(0,NETWORKDAYS(MAX(D808,DATE(Einstellungen!$C$3,12,1)),MIN(J808,DATE(Einstellungen!$C$3,13,0)),Einstellungen!$F$13:$F$32)))</f>
        <v/>
      </c>
      <c r="X808" s="50">
        <f>L808*K808</f>
        <v/>
      </c>
      <c r="Y808" s="50">
        <f>M808*K808</f>
        <v/>
      </c>
      <c r="Z808" s="50">
        <f>N808*K808</f>
        <v/>
      </c>
      <c r="AA808" s="50">
        <f>O808*K808</f>
        <v/>
      </c>
      <c r="AB808" s="50">
        <f>P808*K808</f>
        <v/>
      </c>
      <c r="AC808" s="50">
        <f>Q808*K808</f>
        <v/>
      </c>
      <c r="AD808" s="50">
        <f>R808*K808</f>
        <v/>
      </c>
      <c r="AE808" s="50">
        <f>S808*K808</f>
        <v/>
      </c>
      <c r="AF808" s="50">
        <f>T808*K808</f>
        <v/>
      </c>
      <c r="AG808" s="50">
        <f>U808*K808</f>
        <v/>
      </c>
      <c r="AH808" s="50">
        <f>V808*K808</f>
        <v/>
      </c>
      <c r="AI808" s="50">
        <f>W808*K808</f>
        <v/>
      </c>
    </row>
    <row r="809">
      <c r="A809" s="25" t="n"/>
      <c r="B809" s="45">
        <f>IF(A809="","",IFERROR(INDEX(Mitarbeiter!$B$6:$B$205,MATCH($A809,Mitarbeiter!$A$6:$A$205,0)),"?"))</f>
        <v/>
      </c>
      <c r="C809" s="46" t="n"/>
      <c r="D809" s="26" t="n"/>
      <c r="E809" s="26" t="n"/>
      <c r="F809" s="24">
        <f>IF(A809="","",SUM(L809:W809))</f>
        <v/>
      </c>
      <c r="G809" s="36">
        <f>IF(A809="","",SUM(X809:AI809))</f>
        <v/>
      </c>
      <c r="H809" s="8">
        <f>IF(A809="","",IF(ISNA(MATCH(A809,Mitarbeiter!$A$6:$A$205,0)),"Pers.-Nr. unbekannt",IF(D809="","Von fehlt",IF(AND(C809&lt;&gt;Einstellungen!$C$4,C809&lt;&gt;Einstellungen!$C$5),"Objekt fehlt",IF(J809&lt;D809,"Bis vor Von",IF(D809&lt;INDEX(Mitarbeiter!$C$6:$C$205,MATCH($A809,Mitarbeiter!$A$6:$A$205,0)),"vor Eintritt",IF(AND(INDEX(Mitarbeiter!$D$6:$D$205,MATCH($A809,Mitarbeiter!$A$6:$A$205,0))&lt;&gt;"",D809&gt;INDEX(Mitarbeiter!$D$6:$D$205,MATCH($A809,Mitarbeiter!$A$6:$A$205,0))),"nach Austritt",IF(E809="","offen","ok"))))))))</f>
        <v/>
      </c>
      <c r="J809" s="47">
        <f>IF(A809="","",IF(E809="",Einstellungen!$C$9,E809))</f>
        <v/>
      </c>
      <c r="K809" s="48">
        <f>IF(A809="",0,IFERROR(INDEX(Mitarbeiter!$F$6:$F$205,MATCH($A809,Mitarbeiter!$A$6:$A$205,0)),0))</f>
        <v/>
      </c>
      <c r="L809" s="49">
        <f>IF(OR(A809="",D809=""),0,MAX(0,NETWORKDAYS(MAX(D809,DATE(Einstellungen!$C$3,1,1)),MIN(J809,DATE(Einstellungen!$C$3,2,0)),Einstellungen!$F$13:$F$32)))</f>
        <v/>
      </c>
      <c r="M809" s="49">
        <f>IF(OR(A809="",D809=""),0,MAX(0,NETWORKDAYS(MAX(D809,DATE(Einstellungen!$C$3,2,1)),MIN(J809,DATE(Einstellungen!$C$3,3,0)),Einstellungen!$F$13:$F$32)))</f>
        <v/>
      </c>
      <c r="N809" s="49">
        <f>IF(OR(A809="",D809=""),0,MAX(0,NETWORKDAYS(MAX(D809,DATE(Einstellungen!$C$3,3,1)),MIN(J809,DATE(Einstellungen!$C$3,4,0)),Einstellungen!$F$13:$F$32)))</f>
        <v/>
      </c>
      <c r="O809" s="49">
        <f>IF(OR(A809="",D809=""),0,MAX(0,NETWORKDAYS(MAX(D809,DATE(Einstellungen!$C$3,4,1)),MIN(J809,DATE(Einstellungen!$C$3,5,0)),Einstellungen!$F$13:$F$32)))</f>
        <v/>
      </c>
      <c r="P809" s="49">
        <f>IF(OR(A809="",D809=""),0,MAX(0,NETWORKDAYS(MAX(D809,DATE(Einstellungen!$C$3,5,1)),MIN(J809,DATE(Einstellungen!$C$3,6,0)),Einstellungen!$F$13:$F$32)))</f>
        <v/>
      </c>
      <c r="Q809" s="49">
        <f>IF(OR(A809="",D809=""),0,MAX(0,NETWORKDAYS(MAX(D809,DATE(Einstellungen!$C$3,6,1)),MIN(J809,DATE(Einstellungen!$C$3,7,0)),Einstellungen!$F$13:$F$32)))</f>
        <v/>
      </c>
      <c r="R809" s="49">
        <f>IF(OR(A809="",D809=""),0,MAX(0,NETWORKDAYS(MAX(D809,DATE(Einstellungen!$C$3,7,1)),MIN(J809,DATE(Einstellungen!$C$3,8,0)),Einstellungen!$F$13:$F$32)))</f>
        <v/>
      </c>
      <c r="S809" s="49">
        <f>IF(OR(A809="",D809=""),0,MAX(0,NETWORKDAYS(MAX(D809,DATE(Einstellungen!$C$3,8,1)),MIN(J809,DATE(Einstellungen!$C$3,9,0)),Einstellungen!$F$13:$F$32)))</f>
        <v/>
      </c>
      <c r="T809" s="49">
        <f>IF(OR(A809="",D809=""),0,MAX(0,NETWORKDAYS(MAX(D809,DATE(Einstellungen!$C$3,9,1)),MIN(J809,DATE(Einstellungen!$C$3,10,0)),Einstellungen!$F$13:$F$32)))</f>
        <v/>
      </c>
      <c r="U809" s="49">
        <f>IF(OR(A809="",D809=""),0,MAX(0,NETWORKDAYS(MAX(D809,DATE(Einstellungen!$C$3,10,1)),MIN(J809,DATE(Einstellungen!$C$3,11,0)),Einstellungen!$F$13:$F$32)))</f>
        <v/>
      </c>
      <c r="V809" s="49">
        <f>IF(OR(A809="",D809=""),0,MAX(0,NETWORKDAYS(MAX(D809,DATE(Einstellungen!$C$3,11,1)),MIN(J809,DATE(Einstellungen!$C$3,12,0)),Einstellungen!$F$13:$F$32)))</f>
        <v/>
      </c>
      <c r="W809" s="49">
        <f>IF(OR(A809="",D809=""),0,MAX(0,NETWORKDAYS(MAX(D809,DATE(Einstellungen!$C$3,12,1)),MIN(J809,DATE(Einstellungen!$C$3,13,0)),Einstellungen!$F$13:$F$32)))</f>
        <v/>
      </c>
      <c r="X809" s="50">
        <f>L809*K809</f>
        <v/>
      </c>
      <c r="Y809" s="50">
        <f>M809*K809</f>
        <v/>
      </c>
      <c r="Z809" s="50">
        <f>N809*K809</f>
        <v/>
      </c>
      <c r="AA809" s="50">
        <f>O809*K809</f>
        <v/>
      </c>
      <c r="AB809" s="50">
        <f>P809*K809</f>
        <v/>
      </c>
      <c r="AC809" s="50">
        <f>Q809*K809</f>
        <v/>
      </c>
      <c r="AD809" s="50">
        <f>R809*K809</f>
        <v/>
      </c>
      <c r="AE809" s="50">
        <f>S809*K809</f>
        <v/>
      </c>
      <c r="AF809" s="50">
        <f>T809*K809</f>
        <v/>
      </c>
      <c r="AG809" s="50">
        <f>U809*K809</f>
        <v/>
      </c>
      <c r="AH809" s="50">
        <f>V809*K809</f>
        <v/>
      </c>
      <c r="AI809" s="50">
        <f>W809*K809</f>
        <v/>
      </c>
    </row>
    <row r="810">
      <c r="A810" s="25" t="n"/>
      <c r="B810" s="45">
        <f>IF(A810="","",IFERROR(INDEX(Mitarbeiter!$B$6:$B$205,MATCH($A810,Mitarbeiter!$A$6:$A$205,0)),"?"))</f>
        <v/>
      </c>
      <c r="C810" s="46" t="n"/>
      <c r="D810" s="26" t="n"/>
      <c r="E810" s="26" t="n"/>
      <c r="F810" s="24">
        <f>IF(A810="","",SUM(L810:W810))</f>
        <v/>
      </c>
      <c r="G810" s="36">
        <f>IF(A810="","",SUM(X810:AI810))</f>
        <v/>
      </c>
      <c r="H810" s="8">
        <f>IF(A810="","",IF(ISNA(MATCH(A810,Mitarbeiter!$A$6:$A$205,0)),"Pers.-Nr. unbekannt",IF(D810="","Von fehlt",IF(AND(C810&lt;&gt;Einstellungen!$C$4,C810&lt;&gt;Einstellungen!$C$5),"Objekt fehlt",IF(J810&lt;D810,"Bis vor Von",IF(D810&lt;INDEX(Mitarbeiter!$C$6:$C$205,MATCH($A810,Mitarbeiter!$A$6:$A$205,0)),"vor Eintritt",IF(AND(INDEX(Mitarbeiter!$D$6:$D$205,MATCH($A810,Mitarbeiter!$A$6:$A$205,0))&lt;&gt;"",D810&gt;INDEX(Mitarbeiter!$D$6:$D$205,MATCH($A810,Mitarbeiter!$A$6:$A$205,0))),"nach Austritt",IF(E810="","offen","ok"))))))))</f>
        <v/>
      </c>
      <c r="J810" s="47">
        <f>IF(A810="","",IF(E810="",Einstellungen!$C$9,E810))</f>
        <v/>
      </c>
      <c r="K810" s="48">
        <f>IF(A810="",0,IFERROR(INDEX(Mitarbeiter!$F$6:$F$205,MATCH($A810,Mitarbeiter!$A$6:$A$205,0)),0))</f>
        <v/>
      </c>
      <c r="L810" s="49">
        <f>IF(OR(A810="",D810=""),0,MAX(0,NETWORKDAYS(MAX(D810,DATE(Einstellungen!$C$3,1,1)),MIN(J810,DATE(Einstellungen!$C$3,2,0)),Einstellungen!$F$13:$F$32)))</f>
        <v/>
      </c>
      <c r="M810" s="49">
        <f>IF(OR(A810="",D810=""),0,MAX(0,NETWORKDAYS(MAX(D810,DATE(Einstellungen!$C$3,2,1)),MIN(J810,DATE(Einstellungen!$C$3,3,0)),Einstellungen!$F$13:$F$32)))</f>
        <v/>
      </c>
      <c r="N810" s="49">
        <f>IF(OR(A810="",D810=""),0,MAX(0,NETWORKDAYS(MAX(D810,DATE(Einstellungen!$C$3,3,1)),MIN(J810,DATE(Einstellungen!$C$3,4,0)),Einstellungen!$F$13:$F$32)))</f>
        <v/>
      </c>
      <c r="O810" s="49">
        <f>IF(OR(A810="",D810=""),0,MAX(0,NETWORKDAYS(MAX(D810,DATE(Einstellungen!$C$3,4,1)),MIN(J810,DATE(Einstellungen!$C$3,5,0)),Einstellungen!$F$13:$F$32)))</f>
        <v/>
      </c>
      <c r="P810" s="49">
        <f>IF(OR(A810="",D810=""),0,MAX(0,NETWORKDAYS(MAX(D810,DATE(Einstellungen!$C$3,5,1)),MIN(J810,DATE(Einstellungen!$C$3,6,0)),Einstellungen!$F$13:$F$32)))</f>
        <v/>
      </c>
      <c r="Q810" s="49">
        <f>IF(OR(A810="",D810=""),0,MAX(0,NETWORKDAYS(MAX(D810,DATE(Einstellungen!$C$3,6,1)),MIN(J810,DATE(Einstellungen!$C$3,7,0)),Einstellungen!$F$13:$F$32)))</f>
        <v/>
      </c>
      <c r="R810" s="49">
        <f>IF(OR(A810="",D810=""),0,MAX(0,NETWORKDAYS(MAX(D810,DATE(Einstellungen!$C$3,7,1)),MIN(J810,DATE(Einstellungen!$C$3,8,0)),Einstellungen!$F$13:$F$32)))</f>
        <v/>
      </c>
      <c r="S810" s="49">
        <f>IF(OR(A810="",D810=""),0,MAX(0,NETWORKDAYS(MAX(D810,DATE(Einstellungen!$C$3,8,1)),MIN(J810,DATE(Einstellungen!$C$3,9,0)),Einstellungen!$F$13:$F$32)))</f>
        <v/>
      </c>
      <c r="T810" s="49">
        <f>IF(OR(A810="",D810=""),0,MAX(0,NETWORKDAYS(MAX(D810,DATE(Einstellungen!$C$3,9,1)),MIN(J810,DATE(Einstellungen!$C$3,10,0)),Einstellungen!$F$13:$F$32)))</f>
        <v/>
      </c>
      <c r="U810" s="49">
        <f>IF(OR(A810="",D810=""),0,MAX(0,NETWORKDAYS(MAX(D810,DATE(Einstellungen!$C$3,10,1)),MIN(J810,DATE(Einstellungen!$C$3,11,0)),Einstellungen!$F$13:$F$32)))</f>
        <v/>
      </c>
      <c r="V810" s="49">
        <f>IF(OR(A810="",D810=""),0,MAX(0,NETWORKDAYS(MAX(D810,DATE(Einstellungen!$C$3,11,1)),MIN(J810,DATE(Einstellungen!$C$3,12,0)),Einstellungen!$F$13:$F$32)))</f>
        <v/>
      </c>
      <c r="W810" s="49">
        <f>IF(OR(A810="",D810=""),0,MAX(0,NETWORKDAYS(MAX(D810,DATE(Einstellungen!$C$3,12,1)),MIN(J810,DATE(Einstellungen!$C$3,13,0)),Einstellungen!$F$13:$F$32)))</f>
        <v/>
      </c>
      <c r="X810" s="50">
        <f>L810*K810</f>
        <v/>
      </c>
      <c r="Y810" s="50">
        <f>M810*K810</f>
        <v/>
      </c>
      <c r="Z810" s="50">
        <f>N810*K810</f>
        <v/>
      </c>
      <c r="AA810" s="50">
        <f>O810*K810</f>
        <v/>
      </c>
      <c r="AB810" s="50">
        <f>P810*K810</f>
        <v/>
      </c>
      <c r="AC810" s="50">
        <f>Q810*K810</f>
        <v/>
      </c>
      <c r="AD810" s="50">
        <f>R810*K810</f>
        <v/>
      </c>
      <c r="AE810" s="50">
        <f>S810*K810</f>
        <v/>
      </c>
      <c r="AF810" s="50">
        <f>T810*K810</f>
        <v/>
      </c>
      <c r="AG810" s="50">
        <f>U810*K810</f>
        <v/>
      </c>
      <c r="AH810" s="50">
        <f>V810*K810</f>
        <v/>
      </c>
      <c r="AI810" s="50">
        <f>W810*K810</f>
        <v/>
      </c>
    </row>
    <row r="811">
      <c r="A811" s="25" t="n"/>
      <c r="B811" s="45">
        <f>IF(A811="","",IFERROR(INDEX(Mitarbeiter!$B$6:$B$205,MATCH($A811,Mitarbeiter!$A$6:$A$205,0)),"?"))</f>
        <v/>
      </c>
      <c r="C811" s="46" t="n"/>
      <c r="D811" s="26" t="n"/>
      <c r="E811" s="26" t="n"/>
      <c r="F811" s="24">
        <f>IF(A811="","",SUM(L811:W811))</f>
        <v/>
      </c>
      <c r="G811" s="36">
        <f>IF(A811="","",SUM(X811:AI811))</f>
        <v/>
      </c>
      <c r="H811" s="8">
        <f>IF(A811="","",IF(ISNA(MATCH(A811,Mitarbeiter!$A$6:$A$205,0)),"Pers.-Nr. unbekannt",IF(D811="","Von fehlt",IF(AND(C811&lt;&gt;Einstellungen!$C$4,C811&lt;&gt;Einstellungen!$C$5),"Objekt fehlt",IF(J811&lt;D811,"Bis vor Von",IF(D811&lt;INDEX(Mitarbeiter!$C$6:$C$205,MATCH($A811,Mitarbeiter!$A$6:$A$205,0)),"vor Eintritt",IF(AND(INDEX(Mitarbeiter!$D$6:$D$205,MATCH($A811,Mitarbeiter!$A$6:$A$205,0))&lt;&gt;"",D811&gt;INDEX(Mitarbeiter!$D$6:$D$205,MATCH($A811,Mitarbeiter!$A$6:$A$205,0))),"nach Austritt",IF(E811="","offen","ok"))))))))</f>
        <v/>
      </c>
      <c r="J811" s="47">
        <f>IF(A811="","",IF(E811="",Einstellungen!$C$9,E811))</f>
        <v/>
      </c>
      <c r="K811" s="48">
        <f>IF(A811="",0,IFERROR(INDEX(Mitarbeiter!$F$6:$F$205,MATCH($A811,Mitarbeiter!$A$6:$A$205,0)),0))</f>
        <v/>
      </c>
      <c r="L811" s="49">
        <f>IF(OR(A811="",D811=""),0,MAX(0,NETWORKDAYS(MAX(D811,DATE(Einstellungen!$C$3,1,1)),MIN(J811,DATE(Einstellungen!$C$3,2,0)),Einstellungen!$F$13:$F$32)))</f>
        <v/>
      </c>
      <c r="M811" s="49">
        <f>IF(OR(A811="",D811=""),0,MAX(0,NETWORKDAYS(MAX(D811,DATE(Einstellungen!$C$3,2,1)),MIN(J811,DATE(Einstellungen!$C$3,3,0)),Einstellungen!$F$13:$F$32)))</f>
        <v/>
      </c>
      <c r="N811" s="49">
        <f>IF(OR(A811="",D811=""),0,MAX(0,NETWORKDAYS(MAX(D811,DATE(Einstellungen!$C$3,3,1)),MIN(J811,DATE(Einstellungen!$C$3,4,0)),Einstellungen!$F$13:$F$32)))</f>
        <v/>
      </c>
      <c r="O811" s="49">
        <f>IF(OR(A811="",D811=""),0,MAX(0,NETWORKDAYS(MAX(D811,DATE(Einstellungen!$C$3,4,1)),MIN(J811,DATE(Einstellungen!$C$3,5,0)),Einstellungen!$F$13:$F$32)))</f>
        <v/>
      </c>
      <c r="P811" s="49">
        <f>IF(OR(A811="",D811=""),0,MAX(0,NETWORKDAYS(MAX(D811,DATE(Einstellungen!$C$3,5,1)),MIN(J811,DATE(Einstellungen!$C$3,6,0)),Einstellungen!$F$13:$F$32)))</f>
        <v/>
      </c>
      <c r="Q811" s="49">
        <f>IF(OR(A811="",D811=""),0,MAX(0,NETWORKDAYS(MAX(D811,DATE(Einstellungen!$C$3,6,1)),MIN(J811,DATE(Einstellungen!$C$3,7,0)),Einstellungen!$F$13:$F$32)))</f>
        <v/>
      </c>
      <c r="R811" s="49">
        <f>IF(OR(A811="",D811=""),0,MAX(0,NETWORKDAYS(MAX(D811,DATE(Einstellungen!$C$3,7,1)),MIN(J811,DATE(Einstellungen!$C$3,8,0)),Einstellungen!$F$13:$F$32)))</f>
        <v/>
      </c>
      <c r="S811" s="49">
        <f>IF(OR(A811="",D811=""),0,MAX(0,NETWORKDAYS(MAX(D811,DATE(Einstellungen!$C$3,8,1)),MIN(J811,DATE(Einstellungen!$C$3,9,0)),Einstellungen!$F$13:$F$32)))</f>
        <v/>
      </c>
      <c r="T811" s="49">
        <f>IF(OR(A811="",D811=""),0,MAX(0,NETWORKDAYS(MAX(D811,DATE(Einstellungen!$C$3,9,1)),MIN(J811,DATE(Einstellungen!$C$3,10,0)),Einstellungen!$F$13:$F$32)))</f>
        <v/>
      </c>
      <c r="U811" s="49">
        <f>IF(OR(A811="",D811=""),0,MAX(0,NETWORKDAYS(MAX(D811,DATE(Einstellungen!$C$3,10,1)),MIN(J811,DATE(Einstellungen!$C$3,11,0)),Einstellungen!$F$13:$F$32)))</f>
        <v/>
      </c>
      <c r="V811" s="49">
        <f>IF(OR(A811="",D811=""),0,MAX(0,NETWORKDAYS(MAX(D811,DATE(Einstellungen!$C$3,11,1)),MIN(J811,DATE(Einstellungen!$C$3,12,0)),Einstellungen!$F$13:$F$32)))</f>
        <v/>
      </c>
      <c r="W811" s="49">
        <f>IF(OR(A811="",D811=""),0,MAX(0,NETWORKDAYS(MAX(D811,DATE(Einstellungen!$C$3,12,1)),MIN(J811,DATE(Einstellungen!$C$3,13,0)),Einstellungen!$F$13:$F$32)))</f>
        <v/>
      </c>
      <c r="X811" s="50">
        <f>L811*K811</f>
        <v/>
      </c>
      <c r="Y811" s="50">
        <f>M811*K811</f>
        <v/>
      </c>
      <c r="Z811" s="50">
        <f>N811*K811</f>
        <v/>
      </c>
      <c r="AA811" s="50">
        <f>O811*K811</f>
        <v/>
      </c>
      <c r="AB811" s="50">
        <f>P811*K811</f>
        <v/>
      </c>
      <c r="AC811" s="50">
        <f>Q811*K811</f>
        <v/>
      </c>
      <c r="AD811" s="50">
        <f>R811*K811</f>
        <v/>
      </c>
      <c r="AE811" s="50">
        <f>S811*K811</f>
        <v/>
      </c>
      <c r="AF811" s="50">
        <f>T811*K811</f>
        <v/>
      </c>
      <c r="AG811" s="50">
        <f>U811*K811</f>
        <v/>
      </c>
      <c r="AH811" s="50">
        <f>V811*K811</f>
        <v/>
      </c>
      <c r="AI811" s="50">
        <f>W811*K811</f>
        <v/>
      </c>
    </row>
    <row r="812">
      <c r="A812" s="25" t="n"/>
      <c r="B812" s="45">
        <f>IF(A812="","",IFERROR(INDEX(Mitarbeiter!$B$6:$B$205,MATCH($A812,Mitarbeiter!$A$6:$A$205,0)),"?"))</f>
        <v/>
      </c>
      <c r="C812" s="46" t="n"/>
      <c r="D812" s="26" t="n"/>
      <c r="E812" s="26" t="n"/>
      <c r="F812" s="24">
        <f>IF(A812="","",SUM(L812:W812))</f>
        <v/>
      </c>
      <c r="G812" s="36">
        <f>IF(A812="","",SUM(X812:AI812))</f>
        <v/>
      </c>
      <c r="H812" s="8">
        <f>IF(A812="","",IF(ISNA(MATCH(A812,Mitarbeiter!$A$6:$A$205,0)),"Pers.-Nr. unbekannt",IF(D812="","Von fehlt",IF(AND(C812&lt;&gt;Einstellungen!$C$4,C812&lt;&gt;Einstellungen!$C$5),"Objekt fehlt",IF(J812&lt;D812,"Bis vor Von",IF(D812&lt;INDEX(Mitarbeiter!$C$6:$C$205,MATCH($A812,Mitarbeiter!$A$6:$A$205,0)),"vor Eintritt",IF(AND(INDEX(Mitarbeiter!$D$6:$D$205,MATCH($A812,Mitarbeiter!$A$6:$A$205,0))&lt;&gt;"",D812&gt;INDEX(Mitarbeiter!$D$6:$D$205,MATCH($A812,Mitarbeiter!$A$6:$A$205,0))),"nach Austritt",IF(E812="","offen","ok"))))))))</f>
        <v/>
      </c>
      <c r="J812" s="47">
        <f>IF(A812="","",IF(E812="",Einstellungen!$C$9,E812))</f>
        <v/>
      </c>
      <c r="K812" s="48">
        <f>IF(A812="",0,IFERROR(INDEX(Mitarbeiter!$F$6:$F$205,MATCH($A812,Mitarbeiter!$A$6:$A$205,0)),0))</f>
        <v/>
      </c>
      <c r="L812" s="49">
        <f>IF(OR(A812="",D812=""),0,MAX(0,NETWORKDAYS(MAX(D812,DATE(Einstellungen!$C$3,1,1)),MIN(J812,DATE(Einstellungen!$C$3,2,0)),Einstellungen!$F$13:$F$32)))</f>
        <v/>
      </c>
      <c r="M812" s="49">
        <f>IF(OR(A812="",D812=""),0,MAX(0,NETWORKDAYS(MAX(D812,DATE(Einstellungen!$C$3,2,1)),MIN(J812,DATE(Einstellungen!$C$3,3,0)),Einstellungen!$F$13:$F$32)))</f>
        <v/>
      </c>
      <c r="N812" s="49">
        <f>IF(OR(A812="",D812=""),0,MAX(0,NETWORKDAYS(MAX(D812,DATE(Einstellungen!$C$3,3,1)),MIN(J812,DATE(Einstellungen!$C$3,4,0)),Einstellungen!$F$13:$F$32)))</f>
        <v/>
      </c>
      <c r="O812" s="49">
        <f>IF(OR(A812="",D812=""),0,MAX(0,NETWORKDAYS(MAX(D812,DATE(Einstellungen!$C$3,4,1)),MIN(J812,DATE(Einstellungen!$C$3,5,0)),Einstellungen!$F$13:$F$32)))</f>
        <v/>
      </c>
      <c r="P812" s="49">
        <f>IF(OR(A812="",D812=""),0,MAX(0,NETWORKDAYS(MAX(D812,DATE(Einstellungen!$C$3,5,1)),MIN(J812,DATE(Einstellungen!$C$3,6,0)),Einstellungen!$F$13:$F$32)))</f>
        <v/>
      </c>
      <c r="Q812" s="49">
        <f>IF(OR(A812="",D812=""),0,MAX(0,NETWORKDAYS(MAX(D812,DATE(Einstellungen!$C$3,6,1)),MIN(J812,DATE(Einstellungen!$C$3,7,0)),Einstellungen!$F$13:$F$32)))</f>
        <v/>
      </c>
      <c r="R812" s="49">
        <f>IF(OR(A812="",D812=""),0,MAX(0,NETWORKDAYS(MAX(D812,DATE(Einstellungen!$C$3,7,1)),MIN(J812,DATE(Einstellungen!$C$3,8,0)),Einstellungen!$F$13:$F$32)))</f>
        <v/>
      </c>
      <c r="S812" s="49">
        <f>IF(OR(A812="",D812=""),0,MAX(0,NETWORKDAYS(MAX(D812,DATE(Einstellungen!$C$3,8,1)),MIN(J812,DATE(Einstellungen!$C$3,9,0)),Einstellungen!$F$13:$F$32)))</f>
        <v/>
      </c>
      <c r="T812" s="49">
        <f>IF(OR(A812="",D812=""),0,MAX(0,NETWORKDAYS(MAX(D812,DATE(Einstellungen!$C$3,9,1)),MIN(J812,DATE(Einstellungen!$C$3,10,0)),Einstellungen!$F$13:$F$32)))</f>
        <v/>
      </c>
      <c r="U812" s="49">
        <f>IF(OR(A812="",D812=""),0,MAX(0,NETWORKDAYS(MAX(D812,DATE(Einstellungen!$C$3,10,1)),MIN(J812,DATE(Einstellungen!$C$3,11,0)),Einstellungen!$F$13:$F$32)))</f>
        <v/>
      </c>
      <c r="V812" s="49">
        <f>IF(OR(A812="",D812=""),0,MAX(0,NETWORKDAYS(MAX(D812,DATE(Einstellungen!$C$3,11,1)),MIN(J812,DATE(Einstellungen!$C$3,12,0)),Einstellungen!$F$13:$F$32)))</f>
        <v/>
      </c>
      <c r="W812" s="49">
        <f>IF(OR(A812="",D812=""),0,MAX(0,NETWORKDAYS(MAX(D812,DATE(Einstellungen!$C$3,12,1)),MIN(J812,DATE(Einstellungen!$C$3,13,0)),Einstellungen!$F$13:$F$32)))</f>
        <v/>
      </c>
      <c r="X812" s="50">
        <f>L812*K812</f>
        <v/>
      </c>
      <c r="Y812" s="50">
        <f>M812*K812</f>
        <v/>
      </c>
      <c r="Z812" s="50">
        <f>N812*K812</f>
        <v/>
      </c>
      <c r="AA812" s="50">
        <f>O812*K812</f>
        <v/>
      </c>
      <c r="AB812" s="50">
        <f>P812*K812</f>
        <v/>
      </c>
      <c r="AC812" s="50">
        <f>Q812*K812</f>
        <v/>
      </c>
      <c r="AD812" s="50">
        <f>R812*K812</f>
        <v/>
      </c>
      <c r="AE812" s="50">
        <f>S812*K812</f>
        <v/>
      </c>
      <c r="AF812" s="50">
        <f>T812*K812</f>
        <v/>
      </c>
      <c r="AG812" s="50">
        <f>U812*K812</f>
        <v/>
      </c>
      <c r="AH812" s="50">
        <f>V812*K812</f>
        <v/>
      </c>
      <c r="AI812" s="50">
        <f>W812*K812</f>
        <v/>
      </c>
    </row>
    <row r="813">
      <c r="A813" s="25" t="n"/>
      <c r="B813" s="45">
        <f>IF(A813="","",IFERROR(INDEX(Mitarbeiter!$B$6:$B$205,MATCH($A813,Mitarbeiter!$A$6:$A$205,0)),"?"))</f>
        <v/>
      </c>
      <c r="C813" s="46" t="n"/>
      <c r="D813" s="26" t="n"/>
      <c r="E813" s="26" t="n"/>
      <c r="F813" s="24">
        <f>IF(A813="","",SUM(L813:W813))</f>
        <v/>
      </c>
      <c r="G813" s="36">
        <f>IF(A813="","",SUM(X813:AI813))</f>
        <v/>
      </c>
      <c r="H813" s="8">
        <f>IF(A813="","",IF(ISNA(MATCH(A813,Mitarbeiter!$A$6:$A$205,0)),"Pers.-Nr. unbekannt",IF(D813="","Von fehlt",IF(AND(C813&lt;&gt;Einstellungen!$C$4,C813&lt;&gt;Einstellungen!$C$5),"Objekt fehlt",IF(J813&lt;D813,"Bis vor Von",IF(D813&lt;INDEX(Mitarbeiter!$C$6:$C$205,MATCH($A813,Mitarbeiter!$A$6:$A$205,0)),"vor Eintritt",IF(AND(INDEX(Mitarbeiter!$D$6:$D$205,MATCH($A813,Mitarbeiter!$A$6:$A$205,0))&lt;&gt;"",D813&gt;INDEX(Mitarbeiter!$D$6:$D$205,MATCH($A813,Mitarbeiter!$A$6:$A$205,0))),"nach Austritt",IF(E813="","offen","ok"))))))))</f>
        <v/>
      </c>
      <c r="J813" s="47">
        <f>IF(A813="","",IF(E813="",Einstellungen!$C$9,E813))</f>
        <v/>
      </c>
      <c r="K813" s="48">
        <f>IF(A813="",0,IFERROR(INDEX(Mitarbeiter!$F$6:$F$205,MATCH($A813,Mitarbeiter!$A$6:$A$205,0)),0))</f>
        <v/>
      </c>
      <c r="L813" s="49">
        <f>IF(OR(A813="",D813=""),0,MAX(0,NETWORKDAYS(MAX(D813,DATE(Einstellungen!$C$3,1,1)),MIN(J813,DATE(Einstellungen!$C$3,2,0)),Einstellungen!$F$13:$F$32)))</f>
        <v/>
      </c>
      <c r="M813" s="49">
        <f>IF(OR(A813="",D813=""),0,MAX(0,NETWORKDAYS(MAX(D813,DATE(Einstellungen!$C$3,2,1)),MIN(J813,DATE(Einstellungen!$C$3,3,0)),Einstellungen!$F$13:$F$32)))</f>
        <v/>
      </c>
      <c r="N813" s="49">
        <f>IF(OR(A813="",D813=""),0,MAX(0,NETWORKDAYS(MAX(D813,DATE(Einstellungen!$C$3,3,1)),MIN(J813,DATE(Einstellungen!$C$3,4,0)),Einstellungen!$F$13:$F$32)))</f>
        <v/>
      </c>
      <c r="O813" s="49">
        <f>IF(OR(A813="",D813=""),0,MAX(0,NETWORKDAYS(MAX(D813,DATE(Einstellungen!$C$3,4,1)),MIN(J813,DATE(Einstellungen!$C$3,5,0)),Einstellungen!$F$13:$F$32)))</f>
        <v/>
      </c>
      <c r="P813" s="49">
        <f>IF(OR(A813="",D813=""),0,MAX(0,NETWORKDAYS(MAX(D813,DATE(Einstellungen!$C$3,5,1)),MIN(J813,DATE(Einstellungen!$C$3,6,0)),Einstellungen!$F$13:$F$32)))</f>
        <v/>
      </c>
      <c r="Q813" s="49">
        <f>IF(OR(A813="",D813=""),0,MAX(0,NETWORKDAYS(MAX(D813,DATE(Einstellungen!$C$3,6,1)),MIN(J813,DATE(Einstellungen!$C$3,7,0)),Einstellungen!$F$13:$F$32)))</f>
        <v/>
      </c>
      <c r="R813" s="49">
        <f>IF(OR(A813="",D813=""),0,MAX(0,NETWORKDAYS(MAX(D813,DATE(Einstellungen!$C$3,7,1)),MIN(J813,DATE(Einstellungen!$C$3,8,0)),Einstellungen!$F$13:$F$32)))</f>
        <v/>
      </c>
      <c r="S813" s="49">
        <f>IF(OR(A813="",D813=""),0,MAX(0,NETWORKDAYS(MAX(D813,DATE(Einstellungen!$C$3,8,1)),MIN(J813,DATE(Einstellungen!$C$3,9,0)),Einstellungen!$F$13:$F$32)))</f>
        <v/>
      </c>
      <c r="T813" s="49">
        <f>IF(OR(A813="",D813=""),0,MAX(0,NETWORKDAYS(MAX(D813,DATE(Einstellungen!$C$3,9,1)),MIN(J813,DATE(Einstellungen!$C$3,10,0)),Einstellungen!$F$13:$F$32)))</f>
        <v/>
      </c>
      <c r="U813" s="49">
        <f>IF(OR(A813="",D813=""),0,MAX(0,NETWORKDAYS(MAX(D813,DATE(Einstellungen!$C$3,10,1)),MIN(J813,DATE(Einstellungen!$C$3,11,0)),Einstellungen!$F$13:$F$32)))</f>
        <v/>
      </c>
      <c r="V813" s="49">
        <f>IF(OR(A813="",D813=""),0,MAX(0,NETWORKDAYS(MAX(D813,DATE(Einstellungen!$C$3,11,1)),MIN(J813,DATE(Einstellungen!$C$3,12,0)),Einstellungen!$F$13:$F$32)))</f>
        <v/>
      </c>
      <c r="W813" s="49">
        <f>IF(OR(A813="",D813=""),0,MAX(0,NETWORKDAYS(MAX(D813,DATE(Einstellungen!$C$3,12,1)),MIN(J813,DATE(Einstellungen!$C$3,13,0)),Einstellungen!$F$13:$F$32)))</f>
        <v/>
      </c>
      <c r="X813" s="50">
        <f>L813*K813</f>
        <v/>
      </c>
      <c r="Y813" s="50">
        <f>M813*K813</f>
        <v/>
      </c>
      <c r="Z813" s="50">
        <f>N813*K813</f>
        <v/>
      </c>
      <c r="AA813" s="50">
        <f>O813*K813</f>
        <v/>
      </c>
      <c r="AB813" s="50">
        <f>P813*K813</f>
        <v/>
      </c>
      <c r="AC813" s="50">
        <f>Q813*K813</f>
        <v/>
      </c>
      <c r="AD813" s="50">
        <f>R813*K813</f>
        <v/>
      </c>
      <c r="AE813" s="50">
        <f>S813*K813</f>
        <v/>
      </c>
      <c r="AF813" s="50">
        <f>T813*K813</f>
        <v/>
      </c>
      <c r="AG813" s="50">
        <f>U813*K813</f>
        <v/>
      </c>
      <c r="AH813" s="50">
        <f>V813*K813</f>
        <v/>
      </c>
      <c r="AI813" s="50">
        <f>W813*K813</f>
        <v/>
      </c>
    </row>
    <row r="814">
      <c r="A814" s="25" t="n"/>
      <c r="B814" s="45">
        <f>IF(A814="","",IFERROR(INDEX(Mitarbeiter!$B$6:$B$205,MATCH($A814,Mitarbeiter!$A$6:$A$205,0)),"?"))</f>
        <v/>
      </c>
      <c r="C814" s="46" t="n"/>
      <c r="D814" s="26" t="n"/>
      <c r="E814" s="26" t="n"/>
      <c r="F814" s="24">
        <f>IF(A814="","",SUM(L814:W814))</f>
        <v/>
      </c>
      <c r="G814" s="36">
        <f>IF(A814="","",SUM(X814:AI814))</f>
        <v/>
      </c>
      <c r="H814" s="8">
        <f>IF(A814="","",IF(ISNA(MATCH(A814,Mitarbeiter!$A$6:$A$205,0)),"Pers.-Nr. unbekannt",IF(D814="","Von fehlt",IF(AND(C814&lt;&gt;Einstellungen!$C$4,C814&lt;&gt;Einstellungen!$C$5),"Objekt fehlt",IF(J814&lt;D814,"Bis vor Von",IF(D814&lt;INDEX(Mitarbeiter!$C$6:$C$205,MATCH($A814,Mitarbeiter!$A$6:$A$205,0)),"vor Eintritt",IF(AND(INDEX(Mitarbeiter!$D$6:$D$205,MATCH($A814,Mitarbeiter!$A$6:$A$205,0))&lt;&gt;"",D814&gt;INDEX(Mitarbeiter!$D$6:$D$205,MATCH($A814,Mitarbeiter!$A$6:$A$205,0))),"nach Austritt",IF(E814="","offen","ok"))))))))</f>
        <v/>
      </c>
      <c r="J814" s="47">
        <f>IF(A814="","",IF(E814="",Einstellungen!$C$9,E814))</f>
        <v/>
      </c>
      <c r="K814" s="48">
        <f>IF(A814="",0,IFERROR(INDEX(Mitarbeiter!$F$6:$F$205,MATCH($A814,Mitarbeiter!$A$6:$A$205,0)),0))</f>
        <v/>
      </c>
      <c r="L814" s="49">
        <f>IF(OR(A814="",D814=""),0,MAX(0,NETWORKDAYS(MAX(D814,DATE(Einstellungen!$C$3,1,1)),MIN(J814,DATE(Einstellungen!$C$3,2,0)),Einstellungen!$F$13:$F$32)))</f>
        <v/>
      </c>
      <c r="M814" s="49">
        <f>IF(OR(A814="",D814=""),0,MAX(0,NETWORKDAYS(MAX(D814,DATE(Einstellungen!$C$3,2,1)),MIN(J814,DATE(Einstellungen!$C$3,3,0)),Einstellungen!$F$13:$F$32)))</f>
        <v/>
      </c>
      <c r="N814" s="49">
        <f>IF(OR(A814="",D814=""),0,MAX(0,NETWORKDAYS(MAX(D814,DATE(Einstellungen!$C$3,3,1)),MIN(J814,DATE(Einstellungen!$C$3,4,0)),Einstellungen!$F$13:$F$32)))</f>
        <v/>
      </c>
      <c r="O814" s="49">
        <f>IF(OR(A814="",D814=""),0,MAX(0,NETWORKDAYS(MAX(D814,DATE(Einstellungen!$C$3,4,1)),MIN(J814,DATE(Einstellungen!$C$3,5,0)),Einstellungen!$F$13:$F$32)))</f>
        <v/>
      </c>
      <c r="P814" s="49">
        <f>IF(OR(A814="",D814=""),0,MAX(0,NETWORKDAYS(MAX(D814,DATE(Einstellungen!$C$3,5,1)),MIN(J814,DATE(Einstellungen!$C$3,6,0)),Einstellungen!$F$13:$F$32)))</f>
        <v/>
      </c>
      <c r="Q814" s="49">
        <f>IF(OR(A814="",D814=""),0,MAX(0,NETWORKDAYS(MAX(D814,DATE(Einstellungen!$C$3,6,1)),MIN(J814,DATE(Einstellungen!$C$3,7,0)),Einstellungen!$F$13:$F$32)))</f>
        <v/>
      </c>
      <c r="R814" s="49">
        <f>IF(OR(A814="",D814=""),0,MAX(0,NETWORKDAYS(MAX(D814,DATE(Einstellungen!$C$3,7,1)),MIN(J814,DATE(Einstellungen!$C$3,8,0)),Einstellungen!$F$13:$F$32)))</f>
        <v/>
      </c>
      <c r="S814" s="49">
        <f>IF(OR(A814="",D814=""),0,MAX(0,NETWORKDAYS(MAX(D814,DATE(Einstellungen!$C$3,8,1)),MIN(J814,DATE(Einstellungen!$C$3,9,0)),Einstellungen!$F$13:$F$32)))</f>
        <v/>
      </c>
      <c r="T814" s="49">
        <f>IF(OR(A814="",D814=""),0,MAX(0,NETWORKDAYS(MAX(D814,DATE(Einstellungen!$C$3,9,1)),MIN(J814,DATE(Einstellungen!$C$3,10,0)),Einstellungen!$F$13:$F$32)))</f>
        <v/>
      </c>
      <c r="U814" s="49">
        <f>IF(OR(A814="",D814=""),0,MAX(0,NETWORKDAYS(MAX(D814,DATE(Einstellungen!$C$3,10,1)),MIN(J814,DATE(Einstellungen!$C$3,11,0)),Einstellungen!$F$13:$F$32)))</f>
        <v/>
      </c>
      <c r="V814" s="49">
        <f>IF(OR(A814="",D814=""),0,MAX(0,NETWORKDAYS(MAX(D814,DATE(Einstellungen!$C$3,11,1)),MIN(J814,DATE(Einstellungen!$C$3,12,0)),Einstellungen!$F$13:$F$32)))</f>
        <v/>
      </c>
      <c r="W814" s="49">
        <f>IF(OR(A814="",D814=""),0,MAX(0,NETWORKDAYS(MAX(D814,DATE(Einstellungen!$C$3,12,1)),MIN(J814,DATE(Einstellungen!$C$3,13,0)),Einstellungen!$F$13:$F$32)))</f>
        <v/>
      </c>
      <c r="X814" s="50">
        <f>L814*K814</f>
        <v/>
      </c>
      <c r="Y814" s="50">
        <f>M814*K814</f>
        <v/>
      </c>
      <c r="Z814" s="50">
        <f>N814*K814</f>
        <v/>
      </c>
      <c r="AA814" s="50">
        <f>O814*K814</f>
        <v/>
      </c>
      <c r="AB814" s="50">
        <f>P814*K814</f>
        <v/>
      </c>
      <c r="AC814" s="50">
        <f>Q814*K814</f>
        <v/>
      </c>
      <c r="AD814" s="50">
        <f>R814*K814</f>
        <v/>
      </c>
      <c r="AE814" s="50">
        <f>S814*K814</f>
        <v/>
      </c>
      <c r="AF814" s="50">
        <f>T814*K814</f>
        <v/>
      </c>
      <c r="AG814" s="50">
        <f>U814*K814</f>
        <v/>
      </c>
      <c r="AH814" s="50">
        <f>V814*K814</f>
        <v/>
      </c>
      <c r="AI814" s="50">
        <f>W814*K814</f>
        <v/>
      </c>
    </row>
    <row r="815">
      <c r="A815" s="25" t="n"/>
      <c r="B815" s="45">
        <f>IF(A815="","",IFERROR(INDEX(Mitarbeiter!$B$6:$B$205,MATCH($A815,Mitarbeiter!$A$6:$A$205,0)),"?"))</f>
        <v/>
      </c>
      <c r="C815" s="46" t="n"/>
      <c r="D815" s="26" t="n"/>
      <c r="E815" s="26" t="n"/>
      <c r="F815" s="24">
        <f>IF(A815="","",SUM(L815:W815))</f>
        <v/>
      </c>
      <c r="G815" s="36">
        <f>IF(A815="","",SUM(X815:AI815))</f>
        <v/>
      </c>
      <c r="H815" s="8">
        <f>IF(A815="","",IF(ISNA(MATCH(A815,Mitarbeiter!$A$6:$A$205,0)),"Pers.-Nr. unbekannt",IF(D815="","Von fehlt",IF(AND(C815&lt;&gt;Einstellungen!$C$4,C815&lt;&gt;Einstellungen!$C$5),"Objekt fehlt",IF(J815&lt;D815,"Bis vor Von",IF(D815&lt;INDEX(Mitarbeiter!$C$6:$C$205,MATCH($A815,Mitarbeiter!$A$6:$A$205,0)),"vor Eintritt",IF(AND(INDEX(Mitarbeiter!$D$6:$D$205,MATCH($A815,Mitarbeiter!$A$6:$A$205,0))&lt;&gt;"",D815&gt;INDEX(Mitarbeiter!$D$6:$D$205,MATCH($A815,Mitarbeiter!$A$6:$A$205,0))),"nach Austritt",IF(E815="","offen","ok"))))))))</f>
        <v/>
      </c>
      <c r="J815" s="47">
        <f>IF(A815="","",IF(E815="",Einstellungen!$C$9,E815))</f>
        <v/>
      </c>
      <c r="K815" s="48">
        <f>IF(A815="",0,IFERROR(INDEX(Mitarbeiter!$F$6:$F$205,MATCH($A815,Mitarbeiter!$A$6:$A$205,0)),0))</f>
        <v/>
      </c>
      <c r="L815" s="49">
        <f>IF(OR(A815="",D815=""),0,MAX(0,NETWORKDAYS(MAX(D815,DATE(Einstellungen!$C$3,1,1)),MIN(J815,DATE(Einstellungen!$C$3,2,0)),Einstellungen!$F$13:$F$32)))</f>
        <v/>
      </c>
      <c r="M815" s="49">
        <f>IF(OR(A815="",D815=""),0,MAX(0,NETWORKDAYS(MAX(D815,DATE(Einstellungen!$C$3,2,1)),MIN(J815,DATE(Einstellungen!$C$3,3,0)),Einstellungen!$F$13:$F$32)))</f>
        <v/>
      </c>
      <c r="N815" s="49">
        <f>IF(OR(A815="",D815=""),0,MAX(0,NETWORKDAYS(MAX(D815,DATE(Einstellungen!$C$3,3,1)),MIN(J815,DATE(Einstellungen!$C$3,4,0)),Einstellungen!$F$13:$F$32)))</f>
        <v/>
      </c>
      <c r="O815" s="49">
        <f>IF(OR(A815="",D815=""),0,MAX(0,NETWORKDAYS(MAX(D815,DATE(Einstellungen!$C$3,4,1)),MIN(J815,DATE(Einstellungen!$C$3,5,0)),Einstellungen!$F$13:$F$32)))</f>
        <v/>
      </c>
      <c r="P815" s="49">
        <f>IF(OR(A815="",D815=""),0,MAX(0,NETWORKDAYS(MAX(D815,DATE(Einstellungen!$C$3,5,1)),MIN(J815,DATE(Einstellungen!$C$3,6,0)),Einstellungen!$F$13:$F$32)))</f>
        <v/>
      </c>
      <c r="Q815" s="49">
        <f>IF(OR(A815="",D815=""),0,MAX(0,NETWORKDAYS(MAX(D815,DATE(Einstellungen!$C$3,6,1)),MIN(J815,DATE(Einstellungen!$C$3,7,0)),Einstellungen!$F$13:$F$32)))</f>
        <v/>
      </c>
      <c r="R815" s="49">
        <f>IF(OR(A815="",D815=""),0,MAX(0,NETWORKDAYS(MAX(D815,DATE(Einstellungen!$C$3,7,1)),MIN(J815,DATE(Einstellungen!$C$3,8,0)),Einstellungen!$F$13:$F$32)))</f>
        <v/>
      </c>
      <c r="S815" s="49">
        <f>IF(OR(A815="",D815=""),0,MAX(0,NETWORKDAYS(MAX(D815,DATE(Einstellungen!$C$3,8,1)),MIN(J815,DATE(Einstellungen!$C$3,9,0)),Einstellungen!$F$13:$F$32)))</f>
        <v/>
      </c>
      <c r="T815" s="49">
        <f>IF(OR(A815="",D815=""),0,MAX(0,NETWORKDAYS(MAX(D815,DATE(Einstellungen!$C$3,9,1)),MIN(J815,DATE(Einstellungen!$C$3,10,0)),Einstellungen!$F$13:$F$32)))</f>
        <v/>
      </c>
      <c r="U815" s="49">
        <f>IF(OR(A815="",D815=""),0,MAX(0,NETWORKDAYS(MAX(D815,DATE(Einstellungen!$C$3,10,1)),MIN(J815,DATE(Einstellungen!$C$3,11,0)),Einstellungen!$F$13:$F$32)))</f>
        <v/>
      </c>
      <c r="V815" s="49">
        <f>IF(OR(A815="",D815=""),0,MAX(0,NETWORKDAYS(MAX(D815,DATE(Einstellungen!$C$3,11,1)),MIN(J815,DATE(Einstellungen!$C$3,12,0)),Einstellungen!$F$13:$F$32)))</f>
        <v/>
      </c>
      <c r="W815" s="49">
        <f>IF(OR(A815="",D815=""),0,MAX(0,NETWORKDAYS(MAX(D815,DATE(Einstellungen!$C$3,12,1)),MIN(J815,DATE(Einstellungen!$C$3,13,0)),Einstellungen!$F$13:$F$32)))</f>
        <v/>
      </c>
      <c r="X815" s="50">
        <f>L815*K815</f>
        <v/>
      </c>
      <c r="Y815" s="50">
        <f>M815*K815</f>
        <v/>
      </c>
      <c r="Z815" s="50">
        <f>N815*K815</f>
        <v/>
      </c>
      <c r="AA815" s="50">
        <f>O815*K815</f>
        <v/>
      </c>
      <c r="AB815" s="50">
        <f>P815*K815</f>
        <v/>
      </c>
      <c r="AC815" s="50">
        <f>Q815*K815</f>
        <v/>
      </c>
      <c r="AD815" s="50">
        <f>R815*K815</f>
        <v/>
      </c>
      <c r="AE815" s="50">
        <f>S815*K815</f>
        <v/>
      </c>
      <c r="AF815" s="50">
        <f>T815*K815</f>
        <v/>
      </c>
      <c r="AG815" s="50">
        <f>U815*K815</f>
        <v/>
      </c>
      <c r="AH815" s="50">
        <f>V815*K815</f>
        <v/>
      </c>
      <c r="AI815" s="50">
        <f>W815*K815</f>
        <v/>
      </c>
    </row>
    <row r="816">
      <c r="A816" s="25" t="n"/>
      <c r="B816" s="45">
        <f>IF(A816="","",IFERROR(INDEX(Mitarbeiter!$B$6:$B$205,MATCH($A816,Mitarbeiter!$A$6:$A$205,0)),"?"))</f>
        <v/>
      </c>
      <c r="C816" s="46" t="n"/>
      <c r="D816" s="26" t="n"/>
      <c r="E816" s="26" t="n"/>
      <c r="F816" s="24">
        <f>IF(A816="","",SUM(L816:W816))</f>
        <v/>
      </c>
      <c r="G816" s="36">
        <f>IF(A816="","",SUM(X816:AI816))</f>
        <v/>
      </c>
      <c r="H816" s="8">
        <f>IF(A816="","",IF(ISNA(MATCH(A816,Mitarbeiter!$A$6:$A$205,0)),"Pers.-Nr. unbekannt",IF(D816="","Von fehlt",IF(AND(C816&lt;&gt;Einstellungen!$C$4,C816&lt;&gt;Einstellungen!$C$5),"Objekt fehlt",IF(J816&lt;D816,"Bis vor Von",IF(D816&lt;INDEX(Mitarbeiter!$C$6:$C$205,MATCH($A816,Mitarbeiter!$A$6:$A$205,0)),"vor Eintritt",IF(AND(INDEX(Mitarbeiter!$D$6:$D$205,MATCH($A816,Mitarbeiter!$A$6:$A$205,0))&lt;&gt;"",D816&gt;INDEX(Mitarbeiter!$D$6:$D$205,MATCH($A816,Mitarbeiter!$A$6:$A$205,0))),"nach Austritt",IF(E816="","offen","ok"))))))))</f>
        <v/>
      </c>
      <c r="J816" s="47">
        <f>IF(A816="","",IF(E816="",Einstellungen!$C$9,E816))</f>
        <v/>
      </c>
      <c r="K816" s="48">
        <f>IF(A816="",0,IFERROR(INDEX(Mitarbeiter!$F$6:$F$205,MATCH($A816,Mitarbeiter!$A$6:$A$205,0)),0))</f>
        <v/>
      </c>
      <c r="L816" s="49">
        <f>IF(OR(A816="",D816=""),0,MAX(0,NETWORKDAYS(MAX(D816,DATE(Einstellungen!$C$3,1,1)),MIN(J816,DATE(Einstellungen!$C$3,2,0)),Einstellungen!$F$13:$F$32)))</f>
        <v/>
      </c>
      <c r="M816" s="49">
        <f>IF(OR(A816="",D816=""),0,MAX(0,NETWORKDAYS(MAX(D816,DATE(Einstellungen!$C$3,2,1)),MIN(J816,DATE(Einstellungen!$C$3,3,0)),Einstellungen!$F$13:$F$32)))</f>
        <v/>
      </c>
      <c r="N816" s="49">
        <f>IF(OR(A816="",D816=""),0,MAX(0,NETWORKDAYS(MAX(D816,DATE(Einstellungen!$C$3,3,1)),MIN(J816,DATE(Einstellungen!$C$3,4,0)),Einstellungen!$F$13:$F$32)))</f>
        <v/>
      </c>
      <c r="O816" s="49">
        <f>IF(OR(A816="",D816=""),0,MAX(0,NETWORKDAYS(MAX(D816,DATE(Einstellungen!$C$3,4,1)),MIN(J816,DATE(Einstellungen!$C$3,5,0)),Einstellungen!$F$13:$F$32)))</f>
        <v/>
      </c>
      <c r="P816" s="49">
        <f>IF(OR(A816="",D816=""),0,MAX(0,NETWORKDAYS(MAX(D816,DATE(Einstellungen!$C$3,5,1)),MIN(J816,DATE(Einstellungen!$C$3,6,0)),Einstellungen!$F$13:$F$32)))</f>
        <v/>
      </c>
      <c r="Q816" s="49">
        <f>IF(OR(A816="",D816=""),0,MAX(0,NETWORKDAYS(MAX(D816,DATE(Einstellungen!$C$3,6,1)),MIN(J816,DATE(Einstellungen!$C$3,7,0)),Einstellungen!$F$13:$F$32)))</f>
        <v/>
      </c>
      <c r="R816" s="49">
        <f>IF(OR(A816="",D816=""),0,MAX(0,NETWORKDAYS(MAX(D816,DATE(Einstellungen!$C$3,7,1)),MIN(J816,DATE(Einstellungen!$C$3,8,0)),Einstellungen!$F$13:$F$32)))</f>
        <v/>
      </c>
      <c r="S816" s="49">
        <f>IF(OR(A816="",D816=""),0,MAX(0,NETWORKDAYS(MAX(D816,DATE(Einstellungen!$C$3,8,1)),MIN(J816,DATE(Einstellungen!$C$3,9,0)),Einstellungen!$F$13:$F$32)))</f>
        <v/>
      </c>
      <c r="T816" s="49">
        <f>IF(OR(A816="",D816=""),0,MAX(0,NETWORKDAYS(MAX(D816,DATE(Einstellungen!$C$3,9,1)),MIN(J816,DATE(Einstellungen!$C$3,10,0)),Einstellungen!$F$13:$F$32)))</f>
        <v/>
      </c>
      <c r="U816" s="49">
        <f>IF(OR(A816="",D816=""),0,MAX(0,NETWORKDAYS(MAX(D816,DATE(Einstellungen!$C$3,10,1)),MIN(J816,DATE(Einstellungen!$C$3,11,0)),Einstellungen!$F$13:$F$32)))</f>
        <v/>
      </c>
      <c r="V816" s="49">
        <f>IF(OR(A816="",D816=""),0,MAX(0,NETWORKDAYS(MAX(D816,DATE(Einstellungen!$C$3,11,1)),MIN(J816,DATE(Einstellungen!$C$3,12,0)),Einstellungen!$F$13:$F$32)))</f>
        <v/>
      </c>
      <c r="W816" s="49">
        <f>IF(OR(A816="",D816=""),0,MAX(0,NETWORKDAYS(MAX(D816,DATE(Einstellungen!$C$3,12,1)),MIN(J816,DATE(Einstellungen!$C$3,13,0)),Einstellungen!$F$13:$F$32)))</f>
        <v/>
      </c>
      <c r="X816" s="50">
        <f>L816*K816</f>
        <v/>
      </c>
      <c r="Y816" s="50">
        <f>M816*K816</f>
        <v/>
      </c>
      <c r="Z816" s="50">
        <f>N816*K816</f>
        <v/>
      </c>
      <c r="AA816" s="50">
        <f>O816*K816</f>
        <v/>
      </c>
      <c r="AB816" s="50">
        <f>P816*K816</f>
        <v/>
      </c>
      <c r="AC816" s="50">
        <f>Q816*K816</f>
        <v/>
      </c>
      <c r="AD816" s="50">
        <f>R816*K816</f>
        <v/>
      </c>
      <c r="AE816" s="50">
        <f>S816*K816</f>
        <v/>
      </c>
      <c r="AF816" s="50">
        <f>T816*K816</f>
        <v/>
      </c>
      <c r="AG816" s="50">
        <f>U816*K816</f>
        <v/>
      </c>
      <c r="AH816" s="50">
        <f>V816*K816</f>
        <v/>
      </c>
      <c r="AI816" s="50">
        <f>W816*K816</f>
        <v/>
      </c>
    </row>
    <row r="817">
      <c r="A817" s="25" t="n"/>
      <c r="B817" s="45">
        <f>IF(A817="","",IFERROR(INDEX(Mitarbeiter!$B$6:$B$205,MATCH($A817,Mitarbeiter!$A$6:$A$205,0)),"?"))</f>
        <v/>
      </c>
      <c r="C817" s="46" t="n"/>
      <c r="D817" s="26" t="n"/>
      <c r="E817" s="26" t="n"/>
      <c r="F817" s="24">
        <f>IF(A817="","",SUM(L817:W817))</f>
        <v/>
      </c>
      <c r="G817" s="36">
        <f>IF(A817="","",SUM(X817:AI817))</f>
        <v/>
      </c>
      <c r="H817" s="8">
        <f>IF(A817="","",IF(ISNA(MATCH(A817,Mitarbeiter!$A$6:$A$205,0)),"Pers.-Nr. unbekannt",IF(D817="","Von fehlt",IF(AND(C817&lt;&gt;Einstellungen!$C$4,C817&lt;&gt;Einstellungen!$C$5),"Objekt fehlt",IF(J817&lt;D817,"Bis vor Von",IF(D817&lt;INDEX(Mitarbeiter!$C$6:$C$205,MATCH($A817,Mitarbeiter!$A$6:$A$205,0)),"vor Eintritt",IF(AND(INDEX(Mitarbeiter!$D$6:$D$205,MATCH($A817,Mitarbeiter!$A$6:$A$205,0))&lt;&gt;"",D817&gt;INDEX(Mitarbeiter!$D$6:$D$205,MATCH($A817,Mitarbeiter!$A$6:$A$205,0))),"nach Austritt",IF(E817="","offen","ok"))))))))</f>
        <v/>
      </c>
      <c r="J817" s="47">
        <f>IF(A817="","",IF(E817="",Einstellungen!$C$9,E817))</f>
        <v/>
      </c>
      <c r="K817" s="48">
        <f>IF(A817="",0,IFERROR(INDEX(Mitarbeiter!$F$6:$F$205,MATCH($A817,Mitarbeiter!$A$6:$A$205,0)),0))</f>
        <v/>
      </c>
      <c r="L817" s="49">
        <f>IF(OR(A817="",D817=""),0,MAX(0,NETWORKDAYS(MAX(D817,DATE(Einstellungen!$C$3,1,1)),MIN(J817,DATE(Einstellungen!$C$3,2,0)),Einstellungen!$F$13:$F$32)))</f>
        <v/>
      </c>
      <c r="M817" s="49">
        <f>IF(OR(A817="",D817=""),0,MAX(0,NETWORKDAYS(MAX(D817,DATE(Einstellungen!$C$3,2,1)),MIN(J817,DATE(Einstellungen!$C$3,3,0)),Einstellungen!$F$13:$F$32)))</f>
        <v/>
      </c>
      <c r="N817" s="49">
        <f>IF(OR(A817="",D817=""),0,MAX(0,NETWORKDAYS(MAX(D817,DATE(Einstellungen!$C$3,3,1)),MIN(J817,DATE(Einstellungen!$C$3,4,0)),Einstellungen!$F$13:$F$32)))</f>
        <v/>
      </c>
      <c r="O817" s="49">
        <f>IF(OR(A817="",D817=""),0,MAX(0,NETWORKDAYS(MAX(D817,DATE(Einstellungen!$C$3,4,1)),MIN(J817,DATE(Einstellungen!$C$3,5,0)),Einstellungen!$F$13:$F$32)))</f>
        <v/>
      </c>
      <c r="P817" s="49">
        <f>IF(OR(A817="",D817=""),0,MAX(0,NETWORKDAYS(MAX(D817,DATE(Einstellungen!$C$3,5,1)),MIN(J817,DATE(Einstellungen!$C$3,6,0)),Einstellungen!$F$13:$F$32)))</f>
        <v/>
      </c>
      <c r="Q817" s="49">
        <f>IF(OR(A817="",D817=""),0,MAX(0,NETWORKDAYS(MAX(D817,DATE(Einstellungen!$C$3,6,1)),MIN(J817,DATE(Einstellungen!$C$3,7,0)),Einstellungen!$F$13:$F$32)))</f>
        <v/>
      </c>
      <c r="R817" s="49">
        <f>IF(OR(A817="",D817=""),0,MAX(0,NETWORKDAYS(MAX(D817,DATE(Einstellungen!$C$3,7,1)),MIN(J817,DATE(Einstellungen!$C$3,8,0)),Einstellungen!$F$13:$F$32)))</f>
        <v/>
      </c>
      <c r="S817" s="49">
        <f>IF(OR(A817="",D817=""),0,MAX(0,NETWORKDAYS(MAX(D817,DATE(Einstellungen!$C$3,8,1)),MIN(J817,DATE(Einstellungen!$C$3,9,0)),Einstellungen!$F$13:$F$32)))</f>
        <v/>
      </c>
      <c r="T817" s="49">
        <f>IF(OR(A817="",D817=""),0,MAX(0,NETWORKDAYS(MAX(D817,DATE(Einstellungen!$C$3,9,1)),MIN(J817,DATE(Einstellungen!$C$3,10,0)),Einstellungen!$F$13:$F$32)))</f>
        <v/>
      </c>
      <c r="U817" s="49">
        <f>IF(OR(A817="",D817=""),0,MAX(0,NETWORKDAYS(MAX(D817,DATE(Einstellungen!$C$3,10,1)),MIN(J817,DATE(Einstellungen!$C$3,11,0)),Einstellungen!$F$13:$F$32)))</f>
        <v/>
      </c>
      <c r="V817" s="49">
        <f>IF(OR(A817="",D817=""),0,MAX(0,NETWORKDAYS(MAX(D817,DATE(Einstellungen!$C$3,11,1)),MIN(J817,DATE(Einstellungen!$C$3,12,0)),Einstellungen!$F$13:$F$32)))</f>
        <v/>
      </c>
      <c r="W817" s="49">
        <f>IF(OR(A817="",D817=""),0,MAX(0,NETWORKDAYS(MAX(D817,DATE(Einstellungen!$C$3,12,1)),MIN(J817,DATE(Einstellungen!$C$3,13,0)),Einstellungen!$F$13:$F$32)))</f>
        <v/>
      </c>
      <c r="X817" s="50">
        <f>L817*K817</f>
        <v/>
      </c>
      <c r="Y817" s="50">
        <f>M817*K817</f>
        <v/>
      </c>
      <c r="Z817" s="50">
        <f>N817*K817</f>
        <v/>
      </c>
      <c r="AA817" s="50">
        <f>O817*K817</f>
        <v/>
      </c>
      <c r="AB817" s="50">
        <f>P817*K817</f>
        <v/>
      </c>
      <c r="AC817" s="50">
        <f>Q817*K817</f>
        <v/>
      </c>
      <c r="AD817" s="50">
        <f>R817*K817</f>
        <v/>
      </c>
      <c r="AE817" s="50">
        <f>S817*K817</f>
        <v/>
      </c>
      <c r="AF817" s="50">
        <f>T817*K817</f>
        <v/>
      </c>
      <c r="AG817" s="50">
        <f>U817*K817</f>
        <v/>
      </c>
      <c r="AH817" s="50">
        <f>V817*K817</f>
        <v/>
      </c>
      <c r="AI817" s="50">
        <f>W817*K817</f>
        <v/>
      </c>
    </row>
    <row r="818">
      <c r="A818" s="25" t="n"/>
      <c r="B818" s="45">
        <f>IF(A818="","",IFERROR(INDEX(Mitarbeiter!$B$6:$B$205,MATCH($A818,Mitarbeiter!$A$6:$A$205,0)),"?"))</f>
        <v/>
      </c>
      <c r="C818" s="46" t="n"/>
      <c r="D818" s="26" t="n"/>
      <c r="E818" s="26" t="n"/>
      <c r="F818" s="24">
        <f>IF(A818="","",SUM(L818:W818))</f>
        <v/>
      </c>
      <c r="G818" s="36">
        <f>IF(A818="","",SUM(X818:AI818))</f>
        <v/>
      </c>
      <c r="H818" s="8">
        <f>IF(A818="","",IF(ISNA(MATCH(A818,Mitarbeiter!$A$6:$A$205,0)),"Pers.-Nr. unbekannt",IF(D818="","Von fehlt",IF(AND(C818&lt;&gt;Einstellungen!$C$4,C818&lt;&gt;Einstellungen!$C$5),"Objekt fehlt",IF(J818&lt;D818,"Bis vor Von",IF(D818&lt;INDEX(Mitarbeiter!$C$6:$C$205,MATCH($A818,Mitarbeiter!$A$6:$A$205,0)),"vor Eintritt",IF(AND(INDEX(Mitarbeiter!$D$6:$D$205,MATCH($A818,Mitarbeiter!$A$6:$A$205,0))&lt;&gt;"",D818&gt;INDEX(Mitarbeiter!$D$6:$D$205,MATCH($A818,Mitarbeiter!$A$6:$A$205,0))),"nach Austritt",IF(E818="","offen","ok"))))))))</f>
        <v/>
      </c>
      <c r="J818" s="47">
        <f>IF(A818="","",IF(E818="",Einstellungen!$C$9,E818))</f>
        <v/>
      </c>
      <c r="K818" s="48">
        <f>IF(A818="",0,IFERROR(INDEX(Mitarbeiter!$F$6:$F$205,MATCH($A818,Mitarbeiter!$A$6:$A$205,0)),0))</f>
        <v/>
      </c>
      <c r="L818" s="49">
        <f>IF(OR(A818="",D818=""),0,MAX(0,NETWORKDAYS(MAX(D818,DATE(Einstellungen!$C$3,1,1)),MIN(J818,DATE(Einstellungen!$C$3,2,0)),Einstellungen!$F$13:$F$32)))</f>
        <v/>
      </c>
      <c r="M818" s="49">
        <f>IF(OR(A818="",D818=""),0,MAX(0,NETWORKDAYS(MAX(D818,DATE(Einstellungen!$C$3,2,1)),MIN(J818,DATE(Einstellungen!$C$3,3,0)),Einstellungen!$F$13:$F$32)))</f>
        <v/>
      </c>
      <c r="N818" s="49">
        <f>IF(OR(A818="",D818=""),0,MAX(0,NETWORKDAYS(MAX(D818,DATE(Einstellungen!$C$3,3,1)),MIN(J818,DATE(Einstellungen!$C$3,4,0)),Einstellungen!$F$13:$F$32)))</f>
        <v/>
      </c>
      <c r="O818" s="49">
        <f>IF(OR(A818="",D818=""),0,MAX(0,NETWORKDAYS(MAX(D818,DATE(Einstellungen!$C$3,4,1)),MIN(J818,DATE(Einstellungen!$C$3,5,0)),Einstellungen!$F$13:$F$32)))</f>
        <v/>
      </c>
      <c r="P818" s="49">
        <f>IF(OR(A818="",D818=""),0,MAX(0,NETWORKDAYS(MAX(D818,DATE(Einstellungen!$C$3,5,1)),MIN(J818,DATE(Einstellungen!$C$3,6,0)),Einstellungen!$F$13:$F$32)))</f>
        <v/>
      </c>
      <c r="Q818" s="49">
        <f>IF(OR(A818="",D818=""),0,MAX(0,NETWORKDAYS(MAX(D818,DATE(Einstellungen!$C$3,6,1)),MIN(J818,DATE(Einstellungen!$C$3,7,0)),Einstellungen!$F$13:$F$32)))</f>
        <v/>
      </c>
      <c r="R818" s="49">
        <f>IF(OR(A818="",D818=""),0,MAX(0,NETWORKDAYS(MAX(D818,DATE(Einstellungen!$C$3,7,1)),MIN(J818,DATE(Einstellungen!$C$3,8,0)),Einstellungen!$F$13:$F$32)))</f>
        <v/>
      </c>
      <c r="S818" s="49">
        <f>IF(OR(A818="",D818=""),0,MAX(0,NETWORKDAYS(MAX(D818,DATE(Einstellungen!$C$3,8,1)),MIN(J818,DATE(Einstellungen!$C$3,9,0)),Einstellungen!$F$13:$F$32)))</f>
        <v/>
      </c>
      <c r="T818" s="49">
        <f>IF(OR(A818="",D818=""),0,MAX(0,NETWORKDAYS(MAX(D818,DATE(Einstellungen!$C$3,9,1)),MIN(J818,DATE(Einstellungen!$C$3,10,0)),Einstellungen!$F$13:$F$32)))</f>
        <v/>
      </c>
      <c r="U818" s="49">
        <f>IF(OR(A818="",D818=""),0,MAX(0,NETWORKDAYS(MAX(D818,DATE(Einstellungen!$C$3,10,1)),MIN(J818,DATE(Einstellungen!$C$3,11,0)),Einstellungen!$F$13:$F$32)))</f>
        <v/>
      </c>
      <c r="V818" s="49">
        <f>IF(OR(A818="",D818=""),0,MAX(0,NETWORKDAYS(MAX(D818,DATE(Einstellungen!$C$3,11,1)),MIN(J818,DATE(Einstellungen!$C$3,12,0)),Einstellungen!$F$13:$F$32)))</f>
        <v/>
      </c>
      <c r="W818" s="49">
        <f>IF(OR(A818="",D818=""),0,MAX(0,NETWORKDAYS(MAX(D818,DATE(Einstellungen!$C$3,12,1)),MIN(J818,DATE(Einstellungen!$C$3,13,0)),Einstellungen!$F$13:$F$32)))</f>
        <v/>
      </c>
      <c r="X818" s="50">
        <f>L818*K818</f>
        <v/>
      </c>
      <c r="Y818" s="50">
        <f>M818*K818</f>
        <v/>
      </c>
      <c r="Z818" s="50">
        <f>N818*K818</f>
        <v/>
      </c>
      <c r="AA818" s="50">
        <f>O818*K818</f>
        <v/>
      </c>
      <c r="AB818" s="50">
        <f>P818*K818</f>
        <v/>
      </c>
      <c r="AC818" s="50">
        <f>Q818*K818</f>
        <v/>
      </c>
      <c r="AD818" s="50">
        <f>R818*K818</f>
        <v/>
      </c>
      <c r="AE818" s="50">
        <f>S818*K818</f>
        <v/>
      </c>
      <c r="AF818" s="50">
        <f>T818*K818</f>
        <v/>
      </c>
      <c r="AG818" s="50">
        <f>U818*K818</f>
        <v/>
      </c>
      <c r="AH818" s="50">
        <f>V818*K818</f>
        <v/>
      </c>
      <c r="AI818" s="50">
        <f>W818*K818</f>
        <v/>
      </c>
    </row>
    <row r="819">
      <c r="A819" s="25" t="n"/>
      <c r="B819" s="45">
        <f>IF(A819="","",IFERROR(INDEX(Mitarbeiter!$B$6:$B$205,MATCH($A819,Mitarbeiter!$A$6:$A$205,0)),"?"))</f>
        <v/>
      </c>
      <c r="C819" s="46" t="n"/>
      <c r="D819" s="26" t="n"/>
      <c r="E819" s="26" t="n"/>
      <c r="F819" s="24">
        <f>IF(A819="","",SUM(L819:W819))</f>
        <v/>
      </c>
      <c r="G819" s="36">
        <f>IF(A819="","",SUM(X819:AI819))</f>
        <v/>
      </c>
      <c r="H819" s="8">
        <f>IF(A819="","",IF(ISNA(MATCH(A819,Mitarbeiter!$A$6:$A$205,0)),"Pers.-Nr. unbekannt",IF(D819="","Von fehlt",IF(AND(C819&lt;&gt;Einstellungen!$C$4,C819&lt;&gt;Einstellungen!$C$5),"Objekt fehlt",IF(J819&lt;D819,"Bis vor Von",IF(D819&lt;INDEX(Mitarbeiter!$C$6:$C$205,MATCH($A819,Mitarbeiter!$A$6:$A$205,0)),"vor Eintritt",IF(AND(INDEX(Mitarbeiter!$D$6:$D$205,MATCH($A819,Mitarbeiter!$A$6:$A$205,0))&lt;&gt;"",D819&gt;INDEX(Mitarbeiter!$D$6:$D$205,MATCH($A819,Mitarbeiter!$A$6:$A$205,0))),"nach Austritt",IF(E819="","offen","ok"))))))))</f>
        <v/>
      </c>
      <c r="J819" s="47">
        <f>IF(A819="","",IF(E819="",Einstellungen!$C$9,E819))</f>
        <v/>
      </c>
      <c r="K819" s="48">
        <f>IF(A819="",0,IFERROR(INDEX(Mitarbeiter!$F$6:$F$205,MATCH($A819,Mitarbeiter!$A$6:$A$205,0)),0))</f>
        <v/>
      </c>
      <c r="L819" s="49">
        <f>IF(OR(A819="",D819=""),0,MAX(0,NETWORKDAYS(MAX(D819,DATE(Einstellungen!$C$3,1,1)),MIN(J819,DATE(Einstellungen!$C$3,2,0)),Einstellungen!$F$13:$F$32)))</f>
        <v/>
      </c>
      <c r="M819" s="49">
        <f>IF(OR(A819="",D819=""),0,MAX(0,NETWORKDAYS(MAX(D819,DATE(Einstellungen!$C$3,2,1)),MIN(J819,DATE(Einstellungen!$C$3,3,0)),Einstellungen!$F$13:$F$32)))</f>
        <v/>
      </c>
      <c r="N819" s="49">
        <f>IF(OR(A819="",D819=""),0,MAX(0,NETWORKDAYS(MAX(D819,DATE(Einstellungen!$C$3,3,1)),MIN(J819,DATE(Einstellungen!$C$3,4,0)),Einstellungen!$F$13:$F$32)))</f>
        <v/>
      </c>
      <c r="O819" s="49">
        <f>IF(OR(A819="",D819=""),0,MAX(0,NETWORKDAYS(MAX(D819,DATE(Einstellungen!$C$3,4,1)),MIN(J819,DATE(Einstellungen!$C$3,5,0)),Einstellungen!$F$13:$F$32)))</f>
        <v/>
      </c>
      <c r="P819" s="49">
        <f>IF(OR(A819="",D819=""),0,MAX(0,NETWORKDAYS(MAX(D819,DATE(Einstellungen!$C$3,5,1)),MIN(J819,DATE(Einstellungen!$C$3,6,0)),Einstellungen!$F$13:$F$32)))</f>
        <v/>
      </c>
      <c r="Q819" s="49">
        <f>IF(OR(A819="",D819=""),0,MAX(0,NETWORKDAYS(MAX(D819,DATE(Einstellungen!$C$3,6,1)),MIN(J819,DATE(Einstellungen!$C$3,7,0)),Einstellungen!$F$13:$F$32)))</f>
        <v/>
      </c>
      <c r="R819" s="49">
        <f>IF(OR(A819="",D819=""),0,MAX(0,NETWORKDAYS(MAX(D819,DATE(Einstellungen!$C$3,7,1)),MIN(J819,DATE(Einstellungen!$C$3,8,0)),Einstellungen!$F$13:$F$32)))</f>
        <v/>
      </c>
      <c r="S819" s="49">
        <f>IF(OR(A819="",D819=""),0,MAX(0,NETWORKDAYS(MAX(D819,DATE(Einstellungen!$C$3,8,1)),MIN(J819,DATE(Einstellungen!$C$3,9,0)),Einstellungen!$F$13:$F$32)))</f>
        <v/>
      </c>
      <c r="T819" s="49">
        <f>IF(OR(A819="",D819=""),0,MAX(0,NETWORKDAYS(MAX(D819,DATE(Einstellungen!$C$3,9,1)),MIN(J819,DATE(Einstellungen!$C$3,10,0)),Einstellungen!$F$13:$F$32)))</f>
        <v/>
      </c>
      <c r="U819" s="49">
        <f>IF(OR(A819="",D819=""),0,MAX(0,NETWORKDAYS(MAX(D819,DATE(Einstellungen!$C$3,10,1)),MIN(J819,DATE(Einstellungen!$C$3,11,0)),Einstellungen!$F$13:$F$32)))</f>
        <v/>
      </c>
      <c r="V819" s="49">
        <f>IF(OR(A819="",D819=""),0,MAX(0,NETWORKDAYS(MAX(D819,DATE(Einstellungen!$C$3,11,1)),MIN(J819,DATE(Einstellungen!$C$3,12,0)),Einstellungen!$F$13:$F$32)))</f>
        <v/>
      </c>
      <c r="W819" s="49">
        <f>IF(OR(A819="",D819=""),0,MAX(0,NETWORKDAYS(MAX(D819,DATE(Einstellungen!$C$3,12,1)),MIN(J819,DATE(Einstellungen!$C$3,13,0)),Einstellungen!$F$13:$F$32)))</f>
        <v/>
      </c>
      <c r="X819" s="50">
        <f>L819*K819</f>
        <v/>
      </c>
      <c r="Y819" s="50">
        <f>M819*K819</f>
        <v/>
      </c>
      <c r="Z819" s="50">
        <f>N819*K819</f>
        <v/>
      </c>
      <c r="AA819" s="50">
        <f>O819*K819</f>
        <v/>
      </c>
      <c r="AB819" s="50">
        <f>P819*K819</f>
        <v/>
      </c>
      <c r="AC819" s="50">
        <f>Q819*K819</f>
        <v/>
      </c>
      <c r="AD819" s="50">
        <f>R819*K819</f>
        <v/>
      </c>
      <c r="AE819" s="50">
        <f>S819*K819</f>
        <v/>
      </c>
      <c r="AF819" s="50">
        <f>T819*K819</f>
        <v/>
      </c>
      <c r="AG819" s="50">
        <f>U819*K819</f>
        <v/>
      </c>
      <c r="AH819" s="50">
        <f>V819*K819</f>
        <v/>
      </c>
      <c r="AI819" s="50">
        <f>W819*K819</f>
        <v/>
      </c>
    </row>
    <row r="820">
      <c r="A820" s="25" t="n"/>
      <c r="B820" s="45">
        <f>IF(A820="","",IFERROR(INDEX(Mitarbeiter!$B$6:$B$205,MATCH($A820,Mitarbeiter!$A$6:$A$205,0)),"?"))</f>
        <v/>
      </c>
      <c r="C820" s="46" t="n"/>
      <c r="D820" s="26" t="n"/>
      <c r="E820" s="26" t="n"/>
      <c r="F820" s="24">
        <f>IF(A820="","",SUM(L820:W820))</f>
        <v/>
      </c>
      <c r="G820" s="36">
        <f>IF(A820="","",SUM(X820:AI820))</f>
        <v/>
      </c>
      <c r="H820" s="8">
        <f>IF(A820="","",IF(ISNA(MATCH(A820,Mitarbeiter!$A$6:$A$205,0)),"Pers.-Nr. unbekannt",IF(D820="","Von fehlt",IF(AND(C820&lt;&gt;Einstellungen!$C$4,C820&lt;&gt;Einstellungen!$C$5),"Objekt fehlt",IF(J820&lt;D820,"Bis vor Von",IF(D820&lt;INDEX(Mitarbeiter!$C$6:$C$205,MATCH($A820,Mitarbeiter!$A$6:$A$205,0)),"vor Eintritt",IF(AND(INDEX(Mitarbeiter!$D$6:$D$205,MATCH($A820,Mitarbeiter!$A$6:$A$205,0))&lt;&gt;"",D820&gt;INDEX(Mitarbeiter!$D$6:$D$205,MATCH($A820,Mitarbeiter!$A$6:$A$205,0))),"nach Austritt",IF(E820="","offen","ok"))))))))</f>
        <v/>
      </c>
      <c r="J820" s="47">
        <f>IF(A820="","",IF(E820="",Einstellungen!$C$9,E820))</f>
        <v/>
      </c>
      <c r="K820" s="48">
        <f>IF(A820="",0,IFERROR(INDEX(Mitarbeiter!$F$6:$F$205,MATCH($A820,Mitarbeiter!$A$6:$A$205,0)),0))</f>
        <v/>
      </c>
      <c r="L820" s="49">
        <f>IF(OR(A820="",D820=""),0,MAX(0,NETWORKDAYS(MAX(D820,DATE(Einstellungen!$C$3,1,1)),MIN(J820,DATE(Einstellungen!$C$3,2,0)),Einstellungen!$F$13:$F$32)))</f>
        <v/>
      </c>
      <c r="M820" s="49">
        <f>IF(OR(A820="",D820=""),0,MAX(0,NETWORKDAYS(MAX(D820,DATE(Einstellungen!$C$3,2,1)),MIN(J820,DATE(Einstellungen!$C$3,3,0)),Einstellungen!$F$13:$F$32)))</f>
        <v/>
      </c>
      <c r="N820" s="49">
        <f>IF(OR(A820="",D820=""),0,MAX(0,NETWORKDAYS(MAX(D820,DATE(Einstellungen!$C$3,3,1)),MIN(J820,DATE(Einstellungen!$C$3,4,0)),Einstellungen!$F$13:$F$32)))</f>
        <v/>
      </c>
      <c r="O820" s="49">
        <f>IF(OR(A820="",D820=""),0,MAX(0,NETWORKDAYS(MAX(D820,DATE(Einstellungen!$C$3,4,1)),MIN(J820,DATE(Einstellungen!$C$3,5,0)),Einstellungen!$F$13:$F$32)))</f>
        <v/>
      </c>
      <c r="P820" s="49">
        <f>IF(OR(A820="",D820=""),0,MAX(0,NETWORKDAYS(MAX(D820,DATE(Einstellungen!$C$3,5,1)),MIN(J820,DATE(Einstellungen!$C$3,6,0)),Einstellungen!$F$13:$F$32)))</f>
        <v/>
      </c>
      <c r="Q820" s="49">
        <f>IF(OR(A820="",D820=""),0,MAX(0,NETWORKDAYS(MAX(D820,DATE(Einstellungen!$C$3,6,1)),MIN(J820,DATE(Einstellungen!$C$3,7,0)),Einstellungen!$F$13:$F$32)))</f>
        <v/>
      </c>
      <c r="R820" s="49">
        <f>IF(OR(A820="",D820=""),0,MAX(0,NETWORKDAYS(MAX(D820,DATE(Einstellungen!$C$3,7,1)),MIN(J820,DATE(Einstellungen!$C$3,8,0)),Einstellungen!$F$13:$F$32)))</f>
        <v/>
      </c>
      <c r="S820" s="49">
        <f>IF(OR(A820="",D820=""),0,MAX(0,NETWORKDAYS(MAX(D820,DATE(Einstellungen!$C$3,8,1)),MIN(J820,DATE(Einstellungen!$C$3,9,0)),Einstellungen!$F$13:$F$32)))</f>
        <v/>
      </c>
      <c r="T820" s="49">
        <f>IF(OR(A820="",D820=""),0,MAX(0,NETWORKDAYS(MAX(D820,DATE(Einstellungen!$C$3,9,1)),MIN(J820,DATE(Einstellungen!$C$3,10,0)),Einstellungen!$F$13:$F$32)))</f>
        <v/>
      </c>
      <c r="U820" s="49">
        <f>IF(OR(A820="",D820=""),0,MAX(0,NETWORKDAYS(MAX(D820,DATE(Einstellungen!$C$3,10,1)),MIN(J820,DATE(Einstellungen!$C$3,11,0)),Einstellungen!$F$13:$F$32)))</f>
        <v/>
      </c>
      <c r="V820" s="49">
        <f>IF(OR(A820="",D820=""),0,MAX(0,NETWORKDAYS(MAX(D820,DATE(Einstellungen!$C$3,11,1)),MIN(J820,DATE(Einstellungen!$C$3,12,0)),Einstellungen!$F$13:$F$32)))</f>
        <v/>
      </c>
      <c r="W820" s="49">
        <f>IF(OR(A820="",D820=""),0,MAX(0,NETWORKDAYS(MAX(D820,DATE(Einstellungen!$C$3,12,1)),MIN(J820,DATE(Einstellungen!$C$3,13,0)),Einstellungen!$F$13:$F$32)))</f>
        <v/>
      </c>
      <c r="X820" s="50">
        <f>L820*K820</f>
        <v/>
      </c>
      <c r="Y820" s="50">
        <f>M820*K820</f>
        <v/>
      </c>
      <c r="Z820" s="50">
        <f>N820*K820</f>
        <v/>
      </c>
      <c r="AA820" s="50">
        <f>O820*K820</f>
        <v/>
      </c>
      <c r="AB820" s="50">
        <f>P820*K820</f>
        <v/>
      </c>
      <c r="AC820" s="50">
        <f>Q820*K820</f>
        <v/>
      </c>
      <c r="AD820" s="50">
        <f>R820*K820</f>
        <v/>
      </c>
      <c r="AE820" s="50">
        <f>S820*K820</f>
        <v/>
      </c>
      <c r="AF820" s="50">
        <f>T820*K820</f>
        <v/>
      </c>
      <c r="AG820" s="50">
        <f>U820*K820</f>
        <v/>
      </c>
      <c r="AH820" s="50">
        <f>V820*K820</f>
        <v/>
      </c>
      <c r="AI820" s="50">
        <f>W820*K820</f>
        <v/>
      </c>
    </row>
    <row r="821">
      <c r="A821" s="25" t="n"/>
      <c r="B821" s="45">
        <f>IF(A821="","",IFERROR(INDEX(Mitarbeiter!$B$6:$B$205,MATCH($A821,Mitarbeiter!$A$6:$A$205,0)),"?"))</f>
        <v/>
      </c>
      <c r="C821" s="46" t="n"/>
      <c r="D821" s="26" t="n"/>
      <c r="E821" s="26" t="n"/>
      <c r="F821" s="24">
        <f>IF(A821="","",SUM(L821:W821))</f>
        <v/>
      </c>
      <c r="G821" s="36">
        <f>IF(A821="","",SUM(X821:AI821))</f>
        <v/>
      </c>
      <c r="H821" s="8">
        <f>IF(A821="","",IF(ISNA(MATCH(A821,Mitarbeiter!$A$6:$A$205,0)),"Pers.-Nr. unbekannt",IF(D821="","Von fehlt",IF(AND(C821&lt;&gt;Einstellungen!$C$4,C821&lt;&gt;Einstellungen!$C$5),"Objekt fehlt",IF(J821&lt;D821,"Bis vor Von",IF(D821&lt;INDEX(Mitarbeiter!$C$6:$C$205,MATCH($A821,Mitarbeiter!$A$6:$A$205,0)),"vor Eintritt",IF(AND(INDEX(Mitarbeiter!$D$6:$D$205,MATCH($A821,Mitarbeiter!$A$6:$A$205,0))&lt;&gt;"",D821&gt;INDEX(Mitarbeiter!$D$6:$D$205,MATCH($A821,Mitarbeiter!$A$6:$A$205,0))),"nach Austritt",IF(E821="","offen","ok"))))))))</f>
        <v/>
      </c>
      <c r="J821" s="47">
        <f>IF(A821="","",IF(E821="",Einstellungen!$C$9,E821))</f>
        <v/>
      </c>
      <c r="K821" s="48">
        <f>IF(A821="",0,IFERROR(INDEX(Mitarbeiter!$F$6:$F$205,MATCH($A821,Mitarbeiter!$A$6:$A$205,0)),0))</f>
        <v/>
      </c>
      <c r="L821" s="49">
        <f>IF(OR(A821="",D821=""),0,MAX(0,NETWORKDAYS(MAX(D821,DATE(Einstellungen!$C$3,1,1)),MIN(J821,DATE(Einstellungen!$C$3,2,0)),Einstellungen!$F$13:$F$32)))</f>
        <v/>
      </c>
      <c r="M821" s="49">
        <f>IF(OR(A821="",D821=""),0,MAX(0,NETWORKDAYS(MAX(D821,DATE(Einstellungen!$C$3,2,1)),MIN(J821,DATE(Einstellungen!$C$3,3,0)),Einstellungen!$F$13:$F$32)))</f>
        <v/>
      </c>
      <c r="N821" s="49">
        <f>IF(OR(A821="",D821=""),0,MAX(0,NETWORKDAYS(MAX(D821,DATE(Einstellungen!$C$3,3,1)),MIN(J821,DATE(Einstellungen!$C$3,4,0)),Einstellungen!$F$13:$F$32)))</f>
        <v/>
      </c>
      <c r="O821" s="49">
        <f>IF(OR(A821="",D821=""),0,MAX(0,NETWORKDAYS(MAX(D821,DATE(Einstellungen!$C$3,4,1)),MIN(J821,DATE(Einstellungen!$C$3,5,0)),Einstellungen!$F$13:$F$32)))</f>
        <v/>
      </c>
      <c r="P821" s="49">
        <f>IF(OR(A821="",D821=""),0,MAX(0,NETWORKDAYS(MAX(D821,DATE(Einstellungen!$C$3,5,1)),MIN(J821,DATE(Einstellungen!$C$3,6,0)),Einstellungen!$F$13:$F$32)))</f>
        <v/>
      </c>
      <c r="Q821" s="49">
        <f>IF(OR(A821="",D821=""),0,MAX(0,NETWORKDAYS(MAX(D821,DATE(Einstellungen!$C$3,6,1)),MIN(J821,DATE(Einstellungen!$C$3,7,0)),Einstellungen!$F$13:$F$32)))</f>
        <v/>
      </c>
      <c r="R821" s="49">
        <f>IF(OR(A821="",D821=""),0,MAX(0,NETWORKDAYS(MAX(D821,DATE(Einstellungen!$C$3,7,1)),MIN(J821,DATE(Einstellungen!$C$3,8,0)),Einstellungen!$F$13:$F$32)))</f>
        <v/>
      </c>
      <c r="S821" s="49">
        <f>IF(OR(A821="",D821=""),0,MAX(0,NETWORKDAYS(MAX(D821,DATE(Einstellungen!$C$3,8,1)),MIN(J821,DATE(Einstellungen!$C$3,9,0)),Einstellungen!$F$13:$F$32)))</f>
        <v/>
      </c>
      <c r="T821" s="49">
        <f>IF(OR(A821="",D821=""),0,MAX(0,NETWORKDAYS(MAX(D821,DATE(Einstellungen!$C$3,9,1)),MIN(J821,DATE(Einstellungen!$C$3,10,0)),Einstellungen!$F$13:$F$32)))</f>
        <v/>
      </c>
      <c r="U821" s="49">
        <f>IF(OR(A821="",D821=""),0,MAX(0,NETWORKDAYS(MAX(D821,DATE(Einstellungen!$C$3,10,1)),MIN(J821,DATE(Einstellungen!$C$3,11,0)),Einstellungen!$F$13:$F$32)))</f>
        <v/>
      </c>
      <c r="V821" s="49">
        <f>IF(OR(A821="",D821=""),0,MAX(0,NETWORKDAYS(MAX(D821,DATE(Einstellungen!$C$3,11,1)),MIN(J821,DATE(Einstellungen!$C$3,12,0)),Einstellungen!$F$13:$F$32)))</f>
        <v/>
      </c>
      <c r="W821" s="49">
        <f>IF(OR(A821="",D821=""),0,MAX(0,NETWORKDAYS(MAX(D821,DATE(Einstellungen!$C$3,12,1)),MIN(J821,DATE(Einstellungen!$C$3,13,0)),Einstellungen!$F$13:$F$32)))</f>
        <v/>
      </c>
      <c r="X821" s="50">
        <f>L821*K821</f>
        <v/>
      </c>
      <c r="Y821" s="50">
        <f>M821*K821</f>
        <v/>
      </c>
      <c r="Z821" s="50">
        <f>N821*K821</f>
        <v/>
      </c>
      <c r="AA821" s="50">
        <f>O821*K821</f>
        <v/>
      </c>
      <c r="AB821" s="50">
        <f>P821*K821</f>
        <v/>
      </c>
      <c r="AC821" s="50">
        <f>Q821*K821</f>
        <v/>
      </c>
      <c r="AD821" s="50">
        <f>R821*K821</f>
        <v/>
      </c>
      <c r="AE821" s="50">
        <f>S821*K821</f>
        <v/>
      </c>
      <c r="AF821" s="50">
        <f>T821*K821</f>
        <v/>
      </c>
      <c r="AG821" s="50">
        <f>U821*K821</f>
        <v/>
      </c>
      <c r="AH821" s="50">
        <f>V821*K821</f>
        <v/>
      </c>
      <c r="AI821" s="50">
        <f>W821*K821</f>
        <v/>
      </c>
    </row>
    <row r="822">
      <c r="A822" s="25" t="n"/>
      <c r="B822" s="45">
        <f>IF(A822="","",IFERROR(INDEX(Mitarbeiter!$B$6:$B$205,MATCH($A822,Mitarbeiter!$A$6:$A$205,0)),"?"))</f>
        <v/>
      </c>
      <c r="C822" s="46" t="n"/>
      <c r="D822" s="26" t="n"/>
      <c r="E822" s="26" t="n"/>
      <c r="F822" s="24">
        <f>IF(A822="","",SUM(L822:W822))</f>
        <v/>
      </c>
      <c r="G822" s="36">
        <f>IF(A822="","",SUM(X822:AI822))</f>
        <v/>
      </c>
      <c r="H822" s="8">
        <f>IF(A822="","",IF(ISNA(MATCH(A822,Mitarbeiter!$A$6:$A$205,0)),"Pers.-Nr. unbekannt",IF(D822="","Von fehlt",IF(AND(C822&lt;&gt;Einstellungen!$C$4,C822&lt;&gt;Einstellungen!$C$5),"Objekt fehlt",IF(J822&lt;D822,"Bis vor Von",IF(D822&lt;INDEX(Mitarbeiter!$C$6:$C$205,MATCH($A822,Mitarbeiter!$A$6:$A$205,0)),"vor Eintritt",IF(AND(INDEX(Mitarbeiter!$D$6:$D$205,MATCH($A822,Mitarbeiter!$A$6:$A$205,0))&lt;&gt;"",D822&gt;INDEX(Mitarbeiter!$D$6:$D$205,MATCH($A822,Mitarbeiter!$A$6:$A$205,0))),"nach Austritt",IF(E822="","offen","ok"))))))))</f>
        <v/>
      </c>
      <c r="J822" s="47">
        <f>IF(A822="","",IF(E822="",Einstellungen!$C$9,E822))</f>
        <v/>
      </c>
      <c r="K822" s="48">
        <f>IF(A822="",0,IFERROR(INDEX(Mitarbeiter!$F$6:$F$205,MATCH($A822,Mitarbeiter!$A$6:$A$205,0)),0))</f>
        <v/>
      </c>
      <c r="L822" s="49">
        <f>IF(OR(A822="",D822=""),0,MAX(0,NETWORKDAYS(MAX(D822,DATE(Einstellungen!$C$3,1,1)),MIN(J822,DATE(Einstellungen!$C$3,2,0)),Einstellungen!$F$13:$F$32)))</f>
        <v/>
      </c>
      <c r="M822" s="49">
        <f>IF(OR(A822="",D822=""),0,MAX(0,NETWORKDAYS(MAX(D822,DATE(Einstellungen!$C$3,2,1)),MIN(J822,DATE(Einstellungen!$C$3,3,0)),Einstellungen!$F$13:$F$32)))</f>
        <v/>
      </c>
      <c r="N822" s="49">
        <f>IF(OR(A822="",D822=""),0,MAX(0,NETWORKDAYS(MAX(D822,DATE(Einstellungen!$C$3,3,1)),MIN(J822,DATE(Einstellungen!$C$3,4,0)),Einstellungen!$F$13:$F$32)))</f>
        <v/>
      </c>
      <c r="O822" s="49">
        <f>IF(OR(A822="",D822=""),0,MAX(0,NETWORKDAYS(MAX(D822,DATE(Einstellungen!$C$3,4,1)),MIN(J822,DATE(Einstellungen!$C$3,5,0)),Einstellungen!$F$13:$F$32)))</f>
        <v/>
      </c>
      <c r="P822" s="49">
        <f>IF(OR(A822="",D822=""),0,MAX(0,NETWORKDAYS(MAX(D822,DATE(Einstellungen!$C$3,5,1)),MIN(J822,DATE(Einstellungen!$C$3,6,0)),Einstellungen!$F$13:$F$32)))</f>
        <v/>
      </c>
      <c r="Q822" s="49">
        <f>IF(OR(A822="",D822=""),0,MAX(0,NETWORKDAYS(MAX(D822,DATE(Einstellungen!$C$3,6,1)),MIN(J822,DATE(Einstellungen!$C$3,7,0)),Einstellungen!$F$13:$F$32)))</f>
        <v/>
      </c>
      <c r="R822" s="49">
        <f>IF(OR(A822="",D822=""),0,MAX(0,NETWORKDAYS(MAX(D822,DATE(Einstellungen!$C$3,7,1)),MIN(J822,DATE(Einstellungen!$C$3,8,0)),Einstellungen!$F$13:$F$32)))</f>
        <v/>
      </c>
      <c r="S822" s="49">
        <f>IF(OR(A822="",D822=""),0,MAX(0,NETWORKDAYS(MAX(D822,DATE(Einstellungen!$C$3,8,1)),MIN(J822,DATE(Einstellungen!$C$3,9,0)),Einstellungen!$F$13:$F$32)))</f>
        <v/>
      </c>
      <c r="T822" s="49">
        <f>IF(OR(A822="",D822=""),0,MAX(0,NETWORKDAYS(MAX(D822,DATE(Einstellungen!$C$3,9,1)),MIN(J822,DATE(Einstellungen!$C$3,10,0)),Einstellungen!$F$13:$F$32)))</f>
        <v/>
      </c>
      <c r="U822" s="49">
        <f>IF(OR(A822="",D822=""),0,MAX(0,NETWORKDAYS(MAX(D822,DATE(Einstellungen!$C$3,10,1)),MIN(J822,DATE(Einstellungen!$C$3,11,0)),Einstellungen!$F$13:$F$32)))</f>
        <v/>
      </c>
      <c r="V822" s="49">
        <f>IF(OR(A822="",D822=""),0,MAX(0,NETWORKDAYS(MAX(D822,DATE(Einstellungen!$C$3,11,1)),MIN(J822,DATE(Einstellungen!$C$3,12,0)),Einstellungen!$F$13:$F$32)))</f>
        <v/>
      </c>
      <c r="W822" s="49">
        <f>IF(OR(A822="",D822=""),0,MAX(0,NETWORKDAYS(MAX(D822,DATE(Einstellungen!$C$3,12,1)),MIN(J822,DATE(Einstellungen!$C$3,13,0)),Einstellungen!$F$13:$F$32)))</f>
        <v/>
      </c>
      <c r="X822" s="50">
        <f>L822*K822</f>
        <v/>
      </c>
      <c r="Y822" s="50">
        <f>M822*K822</f>
        <v/>
      </c>
      <c r="Z822" s="50">
        <f>N822*K822</f>
        <v/>
      </c>
      <c r="AA822" s="50">
        <f>O822*K822</f>
        <v/>
      </c>
      <c r="AB822" s="50">
        <f>P822*K822</f>
        <v/>
      </c>
      <c r="AC822" s="50">
        <f>Q822*K822</f>
        <v/>
      </c>
      <c r="AD822" s="50">
        <f>R822*K822</f>
        <v/>
      </c>
      <c r="AE822" s="50">
        <f>S822*K822</f>
        <v/>
      </c>
      <c r="AF822" s="50">
        <f>T822*K822</f>
        <v/>
      </c>
      <c r="AG822" s="50">
        <f>U822*K822</f>
        <v/>
      </c>
      <c r="AH822" s="50">
        <f>V822*K822</f>
        <v/>
      </c>
      <c r="AI822" s="50">
        <f>W822*K822</f>
        <v/>
      </c>
    </row>
    <row r="823">
      <c r="A823" s="25" t="n"/>
      <c r="B823" s="45">
        <f>IF(A823="","",IFERROR(INDEX(Mitarbeiter!$B$6:$B$205,MATCH($A823,Mitarbeiter!$A$6:$A$205,0)),"?"))</f>
        <v/>
      </c>
      <c r="C823" s="46" t="n"/>
      <c r="D823" s="26" t="n"/>
      <c r="E823" s="26" t="n"/>
      <c r="F823" s="24">
        <f>IF(A823="","",SUM(L823:W823))</f>
        <v/>
      </c>
      <c r="G823" s="36">
        <f>IF(A823="","",SUM(X823:AI823))</f>
        <v/>
      </c>
      <c r="H823" s="8">
        <f>IF(A823="","",IF(ISNA(MATCH(A823,Mitarbeiter!$A$6:$A$205,0)),"Pers.-Nr. unbekannt",IF(D823="","Von fehlt",IF(AND(C823&lt;&gt;Einstellungen!$C$4,C823&lt;&gt;Einstellungen!$C$5),"Objekt fehlt",IF(J823&lt;D823,"Bis vor Von",IF(D823&lt;INDEX(Mitarbeiter!$C$6:$C$205,MATCH($A823,Mitarbeiter!$A$6:$A$205,0)),"vor Eintritt",IF(AND(INDEX(Mitarbeiter!$D$6:$D$205,MATCH($A823,Mitarbeiter!$A$6:$A$205,0))&lt;&gt;"",D823&gt;INDEX(Mitarbeiter!$D$6:$D$205,MATCH($A823,Mitarbeiter!$A$6:$A$205,0))),"nach Austritt",IF(E823="","offen","ok"))))))))</f>
        <v/>
      </c>
      <c r="J823" s="47">
        <f>IF(A823="","",IF(E823="",Einstellungen!$C$9,E823))</f>
        <v/>
      </c>
      <c r="K823" s="48">
        <f>IF(A823="",0,IFERROR(INDEX(Mitarbeiter!$F$6:$F$205,MATCH($A823,Mitarbeiter!$A$6:$A$205,0)),0))</f>
        <v/>
      </c>
      <c r="L823" s="49">
        <f>IF(OR(A823="",D823=""),0,MAX(0,NETWORKDAYS(MAX(D823,DATE(Einstellungen!$C$3,1,1)),MIN(J823,DATE(Einstellungen!$C$3,2,0)),Einstellungen!$F$13:$F$32)))</f>
        <v/>
      </c>
      <c r="M823" s="49">
        <f>IF(OR(A823="",D823=""),0,MAX(0,NETWORKDAYS(MAX(D823,DATE(Einstellungen!$C$3,2,1)),MIN(J823,DATE(Einstellungen!$C$3,3,0)),Einstellungen!$F$13:$F$32)))</f>
        <v/>
      </c>
      <c r="N823" s="49">
        <f>IF(OR(A823="",D823=""),0,MAX(0,NETWORKDAYS(MAX(D823,DATE(Einstellungen!$C$3,3,1)),MIN(J823,DATE(Einstellungen!$C$3,4,0)),Einstellungen!$F$13:$F$32)))</f>
        <v/>
      </c>
      <c r="O823" s="49">
        <f>IF(OR(A823="",D823=""),0,MAX(0,NETWORKDAYS(MAX(D823,DATE(Einstellungen!$C$3,4,1)),MIN(J823,DATE(Einstellungen!$C$3,5,0)),Einstellungen!$F$13:$F$32)))</f>
        <v/>
      </c>
      <c r="P823" s="49">
        <f>IF(OR(A823="",D823=""),0,MAX(0,NETWORKDAYS(MAX(D823,DATE(Einstellungen!$C$3,5,1)),MIN(J823,DATE(Einstellungen!$C$3,6,0)),Einstellungen!$F$13:$F$32)))</f>
        <v/>
      </c>
      <c r="Q823" s="49">
        <f>IF(OR(A823="",D823=""),0,MAX(0,NETWORKDAYS(MAX(D823,DATE(Einstellungen!$C$3,6,1)),MIN(J823,DATE(Einstellungen!$C$3,7,0)),Einstellungen!$F$13:$F$32)))</f>
        <v/>
      </c>
      <c r="R823" s="49">
        <f>IF(OR(A823="",D823=""),0,MAX(0,NETWORKDAYS(MAX(D823,DATE(Einstellungen!$C$3,7,1)),MIN(J823,DATE(Einstellungen!$C$3,8,0)),Einstellungen!$F$13:$F$32)))</f>
        <v/>
      </c>
      <c r="S823" s="49">
        <f>IF(OR(A823="",D823=""),0,MAX(0,NETWORKDAYS(MAX(D823,DATE(Einstellungen!$C$3,8,1)),MIN(J823,DATE(Einstellungen!$C$3,9,0)),Einstellungen!$F$13:$F$32)))</f>
        <v/>
      </c>
      <c r="T823" s="49">
        <f>IF(OR(A823="",D823=""),0,MAX(0,NETWORKDAYS(MAX(D823,DATE(Einstellungen!$C$3,9,1)),MIN(J823,DATE(Einstellungen!$C$3,10,0)),Einstellungen!$F$13:$F$32)))</f>
        <v/>
      </c>
      <c r="U823" s="49">
        <f>IF(OR(A823="",D823=""),0,MAX(0,NETWORKDAYS(MAX(D823,DATE(Einstellungen!$C$3,10,1)),MIN(J823,DATE(Einstellungen!$C$3,11,0)),Einstellungen!$F$13:$F$32)))</f>
        <v/>
      </c>
      <c r="V823" s="49">
        <f>IF(OR(A823="",D823=""),0,MAX(0,NETWORKDAYS(MAX(D823,DATE(Einstellungen!$C$3,11,1)),MIN(J823,DATE(Einstellungen!$C$3,12,0)),Einstellungen!$F$13:$F$32)))</f>
        <v/>
      </c>
      <c r="W823" s="49">
        <f>IF(OR(A823="",D823=""),0,MAX(0,NETWORKDAYS(MAX(D823,DATE(Einstellungen!$C$3,12,1)),MIN(J823,DATE(Einstellungen!$C$3,13,0)),Einstellungen!$F$13:$F$32)))</f>
        <v/>
      </c>
      <c r="X823" s="50">
        <f>L823*K823</f>
        <v/>
      </c>
      <c r="Y823" s="50">
        <f>M823*K823</f>
        <v/>
      </c>
      <c r="Z823" s="50">
        <f>N823*K823</f>
        <v/>
      </c>
      <c r="AA823" s="50">
        <f>O823*K823</f>
        <v/>
      </c>
      <c r="AB823" s="50">
        <f>P823*K823</f>
        <v/>
      </c>
      <c r="AC823" s="50">
        <f>Q823*K823</f>
        <v/>
      </c>
      <c r="AD823" s="50">
        <f>R823*K823</f>
        <v/>
      </c>
      <c r="AE823" s="50">
        <f>S823*K823</f>
        <v/>
      </c>
      <c r="AF823" s="50">
        <f>T823*K823</f>
        <v/>
      </c>
      <c r="AG823" s="50">
        <f>U823*K823</f>
        <v/>
      </c>
      <c r="AH823" s="50">
        <f>V823*K823</f>
        <v/>
      </c>
      <c r="AI823" s="50">
        <f>W823*K823</f>
        <v/>
      </c>
    </row>
    <row r="824">
      <c r="A824" s="25" t="n"/>
      <c r="B824" s="45">
        <f>IF(A824="","",IFERROR(INDEX(Mitarbeiter!$B$6:$B$205,MATCH($A824,Mitarbeiter!$A$6:$A$205,0)),"?"))</f>
        <v/>
      </c>
      <c r="C824" s="46" t="n"/>
      <c r="D824" s="26" t="n"/>
      <c r="E824" s="26" t="n"/>
      <c r="F824" s="24">
        <f>IF(A824="","",SUM(L824:W824))</f>
        <v/>
      </c>
      <c r="G824" s="36">
        <f>IF(A824="","",SUM(X824:AI824))</f>
        <v/>
      </c>
      <c r="H824" s="8">
        <f>IF(A824="","",IF(ISNA(MATCH(A824,Mitarbeiter!$A$6:$A$205,0)),"Pers.-Nr. unbekannt",IF(D824="","Von fehlt",IF(AND(C824&lt;&gt;Einstellungen!$C$4,C824&lt;&gt;Einstellungen!$C$5),"Objekt fehlt",IF(J824&lt;D824,"Bis vor Von",IF(D824&lt;INDEX(Mitarbeiter!$C$6:$C$205,MATCH($A824,Mitarbeiter!$A$6:$A$205,0)),"vor Eintritt",IF(AND(INDEX(Mitarbeiter!$D$6:$D$205,MATCH($A824,Mitarbeiter!$A$6:$A$205,0))&lt;&gt;"",D824&gt;INDEX(Mitarbeiter!$D$6:$D$205,MATCH($A824,Mitarbeiter!$A$6:$A$205,0))),"nach Austritt",IF(E824="","offen","ok"))))))))</f>
        <v/>
      </c>
      <c r="J824" s="47">
        <f>IF(A824="","",IF(E824="",Einstellungen!$C$9,E824))</f>
        <v/>
      </c>
      <c r="K824" s="48">
        <f>IF(A824="",0,IFERROR(INDEX(Mitarbeiter!$F$6:$F$205,MATCH($A824,Mitarbeiter!$A$6:$A$205,0)),0))</f>
        <v/>
      </c>
      <c r="L824" s="49">
        <f>IF(OR(A824="",D824=""),0,MAX(0,NETWORKDAYS(MAX(D824,DATE(Einstellungen!$C$3,1,1)),MIN(J824,DATE(Einstellungen!$C$3,2,0)),Einstellungen!$F$13:$F$32)))</f>
        <v/>
      </c>
      <c r="M824" s="49">
        <f>IF(OR(A824="",D824=""),0,MAX(0,NETWORKDAYS(MAX(D824,DATE(Einstellungen!$C$3,2,1)),MIN(J824,DATE(Einstellungen!$C$3,3,0)),Einstellungen!$F$13:$F$32)))</f>
        <v/>
      </c>
      <c r="N824" s="49">
        <f>IF(OR(A824="",D824=""),0,MAX(0,NETWORKDAYS(MAX(D824,DATE(Einstellungen!$C$3,3,1)),MIN(J824,DATE(Einstellungen!$C$3,4,0)),Einstellungen!$F$13:$F$32)))</f>
        <v/>
      </c>
      <c r="O824" s="49">
        <f>IF(OR(A824="",D824=""),0,MAX(0,NETWORKDAYS(MAX(D824,DATE(Einstellungen!$C$3,4,1)),MIN(J824,DATE(Einstellungen!$C$3,5,0)),Einstellungen!$F$13:$F$32)))</f>
        <v/>
      </c>
      <c r="P824" s="49">
        <f>IF(OR(A824="",D824=""),0,MAX(0,NETWORKDAYS(MAX(D824,DATE(Einstellungen!$C$3,5,1)),MIN(J824,DATE(Einstellungen!$C$3,6,0)),Einstellungen!$F$13:$F$32)))</f>
        <v/>
      </c>
      <c r="Q824" s="49">
        <f>IF(OR(A824="",D824=""),0,MAX(0,NETWORKDAYS(MAX(D824,DATE(Einstellungen!$C$3,6,1)),MIN(J824,DATE(Einstellungen!$C$3,7,0)),Einstellungen!$F$13:$F$32)))</f>
        <v/>
      </c>
      <c r="R824" s="49">
        <f>IF(OR(A824="",D824=""),0,MAX(0,NETWORKDAYS(MAX(D824,DATE(Einstellungen!$C$3,7,1)),MIN(J824,DATE(Einstellungen!$C$3,8,0)),Einstellungen!$F$13:$F$32)))</f>
        <v/>
      </c>
      <c r="S824" s="49">
        <f>IF(OR(A824="",D824=""),0,MAX(0,NETWORKDAYS(MAX(D824,DATE(Einstellungen!$C$3,8,1)),MIN(J824,DATE(Einstellungen!$C$3,9,0)),Einstellungen!$F$13:$F$32)))</f>
        <v/>
      </c>
      <c r="T824" s="49">
        <f>IF(OR(A824="",D824=""),0,MAX(0,NETWORKDAYS(MAX(D824,DATE(Einstellungen!$C$3,9,1)),MIN(J824,DATE(Einstellungen!$C$3,10,0)),Einstellungen!$F$13:$F$32)))</f>
        <v/>
      </c>
      <c r="U824" s="49">
        <f>IF(OR(A824="",D824=""),0,MAX(0,NETWORKDAYS(MAX(D824,DATE(Einstellungen!$C$3,10,1)),MIN(J824,DATE(Einstellungen!$C$3,11,0)),Einstellungen!$F$13:$F$32)))</f>
        <v/>
      </c>
      <c r="V824" s="49">
        <f>IF(OR(A824="",D824=""),0,MAX(0,NETWORKDAYS(MAX(D824,DATE(Einstellungen!$C$3,11,1)),MIN(J824,DATE(Einstellungen!$C$3,12,0)),Einstellungen!$F$13:$F$32)))</f>
        <v/>
      </c>
      <c r="W824" s="49">
        <f>IF(OR(A824="",D824=""),0,MAX(0,NETWORKDAYS(MAX(D824,DATE(Einstellungen!$C$3,12,1)),MIN(J824,DATE(Einstellungen!$C$3,13,0)),Einstellungen!$F$13:$F$32)))</f>
        <v/>
      </c>
      <c r="X824" s="50">
        <f>L824*K824</f>
        <v/>
      </c>
      <c r="Y824" s="50">
        <f>M824*K824</f>
        <v/>
      </c>
      <c r="Z824" s="50">
        <f>N824*K824</f>
        <v/>
      </c>
      <c r="AA824" s="50">
        <f>O824*K824</f>
        <v/>
      </c>
      <c r="AB824" s="50">
        <f>P824*K824</f>
        <v/>
      </c>
      <c r="AC824" s="50">
        <f>Q824*K824</f>
        <v/>
      </c>
      <c r="AD824" s="50">
        <f>R824*K824</f>
        <v/>
      </c>
      <c r="AE824" s="50">
        <f>S824*K824</f>
        <v/>
      </c>
      <c r="AF824" s="50">
        <f>T824*K824</f>
        <v/>
      </c>
      <c r="AG824" s="50">
        <f>U824*K824</f>
        <v/>
      </c>
      <c r="AH824" s="50">
        <f>V824*K824</f>
        <v/>
      </c>
      <c r="AI824" s="50">
        <f>W824*K824</f>
        <v/>
      </c>
    </row>
    <row r="825">
      <c r="A825" s="25" t="n"/>
      <c r="B825" s="45">
        <f>IF(A825="","",IFERROR(INDEX(Mitarbeiter!$B$6:$B$205,MATCH($A825,Mitarbeiter!$A$6:$A$205,0)),"?"))</f>
        <v/>
      </c>
      <c r="C825" s="46" t="n"/>
      <c r="D825" s="26" t="n"/>
      <c r="E825" s="26" t="n"/>
      <c r="F825" s="24">
        <f>IF(A825="","",SUM(L825:W825))</f>
        <v/>
      </c>
      <c r="G825" s="36">
        <f>IF(A825="","",SUM(X825:AI825))</f>
        <v/>
      </c>
      <c r="H825" s="8">
        <f>IF(A825="","",IF(ISNA(MATCH(A825,Mitarbeiter!$A$6:$A$205,0)),"Pers.-Nr. unbekannt",IF(D825="","Von fehlt",IF(AND(C825&lt;&gt;Einstellungen!$C$4,C825&lt;&gt;Einstellungen!$C$5),"Objekt fehlt",IF(J825&lt;D825,"Bis vor Von",IF(D825&lt;INDEX(Mitarbeiter!$C$6:$C$205,MATCH($A825,Mitarbeiter!$A$6:$A$205,0)),"vor Eintritt",IF(AND(INDEX(Mitarbeiter!$D$6:$D$205,MATCH($A825,Mitarbeiter!$A$6:$A$205,0))&lt;&gt;"",D825&gt;INDEX(Mitarbeiter!$D$6:$D$205,MATCH($A825,Mitarbeiter!$A$6:$A$205,0))),"nach Austritt",IF(E825="","offen","ok"))))))))</f>
        <v/>
      </c>
      <c r="J825" s="47">
        <f>IF(A825="","",IF(E825="",Einstellungen!$C$9,E825))</f>
        <v/>
      </c>
      <c r="K825" s="48">
        <f>IF(A825="",0,IFERROR(INDEX(Mitarbeiter!$F$6:$F$205,MATCH($A825,Mitarbeiter!$A$6:$A$205,0)),0))</f>
        <v/>
      </c>
      <c r="L825" s="49">
        <f>IF(OR(A825="",D825=""),0,MAX(0,NETWORKDAYS(MAX(D825,DATE(Einstellungen!$C$3,1,1)),MIN(J825,DATE(Einstellungen!$C$3,2,0)),Einstellungen!$F$13:$F$32)))</f>
        <v/>
      </c>
      <c r="M825" s="49">
        <f>IF(OR(A825="",D825=""),0,MAX(0,NETWORKDAYS(MAX(D825,DATE(Einstellungen!$C$3,2,1)),MIN(J825,DATE(Einstellungen!$C$3,3,0)),Einstellungen!$F$13:$F$32)))</f>
        <v/>
      </c>
      <c r="N825" s="49">
        <f>IF(OR(A825="",D825=""),0,MAX(0,NETWORKDAYS(MAX(D825,DATE(Einstellungen!$C$3,3,1)),MIN(J825,DATE(Einstellungen!$C$3,4,0)),Einstellungen!$F$13:$F$32)))</f>
        <v/>
      </c>
      <c r="O825" s="49">
        <f>IF(OR(A825="",D825=""),0,MAX(0,NETWORKDAYS(MAX(D825,DATE(Einstellungen!$C$3,4,1)),MIN(J825,DATE(Einstellungen!$C$3,5,0)),Einstellungen!$F$13:$F$32)))</f>
        <v/>
      </c>
      <c r="P825" s="49">
        <f>IF(OR(A825="",D825=""),0,MAX(0,NETWORKDAYS(MAX(D825,DATE(Einstellungen!$C$3,5,1)),MIN(J825,DATE(Einstellungen!$C$3,6,0)),Einstellungen!$F$13:$F$32)))</f>
        <v/>
      </c>
      <c r="Q825" s="49">
        <f>IF(OR(A825="",D825=""),0,MAX(0,NETWORKDAYS(MAX(D825,DATE(Einstellungen!$C$3,6,1)),MIN(J825,DATE(Einstellungen!$C$3,7,0)),Einstellungen!$F$13:$F$32)))</f>
        <v/>
      </c>
      <c r="R825" s="49">
        <f>IF(OR(A825="",D825=""),0,MAX(0,NETWORKDAYS(MAX(D825,DATE(Einstellungen!$C$3,7,1)),MIN(J825,DATE(Einstellungen!$C$3,8,0)),Einstellungen!$F$13:$F$32)))</f>
        <v/>
      </c>
      <c r="S825" s="49">
        <f>IF(OR(A825="",D825=""),0,MAX(0,NETWORKDAYS(MAX(D825,DATE(Einstellungen!$C$3,8,1)),MIN(J825,DATE(Einstellungen!$C$3,9,0)),Einstellungen!$F$13:$F$32)))</f>
        <v/>
      </c>
      <c r="T825" s="49">
        <f>IF(OR(A825="",D825=""),0,MAX(0,NETWORKDAYS(MAX(D825,DATE(Einstellungen!$C$3,9,1)),MIN(J825,DATE(Einstellungen!$C$3,10,0)),Einstellungen!$F$13:$F$32)))</f>
        <v/>
      </c>
      <c r="U825" s="49">
        <f>IF(OR(A825="",D825=""),0,MAX(0,NETWORKDAYS(MAX(D825,DATE(Einstellungen!$C$3,10,1)),MIN(J825,DATE(Einstellungen!$C$3,11,0)),Einstellungen!$F$13:$F$32)))</f>
        <v/>
      </c>
      <c r="V825" s="49">
        <f>IF(OR(A825="",D825=""),0,MAX(0,NETWORKDAYS(MAX(D825,DATE(Einstellungen!$C$3,11,1)),MIN(J825,DATE(Einstellungen!$C$3,12,0)),Einstellungen!$F$13:$F$32)))</f>
        <v/>
      </c>
      <c r="W825" s="49">
        <f>IF(OR(A825="",D825=""),0,MAX(0,NETWORKDAYS(MAX(D825,DATE(Einstellungen!$C$3,12,1)),MIN(J825,DATE(Einstellungen!$C$3,13,0)),Einstellungen!$F$13:$F$32)))</f>
        <v/>
      </c>
      <c r="X825" s="50">
        <f>L825*K825</f>
        <v/>
      </c>
      <c r="Y825" s="50">
        <f>M825*K825</f>
        <v/>
      </c>
      <c r="Z825" s="50">
        <f>N825*K825</f>
        <v/>
      </c>
      <c r="AA825" s="50">
        <f>O825*K825</f>
        <v/>
      </c>
      <c r="AB825" s="50">
        <f>P825*K825</f>
        <v/>
      </c>
      <c r="AC825" s="50">
        <f>Q825*K825</f>
        <v/>
      </c>
      <c r="AD825" s="50">
        <f>R825*K825</f>
        <v/>
      </c>
      <c r="AE825" s="50">
        <f>S825*K825</f>
        <v/>
      </c>
      <c r="AF825" s="50">
        <f>T825*K825</f>
        <v/>
      </c>
      <c r="AG825" s="50">
        <f>U825*K825</f>
        <v/>
      </c>
      <c r="AH825" s="50">
        <f>V825*K825</f>
        <v/>
      </c>
      <c r="AI825" s="50">
        <f>W825*K825</f>
        <v/>
      </c>
    </row>
    <row r="826">
      <c r="A826" s="25" t="n"/>
      <c r="B826" s="45">
        <f>IF(A826="","",IFERROR(INDEX(Mitarbeiter!$B$6:$B$205,MATCH($A826,Mitarbeiter!$A$6:$A$205,0)),"?"))</f>
        <v/>
      </c>
      <c r="C826" s="46" t="n"/>
      <c r="D826" s="26" t="n"/>
      <c r="E826" s="26" t="n"/>
      <c r="F826" s="24">
        <f>IF(A826="","",SUM(L826:W826))</f>
        <v/>
      </c>
      <c r="G826" s="36">
        <f>IF(A826="","",SUM(X826:AI826))</f>
        <v/>
      </c>
      <c r="H826" s="8">
        <f>IF(A826="","",IF(ISNA(MATCH(A826,Mitarbeiter!$A$6:$A$205,0)),"Pers.-Nr. unbekannt",IF(D826="","Von fehlt",IF(AND(C826&lt;&gt;Einstellungen!$C$4,C826&lt;&gt;Einstellungen!$C$5),"Objekt fehlt",IF(J826&lt;D826,"Bis vor Von",IF(D826&lt;INDEX(Mitarbeiter!$C$6:$C$205,MATCH($A826,Mitarbeiter!$A$6:$A$205,0)),"vor Eintritt",IF(AND(INDEX(Mitarbeiter!$D$6:$D$205,MATCH($A826,Mitarbeiter!$A$6:$A$205,0))&lt;&gt;"",D826&gt;INDEX(Mitarbeiter!$D$6:$D$205,MATCH($A826,Mitarbeiter!$A$6:$A$205,0))),"nach Austritt",IF(E826="","offen","ok"))))))))</f>
        <v/>
      </c>
      <c r="J826" s="47">
        <f>IF(A826="","",IF(E826="",Einstellungen!$C$9,E826))</f>
        <v/>
      </c>
      <c r="K826" s="48">
        <f>IF(A826="",0,IFERROR(INDEX(Mitarbeiter!$F$6:$F$205,MATCH($A826,Mitarbeiter!$A$6:$A$205,0)),0))</f>
        <v/>
      </c>
      <c r="L826" s="49">
        <f>IF(OR(A826="",D826=""),0,MAX(0,NETWORKDAYS(MAX(D826,DATE(Einstellungen!$C$3,1,1)),MIN(J826,DATE(Einstellungen!$C$3,2,0)),Einstellungen!$F$13:$F$32)))</f>
        <v/>
      </c>
      <c r="M826" s="49">
        <f>IF(OR(A826="",D826=""),0,MAX(0,NETWORKDAYS(MAX(D826,DATE(Einstellungen!$C$3,2,1)),MIN(J826,DATE(Einstellungen!$C$3,3,0)),Einstellungen!$F$13:$F$32)))</f>
        <v/>
      </c>
      <c r="N826" s="49">
        <f>IF(OR(A826="",D826=""),0,MAX(0,NETWORKDAYS(MAX(D826,DATE(Einstellungen!$C$3,3,1)),MIN(J826,DATE(Einstellungen!$C$3,4,0)),Einstellungen!$F$13:$F$32)))</f>
        <v/>
      </c>
      <c r="O826" s="49">
        <f>IF(OR(A826="",D826=""),0,MAX(0,NETWORKDAYS(MAX(D826,DATE(Einstellungen!$C$3,4,1)),MIN(J826,DATE(Einstellungen!$C$3,5,0)),Einstellungen!$F$13:$F$32)))</f>
        <v/>
      </c>
      <c r="P826" s="49">
        <f>IF(OR(A826="",D826=""),0,MAX(0,NETWORKDAYS(MAX(D826,DATE(Einstellungen!$C$3,5,1)),MIN(J826,DATE(Einstellungen!$C$3,6,0)),Einstellungen!$F$13:$F$32)))</f>
        <v/>
      </c>
      <c r="Q826" s="49">
        <f>IF(OR(A826="",D826=""),0,MAX(0,NETWORKDAYS(MAX(D826,DATE(Einstellungen!$C$3,6,1)),MIN(J826,DATE(Einstellungen!$C$3,7,0)),Einstellungen!$F$13:$F$32)))</f>
        <v/>
      </c>
      <c r="R826" s="49">
        <f>IF(OR(A826="",D826=""),0,MAX(0,NETWORKDAYS(MAX(D826,DATE(Einstellungen!$C$3,7,1)),MIN(J826,DATE(Einstellungen!$C$3,8,0)),Einstellungen!$F$13:$F$32)))</f>
        <v/>
      </c>
      <c r="S826" s="49">
        <f>IF(OR(A826="",D826=""),0,MAX(0,NETWORKDAYS(MAX(D826,DATE(Einstellungen!$C$3,8,1)),MIN(J826,DATE(Einstellungen!$C$3,9,0)),Einstellungen!$F$13:$F$32)))</f>
        <v/>
      </c>
      <c r="T826" s="49">
        <f>IF(OR(A826="",D826=""),0,MAX(0,NETWORKDAYS(MAX(D826,DATE(Einstellungen!$C$3,9,1)),MIN(J826,DATE(Einstellungen!$C$3,10,0)),Einstellungen!$F$13:$F$32)))</f>
        <v/>
      </c>
      <c r="U826" s="49">
        <f>IF(OR(A826="",D826=""),0,MAX(0,NETWORKDAYS(MAX(D826,DATE(Einstellungen!$C$3,10,1)),MIN(J826,DATE(Einstellungen!$C$3,11,0)),Einstellungen!$F$13:$F$32)))</f>
        <v/>
      </c>
      <c r="V826" s="49">
        <f>IF(OR(A826="",D826=""),0,MAX(0,NETWORKDAYS(MAX(D826,DATE(Einstellungen!$C$3,11,1)),MIN(J826,DATE(Einstellungen!$C$3,12,0)),Einstellungen!$F$13:$F$32)))</f>
        <v/>
      </c>
      <c r="W826" s="49">
        <f>IF(OR(A826="",D826=""),0,MAX(0,NETWORKDAYS(MAX(D826,DATE(Einstellungen!$C$3,12,1)),MIN(J826,DATE(Einstellungen!$C$3,13,0)),Einstellungen!$F$13:$F$32)))</f>
        <v/>
      </c>
      <c r="X826" s="50">
        <f>L826*K826</f>
        <v/>
      </c>
      <c r="Y826" s="50">
        <f>M826*K826</f>
        <v/>
      </c>
      <c r="Z826" s="50">
        <f>N826*K826</f>
        <v/>
      </c>
      <c r="AA826" s="50">
        <f>O826*K826</f>
        <v/>
      </c>
      <c r="AB826" s="50">
        <f>P826*K826</f>
        <v/>
      </c>
      <c r="AC826" s="50">
        <f>Q826*K826</f>
        <v/>
      </c>
      <c r="AD826" s="50">
        <f>R826*K826</f>
        <v/>
      </c>
      <c r="AE826" s="50">
        <f>S826*K826</f>
        <v/>
      </c>
      <c r="AF826" s="50">
        <f>T826*K826</f>
        <v/>
      </c>
      <c r="AG826" s="50">
        <f>U826*K826</f>
        <v/>
      </c>
      <c r="AH826" s="50">
        <f>V826*K826</f>
        <v/>
      </c>
      <c r="AI826" s="50">
        <f>W826*K826</f>
        <v/>
      </c>
    </row>
    <row r="827">
      <c r="A827" s="25" t="n"/>
      <c r="B827" s="45">
        <f>IF(A827="","",IFERROR(INDEX(Mitarbeiter!$B$6:$B$205,MATCH($A827,Mitarbeiter!$A$6:$A$205,0)),"?"))</f>
        <v/>
      </c>
      <c r="C827" s="46" t="n"/>
      <c r="D827" s="26" t="n"/>
      <c r="E827" s="26" t="n"/>
      <c r="F827" s="24">
        <f>IF(A827="","",SUM(L827:W827))</f>
        <v/>
      </c>
      <c r="G827" s="36">
        <f>IF(A827="","",SUM(X827:AI827))</f>
        <v/>
      </c>
      <c r="H827" s="8">
        <f>IF(A827="","",IF(ISNA(MATCH(A827,Mitarbeiter!$A$6:$A$205,0)),"Pers.-Nr. unbekannt",IF(D827="","Von fehlt",IF(AND(C827&lt;&gt;Einstellungen!$C$4,C827&lt;&gt;Einstellungen!$C$5),"Objekt fehlt",IF(J827&lt;D827,"Bis vor Von",IF(D827&lt;INDEX(Mitarbeiter!$C$6:$C$205,MATCH($A827,Mitarbeiter!$A$6:$A$205,0)),"vor Eintritt",IF(AND(INDEX(Mitarbeiter!$D$6:$D$205,MATCH($A827,Mitarbeiter!$A$6:$A$205,0))&lt;&gt;"",D827&gt;INDEX(Mitarbeiter!$D$6:$D$205,MATCH($A827,Mitarbeiter!$A$6:$A$205,0))),"nach Austritt",IF(E827="","offen","ok"))))))))</f>
        <v/>
      </c>
      <c r="J827" s="47">
        <f>IF(A827="","",IF(E827="",Einstellungen!$C$9,E827))</f>
        <v/>
      </c>
      <c r="K827" s="48">
        <f>IF(A827="",0,IFERROR(INDEX(Mitarbeiter!$F$6:$F$205,MATCH($A827,Mitarbeiter!$A$6:$A$205,0)),0))</f>
        <v/>
      </c>
      <c r="L827" s="49">
        <f>IF(OR(A827="",D827=""),0,MAX(0,NETWORKDAYS(MAX(D827,DATE(Einstellungen!$C$3,1,1)),MIN(J827,DATE(Einstellungen!$C$3,2,0)),Einstellungen!$F$13:$F$32)))</f>
        <v/>
      </c>
      <c r="M827" s="49">
        <f>IF(OR(A827="",D827=""),0,MAX(0,NETWORKDAYS(MAX(D827,DATE(Einstellungen!$C$3,2,1)),MIN(J827,DATE(Einstellungen!$C$3,3,0)),Einstellungen!$F$13:$F$32)))</f>
        <v/>
      </c>
      <c r="N827" s="49">
        <f>IF(OR(A827="",D827=""),0,MAX(0,NETWORKDAYS(MAX(D827,DATE(Einstellungen!$C$3,3,1)),MIN(J827,DATE(Einstellungen!$C$3,4,0)),Einstellungen!$F$13:$F$32)))</f>
        <v/>
      </c>
      <c r="O827" s="49">
        <f>IF(OR(A827="",D827=""),0,MAX(0,NETWORKDAYS(MAX(D827,DATE(Einstellungen!$C$3,4,1)),MIN(J827,DATE(Einstellungen!$C$3,5,0)),Einstellungen!$F$13:$F$32)))</f>
        <v/>
      </c>
      <c r="P827" s="49">
        <f>IF(OR(A827="",D827=""),0,MAX(0,NETWORKDAYS(MAX(D827,DATE(Einstellungen!$C$3,5,1)),MIN(J827,DATE(Einstellungen!$C$3,6,0)),Einstellungen!$F$13:$F$32)))</f>
        <v/>
      </c>
      <c r="Q827" s="49">
        <f>IF(OR(A827="",D827=""),0,MAX(0,NETWORKDAYS(MAX(D827,DATE(Einstellungen!$C$3,6,1)),MIN(J827,DATE(Einstellungen!$C$3,7,0)),Einstellungen!$F$13:$F$32)))</f>
        <v/>
      </c>
      <c r="R827" s="49">
        <f>IF(OR(A827="",D827=""),0,MAX(0,NETWORKDAYS(MAX(D827,DATE(Einstellungen!$C$3,7,1)),MIN(J827,DATE(Einstellungen!$C$3,8,0)),Einstellungen!$F$13:$F$32)))</f>
        <v/>
      </c>
      <c r="S827" s="49">
        <f>IF(OR(A827="",D827=""),0,MAX(0,NETWORKDAYS(MAX(D827,DATE(Einstellungen!$C$3,8,1)),MIN(J827,DATE(Einstellungen!$C$3,9,0)),Einstellungen!$F$13:$F$32)))</f>
        <v/>
      </c>
      <c r="T827" s="49">
        <f>IF(OR(A827="",D827=""),0,MAX(0,NETWORKDAYS(MAX(D827,DATE(Einstellungen!$C$3,9,1)),MIN(J827,DATE(Einstellungen!$C$3,10,0)),Einstellungen!$F$13:$F$32)))</f>
        <v/>
      </c>
      <c r="U827" s="49">
        <f>IF(OR(A827="",D827=""),0,MAX(0,NETWORKDAYS(MAX(D827,DATE(Einstellungen!$C$3,10,1)),MIN(J827,DATE(Einstellungen!$C$3,11,0)),Einstellungen!$F$13:$F$32)))</f>
        <v/>
      </c>
      <c r="V827" s="49">
        <f>IF(OR(A827="",D827=""),0,MAX(0,NETWORKDAYS(MAX(D827,DATE(Einstellungen!$C$3,11,1)),MIN(J827,DATE(Einstellungen!$C$3,12,0)),Einstellungen!$F$13:$F$32)))</f>
        <v/>
      </c>
      <c r="W827" s="49">
        <f>IF(OR(A827="",D827=""),0,MAX(0,NETWORKDAYS(MAX(D827,DATE(Einstellungen!$C$3,12,1)),MIN(J827,DATE(Einstellungen!$C$3,13,0)),Einstellungen!$F$13:$F$32)))</f>
        <v/>
      </c>
      <c r="X827" s="50">
        <f>L827*K827</f>
        <v/>
      </c>
      <c r="Y827" s="50">
        <f>M827*K827</f>
        <v/>
      </c>
      <c r="Z827" s="50">
        <f>N827*K827</f>
        <v/>
      </c>
      <c r="AA827" s="50">
        <f>O827*K827</f>
        <v/>
      </c>
      <c r="AB827" s="50">
        <f>P827*K827</f>
        <v/>
      </c>
      <c r="AC827" s="50">
        <f>Q827*K827</f>
        <v/>
      </c>
      <c r="AD827" s="50">
        <f>R827*K827</f>
        <v/>
      </c>
      <c r="AE827" s="50">
        <f>S827*K827</f>
        <v/>
      </c>
      <c r="AF827" s="50">
        <f>T827*K827</f>
        <v/>
      </c>
      <c r="AG827" s="50">
        <f>U827*K827</f>
        <v/>
      </c>
      <c r="AH827" s="50">
        <f>V827*K827</f>
        <v/>
      </c>
      <c r="AI827" s="50">
        <f>W827*K827</f>
        <v/>
      </c>
    </row>
    <row r="828">
      <c r="A828" s="25" t="n"/>
      <c r="B828" s="45">
        <f>IF(A828="","",IFERROR(INDEX(Mitarbeiter!$B$6:$B$205,MATCH($A828,Mitarbeiter!$A$6:$A$205,0)),"?"))</f>
        <v/>
      </c>
      <c r="C828" s="46" t="n"/>
      <c r="D828" s="26" t="n"/>
      <c r="E828" s="26" t="n"/>
      <c r="F828" s="24">
        <f>IF(A828="","",SUM(L828:W828))</f>
        <v/>
      </c>
      <c r="G828" s="36">
        <f>IF(A828="","",SUM(X828:AI828))</f>
        <v/>
      </c>
      <c r="H828" s="8">
        <f>IF(A828="","",IF(ISNA(MATCH(A828,Mitarbeiter!$A$6:$A$205,0)),"Pers.-Nr. unbekannt",IF(D828="","Von fehlt",IF(AND(C828&lt;&gt;Einstellungen!$C$4,C828&lt;&gt;Einstellungen!$C$5),"Objekt fehlt",IF(J828&lt;D828,"Bis vor Von",IF(D828&lt;INDEX(Mitarbeiter!$C$6:$C$205,MATCH($A828,Mitarbeiter!$A$6:$A$205,0)),"vor Eintritt",IF(AND(INDEX(Mitarbeiter!$D$6:$D$205,MATCH($A828,Mitarbeiter!$A$6:$A$205,0))&lt;&gt;"",D828&gt;INDEX(Mitarbeiter!$D$6:$D$205,MATCH($A828,Mitarbeiter!$A$6:$A$205,0))),"nach Austritt",IF(E828="","offen","ok"))))))))</f>
        <v/>
      </c>
      <c r="J828" s="47">
        <f>IF(A828="","",IF(E828="",Einstellungen!$C$9,E828))</f>
        <v/>
      </c>
      <c r="K828" s="48">
        <f>IF(A828="",0,IFERROR(INDEX(Mitarbeiter!$F$6:$F$205,MATCH($A828,Mitarbeiter!$A$6:$A$205,0)),0))</f>
        <v/>
      </c>
      <c r="L828" s="49">
        <f>IF(OR(A828="",D828=""),0,MAX(0,NETWORKDAYS(MAX(D828,DATE(Einstellungen!$C$3,1,1)),MIN(J828,DATE(Einstellungen!$C$3,2,0)),Einstellungen!$F$13:$F$32)))</f>
        <v/>
      </c>
      <c r="M828" s="49">
        <f>IF(OR(A828="",D828=""),0,MAX(0,NETWORKDAYS(MAX(D828,DATE(Einstellungen!$C$3,2,1)),MIN(J828,DATE(Einstellungen!$C$3,3,0)),Einstellungen!$F$13:$F$32)))</f>
        <v/>
      </c>
      <c r="N828" s="49">
        <f>IF(OR(A828="",D828=""),0,MAX(0,NETWORKDAYS(MAX(D828,DATE(Einstellungen!$C$3,3,1)),MIN(J828,DATE(Einstellungen!$C$3,4,0)),Einstellungen!$F$13:$F$32)))</f>
        <v/>
      </c>
      <c r="O828" s="49">
        <f>IF(OR(A828="",D828=""),0,MAX(0,NETWORKDAYS(MAX(D828,DATE(Einstellungen!$C$3,4,1)),MIN(J828,DATE(Einstellungen!$C$3,5,0)),Einstellungen!$F$13:$F$32)))</f>
        <v/>
      </c>
      <c r="P828" s="49">
        <f>IF(OR(A828="",D828=""),0,MAX(0,NETWORKDAYS(MAX(D828,DATE(Einstellungen!$C$3,5,1)),MIN(J828,DATE(Einstellungen!$C$3,6,0)),Einstellungen!$F$13:$F$32)))</f>
        <v/>
      </c>
      <c r="Q828" s="49">
        <f>IF(OR(A828="",D828=""),0,MAX(0,NETWORKDAYS(MAX(D828,DATE(Einstellungen!$C$3,6,1)),MIN(J828,DATE(Einstellungen!$C$3,7,0)),Einstellungen!$F$13:$F$32)))</f>
        <v/>
      </c>
      <c r="R828" s="49">
        <f>IF(OR(A828="",D828=""),0,MAX(0,NETWORKDAYS(MAX(D828,DATE(Einstellungen!$C$3,7,1)),MIN(J828,DATE(Einstellungen!$C$3,8,0)),Einstellungen!$F$13:$F$32)))</f>
        <v/>
      </c>
      <c r="S828" s="49">
        <f>IF(OR(A828="",D828=""),0,MAX(0,NETWORKDAYS(MAX(D828,DATE(Einstellungen!$C$3,8,1)),MIN(J828,DATE(Einstellungen!$C$3,9,0)),Einstellungen!$F$13:$F$32)))</f>
        <v/>
      </c>
      <c r="T828" s="49">
        <f>IF(OR(A828="",D828=""),0,MAX(0,NETWORKDAYS(MAX(D828,DATE(Einstellungen!$C$3,9,1)),MIN(J828,DATE(Einstellungen!$C$3,10,0)),Einstellungen!$F$13:$F$32)))</f>
        <v/>
      </c>
      <c r="U828" s="49">
        <f>IF(OR(A828="",D828=""),0,MAX(0,NETWORKDAYS(MAX(D828,DATE(Einstellungen!$C$3,10,1)),MIN(J828,DATE(Einstellungen!$C$3,11,0)),Einstellungen!$F$13:$F$32)))</f>
        <v/>
      </c>
      <c r="V828" s="49">
        <f>IF(OR(A828="",D828=""),0,MAX(0,NETWORKDAYS(MAX(D828,DATE(Einstellungen!$C$3,11,1)),MIN(J828,DATE(Einstellungen!$C$3,12,0)),Einstellungen!$F$13:$F$32)))</f>
        <v/>
      </c>
      <c r="W828" s="49">
        <f>IF(OR(A828="",D828=""),0,MAX(0,NETWORKDAYS(MAX(D828,DATE(Einstellungen!$C$3,12,1)),MIN(J828,DATE(Einstellungen!$C$3,13,0)),Einstellungen!$F$13:$F$32)))</f>
        <v/>
      </c>
      <c r="X828" s="50">
        <f>L828*K828</f>
        <v/>
      </c>
      <c r="Y828" s="50">
        <f>M828*K828</f>
        <v/>
      </c>
      <c r="Z828" s="50">
        <f>N828*K828</f>
        <v/>
      </c>
      <c r="AA828" s="50">
        <f>O828*K828</f>
        <v/>
      </c>
      <c r="AB828" s="50">
        <f>P828*K828</f>
        <v/>
      </c>
      <c r="AC828" s="50">
        <f>Q828*K828</f>
        <v/>
      </c>
      <c r="AD828" s="50">
        <f>R828*K828</f>
        <v/>
      </c>
      <c r="AE828" s="50">
        <f>S828*K828</f>
        <v/>
      </c>
      <c r="AF828" s="50">
        <f>T828*K828</f>
        <v/>
      </c>
      <c r="AG828" s="50">
        <f>U828*K828</f>
        <v/>
      </c>
      <c r="AH828" s="50">
        <f>V828*K828</f>
        <v/>
      </c>
      <c r="AI828" s="50">
        <f>W828*K828</f>
        <v/>
      </c>
    </row>
    <row r="829">
      <c r="A829" s="25" t="n"/>
      <c r="B829" s="45">
        <f>IF(A829="","",IFERROR(INDEX(Mitarbeiter!$B$6:$B$205,MATCH($A829,Mitarbeiter!$A$6:$A$205,0)),"?"))</f>
        <v/>
      </c>
      <c r="C829" s="46" t="n"/>
      <c r="D829" s="26" t="n"/>
      <c r="E829" s="26" t="n"/>
      <c r="F829" s="24">
        <f>IF(A829="","",SUM(L829:W829))</f>
        <v/>
      </c>
      <c r="G829" s="36">
        <f>IF(A829="","",SUM(X829:AI829))</f>
        <v/>
      </c>
      <c r="H829" s="8">
        <f>IF(A829="","",IF(ISNA(MATCH(A829,Mitarbeiter!$A$6:$A$205,0)),"Pers.-Nr. unbekannt",IF(D829="","Von fehlt",IF(AND(C829&lt;&gt;Einstellungen!$C$4,C829&lt;&gt;Einstellungen!$C$5),"Objekt fehlt",IF(J829&lt;D829,"Bis vor Von",IF(D829&lt;INDEX(Mitarbeiter!$C$6:$C$205,MATCH($A829,Mitarbeiter!$A$6:$A$205,0)),"vor Eintritt",IF(AND(INDEX(Mitarbeiter!$D$6:$D$205,MATCH($A829,Mitarbeiter!$A$6:$A$205,0))&lt;&gt;"",D829&gt;INDEX(Mitarbeiter!$D$6:$D$205,MATCH($A829,Mitarbeiter!$A$6:$A$205,0))),"nach Austritt",IF(E829="","offen","ok"))))))))</f>
        <v/>
      </c>
      <c r="J829" s="47">
        <f>IF(A829="","",IF(E829="",Einstellungen!$C$9,E829))</f>
        <v/>
      </c>
      <c r="K829" s="48">
        <f>IF(A829="",0,IFERROR(INDEX(Mitarbeiter!$F$6:$F$205,MATCH($A829,Mitarbeiter!$A$6:$A$205,0)),0))</f>
        <v/>
      </c>
      <c r="L829" s="49">
        <f>IF(OR(A829="",D829=""),0,MAX(0,NETWORKDAYS(MAX(D829,DATE(Einstellungen!$C$3,1,1)),MIN(J829,DATE(Einstellungen!$C$3,2,0)),Einstellungen!$F$13:$F$32)))</f>
        <v/>
      </c>
      <c r="M829" s="49">
        <f>IF(OR(A829="",D829=""),0,MAX(0,NETWORKDAYS(MAX(D829,DATE(Einstellungen!$C$3,2,1)),MIN(J829,DATE(Einstellungen!$C$3,3,0)),Einstellungen!$F$13:$F$32)))</f>
        <v/>
      </c>
      <c r="N829" s="49">
        <f>IF(OR(A829="",D829=""),0,MAX(0,NETWORKDAYS(MAX(D829,DATE(Einstellungen!$C$3,3,1)),MIN(J829,DATE(Einstellungen!$C$3,4,0)),Einstellungen!$F$13:$F$32)))</f>
        <v/>
      </c>
      <c r="O829" s="49">
        <f>IF(OR(A829="",D829=""),0,MAX(0,NETWORKDAYS(MAX(D829,DATE(Einstellungen!$C$3,4,1)),MIN(J829,DATE(Einstellungen!$C$3,5,0)),Einstellungen!$F$13:$F$32)))</f>
        <v/>
      </c>
      <c r="P829" s="49">
        <f>IF(OR(A829="",D829=""),0,MAX(0,NETWORKDAYS(MAX(D829,DATE(Einstellungen!$C$3,5,1)),MIN(J829,DATE(Einstellungen!$C$3,6,0)),Einstellungen!$F$13:$F$32)))</f>
        <v/>
      </c>
      <c r="Q829" s="49">
        <f>IF(OR(A829="",D829=""),0,MAX(0,NETWORKDAYS(MAX(D829,DATE(Einstellungen!$C$3,6,1)),MIN(J829,DATE(Einstellungen!$C$3,7,0)),Einstellungen!$F$13:$F$32)))</f>
        <v/>
      </c>
      <c r="R829" s="49">
        <f>IF(OR(A829="",D829=""),0,MAX(0,NETWORKDAYS(MAX(D829,DATE(Einstellungen!$C$3,7,1)),MIN(J829,DATE(Einstellungen!$C$3,8,0)),Einstellungen!$F$13:$F$32)))</f>
        <v/>
      </c>
      <c r="S829" s="49">
        <f>IF(OR(A829="",D829=""),0,MAX(0,NETWORKDAYS(MAX(D829,DATE(Einstellungen!$C$3,8,1)),MIN(J829,DATE(Einstellungen!$C$3,9,0)),Einstellungen!$F$13:$F$32)))</f>
        <v/>
      </c>
      <c r="T829" s="49">
        <f>IF(OR(A829="",D829=""),0,MAX(0,NETWORKDAYS(MAX(D829,DATE(Einstellungen!$C$3,9,1)),MIN(J829,DATE(Einstellungen!$C$3,10,0)),Einstellungen!$F$13:$F$32)))</f>
        <v/>
      </c>
      <c r="U829" s="49">
        <f>IF(OR(A829="",D829=""),0,MAX(0,NETWORKDAYS(MAX(D829,DATE(Einstellungen!$C$3,10,1)),MIN(J829,DATE(Einstellungen!$C$3,11,0)),Einstellungen!$F$13:$F$32)))</f>
        <v/>
      </c>
      <c r="V829" s="49">
        <f>IF(OR(A829="",D829=""),0,MAX(0,NETWORKDAYS(MAX(D829,DATE(Einstellungen!$C$3,11,1)),MIN(J829,DATE(Einstellungen!$C$3,12,0)),Einstellungen!$F$13:$F$32)))</f>
        <v/>
      </c>
      <c r="W829" s="49">
        <f>IF(OR(A829="",D829=""),0,MAX(0,NETWORKDAYS(MAX(D829,DATE(Einstellungen!$C$3,12,1)),MIN(J829,DATE(Einstellungen!$C$3,13,0)),Einstellungen!$F$13:$F$32)))</f>
        <v/>
      </c>
      <c r="X829" s="50">
        <f>L829*K829</f>
        <v/>
      </c>
      <c r="Y829" s="50">
        <f>M829*K829</f>
        <v/>
      </c>
      <c r="Z829" s="50">
        <f>N829*K829</f>
        <v/>
      </c>
      <c r="AA829" s="50">
        <f>O829*K829</f>
        <v/>
      </c>
      <c r="AB829" s="50">
        <f>P829*K829</f>
        <v/>
      </c>
      <c r="AC829" s="50">
        <f>Q829*K829</f>
        <v/>
      </c>
      <c r="AD829" s="50">
        <f>R829*K829</f>
        <v/>
      </c>
      <c r="AE829" s="50">
        <f>S829*K829</f>
        <v/>
      </c>
      <c r="AF829" s="50">
        <f>T829*K829</f>
        <v/>
      </c>
      <c r="AG829" s="50">
        <f>U829*K829</f>
        <v/>
      </c>
      <c r="AH829" s="50">
        <f>V829*K829</f>
        <v/>
      </c>
      <c r="AI829" s="50">
        <f>W829*K829</f>
        <v/>
      </c>
    </row>
    <row r="830">
      <c r="A830" s="25" t="n"/>
      <c r="B830" s="45">
        <f>IF(A830="","",IFERROR(INDEX(Mitarbeiter!$B$6:$B$205,MATCH($A830,Mitarbeiter!$A$6:$A$205,0)),"?"))</f>
        <v/>
      </c>
      <c r="C830" s="46" t="n"/>
      <c r="D830" s="26" t="n"/>
      <c r="E830" s="26" t="n"/>
      <c r="F830" s="24">
        <f>IF(A830="","",SUM(L830:W830))</f>
        <v/>
      </c>
      <c r="G830" s="36">
        <f>IF(A830="","",SUM(X830:AI830))</f>
        <v/>
      </c>
      <c r="H830" s="8">
        <f>IF(A830="","",IF(ISNA(MATCH(A830,Mitarbeiter!$A$6:$A$205,0)),"Pers.-Nr. unbekannt",IF(D830="","Von fehlt",IF(AND(C830&lt;&gt;Einstellungen!$C$4,C830&lt;&gt;Einstellungen!$C$5),"Objekt fehlt",IF(J830&lt;D830,"Bis vor Von",IF(D830&lt;INDEX(Mitarbeiter!$C$6:$C$205,MATCH($A830,Mitarbeiter!$A$6:$A$205,0)),"vor Eintritt",IF(AND(INDEX(Mitarbeiter!$D$6:$D$205,MATCH($A830,Mitarbeiter!$A$6:$A$205,0))&lt;&gt;"",D830&gt;INDEX(Mitarbeiter!$D$6:$D$205,MATCH($A830,Mitarbeiter!$A$6:$A$205,0))),"nach Austritt",IF(E830="","offen","ok"))))))))</f>
        <v/>
      </c>
      <c r="J830" s="47">
        <f>IF(A830="","",IF(E830="",Einstellungen!$C$9,E830))</f>
        <v/>
      </c>
      <c r="K830" s="48">
        <f>IF(A830="",0,IFERROR(INDEX(Mitarbeiter!$F$6:$F$205,MATCH($A830,Mitarbeiter!$A$6:$A$205,0)),0))</f>
        <v/>
      </c>
      <c r="L830" s="49">
        <f>IF(OR(A830="",D830=""),0,MAX(0,NETWORKDAYS(MAX(D830,DATE(Einstellungen!$C$3,1,1)),MIN(J830,DATE(Einstellungen!$C$3,2,0)),Einstellungen!$F$13:$F$32)))</f>
        <v/>
      </c>
      <c r="M830" s="49">
        <f>IF(OR(A830="",D830=""),0,MAX(0,NETWORKDAYS(MAX(D830,DATE(Einstellungen!$C$3,2,1)),MIN(J830,DATE(Einstellungen!$C$3,3,0)),Einstellungen!$F$13:$F$32)))</f>
        <v/>
      </c>
      <c r="N830" s="49">
        <f>IF(OR(A830="",D830=""),0,MAX(0,NETWORKDAYS(MAX(D830,DATE(Einstellungen!$C$3,3,1)),MIN(J830,DATE(Einstellungen!$C$3,4,0)),Einstellungen!$F$13:$F$32)))</f>
        <v/>
      </c>
      <c r="O830" s="49">
        <f>IF(OR(A830="",D830=""),0,MAX(0,NETWORKDAYS(MAX(D830,DATE(Einstellungen!$C$3,4,1)),MIN(J830,DATE(Einstellungen!$C$3,5,0)),Einstellungen!$F$13:$F$32)))</f>
        <v/>
      </c>
      <c r="P830" s="49">
        <f>IF(OR(A830="",D830=""),0,MAX(0,NETWORKDAYS(MAX(D830,DATE(Einstellungen!$C$3,5,1)),MIN(J830,DATE(Einstellungen!$C$3,6,0)),Einstellungen!$F$13:$F$32)))</f>
        <v/>
      </c>
      <c r="Q830" s="49">
        <f>IF(OR(A830="",D830=""),0,MAX(0,NETWORKDAYS(MAX(D830,DATE(Einstellungen!$C$3,6,1)),MIN(J830,DATE(Einstellungen!$C$3,7,0)),Einstellungen!$F$13:$F$32)))</f>
        <v/>
      </c>
      <c r="R830" s="49">
        <f>IF(OR(A830="",D830=""),0,MAX(0,NETWORKDAYS(MAX(D830,DATE(Einstellungen!$C$3,7,1)),MIN(J830,DATE(Einstellungen!$C$3,8,0)),Einstellungen!$F$13:$F$32)))</f>
        <v/>
      </c>
      <c r="S830" s="49">
        <f>IF(OR(A830="",D830=""),0,MAX(0,NETWORKDAYS(MAX(D830,DATE(Einstellungen!$C$3,8,1)),MIN(J830,DATE(Einstellungen!$C$3,9,0)),Einstellungen!$F$13:$F$32)))</f>
        <v/>
      </c>
      <c r="T830" s="49">
        <f>IF(OR(A830="",D830=""),0,MAX(0,NETWORKDAYS(MAX(D830,DATE(Einstellungen!$C$3,9,1)),MIN(J830,DATE(Einstellungen!$C$3,10,0)),Einstellungen!$F$13:$F$32)))</f>
        <v/>
      </c>
      <c r="U830" s="49">
        <f>IF(OR(A830="",D830=""),0,MAX(0,NETWORKDAYS(MAX(D830,DATE(Einstellungen!$C$3,10,1)),MIN(J830,DATE(Einstellungen!$C$3,11,0)),Einstellungen!$F$13:$F$32)))</f>
        <v/>
      </c>
      <c r="V830" s="49">
        <f>IF(OR(A830="",D830=""),0,MAX(0,NETWORKDAYS(MAX(D830,DATE(Einstellungen!$C$3,11,1)),MIN(J830,DATE(Einstellungen!$C$3,12,0)),Einstellungen!$F$13:$F$32)))</f>
        <v/>
      </c>
      <c r="W830" s="49">
        <f>IF(OR(A830="",D830=""),0,MAX(0,NETWORKDAYS(MAX(D830,DATE(Einstellungen!$C$3,12,1)),MIN(J830,DATE(Einstellungen!$C$3,13,0)),Einstellungen!$F$13:$F$32)))</f>
        <v/>
      </c>
      <c r="X830" s="50">
        <f>L830*K830</f>
        <v/>
      </c>
      <c r="Y830" s="50">
        <f>M830*K830</f>
        <v/>
      </c>
      <c r="Z830" s="50">
        <f>N830*K830</f>
        <v/>
      </c>
      <c r="AA830" s="50">
        <f>O830*K830</f>
        <v/>
      </c>
      <c r="AB830" s="50">
        <f>P830*K830</f>
        <v/>
      </c>
      <c r="AC830" s="50">
        <f>Q830*K830</f>
        <v/>
      </c>
      <c r="AD830" s="50">
        <f>R830*K830</f>
        <v/>
      </c>
      <c r="AE830" s="50">
        <f>S830*K830</f>
        <v/>
      </c>
      <c r="AF830" s="50">
        <f>T830*K830</f>
        <v/>
      </c>
      <c r="AG830" s="50">
        <f>U830*K830</f>
        <v/>
      </c>
      <c r="AH830" s="50">
        <f>V830*K830</f>
        <v/>
      </c>
      <c r="AI830" s="50">
        <f>W830*K830</f>
        <v/>
      </c>
    </row>
    <row r="831">
      <c r="A831" s="25" t="n"/>
      <c r="B831" s="45">
        <f>IF(A831="","",IFERROR(INDEX(Mitarbeiter!$B$6:$B$205,MATCH($A831,Mitarbeiter!$A$6:$A$205,0)),"?"))</f>
        <v/>
      </c>
      <c r="C831" s="46" t="n"/>
      <c r="D831" s="26" t="n"/>
      <c r="E831" s="26" t="n"/>
      <c r="F831" s="24">
        <f>IF(A831="","",SUM(L831:W831))</f>
        <v/>
      </c>
      <c r="G831" s="36">
        <f>IF(A831="","",SUM(X831:AI831))</f>
        <v/>
      </c>
      <c r="H831" s="8">
        <f>IF(A831="","",IF(ISNA(MATCH(A831,Mitarbeiter!$A$6:$A$205,0)),"Pers.-Nr. unbekannt",IF(D831="","Von fehlt",IF(AND(C831&lt;&gt;Einstellungen!$C$4,C831&lt;&gt;Einstellungen!$C$5),"Objekt fehlt",IF(J831&lt;D831,"Bis vor Von",IF(D831&lt;INDEX(Mitarbeiter!$C$6:$C$205,MATCH($A831,Mitarbeiter!$A$6:$A$205,0)),"vor Eintritt",IF(AND(INDEX(Mitarbeiter!$D$6:$D$205,MATCH($A831,Mitarbeiter!$A$6:$A$205,0))&lt;&gt;"",D831&gt;INDEX(Mitarbeiter!$D$6:$D$205,MATCH($A831,Mitarbeiter!$A$6:$A$205,0))),"nach Austritt",IF(E831="","offen","ok"))))))))</f>
        <v/>
      </c>
      <c r="J831" s="47">
        <f>IF(A831="","",IF(E831="",Einstellungen!$C$9,E831))</f>
        <v/>
      </c>
      <c r="K831" s="48">
        <f>IF(A831="",0,IFERROR(INDEX(Mitarbeiter!$F$6:$F$205,MATCH($A831,Mitarbeiter!$A$6:$A$205,0)),0))</f>
        <v/>
      </c>
      <c r="L831" s="49">
        <f>IF(OR(A831="",D831=""),0,MAX(0,NETWORKDAYS(MAX(D831,DATE(Einstellungen!$C$3,1,1)),MIN(J831,DATE(Einstellungen!$C$3,2,0)),Einstellungen!$F$13:$F$32)))</f>
        <v/>
      </c>
      <c r="M831" s="49">
        <f>IF(OR(A831="",D831=""),0,MAX(0,NETWORKDAYS(MAX(D831,DATE(Einstellungen!$C$3,2,1)),MIN(J831,DATE(Einstellungen!$C$3,3,0)),Einstellungen!$F$13:$F$32)))</f>
        <v/>
      </c>
      <c r="N831" s="49">
        <f>IF(OR(A831="",D831=""),0,MAX(0,NETWORKDAYS(MAX(D831,DATE(Einstellungen!$C$3,3,1)),MIN(J831,DATE(Einstellungen!$C$3,4,0)),Einstellungen!$F$13:$F$32)))</f>
        <v/>
      </c>
      <c r="O831" s="49">
        <f>IF(OR(A831="",D831=""),0,MAX(0,NETWORKDAYS(MAX(D831,DATE(Einstellungen!$C$3,4,1)),MIN(J831,DATE(Einstellungen!$C$3,5,0)),Einstellungen!$F$13:$F$32)))</f>
        <v/>
      </c>
      <c r="P831" s="49">
        <f>IF(OR(A831="",D831=""),0,MAX(0,NETWORKDAYS(MAX(D831,DATE(Einstellungen!$C$3,5,1)),MIN(J831,DATE(Einstellungen!$C$3,6,0)),Einstellungen!$F$13:$F$32)))</f>
        <v/>
      </c>
      <c r="Q831" s="49">
        <f>IF(OR(A831="",D831=""),0,MAX(0,NETWORKDAYS(MAX(D831,DATE(Einstellungen!$C$3,6,1)),MIN(J831,DATE(Einstellungen!$C$3,7,0)),Einstellungen!$F$13:$F$32)))</f>
        <v/>
      </c>
      <c r="R831" s="49">
        <f>IF(OR(A831="",D831=""),0,MAX(0,NETWORKDAYS(MAX(D831,DATE(Einstellungen!$C$3,7,1)),MIN(J831,DATE(Einstellungen!$C$3,8,0)),Einstellungen!$F$13:$F$32)))</f>
        <v/>
      </c>
      <c r="S831" s="49">
        <f>IF(OR(A831="",D831=""),0,MAX(0,NETWORKDAYS(MAX(D831,DATE(Einstellungen!$C$3,8,1)),MIN(J831,DATE(Einstellungen!$C$3,9,0)),Einstellungen!$F$13:$F$32)))</f>
        <v/>
      </c>
      <c r="T831" s="49">
        <f>IF(OR(A831="",D831=""),0,MAX(0,NETWORKDAYS(MAX(D831,DATE(Einstellungen!$C$3,9,1)),MIN(J831,DATE(Einstellungen!$C$3,10,0)),Einstellungen!$F$13:$F$32)))</f>
        <v/>
      </c>
      <c r="U831" s="49">
        <f>IF(OR(A831="",D831=""),0,MAX(0,NETWORKDAYS(MAX(D831,DATE(Einstellungen!$C$3,10,1)),MIN(J831,DATE(Einstellungen!$C$3,11,0)),Einstellungen!$F$13:$F$32)))</f>
        <v/>
      </c>
      <c r="V831" s="49">
        <f>IF(OR(A831="",D831=""),0,MAX(0,NETWORKDAYS(MAX(D831,DATE(Einstellungen!$C$3,11,1)),MIN(J831,DATE(Einstellungen!$C$3,12,0)),Einstellungen!$F$13:$F$32)))</f>
        <v/>
      </c>
      <c r="W831" s="49">
        <f>IF(OR(A831="",D831=""),0,MAX(0,NETWORKDAYS(MAX(D831,DATE(Einstellungen!$C$3,12,1)),MIN(J831,DATE(Einstellungen!$C$3,13,0)),Einstellungen!$F$13:$F$32)))</f>
        <v/>
      </c>
      <c r="X831" s="50">
        <f>L831*K831</f>
        <v/>
      </c>
      <c r="Y831" s="50">
        <f>M831*K831</f>
        <v/>
      </c>
      <c r="Z831" s="50">
        <f>N831*K831</f>
        <v/>
      </c>
      <c r="AA831" s="50">
        <f>O831*K831</f>
        <v/>
      </c>
      <c r="AB831" s="50">
        <f>P831*K831</f>
        <v/>
      </c>
      <c r="AC831" s="50">
        <f>Q831*K831</f>
        <v/>
      </c>
      <c r="AD831" s="50">
        <f>R831*K831</f>
        <v/>
      </c>
      <c r="AE831" s="50">
        <f>S831*K831</f>
        <v/>
      </c>
      <c r="AF831" s="50">
        <f>T831*K831</f>
        <v/>
      </c>
      <c r="AG831" s="50">
        <f>U831*K831</f>
        <v/>
      </c>
      <c r="AH831" s="50">
        <f>V831*K831</f>
        <v/>
      </c>
      <c r="AI831" s="50">
        <f>W831*K831</f>
        <v/>
      </c>
    </row>
    <row r="832">
      <c r="A832" s="25" t="n"/>
      <c r="B832" s="45">
        <f>IF(A832="","",IFERROR(INDEX(Mitarbeiter!$B$6:$B$205,MATCH($A832,Mitarbeiter!$A$6:$A$205,0)),"?"))</f>
        <v/>
      </c>
      <c r="C832" s="46" t="n"/>
      <c r="D832" s="26" t="n"/>
      <c r="E832" s="26" t="n"/>
      <c r="F832" s="24">
        <f>IF(A832="","",SUM(L832:W832))</f>
        <v/>
      </c>
      <c r="G832" s="36">
        <f>IF(A832="","",SUM(X832:AI832))</f>
        <v/>
      </c>
      <c r="H832" s="8">
        <f>IF(A832="","",IF(ISNA(MATCH(A832,Mitarbeiter!$A$6:$A$205,0)),"Pers.-Nr. unbekannt",IF(D832="","Von fehlt",IF(AND(C832&lt;&gt;Einstellungen!$C$4,C832&lt;&gt;Einstellungen!$C$5),"Objekt fehlt",IF(J832&lt;D832,"Bis vor Von",IF(D832&lt;INDEX(Mitarbeiter!$C$6:$C$205,MATCH($A832,Mitarbeiter!$A$6:$A$205,0)),"vor Eintritt",IF(AND(INDEX(Mitarbeiter!$D$6:$D$205,MATCH($A832,Mitarbeiter!$A$6:$A$205,0))&lt;&gt;"",D832&gt;INDEX(Mitarbeiter!$D$6:$D$205,MATCH($A832,Mitarbeiter!$A$6:$A$205,0))),"nach Austritt",IF(E832="","offen","ok"))))))))</f>
        <v/>
      </c>
      <c r="J832" s="47">
        <f>IF(A832="","",IF(E832="",Einstellungen!$C$9,E832))</f>
        <v/>
      </c>
      <c r="K832" s="48">
        <f>IF(A832="",0,IFERROR(INDEX(Mitarbeiter!$F$6:$F$205,MATCH($A832,Mitarbeiter!$A$6:$A$205,0)),0))</f>
        <v/>
      </c>
      <c r="L832" s="49">
        <f>IF(OR(A832="",D832=""),0,MAX(0,NETWORKDAYS(MAX(D832,DATE(Einstellungen!$C$3,1,1)),MIN(J832,DATE(Einstellungen!$C$3,2,0)),Einstellungen!$F$13:$F$32)))</f>
        <v/>
      </c>
      <c r="M832" s="49">
        <f>IF(OR(A832="",D832=""),0,MAX(0,NETWORKDAYS(MAX(D832,DATE(Einstellungen!$C$3,2,1)),MIN(J832,DATE(Einstellungen!$C$3,3,0)),Einstellungen!$F$13:$F$32)))</f>
        <v/>
      </c>
      <c r="N832" s="49">
        <f>IF(OR(A832="",D832=""),0,MAX(0,NETWORKDAYS(MAX(D832,DATE(Einstellungen!$C$3,3,1)),MIN(J832,DATE(Einstellungen!$C$3,4,0)),Einstellungen!$F$13:$F$32)))</f>
        <v/>
      </c>
      <c r="O832" s="49">
        <f>IF(OR(A832="",D832=""),0,MAX(0,NETWORKDAYS(MAX(D832,DATE(Einstellungen!$C$3,4,1)),MIN(J832,DATE(Einstellungen!$C$3,5,0)),Einstellungen!$F$13:$F$32)))</f>
        <v/>
      </c>
      <c r="P832" s="49">
        <f>IF(OR(A832="",D832=""),0,MAX(0,NETWORKDAYS(MAX(D832,DATE(Einstellungen!$C$3,5,1)),MIN(J832,DATE(Einstellungen!$C$3,6,0)),Einstellungen!$F$13:$F$32)))</f>
        <v/>
      </c>
      <c r="Q832" s="49">
        <f>IF(OR(A832="",D832=""),0,MAX(0,NETWORKDAYS(MAX(D832,DATE(Einstellungen!$C$3,6,1)),MIN(J832,DATE(Einstellungen!$C$3,7,0)),Einstellungen!$F$13:$F$32)))</f>
        <v/>
      </c>
      <c r="R832" s="49">
        <f>IF(OR(A832="",D832=""),0,MAX(0,NETWORKDAYS(MAX(D832,DATE(Einstellungen!$C$3,7,1)),MIN(J832,DATE(Einstellungen!$C$3,8,0)),Einstellungen!$F$13:$F$32)))</f>
        <v/>
      </c>
      <c r="S832" s="49">
        <f>IF(OR(A832="",D832=""),0,MAX(0,NETWORKDAYS(MAX(D832,DATE(Einstellungen!$C$3,8,1)),MIN(J832,DATE(Einstellungen!$C$3,9,0)),Einstellungen!$F$13:$F$32)))</f>
        <v/>
      </c>
      <c r="T832" s="49">
        <f>IF(OR(A832="",D832=""),0,MAX(0,NETWORKDAYS(MAX(D832,DATE(Einstellungen!$C$3,9,1)),MIN(J832,DATE(Einstellungen!$C$3,10,0)),Einstellungen!$F$13:$F$32)))</f>
        <v/>
      </c>
      <c r="U832" s="49">
        <f>IF(OR(A832="",D832=""),0,MAX(0,NETWORKDAYS(MAX(D832,DATE(Einstellungen!$C$3,10,1)),MIN(J832,DATE(Einstellungen!$C$3,11,0)),Einstellungen!$F$13:$F$32)))</f>
        <v/>
      </c>
      <c r="V832" s="49">
        <f>IF(OR(A832="",D832=""),0,MAX(0,NETWORKDAYS(MAX(D832,DATE(Einstellungen!$C$3,11,1)),MIN(J832,DATE(Einstellungen!$C$3,12,0)),Einstellungen!$F$13:$F$32)))</f>
        <v/>
      </c>
      <c r="W832" s="49">
        <f>IF(OR(A832="",D832=""),0,MAX(0,NETWORKDAYS(MAX(D832,DATE(Einstellungen!$C$3,12,1)),MIN(J832,DATE(Einstellungen!$C$3,13,0)),Einstellungen!$F$13:$F$32)))</f>
        <v/>
      </c>
      <c r="X832" s="50">
        <f>L832*K832</f>
        <v/>
      </c>
      <c r="Y832" s="50">
        <f>M832*K832</f>
        <v/>
      </c>
      <c r="Z832" s="50">
        <f>N832*K832</f>
        <v/>
      </c>
      <c r="AA832" s="50">
        <f>O832*K832</f>
        <v/>
      </c>
      <c r="AB832" s="50">
        <f>P832*K832</f>
        <v/>
      </c>
      <c r="AC832" s="50">
        <f>Q832*K832</f>
        <v/>
      </c>
      <c r="AD832" s="50">
        <f>R832*K832</f>
        <v/>
      </c>
      <c r="AE832" s="50">
        <f>S832*K832</f>
        <v/>
      </c>
      <c r="AF832" s="50">
        <f>T832*K832</f>
        <v/>
      </c>
      <c r="AG832" s="50">
        <f>U832*K832</f>
        <v/>
      </c>
      <c r="AH832" s="50">
        <f>V832*K832</f>
        <v/>
      </c>
      <c r="AI832" s="50">
        <f>W832*K832</f>
        <v/>
      </c>
    </row>
    <row r="833">
      <c r="A833" s="25" t="n"/>
      <c r="B833" s="45">
        <f>IF(A833="","",IFERROR(INDEX(Mitarbeiter!$B$6:$B$205,MATCH($A833,Mitarbeiter!$A$6:$A$205,0)),"?"))</f>
        <v/>
      </c>
      <c r="C833" s="46" t="n"/>
      <c r="D833" s="26" t="n"/>
      <c r="E833" s="26" t="n"/>
      <c r="F833" s="24">
        <f>IF(A833="","",SUM(L833:W833))</f>
        <v/>
      </c>
      <c r="G833" s="36">
        <f>IF(A833="","",SUM(X833:AI833))</f>
        <v/>
      </c>
      <c r="H833" s="8">
        <f>IF(A833="","",IF(ISNA(MATCH(A833,Mitarbeiter!$A$6:$A$205,0)),"Pers.-Nr. unbekannt",IF(D833="","Von fehlt",IF(AND(C833&lt;&gt;Einstellungen!$C$4,C833&lt;&gt;Einstellungen!$C$5),"Objekt fehlt",IF(J833&lt;D833,"Bis vor Von",IF(D833&lt;INDEX(Mitarbeiter!$C$6:$C$205,MATCH($A833,Mitarbeiter!$A$6:$A$205,0)),"vor Eintritt",IF(AND(INDEX(Mitarbeiter!$D$6:$D$205,MATCH($A833,Mitarbeiter!$A$6:$A$205,0))&lt;&gt;"",D833&gt;INDEX(Mitarbeiter!$D$6:$D$205,MATCH($A833,Mitarbeiter!$A$6:$A$205,0))),"nach Austritt",IF(E833="","offen","ok"))))))))</f>
        <v/>
      </c>
      <c r="J833" s="47">
        <f>IF(A833="","",IF(E833="",Einstellungen!$C$9,E833))</f>
        <v/>
      </c>
      <c r="K833" s="48">
        <f>IF(A833="",0,IFERROR(INDEX(Mitarbeiter!$F$6:$F$205,MATCH($A833,Mitarbeiter!$A$6:$A$205,0)),0))</f>
        <v/>
      </c>
      <c r="L833" s="49">
        <f>IF(OR(A833="",D833=""),0,MAX(0,NETWORKDAYS(MAX(D833,DATE(Einstellungen!$C$3,1,1)),MIN(J833,DATE(Einstellungen!$C$3,2,0)),Einstellungen!$F$13:$F$32)))</f>
        <v/>
      </c>
      <c r="M833" s="49">
        <f>IF(OR(A833="",D833=""),0,MAX(0,NETWORKDAYS(MAX(D833,DATE(Einstellungen!$C$3,2,1)),MIN(J833,DATE(Einstellungen!$C$3,3,0)),Einstellungen!$F$13:$F$32)))</f>
        <v/>
      </c>
      <c r="N833" s="49">
        <f>IF(OR(A833="",D833=""),0,MAX(0,NETWORKDAYS(MAX(D833,DATE(Einstellungen!$C$3,3,1)),MIN(J833,DATE(Einstellungen!$C$3,4,0)),Einstellungen!$F$13:$F$32)))</f>
        <v/>
      </c>
      <c r="O833" s="49">
        <f>IF(OR(A833="",D833=""),0,MAX(0,NETWORKDAYS(MAX(D833,DATE(Einstellungen!$C$3,4,1)),MIN(J833,DATE(Einstellungen!$C$3,5,0)),Einstellungen!$F$13:$F$32)))</f>
        <v/>
      </c>
      <c r="P833" s="49">
        <f>IF(OR(A833="",D833=""),0,MAX(0,NETWORKDAYS(MAX(D833,DATE(Einstellungen!$C$3,5,1)),MIN(J833,DATE(Einstellungen!$C$3,6,0)),Einstellungen!$F$13:$F$32)))</f>
        <v/>
      </c>
      <c r="Q833" s="49">
        <f>IF(OR(A833="",D833=""),0,MAX(0,NETWORKDAYS(MAX(D833,DATE(Einstellungen!$C$3,6,1)),MIN(J833,DATE(Einstellungen!$C$3,7,0)),Einstellungen!$F$13:$F$32)))</f>
        <v/>
      </c>
      <c r="R833" s="49">
        <f>IF(OR(A833="",D833=""),0,MAX(0,NETWORKDAYS(MAX(D833,DATE(Einstellungen!$C$3,7,1)),MIN(J833,DATE(Einstellungen!$C$3,8,0)),Einstellungen!$F$13:$F$32)))</f>
        <v/>
      </c>
      <c r="S833" s="49">
        <f>IF(OR(A833="",D833=""),0,MAX(0,NETWORKDAYS(MAX(D833,DATE(Einstellungen!$C$3,8,1)),MIN(J833,DATE(Einstellungen!$C$3,9,0)),Einstellungen!$F$13:$F$32)))</f>
        <v/>
      </c>
      <c r="T833" s="49">
        <f>IF(OR(A833="",D833=""),0,MAX(0,NETWORKDAYS(MAX(D833,DATE(Einstellungen!$C$3,9,1)),MIN(J833,DATE(Einstellungen!$C$3,10,0)),Einstellungen!$F$13:$F$32)))</f>
        <v/>
      </c>
      <c r="U833" s="49">
        <f>IF(OR(A833="",D833=""),0,MAX(0,NETWORKDAYS(MAX(D833,DATE(Einstellungen!$C$3,10,1)),MIN(J833,DATE(Einstellungen!$C$3,11,0)),Einstellungen!$F$13:$F$32)))</f>
        <v/>
      </c>
      <c r="V833" s="49">
        <f>IF(OR(A833="",D833=""),0,MAX(0,NETWORKDAYS(MAX(D833,DATE(Einstellungen!$C$3,11,1)),MIN(J833,DATE(Einstellungen!$C$3,12,0)),Einstellungen!$F$13:$F$32)))</f>
        <v/>
      </c>
      <c r="W833" s="49">
        <f>IF(OR(A833="",D833=""),0,MAX(0,NETWORKDAYS(MAX(D833,DATE(Einstellungen!$C$3,12,1)),MIN(J833,DATE(Einstellungen!$C$3,13,0)),Einstellungen!$F$13:$F$32)))</f>
        <v/>
      </c>
      <c r="X833" s="50">
        <f>L833*K833</f>
        <v/>
      </c>
      <c r="Y833" s="50">
        <f>M833*K833</f>
        <v/>
      </c>
      <c r="Z833" s="50">
        <f>N833*K833</f>
        <v/>
      </c>
      <c r="AA833" s="50">
        <f>O833*K833</f>
        <v/>
      </c>
      <c r="AB833" s="50">
        <f>P833*K833</f>
        <v/>
      </c>
      <c r="AC833" s="50">
        <f>Q833*K833</f>
        <v/>
      </c>
      <c r="AD833" s="50">
        <f>R833*K833</f>
        <v/>
      </c>
      <c r="AE833" s="50">
        <f>S833*K833</f>
        <v/>
      </c>
      <c r="AF833" s="50">
        <f>T833*K833</f>
        <v/>
      </c>
      <c r="AG833" s="50">
        <f>U833*K833</f>
        <v/>
      </c>
      <c r="AH833" s="50">
        <f>V833*K833</f>
        <v/>
      </c>
      <c r="AI833" s="50">
        <f>W833*K833</f>
        <v/>
      </c>
    </row>
    <row r="834">
      <c r="A834" s="25" t="n"/>
      <c r="B834" s="45">
        <f>IF(A834="","",IFERROR(INDEX(Mitarbeiter!$B$6:$B$205,MATCH($A834,Mitarbeiter!$A$6:$A$205,0)),"?"))</f>
        <v/>
      </c>
      <c r="C834" s="46" t="n"/>
      <c r="D834" s="26" t="n"/>
      <c r="E834" s="26" t="n"/>
      <c r="F834" s="24">
        <f>IF(A834="","",SUM(L834:W834))</f>
        <v/>
      </c>
      <c r="G834" s="36">
        <f>IF(A834="","",SUM(X834:AI834))</f>
        <v/>
      </c>
      <c r="H834" s="8">
        <f>IF(A834="","",IF(ISNA(MATCH(A834,Mitarbeiter!$A$6:$A$205,0)),"Pers.-Nr. unbekannt",IF(D834="","Von fehlt",IF(AND(C834&lt;&gt;Einstellungen!$C$4,C834&lt;&gt;Einstellungen!$C$5),"Objekt fehlt",IF(J834&lt;D834,"Bis vor Von",IF(D834&lt;INDEX(Mitarbeiter!$C$6:$C$205,MATCH($A834,Mitarbeiter!$A$6:$A$205,0)),"vor Eintritt",IF(AND(INDEX(Mitarbeiter!$D$6:$D$205,MATCH($A834,Mitarbeiter!$A$6:$A$205,0))&lt;&gt;"",D834&gt;INDEX(Mitarbeiter!$D$6:$D$205,MATCH($A834,Mitarbeiter!$A$6:$A$205,0))),"nach Austritt",IF(E834="","offen","ok"))))))))</f>
        <v/>
      </c>
      <c r="J834" s="47">
        <f>IF(A834="","",IF(E834="",Einstellungen!$C$9,E834))</f>
        <v/>
      </c>
      <c r="K834" s="48">
        <f>IF(A834="",0,IFERROR(INDEX(Mitarbeiter!$F$6:$F$205,MATCH($A834,Mitarbeiter!$A$6:$A$205,0)),0))</f>
        <v/>
      </c>
      <c r="L834" s="49">
        <f>IF(OR(A834="",D834=""),0,MAX(0,NETWORKDAYS(MAX(D834,DATE(Einstellungen!$C$3,1,1)),MIN(J834,DATE(Einstellungen!$C$3,2,0)),Einstellungen!$F$13:$F$32)))</f>
        <v/>
      </c>
      <c r="M834" s="49">
        <f>IF(OR(A834="",D834=""),0,MAX(0,NETWORKDAYS(MAX(D834,DATE(Einstellungen!$C$3,2,1)),MIN(J834,DATE(Einstellungen!$C$3,3,0)),Einstellungen!$F$13:$F$32)))</f>
        <v/>
      </c>
      <c r="N834" s="49">
        <f>IF(OR(A834="",D834=""),0,MAX(0,NETWORKDAYS(MAX(D834,DATE(Einstellungen!$C$3,3,1)),MIN(J834,DATE(Einstellungen!$C$3,4,0)),Einstellungen!$F$13:$F$32)))</f>
        <v/>
      </c>
      <c r="O834" s="49">
        <f>IF(OR(A834="",D834=""),0,MAX(0,NETWORKDAYS(MAX(D834,DATE(Einstellungen!$C$3,4,1)),MIN(J834,DATE(Einstellungen!$C$3,5,0)),Einstellungen!$F$13:$F$32)))</f>
        <v/>
      </c>
      <c r="P834" s="49">
        <f>IF(OR(A834="",D834=""),0,MAX(0,NETWORKDAYS(MAX(D834,DATE(Einstellungen!$C$3,5,1)),MIN(J834,DATE(Einstellungen!$C$3,6,0)),Einstellungen!$F$13:$F$32)))</f>
        <v/>
      </c>
      <c r="Q834" s="49">
        <f>IF(OR(A834="",D834=""),0,MAX(0,NETWORKDAYS(MAX(D834,DATE(Einstellungen!$C$3,6,1)),MIN(J834,DATE(Einstellungen!$C$3,7,0)),Einstellungen!$F$13:$F$32)))</f>
        <v/>
      </c>
      <c r="R834" s="49">
        <f>IF(OR(A834="",D834=""),0,MAX(0,NETWORKDAYS(MAX(D834,DATE(Einstellungen!$C$3,7,1)),MIN(J834,DATE(Einstellungen!$C$3,8,0)),Einstellungen!$F$13:$F$32)))</f>
        <v/>
      </c>
      <c r="S834" s="49">
        <f>IF(OR(A834="",D834=""),0,MAX(0,NETWORKDAYS(MAX(D834,DATE(Einstellungen!$C$3,8,1)),MIN(J834,DATE(Einstellungen!$C$3,9,0)),Einstellungen!$F$13:$F$32)))</f>
        <v/>
      </c>
      <c r="T834" s="49">
        <f>IF(OR(A834="",D834=""),0,MAX(0,NETWORKDAYS(MAX(D834,DATE(Einstellungen!$C$3,9,1)),MIN(J834,DATE(Einstellungen!$C$3,10,0)),Einstellungen!$F$13:$F$32)))</f>
        <v/>
      </c>
      <c r="U834" s="49">
        <f>IF(OR(A834="",D834=""),0,MAX(0,NETWORKDAYS(MAX(D834,DATE(Einstellungen!$C$3,10,1)),MIN(J834,DATE(Einstellungen!$C$3,11,0)),Einstellungen!$F$13:$F$32)))</f>
        <v/>
      </c>
      <c r="V834" s="49">
        <f>IF(OR(A834="",D834=""),0,MAX(0,NETWORKDAYS(MAX(D834,DATE(Einstellungen!$C$3,11,1)),MIN(J834,DATE(Einstellungen!$C$3,12,0)),Einstellungen!$F$13:$F$32)))</f>
        <v/>
      </c>
      <c r="W834" s="49">
        <f>IF(OR(A834="",D834=""),0,MAX(0,NETWORKDAYS(MAX(D834,DATE(Einstellungen!$C$3,12,1)),MIN(J834,DATE(Einstellungen!$C$3,13,0)),Einstellungen!$F$13:$F$32)))</f>
        <v/>
      </c>
      <c r="X834" s="50">
        <f>L834*K834</f>
        <v/>
      </c>
      <c r="Y834" s="50">
        <f>M834*K834</f>
        <v/>
      </c>
      <c r="Z834" s="50">
        <f>N834*K834</f>
        <v/>
      </c>
      <c r="AA834" s="50">
        <f>O834*K834</f>
        <v/>
      </c>
      <c r="AB834" s="50">
        <f>P834*K834</f>
        <v/>
      </c>
      <c r="AC834" s="50">
        <f>Q834*K834</f>
        <v/>
      </c>
      <c r="AD834" s="50">
        <f>R834*K834</f>
        <v/>
      </c>
      <c r="AE834" s="50">
        <f>S834*K834</f>
        <v/>
      </c>
      <c r="AF834" s="50">
        <f>T834*K834</f>
        <v/>
      </c>
      <c r="AG834" s="50">
        <f>U834*K834</f>
        <v/>
      </c>
      <c r="AH834" s="50">
        <f>V834*K834</f>
        <v/>
      </c>
      <c r="AI834" s="50">
        <f>W834*K834</f>
        <v/>
      </c>
    </row>
    <row r="835">
      <c r="A835" s="25" t="n"/>
      <c r="B835" s="45">
        <f>IF(A835="","",IFERROR(INDEX(Mitarbeiter!$B$6:$B$205,MATCH($A835,Mitarbeiter!$A$6:$A$205,0)),"?"))</f>
        <v/>
      </c>
      <c r="C835" s="46" t="n"/>
      <c r="D835" s="26" t="n"/>
      <c r="E835" s="26" t="n"/>
      <c r="F835" s="24">
        <f>IF(A835="","",SUM(L835:W835))</f>
        <v/>
      </c>
      <c r="G835" s="36">
        <f>IF(A835="","",SUM(X835:AI835))</f>
        <v/>
      </c>
      <c r="H835" s="8">
        <f>IF(A835="","",IF(ISNA(MATCH(A835,Mitarbeiter!$A$6:$A$205,0)),"Pers.-Nr. unbekannt",IF(D835="","Von fehlt",IF(AND(C835&lt;&gt;Einstellungen!$C$4,C835&lt;&gt;Einstellungen!$C$5),"Objekt fehlt",IF(J835&lt;D835,"Bis vor Von",IF(D835&lt;INDEX(Mitarbeiter!$C$6:$C$205,MATCH($A835,Mitarbeiter!$A$6:$A$205,0)),"vor Eintritt",IF(AND(INDEX(Mitarbeiter!$D$6:$D$205,MATCH($A835,Mitarbeiter!$A$6:$A$205,0))&lt;&gt;"",D835&gt;INDEX(Mitarbeiter!$D$6:$D$205,MATCH($A835,Mitarbeiter!$A$6:$A$205,0))),"nach Austritt",IF(E835="","offen","ok"))))))))</f>
        <v/>
      </c>
      <c r="J835" s="47">
        <f>IF(A835="","",IF(E835="",Einstellungen!$C$9,E835))</f>
        <v/>
      </c>
      <c r="K835" s="48">
        <f>IF(A835="",0,IFERROR(INDEX(Mitarbeiter!$F$6:$F$205,MATCH($A835,Mitarbeiter!$A$6:$A$205,0)),0))</f>
        <v/>
      </c>
      <c r="L835" s="49">
        <f>IF(OR(A835="",D835=""),0,MAX(0,NETWORKDAYS(MAX(D835,DATE(Einstellungen!$C$3,1,1)),MIN(J835,DATE(Einstellungen!$C$3,2,0)),Einstellungen!$F$13:$F$32)))</f>
        <v/>
      </c>
      <c r="M835" s="49">
        <f>IF(OR(A835="",D835=""),0,MAX(0,NETWORKDAYS(MAX(D835,DATE(Einstellungen!$C$3,2,1)),MIN(J835,DATE(Einstellungen!$C$3,3,0)),Einstellungen!$F$13:$F$32)))</f>
        <v/>
      </c>
      <c r="N835" s="49">
        <f>IF(OR(A835="",D835=""),0,MAX(0,NETWORKDAYS(MAX(D835,DATE(Einstellungen!$C$3,3,1)),MIN(J835,DATE(Einstellungen!$C$3,4,0)),Einstellungen!$F$13:$F$32)))</f>
        <v/>
      </c>
      <c r="O835" s="49">
        <f>IF(OR(A835="",D835=""),0,MAX(0,NETWORKDAYS(MAX(D835,DATE(Einstellungen!$C$3,4,1)),MIN(J835,DATE(Einstellungen!$C$3,5,0)),Einstellungen!$F$13:$F$32)))</f>
        <v/>
      </c>
      <c r="P835" s="49">
        <f>IF(OR(A835="",D835=""),0,MAX(0,NETWORKDAYS(MAX(D835,DATE(Einstellungen!$C$3,5,1)),MIN(J835,DATE(Einstellungen!$C$3,6,0)),Einstellungen!$F$13:$F$32)))</f>
        <v/>
      </c>
      <c r="Q835" s="49">
        <f>IF(OR(A835="",D835=""),0,MAX(0,NETWORKDAYS(MAX(D835,DATE(Einstellungen!$C$3,6,1)),MIN(J835,DATE(Einstellungen!$C$3,7,0)),Einstellungen!$F$13:$F$32)))</f>
        <v/>
      </c>
      <c r="R835" s="49">
        <f>IF(OR(A835="",D835=""),0,MAX(0,NETWORKDAYS(MAX(D835,DATE(Einstellungen!$C$3,7,1)),MIN(J835,DATE(Einstellungen!$C$3,8,0)),Einstellungen!$F$13:$F$32)))</f>
        <v/>
      </c>
      <c r="S835" s="49">
        <f>IF(OR(A835="",D835=""),0,MAX(0,NETWORKDAYS(MAX(D835,DATE(Einstellungen!$C$3,8,1)),MIN(J835,DATE(Einstellungen!$C$3,9,0)),Einstellungen!$F$13:$F$32)))</f>
        <v/>
      </c>
      <c r="T835" s="49">
        <f>IF(OR(A835="",D835=""),0,MAX(0,NETWORKDAYS(MAX(D835,DATE(Einstellungen!$C$3,9,1)),MIN(J835,DATE(Einstellungen!$C$3,10,0)),Einstellungen!$F$13:$F$32)))</f>
        <v/>
      </c>
      <c r="U835" s="49">
        <f>IF(OR(A835="",D835=""),0,MAX(0,NETWORKDAYS(MAX(D835,DATE(Einstellungen!$C$3,10,1)),MIN(J835,DATE(Einstellungen!$C$3,11,0)),Einstellungen!$F$13:$F$32)))</f>
        <v/>
      </c>
      <c r="V835" s="49">
        <f>IF(OR(A835="",D835=""),0,MAX(0,NETWORKDAYS(MAX(D835,DATE(Einstellungen!$C$3,11,1)),MIN(J835,DATE(Einstellungen!$C$3,12,0)),Einstellungen!$F$13:$F$32)))</f>
        <v/>
      </c>
      <c r="W835" s="49">
        <f>IF(OR(A835="",D835=""),0,MAX(0,NETWORKDAYS(MAX(D835,DATE(Einstellungen!$C$3,12,1)),MIN(J835,DATE(Einstellungen!$C$3,13,0)),Einstellungen!$F$13:$F$32)))</f>
        <v/>
      </c>
      <c r="X835" s="50">
        <f>L835*K835</f>
        <v/>
      </c>
      <c r="Y835" s="50">
        <f>M835*K835</f>
        <v/>
      </c>
      <c r="Z835" s="50">
        <f>N835*K835</f>
        <v/>
      </c>
      <c r="AA835" s="50">
        <f>O835*K835</f>
        <v/>
      </c>
      <c r="AB835" s="50">
        <f>P835*K835</f>
        <v/>
      </c>
      <c r="AC835" s="50">
        <f>Q835*K835</f>
        <v/>
      </c>
      <c r="AD835" s="50">
        <f>R835*K835</f>
        <v/>
      </c>
      <c r="AE835" s="50">
        <f>S835*K835</f>
        <v/>
      </c>
      <c r="AF835" s="50">
        <f>T835*K835</f>
        <v/>
      </c>
      <c r="AG835" s="50">
        <f>U835*K835</f>
        <v/>
      </c>
      <c r="AH835" s="50">
        <f>V835*K835</f>
        <v/>
      </c>
      <c r="AI835" s="50">
        <f>W835*K835</f>
        <v/>
      </c>
    </row>
    <row r="836">
      <c r="A836" s="25" t="n"/>
      <c r="B836" s="45">
        <f>IF(A836="","",IFERROR(INDEX(Mitarbeiter!$B$6:$B$205,MATCH($A836,Mitarbeiter!$A$6:$A$205,0)),"?"))</f>
        <v/>
      </c>
      <c r="C836" s="46" t="n"/>
      <c r="D836" s="26" t="n"/>
      <c r="E836" s="26" t="n"/>
      <c r="F836" s="24">
        <f>IF(A836="","",SUM(L836:W836))</f>
        <v/>
      </c>
      <c r="G836" s="36">
        <f>IF(A836="","",SUM(X836:AI836))</f>
        <v/>
      </c>
      <c r="H836" s="8">
        <f>IF(A836="","",IF(ISNA(MATCH(A836,Mitarbeiter!$A$6:$A$205,0)),"Pers.-Nr. unbekannt",IF(D836="","Von fehlt",IF(AND(C836&lt;&gt;Einstellungen!$C$4,C836&lt;&gt;Einstellungen!$C$5),"Objekt fehlt",IF(J836&lt;D836,"Bis vor Von",IF(D836&lt;INDEX(Mitarbeiter!$C$6:$C$205,MATCH($A836,Mitarbeiter!$A$6:$A$205,0)),"vor Eintritt",IF(AND(INDEX(Mitarbeiter!$D$6:$D$205,MATCH($A836,Mitarbeiter!$A$6:$A$205,0))&lt;&gt;"",D836&gt;INDEX(Mitarbeiter!$D$6:$D$205,MATCH($A836,Mitarbeiter!$A$6:$A$205,0))),"nach Austritt",IF(E836="","offen","ok"))))))))</f>
        <v/>
      </c>
      <c r="J836" s="47">
        <f>IF(A836="","",IF(E836="",Einstellungen!$C$9,E836))</f>
        <v/>
      </c>
      <c r="K836" s="48">
        <f>IF(A836="",0,IFERROR(INDEX(Mitarbeiter!$F$6:$F$205,MATCH($A836,Mitarbeiter!$A$6:$A$205,0)),0))</f>
        <v/>
      </c>
      <c r="L836" s="49">
        <f>IF(OR(A836="",D836=""),0,MAX(0,NETWORKDAYS(MAX(D836,DATE(Einstellungen!$C$3,1,1)),MIN(J836,DATE(Einstellungen!$C$3,2,0)),Einstellungen!$F$13:$F$32)))</f>
        <v/>
      </c>
      <c r="M836" s="49">
        <f>IF(OR(A836="",D836=""),0,MAX(0,NETWORKDAYS(MAX(D836,DATE(Einstellungen!$C$3,2,1)),MIN(J836,DATE(Einstellungen!$C$3,3,0)),Einstellungen!$F$13:$F$32)))</f>
        <v/>
      </c>
      <c r="N836" s="49">
        <f>IF(OR(A836="",D836=""),0,MAX(0,NETWORKDAYS(MAX(D836,DATE(Einstellungen!$C$3,3,1)),MIN(J836,DATE(Einstellungen!$C$3,4,0)),Einstellungen!$F$13:$F$32)))</f>
        <v/>
      </c>
      <c r="O836" s="49">
        <f>IF(OR(A836="",D836=""),0,MAX(0,NETWORKDAYS(MAX(D836,DATE(Einstellungen!$C$3,4,1)),MIN(J836,DATE(Einstellungen!$C$3,5,0)),Einstellungen!$F$13:$F$32)))</f>
        <v/>
      </c>
      <c r="P836" s="49">
        <f>IF(OR(A836="",D836=""),0,MAX(0,NETWORKDAYS(MAX(D836,DATE(Einstellungen!$C$3,5,1)),MIN(J836,DATE(Einstellungen!$C$3,6,0)),Einstellungen!$F$13:$F$32)))</f>
        <v/>
      </c>
      <c r="Q836" s="49">
        <f>IF(OR(A836="",D836=""),0,MAX(0,NETWORKDAYS(MAX(D836,DATE(Einstellungen!$C$3,6,1)),MIN(J836,DATE(Einstellungen!$C$3,7,0)),Einstellungen!$F$13:$F$32)))</f>
        <v/>
      </c>
      <c r="R836" s="49">
        <f>IF(OR(A836="",D836=""),0,MAX(0,NETWORKDAYS(MAX(D836,DATE(Einstellungen!$C$3,7,1)),MIN(J836,DATE(Einstellungen!$C$3,8,0)),Einstellungen!$F$13:$F$32)))</f>
        <v/>
      </c>
      <c r="S836" s="49">
        <f>IF(OR(A836="",D836=""),0,MAX(0,NETWORKDAYS(MAX(D836,DATE(Einstellungen!$C$3,8,1)),MIN(J836,DATE(Einstellungen!$C$3,9,0)),Einstellungen!$F$13:$F$32)))</f>
        <v/>
      </c>
      <c r="T836" s="49">
        <f>IF(OR(A836="",D836=""),0,MAX(0,NETWORKDAYS(MAX(D836,DATE(Einstellungen!$C$3,9,1)),MIN(J836,DATE(Einstellungen!$C$3,10,0)),Einstellungen!$F$13:$F$32)))</f>
        <v/>
      </c>
      <c r="U836" s="49">
        <f>IF(OR(A836="",D836=""),0,MAX(0,NETWORKDAYS(MAX(D836,DATE(Einstellungen!$C$3,10,1)),MIN(J836,DATE(Einstellungen!$C$3,11,0)),Einstellungen!$F$13:$F$32)))</f>
        <v/>
      </c>
      <c r="V836" s="49">
        <f>IF(OR(A836="",D836=""),0,MAX(0,NETWORKDAYS(MAX(D836,DATE(Einstellungen!$C$3,11,1)),MIN(J836,DATE(Einstellungen!$C$3,12,0)),Einstellungen!$F$13:$F$32)))</f>
        <v/>
      </c>
      <c r="W836" s="49">
        <f>IF(OR(A836="",D836=""),0,MAX(0,NETWORKDAYS(MAX(D836,DATE(Einstellungen!$C$3,12,1)),MIN(J836,DATE(Einstellungen!$C$3,13,0)),Einstellungen!$F$13:$F$32)))</f>
        <v/>
      </c>
      <c r="X836" s="50">
        <f>L836*K836</f>
        <v/>
      </c>
      <c r="Y836" s="50">
        <f>M836*K836</f>
        <v/>
      </c>
      <c r="Z836" s="50">
        <f>N836*K836</f>
        <v/>
      </c>
      <c r="AA836" s="50">
        <f>O836*K836</f>
        <v/>
      </c>
      <c r="AB836" s="50">
        <f>P836*K836</f>
        <v/>
      </c>
      <c r="AC836" s="50">
        <f>Q836*K836</f>
        <v/>
      </c>
      <c r="AD836" s="50">
        <f>R836*K836</f>
        <v/>
      </c>
      <c r="AE836" s="50">
        <f>S836*K836</f>
        <v/>
      </c>
      <c r="AF836" s="50">
        <f>T836*K836</f>
        <v/>
      </c>
      <c r="AG836" s="50">
        <f>U836*K836</f>
        <v/>
      </c>
      <c r="AH836" s="50">
        <f>V836*K836</f>
        <v/>
      </c>
      <c r="AI836" s="50">
        <f>W836*K836</f>
        <v/>
      </c>
    </row>
    <row r="837">
      <c r="A837" s="25" t="n"/>
      <c r="B837" s="45">
        <f>IF(A837="","",IFERROR(INDEX(Mitarbeiter!$B$6:$B$205,MATCH($A837,Mitarbeiter!$A$6:$A$205,0)),"?"))</f>
        <v/>
      </c>
      <c r="C837" s="46" t="n"/>
      <c r="D837" s="26" t="n"/>
      <c r="E837" s="26" t="n"/>
      <c r="F837" s="24">
        <f>IF(A837="","",SUM(L837:W837))</f>
        <v/>
      </c>
      <c r="G837" s="36">
        <f>IF(A837="","",SUM(X837:AI837))</f>
        <v/>
      </c>
      <c r="H837" s="8">
        <f>IF(A837="","",IF(ISNA(MATCH(A837,Mitarbeiter!$A$6:$A$205,0)),"Pers.-Nr. unbekannt",IF(D837="","Von fehlt",IF(AND(C837&lt;&gt;Einstellungen!$C$4,C837&lt;&gt;Einstellungen!$C$5),"Objekt fehlt",IF(J837&lt;D837,"Bis vor Von",IF(D837&lt;INDEX(Mitarbeiter!$C$6:$C$205,MATCH($A837,Mitarbeiter!$A$6:$A$205,0)),"vor Eintritt",IF(AND(INDEX(Mitarbeiter!$D$6:$D$205,MATCH($A837,Mitarbeiter!$A$6:$A$205,0))&lt;&gt;"",D837&gt;INDEX(Mitarbeiter!$D$6:$D$205,MATCH($A837,Mitarbeiter!$A$6:$A$205,0))),"nach Austritt",IF(E837="","offen","ok"))))))))</f>
        <v/>
      </c>
      <c r="J837" s="47">
        <f>IF(A837="","",IF(E837="",Einstellungen!$C$9,E837))</f>
        <v/>
      </c>
      <c r="K837" s="48">
        <f>IF(A837="",0,IFERROR(INDEX(Mitarbeiter!$F$6:$F$205,MATCH($A837,Mitarbeiter!$A$6:$A$205,0)),0))</f>
        <v/>
      </c>
      <c r="L837" s="49">
        <f>IF(OR(A837="",D837=""),0,MAX(0,NETWORKDAYS(MAX(D837,DATE(Einstellungen!$C$3,1,1)),MIN(J837,DATE(Einstellungen!$C$3,2,0)),Einstellungen!$F$13:$F$32)))</f>
        <v/>
      </c>
      <c r="M837" s="49">
        <f>IF(OR(A837="",D837=""),0,MAX(0,NETWORKDAYS(MAX(D837,DATE(Einstellungen!$C$3,2,1)),MIN(J837,DATE(Einstellungen!$C$3,3,0)),Einstellungen!$F$13:$F$32)))</f>
        <v/>
      </c>
      <c r="N837" s="49">
        <f>IF(OR(A837="",D837=""),0,MAX(0,NETWORKDAYS(MAX(D837,DATE(Einstellungen!$C$3,3,1)),MIN(J837,DATE(Einstellungen!$C$3,4,0)),Einstellungen!$F$13:$F$32)))</f>
        <v/>
      </c>
      <c r="O837" s="49">
        <f>IF(OR(A837="",D837=""),0,MAX(0,NETWORKDAYS(MAX(D837,DATE(Einstellungen!$C$3,4,1)),MIN(J837,DATE(Einstellungen!$C$3,5,0)),Einstellungen!$F$13:$F$32)))</f>
        <v/>
      </c>
      <c r="P837" s="49">
        <f>IF(OR(A837="",D837=""),0,MAX(0,NETWORKDAYS(MAX(D837,DATE(Einstellungen!$C$3,5,1)),MIN(J837,DATE(Einstellungen!$C$3,6,0)),Einstellungen!$F$13:$F$32)))</f>
        <v/>
      </c>
      <c r="Q837" s="49">
        <f>IF(OR(A837="",D837=""),0,MAX(0,NETWORKDAYS(MAX(D837,DATE(Einstellungen!$C$3,6,1)),MIN(J837,DATE(Einstellungen!$C$3,7,0)),Einstellungen!$F$13:$F$32)))</f>
        <v/>
      </c>
      <c r="R837" s="49">
        <f>IF(OR(A837="",D837=""),0,MAX(0,NETWORKDAYS(MAX(D837,DATE(Einstellungen!$C$3,7,1)),MIN(J837,DATE(Einstellungen!$C$3,8,0)),Einstellungen!$F$13:$F$32)))</f>
        <v/>
      </c>
      <c r="S837" s="49">
        <f>IF(OR(A837="",D837=""),0,MAX(0,NETWORKDAYS(MAX(D837,DATE(Einstellungen!$C$3,8,1)),MIN(J837,DATE(Einstellungen!$C$3,9,0)),Einstellungen!$F$13:$F$32)))</f>
        <v/>
      </c>
      <c r="T837" s="49">
        <f>IF(OR(A837="",D837=""),0,MAX(0,NETWORKDAYS(MAX(D837,DATE(Einstellungen!$C$3,9,1)),MIN(J837,DATE(Einstellungen!$C$3,10,0)),Einstellungen!$F$13:$F$32)))</f>
        <v/>
      </c>
      <c r="U837" s="49">
        <f>IF(OR(A837="",D837=""),0,MAX(0,NETWORKDAYS(MAX(D837,DATE(Einstellungen!$C$3,10,1)),MIN(J837,DATE(Einstellungen!$C$3,11,0)),Einstellungen!$F$13:$F$32)))</f>
        <v/>
      </c>
      <c r="V837" s="49">
        <f>IF(OR(A837="",D837=""),0,MAX(0,NETWORKDAYS(MAX(D837,DATE(Einstellungen!$C$3,11,1)),MIN(J837,DATE(Einstellungen!$C$3,12,0)),Einstellungen!$F$13:$F$32)))</f>
        <v/>
      </c>
      <c r="W837" s="49">
        <f>IF(OR(A837="",D837=""),0,MAX(0,NETWORKDAYS(MAX(D837,DATE(Einstellungen!$C$3,12,1)),MIN(J837,DATE(Einstellungen!$C$3,13,0)),Einstellungen!$F$13:$F$32)))</f>
        <v/>
      </c>
      <c r="X837" s="50">
        <f>L837*K837</f>
        <v/>
      </c>
      <c r="Y837" s="50">
        <f>M837*K837</f>
        <v/>
      </c>
      <c r="Z837" s="50">
        <f>N837*K837</f>
        <v/>
      </c>
      <c r="AA837" s="50">
        <f>O837*K837</f>
        <v/>
      </c>
      <c r="AB837" s="50">
        <f>P837*K837</f>
        <v/>
      </c>
      <c r="AC837" s="50">
        <f>Q837*K837</f>
        <v/>
      </c>
      <c r="AD837" s="50">
        <f>R837*K837</f>
        <v/>
      </c>
      <c r="AE837" s="50">
        <f>S837*K837</f>
        <v/>
      </c>
      <c r="AF837" s="50">
        <f>T837*K837</f>
        <v/>
      </c>
      <c r="AG837" s="50">
        <f>U837*K837</f>
        <v/>
      </c>
      <c r="AH837" s="50">
        <f>V837*K837</f>
        <v/>
      </c>
      <c r="AI837" s="50">
        <f>W837*K837</f>
        <v/>
      </c>
    </row>
    <row r="838">
      <c r="A838" s="25" t="n"/>
      <c r="B838" s="45">
        <f>IF(A838="","",IFERROR(INDEX(Mitarbeiter!$B$6:$B$205,MATCH($A838,Mitarbeiter!$A$6:$A$205,0)),"?"))</f>
        <v/>
      </c>
      <c r="C838" s="46" t="n"/>
      <c r="D838" s="26" t="n"/>
      <c r="E838" s="26" t="n"/>
      <c r="F838" s="24">
        <f>IF(A838="","",SUM(L838:W838))</f>
        <v/>
      </c>
      <c r="G838" s="36">
        <f>IF(A838="","",SUM(X838:AI838))</f>
        <v/>
      </c>
      <c r="H838" s="8">
        <f>IF(A838="","",IF(ISNA(MATCH(A838,Mitarbeiter!$A$6:$A$205,0)),"Pers.-Nr. unbekannt",IF(D838="","Von fehlt",IF(AND(C838&lt;&gt;Einstellungen!$C$4,C838&lt;&gt;Einstellungen!$C$5),"Objekt fehlt",IF(J838&lt;D838,"Bis vor Von",IF(D838&lt;INDEX(Mitarbeiter!$C$6:$C$205,MATCH($A838,Mitarbeiter!$A$6:$A$205,0)),"vor Eintritt",IF(AND(INDEX(Mitarbeiter!$D$6:$D$205,MATCH($A838,Mitarbeiter!$A$6:$A$205,0))&lt;&gt;"",D838&gt;INDEX(Mitarbeiter!$D$6:$D$205,MATCH($A838,Mitarbeiter!$A$6:$A$205,0))),"nach Austritt",IF(E838="","offen","ok"))))))))</f>
        <v/>
      </c>
      <c r="J838" s="47">
        <f>IF(A838="","",IF(E838="",Einstellungen!$C$9,E838))</f>
        <v/>
      </c>
      <c r="K838" s="48">
        <f>IF(A838="",0,IFERROR(INDEX(Mitarbeiter!$F$6:$F$205,MATCH($A838,Mitarbeiter!$A$6:$A$205,0)),0))</f>
        <v/>
      </c>
      <c r="L838" s="49">
        <f>IF(OR(A838="",D838=""),0,MAX(0,NETWORKDAYS(MAX(D838,DATE(Einstellungen!$C$3,1,1)),MIN(J838,DATE(Einstellungen!$C$3,2,0)),Einstellungen!$F$13:$F$32)))</f>
        <v/>
      </c>
      <c r="M838" s="49">
        <f>IF(OR(A838="",D838=""),0,MAX(0,NETWORKDAYS(MAX(D838,DATE(Einstellungen!$C$3,2,1)),MIN(J838,DATE(Einstellungen!$C$3,3,0)),Einstellungen!$F$13:$F$32)))</f>
        <v/>
      </c>
      <c r="N838" s="49">
        <f>IF(OR(A838="",D838=""),0,MAX(0,NETWORKDAYS(MAX(D838,DATE(Einstellungen!$C$3,3,1)),MIN(J838,DATE(Einstellungen!$C$3,4,0)),Einstellungen!$F$13:$F$32)))</f>
        <v/>
      </c>
      <c r="O838" s="49">
        <f>IF(OR(A838="",D838=""),0,MAX(0,NETWORKDAYS(MAX(D838,DATE(Einstellungen!$C$3,4,1)),MIN(J838,DATE(Einstellungen!$C$3,5,0)),Einstellungen!$F$13:$F$32)))</f>
        <v/>
      </c>
      <c r="P838" s="49">
        <f>IF(OR(A838="",D838=""),0,MAX(0,NETWORKDAYS(MAX(D838,DATE(Einstellungen!$C$3,5,1)),MIN(J838,DATE(Einstellungen!$C$3,6,0)),Einstellungen!$F$13:$F$32)))</f>
        <v/>
      </c>
      <c r="Q838" s="49">
        <f>IF(OR(A838="",D838=""),0,MAX(0,NETWORKDAYS(MAX(D838,DATE(Einstellungen!$C$3,6,1)),MIN(J838,DATE(Einstellungen!$C$3,7,0)),Einstellungen!$F$13:$F$32)))</f>
        <v/>
      </c>
      <c r="R838" s="49">
        <f>IF(OR(A838="",D838=""),0,MAX(0,NETWORKDAYS(MAX(D838,DATE(Einstellungen!$C$3,7,1)),MIN(J838,DATE(Einstellungen!$C$3,8,0)),Einstellungen!$F$13:$F$32)))</f>
        <v/>
      </c>
      <c r="S838" s="49">
        <f>IF(OR(A838="",D838=""),0,MAX(0,NETWORKDAYS(MAX(D838,DATE(Einstellungen!$C$3,8,1)),MIN(J838,DATE(Einstellungen!$C$3,9,0)),Einstellungen!$F$13:$F$32)))</f>
        <v/>
      </c>
      <c r="T838" s="49">
        <f>IF(OR(A838="",D838=""),0,MAX(0,NETWORKDAYS(MAX(D838,DATE(Einstellungen!$C$3,9,1)),MIN(J838,DATE(Einstellungen!$C$3,10,0)),Einstellungen!$F$13:$F$32)))</f>
        <v/>
      </c>
      <c r="U838" s="49">
        <f>IF(OR(A838="",D838=""),0,MAX(0,NETWORKDAYS(MAX(D838,DATE(Einstellungen!$C$3,10,1)),MIN(J838,DATE(Einstellungen!$C$3,11,0)),Einstellungen!$F$13:$F$32)))</f>
        <v/>
      </c>
      <c r="V838" s="49">
        <f>IF(OR(A838="",D838=""),0,MAX(0,NETWORKDAYS(MAX(D838,DATE(Einstellungen!$C$3,11,1)),MIN(J838,DATE(Einstellungen!$C$3,12,0)),Einstellungen!$F$13:$F$32)))</f>
        <v/>
      </c>
      <c r="W838" s="49">
        <f>IF(OR(A838="",D838=""),0,MAX(0,NETWORKDAYS(MAX(D838,DATE(Einstellungen!$C$3,12,1)),MIN(J838,DATE(Einstellungen!$C$3,13,0)),Einstellungen!$F$13:$F$32)))</f>
        <v/>
      </c>
      <c r="X838" s="50">
        <f>L838*K838</f>
        <v/>
      </c>
      <c r="Y838" s="50">
        <f>M838*K838</f>
        <v/>
      </c>
      <c r="Z838" s="50">
        <f>N838*K838</f>
        <v/>
      </c>
      <c r="AA838" s="50">
        <f>O838*K838</f>
        <v/>
      </c>
      <c r="AB838" s="50">
        <f>P838*K838</f>
        <v/>
      </c>
      <c r="AC838" s="50">
        <f>Q838*K838</f>
        <v/>
      </c>
      <c r="AD838" s="50">
        <f>R838*K838</f>
        <v/>
      </c>
      <c r="AE838" s="50">
        <f>S838*K838</f>
        <v/>
      </c>
      <c r="AF838" s="50">
        <f>T838*K838</f>
        <v/>
      </c>
      <c r="AG838" s="50">
        <f>U838*K838</f>
        <v/>
      </c>
      <c r="AH838" s="50">
        <f>V838*K838</f>
        <v/>
      </c>
      <c r="AI838" s="50">
        <f>W838*K838</f>
        <v/>
      </c>
    </row>
    <row r="839">
      <c r="A839" s="25" t="n"/>
      <c r="B839" s="45">
        <f>IF(A839="","",IFERROR(INDEX(Mitarbeiter!$B$6:$B$205,MATCH($A839,Mitarbeiter!$A$6:$A$205,0)),"?"))</f>
        <v/>
      </c>
      <c r="C839" s="46" t="n"/>
      <c r="D839" s="26" t="n"/>
      <c r="E839" s="26" t="n"/>
      <c r="F839" s="24">
        <f>IF(A839="","",SUM(L839:W839))</f>
        <v/>
      </c>
      <c r="G839" s="36">
        <f>IF(A839="","",SUM(X839:AI839))</f>
        <v/>
      </c>
      <c r="H839" s="8">
        <f>IF(A839="","",IF(ISNA(MATCH(A839,Mitarbeiter!$A$6:$A$205,0)),"Pers.-Nr. unbekannt",IF(D839="","Von fehlt",IF(AND(C839&lt;&gt;Einstellungen!$C$4,C839&lt;&gt;Einstellungen!$C$5),"Objekt fehlt",IF(J839&lt;D839,"Bis vor Von",IF(D839&lt;INDEX(Mitarbeiter!$C$6:$C$205,MATCH($A839,Mitarbeiter!$A$6:$A$205,0)),"vor Eintritt",IF(AND(INDEX(Mitarbeiter!$D$6:$D$205,MATCH($A839,Mitarbeiter!$A$6:$A$205,0))&lt;&gt;"",D839&gt;INDEX(Mitarbeiter!$D$6:$D$205,MATCH($A839,Mitarbeiter!$A$6:$A$205,0))),"nach Austritt",IF(E839="","offen","ok"))))))))</f>
        <v/>
      </c>
      <c r="J839" s="47">
        <f>IF(A839="","",IF(E839="",Einstellungen!$C$9,E839))</f>
        <v/>
      </c>
      <c r="K839" s="48">
        <f>IF(A839="",0,IFERROR(INDEX(Mitarbeiter!$F$6:$F$205,MATCH($A839,Mitarbeiter!$A$6:$A$205,0)),0))</f>
        <v/>
      </c>
      <c r="L839" s="49">
        <f>IF(OR(A839="",D839=""),0,MAX(0,NETWORKDAYS(MAX(D839,DATE(Einstellungen!$C$3,1,1)),MIN(J839,DATE(Einstellungen!$C$3,2,0)),Einstellungen!$F$13:$F$32)))</f>
        <v/>
      </c>
      <c r="M839" s="49">
        <f>IF(OR(A839="",D839=""),0,MAX(0,NETWORKDAYS(MAX(D839,DATE(Einstellungen!$C$3,2,1)),MIN(J839,DATE(Einstellungen!$C$3,3,0)),Einstellungen!$F$13:$F$32)))</f>
        <v/>
      </c>
      <c r="N839" s="49">
        <f>IF(OR(A839="",D839=""),0,MAX(0,NETWORKDAYS(MAX(D839,DATE(Einstellungen!$C$3,3,1)),MIN(J839,DATE(Einstellungen!$C$3,4,0)),Einstellungen!$F$13:$F$32)))</f>
        <v/>
      </c>
      <c r="O839" s="49">
        <f>IF(OR(A839="",D839=""),0,MAX(0,NETWORKDAYS(MAX(D839,DATE(Einstellungen!$C$3,4,1)),MIN(J839,DATE(Einstellungen!$C$3,5,0)),Einstellungen!$F$13:$F$32)))</f>
        <v/>
      </c>
      <c r="P839" s="49">
        <f>IF(OR(A839="",D839=""),0,MAX(0,NETWORKDAYS(MAX(D839,DATE(Einstellungen!$C$3,5,1)),MIN(J839,DATE(Einstellungen!$C$3,6,0)),Einstellungen!$F$13:$F$32)))</f>
        <v/>
      </c>
      <c r="Q839" s="49">
        <f>IF(OR(A839="",D839=""),0,MAX(0,NETWORKDAYS(MAX(D839,DATE(Einstellungen!$C$3,6,1)),MIN(J839,DATE(Einstellungen!$C$3,7,0)),Einstellungen!$F$13:$F$32)))</f>
        <v/>
      </c>
      <c r="R839" s="49">
        <f>IF(OR(A839="",D839=""),0,MAX(0,NETWORKDAYS(MAX(D839,DATE(Einstellungen!$C$3,7,1)),MIN(J839,DATE(Einstellungen!$C$3,8,0)),Einstellungen!$F$13:$F$32)))</f>
        <v/>
      </c>
      <c r="S839" s="49">
        <f>IF(OR(A839="",D839=""),0,MAX(0,NETWORKDAYS(MAX(D839,DATE(Einstellungen!$C$3,8,1)),MIN(J839,DATE(Einstellungen!$C$3,9,0)),Einstellungen!$F$13:$F$32)))</f>
        <v/>
      </c>
      <c r="T839" s="49">
        <f>IF(OR(A839="",D839=""),0,MAX(0,NETWORKDAYS(MAX(D839,DATE(Einstellungen!$C$3,9,1)),MIN(J839,DATE(Einstellungen!$C$3,10,0)),Einstellungen!$F$13:$F$32)))</f>
        <v/>
      </c>
      <c r="U839" s="49">
        <f>IF(OR(A839="",D839=""),0,MAX(0,NETWORKDAYS(MAX(D839,DATE(Einstellungen!$C$3,10,1)),MIN(J839,DATE(Einstellungen!$C$3,11,0)),Einstellungen!$F$13:$F$32)))</f>
        <v/>
      </c>
      <c r="V839" s="49">
        <f>IF(OR(A839="",D839=""),0,MAX(0,NETWORKDAYS(MAX(D839,DATE(Einstellungen!$C$3,11,1)),MIN(J839,DATE(Einstellungen!$C$3,12,0)),Einstellungen!$F$13:$F$32)))</f>
        <v/>
      </c>
      <c r="W839" s="49">
        <f>IF(OR(A839="",D839=""),0,MAX(0,NETWORKDAYS(MAX(D839,DATE(Einstellungen!$C$3,12,1)),MIN(J839,DATE(Einstellungen!$C$3,13,0)),Einstellungen!$F$13:$F$32)))</f>
        <v/>
      </c>
      <c r="X839" s="50">
        <f>L839*K839</f>
        <v/>
      </c>
      <c r="Y839" s="50">
        <f>M839*K839</f>
        <v/>
      </c>
      <c r="Z839" s="50">
        <f>N839*K839</f>
        <v/>
      </c>
      <c r="AA839" s="50">
        <f>O839*K839</f>
        <v/>
      </c>
      <c r="AB839" s="50">
        <f>P839*K839</f>
        <v/>
      </c>
      <c r="AC839" s="50">
        <f>Q839*K839</f>
        <v/>
      </c>
      <c r="AD839" s="50">
        <f>R839*K839</f>
        <v/>
      </c>
      <c r="AE839" s="50">
        <f>S839*K839</f>
        <v/>
      </c>
      <c r="AF839" s="50">
        <f>T839*K839</f>
        <v/>
      </c>
      <c r="AG839" s="50">
        <f>U839*K839</f>
        <v/>
      </c>
      <c r="AH839" s="50">
        <f>V839*K839</f>
        <v/>
      </c>
      <c r="AI839" s="50">
        <f>W839*K839</f>
        <v/>
      </c>
    </row>
    <row r="840">
      <c r="A840" s="25" t="n"/>
      <c r="B840" s="45">
        <f>IF(A840="","",IFERROR(INDEX(Mitarbeiter!$B$6:$B$205,MATCH($A840,Mitarbeiter!$A$6:$A$205,0)),"?"))</f>
        <v/>
      </c>
      <c r="C840" s="46" t="n"/>
      <c r="D840" s="26" t="n"/>
      <c r="E840" s="26" t="n"/>
      <c r="F840" s="24">
        <f>IF(A840="","",SUM(L840:W840))</f>
        <v/>
      </c>
      <c r="G840" s="36">
        <f>IF(A840="","",SUM(X840:AI840))</f>
        <v/>
      </c>
      <c r="H840" s="8">
        <f>IF(A840="","",IF(ISNA(MATCH(A840,Mitarbeiter!$A$6:$A$205,0)),"Pers.-Nr. unbekannt",IF(D840="","Von fehlt",IF(AND(C840&lt;&gt;Einstellungen!$C$4,C840&lt;&gt;Einstellungen!$C$5),"Objekt fehlt",IF(J840&lt;D840,"Bis vor Von",IF(D840&lt;INDEX(Mitarbeiter!$C$6:$C$205,MATCH($A840,Mitarbeiter!$A$6:$A$205,0)),"vor Eintritt",IF(AND(INDEX(Mitarbeiter!$D$6:$D$205,MATCH($A840,Mitarbeiter!$A$6:$A$205,0))&lt;&gt;"",D840&gt;INDEX(Mitarbeiter!$D$6:$D$205,MATCH($A840,Mitarbeiter!$A$6:$A$205,0))),"nach Austritt",IF(E840="","offen","ok"))))))))</f>
        <v/>
      </c>
      <c r="J840" s="47">
        <f>IF(A840="","",IF(E840="",Einstellungen!$C$9,E840))</f>
        <v/>
      </c>
      <c r="K840" s="48">
        <f>IF(A840="",0,IFERROR(INDEX(Mitarbeiter!$F$6:$F$205,MATCH($A840,Mitarbeiter!$A$6:$A$205,0)),0))</f>
        <v/>
      </c>
      <c r="L840" s="49">
        <f>IF(OR(A840="",D840=""),0,MAX(0,NETWORKDAYS(MAX(D840,DATE(Einstellungen!$C$3,1,1)),MIN(J840,DATE(Einstellungen!$C$3,2,0)),Einstellungen!$F$13:$F$32)))</f>
        <v/>
      </c>
      <c r="M840" s="49">
        <f>IF(OR(A840="",D840=""),0,MAX(0,NETWORKDAYS(MAX(D840,DATE(Einstellungen!$C$3,2,1)),MIN(J840,DATE(Einstellungen!$C$3,3,0)),Einstellungen!$F$13:$F$32)))</f>
        <v/>
      </c>
      <c r="N840" s="49">
        <f>IF(OR(A840="",D840=""),0,MAX(0,NETWORKDAYS(MAX(D840,DATE(Einstellungen!$C$3,3,1)),MIN(J840,DATE(Einstellungen!$C$3,4,0)),Einstellungen!$F$13:$F$32)))</f>
        <v/>
      </c>
      <c r="O840" s="49">
        <f>IF(OR(A840="",D840=""),0,MAX(0,NETWORKDAYS(MAX(D840,DATE(Einstellungen!$C$3,4,1)),MIN(J840,DATE(Einstellungen!$C$3,5,0)),Einstellungen!$F$13:$F$32)))</f>
        <v/>
      </c>
      <c r="P840" s="49">
        <f>IF(OR(A840="",D840=""),0,MAX(0,NETWORKDAYS(MAX(D840,DATE(Einstellungen!$C$3,5,1)),MIN(J840,DATE(Einstellungen!$C$3,6,0)),Einstellungen!$F$13:$F$32)))</f>
        <v/>
      </c>
      <c r="Q840" s="49">
        <f>IF(OR(A840="",D840=""),0,MAX(0,NETWORKDAYS(MAX(D840,DATE(Einstellungen!$C$3,6,1)),MIN(J840,DATE(Einstellungen!$C$3,7,0)),Einstellungen!$F$13:$F$32)))</f>
        <v/>
      </c>
      <c r="R840" s="49">
        <f>IF(OR(A840="",D840=""),0,MAX(0,NETWORKDAYS(MAX(D840,DATE(Einstellungen!$C$3,7,1)),MIN(J840,DATE(Einstellungen!$C$3,8,0)),Einstellungen!$F$13:$F$32)))</f>
        <v/>
      </c>
      <c r="S840" s="49">
        <f>IF(OR(A840="",D840=""),0,MAX(0,NETWORKDAYS(MAX(D840,DATE(Einstellungen!$C$3,8,1)),MIN(J840,DATE(Einstellungen!$C$3,9,0)),Einstellungen!$F$13:$F$32)))</f>
        <v/>
      </c>
      <c r="T840" s="49">
        <f>IF(OR(A840="",D840=""),0,MAX(0,NETWORKDAYS(MAX(D840,DATE(Einstellungen!$C$3,9,1)),MIN(J840,DATE(Einstellungen!$C$3,10,0)),Einstellungen!$F$13:$F$32)))</f>
        <v/>
      </c>
      <c r="U840" s="49">
        <f>IF(OR(A840="",D840=""),0,MAX(0,NETWORKDAYS(MAX(D840,DATE(Einstellungen!$C$3,10,1)),MIN(J840,DATE(Einstellungen!$C$3,11,0)),Einstellungen!$F$13:$F$32)))</f>
        <v/>
      </c>
      <c r="V840" s="49">
        <f>IF(OR(A840="",D840=""),0,MAX(0,NETWORKDAYS(MAX(D840,DATE(Einstellungen!$C$3,11,1)),MIN(J840,DATE(Einstellungen!$C$3,12,0)),Einstellungen!$F$13:$F$32)))</f>
        <v/>
      </c>
      <c r="W840" s="49">
        <f>IF(OR(A840="",D840=""),0,MAX(0,NETWORKDAYS(MAX(D840,DATE(Einstellungen!$C$3,12,1)),MIN(J840,DATE(Einstellungen!$C$3,13,0)),Einstellungen!$F$13:$F$32)))</f>
        <v/>
      </c>
      <c r="X840" s="50">
        <f>L840*K840</f>
        <v/>
      </c>
      <c r="Y840" s="50">
        <f>M840*K840</f>
        <v/>
      </c>
      <c r="Z840" s="50">
        <f>N840*K840</f>
        <v/>
      </c>
      <c r="AA840" s="50">
        <f>O840*K840</f>
        <v/>
      </c>
      <c r="AB840" s="50">
        <f>P840*K840</f>
        <v/>
      </c>
      <c r="AC840" s="50">
        <f>Q840*K840</f>
        <v/>
      </c>
      <c r="AD840" s="50">
        <f>R840*K840</f>
        <v/>
      </c>
      <c r="AE840" s="50">
        <f>S840*K840</f>
        <v/>
      </c>
      <c r="AF840" s="50">
        <f>T840*K840</f>
        <v/>
      </c>
      <c r="AG840" s="50">
        <f>U840*K840</f>
        <v/>
      </c>
      <c r="AH840" s="50">
        <f>V840*K840</f>
        <v/>
      </c>
      <c r="AI840" s="50">
        <f>W840*K840</f>
        <v/>
      </c>
    </row>
    <row r="841">
      <c r="A841" s="25" t="n"/>
      <c r="B841" s="45">
        <f>IF(A841="","",IFERROR(INDEX(Mitarbeiter!$B$6:$B$205,MATCH($A841,Mitarbeiter!$A$6:$A$205,0)),"?"))</f>
        <v/>
      </c>
      <c r="C841" s="46" t="n"/>
      <c r="D841" s="26" t="n"/>
      <c r="E841" s="26" t="n"/>
      <c r="F841" s="24">
        <f>IF(A841="","",SUM(L841:W841))</f>
        <v/>
      </c>
      <c r="G841" s="36">
        <f>IF(A841="","",SUM(X841:AI841))</f>
        <v/>
      </c>
      <c r="H841" s="8">
        <f>IF(A841="","",IF(ISNA(MATCH(A841,Mitarbeiter!$A$6:$A$205,0)),"Pers.-Nr. unbekannt",IF(D841="","Von fehlt",IF(AND(C841&lt;&gt;Einstellungen!$C$4,C841&lt;&gt;Einstellungen!$C$5),"Objekt fehlt",IF(J841&lt;D841,"Bis vor Von",IF(D841&lt;INDEX(Mitarbeiter!$C$6:$C$205,MATCH($A841,Mitarbeiter!$A$6:$A$205,0)),"vor Eintritt",IF(AND(INDEX(Mitarbeiter!$D$6:$D$205,MATCH($A841,Mitarbeiter!$A$6:$A$205,0))&lt;&gt;"",D841&gt;INDEX(Mitarbeiter!$D$6:$D$205,MATCH($A841,Mitarbeiter!$A$6:$A$205,0))),"nach Austritt",IF(E841="","offen","ok"))))))))</f>
        <v/>
      </c>
      <c r="J841" s="47">
        <f>IF(A841="","",IF(E841="",Einstellungen!$C$9,E841))</f>
        <v/>
      </c>
      <c r="K841" s="48">
        <f>IF(A841="",0,IFERROR(INDEX(Mitarbeiter!$F$6:$F$205,MATCH($A841,Mitarbeiter!$A$6:$A$205,0)),0))</f>
        <v/>
      </c>
      <c r="L841" s="49">
        <f>IF(OR(A841="",D841=""),0,MAX(0,NETWORKDAYS(MAX(D841,DATE(Einstellungen!$C$3,1,1)),MIN(J841,DATE(Einstellungen!$C$3,2,0)),Einstellungen!$F$13:$F$32)))</f>
        <v/>
      </c>
      <c r="M841" s="49">
        <f>IF(OR(A841="",D841=""),0,MAX(0,NETWORKDAYS(MAX(D841,DATE(Einstellungen!$C$3,2,1)),MIN(J841,DATE(Einstellungen!$C$3,3,0)),Einstellungen!$F$13:$F$32)))</f>
        <v/>
      </c>
      <c r="N841" s="49">
        <f>IF(OR(A841="",D841=""),0,MAX(0,NETWORKDAYS(MAX(D841,DATE(Einstellungen!$C$3,3,1)),MIN(J841,DATE(Einstellungen!$C$3,4,0)),Einstellungen!$F$13:$F$32)))</f>
        <v/>
      </c>
      <c r="O841" s="49">
        <f>IF(OR(A841="",D841=""),0,MAX(0,NETWORKDAYS(MAX(D841,DATE(Einstellungen!$C$3,4,1)),MIN(J841,DATE(Einstellungen!$C$3,5,0)),Einstellungen!$F$13:$F$32)))</f>
        <v/>
      </c>
      <c r="P841" s="49">
        <f>IF(OR(A841="",D841=""),0,MAX(0,NETWORKDAYS(MAX(D841,DATE(Einstellungen!$C$3,5,1)),MIN(J841,DATE(Einstellungen!$C$3,6,0)),Einstellungen!$F$13:$F$32)))</f>
        <v/>
      </c>
      <c r="Q841" s="49">
        <f>IF(OR(A841="",D841=""),0,MAX(0,NETWORKDAYS(MAX(D841,DATE(Einstellungen!$C$3,6,1)),MIN(J841,DATE(Einstellungen!$C$3,7,0)),Einstellungen!$F$13:$F$32)))</f>
        <v/>
      </c>
      <c r="R841" s="49">
        <f>IF(OR(A841="",D841=""),0,MAX(0,NETWORKDAYS(MAX(D841,DATE(Einstellungen!$C$3,7,1)),MIN(J841,DATE(Einstellungen!$C$3,8,0)),Einstellungen!$F$13:$F$32)))</f>
        <v/>
      </c>
      <c r="S841" s="49">
        <f>IF(OR(A841="",D841=""),0,MAX(0,NETWORKDAYS(MAX(D841,DATE(Einstellungen!$C$3,8,1)),MIN(J841,DATE(Einstellungen!$C$3,9,0)),Einstellungen!$F$13:$F$32)))</f>
        <v/>
      </c>
      <c r="T841" s="49">
        <f>IF(OR(A841="",D841=""),0,MAX(0,NETWORKDAYS(MAX(D841,DATE(Einstellungen!$C$3,9,1)),MIN(J841,DATE(Einstellungen!$C$3,10,0)),Einstellungen!$F$13:$F$32)))</f>
        <v/>
      </c>
      <c r="U841" s="49">
        <f>IF(OR(A841="",D841=""),0,MAX(0,NETWORKDAYS(MAX(D841,DATE(Einstellungen!$C$3,10,1)),MIN(J841,DATE(Einstellungen!$C$3,11,0)),Einstellungen!$F$13:$F$32)))</f>
        <v/>
      </c>
      <c r="V841" s="49">
        <f>IF(OR(A841="",D841=""),0,MAX(0,NETWORKDAYS(MAX(D841,DATE(Einstellungen!$C$3,11,1)),MIN(J841,DATE(Einstellungen!$C$3,12,0)),Einstellungen!$F$13:$F$32)))</f>
        <v/>
      </c>
      <c r="W841" s="49">
        <f>IF(OR(A841="",D841=""),0,MAX(0,NETWORKDAYS(MAX(D841,DATE(Einstellungen!$C$3,12,1)),MIN(J841,DATE(Einstellungen!$C$3,13,0)),Einstellungen!$F$13:$F$32)))</f>
        <v/>
      </c>
      <c r="X841" s="50">
        <f>L841*K841</f>
        <v/>
      </c>
      <c r="Y841" s="50">
        <f>M841*K841</f>
        <v/>
      </c>
      <c r="Z841" s="50">
        <f>N841*K841</f>
        <v/>
      </c>
      <c r="AA841" s="50">
        <f>O841*K841</f>
        <v/>
      </c>
      <c r="AB841" s="50">
        <f>P841*K841</f>
        <v/>
      </c>
      <c r="AC841" s="50">
        <f>Q841*K841</f>
        <v/>
      </c>
      <c r="AD841" s="50">
        <f>R841*K841</f>
        <v/>
      </c>
      <c r="AE841" s="50">
        <f>S841*K841</f>
        <v/>
      </c>
      <c r="AF841" s="50">
        <f>T841*K841</f>
        <v/>
      </c>
      <c r="AG841" s="50">
        <f>U841*K841</f>
        <v/>
      </c>
      <c r="AH841" s="50">
        <f>V841*K841</f>
        <v/>
      </c>
      <c r="AI841" s="50">
        <f>W841*K841</f>
        <v/>
      </c>
    </row>
    <row r="842">
      <c r="A842" s="25" t="n"/>
      <c r="B842" s="45">
        <f>IF(A842="","",IFERROR(INDEX(Mitarbeiter!$B$6:$B$205,MATCH($A842,Mitarbeiter!$A$6:$A$205,0)),"?"))</f>
        <v/>
      </c>
      <c r="C842" s="46" t="n"/>
      <c r="D842" s="26" t="n"/>
      <c r="E842" s="26" t="n"/>
      <c r="F842" s="24">
        <f>IF(A842="","",SUM(L842:W842))</f>
        <v/>
      </c>
      <c r="G842" s="36">
        <f>IF(A842="","",SUM(X842:AI842))</f>
        <v/>
      </c>
      <c r="H842" s="8">
        <f>IF(A842="","",IF(ISNA(MATCH(A842,Mitarbeiter!$A$6:$A$205,0)),"Pers.-Nr. unbekannt",IF(D842="","Von fehlt",IF(AND(C842&lt;&gt;Einstellungen!$C$4,C842&lt;&gt;Einstellungen!$C$5),"Objekt fehlt",IF(J842&lt;D842,"Bis vor Von",IF(D842&lt;INDEX(Mitarbeiter!$C$6:$C$205,MATCH($A842,Mitarbeiter!$A$6:$A$205,0)),"vor Eintritt",IF(AND(INDEX(Mitarbeiter!$D$6:$D$205,MATCH($A842,Mitarbeiter!$A$6:$A$205,0))&lt;&gt;"",D842&gt;INDEX(Mitarbeiter!$D$6:$D$205,MATCH($A842,Mitarbeiter!$A$6:$A$205,0))),"nach Austritt",IF(E842="","offen","ok"))))))))</f>
        <v/>
      </c>
      <c r="J842" s="47">
        <f>IF(A842="","",IF(E842="",Einstellungen!$C$9,E842))</f>
        <v/>
      </c>
      <c r="K842" s="48">
        <f>IF(A842="",0,IFERROR(INDEX(Mitarbeiter!$F$6:$F$205,MATCH($A842,Mitarbeiter!$A$6:$A$205,0)),0))</f>
        <v/>
      </c>
      <c r="L842" s="49">
        <f>IF(OR(A842="",D842=""),0,MAX(0,NETWORKDAYS(MAX(D842,DATE(Einstellungen!$C$3,1,1)),MIN(J842,DATE(Einstellungen!$C$3,2,0)),Einstellungen!$F$13:$F$32)))</f>
        <v/>
      </c>
      <c r="M842" s="49">
        <f>IF(OR(A842="",D842=""),0,MAX(0,NETWORKDAYS(MAX(D842,DATE(Einstellungen!$C$3,2,1)),MIN(J842,DATE(Einstellungen!$C$3,3,0)),Einstellungen!$F$13:$F$32)))</f>
        <v/>
      </c>
      <c r="N842" s="49">
        <f>IF(OR(A842="",D842=""),0,MAX(0,NETWORKDAYS(MAX(D842,DATE(Einstellungen!$C$3,3,1)),MIN(J842,DATE(Einstellungen!$C$3,4,0)),Einstellungen!$F$13:$F$32)))</f>
        <v/>
      </c>
      <c r="O842" s="49">
        <f>IF(OR(A842="",D842=""),0,MAX(0,NETWORKDAYS(MAX(D842,DATE(Einstellungen!$C$3,4,1)),MIN(J842,DATE(Einstellungen!$C$3,5,0)),Einstellungen!$F$13:$F$32)))</f>
        <v/>
      </c>
      <c r="P842" s="49">
        <f>IF(OR(A842="",D842=""),0,MAX(0,NETWORKDAYS(MAX(D842,DATE(Einstellungen!$C$3,5,1)),MIN(J842,DATE(Einstellungen!$C$3,6,0)),Einstellungen!$F$13:$F$32)))</f>
        <v/>
      </c>
      <c r="Q842" s="49">
        <f>IF(OR(A842="",D842=""),0,MAX(0,NETWORKDAYS(MAX(D842,DATE(Einstellungen!$C$3,6,1)),MIN(J842,DATE(Einstellungen!$C$3,7,0)),Einstellungen!$F$13:$F$32)))</f>
        <v/>
      </c>
      <c r="R842" s="49">
        <f>IF(OR(A842="",D842=""),0,MAX(0,NETWORKDAYS(MAX(D842,DATE(Einstellungen!$C$3,7,1)),MIN(J842,DATE(Einstellungen!$C$3,8,0)),Einstellungen!$F$13:$F$32)))</f>
        <v/>
      </c>
      <c r="S842" s="49">
        <f>IF(OR(A842="",D842=""),0,MAX(0,NETWORKDAYS(MAX(D842,DATE(Einstellungen!$C$3,8,1)),MIN(J842,DATE(Einstellungen!$C$3,9,0)),Einstellungen!$F$13:$F$32)))</f>
        <v/>
      </c>
      <c r="T842" s="49">
        <f>IF(OR(A842="",D842=""),0,MAX(0,NETWORKDAYS(MAX(D842,DATE(Einstellungen!$C$3,9,1)),MIN(J842,DATE(Einstellungen!$C$3,10,0)),Einstellungen!$F$13:$F$32)))</f>
        <v/>
      </c>
      <c r="U842" s="49">
        <f>IF(OR(A842="",D842=""),0,MAX(0,NETWORKDAYS(MAX(D842,DATE(Einstellungen!$C$3,10,1)),MIN(J842,DATE(Einstellungen!$C$3,11,0)),Einstellungen!$F$13:$F$32)))</f>
        <v/>
      </c>
      <c r="V842" s="49">
        <f>IF(OR(A842="",D842=""),0,MAX(0,NETWORKDAYS(MAX(D842,DATE(Einstellungen!$C$3,11,1)),MIN(J842,DATE(Einstellungen!$C$3,12,0)),Einstellungen!$F$13:$F$32)))</f>
        <v/>
      </c>
      <c r="W842" s="49">
        <f>IF(OR(A842="",D842=""),0,MAX(0,NETWORKDAYS(MAX(D842,DATE(Einstellungen!$C$3,12,1)),MIN(J842,DATE(Einstellungen!$C$3,13,0)),Einstellungen!$F$13:$F$32)))</f>
        <v/>
      </c>
      <c r="X842" s="50">
        <f>L842*K842</f>
        <v/>
      </c>
      <c r="Y842" s="50">
        <f>M842*K842</f>
        <v/>
      </c>
      <c r="Z842" s="50">
        <f>N842*K842</f>
        <v/>
      </c>
      <c r="AA842" s="50">
        <f>O842*K842</f>
        <v/>
      </c>
      <c r="AB842" s="50">
        <f>P842*K842</f>
        <v/>
      </c>
      <c r="AC842" s="50">
        <f>Q842*K842</f>
        <v/>
      </c>
      <c r="AD842" s="50">
        <f>R842*K842</f>
        <v/>
      </c>
      <c r="AE842" s="50">
        <f>S842*K842</f>
        <v/>
      </c>
      <c r="AF842" s="50">
        <f>T842*K842</f>
        <v/>
      </c>
      <c r="AG842" s="50">
        <f>U842*K842</f>
        <v/>
      </c>
      <c r="AH842" s="50">
        <f>V842*K842</f>
        <v/>
      </c>
      <c r="AI842" s="50">
        <f>W842*K842</f>
        <v/>
      </c>
    </row>
    <row r="843">
      <c r="A843" s="25" t="n"/>
      <c r="B843" s="45">
        <f>IF(A843="","",IFERROR(INDEX(Mitarbeiter!$B$6:$B$205,MATCH($A843,Mitarbeiter!$A$6:$A$205,0)),"?"))</f>
        <v/>
      </c>
      <c r="C843" s="46" t="n"/>
      <c r="D843" s="26" t="n"/>
      <c r="E843" s="26" t="n"/>
      <c r="F843" s="24">
        <f>IF(A843="","",SUM(L843:W843))</f>
        <v/>
      </c>
      <c r="G843" s="36">
        <f>IF(A843="","",SUM(X843:AI843))</f>
        <v/>
      </c>
      <c r="H843" s="8">
        <f>IF(A843="","",IF(ISNA(MATCH(A843,Mitarbeiter!$A$6:$A$205,0)),"Pers.-Nr. unbekannt",IF(D843="","Von fehlt",IF(AND(C843&lt;&gt;Einstellungen!$C$4,C843&lt;&gt;Einstellungen!$C$5),"Objekt fehlt",IF(J843&lt;D843,"Bis vor Von",IF(D843&lt;INDEX(Mitarbeiter!$C$6:$C$205,MATCH($A843,Mitarbeiter!$A$6:$A$205,0)),"vor Eintritt",IF(AND(INDEX(Mitarbeiter!$D$6:$D$205,MATCH($A843,Mitarbeiter!$A$6:$A$205,0))&lt;&gt;"",D843&gt;INDEX(Mitarbeiter!$D$6:$D$205,MATCH($A843,Mitarbeiter!$A$6:$A$205,0))),"nach Austritt",IF(E843="","offen","ok"))))))))</f>
        <v/>
      </c>
      <c r="J843" s="47">
        <f>IF(A843="","",IF(E843="",Einstellungen!$C$9,E843))</f>
        <v/>
      </c>
      <c r="K843" s="48">
        <f>IF(A843="",0,IFERROR(INDEX(Mitarbeiter!$F$6:$F$205,MATCH($A843,Mitarbeiter!$A$6:$A$205,0)),0))</f>
        <v/>
      </c>
      <c r="L843" s="49">
        <f>IF(OR(A843="",D843=""),0,MAX(0,NETWORKDAYS(MAX(D843,DATE(Einstellungen!$C$3,1,1)),MIN(J843,DATE(Einstellungen!$C$3,2,0)),Einstellungen!$F$13:$F$32)))</f>
        <v/>
      </c>
      <c r="M843" s="49">
        <f>IF(OR(A843="",D843=""),0,MAX(0,NETWORKDAYS(MAX(D843,DATE(Einstellungen!$C$3,2,1)),MIN(J843,DATE(Einstellungen!$C$3,3,0)),Einstellungen!$F$13:$F$32)))</f>
        <v/>
      </c>
      <c r="N843" s="49">
        <f>IF(OR(A843="",D843=""),0,MAX(0,NETWORKDAYS(MAX(D843,DATE(Einstellungen!$C$3,3,1)),MIN(J843,DATE(Einstellungen!$C$3,4,0)),Einstellungen!$F$13:$F$32)))</f>
        <v/>
      </c>
      <c r="O843" s="49">
        <f>IF(OR(A843="",D843=""),0,MAX(0,NETWORKDAYS(MAX(D843,DATE(Einstellungen!$C$3,4,1)),MIN(J843,DATE(Einstellungen!$C$3,5,0)),Einstellungen!$F$13:$F$32)))</f>
        <v/>
      </c>
      <c r="P843" s="49">
        <f>IF(OR(A843="",D843=""),0,MAX(0,NETWORKDAYS(MAX(D843,DATE(Einstellungen!$C$3,5,1)),MIN(J843,DATE(Einstellungen!$C$3,6,0)),Einstellungen!$F$13:$F$32)))</f>
        <v/>
      </c>
      <c r="Q843" s="49">
        <f>IF(OR(A843="",D843=""),0,MAX(0,NETWORKDAYS(MAX(D843,DATE(Einstellungen!$C$3,6,1)),MIN(J843,DATE(Einstellungen!$C$3,7,0)),Einstellungen!$F$13:$F$32)))</f>
        <v/>
      </c>
      <c r="R843" s="49">
        <f>IF(OR(A843="",D843=""),0,MAX(0,NETWORKDAYS(MAX(D843,DATE(Einstellungen!$C$3,7,1)),MIN(J843,DATE(Einstellungen!$C$3,8,0)),Einstellungen!$F$13:$F$32)))</f>
        <v/>
      </c>
      <c r="S843" s="49">
        <f>IF(OR(A843="",D843=""),0,MAX(0,NETWORKDAYS(MAX(D843,DATE(Einstellungen!$C$3,8,1)),MIN(J843,DATE(Einstellungen!$C$3,9,0)),Einstellungen!$F$13:$F$32)))</f>
        <v/>
      </c>
      <c r="T843" s="49">
        <f>IF(OR(A843="",D843=""),0,MAX(0,NETWORKDAYS(MAX(D843,DATE(Einstellungen!$C$3,9,1)),MIN(J843,DATE(Einstellungen!$C$3,10,0)),Einstellungen!$F$13:$F$32)))</f>
        <v/>
      </c>
      <c r="U843" s="49">
        <f>IF(OR(A843="",D843=""),0,MAX(0,NETWORKDAYS(MAX(D843,DATE(Einstellungen!$C$3,10,1)),MIN(J843,DATE(Einstellungen!$C$3,11,0)),Einstellungen!$F$13:$F$32)))</f>
        <v/>
      </c>
      <c r="V843" s="49">
        <f>IF(OR(A843="",D843=""),0,MAX(0,NETWORKDAYS(MAX(D843,DATE(Einstellungen!$C$3,11,1)),MIN(J843,DATE(Einstellungen!$C$3,12,0)),Einstellungen!$F$13:$F$32)))</f>
        <v/>
      </c>
      <c r="W843" s="49">
        <f>IF(OR(A843="",D843=""),0,MAX(0,NETWORKDAYS(MAX(D843,DATE(Einstellungen!$C$3,12,1)),MIN(J843,DATE(Einstellungen!$C$3,13,0)),Einstellungen!$F$13:$F$32)))</f>
        <v/>
      </c>
      <c r="X843" s="50">
        <f>L843*K843</f>
        <v/>
      </c>
      <c r="Y843" s="50">
        <f>M843*K843</f>
        <v/>
      </c>
      <c r="Z843" s="50">
        <f>N843*K843</f>
        <v/>
      </c>
      <c r="AA843" s="50">
        <f>O843*K843</f>
        <v/>
      </c>
      <c r="AB843" s="50">
        <f>P843*K843</f>
        <v/>
      </c>
      <c r="AC843" s="50">
        <f>Q843*K843</f>
        <v/>
      </c>
      <c r="AD843" s="50">
        <f>R843*K843</f>
        <v/>
      </c>
      <c r="AE843" s="50">
        <f>S843*K843</f>
        <v/>
      </c>
      <c r="AF843" s="50">
        <f>T843*K843</f>
        <v/>
      </c>
      <c r="AG843" s="50">
        <f>U843*K843</f>
        <v/>
      </c>
      <c r="AH843" s="50">
        <f>V843*K843</f>
        <v/>
      </c>
      <c r="AI843" s="50">
        <f>W843*K843</f>
        <v/>
      </c>
    </row>
    <row r="844">
      <c r="A844" s="25" t="n"/>
      <c r="B844" s="45">
        <f>IF(A844="","",IFERROR(INDEX(Mitarbeiter!$B$6:$B$205,MATCH($A844,Mitarbeiter!$A$6:$A$205,0)),"?"))</f>
        <v/>
      </c>
      <c r="C844" s="46" t="n"/>
      <c r="D844" s="26" t="n"/>
      <c r="E844" s="26" t="n"/>
      <c r="F844" s="24">
        <f>IF(A844="","",SUM(L844:W844))</f>
        <v/>
      </c>
      <c r="G844" s="36">
        <f>IF(A844="","",SUM(X844:AI844))</f>
        <v/>
      </c>
      <c r="H844" s="8">
        <f>IF(A844="","",IF(ISNA(MATCH(A844,Mitarbeiter!$A$6:$A$205,0)),"Pers.-Nr. unbekannt",IF(D844="","Von fehlt",IF(AND(C844&lt;&gt;Einstellungen!$C$4,C844&lt;&gt;Einstellungen!$C$5),"Objekt fehlt",IF(J844&lt;D844,"Bis vor Von",IF(D844&lt;INDEX(Mitarbeiter!$C$6:$C$205,MATCH($A844,Mitarbeiter!$A$6:$A$205,0)),"vor Eintritt",IF(AND(INDEX(Mitarbeiter!$D$6:$D$205,MATCH($A844,Mitarbeiter!$A$6:$A$205,0))&lt;&gt;"",D844&gt;INDEX(Mitarbeiter!$D$6:$D$205,MATCH($A844,Mitarbeiter!$A$6:$A$205,0))),"nach Austritt",IF(E844="","offen","ok"))))))))</f>
        <v/>
      </c>
      <c r="J844" s="47">
        <f>IF(A844="","",IF(E844="",Einstellungen!$C$9,E844))</f>
        <v/>
      </c>
      <c r="K844" s="48">
        <f>IF(A844="",0,IFERROR(INDEX(Mitarbeiter!$F$6:$F$205,MATCH($A844,Mitarbeiter!$A$6:$A$205,0)),0))</f>
        <v/>
      </c>
      <c r="L844" s="49">
        <f>IF(OR(A844="",D844=""),0,MAX(0,NETWORKDAYS(MAX(D844,DATE(Einstellungen!$C$3,1,1)),MIN(J844,DATE(Einstellungen!$C$3,2,0)),Einstellungen!$F$13:$F$32)))</f>
        <v/>
      </c>
      <c r="M844" s="49">
        <f>IF(OR(A844="",D844=""),0,MAX(0,NETWORKDAYS(MAX(D844,DATE(Einstellungen!$C$3,2,1)),MIN(J844,DATE(Einstellungen!$C$3,3,0)),Einstellungen!$F$13:$F$32)))</f>
        <v/>
      </c>
      <c r="N844" s="49">
        <f>IF(OR(A844="",D844=""),0,MAX(0,NETWORKDAYS(MAX(D844,DATE(Einstellungen!$C$3,3,1)),MIN(J844,DATE(Einstellungen!$C$3,4,0)),Einstellungen!$F$13:$F$32)))</f>
        <v/>
      </c>
      <c r="O844" s="49">
        <f>IF(OR(A844="",D844=""),0,MAX(0,NETWORKDAYS(MAX(D844,DATE(Einstellungen!$C$3,4,1)),MIN(J844,DATE(Einstellungen!$C$3,5,0)),Einstellungen!$F$13:$F$32)))</f>
        <v/>
      </c>
      <c r="P844" s="49">
        <f>IF(OR(A844="",D844=""),0,MAX(0,NETWORKDAYS(MAX(D844,DATE(Einstellungen!$C$3,5,1)),MIN(J844,DATE(Einstellungen!$C$3,6,0)),Einstellungen!$F$13:$F$32)))</f>
        <v/>
      </c>
      <c r="Q844" s="49">
        <f>IF(OR(A844="",D844=""),0,MAX(0,NETWORKDAYS(MAX(D844,DATE(Einstellungen!$C$3,6,1)),MIN(J844,DATE(Einstellungen!$C$3,7,0)),Einstellungen!$F$13:$F$32)))</f>
        <v/>
      </c>
      <c r="R844" s="49">
        <f>IF(OR(A844="",D844=""),0,MAX(0,NETWORKDAYS(MAX(D844,DATE(Einstellungen!$C$3,7,1)),MIN(J844,DATE(Einstellungen!$C$3,8,0)),Einstellungen!$F$13:$F$32)))</f>
        <v/>
      </c>
      <c r="S844" s="49">
        <f>IF(OR(A844="",D844=""),0,MAX(0,NETWORKDAYS(MAX(D844,DATE(Einstellungen!$C$3,8,1)),MIN(J844,DATE(Einstellungen!$C$3,9,0)),Einstellungen!$F$13:$F$32)))</f>
        <v/>
      </c>
      <c r="T844" s="49">
        <f>IF(OR(A844="",D844=""),0,MAX(0,NETWORKDAYS(MAX(D844,DATE(Einstellungen!$C$3,9,1)),MIN(J844,DATE(Einstellungen!$C$3,10,0)),Einstellungen!$F$13:$F$32)))</f>
        <v/>
      </c>
      <c r="U844" s="49">
        <f>IF(OR(A844="",D844=""),0,MAX(0,NETWORKDAYS(MAX(D844,DATE(Einstellungen!$C$3,10,1)),MIN(J844,DATE(Einstellungen!$C$3,11,0)),Einstellungen!$F$13:$F$32)))</f>
        <v/>
      </c>
      <c r="V844" s="49">
        <f>IF(OR(A844="",D844=""),0,MAX(0,NETWORKDAYS(MAX(D844,DATE(Einstellungen!$C$3,11,1)),MIN(J844,DATE(Einstellungen!$C$3,12,0)),Einstellungen!$F$13:$F$32)))</f>
        <v/>
      </c>
      <c r="W844" s="49">
        <f>IF(OR(A844="",D844=""),0,MAX(0,NETWORKDAYS(MAX(D844,DATE(Einstellungen!$C$3,12,1)),MIN(J844,DATE(Einstellungen!$C$3,13,0)),Einstellungen!$F$13:$F$32)))</f>
        <v/>
      </c>
      <c r="X844" s="50">
        <f>L844*K844</f>
        <v/>
      </c>
      <c r="Y844" s="50">
        <f>M844*K844</f>
        <v/>
      </c>
      <c r="Z844" s="50">
        <f>N844*K844</f>
        <v/>
      </c>
      <c r="AA844" s="50">
        <f>O844*K844</f>
        <v/>
      </c>
      <c r="AB844" s="50">
        <f>P844*K844</f>
        <v/>
      </c>
      <c r="AC844" s="50">
        <f>Q844*K844</f>
        <v/>
      </c>
      <c r="AD844" s="50">
        <f>R844*K844</f>
        <v/>
      </c>
      <c r="AE844" s="50">
        <f>S844*K844</f>
        <v/>
      </c>
      <c r="AF844" s="50">
        <f>T844*K844</f>
        <v/>
      </c>
      <c r="AG844" s="50">
        <f>U844*K844</f>
        <v/>
      </c>
      <c r="AH844" s="50">
        <f>V844*K844</f>
        <v/>
      </c>
      <c r="AI844" s="50">
        <f>W844*K844</f>
        <v/>
      </c>
    </row>
    <row r="845">
      <c r="A845" s="25" t="n"/>
      <c r="B845" s="45">
        <f>IF(A845="","",IFERROR(INDEX(Mitarbeiter!$B$6:$B$205,MATCH($A845,Mitarbeiter!$A$6:$A$205,0)),"?"))</f>
        <v/>
      </c>
      <c r="C845" s="46" t="n"/>
      <c r="D845" s="26" t="n"/>
      <c r="E845" s="26" t="n"/>
      <c r="F845" s="24">
        <f>IF(A845="","",SUM(L845:W845))</f>
        <v/>
      </c>
      <c r="G845" s="36">
        <f>IF(A845="","",SUM(X845:AI845))</f>
        <v/>
      </c>
      <c r="H845" s="8">
        <f>IF(A845="","",IF(ISNA(MATCH(A845,Mitarbeiter!$A$6:$A$205,0)),"Pers.-Nr. unbekannt",IF(D845="","Von fehlt",IF(AND(C845&lt;&gt;Einstellungen!$C$4,C845&lt;&gt;Einstellungen!$C$5),"Objekt fehlt",IF(J845&lt;D845,"Bis vor Von",IF(D845&lt;INDEX(Mitarbeiter!$C$6:$C$205,MATCH($A845,Mitarbeiter!$A$6:$A$205,0)),"vor Eintritt",IF(AND(INDEX(Mitarbeiter!$D$6:$D$205,MATCH($A845,Mitarbeiter!$A$6:$A$205,0))&lt;&gt;"",D845&gt;INDEX(Mitarbeiter!$D$6:$D$205,MATCH($A845,Mitarbeiter!$A$6:$A$205,0))),"nach Austritt",IF(E845="","offen","ok"))))))))</f>
        <v/>
      </c>
      <c r="J845" s="47">
        <f>IF(A845="","",IF(E845="",Einstellungen!$C$9,E845))</f>
        <v/>
      </c>
      <c r="K845" s="48">
        <f>IF(A845="",0,IFERROR(INDEX(Mitarbeiter!$F$6:$F$205,MATCH($A845,Mitarbeiter!$A$6:$A$205,0)),0))</f>
        <v/>
      </c>
      <c r="L845" s="49">
        <f>IF(OR(A845="",D845=""),0,MAX(0,NETWORKDAYS(MAX(D845,DATE(Einstellungen!$C$3,1,1)),MIN(J845,DATE(Einstellungen!$C$3,2,0)),Einstellungen!$F$13:$F$32)))</f>
        <v/>
      </c>
      <c r="M845" s="49">
        <f>IF(OR(A845="",D845=""),0,MAX(0,NETWORKDAYS(MAX(D845,DATE(Einstellungen!$C$3,2,1)),MIN(J845,DATE(Einstellungen!$C$3,3,0)),Einstellungen!$F$13:$F$32)))</f>
        <v/>
      </c>
      <c r="N845" s="49">
        <f>IF(OR(A845="",D845=""),0,MAX(0,NETWORKDAYS(MAX(D845,DATE(Einstellungen!$C$3,3,1)),MIN(J845,DATE(Einstellungen!$C$3,4,0)),Einstellungen!$F$13:$F$32)))</f>
        <v/>
      </c>
      <c r="O845" s="49">
        <f>IF(OR(A845="",D845=""),0,MAX(0,NETWORKDAYS(MAX(D845,DATE(Einstellungen!$C$3,4,1)),MIN(J845,DATE(Einstellungen!$C$3,5,0)),Einstellungen!$F$13:$F$32)))</f>
        <v/>
      </c>
      <c r="P845" s="49">
        <f>IF(OR(A845="",D845=""),0,MAX(0,NETWORKDAYS(MAX(D845,DATE(Einstellungen!$C$3,5,1)),MIN(J845,DATE(Einstellungen!$C$3,6,0)),Einstellungen!$F$13:$F$32)))</f>
        <v/>
      </c>
      <c r="Q845" s="49">
        <f>IF(OR(A845="",D845=""),0,MAX(0,NETWORKDAYS(MAX(D845,DATE(Einstellungen!$C$3,6,1)),MIN(J845,DATE(Einstellungen!$C$3,7,0)),Einstellungen!$F$13:$F$32)))</f>
        <v/>
      </c>
      <c r="R845" s="49">
        <f>IF(OR(A845="",D845=""),0,MAX(0,NETWORKDAYS(MAX(D845,DATE(Einstellungen!$C$3,7,1)),MIN(J845,DATE(Einstellungen!$C$3,8,0)),Einstellungen!$F$13:$F$32)))</f>
        <v/>
      </c>
      <c r="S845" s="49">
        <f>IF(OR(A845="",D845=""),0,MAX(0,NETWORKDAYS(MAX(D845,DATE(Einstellungen!$C$3,8,1)),MIN(J845,DATE(Einstellungen!$C$3,9,0)),Einstellungen!$F$13:$F$32)))</f>
        <v/>
      </c>
      <c r="T845" s="49">
        <f>IF(OR(A845="",D845=""),0,MAX(0,NETWORKDAYS(MAX(D845,DATE(Einstellungen!$C$3,9,1)),MIN(J845,DATE(Einstellungen!$C$3,10,0)),Einstellungen!$F$13:$F$32)))</f>
        <v/>
      </c>
      <c r="U845" s="49">
        <f>IF(OR(A845="",D845=""),0,MAX(0,NETWORKDAYS(MAX(D845,DATE(Einstellungen!$C$3,10,1)),MIN(J845,DATE(Einstellungen!$C$3,11,0)),Einstellungen!$F$13:$F$32)))</f>
        <v/>
      </c>
      <c r="V845" s="49">
        <f>IF(OR(A845="",D845=""),0,MAX(0,NETWORKDAYS(MAX(D845,DATE(Einstellungen!$C$3,11,1)),MIN(J845,DATE(Einstellungen!$C$3,12,0)),Einstellungen!$F$13:$F$32)))</f>
        <v/>
      </c>
      <c r="W845" s="49">
        <f>IF(OR(A845="",D845=""),0,MAX(0,NETWORKDAYS(MAX(D845,DATE(Einstellungen!$C$3,12,1)),MIN(J845,DATE(Einstellungen!$C$3,13,0)),Einstellungen!$F$13:$F$32)))</f>
        <v/>
      </c>
      <c r="X845" s="50">
        <f>L845*K845</f>
        <v/>
      </c>
      <c r="Y845" s="50">
        <f>M845*K845</f>
        <v/>
      </c>
      <c r="Z845" s="50">
        <f>N845*K845</f>
        <v/>
      </c>
      <c r="AA845" s="50">
        <f>O845*K845</f>
        <v/>
      </c>
      <c r="AB845" s="50">
        <f>P845*K845</f>
        <v/>
      </c>
      <c r="AC845" s="50">
        <f>Q845*K845</f>
        <v/>
      </c>
      <c r="AD845" s="50">
        <f>R845*K845</f>
        <v/>
      </c>
      <c r="AE845" s="50">
        <f>S845*K845</f>
        <v/>
      </c>
      <c r="AF845" s="50">
        <f>T845*K845</f>
        <v/>
      </c>
      <c r="AG845" s="50">
        <f>U845*K845</f>
        <v/>
      </c>
      <c r="AH845" s="50">
        <f>V845*K845</f>
        <v/>
      </c>
      <c r="AI845" s="50">
        <f>W845*K845</f>
        <v/>
      </c>
    </row>
    <row r="846">
      <c r="A846" s="25" t="n"/>
      <c r="B846" s="45">
        <f>IF(A846="","",IFERROR(INDEX(Mitarbeiter!$B$6:$B$205,MATCH($A846,Mitarbeiter!$A$6:$A$205,0)),"?"))</f>
        <v/>
      </c>
      <c r="C846" s="46" t="n"/>
      <c r="D846" s="26" t="n"/>
      <c r="E846" s="26" t="n"/>
      <c r="F846" s="24">
        <f>IF(A846="","",SUM(L846:W846))</f>
        <v/>
      </c>
      <c r="G846" s="36">
        <f>IF(A846="","",SUM(X846:AI846))</f>
        <v/>
      </c>
      <c r="H846" s="8">
        <f>IF(A846="","",IF(ISNA(MATCH(A846,Mitarbeiter!$A$6:$A$205,0)),"Pers.-Nr. unbekannt",IF(D846="","Von fehlt",IF(AND(C846&lt;&gt;Einstellungen!$C$4,C846&lt;&gt;Einstellungen!$C$5),"Objekt fehlt",IF(J846&lt;D846,"Bis vor Von",IF(D846&lt;INDEX(Mitarbeiter!$C$6:$C$205,MATCH($A846,Mitarbeiter!$A$6:$A$205,0)),"vor Eintritt",IF(AND(INDEX(Mitarbeiter!$D$6:$D$205,MATCH($A846,Mitarbeiter!$A$6:$A$205,0))&lt;&gt;"",D846&gt;INDEX(Mitarbeiter!$D$6:$D$205,MATCH($A846,Mitarbeiter!$A$6:$A$205,0))),"nach Austritt",IF(E846="","offen","ok"))))))))</f>
        <v/>
      </c>
      <c r="J846" s="47">
        <f>IF(A846="","",IF(E846="",Einstellungen!$C$9,E846))</f>
        <v/>
      </c>
      <c r="K846" s="48">
        <f>IF(A846="",0,IFERROR(INDEX(Mitarbeiter!$F$6:$F$205,MATCH($A846,Mitarbeiter!$A$6:$A$205,0)),0))</f>
        <v/>
      </c>
      <c r="L846" s="49">
        <f>IF(OR(A846="",D846=""),0,MAX(0,NETWORKDAYS(MAX(D846,DATE(Einstellungen!$C$3,1,1)),MIN(J846,DATE(Einstellungen!$C$3,2,0)),Einstellungen!$F$13:$F$32)))</f>
        <v/>
      </c>
      <c r="M846" s="49">
        <f>IF(OR(A846="",D846=""),0,MAX(0,NETWORKDAYS(MAX(D846,DATE(Einstellungen!$C$3,2,1)),MIN(J846,DATE(Einstellungen!$C$3,3,0)),Einstellungen!$F$13:$F$32)))</f>
        <v/>
      </c>
      <c r="N846" s="49">
        <f>IF(OR(A846="",D846=""),0,MAX(0,NETWORKDAYS(MAX(D846,DATE(Einstellungen!$C$3,3,1)),MIN(J846,DATE(Einstellungen!$C$3,4,0)),Einstellungen!$F$13:$F$32)))</f>
        <v/>
      </c>
      <c r="O846" s="49">
        <f>IF(OR(A846="",D846=""),0,MAX(0,NETWORKDAYS(MAX(D846,DATE(Einstellungen!$C$3,4,1)),MIN(J846,DATE(Einstellungen!$C$3,5,0)),Einstellungen!$F$13:$F$32)))</f>
        <v/>
      </c>
      <c r="P846" s="49">
        <f>IF(OR(A846="",D846=""),0,MAX(0,NETWORKDAYS(MAX(D846,DATE(Einstellungen!$C$3,5,1)),MIN(J846,DATE(Einstellungen!$C$3,6,0)),Einstellungen!$F$13:$F$32)))</f>
        <v/>
      </c>
      <c r="Q846" s="49">
        <f>IF(OR(A846="",D846=""),0,MAX(0,NETWORKDAYS(MAX(D846,DATE(Einstellungen!$C$3,6,1)),MIN(J846,DATE(Einstellungen!$C$3,7,0)),Einstellungen!$F$13:$F$32)))</f>
        <v/>
      </c>
      <c r="R846" s="49">
        <f>IF(OR(A846="",D846=""),0,MAX(0,NETWORKDAYS(MAX(D846,DATE(Einstellungen!$C$3,7,1)),MIN(J846,DATE(Einstellungen!$C$3,8,0)),Einstellungen!$F$13:$F$32)))</f>
        <v/>
      </c>
      <c r="S846" s="49">
        <f>IF(OR(A846="",D846=""),0,MAX(0,NETWORKDAYS(MAX(D846,DATE(Einstellungen!$C$3,8,1)),MIN(J846,DATE(Einstellungen!$C$3,9,0)),Einstellungen!$F$13:$F$32)))</f>
        <v/>
      </c>
      <c r="T846" s="49">
        <f>IF(OR(A846="",D846=""),0,MAX(0,NETWORKDAYS(MAX(D846,DATE(Einstellungen!$C$3,9,1)),MIN(J846,DATE(Einstellungen!$C$3,10,0)),Einstellungen!$F$13:$F$32)))</f>
        <v/>
      </c>
      <c r="U846" s="49">
        <f>IF(OR(A846="",D846=""),0,MAX(0,NETWORKDAYS(MAX(D846,DATE(Einstellungen!$C$3,10,1)),MIN(J846,DATE(Einstellungen!$C$3,11,0)),Einstellungen!$F$13:$F$32)))</f>
        <v/>
      </c>
      <c r="V846" s="49">
        <f>IF(OR(A846="",D846=""),0,MAX(0,NETWORKDAYS(MAX(D846,DATE(Einstellungen!$C$3,11,1)),MIN(J846,DATE(Einstellungen!$C$3,12,0)),Einstellungen!$F$13:$F$32)))</f>
        <v/>
      </c>
      <c r="W846" s="49">
        <f>IF(OR(A846="",D846=""),0,MAX(0,NETWORKDAYS(MAX(D846,DATE(Einstellungen!$C$3,12,1)),MIN(J846,DATE(Einstellungen!$C$3,13,0)),Einstellungen!$F$13:$F$32)))</f>
        <v/>
      </c>
      <c r="X846" s="50">
        <f>L846*K846</f>
        <v/>
      </c>
      <c r="Y846" s="50">
        <f>M846*K846</f>
        <v/>
      </c>
      <c r="Z846" s="50">
        <f>N846*K846</f>
        <v/>
      </c>
      <c r="AA846" s="50">
        <f>O846*K846</f>
        <v/>
      </c>
      <c r="AB846" s="50">
        <f>P846*K846</f>
        <v/>
      </c>
      <c r="AC846" s="50">
        <f>Q846*K846</f>
        <v/>
      </c>
      <c r="AD846" s="50">
        <f>R846*K846</f>
        <v/>
      </c>
      <c r="AE846" s="50">
        <f>S846*K846</f>
        <v/>
      </c>
      <c r="AF846" s="50">
        <f>T846*K846</f>
        <v/>
      </c>
      <c r="AG846" s="50">
        <f>U846*K846</f>
        <v/>
      </c>
      <c r="AH846" s="50">
        <f>V846*K846</f>
        <v/>
      </c>
      <c r="AI846" s="50">
        <f>W846*K846</f>
        <v/>
      </c>
    </row>
    <row r="847">
      <c r="A847" s="25" t="n"/>
      <c r="B847" s="45">
        <f>IF(A847="","",IFERROR(INDEX(Mitarbeiter!$B$6:$B$205,MATCH($A847,Mitarbeiter!$A$6:$A$205,0)),"?"))</f>
        <v/>
      </c>
      <c r="C847" s="46" t="n"/>
      <c r="D847" s="26" t="n"/>
      <c r="E847" s="26" t="n"/>
      <c r="F847" s="24">
        <f>IF(A847="","",SUM(L847:W847))</f>
        <v/>
      </c>
      <c r="G847" s="36">
        <f>IF(A847="","",SUM(X847:AI847))</f>
        <v/>
      </c>
      <c r="H847" s="8">
        <f>IF(A847="","",IF(ISNA(MATCH(A847,Mitarbeiter!$A$6:$A$205,0)),"Pers.-Nr. unbekannt",IF(D847="","Von fehlt",IF(AND(C847&lt;&gt;Einstellungen!$C$4,C847&lt;&gt;Einstellungen!$C$5),"Objekt fehlt",IF(J847&lt;D847,"Bis vor Von",IF(D847&lt;INDEX(Mitarbeiter!$C$6:$C$205,MATCH($A847,Mitarbeiter!$A$6:$A$205,0)),"vor Eintritt",IF(AND(INDEX(Mitarbeiter!$D$6:$D$205,MATCH($A847,Mitarbeiter!$A$6:$A$205,0))&lt;&gt;"",D847&gt;INDEX(Mitarbeiter!$D$6:$D$205,MATCH($A847,Mitarbeiter!$A$6:$A$205,0))),"nach Austritt",IF(E847="","offen","ok"))))))))</f>
        <v/>
      </c>
      <c r="J847" s="47">
        <f>IF(A847="","",IF(E847="",Einstellungen!$C$9,E847))</f>
        <v/>
      </c>
      <c r="K847" s="48">
        <f>IF(A847="",0,IFERROR(INDEX(Mitarbeiter!$F$6:$F$205,MATCH($A847,Mitarbeiter!$A$6:$A$205,0)),0))</f>
        <v/>
      </c>
      <c r="L847" s="49">
        <f>IF(OR(A847="",D847=""),0,MAX(0,NETWORKDAYS(MAX(D847,DATE(Einstellungen!$C$3,1,1)),MIN(J847,DATE(Einstellungen!$C$3,2,0)),Einstellungen!$F$13:$F$32)))</f>
        <v/>
      </c>
      <c r="M847" s="49">
        <f>IF(OR(A847="",D847=""),0,MAX(0,NETWORKDAYS(MAX(D847,DATE(Einstellungen!$C$3,2,1)),MIN(J847,DATE(Einstellungen!$C$3,3,0)),Einstellungen!$F$13:$F$32)))</f>
        <v/>
      </c>
      <c r="N847" s="49">
        <f>IF(OR(A847="",D847=""),0,MAX(0,NETWORKDAYS(MAX(D847,DATE(Einstellungen!$C$3,3,1)),MIN(J847,DATE(Einstellungen!$C$3,4,0)),Einstellungen!$F$13:$F$32)))</f>
        <v/>
      </c>
      <c r="O847" s="49">
        <f>IF(OR(A847="",D847=""),0,MAX(0,NETWORKDAYS(MAX(D847,DATE(Einstellungen!$C$3,4,1)),MIN(J847,DATE(Einstellungen!$C$3,5,0)),Einstellungen!$F$13:$F$32)))</f>
        <v/>
      </c>
      <c r="P847" s="49">
        <f>IF(OR(A847="",D847=""),0,MAX(0,NETWORKDAYS(MAX(D847,DATE(Einstellungen!$C$3,5,1)),MIN(J847,DATE(Einstellungen!$C$3,6,0)),Einstellungen!$F$13:$F$32)))</f>
        <v/>
      </c>
      <c r="Q847" s="49">
        <f>IF(OR(A847="",D847=""),0,MAX(0,NETWORKDAYS(MAX(D847,DATE(Einstellungen!$C$3,6,1)),MIN(J847,DATE(Einstellungen!$C$3,7,0)),Einstellungen!$F$13:$F$32)))</f>
        <v/>
      </c>
      <c r="R847" s="49">
        <f>IF(OR(A847="",D847=""),0,MAX(0,NETWORKDAYS(MAX(D847,DATE(Einstellungen!$C$3,7,1)),MIN(J847,DATE(Einstellungen!$C$3,8,0)),Einstellungen!$F$13:$F$32)))</f>
        <v/>
      </c>
      <c r="S847" s="49">
        <f>IF(OR(A847="",D847=""),0,MAX(0,NETWORKDAYS(MAX(D847,DATE(Einstellungen!$C$3,8,1)),MIN(J847,DATE(Einstellungen!$C$3,9,0)),Einstellungen!$F$13:$F$32)))</f>
        <v/>
      </c>
      <c r="T847" s="49">
        <f>IF(OR(A847="",D847=""),0,MAX(0,NETWORKDAYS(MAX(D847,DATE(Einstellungen!$C$3,9,1)),MIN(J847,DATE(Einstellungen!$C$3,10,0)),Einstellungen!$F$13:$F$32)))</f>
        <v/>
      </c>
      <c r="U847" s="49">
        <f>IF(OR(A847="",D847=""),0,MAX(0,NETWORKDAYS(MAX(D847,DATE(Einstellungen!$C$3,10,1)),MIN(J847,DATE(Einstellungen!$C$3,11,0)),Einstellungen!$F$13:$F$32)))</f>
        <v/>
      </c>
      <c r="V847" s="49">
        <f>IF(OR(A847="",D847=""),0,MAX(0,NETWORKDAYS(MAX(D847,DATE(Einstellungen!$C$3,11,1)),MIN(J847,DATE(Einstellungen!$C$3,12,0)),Einstellungen!$F$13:$F$32)))</f>
        <v/>
      </c>
      <c r="W847" s="49">
        <f>IF(OR(A847="",D847=""),0,MAX(0,NETWORKDAYS(MAX(D847,DATE(Einstellungen!$C$3,12,1)),MIN(J847,DATE(Einstellungen!$C$3,13,0)),Einstellungen!$F$13:$F$32)))</f>
        <v/>
      </c>
      <c r="X847" s="50">
        <f>L847*K847</f>
        <v/>
      </c>
      <c r="Y847" s="50">
        <f>M847*K847</f>
        <v/>
      </c>
      <c r="Z847" s="50">
        <f>N847*K847</f>
        <v/>
      </c>
      <c r="AA847" s="50">
        <f>O847*K847</f>
        <v/>
      </c>
      <c r="AB847" s="50">
        <f>P847*K847</f>
        <v/>
      </c>
      <c r="AC847" s="50">
        <f>Q847*K847</f>
        <v/>
      </c>
      <c r="AD847" s="50">
        <f>R847*K847</f>
        <v/>
      </c>
      <c r="AE847" s="50">
        <f>S847*K847</f>
        <v/>
      </c>
      <c r="AF847" s="50">
        <f>T847*K847</f>
        <v/>
      </c>
      <c r="AG847" s="50">
        <f>U847*K847</f>
        <v/>
      </c>
      <c r="AH847" s="50">
        <f>V847*K847</f>
        <v/>
      </c>
      <c r="AI847" s="50">
        <f>W847*K847</f>
        <v/>
      </c>
    </row>
    <row r="848">
      <c r="A848" s="25" t="n"/>
      <c r="B848" s="45">
        <f>IF(A848="","",IFERROR(INDEX(Mitarbeiter!$B$6:$B$205,MATCH($A848,Mitarbeiter!$A$6:$A$205,0)),"?"))</f>
        <v/>
      </c>
      <c r="C848" s="46" t="n"/>
      <c r="D848" s="26" t="n"/>
      <c r="E848" s="26" t="n"/>
      <c r="F848" s="24">
        <f>IF(A848="","",SUM(L848:W848))</f>
        <v/>
      </c>
      <c r="G848" s="36">
        <f>IF(A848="","",SUM(X848:AI848))</f>
        <v/>
      </c>
      <c r="H848" s="8">
        <f>IF(A848="","",IF(ISNA(MATCH(A848,Mitarbeiter!$A$6:$A$205,0)),"Pers.-Nr. unbekannt",IF(D848="","Von fehlt",IF(AND(C848&lt;&gt;Einstellungen!$C$4,C848&lt;&gt;Einstellungen!$C$5),"Objekt fehlt",IF(J848&lt;D848,"Bis vor Von",IF(D848&lt;INDEX(Mitarbeiter!$C$6:$C$205,MATCH($A848,Mitarbeiter!$A$6:$A$205,0)),"vor Eintritt",IF(AND(INDEX(Mitarbeiter!$D$6:$D$205,MATCH($A848,Mitarbeiter!$A$6:$A$205,0))&lt;&gt;"",D848&gt;INDEX(Mitarbeiter!$D$6:$D$205,MATCH($A848,Mitarbeiter!$A$6:$A$205,0))),"nach Austritt",IF(E848="","offen","ok"))))))))</f>
        <v/>
      </c>
      <c r="J848" s="47">
        <f>IF(A848="","",IF(E848="",Einstellungen!$C$9,E848))</f>
        <v/>
      </c>
      <c r="K848" s="48">
        <f>IF(A848="",0,IFERROR(INDEX(Mitarbeiter!$F$6:$F$205,MATCH($A848,Mitarbeiter!$A$6:$A$205,0)),0))</f>
        <v/>
      </c>
      <c r="L848" s="49">
        <f>IF(OR(A848="",D848=""),0,MAX(0,NETWORKDAYS(MAX(D848,DATE(Einstellungen!$C$3,1,1)),MIN(J848,DATE(Einstellungen!$C$3,2,0)),Einstellungen!$F$13:$F$32)))</f>
        <v/>
      </c>
      <c r="M848" s="49">
        <f>IF(OR(A848="",D848=""),0,MAX(0,NETWORKDAYS(MAX(D848,DATE(Einstellungen!$C$3,2,1)),MIN(J848,DATE(Einstellungen!$C$3,3,0)),Einstellungen!$F$13:$F$32)))</f>
        <v/>
      </c>
      <c r="N848" s="49">
        <f>IF(OR(A848="",D848=""),0,MAX(0,NETWORKDAYS(MAX(D848,DATE(Einstellungen!$C$3,3,1)),MIN(J848,DATE(Einstellungen!$C$3,4,0)),Einstellungen!$F$13:$F$32)))</f>
        <v/>
      </c>
      <c r="O848" s="49">
        <f>IF(OR(A848="",D848=""),0,MAX(0,NETWORKDAYS(MAX(D848,DATE(Einstellungen!$C$3,4,1)),MIN(J848,DATE(Einstellungen!$C$3,5,0)),Einstellungen!$F$13:$F$32)))</f>
        <v/>
      </c>
      <c r="P848" s="49">
        <f>IF(OR(A848="",D848=""),0,MAX(0,NETWORKDAYS(MAX(D848,DATE(Einstellungen!$C$3,5,1)),MIN(J848,DATE(Einstellungen!$C$3,6,0)),Einstellungen!$F$13:$F$32)))</f>
        <v/>
      </c>
      <c r="Q848" s="49">
        <f>IF(OR(A848="",D848=""),0,MAX(0,NETWORKDAYS(MAX(D848,DATE(Einstellungen!$C$3,6,1)),MIN(J848,DATE(Einstellungen!$C$3,7,0)),Einstellungen!$F$13:$F$32)))</f>
        <v/>
      </c>
      <c r="R848" s="49">
        <f>IF(OR(A848="",D848=""),0,MAX(0,NETWORKDAYS(MAX(D848,DATE(Einstellungen!$C$3,7,1)),MIN(J848,DATE(Einstellungen!$C$3,8,0)),Einstellungen!$F$13:$F$32)))</f>
        <v/>
      </c>
      <c r="S848" s="49">
        <f>IF(OR(A848="",D848=""),0,MAX(0,NETWORKDAYS(MAX(D848,DATE(Einstellungen!$C$3,8,1)),MIN(J848,DATE(Einstellungen!$C$3,9,0)),Einstellungen!$F$13:$F$32)))</f>
        <v/>
      </c>
      <c r="T848" s="49">
        <f>IF(OR(A848="",D848=""),0,MAX(0,NETWORKDAYS(MAX(D848,DATE(Einstellungen!$C$3,9,1)),MIN(J848,DATE(Einstellungen!$C$3,10,0)),Einstellungen!$F$13:$F$32)))</f>
        <v/>
      </c>
      <c r="U848" s="49">
        <f>IF(OR(A848="",D848=""),0,MAX(0,NETWORKDAYS(MAX(D848,DATE(Einstellungen!$C$3,10,1)),MIN(J848,DATE(Einstellungen!$C$3,11,0)),Einstellungen!$F$13:$F$32)))</f>
        <v/>
      </c>
      <c r="V848" s="49">
        <f>IF(OR(A848="",D848=""),0,MAX(0,NETWORKDAYS(MAX(D848,DATE(Einstellungen!$C$3,11,1)),MIN(J848,DATE(Einstellungen!$C$3,12,0)),Einstellungen!$F$13:$F$32)))</f>
        <v/>
      </c>
      <c r="W848" s="49">
        <f>IF(OR(A848="",D848=""),0,MAX(0,NETWORKDAYS(MAX(D848,DATE(Einstellungen!$C$3,12,1)),MIN(J848,DATE(Einstellungen!$C$3,13,0)),Einstellungen!$F$13:$F$32)))</f>
        <v/>
      </c>
      <c r="X848" s="50">
        <f>L848*K848</f>
        <v/>
      </c>
      <c r="Y848" s="50">
        <f>M848*K848</f>
        <v/>
      </c>
      <c r="Z848" s="50">
        <f>N848*K848</f>
        <v/>
      </c>
      <c r="AA848" s="50">
        <f>O848*K848</f>
        <v/>
      </c>
      <c r="AB848" s="50">
        <f>P848*K848</f>
        <v/>
      </c>
      <c r="AC848" s="50">
        <f>Q848*K848</f>
        <v/>
      </c>
      <c r="AD848" s="50">
        <f>R848*K848</f>
        <v/>
      </c>
      <c r="AE848" s="50">
        <f>S848*K848</f>
        <v/>
      </c>
      <c r="AF848" s="50">
        <f>T848*K848</f>
        <v/>
      </c>
      <c r="AG848" s="50">
        <f>U848*K848</f>
        <v/>
      </c>
      <c r="AH848" s="50">
        <f>V848*K848</f>
        <v/>
      </c>
      <c r="AI848" s="50">
        <f>W848*K848</f>
        <v/>
      </c>
    </row>
    <row r="849">
      <c r="A849" s="25" t="n"/>
      <c r="B849" s="45">
        <f>IF(A849="","",IFERROR(INDEX(Mitarbeiter!$B$6:$B$205,MATCH($A849,Mitarbeiter!$A$6:$A$205,0)),"?"))</f>
        <v/>
      </c>
      <c r="C849" s="46" t="n"/>
      <c r="D849" s="26" t="n"/>
      <c r="E849" s="26" t="n"/>
      <c r="F849" s="24">
        <f>IF(A849="","",SUM(L849:W849))</f>
        <v/>
      </c>
      <c r="G849" s="36">
        <f>IF(A849="","",SUM(X849:AI849))</f>
        <v/>
      </c>
      <c r="H849" s="8">
        <f>IF(A849="","",IF(ISNA(MATCH(A849,Mitarbeiter!$A$6:$A$205,0)),"Pers.-Nr. unbekannt",IF(D849="","Von fehlt",IF(AND(C849&lt;&gt;Einstellungen!$C$4,C849&lt;&gt;Einstellungen!$C$5),"Objekt fehlt",IF(J849&lt;D849,"Bis vor Von",IF(D849&lt;INDEX(Mitarbeiter!$C$6:$C$205,MATCH($A849,Mitarbeiter!$A$6:$A$205,0)),"vor Eintritt",IF(AND(INDEX(Mitarbeiter!$D$6:$D$205,MATCH($A849,Mitarbeiter!$A$6:$A$205,0))&lt;&gt;"",D849&gt;INDEX(Mitarbeiter!$D$6:$D$205,MATCH($A849,Mitarbeiter!$A$6:$A$205,0))),"nach Austritt",IF(E849="","offen","ok"))))))))</f>
        <v/>
      </c>
      <c r="J849" s="47">
        <f>IF(A849="","",IF(E849="",Einstellungen!$C$9,E849))</f>
        <v/>
      </c>
      <c r="K849" s="48">
        <f>IF(A849="",0,IFERROR(INDEX(Mitarbeiter!$F$6:$F$205,MATCH($A849,Mitarbeiter!$A$6:$A$205,0)),0))</f>
        <v/>
      </c>
      <c r="L849" s="49">
        <f>IF(OR(A849="",D849=""),0,MAX(0,NETWORKDAYS(MAX(D849,DATE(Einstellungen!$C$3,1,1)),MIN(J849,DATE(Einstellungen!$C$3,2,0)),Einstellungen!$F$13:$F$32)))</f>
        <v/>
      </c>
      <c r="M849" s="49">
        <f>IF(OR(A849="",D849=""),0,MAX(0,NETWORKDAYS(MAX(D849,DATE(Einstellungen!$C$3,2,1)),MIN(J849,DATE(Einstellungen!$C$3,3,0)),Einstellungen!$F$13:$F$32)))</f>
        <v/>
      </c>
      <c r="N849" s="49">
        <f>IF(OR(A849="",D849=""),0,MAX(0,NETWORKDAYS(MAX(D849,DATE(Einstellungen!$C$3,3,1)),MIN(J849,DATE(Einstellungen!$C$3,4,0)),Einstellungen!$F$13:$F$32)))</f>
        <v/>
      </c>
      <c r="O849" s="49">
        <f>IF(OR(A849="",D849=""),0,MAX(0,NETWORKDAYS(MAX(D849,DATE(Einstellungen!$C$3,4,1)),MIN(J849,DATE(Einstellungen!$C$3,5,0)),Einstellungen!$F$13:$F$32)))</f>
        <v/>
      </c>
      <c r="P849" s="49">
        <f>IF(OR(A849="",D849=""),0,MAX(0,NETWORKDAYS(MAX(D849,DATE(Einstellungen!$C$3,5,1)),MIN(J849,DATE(Einstellungen!$C$3,6,0)),Einstellungen!$F$13:$F$32)))</f>
        <v/>
      </c>
      <c r="Q849" s="49">
        <f>IF(OR(A849="",D849=""),0,MAX(0,NETWORKDAYS(MAX(D849,DATE(Einstellungen!$C$3,6,1)),MIN(J849,DATE(Einstellungen!$C$3,7,0)),Einstellungen!$F$13:$F$32)))</f>
        <v/>
      </c>
      <c r="R849" s="49">
        <f>IF(OR(A849="",D849=""),0,MAX(0,NETWORKDAYS(MAX(D849,DATE(Einstellungen!$C$3,7,1)),MIN(J849,DATE(Einstellungen!$C$3,8,0)),Einstellungen!$F$13:$F$32)))</f>
        <v/>
      </c>
      <c r="S849" s="49">
        <f>IF(OR(A849="",D849=""),0,MAX(0,NETWORKDAYS(MAX(D849,DATE(Einstellungen!$C$3,8,1)),MIN(J849,DATE(Einstellungen!$C$3,9,0)),Einstellungen!$F$13:$F$32)))</f>
        <v/>
      </c>
      <c r="T849" s="49">
        <f>IF(OR(A849="",D849=""),0,MAX(0,NETWORKDAYS(MAX(D849,DATE(Einstellungen!$C$3,9,1)),MIN(J849,DATE(Einstellungen!$C$3,10,0)),Einstellungen!$F$13:$F$32)))</f>
        <v/>
      </c>
      <c r="U849" s="49">
        <f>IF(OR(A849="",D849=""),0,MAX(0,NETWORKDAYS(MAX(D849,DATE(Einstellungen!$C$3,10,1)),MIN(J849,DATE(Einstellungen!$C$3,11,0)),Einstellungen!$F$13:$F$32)))</f>
        <v/>
      </c>
      <c r="V849" s="49">
        <f>IF(OR(A849="",D849=""),0,MAX(0,NETWORKDAYS(MAX(D849,DATE(Einstellungen!$C$3,11,1)),MIN(J849,DATE(Einstellungen!$C$3,12,0)),Einstellungen!$F$13:$F$32)))</f>
        <v/>
      </c>
      <c r="W849" s="49">
        <f>IF(OR(A849="",D849=""),0,MAX(0,NETWORKDAYS(MAX(D849,DATE(Einstellungen!$C$3,12,1)),MIN(J849,DATE(Einstellungen!$C$3,13,0)),Einstellungen!$F$13:$F$32)))</f>
        <v/>
      </c>
      <c r="X849" s="50">
        <f>L849*K849</f>
        <v/>
      </c>
      <c r="Y849" s="50">
        <f>M849*K849</f>
        <v/>
      </c>
      <c r="Z849" s="50">
        <f>N849*K849</f>
        <v/>
      </c>
      <c r="AA849" s="50">
        <f>O849*K849</f>
        <v/>
      </c>
      <c r="AB849" s="50">
        <f>P849*K849</f>
        <v/>
      </c>
      <c r="AC849" s="50">
        <f>Q849*K849</f>
        <v/>
      </c>
      <c r="AD849" s="50">
        <f>R849*K849</f>
        <v/>
      </c>
      <c r="AE849" s="50">
        <f>S849*K849</f>
        <v/>
      </c>
      <c r="AF849" s="50">
        <f>T849*K849</f>
        <v/>
      </c>
      <c r="AG849" s="50">
        <f>U849*K849</f>
        <v/>
      </c>
      <c r="AH849" s="50">
        <f>V849*K849</f>
        <v/>
      </c>
      <c r="AI849" s="50">
        <f>W849*K849</f>
        <v/>
      </c>
    </row>
    <row r="850">
      <c r="A850" s="25" t="n"/>
      <c r="B850" s="45">
        <f>IF(A850="","",IFERROR(INDEX(Mitarbeiter!$B$6:$B$205,MATCH($A850,Mitarbeiter!$A$6:$A$205,0)),"?"))</f>
        <v/>
      </c>
      <c r="C850" s="46" t="n"/>
      <c r="D850" s="26" t="n"/>
      <c r="E850" s="26" t="n"/>
      <c r="F850" s="24">
        <f>IF(A850="","",SUM(L850:W850))</f>
        <v/>
      </c>
      <c r="G850" s="36">
        <f>IF(A850="","",SUM(X850:AI850))</f>
        <v/>
      </c>
      <c r="H850" s="8">
        <f>IF(A850="","",IF(ISNA(MATCH(A850,Mitarbeiter!$A$6:$A$205,0)),"Pers.-Nr. unbekannt",IF(D850="","Von fehlt",IF(AND(C850&lt;&gt;Einstellungen!$C$4,C850&lt;&gt;Einstellungen!$C$5),"Objekt fehlt",IF(J850&lt;D850,"Bis vor Von",IF(D850&lt;INDEX(Mitarbeiter!$C$6:$C$205,MATCH($A850,Mitarbeiter!$A$6:$A$205,0)),"vor Eintritt",IF(AND(INDEX(Mitarbeiter!$D$6:$D$205,MATCH($A850,Mitarbeiter!$A$6:$A$205,0))&lt;&gt;"",D850&gt;INDEX(Mitarbeiter!$D$6:$D$205,MATCH($A850,Mitarbeiter!$A$6:$A$205,0))),"nach Austritt",IF(E850="","offen","ok"))))))))</f>
        <v/>
      </c>
      <c r="J850" s="47">
        <f>IF(A850="","",IF(E850="",Einstellungen!$C$9,E850))</f>
        <v/>
      </c>
      <c r="K850" s="48">
        <f>IF(A850="",0,IFERROR(INDEX(Mitarbeiter!$F$6:$F$205,MATCH($A850,Mitarbeiter!$A$6:$A$205,0)),0))</f>
        <v/>
      </c>
      <c r="L850" s="49">
        <f>IF(OR(A850="",D850=""),0,MAX(0,NETWORKDAYS(MAX(D850,DATE(Einstellungen!$C$3,1,1)),MIN(J850,DATE(Einstellungen!$C$3,2,0)),Einstellungen!$F$13:$F$32)))</f>
        <v/>
      </c>
      <c r="M850" s="49">
        <f>IF(OR(A850="",D850=""),0,MAX(0,NETWORKDAYS(MAX(D850,DATE(Einstellungen!$C$3,2,1)),MIN(J850,DATE(Einstellungen!$C$3,3,0)),Einstellungen!$F$13:$F$32)))</f>
        <v/>
      </c>
      <c r="N850" s="49">
        <f>IF(OR(A850="",D850=""),0,MAX(0,NETWORKDAYS(MAX(D850,DATE(Einstellungen!$C$3,3,1)),MIN(J850,DATE(Einstellungen!$C$3,4,0)),Einstellungen!$F$13:$F$32)))</f>
        <v/>
      </c>
      <c r="O850" s="49">
        <f>IF(OR(A850="",D850=""),0,MAX(0,NETWORKDAYS(MAX(D850,DATE(Einstellungen!$C$3,4,1)),MIN(J850,DATE(Einstellungen!$C$3,5,0)),Einstellungen!$F$13:$F$32)))</f>
        <v/>
      </c>
      <c r="P850" s="49">
        <f>IF(OR(A850="",D850=""),0,MAX(0,NETWORKDAYS(MAX(D850,DATE(Einstellungen!$C$3,5,1)),MIN(J850,DATE(Einstellungen!$C$3,6,0)),Einstellungen!$F$13:$F$32)))</f>
        <v/>
      </c>
      <c r="Q850" s="49">
        <f>IF(OR(A850="",D850=""),0,MAX(0,NETWORKDAYS(MAX(D850,DATE(Einstellungen!$C$3,6,1)),MIN(J850,DATE(Einstellungen!$C$3,7,0)),Einstellungen!$F$13:$F$32)))</f>
        <v/>
      </c>
      <c r="R850" s="49">
        <f>IF(OR(A850="",D850=""),0,MAX(0,NETWORKDAYS(MAX(D850,DATE(Einstellungen!$C$3,7,1)),MIN(J850,DATE(Einstellungen!$C$3,8,0)),Einstellungen!$F$13:$F$32)))</f>
        <v/>
      </c>
      <c r="S850" s="49">
        <f>IF(OR(A850="",D850=""),0,MAX(0,NETWORKDAYS(MAX(D850,DATE(Einstellungen!$C$3,8,1)),MIN(J850,DATE(Einstellungen!$C$3,9,0)),Einstellungen!$F$13:$F$32)))</f>
        <v/>
      </c>
      <c r="T850" s="49">
        <f>IF(OR(A850="",D850=""),0,MAX(0,NETWORKDAYS(MAX(D850,DATE(Einstellungen!$C$3,9,1)),MIN(J850,DATE(Einstellungen!$C$3,10,0)),Einstellungen!$F$13:$F$32)))</f>
        <v/>
      </c>
      <c r="U850" s="49">
        <f>IF(OR(A850="",D850=""),0,MAX(0,NETWORKDAYS(MAX(D850,DATE(Einstellungen!$C$3,10,1)),MIN(J850,DATE(Einstellungen!$C$3,11,0)),Einstellungen!$F$13:$F$32)))</f>
        <v/>
      </c>
      <c r="V850" s="49">
        <f>IF(OR(A850="",D850=""),0,MAX(0,NETWORKDAYS(MAX(D850,DATE(Einstellungen!$C$3,11,1)),MIN(J850,DATE(Einstellungen!$C$3,12,0)),Einstellungen!$F$13:$F$32)))</f>
        <v/>
      </c>
      <c r="W850" s="49">
        <f>IF(OR(A850="",D850=""),0,MAX(0,NETWORKDAYS(MAX(D850,DATE(Einstellungen!$C$3,12,1)),MIN(J850,DATE(Einstellungen!$C$3,13,0)),Einstellungen!$F$13:$F$32)))</f>
        <v/>
      </c>
      <c r="X850" s="50">
        <f>L850*K850</f>
        <v/>
      </c>
      <c r="Y850" s="50">
        <f>M850*K850</f>
        <v/>
      </c>
      <c r="Z850" s="50">
        <f>N850*K850</f>
        <v/>
      </c>
      <c r="AA850" s="50">
        <f>O850*K850</f>
        <v/>
      </c>
      <c r="AB850" s="50">
        <f>P850*K850</f>
        <v/>
      </c>
      <c r="AC850" s="50">
        <f>Q850*K850</f>
        <v/>
      </c>
      <c r="AD850" s="50">
        <f>R850*K850</f>
        <v/>
      </c>
      <c r="AE850" s="50">
        <f>S850*K850</f>
        <v/>
      </c>
      <c r="AF850" s="50">
        <f>T850*K850</f>
        <v/>
      </c>
      <c r="AG850" s="50">
        <f>U850*K850</f>
        <v/>
      </c>
      <c r="AH850" s="50">
        <f>V850*K850</f>
        <v/>
      </c>
      <c r="AI850" s="50">
        <f>W850*K850</f>
        <v/>
      </c>
    </row>
    <row r="851">
      <c r="A851" s="25" t="n"/>
      <c r="B851" s="45">
        <f>IF(A851="","",IFERROR(INDEX(Mitarbeiter!$B$6:$B$205,MATCH($A851,Mitarbeiter!$A$6:$A$205,0)),"?"))</f>
        <v/>
      </c>
      <c r="C851" s="46" t="n"/>
      <c r="D851" s="26" t="n"/>
      <c r="E851" s="26" t="n"/>
      <c r="F851" s="24">
        <f>IF(A851="","",SUM(L851:W851))</f>
        <v/>
      </c>
      <c r="G851" s="36">
        <f>IF(A851="","",SUM(X851:AI851))</f>
        <v/>
      </c>
      <c r="H851" s="8">
        <f>IF(A851="","",IF(ISNA(MATCH(A851,Mitarbeiter!$A$6:$A$205,0)),"Pers.-Nr. unbekannt",IF(D851="","Von fehlt",IF(AND(C851&lt;&gt;Einstellungen!$C$4,C851&lt;&gt;Einstellungen!$C$5),"Objekt fehlt",IF(J851&lt;D851,"Bis vor Von",IF(D851&lt;INDEX(Mitarbeiter!$C$6:$C$205,MATCH($A851,Mitarbeiter!$A$6:$A$205,0)),"vor Eintritt",IF(AND(INDEX(Mitarbeiter!$D$6:$D$205,MATCH($A851,Mitarbeiter!$A$6:$A$205,0))&lt;&gt;"",D851&gt;INDEX(Mitarbeiter!$D$6:$D$205,MATCH($A851,Mitarbeiter!$A$6:$A$205,0))),"nach Austritt",IF(E851="","offen","ok"))))))))</f>
        <v/>
      </c>
      <c r="J851" s="47">
        <f>IF(A851="","",IF(E851="",Einstellungen!$C$9,E851))</f>
        <v/>
      </c>
      <c r="K851" s="48">
        <f>IF(A851="",0,IFERROR(INDEX(Mitarbeiter!$F$6:$F$205,MATCH($A851,Mitarbeiter!$A$6:$A$205,0)),0))</f>
        <v/>
      </c>
      <c r="L851" s="49">
        <f>IF(OR(A851="",D851=""),0,MAX(0,NETWORKDAYS(MAX(D851,DATE(Einstellungen!$C$3,1,1)),MIN(J851,DATE(Einstellungen!$C$3,2,0)),Einstellungen!$F$13:$F$32)))</f>
        <v/>
      </c>
      <c r="M851" s="49">
        <f>IF(OR(A851="",D851=""),0,MAX(0,NETWORKDAYS(MAX(D851,DATE(Einstellungen!$C$3,2,1)),MIN(J851,DATE(Einstellungen!$C$3,3,0)),Einstellungen!$F$13:$F$32)))</f>
        <v/>
      </c>
      <c r="N851" s="49">
        <f>IF(OR(A851="",D851=""),0,MAX(0,NETWORKDAYS(MAX(D851,DATE(Einstellungen!$C$3,3,1)),MIN(J851,DATE(Einstellungen!$C$3,4,0)),Einstellungen!$F$13:$F$32)))</f>
        <v/>
      </c>
      <c r="O851" s="49">
        <f>IF(OR(A851="",D851=""),0,MAX(0,NETWORKDAYS(MAX(D851,DATE(Einstellungen!$C$3,4,1)),MIN(J851,DATE(Einstellungen!$C$3,5,0)),Einstellungen!$F$13:$F$32)))</f>
        <v/>
      </c>
      <c r="P851" s="49">
        <f>IF(OR(A851="",D851=""),0,MAX(0,NETWORKDAYS(MAX(D851,DATE(Einstellungen!$C$3,5,1)),MIN(J851,DATE(Einstellungen!$C$3,6,0)),Einstellungen!$F$13:$F$32)))</f>
        <v/>
      </c>
      <c r="Q851" s="49">
        <f>IF(OR(A851="",D851=""),0,MAX(0,NETWORKDAYS(MAX(D851,DATE(Einstellungen!$C$3,6,1)),MIN(J851,DATE(Einstellungen!$C$3,7,0)),Einstellungen!$F$13:$F$32)))</f>
        <v/>
      </c>
      <c r="R851" s="49">
        <f>IF(OR(A851="",D851=""),0,MAX(0,NETWORKDAYS(MAX(D851,DATE(Einstellungen!$C$3,7,1)),MIN(J851,DATE(Einstellungen!$C$3,8,0)),Einstellungen!$F$13:$F$32)))</f>
        <v/>
      </c>
      <c r="S851" s="49">
        <f>IF(OR(A851="",D851=""),0,MAX(0,NETWORKDAYS(MAX(D851,DATE(Einstellungen!$C$3,8,1)),MIN(J851,DATE(Einstellungen!$C$3,9,0)),Einstellungen!$F$13:$F$32)))</f>
        <v/>
      </c>
      <c r="T851" s="49">
        <f>IF(OR(A851="",D851=""),0,MAX(0,NETWORKDAYS(MAX(D851,DATE(Einstellungen!$C$3,9,1)),MIN(J851,DATE(Einstellungen!$C$3,10,0)),Einstellungen!$F$13:$F$32)))</f>
        <v/>
      </c>
      <c r="U851" s="49">
        <f>IF(OR(A851="",D851=""),0,MAX(0,NETWORKDAYS(MAX(D851,DATE(Einstellungen!$C$3,10,1)),MIN(J851,DATE(Einstellungen!$C$3,11,0)),Einstellungen!$F$13:$F$32)))</f>
        <v/>
      </c>
      <c r="V851" s="49">
        <f>IF(OR(A851="",D851=""),0,MAX(0,NETWORKDAYS(MAX(D851,DATE(Einstellungen!$C$3,11,1)),MIN(J851,DATE(Einstellungen!$C$3,12,0)),Einstellungen!$F$13:$F$32)))</f>
        <v/>
      </c>
      <c r="W851" s="49">
        <f>IF(OR(A851="",D851=""),0,MAX(0,NETWORKDAYS(MAX(D851,DATE(Einstellungen!$C$3,12,1)),MIN(J851,DATE(Einstellungen!$C$3,13,0)),Einstellungen!$F$13:$F$32)))</f>
        <v/>
      </c>
      <c r="X851" s="50">
        <f>L851*K851</f>
        <v/>
      </c>
      <c r="Y851" s="50">
        <f>M851*K851</f>
        <v/>
      </c>
      <c r="Z851" s="50">
        <f>N851*K851</f>
        <v/>
      </c>
      <c r="AA851" s="50">
        <f>O851*K851</f>
        <v/>
      </c>
      <c r="AB851" s="50">
        <f>P851*K851</f>
        <v/>
      </c>
      <c r="AC851" s="50">
        <f>Q851*K851</f>
        <v/>
      </c>
      <c r="AD851" s="50">
        <f>R851*K851</f>
        <v/>
      </c>
      <c r="AE851" s="50">
        <f>S851*K851</f>
        <v/>
      </c>
      <c r="AF851" s="50">
        <f>T851*K851</f>
        <v/>
      </c>
      <c r="AG851" s="50">
        <f>U851*K851</f>
        <v/>
      </c>
      <c r="AH851" s="50">
        <f>V851*K851</f>
        <v/>
      </c>
      <c r="AI851" s="50">
        <f>W851*K851</f>
        <v/>
      </c>
    </row>
    <row r="852">
      <c r="A852" s="25" t="n"/>
      <c r="B852" s="45">
        <f>IF(A852="","",IFERROR(INDEX(Mitarbeiter!$B$6:$B$205,MATCH($A852,Mitarbeiter!$A$6:$A$205,0)),"?"))</f>
        <v/>
      </c>
      <c r="C852" s="46" t="n"/>
      <c r="D852" s="26" t="n"/>
      <c r="E852" s="26" t="n"/>
      <c r="F852" s="24">
        <f>IF(A852="","",SUM(L852:W852))</f>
        <v/>
      </c>
      <c r="G852" s="36">
        <f>IF(A852="","",SUM(X852:AI852))</f>
        <v/>
      </c>
      <c r="H852" s="8">
        <f>IF(A852="","",IF(ISNA(MATCH(A852,Mitarbeiter!$A$6:$A$205,0)),"Pers.-Nr. unbekannt",IF(D852="","Von fehlt",IF(AND(C852&lt;&gt;Einstellungen!$C$4,C852&lt;&gt;Einstellungen!$C$5),"Objekt fehlt",IF(J852&lt;D852,"Bis vor Von",IF(D852&lt;INDEX(Mitarbeiter!$C$6:$C$205,MATCH($A852,Mitarbeiter!$A$6:$A$205,0)),"vor Eintritt",IF(AND(INDEX(Mitarbeiter!$D$6:$D$205,MATCH($A852,Mitarbeiter!$A$6:$A$205,0))&lt;&gt;"",D852&gt;INDEX(Mitarbeiter!$D$6:$D$205,MATCH($A852,Mitarbeiter!$A$6:$A$205,0))),"nach Austritt",IF(E852="","offen","ok"))))))))</f>
        <v/>
      </c>
      <c r="J852" s="47">
        <f>IF(A852="","",IF(E852="",Einstellungen!$C$9,E852))</f>
        <v/>
      </c>
      <c r="K852" s="48">
        <f>IF(A852="",0,IFERROR(INDEX(Mitarbeiter!$F$6:$F$205,MATCH($A852,Mitarbeiter!$A$6:$A$205,0)),0))</f>
        <v/>
      </c>
      <c r="L852" s="49">
        <f>IF(OR(A852="",D852=""),0,MAX(0,NETWORKDAYS(MAX(D852,DATE(Einstellungen!$C$3,1,1)),MIN(J852,DATE(Einstellungen!$C$3,2,0)),Einstellungen!$F$13:$F$32)))</f>
        <v/>
      </c>
      <c r="M852" s="49">
        <f>IF(OR(A852="",D852=""),0,MAX(0,NETWORKDAYS(MAX(D852,DATE(Einstellungen!$C$3,2,1)),MIN(J852,DATE(Einstellungen!$C$3,3,0)),Einstellungen!$F$13:$F$32)))</f>
        <v/>
      </c>
      <c r="N852" s="49">
        <f>IF(OR(A852="",D852=""),0,MAX(0,NETWORKDAYS(MAX(D852,DATE(Einstellungen!$C$3,3,1)),MIN(J852,DATE(Einstellungen!$C$3,4,0)),Einstellungen!$F$13:$F$32)))</f>
        <v/>
      </c>
      <c r="O852" s="49">
        <f>IF(OR(A852="",D852=""),0,MAX(0,NETWORKDAYS(MAX(D852,DATE(Einstellungen!$C$3,4,1)),MIN(J852,DATE(Einstellungen!$C$3,5,0)),Einstellungen!$F$13:$F$32)))</f>
        <v/>
      </c>
      <c r="P852" s="49">
        <f>IF(OR(A852="",D852=""),0,MAX(0,NETWORKDAYS(MAX(D852,DATE(Einstellungen!$C$3,5,1)),MIN(J852,DATE(Einstellungen!$C$3,6,0)),Einstellungen!$F$13:$F$32)))</f>
        <v/>
      </c>
      <c r="Q852" s="49">
        <f>IF(OR(A852="",D852=""),0,MAX(0,NETWORKDAYS(MAX(D852,DATE(Einstellungen!$C$3,6,1)),MIN(J852,DATE(Einstellungen!$C$3,7,0)),Einstellungen!$F$13:$F$32)))</f>
        <v/>
      </c>
      <c r="R852" s="49">
        <f>IF(OR(A852="",D852=""),0,MAX(0,NETWORKDAYS(MAX(D852,DATE(Einstellungen!$C$3,7,1)),MIN(J852,DATE(Einstellungen!$C$3,8,0)),Einstellungen!$F$13:$F$32)))</f>
        <v/>
      </c>
      <c r="S852" s="49">
        <f>IF(OR(A852="",D852=""),0,MAX(0,NETWORKDAYS(MAX(D852,DATE(Einstellungen!$C$3,8,1)),MIN(J852,DATE(Einstellungen!$C$3,9,0)),Einstellungen!$F$13:$F$32)))</f>
        <v/>
      </c>
      <c r="T852" s="49">
        <f>IF(OR(A852="",D852=""),0,MAX(0,NETWORKDAYS(MAX(D852,DATE(Einstellungen!$C$3,9,1)),MIN(J852,DATE(Einstellungen!$C$3,10,0)),Einstellungen!$F$13:$F$32)))</f>
        <v/>
      </c>
      <c r="U852" s="49">
        <f>IF(OR(A852="",D852=""),0,MAX(0,NETWORKDAYS(MAX(D852,DATE(Einstellungen!$C$3,10,1)),MIN(J852,DATE(Einstellungen!$C$3,11,0)),Einstellungen!$F$13:$F$32)))</f>
        <v/>
      </c>
      <c r="V852" s="49">
        <f>IF(OR(A852="",D852=""),0,MAX(0,NETWORKDAYS(MAX(D852,DATE(Einstellungen!$C$3,11,1)),MIN(J852,DATE(Einstellungen!$C$3,12,0)),Einstellungen!$F$13:$F$32)))</f>
        <v/>
      </c>
      <c r="W852" s="49">
        <f>IF(OR(A852="",D852=""),0,MAX(0,NETWORKDAYS(MAX(D852,DATE(Einstellungen!$C$3,12,1)),MIN(J852,DATE(Einstellungen!$C$3,13,0)),Einstellungen!$F$13:$F$32)))</f>
        <v/>
      </c>
      <c r="X852" s="50">
        <f>L852*K852</f>
        <v/>
      </c>
      <c r="Y852" s="50">
        <f>M852*K852</f>
        <v/>
      </c>
      <c r="Z852" s="50">
        <f>N852*K852</f>
        <v/>
      </c>
      <c r="AA852" s="50">
        <f>O852*K852</f>
        <v/>
      </c>
      <c r="AB852" s="50">
        <f>P852*K852</f>
        <v/>
      </c>
      <c r="AC852" s="50">
        <f>Q852*K852</f>
        <v/>
      </c>
      <c r="AD852" s="50">
        <f>R852*K852</f>
        <v/>
      </c>
      <c r="AE852" s="50">
        <f>S852*K852</f>
        <v/>
      </c>
      <c r="AF852" s="50">
        <f>T852*K852</f>
        <v/>
      </c>
      <c r="AG852" s="50">
        <f>U852*K852</f>
        <v/>
      </c>
      <c r="AH852" s="50">
        <f>V852*K852</f>
        <v/>
      </c>
      <c r="AI852" s="50">
        <f>W852*K852</f>
        <v/>
      </c>
    </row>
    <row r="853">
      <c r="A853" s="25" t="n"/>
      <c r="B853" s="45">
        <f>IF(A853="","",IFERROR(INDEX(Mitarbeiter!$B$6:$B$205,MATCH($A853,Mitarbeiter!$A$6:$A$205,0)),"?"))</f>
        <v/>
      </c>
      <c r="C853" s="46" t="n"/>
      <c r="D853" s="26" t="n"/>
      <c r="E853" s="26" t="n"/>
      <c r="F853" s="24">
        <f>IF(A853="","",SUM(L853:W853))</f>
        <v/>
      </c>
      <c r="G853" s="36">
        <f>IF(A853="","",SUM(X853:AI853))</f>
        <v/>
      </c>
      <c r="H853" s="8">
        <f>IF(A853="","",IF(ISNA(MATCH(A853,Mitarbeiter!$A$6:$A$205,0)),"Pers.-Nr. unbekannt",IF(D853="","Von fehlt",IF(AND(C853&lt;&gt;Einstellungen!$C$4,C853&lt;&gt;Einstellungen!$C$5),"Objekt fehlt",IF(J853&lt;D853,"Bis vor Von",IF(D853&lt;INDEX(Mitarbeiter!$C$6:$C$205,MATCH($A853,Mitarbeiter!$A$6:$A$205,0)),"vor Eintritt",IF(AND(INDEX(Mitarbeiter!$D$6:$D$205,MATCH($A853,Mitarbeiter!$A$6:$A$205,0))&lt;&gt;"",D853&gt;INDEX(Mitarbeiter!$D$6:$D$205,MATCH($A853,Mitarbeiter!$A$6:$A$205,0))),"nach Austritt",IF(E853="","offen","ok"))))))))</f>
        <v/>
      </c>
      <c r="J853" s="47">
        <f>IF(A853="","",IF(E853="",Einstellungen!$C$9,E853))</f>
        <v/>
      </c>
      <c r="K853" s="48">
        <f>IF(A853="",0,IFERROR(INDEX(Mitarbeiter!$F$6:$F$205,MATCH($A853,Mitarbeiter!$A$6:$A$205,0)),0))</f>
        <v/>
      </c>
      <c r="L853" s="49">
        <f>IF(OR(A853="",D853=""),0,MAX(0,NETWORKDAYS(MAX(D853,DATE(Einstellungen!$C$3,1,1)),MIN(J853,DATE(Einstellungen!$C$3,2,0)),Einstellungen!$F$13:$F$32)))</f>
        <v/>
      </c>
      <c r="M853" s="49">
        <f>IF(OR(A853="",D853=""),0,MAX(0,NETWORKDAYS(MAX(D853,DATE(Einstellungen!$C$3,2,1)),MIN(J853,DATE(Einstellungen!$C$3,3,0)),Einstellungen!$F$13:$F$32)))</f>
        <v/>
      </c>
      <c r="N853" s="49">
        <f>IF(OR(A853="",D853=""),0,MAX(0,NETWORKDAYS(MAX(D853,DATE(Einstellungen!$C$3,3,1)),MIN(J853,DATE(Einstellungen!$C$3,4,0)),Einstellungen!$F$13:$F$32)))</f>
        <v/>
      </c>
      <c r="O853" s="49">
        <f>IF(OR(A853="",D853=""),0,MAX(0,NETWORKDAYS(MAX(D853,DATE(Einstellungen!$C$3,4,1)),MIN(J853,DATE(Einstellungen!$C$3,5,0)),Einstellungen!$F$13:$F$32)))</f>
        <v/>
      </c>
      <c r="P853" s="49">
        <f>IF(OR(A853="",D853=""),0,MAX(0,NETWORKDAYS(MAX(D853,DATE(Einstellungen!$C$3,5,1)),MIN(J853,DATE(Einstellungen!$C$3,6,0)),Einstellungen!$F$13:$F$32)))</f>
        <v/>
      </c>
      <c r="Q853" s="49">
        <f>IF(OR(A853="",D853=""),0,MAX(0,NETWORKDAYS(MAX(D853,DATE(Einstellungen!$C$3,6,1)),MIN(J853,DATE(Einstellungen!$C$3,7,0)),Einstellungen!$F$13:$F$32)))</f>
        <v/>
      </c>
      <c r="R853" s="49">
        <f>IF(OR(A853="",D853=""),0,MAX(0,NETWORKDAYS(MAX(D853,DATE(Einstellungen!$C$3,7,1)),MIN(J853,DATE(Einstellungen!$C$3,8,0)),Einstellungen!$F$13:$F$32)))</f>
        <v/>
      </c>
      <c r="S853" s="49">
        <f>IF(OR(A853="",D853=""),0,MAX(0,NETWORKDAYS(MAX(D853,DATE(Einstellungen!$C$3,8,1)),MIN(J853,DATE(Einstellungen!$C$3,9,0)),Einstellungen!$F$13:$F$32)))</f>
        <v/>
      </c>
      <c r="T853" s="49">
        <f>IF(OR(A853="",D853=""),0,MAX(0,NETWORKDAYS(MAX(D853,DATE(Einstellungen!$C$3,9,1)),MIN(J853,DATE(Einstellungen!$C$3,10,0)),Einstellungen!$F$13:$F$32)))</f>
        <v/>
      </c>
      <c r="U853" s="49">
        <f>IF(OR(A853="",D853=""),0,MAX(0,NETWORKDAYS(MAX(D853,DATE(Einstellungen!$C$3,10,1)),MIN(J853,DATE(Einstellungen!$C$3,11,0)),Einstellungen!$F$13:$F$32)))</f>
        <v/>
      </c>
      <c r="V853" s="49">
        <f>IF(OR(A853="",D853=""),0,MAX(0,NETWORKDAYS(MAX(D853,DATE(Einstellungen!$C$3,11,1)),MIN(J853,DATE(Einstellungen!$C$3,12,0)),Einstellungen!$F$13:$F$32)))</f>
        <v/>
      </c>
      <c r="W853" s="49">
        <f>IF(OR(A853="",D853=""),0,MAX(0,NETWORKDAYS(MAX(D853,DATE(Einstellungen!$C$3,12,1)),MIN(J853,DATE(Einstellungen!$C$3,13,0)),Einstellungen!$F$13:$F$32)))</f>
        <v/>
      </c>
      <c r="X853" s="50">
        <f>L853*K853</f>
        <v/>
      </c>
      <c r="Y853" s="50">
        <f>M853*K853</f>
        <v/>
      </c>
      <c r="Z853" s="50">
        <f>N853*K853</f>
        <v/>
      </c>
      <c r="AA853" s="50">
        <f>O853*K853</f>
        <v/>
      </c>
      <c r="AB853" s="50">
        <f>P853*K853</f>
        <v/>
      </c>
      <c r="AC853" s="50">
        <f>Q853*K853</f>
        <v/>
      </c>
      <c r="AD853" s="50">
        <f>R853*K853</f>
        <v/>
      </c>
      <c r="AE853" s="50">
        <f>S853*K853</f>
        <v/>
      </c>
      <c r="AF853" s="50">
        <f>T853*K853</f>
        <v/>
      </c>
      <c r="AG853" s="50">
        <f>U853*K853</f>
        <v/>
      </c>
      <c r="AH853" s="50">
        <f>V853*K853</f>
        <v/>
      </c>
      <c r="AI853" s="50">
        <f>W853*K853</f>
        <v/>
      </c>
    </row>
    <row r="854">
      <c r="A854" s="25" t="n"/>
      <c r="B854" s="45">
        <f>IF(A854="","",IFERROR(INDEX(Mitarbeiter!$B$6:$B$205,MATCH($A854,Mitarbeiter!$A$6:$A$205,0)),"?"))</f>
        <v/>
      </c>
      <c r="C854" s="46" t="n"/>
      <c r="D854" s="26" t="n"/>
      <c r="E854" s="26" t="n"/>
      <c r="F854" s="24">
        <f>IF(A854="","",SUM(L854:W854))</f>
        <v/>
      </c>
      <c r="G854" s="36">
        <f>IF(A854="","",SUM(X854:AI854))</f>
        <v/>
      </c>
      <c r="H854" s="8">
        <f>IF(A854="","",IF(ISNA(MATCH(A854,Mitarbeiter!$A$6:$A$205,0)),"Pers.-Nr. unbekannt",IF(D854="","Von fehlt",IF(AND(C854&lt;&gt;Einstellungen!$C$4,C854&lt;&gt;Einstellungen!$C$5),"Objekt fehlt",IF(J854&lt;D854,"Bis vor Von",IF(D854&lt;INDEX(Mitarbeiter!$C$6:$C$205,MATCH($A854,Mitarbeiter!$A$6:$A$205,0)),"vor Eintritt",IF(AND(INDEX(Mitarbeiter!$D$6:$D$205,MATCH($A854,Mitarbeiter!$A$6:$A$205,0))&lt;&gt;"",D854&gt;INDEX(Mitarbeiter!$D$6:$D$205,MATCH($A854,Mitarbeiter!$A$6:$A$205,0))),"nach Austritt",IF(E854="","offen","ok"))))))))</f>
        <v/>
      </c>
      <c r="J854" s="47">
        <f>IF(A854="","",IF(E854="",Einstellungen!$C$9,E854))</f>
        <v/>
      </c>
      <c r="K854" s="48">
        <f>IF(A854="",0,IFERROR(INDEX(Mitarbeiter!$F$6:$F$205,MATCH($A854,Mitarbeiter!$A$6:$A$205,0)),0))</f>
        <v/>
      </c>
      <c r="L854" s="49">
        <f>IF(OR(A854="",D854=""),0,MAX(0,NETWORKDAYS(MAX(D854,DATE(Einstellungen!$C$3,1,1)),MIN(J854,DATE(Einstellungen!$C$3,2,0)),Einstellungen!$F$13:$F$32)))</f>
        <v/>
      </c>
      <c r="M854" s="49">
        <f>IF(OR(A854="",D854=""),0,MAX(0,NETWORKDAYS(MAX(D854,DATE(Einstellungen!$C$3,2,1)),MIN(J854,DATE(Einstellungen!$C$3,3,0)),Einstellungen!$F$13:$F$32)))</f>
        <v/>
      </c>
      <c r="N854" s="49">
        <f>IF(OR(A854="",D854=""),0,MAX(0,NETWORKDAYS(MAX(D854,DATE(Einstellungen!$C$3,3,1)),MIN(J854,DATE(Einstellungen!$C$3,4,0)),Einstellungen!$F$13:$F$32)))</f>
        <v/>
      </c>
      <c r="O854" s="49">
        <f>IF(OR(A854="",D854=""),0,MAX(0,NETWORKDAYS(MAX(D854,DATE(Einstellungen!$C$3,4,1)),MIN(J854,DATE(Einstellungen!$C$3,5,0)),Einstellungen!$F$13:$F$32)))</f>
        <v/>
      </c>
      <c r="P854" s="49">
        <f>IF(OR(A854="",D854=""),0,MAX(0,NETWORKDAYS(MAX(D854,DATE(Einstellungen!$C$3,5,1)),MIN(J854,DATE(Einstellungen!$C$3,6,0)),Einstellungen!$F$13:$F$32)))</f>
        <v/>
      </c>
      <c r="Q854" s="49">
        <f>IF(OR(A854="",D854=""),0,MAX(0,NETWORKDAYS(MAX(D854,DATE(Einstellungen!$C$3,6,1)),MIN(J854,DATE(Einstellungen!$C$3,7,0)),Einstellungen!$F$13:$F$32)))</f>
        <v/>
      </c>
      <c r="R854" s="49">
        <f>IF(OR(A854="",D854=""),0,MAX(0,NETWORKDAYS(MAX(D854,DATE(Einstellungen!$C$3,7,1)),MIN(J854,DATE(Einstellungen!$C$3,8,0)),Einstellungen!$F$13:$F$32)))</f>
        <v/>
      </c>
      <c r="S854" s="49">
        <f>IF(OR(A854="",D854=""),0,MAX(0,NETWORKDAYS(MAX(D854,DATE(Einstellungen!$C$3,8,1)),MIN(J854,DATE(Einstellungen!$C$3,9,0)),Einstellungen!$F$13:$F$32)))</f>
        <v/>
      </c>
      <c r="T854" s="49">
        <f>IF(OR(A854="",D854=""),0,MAX(0,NETWORKDAYS(MAX(D854,DATE(Einstellungen!$C$3,9,1)),MIN(J854,DATE(Einstellungen!$C$3,10,0)),Einstellungen!$F$13:$F$32)))</f>
        <v/>
      </c>
      <c r="U854" s="49">
        <f>IF(OR(A854="",D854=""),0,MAX(0,NETWORKDAYS(MAX(D854,DATE(Einstellungen!$C$3,10,1)),MIN(J854,DATE(Einstellungen!$C$3,11,0)),Einstellungen!$F$13:$F$32)))</f>
        <v/>
      </c>
      <c r="V854" s="49">
        <f>IF(OR(A854="",D854=""),0,MAX(0,NETWORKDAYS(MAX(D854,DATE(Einstellungen!$C$3,11,1)),MIN(J854,DATE(Einstellungen!$C$3,12,0)),Einstellungen!$F$13:$F$32)))</f>
        <v/>
      </c>
      <c r="W854" s="49">
        <f>IF(OR(A854="",D854=""),0,MAX(0,NETWORKDAYS(MAX(D854,DATE(Einstellungen!$C$3,12,1)),MIN(J854,DATE(Einstellungen!$C$3,13,0)),Einstellungen!$F$13:$F$32)))</f>
        <v/>
      </c>
      <c r="X854" s="50">
        <f>L854*K854</f>
        <v/>
      </c>
      <c r="Y854" s="50">
        <f>M854*K854</f>
        <v/>
      </c>
      <c r="Z854" s="50">
        <f>N854*K854</f>
        <v/>
      </c>
      <c r="AA854" s="50">
        <f>O854*K854</f>
        <v/>
      </c>
      <c r="AB854" s="50">
        <f>P854*K854</f>
        <v/>
      </c>
      <c r="AC854" s="50">
        <f>Q854*K854</f>
        <v/>
      </c>
      <c r="AD854" s="50">
        <f>R854*K854</f>
        <v/>
      </c>
      <c r="AE854" s="50">
        <f>S854*K854</f>
        <v/>
      </c>
      <c r="AF854" s="50">
        <f>T854*K854</f>
        <v/>
      </c>
      <c r="AG854" s="50">
        <f>U854*K854</f>
        <v/>
      </c>
      <c r="AH854" s="50">
        <f>V854*K854</f>
        <v/>
      </c>
      <c r="AI854" s="50">
        <f>W854*K854</f>
        <v/>
      </c>
    </row>
    <row r="855">
      <c r="A855" s="25" t="n"/>
      <c r="B855" s="45">
        <f>IF(A855="","",IFERROR(INDEX(Mitarbeiter!$B$6:$B$205,MATCH($A855,Mitarbeiter!$A$6:$A$205,0)),"?"))</f>
        <v/>
      </c>
      <c r="C855" s="46" t="n"/>
      <c r="D855" s="26" t="n"/>
      <c r="E855" s="26" t="n"/>
      <c r="F855" s="24">
        <f>IF(A855="","",SUM(L855:W855))</f>
        <v/>
      </c>
      <c r="G855" s="36">
        <f>IF(A855="","",SUM(X855:AI855))</f>
        <v/>
      </c>
      <c r="H855" s="8">
        <f>IF(A855="","",IF(ISNA(MATCH(A855,Mitarbeiter!$A$6:$A$205,0)),"Pers.-Nr. unbekannt",IF(D855="","Von fehlt",IF(AND(C855&lt;&gt;Einstellungen!$C$4,C855&lt;&gt;Einstellungen!$C$5),"Objekt fehlt",IF(J855&lt;D855,"Bis vor Von",IF(D855&lt;INDEX(Mitarbeiter!$C$6:$C$205,MATCH($A855,Mitarbeiter!$A$6:$A$205,0)),"vor Eintritt",IF(AND(INDEX(Mitarbeiter!$D$6:$D$205,MATCH($A855,Mitarbeiter!$A$6:$A$205,0))&lt;&gt;"",D855&gt;INDEX(Mitarbeiter!$D$6:$D$205,MATCH($A855,Mitarbeiter!$A$6:$A$205,0))),"nach Austritt",IF(E855="","offen","ok"))))))))</f>
        <v/>
      </c>
      <c r="J855" s="47">
        <f>IF(A855="","",IF(E855="",Einstellungen!$C$9,E855))</f>
        <v/>
      </c>
      <c r="K855" s="48">
        <f>IF(A855="",0,IFERROR(INDEX(Mitarbeiter!$F$6:$F$205,MATCH($A855,Mitarbeiter!$A$6:$A$205,0)),0))</f>
        <v/>
      </c>
      <c r="L855" s="49">
        <f>IF(OR(A855="",D855=""),0,MAX(0,NETWORKDAYS(MAX(D855,DATE(Einstellungen!$C$3,1,1)),MIN(J855,DATE(Einstellungen!$C$3,2,0)),Einstellungen!$F$13:$F$32)))</f>
        <v/>
      </c>
      <c r="M855" s="49">
        <f>IF(OR(A855="",D855=""),0,MAX(0,NETWORKDAYS(MAX(D855,DATE(Einstellungen!$C$3,2,1)),MIN(J855,DATE(Einstellungen!$C$3,3,0)),Einstellungen!$F$13:$F$32)))</f>
        <v/>
      </c>
      <c r="N855" s="49">
        <f>IF(OR(A855="",D855=""),0,MAX(0,NETWORKDAYS(MAX(D855,DATE(Einstellungen!$C$3,3,1)),MIN(J855,DATE(Einstellungen!$C$3,4,0)),Einstellungen!$F$13:$F$32)))</f>
        <v/>
      </c>
      <c r="O855" s="49">
        <f>IF(OR(A855="",D855=""),0,MAX(0,NETWORKDAYS(MAX(D855,DATE(Einstellungen!$C$3,4,1)),MIN(J855,DATE(Einstellungen!$C$3,5,0)),Einstellungen!$F$13:$F$32)))</f>
        <v/>
      </c>
      <c r="P855" s="49">
        <f>IF(OR(A855="",D855=""),0,MAX(0,NETWORKDAYS(MAX(D855,DATE(Einstellungen!$C$3,5,1)),MIN(J855,DATE(Einstellungen!$C$3,6,0)),Einstellungen!$F$13:$F$32)))</f>
        <v/>
      </c>
      <c r="Q855" s="49">
        <f>IF(OR(A855="",D855=""),0,MAX(0,NETWORKDAYS(MAX(D855,DATE(Einstellungen!$C$3,6,1)),MIN(J855,DATE(Einstellungen!$C$3,7,0)),Einstellungen!$F$13:$F$32)))</f>
        <v/>
      </c>
      <c r="R855" s="49">
        <f>IF(OR(A855="",D855=""),0,MAX(0,NETWORKDAYS(MAX(D855,DATE(Einstellungen!$C$3,7,1)),MIN(J855,DATE(Einstellungen!$C$3,8,0)),Einstellungen!$F$13:$F$32)))</f>
        <v/>
      </c>
      <c r="S855" s="49">
        <f>IF(OR(A855="",D855=""),0,MAX(0,NETWORKDAYS(MAX(D855,DATE(Einstellungen!$C$3,8,1)),MIN(J855,DATE(Einstellungen!$C$3,9,0)),Einstellungen!$F$13:$F$32)))</f>
        <v/>
      </c>
      <c r="T855" s="49">
        <f>IF(OR(A855="",D855=""),0,MAX(0,NETWORKDAYS(MAX(D855,DATE(Einstellungen!$C$3,9,1)),MIN(J855,DATE(Einstellungen!$C$3,10,0)),Einstellungen!$F$13:$F$32)))</f>
        <v/>
      </c>
      <c r="U855" s="49">
        <f>IF(OR(A855="",D855=""),0,MAX(0,NETWORKDAYS(MAX(D855,DATE(Einstellungen!$C$3,10,1)),MIN(J855,DATE(Einstellungen!$C$3,11,0)),Einstellungen!$F$13:$F$32)))</f>
        <v/>
      </c>
      <c r="V855" s="49">
        <f>IF(OR(A855="",D855=""),0,MAX(0,NETWORKDAYS(MAX(D855,DATE(Einstellungen!$C$3,11,1)),MIN(J855,DATE(Einstellungen!$C$3,12,0)),Einstellungen!$F$13:$F$32)))</f>
        <v/>
      </c>
      <c r="W855" s="49">
        <f>IF(OR(A855="",D855=""),0,MAX(0,NETWORKDAYS(MAX(D855,DATE(Einstellungen!$C$3,12,1)),MIN(J855,DATE(Einstellungen!$C$3,13,0)),Einstellungen!$F$13:$F$32)))</f>
        <v/>
      </c>
      <c r="X855" s="50">
        <f>L855*K855</f>
        <v/>
      </c>
      <c r="Y855" s="50">
        <f>M855*K855</f>
        <v/>
      </c>
      <c r="Z855" s="50">
        <f>N855*K855</f>
        <v/>
      </c>
      <c r="AA855" s="50">
        <f>O855*K855</f>
        <v/>
      </c>
      <c r="AB855" s="50">
        <f>P855*K855</f>
        <v/>
      </c>
      <c r="AC855" s="50">
        <f>Q855*K855</f>
        <v/>
      </c>
      <c r="AD855" s="50">
        <f>R855*K855</f>
        <v/>
      </c>
      <c r="AE855" s="50">
        <f>S855*K855</f>
        <v/>
      </c>
      <c r="AF855" s="50">
        <f>T855*K855</f>
        <v/>
      </c>
      <c r="AG855" s="50">
        <f>U855*K855</f>
        <v/>
      </c>
      <c r="AH855" s="50">
        <f>V855*K855</f>
        <v/>
      </c>
      <c r="AI855" s="50">
        <f>W855*K855</f>
        <v/>
      </c>
    </row>
    <row r="856">
      <c r="A856" s="25" t="n"/>
      <c r="B856" s="45">
        <f>IF(A856="","",IFERROR(INDEX(Mitarbeiter!$B$6:$B$205,MATCH($A856,Mitarbeiter!$A$6:$A$205,0)),"?"))</f>
        <v/>
      </c>
      <c r="C856" s="46" t="n"/>
      <c r="D856" s="26" t="n"/>
      <c r="E856" s="26" t="n"/>
      <c r="F856" s="24">
        <f>IF(A856="","",SUM(L856:W856))</f>
        <v/>
      </c>
      <c r="G856" s="36">
        <f>IF(A856="","",SUM(X856:AI856))</f>
        <v/>
      </c>
      <c r="H856" s="8">
        <f>IF(A856="","",IF(ISNA(MATCH(A856,Mitarbeiter!$A$6:$A$205,0)),"Pers.-Nr. unbekannt",IF(D856="","Von fehlt",IF(AND(C856&lt;&gt;Einstellungen!$C$4,C856&lt;&gt;Einstellungen!$C$5),"Objekt fehlt",IF(J856&lt;D856,"Bis vor Von",IF(D856&lt;INDEX(Mitarbeiter!$C$6:$C$205,MATCH($A856,Mitarbeiter!$A$6:$A$205,0)),"vor Eintritt",IF(AND(INDEX(Mitarbeiter!$D$6:$D$205,MATCH($A856,Mitarbeiter!$A$6:$A$205,0))&lt;&gt;"",D856&gt;INDEX(Mitarbeiter!$D$6:$D$205,MATCH($A856,Mitarbeiter!$A$6:$A$205,0))),"nach Austritt",IF(E856="","offen","ok"))))))))</f>
        <v/>
      </c>
      <c r="J856" s="47">
        <f>IF(A856="","",IF(E856="",Einstellungen!$C$9,E856))</f>
        <v/>
      </c>
      <c r="K856" s="48">
        <f>IF(A856="",0,IFERROR(INDEX(Mitarbeiter!$F$6:$F$205,MATCH($A856,Mitarbeiter!$A$6:$A$205,0)),0))</f>
        <v/>
      </c>
      <c r="L856" s="49">
        <f>IF(OR(A856="",D856=""),0,MAX(0,NETWORKDAYS(MAX(D856,DATE(Einstellungen!$C$3,1,1)),MIN(J856,DATE(Einstellungen!$C$3,2,0)),Einstellungen!$F$13:$F$32)))</f>
        <v/>
      </c>
      <c r="M856" s="49">
        <f>IF(OR(A856="",D856=""),0,MAX(0,NETWORKDAYS(MAX(D856,DATE(Einstellungen!$C$3,2,1)),MIN(J856,DATE(Einstellungen!$C$3,3,0)),Einstellungen!$F$13:$F$32)))</f>
        <v/>
      </c>
      <c r="N856" s="49">
        <f>IF(OR(A856="",D856=""),0,MAX(0,NETWORKDAYS(MAX(D856,DATE(Einstellungen!$C$3,3,1)),MIN(J856,DATE(Einstellungen!$C$3,4,0)),Einstellungen!$F$13:$F$32)))</f>
        <v/>
      </c>
      <c r="O856" s="49">
        <f>IF(OR(A856="",D856=""),0,MAX(0,NETWORKDAYS(MAX(D856,DATE(Einstellungen!$C$3,4,1)),MIN(J856,DATE(Einstellungen!$C$3,5,0)),Einstellungen!$F$13:$F$32)))</f>
        <v/>
      </c>
      <c r="P856" s="49">
        <f>IF(OR(A856="",D856=""),0,MAX(0,NETWORKDAYS(MAX(D856,DATE(Einstellungen!$C$3,5,1)),MIN(J856,DATE(Einstellungen!$C$3,6,0)),Einstellungen!$F$13:$F$32)))</f>
        <v/>
      </c>
      <c r="Q856" s="49">
        <f>IF(OR(A856="",D856=""),0,MAX(0,NETWORKDAYS(MAX(D856,DATE(Einstellungen!$C$3,6,1)),MIN(J856,DATE(Einstellungen!$C$3,7,0)),Einstellungen!$F$13:$F$32)))</f>
        <v/>
      </c>
      <c r="R856" s="49">
        <f>IF(OR(A856="",D856=""),0,MAX(0,NETWORKDAYS(MAX(D856,DATE(Einstellungen!$C$3,7,1)),MIN(J856,DATE(Einstellungen!$C$3,8,0)),Einstellungen!$F$13:$F$32)))</f>
        <v/>
      </c>
      <c r="S856" s="49">
        <f>IF(OR(A856="",D856=""),0,MAX(0,NETWORKDAYS(MAX(D856,DATE(Einstellungen!$C$3,8,1)),MIN(J856,DATE(Einstellungen!$C$3,9,0)),Einstellungen!$F$13:$F$32)))</f>
        <v/>
      </c>
      <c r="T856" s="49">
        <f>IF(OR(A856="",D856=""),0,MAX(0,NETWORKDAYS(MAX(D856,DATE(Einstellungen!$C$3,9,1)),MIN(J856,DATE(Einstellungen!$C$3,10,0)),Einstellungen!$F$13:$F$32)))</f>
        <v/>
      </c>
      <c r="U856" s="49">
        <f>IF(OR(A856="",D856=""),0,MAX(0,NETWORKDAYS(MAX(D856,DATE(Einstellungen!$C$3,10,1)),MIN(J856,DATE(Einstellungen!$C$3,11,0)),Einstellungen!$F$13:$F$32)))</f>
        <v/>
      </c>
      <c r="V856" s="49">
        <f>IF(OR(A856="",D856=""),0,MAX(0,NETWORKDAYS(MAX(D856,DATE(Einstellungen!$C$3,11,1)),MIN(J856,DATE(Einstellungen!$C$3,12,0)),Einstellungen!$F$13:$F$32)))</f>
        <v/>
      </c>
      <c r="W856" s="49">
        <f>IF(OR(A856="",D856=""),0,MAX(0,NETWORKDAYS(MAX(D856,DATE(Einstellungen!$C$3,12,1)),MIN(J856,DATE(Einstellungen!$C$3,13,0)),Einstellungen!$F$13:$F$32)))</f>
        <v/>
      </c>
      <c r="X856" s="50">
        <f>L856*K856</f>
        <v/>
      </c>
      <c r="Y856" s="50">
        <f>M856*K856</f>
        <v/>
      </c>
      <c r="Z856" s="50">
        <f>N856*K856</f>
        <v/>
      </c>
      <c r="AA856" s="50">
        <f>O856*K856</f>
        <v/>
      </c>
      <c r="AB856" s="50">
        <f>P856*K856</f>
        <v/>
      </c>
      <c r="AC856" s="50">
        <f>Q856*K856</f>
        <v/>
      </c>
      <c r="AD856" s="50">
        <f>R856*K856</f>
        <v/>
      </c>
      <c r="AE856" s="50">
        <f>S856*K856</f>
        <v/>
      </c>
      <c r="AF856" s="50">
        <f>T856*K856</f>
        <v/>
      </c>
      <c r="AG856" s="50">
        <f>U856*K856</f>
        <v/>
      </c>
      <c r="AH856" s="50">
        <f>V856*K856</f>
        <v/>
      </c>
      <c r="AI856" s="50">
        <f>W856*K856</f>
        <v/>
      </c>
    </row>
    <row r="857">
      <c r="A857" s="25" t="n"/>
      <c r="B857" s="45">
        <f>IF(A857="","",IFERROR(INDEX(Mitarbeiter!$B$6:$B$205,MATCH($A857,Mitarbeiter!$A$6:$A$205,0)),"?"))</f>
        <v/>
      </c>
      <c r="C857" s="46" t="n"/>
      <c r="D857" s="26" t="n"/>
      <c r="E857" s="26" t="n"/>
      <c r="F857" s="24">
        <f>IF(A857="","",SUM(L857:W857))</f>
        <v/>
      </c>
      <c r="G857" s="36">
        <f>IF(A857="","",SUM(X857:AI857))</f>
        <v/>
      </c>
      <c r="H857" s="8">
        <f>IF(A857="","",IF(ISNA(MATCH(A857,Mitarbeiter!$A$6:$A$205,0)),"Pers.-Nr. unbekannt",IF(D857="","Von fehlt",IF(AND(C857&lt;&gt;Einstellungen!$C$4,C857&lt;&gt;Einstellungen!$C$5),"Objekt fehlt",IF(J857&lt;D857,"Bis vor Von",IF(D857&lt;INDEX(Mitarbeiter!$C$6:$C$205,MATCH($A857,Mitarbeiter!$A$6:$A$205,0)),"vor Eintritt",IF(AND(INDEX(Mitarbeiter!$D$6:$D$205,MATCH($A857,Mitarbeiter!$A$6:$A$205,0))&lt;&gt;"",D857&gt;INDEX(Mitarbeiter!$D$6:$D$205,MATCH($A857,Mitarbeiter!$A$6:$A$205,0))),"nach Austritt",IF(E857="","offen","ok"))))))))</f>
        <v/>
      </c>
      <c r="J857" s="47">
        <f>IF(A857="","",IF(E857="",Einstellungen!$C$9,E857))</f>
        <v/>
      </c>
      <c r="K857" s="48">
        <f>IF(A857="",0,IFERROR(INDEX(Mitarbeiter!$F$6:$F$205,MATCH($A857,Mitarbeiter!$A$6:$A$205,0)),0))</f>
        <v/>
      </c>
      <c r="L857" s="49">
        <f>IF(OR(A857="",D857=""),0,MAX(0,NETWORKDAYS(MAX(D857,DATE(Einstellungen!$C$3,1,1)),MIN(J857,DATE(Einstellungen!$C$3,2,0)),Einstellungen!$F$13:$F$32)))</f>
        <v/>
      </c>
      <c r="M857" s="49">
        <f>IF(OR(A857="",D857=""),0,MAX(0,NETWORKDAYS(MAX(D857,DATE(Einstellungen!$C$3,2,1)),MIN(J857,DATE(Einstellungen!$C$3,3,0)),Einstellungen!$F$13:$F$32)))</f>
        <v/>
      </c>
      <c r="N857" s="49">
        <f>IF(OR(A857="",D857=""),0,MAX(0,NETWORKDAYS(MAX(D857,DATE(Einstellungen!$C$3,3,1)),MIN(J857,DATE(Einstellungen!$C$3,4,0)),Einstellungen!$F$13:$F$32)))</f>
        <v/>
      </c>
      <c r="O857" s="49">
        <f>IF(OR(A857="",D857=""),0,MAX(0,NETWORKDAYS(MAX(D857,DATE(Einstellungen!$C$3,4,1)),MIN(J857,DATE(Einstellungen!$C$3,5,0)),Einstellungen!$F$13:$F$32)))</f>
        <v/>
      </c>
      <c r="P857" s="49">
        <f>IF(OR(A857="",D857=""),0,MAX(0,NETWORKDAYS(MAX(D857,DATE(Einstellungen!$C$3,5,1)),MIN(J857,DATE(Einstellungen!$C$3,6,0)),Einstellungen!$F$13:$F$32)))</f>
        <v/>
      </c>
      <c r="Q857" s="49">
        <f>IF(OR(A857="",D857=""),0,MAX(0,NETWORKDAYS(MAX(D857,DATE(Einstellungen!$C$3,6,1)),MIN(J857,DATE(Einstellungen!$C$3,7,0)),Einstellungen!$F$13:$F$32)))</f>
        <v/>
      </c>
      <c r="R857" s="49">
        <f>IF(OR(A857="",D857=""),0,MAX(0,NETWORKDAYS(MAX(D857,DATE(Einstellungen!$C$3,7,1)),MIN(J857,DATE(Einstellungen!$C$3,8,0)),Einstellungen!$F$13:$F$32)))</f>
        <v/>
      </c>
      <c r="S857" s="49">
        <f>IF(OR(A857="",D857=""),0,MAX(0,NETWORKDAYS(MAX(D857,DATE(Einstellungen!$C$3,8,1)),MIN(J857,DATE(Einstellungen!$C$3,9,0)),Einstellungen!$F$13:$F$32)))</f>
        <v/>
      </c>
      <c r="T857" s="49">
        <f>IF(OR(A857="",D857=""),0,MAX(0,NETWORKDAYS(MAX(D857,DATE(Einstellungen!$C$3,9,1)),MIN(J857,DATE(Einstellungen!$C$3,10,0)),Einstellungen!$F$13:$F$32)))</f>
        <v/>
      </c>
      <c r="U857" s="49">
        <f>IF(OR(A857="",D857=""),0,MAX(0,NETWORKDAYS(MAX(D857,DATE(Einstellungen!$C$3,10,1)),MIN(J857,DATE(Einstellungen!$C$3,11,0)),Einstellungen!$F$13:$F$32)))</f>
        <v/>
      </c>
      <c r="V857" s="49">
        <f>IF(OR(A857="",D857=""),0,MAX(0,NETWORKDAYS(MAX(D857,DATE(Einstellungen!$C$3,11,1)),MIN(J857,DATE(Einstellungen!$C$3,12,0)),Einstellungen!$F$13:$F$32)))</f>
        <v/>
      </c>
      <c r="W857" s="49">
        <f>IF(OR(A857="",D857=""),0,MAX(0,NETWORKDAYS(MAX(D857,DATE(Einstellungen!$C$3,12,1)),MIN(J857,DATE(Einstellungen!$C$3,13,0)),Einstellungen!$F$13:$F$32)))</f>
        <v/>
      </c>
      <c r="X857" s="50">
        <f>L857*K857</f>
        <v/>
      </c>
      <c r="Y857" s="50">
        <f>M857*K857</f>
        <v/>
      </c>
      <c r="Z857" s="50">
        <f>N857*K857</f>
        <v/>
      </c>
      <c r="AA857" s="50">
        <f>O857*K857</f>
        <v/>
      </c>
      <c r="AB857" s="50">
        <f>P857*K857</f>
        <v/>
      </c>
      <c r="AC857" s="50">
        <f>Q857*K857</f>
        <v/>
      </c>
      <c r="AD857" s="50">
        <f>R857*K857</f>
        <v/>
      </c>
      <c r="AE857" s="50">
        <f>S857*K857</f>
        <v/>
      </c>
      <c r="AF857" s="50">
        <f>T857*K857</f>
        <v/>
      </c>
      <c r="AG857" s="50">
        <f>U857*K857</f>
        <v/>
      </c>
      <c r="AH857" s="50">
        <f>V857*K857</f>
        <v/>
      </c>
      <c r="AI857" s="50">
        <f>W857*K857</f>
        <v/>
      </c>
    </row>
    <row r="858">
      <c r="A858" s="25" t="n"/>
      <c r="B858" s="45">
        <f>IF(A858="","",IFERROR(INDEX(Mitarbeiter!$B$6:$B$205,MATCH($A858,Mitarbeiter!$A$6:$A$205,0)),"?"))</f>
        <v/>
      </c>
      <c r="C858" s="46" t="n"/>
      <c r="D858" s="26" t="n"/>
      <c r="E858" s="26" t="n"/>
      <c r="F858" s="24">
        <f>IF(A858="","",SUM(L858:W858))</f>
        <v/>
      </c>
      <c r="G858" s="36">
        <f>IF(A858="","",SUM(X858:AI858))</f>
        <v/>
      </c>
      <c r="H858" s="8">
        <f>IF(A858="","",IF(ISNA(MATCH(A858,Mitarbeiter!$A$6:$A$205,0)),"Pers.-Nr. unbekannt",IF(D858="","Von fehlt",IF(AND(C858&lt;&gt;Einstellungen!$C$4,C858&lt;&gt;Einstellungen!$C$5),"Objekt fehlt",IF(J858&lt;D858,"Bis vor Von",IF(D858&lt;INDEX(Mitarbeiter!$C$6:$C$205,MATCH($A858,Mitarbeiter!$A$6:$A$205,0)),"vor Eintritt",IF(AND(INDEX(Mitarbeiter!$D$6:$D$205,MATCH($A858,Mitarbeiter!$A$6:$A$205,0))&lt;&gt;"",D858&gt;INDEX(Mitarbeiter!$D$6:$D$205,MATCH($A858,Mitarbeiter!$A$6:$A$205,0))),"nach Austritt",IF(E858="","offen","ok"))))))))</f>
        <v/>
      </c>
      <c r="J858" s="47">
        <f>IF(A858="","",IF(E858="",Einstellungen!$C$9,E858))</f>
        <v/>
      </c>
      <c r="K858" s="48">
        <f>IF(A858="",0,IFERROR(INDEX(Mitarbeiter!$F$6:$F$205,MATCH($A858,Mitarbeiter!$A$6:$A$205,0)),0))</f>
        <v/>
      </c>
      <c r="L858" s="49">
        <f>IF(OR(A858="",D858=""),0,MAX(0,NETWORKDAYS(MAX(D858,DATE(Einstellungen!$C$3,1,1)),MIN(J858,DATE(Einstellungen!$C$3,2,0)),Einstellungen!$F$13:$F$32)))</f>
        <v/>
      </c>
      <c r="M858" s="49">
        <f>IF(OR(A858="",D858=""),0,MAX(0,NETWORKDAYS(MAX(D858,DATE(Einstellungen!$C$3,2,1)),MIN(J858,DATE(Einstellungen!$C$3,3,0)),Einstellungen!$F$13:$F$32)))</f>
        <v/>
      </c>
      <c r="N858" s="49">
        <f>IF(OR(A858="",D858=""),0,MAX(0,NETWORKDAYS(MAX(D858,DATE(Einstellungen!$C$3,3,1)),MIN(J858,DATE(Einstellungen!$C$3,4,0)),Einstellungen!$F$13:$F$32)))</f>
        <v/>
      </c>
      <c r="O858" s="49">
        <f>IF(OR(A858="",D858=""),0,MAX(0,NETWORKDAYS(MAX(D858,DATE(Einstellungen!$C$3,4,1)),MIN(J858,DATE(Einstellungen!$C$3,5,0)),Einstellungen!$F$13:$F$32)))</f>
        <v/>
      </c>
      <c r="P858" s="49">
        <f>IF(OR(A858="",D858=""),0,MAX(0,NETWORKDAYS(MAX(D858,DATE(Einstellungen!$C$3,5,1)),MIN(J858,DATE(Einstellungen!$C$3,6,0)),Einstellungen!$F$13:$F$32)))</f>
        <v/>
      </c>
      <c r="Q858" s="49">
        <f>IF(OR(A858="",D858=""),0,MAX(0,NETWORKDAYS(MAX(D858,DATE(Einstellungen!$C$3,6,1)),MIN(J858,DATE(Einstellungen!$C$3,7,0)),Einstellungen!$F$13:$F$32)))</f>
        <v/>
      </c>
      <c r="R858" s="49">
        <f>IF(OR(A858="",D858=""),0,MAX(0,NETWORKDAYS(MAX(D858,DATE(Einstellungen!$C$3,7,1)),MIN(J858,DATE(Einstellungen!$C$3,8,0)),Einstellungen!$F$13:$F$32)))</f>
        <v/>
      </c>
      <c r="S858" s="49">
        <f>IF(OR(A858="",D858=""),0,MAX(0,NETWORKDAYS(MAX(D858,DATE(Einstellungen!$C$3,8,1)),MIN(J858,DATE(Einstellungen!$C$3,9,0)),Einstellungen!$F$13:$F$32)))</f>
        <v/>
      </c>
      <c r="T858" s="49">
        <f>IF(OR(A858="",D858=""),0,MAX(0,NETWORKDAYS(MAX(D858,DATE(Einstellungen!$C$3,9,1)),MIN(J858,DATE(Einstellungen!$C$3,10,0)),Einstellungen!$F$13:$F$32)))</f>
        <v/>
      </c>
      <c r="U858" s="49">
        <f>IF(OR(A858="",D858=""),0,MAX(0,NETWORKDAYS(MAX(D858,DATE(Einstellungen!$C$3,10,1)),MIN(J858,DATE(Einstellungen!$C$3,11,0)),Einstellungen!$F$13:$F$32)))</f>
        <v/>
      </c>
      <c r="V858" s="49">
        <f>IF(OR(A858="",D858=""),0,MAX(0,NETWORKDAYS(MAX(D858,DATE(Einstellungen!$C$3,11,1)),MIN(J858,DATE(Einstellungen!$C$3,12,0)),Einstellungen!$F$13:$F$32)))</f>
        <v/>
      </c>
      <c r="W858" s="49">
        <f>IF(OR(A858="",D858=""),0,MAX(0,NETWORKDAYS(MAX(D858,DATE(Einstellungen!$C$3,12,1)),MIN(J858,DATE(Einstellungen!$C$3,13,0)),Einstellungen!$F$13:$F$32)))</f>
        <v/>
      </c>
      <c r="X858" s="50">
        <f>L858*K858</f>
        <v/>
      </c>
      <c r="Y858" s="50">
        <f>M858*K858</f>
        <v/>
      </c>
      <c r="Z858" s="50">
        <f>N858*K858</f>
        <v/>
      </c>
      <c r="AA858" s="50">
        <f>O858*K858</f>
        <v/>
      </c>
      <c r="AB858" s="50">
        <f>P858*K858</f>
        <v/>
      </c>
      <c r="AC858" s="50">
        <f>Q858*K858</f>
        <v/>
      </c>
      <c r="AD858" s="50">
        <f>R858*K858</f>
        <v/>
      </c>
      <c r="AE858" s="50">
        <f>S858*K858</f>
        <v/>
      </c>
      <c r="AF858" s="50">
        <f>T858*K858</f>
        <v/>
      </c>
      <c r="AG858" s="50">
        <f>U858*K858</f>
        <v/>
      </c>
      <c r="AH858" s="50">
        <f>V858*K858</f>
        <v/>
      </c>
      <c r="AI858" s="50">
        <f>W858*K858</f>
        <v/>
      </c>
    </row>
    <row r="859">
      <c r="A859" s="25" t="n"/>
      <c r="B859" s="45">
        <f>IF(A859="","",IFERROR(INDEX(Mitarbeiter!$B$6:$B$205,MATCH($A859,Mitarbeiter!$A$6:$A$205,0)),"?"))</f>
        <v/>
      </c>
      <c r="C859" s="46" t="n"/>
      <c r="D859" s="26" t="n"/>
      <c r="E859" s="26" t="n"/>
      <c r="F859" s="24">
        <f>IF(A859="","",SUM(L859:W859))</f>
        <v/>
      </c>
      <c r="G859" s="36">
        <f>IF(A859="","",SUM(X859:AI859))</f>
        <v/>
      </c>
      <c r="H859" s="8">
        <f>IF(A859="","",IF(ISNA(MATCH(A859,Mitarbeiter!$A$6:$A$205,0)),"Pers.-Nr. unbekannt",IF(D859="","Von fehlt",IF(AND(C859&lt;&gt;Einstellungen!$C$4,C859&lt;&gt;Einstellungen!$C$5),"Objekt fehlt",IF(J859&lt;D859,"Bis vor Von",IF(D859&lt;INDEX(Mitarbeiter!$C$6:$C$205,MATCH($A859,Mitarbeiter!$A$6:$A$205,0)),"vor Eintritt",IF(AND(INDEX(Mitarbeiter!$D$6:$D$205,MATCH($A859,Mitarbeiter!$A$6:$A$205,0))&lt;&gt;"",D859&gt;INDEX(Mitarbeiter!$D$6:$D$205,MATCH($A859,Mitarbeiter!$A$6:$A$205,0))),"nach Austritt",IF(E859="","offen","ok"))))))))</f>
        <v/>
      </c>
      <c r="J859" s="47">
        <f>IF(A859="","",IF(E859="",Einstellungen!$C$9,E859))</f>
        <v/>
      </c>
      <c r="K859" s="48">
        <f>IF(A859="",0,IFERROR(INDEX(Mitarbeiter!$F$6:$F$205,MATCH($A859,Mitarbeiter!$A$6:$A$205,0)),0))</f>
        <v/>
      </c>
      <c r="L859" s="49">
        <f>IF(OR(A859="",D859=""),0,MAX(0,NETWORKDAYS(MAX(D859,DATE(Einstellungen!$C$3,1,1)),MIN(J859,DATE(Einstellungen!$C$3,2,0)),Einstellungen!$F$13:$F$32)))</f>
        <v/>
      </c>
      <c r="M859" s="49">
        <f>IF(OR(A859="",D859=""),0,MAX(0,NETWORKDAYS(MAX(D859,DATE(Einstellungen!$C$3,2,1)),MIN(J859,DATE(Einstellungen!$C$3,3,0)),Einstellungen!$F$13:$F$32)))</f>
        <v/>
      </c>
      <c r="N859" s="49">
        <f>IF(OR(A859="",D859=""),0,MAX(0,NETWORKDAYS(MAX(D859,DATE(Einstellungen!$C$3,3,1)),MIN(J859,DATE(Einstellungen!$C$3,4,0)),Einstellungen!$F$13:$F$32)))</f>
        <v/>
      </c>
      <c r="O859" s="49">
        <f>IF(OR(A859="",D859=""),0,MAX(0,NETWORKDAYS(MAX(D859,DATE(Einstellungen!$C$3,4,1)),MIN(J859,DATE(Einstellungen!$C$3,5,0)),Einstellungen!$F$13:$F$32)))</f>
        <v/>
      </c>
      <c r="P859" s="49">
        <f>IF(OR(A859="",D859=""),0,MAX(0,NETWORKDAYS(MAX(D859,DATE(Einstellungen!$C$3,5,1)),MIN(J859,DATE(Einstellungen!$C$3,6,0)),Einstellungen!$F$13:$F$32)))</f>
        <v/>
      </c>
      <c r="Q859" s="49">
        <f>IF(OR(A859="",D859=""),0,MAX(0,NETWORKDAYS(MAX(D859,DATE(Einstellungen!$C$3,6,1)),MIN(J859,DATE(Einstellungen!$C$3,7,0)),Einstellungen!$F$13:$F$32)))</f>
        <v/>
      </c>
      <c r="R859" s="49">
        <f>IF(OR(A859="",D859=""),0,MAX(0,NETWORKDAYS(MAX(D859,DATE(Einstellungen!$C$3,7,1)),MIN(J859,DATE(Einstellungen!$C$3,8,0)),Einstellungen!$F$13:$F$32)))</f>
        <v/>
      </c>
      <c r="S859" s="49">
        <f>IF(OR(A859="",D859=""),0,MAX(0,NETWORKDAYS(MAX(D859,DATE(Einstellungen!$C$3,8,1)),MIN(J859,DATE(Einstellungen!$C$3,9,0)),Einstellungen!$F$13:$F$32)))</f>
        <v/>
      </c>
      <c r="T859" s="49">
        <f>IF(OR(A859="",D859=""),0,MAX(0,NETWORKDAYS(MAX(D859,DATE(Einstellungen!$C$3,9,1)),MIN(J859,DATE(Einstellungen!$C$3,10,0)),Einstellungen!$F$13:$F$32)))</f>
        <v/>
      </c>
      <c r="U859" s="49">
        <f>IF(OR(A859="",D859=""),0,MAX(0,NETWORKDAYS(MAX(D859,DATE(Einstellungen!$C$3,10,1)),MIN(J859,DATE(Einstellungen!$C$3,11,0)),Einstellungen!$F$13:$F$32)))</f>
        <v/>
      </c>
      <c r="V859" s="49">
        <f>IF(OR(A859="",D859=""),0,MAX(0,NETWORKDAYS(MAX(D859,DATE(Einstellungen!$C$3,11,1)),MIN(J859,DATE(Einstellungen!$C$3,12,0)),Einstellungen!$F$13:$F$32)))</f>
        <v/>
      </c>
      <c r="W859" s="49">
        <f>IF(OR(A859="",D859=""),0,MAX(0,NETWORKDAYS(MAX(D859,DATE(Einstellungen!$C$3,12,1)),MIN(J859,DATE(Einstellungen!$C$3,13,0)),Einstellungen!$F$13:$F$32)))</f>
        <v/>
      </c>
      <c r="X859" s="50">
        <f>L859*K859</f>
        <v/>
      </c>
      <c r="Y859" s="50">
        <f>M859*K859</f>
        <v/>
      </c>
      <c r="Z859" s="50">
        <f>N859*K859</f>
        <v/>
      </c>
      <c r="AA859" s="50">
        <f>O859*K859</f>
        <v/>
      </c>
      <c r="AB859" s="50">
        <f>P859*K859</f>
        <v/>
      </c>
      <c r="AC859" s="50">
        <f>Q859*K859</f>
        <v/>
      </c>
      <c r="AD859" s="50">
        <f>R859*K859</f>
        <v/>
      </c>
      <c r="AE859" s="50">
        <f>S859*K859</f>
        <v/>
      </c>
      <c r="AF859" s="50">
        <f>T859*K859</f>
        <v/>
      </c>
      <c r="AG859" s="50">
        <f>U859*K859</f>
        <v/>
      </c>
      <c r="AH859" s="50">
        <f>V859*K859</f>
        <v/>
      </c>
      <c r="AI859" s="50">
        <f>W859*K859</f>
        <v/>
      </c>
    </row>
    <row r="860">
      <c r="A860" s="25" t="n"/>
      <c r="B860" s="45">
        <f>IF(A860="","",IFERROR(INDEX(Mitarbeiter!$B$6:$B$205,MATCH($A860,Mitarbeiter!$A$6:$A$205,0)),"?"))</f>
        <v/>
      </c>
      <c r="C860" s="46" t="n"/>
      <c r="D860" s="26" t="n"/>
      <c r="E860" s="26" t="n"/>
      <c r="F860" s="24">
        <f>IF(A860="","",SUM(L860:W860))</f>
        <v/>
      </c>
      <c r="G860" s="36">
        <f>IF(A860="","",SUM(X860:AI860))</f>
        <v/>
      </c>
      <c r="H860" s="8">
        <f>IF(A860="","",IF(ISNA(MATCH(A860,Mitarbeiter!$A$6:$A$205,0)),"Pers.-Nr. unbekannt",IF(D860="","Von fehlt",IF(AND(C860&lt;&gt;Einstellungen!$C$4,C860&lt;&gt;Einstellungen!$C$5),"Objekt fehlt",IF(J860&lt;D860,"Bis vor Von",IF(D860&lt;INDEX(Mitarbeiter!$C$6:$C$205,MATCH($A860,Mitarbeiter!$A$6:$A$205,0)),"vor Eintritt",IF(AND(INDEX(Mitarbeiter!$D$6:$D$205,MATCH($A860,Mitarbeiter!$A$6:$A$205,0))&lt;&gt;"",D860&gt;INDEX(Mitarbeiter!$D$6:$D$205,MATCH($A860,Mitarbeiter!$A$6:$A$205,0))),"nach Austritt",IF(E860="","offen","ok"))))))))</f>
        <v/>
      </c>
      <c r="J860" s="47">
        <f>IF(A860="","",IF(E860="",Einstellungen!$C$9,E860))</f>
        <v/>
      </c>
      <c r="K860" s="48">
        <f>IF(A860="",0,IFERROR(INDEX(Mitarbeiter!$F$6:$F$205,MATCH($A860,Mitarbeiter!$A$6:$A$205,0)),0))</f>
        <v/>
      </c>
      <c r="L860" s="49">
        <f>IF(OR(A860="",D860=""),0,MAX(0,NETWORKDAYS(MAX(D860,DATE(Einstellungen!$C$3,1,1)),MIN(J860,DATE(Einstellungen!$C$3,2,0)),Einstellungen!$F$13:$F$32)))</f>
        <v/>
      </c>
      <c r="M860" s="49">
        <f>IF(OR(A860="",D860=""),0,MAX(0,NETWORKDAYS(MAX(D860,DATE(Einstellungen!$C$3,2,1)),MIN(J860,DATE(Einstellungen!$C$3,3,0)),Einstellungen!$F$13:$F$32)))</f>
        <v/>
      </c>
      <c r="N860" s="49">
        <f>IF(OR(A860="",D860=""),0,MAX(0,NETWORKDAYS(MAX(D860,DATE(Einstellungen!$C$3,3,1)),MIN(J860,DATE(Einstellungen!$C$3,4,0)),Einstellungen!$F$13:$F$32)))</f>
        <v/>
      </c>
      <c r="O860" s="49">
        <f>IF(OR(A860="",D860=""),0,MAX(0,NETWORKDAYS(MAX(D860,DATE(Einstellungen!$C$3,4,1)),MIN(J860,DATE(Einstellungen!$C$3,5,0)),Einstellungen!$F$13:$F$32)))</f>
        <v/>
      </c>
      <c r="P860" s="49">
        <f>IF(OR(A860="",D860=""),0,MAX(0,NETWORKDAYS(MAX(D860,DATE(Einstellungen!$C$3,5,1)),MIN(J860,DATE(Einstellungen!$C$3,6,0)),Einstellungen!$F$13:$F$32)))</f>
        <v/>
      </c>
      <c r="Q860" s="49">
        <f>IF(OR(A860="",D860=""),0,MAX(0,NETWORKDAYS(MAX(D860,DATE(Einstellungen!$C$3,6,1)),MIN(J860,DATE(Einstellungen!$C$3,7,0)),Einstellungen!$F$13:$F$32)))</f>
        <v/>
      </c>
      <c r="R860" s="49">
        <f>IF(OR(A860="",D860=""),0,MAX(0,NETWORKDAYS(MAX(D860,DATE(Einstellungen!$C$3,7,1)),MIN(J860,DATE(Einstellungen!$C$3,8,0)),Einstellungen!$F$13:$F$32)))</f>
        <v/>
      </c>
      <c r="S860" s="49">
        <f>IF(OR(A860="",D860=""),0,MAX(0,NETWORKDAYS(MAX(D860,DATE(Einstellungen!$C$3,8,1)),MIN(J860,DATE(Einstellungen!$C$3,9,0)),Einstellungen!$F$13:$F$32)))</f>
        <v/>
      </c>
      <c r="T860" s="49">
        <f>IF(OR(A860="",D860=""),0,MAX(0,NETWORKDAYS(MAX(D860,DATE(Einstellungen!$C$3,9,1)),MIN(J860,DATE(Einstellungen!$C$3,10,0)),Einstellungen!$F$13:$F$32)))</f>
        <v/>
      </c>
      <c r="U860" s="49">
        <f>IF(OR(A860="",D860=""),0,MAX(0,NETWORKDAYS(MAX(D860,DATE(Einstellungen!$C$3,10,1)),MIN(J860,DATE(Einstellungen!$C$3,11,0)),Einstellungen!$F$13:$F$32)))</f>
        <v/>
      </c>
      <c r="V860" s="49">
        <f>IF(OR(A860="",D860=""),0,MAX(0,NETWORKDAYS(MAX(D860,DATE(Einstellungen!$C$3,11,1)),MIN(J860,DATE(Einstellungen!$C$3,12,0)),Einstellungen!$F$13:$F$32)))</f>
        <v/>
      </c>
      <c r="W860" s="49">
        <f>IF(OR(A860="",D860=""),0,MAX(0,NETWORKDAYS(MAX(D860,DATE(Einstellungen!$C$3,12,1)),MIN(J860,DATE(Einstellungen!$C$3,13,0)),Einstellungen!$F$13:$F$32)))</f>
        <v/>
      </c>
      <c r="X860" s="50">
        <f>L860*K860</f>
        <v/>
      </c>
      <c r="Y860" s="50">
        <f>M860*K860</f>
        <v/>
      </c>
      <c r="Z860" s="50">
        <f>N860*K860</f>
        <v/>
      </c>
      <c r="AA860" s="50">
        <f>O860*K860</f>
        <v/>
      </c>
      <c r="AB860" s="50">
        <f>P860*K860</f>
        <v/>
      </c>
      <c r="AC860" s="50">
        <f>Q860*K860</f>
        <v/>
      </c>
      <c r="AD860" s="50">
        <f>R860*K860</f>
        <v/>
      </c>
      <c r="AE860" s="50">
        <f>S860*K860</f>
        <v/>
      </c>
      <c r="AF860" s="50">
        <f>T860*K860</f>
        <v/>
      </c>
      <c r="AG860" s="50">
        <f>U860*K860</f>
        <v/>
      </c>
      <c r="AH860" s="50">
        <f>V860*K860</f>
        <v/>
      </c>
      <c r="AI860" s="50">
        <f>W860*K860</f>
        <v/>
      </c>
    </row>
    <row r="861">
      <c r="A861" s="25" t="n"/>
      <c r="B861" s="45">
        <f>IF(A861="","",IFERROR(INDEX(Mitarbeiter!$B$6:$B$205,MATCH($A861,Mitarbeiter!$A$6:$A$205,0)),"?"))</f>
        <v/>
      </c>
      <c r="C861" s="46" t="n"/>
      <c r="D861" s="26" t="n"/>
      <c r="E861" s="26" t="n"/>
      <c r="F861" s="24">
        <f>IF(A861="","",SUM(L861:W861))</f>
        <v/>
      </c>
      <c r="G861" s="36">
        <f>IF(A861="","",SUM(X861:AI861))</f>
        <v/>
      </c>
      <c r="H861" s="8">
        <f>IF(A861="","",IF(ISNA(MATCH(A861,Mitarbeiter!$A$6:$A$205,0)),"Pers.-Nr. unbekannt",IF(D861="","Von fehlt",IF(AND(C861&lt;&gt;Einstellungen!$C$4,C861&lt;&gt;Einstellungen!$C$5),"Objekt fehlt",IF(J861&lt;D861,"Bis vor Von",IF(D861&lt;INDEX(Mitarbeiter!$C$6:$C$205,MATCH($A861,Mitarbeiter!$A$6:$A$205,0)),"vor Eintritt",IF(AND(INDEX(Mitarbeiter!$D$6:$D$205,MATCH($A861,Mitarbeiter!$A$6:$A$205,0))&lt;&gt;"",D861&gt;INDEX(Mitarbeiter!$D$6:$D$205,MATCH($A861,Mitarbeiter!$A$6:$A$205,0))),"nach Austritt",IF(E861="","offen","ok"))))))))</f>
        <v/>
      </c>
      <c r="J861" s="47">
        <f>IF(A861="","",IF(E861="",Einstellungen!$C$9,E861))</f>
        <v/>
      </c>
      <c r="K861" s="48">
        <f>IF(A861="",0,IFERROR(INDEX(Mitarbeiter!$F$6:$F$205,MATCH($A861,Mitarbeiter!$A$6:$A$205,0)),0))</f>
        <v/>
      </c>
      <c r="L861" s="49">
        <f>IF(OR(A861="",D861=""),0,MAX(0,NETWORKDAYS(MAX(D861,DATE(Einstellungen!$C$3,1,1)),MIN(J861,DATE(Einstellungen!$C$3,2,0)),Einstellungen!$F$13:$F$32)))</f>
        <v/>
      </c>
      <c r="M861" s="49">
        <f>IF(OR(A861="",D861=""),0,MAX(0,NETWORKDAYS(MAX(D861,DATE(Einstellungen!$C$3,2,1)),MIN(J861,DATE(Einstellungen!$C$3,3,0)),Einstellungen!$F$13:$F$32)))</f>
        <v/>
      </c>
      <c r="N861" s="49">
        <f>IF(OR(A861="",D861=""),0,MAX(0,NETWORKDAYS(MAX(D861,DATE(Einstellungen!$C$3,3,1)),MIN(J861,DATE(Einstellungen!$C$3,4,0)),Einstellungen!$F$13:$F$32)))</f>
        <v/>
      </c>
      <c r="O861" s="49">
        <f>IF(OR(A861="",D861=""),0,MAX(0,NETWORKDAYS(MAX(D861,DATE(Einstellungen!$C$3,4,1)),MIN(J861,DATE(Einstellungen!$C$3,5,0)),Einstellungen!$F$13:$F$32)))</f>
        <v/>
      </c>
      <c r="P861" s="49">
        <f>IF(OR(A861="",D861=""),0,MAX(0,NETWORKDAYS(MAX(D861,DATE(Einstellungen!$C$3,5,1)),MIN(J861,DATE(Einstellungen!$C$3,6,0)),Einstellungen!$F$13:$F$32)))</f>
        <v/>
      </c>
      <c r="Q861" s="49">
        <f>IF(OR(A861="",D861=""),0,MAX(0,NETWORKDAYS(MAX(D861,DATE(Einstellungen!$C$3,6,1)),MIN(J861,DATE(Einstellungen!$C$3,7,0)),Einstellungen!$F$13:$F$32)))</f>
        <v/>
      </c>
      <c r="R861" s="49">
        <f>IF(OR(A861="",D861=""),0,MAX(0,NETWORKDAYS(MAX(D861,DATE(Einstellungen!$C$3,7,1)),MIN(J861,DATE(Einstellungen!$C$3,8,0)),Einstellungen!$F$13:$F$32)))</f>
        <v/>
      </c>
      <c r="S861" s="49">
        <f>IF(OR(A861="",D861=""),0,MAX(0,NETWORKDAYS(MAX(D861,DATE(Einstellungen!$C$3,8,1)),MIN(J861,DATE(Einstellungen!$C$3,9,0)),Einstellungen!$F$13:$F$32)))</f>
        <v/>
      </c>
      <c r="T861" s="49">
        <f>IF(OR(A861="",D861=""),0,MAX(0,NETWORKDAYS(MAX(D861,DATE(Einstellungen!$C$3,9,1)),MIN(J861,DATE(Einstellungen!$C$3,10,0)),Einstellungen!$F$13:$F$32)))</f>
        <v/>
      </c>
      <c r="U861" s="49">
        <f>IF(OR(A861="",D861=""),0,MAX(0,NETWORKDAYS(MAX(D861,DATE(Einstellungen!$C$3,10,1)),MIN(J861,DATE(Einstellungen!$C$3,11,0)),Einstellungen!$F$13:$F$32)))</f>
        <v/>
      </c>
      <c r="V861" s="49">
        <f>IF(OR(A861="",D861=""),0,MAX(0,NETWORKDAYS(MAX(D861,DATE(Einstellungen!$C$3,11,1)),MIN(J861,DATE(Einstellungen!$C$3,12,0)),Einstellungen!$F$13:$F$32)))</f>
        <v/>
      </c>
      <c r="W861" s="49">
        <f>IF(OR(A861="",D861=""),0,MAX(0,NETWORKDAYS(MAX(D861,DATE(Einstellungen!$C$3,12,1)),MIN(J861,DATE(Einstellungen!$C$3,13,0)),Einstellungen!$F$13:$F$32)))</f>
        <v/>
      </c>
      <c r="X861" s="50">
        <f>L861*K861</f>
        <v/>
      </c>
      <c r="Y861" s="50">
        <f>M861*K861</f>
        <v/>
      </c>
      <c r="Z861" s="50">
        <f>N861*K861</f>
        <v/>
      </c>
      <c r="AA861" s="50">
        <f>O861*K861</f>
        <v/>
      </c>
      <c r="AB861" s="50">
        <f>P861*K861</f>
        <v/>
      </c>
      <c r="AC861" s="50">
        <f>Q861*K861</f>
        <v/>
      </c>
      <c r="AD861" s="50">
        <f>R861*K861</f>
        <v/>
      </c>
      <c r="AE861" s="50">
        <f>S861*K861</f>
        <v/>
      </c>
      <c r="AF861" s="50">
        <f>T861*K861</f>
        <v/>
      </c>
      <c r="AG861" s="50">
        <f>U861*K861</f>
        <v/>
      </c>
      <c r="AH861" s="50">
        <f>V861*K861</f>
        <v/>
      </c>
      <c r="AI861" s="50">
        <f>W861*K861</f>
        <v/>
      </c>
    </row>
    <row r="862">
      <c r="A862" s="25" t="n"/>
      <c r="B862" s="45">
        <f>IF(A862="","",IFERROR(INDEX(Mitarbeiter!$B$6:$B$205,MATCH($A862,Mitarbeiter!$A$6:$A$205,0)),"?"))</f>
        <v/>
      </c>
      <c r="C862" s="46" t="n"/>
      <c r="D862" s="26" t="n"/>
      <c r="E862" s="26" t="n"/>
      <c r="F862" s="24">
        <f>IF(A862="","",SUM(L862:W862))</f>
        <v/>
      </c>
      <c r="G862" s="36">
        <f>IF(A862="","",SUM(X862:AI862))</f>
        <v/>
      </c>
      <c r="H862" s="8">
        <f>IF(A862="","",IF(ISNA(MATCH(A862,Mitarbeiter!$A$6:$A$205,0)),"Pers.-Nr. unbekannt",IF(D862="","Von fehlt",IF(AND(C862&lt;&gt;Einstellungen!$C$4,C862&lt;&gt;Einstellungen!$C$5),"Objekt fehlt",IF(J862&lt;D862,"Bis vor Von",IF(D862&lt;INDEX(Mitarbeiter!$C$6:$C$205,MATCH($A862,Mitarbeiter!$A$6:$A$205,0)),"vor Eintritt",IF(AND(INDEX(Mitarbeiter!$D$6:$D$205,MATCH($A862,Mitarbeiter!$A$6:$A$205,0))&lt;&gt;"",D862&gt;INDEX(Mitarbeiter!$D$6:$D$205,MATCH($A862,Mitarbeiter!$A$6:$A$205,0))),"nach Austritt",IF(E862="","offen","ok"))))))))</f>
        <v/>
      </c>
      <c r="J862" s="47">
        <f>IF(A862="","",IF(E862="",Einstellungen!$C$9,E862))</f>
        <v/>
      </c>
      <c r="K862" s="48">
        <f>IF(A862="",0,IFERROR(INDEX(Mitarbeiter!$F$6:$F$205,MATCH($A862,Mitarbeiter!$A$6:$A$205,0)),0))</f>
        <v/>
      </c>
      <c r="L862" s="49">
        <f>IF(OR(A862="",D862=""),0,MAX(0,NETWORKDAYS(MAX(D862,DATE(Einstellungen!$C$3,1,1)),MIN(J862,DATE(Einstellungen!$C$3,2,0)),Einstellungen!$F$13:$F$32)))</f>
        <v/>
      </c>
      <c r="M862" s="49">
        <f>IF(OR(A862="",D862=""),0,MAX(0,NETWORKDAYS(MAX(D862,DATE(Einstellungen!$C$3,2,1)),MIN(J862,DATE(Einstellungen!$C$3,3,0)),Einstellungen!$F$13:$F$32)))</f>
        <v/>
      </c>
      <c r="N862" s="49">
        <f>IF(OR(A862="",D862=""),0,MAX(0,NETWORKDAYS(MAX(D862,DATE(Einstellungen!$C$3,3,1)),MIN(J862,DATE(Einstellungen!$C$3,4,0)),Einstellungen!$F$13:$F$32)))</f>
        <v/>
      </c>
      <c r="O862" s="49">
        <f>IF(OR(A862="",D862=""),0,MAX(0,NETWORKDAYS(MAX(D862,DATE(Einstellungen!$C$3,4,1)),MIN(J862,DATE(Einstellungen!$C$3,5,0)),Einstellungen!$F$13:$F$32)))</f>
        <v/>
      </c>
      <c r="P862" s="49">
        <f>IF(OR(A862="",D862=""),0,MAX(0,NETWORKDAYS(MAX(D862,DATE(Einstellungen!$C$3,5,1)),MIN(J862,DATE(Einstellungen!$C$3,6,0)),Einstellungen!$F$13:$F$32)))</f>
        <v/>
      </c>
      <c r="Q862" s="49">
        <f>IF(OR(A862="",D862=""),0,MAX(0,NETWORKDAYS(MAX(D862,DATE(Einstellungen!$C$3,6,1)),MIN(J862,DATE(Einstellungen!$C$3,7,0)),Einstellungen!$F$13:$F$32)))</f>
        <v/>
      </c>
      <c r="R862" s="49">
        <f>IF(OR(A862="",D862=""),0,MAX(0,NETWORKDAYS(MAX(D862,DATE(Einstellungen!$C$3,7,1)),MIN(J862,DATE(Einstellungen!$C$3,8,0)),Einstellungen!$F$13:$F$32)))</f>
        <v/>
      </c>
      <c r="S862" s="49">
        <f>IF(OR(A862="",D862=""),0,MAX(0,NETWORKDAYS(MAX(D862,DATE(Einstellungen!$C$3,8,1)),MIN(J862,DATE(Einstellungen!$C$3,9,0)),Einstellungen!$F$13:$F$32)))</f>
        <v/>
      </c>
      <c r="T862" s="49">
        <f>IF(OR(A862="",D862=""),0,MAX(0,NETWORKDAYS(MAX(D862,DATE(Einstellungen!$C$3,9,1)),MIN(J862,DATE(Einstellungen!$C$3,10,0)),Einstellungen!$F$13:$F$32)))</f>
        <v/>
      </c>
      <c r="U862" s="49">
        <f>IF(OR(A862="",D862=""),0,MAX(0,NETWORKDAYS(MAX(D862,DATE(Einstellungen!$C$3,10,1)),MIN(J862,DATE(Einstellungen!$C$3,11,0)),Einstellungen!$F$13:$F$32)))</f>
        <v/>
      </c>
      <c r="V862" s="49">
        <f>IF(OR(A862="",D862=""),0,MAX(0,NETWORKDAYS(MAX(D862,DATE(Einstellungen!$C$3,11,1)),MIN(J862,DATE(Einstellungen!$C$3,12,0)),Einstellungen!$F$13:$F$32)))</f>
        <v/>
      </c>
      <c r="W862" s="49">
        <f>IF(OR(A862="",D862=""),0,MAX(0,NETWORKDAYS(MAX(D862,DATE(Einstellungen!$C$3,12,1)),MIN(J862,DATE(Einstellungen!$C$3,13,0)),Einstellungen!$F$13:$F$32)))</f>
        <v/>
      </c>
      <c r="X862" s="50">
        <f>L862*K862</f>
        <v/>
      </c>
      <c r="Y862" s="50">
        <f>M862*K862</f>
        <v/>
      </c>
      <c r="Z862" s="50">
        <f>N862*K862</f>
        <v/>
      </c>
      <c r="AA862" s="50">
        <f>O862*K862</f>
        <v/>
      </c>
      <c r="AB862" s="50">
        <f>P862*K862</f>
        <v/>
      </c>
      <c r="AC862" s="50">
        <f>Q862*K862</f>
        <v/>
      </c>
      <c r="AD862" s="50">
        <f>R862*K862</f>
        <v/>
      </c>
      <c r="AE862" s="50">
        <f>S862*K862</f>
        <v/>
      </c>
      <c r="AF862" s="50">
        <f>T862*K862</f>
        <v/>
      </c>
      <c r="AG862" s="50">
        <f>U862*K862</f>
        <v/>
      </c>
      <c r="AH862" s="50">
        <f>V862*K862</f>
        <v/>
      </c>
      <c r="AI862" s="50">
        <f>W862*K862</f>
        <v/>
      </c>
    </row>
    <row r="863">
      <c r="A863" s="25" t="n"/>
      <c r="B863" s="45">
        <f>IF(A863="","",IFERROR(INDEX(Mitarbeiter!$B$6:$B$205,MATCH($A863,Mitarbeiter!$A$6:$A$205,0)),"?"))</f>
        <v/>
      </c>
      <c r="C863" s="46" t="n"/>
      <c r="D863" s="26" t="n"/>
      <c r="E863" s="26" t="n"/>
      <c r="F863" s="24">
        <f>IF(A863="","",SUM(L863:W863))</f>
        <v/>
      </c>
      <c r="G863" s="36">
        <f>IF(A863="","",SUM(X863:AI863))</f>
        <v/>
      </c>
      <c r="H863" s="8">
        <f>IF(A863="","",IF(ISNA(MATCH(A863,Mitarbeiter!$A$6:$A$205,0)),"Pers.-Nr. unbekannt",IF(D863="","Von fehlt",IF(AND(C863&lt;&gt;Einstellungen!$C$4,C863&lt;&gt;Einstellungen!$C$5),"Objekt fehlt",IF(J863&lt;D863,"Bis vor Von",IF(D863&lt;INDEX(Mitarbeiter!$C$6:$C$205,MATCH($A863,Mitarbeiter!$A$6:$A$205,0)),"vor Eintritt",IF(AND(INDEX(Mitarbeiter!$D$6:$D$205,MATCH($A863,Mitarbeiter!$A$6:$A$205,0))&lt;&gt;"",D863&gt;INDEX(Mitarbeiter!$D$6:$D$205,MATCH($A863,Mitarbeiter!$A$6:$A$205,0))),"nach Austritt",IF(E863="","offen","ok"))))))))</f>
        <v/>
      </c>
      <c r="J863" s="47">
        <f>IF(A863="","",IF(E863="",Einstellungen!$C$9,E863))</f>
        <v/>
      </c>
      <c r="K863" s="48">
        <f>IF(A863="",0,IFERROR(INDEX(Mitarbeiter!$F$6:$F$205,MATCH($A863,Mitarbeiter!$A$6:$A$205,0)),0))</f>
        <v/>
      </c>
      <c r="L863" s="49">
        <f>IF(OR(A863="",D863=""),0,MAX(0,NETWORKDAYS(MAX(D863,DATE(Einstellungen!$C$3,1,1)),MIN(J863,DATE(Einstellungen!$C$3,2,0)),Einstellungen!$F$13:$F$32)))</f>
        <v/>
      </c>
      <c r="M863" s="49">
        <f>IF(OR(A863="",D863=""),0,MAX(0,NETWORKDAYS(MAX(D863,DATE(Einstellungen!$C$3,2,1)),MIN(J863,DATE(Einstellungen!$C$3,3,0)),Einstellungen!$F$13:$F$32)))</f>
        <v/>
      </c>
      <c r="N863" s="49">
        <f>IF(OR(A863="",D863=""),0,MAX(0,NETWORKDAYS(MAX(D863,DATE(Einstellungen!$C$3,3,1)),MIN(J863,DATE(Einstellungen!$C$3,4,0)),Einstellungen!$F$13:$F$32)))</f>
        <v/>
      </c>
      <c r="O863" s="49">
        <f>IF(OR(A863="",D863=""),0,MAX(0,NETWORKDAYS(MAX(D863,DATE(Einstellungen!$C$3,4,1)),MIN(J863,DATE(Einstellungen!$C$3,5,0)),Einstellungen!$F$13:$F$32)))</f>
        <v/>
      </c>
      <c r="P863" s="49">
        <f>IF(OR(A863="",D863=""),0,MAX(0,NETWORKDAYS(MAX(D863,DATE(Einstellungen!$C$3,5,1)),MIN(J863,DATE(Einstellungen!$C$3,6,0)),Einstellungen!$F$13:$F$32)))</f>
        <v/>
      </c>
      <c r="Q863" s="49">
        <f>IF(OR(A863="",D863=""),0,MAX(0,NETWORKDAYS(MAX(D863,DATE(Einstellungen!$C$3,6,1)),MIN(J863,DATE(Einstellungen!$C$3,7,0)),Einstellungen!$F$13:$F$32)))</f>
        <v/>
      </c>
      <c r="R863" s="49">
        <f>IF(OR(A863="",D863=""),0,MAX(0,NETWORKDAYS(MAX(D863,DATE(Einstellungen!$C$3,7,1)),MIN(J863,DATE(Einstellungen!$C$3,8,0)),Einstellungen!$F$13:$F$32)))</f>
        <v/>
      </c>
      <c r="S863" s="49">
        <f>IF(OR(A863="",D863=""),0,MAX(0,NETWORKDAYS(MAX(D863,DATE(Einstellungen!$C$3,8,1)),MIN(J863,DATE(Einstellungen!$C$3,9,0)),Einstellungen!$F$13:$F$32)))</f>
        <v/>
      </c>
      <c r="T863" s="49">
        <f>IF(OR(A863="",D863=""),0,MAX(0,NETWORKDAYS(MAX(D863,DATE(Einstellungen!$C$3,9,1)),MIN(J863,DATE(Einstellungen!$C$3,10,0)),Einstellungen!$F$13:$F$32)))</f>
        <v/>
      </c>
      <c r="U863" s="49">
        <f>IF(OR(A863="",D863=""),0,MAX(0,NETWORKDAYS(MAX(D863,DATE(Einstellungen!$C$3,10,1)),MIN(J863,DATE(Einstellungen!$C$3,11,0)),Einstellungen!$F$13:$F$32)))</f>
        <v/>
      </c>
      <c r="V863" s="49">
        <f>IF(OR(A863="",D863=""),0,MAX(0,NETWORKDAYS(MAX(D863,DATE(Einstellungen!$C$3,11,1)),MIN(J863,DATE(Einstellungen!$C$3,12,0)),Einstellungen!$F$13:$F$32)))</f>
        <v/>
      </c>
      <c r="W863" s="49">
        <f>IF(OR(A863="",D863=""),0,MAX(0,NETWORKDAYS(MAX(D863,DATE(Einstellungen!$C$3,12,1)),MIN(J863,DATE(Einstellungen!$C$3,13,0)),Einstellungen!$F$13:$F$32)))</f>
        <v/>
      </c>
      <c r="X863" s="50">
        <f>L863*K863</f>
        <v/>
      </c>
      <c r="Y863" s="50">
        <f>M863*K863</f>
        <v/>
      </c>
      <c r="Z863" s="50">
        <f>N863*K863</f>
        <v/>
      </c>
      <c r="AA863" s="50">
        <f>O863*K863</f>
        <v/>
      </c>
      <c r="AB863" s="50">
        <f>P863*K863</f>
        <v/>
      </c>
      <c r="AC863" s="50">
        <f>Q863*K863</f>
        <v/>
      </c>
      <c r="AD863" s="50">
        <f>R863*K863</f>
        <v/>
      </c>
      <c r="AE863" s="50">
        <f>S863*K863</f>
        <v/>
      </c>
      <c r="AF863" s="50">
        <f>T863*K863</f>
        <v/>
      </c>
      <c r="AG863" s="50">
        <f>U863*K863</f>
        <v/>
      </c>
      <c r="AH863" s="50">
        <f>V863*K863</f>
        <v/>
      </c>
      <c r="AI863" s="50">
        <f>W863*K863</f>
        <v/>
      </c>
    </row>
    <row r="864">
      <c r="A864" s="25" t="n"/>
      <c r="B864" s="45">
        <f>IF(A864="","",IFERROR(INDEX(Mitarbeiter!$B$6:$B$205,MATCH($A864,Mitarbeiter!$A$6:$A$205,0)),"?"))</f>
        <v/>
      </c>
      <c r="C864" s="46" t="n"/>
      <c r="D864" s="26" t="n"/>
      <c r="E864" s="26" t="n"/>
      <c r="F864" s="24">
        <f>IF(A864="","",SUM(L864:W864))</f>
        <v/>
      </c>
      <c r="G864" s="36">
        <f>IF(A864="","",SUM(X864:AI864))</f>
        <v/>
      </c>
      <c r="H864" s="8">
        <f>IF(A864="","",IF(ISNA(MATCH(A864,Mitarbeiter!$A$6:$A$205,0)),"Pers.-Nr. unbekannt",IF(D864="","Von fehlt",IF(AND(C864&lt;&gt;Einstellungen!$C$4,C864&lt;&gt;Einstellungen!$C$5),"Objekt fehlt",IF(J864&lt;D864,"Bis vor Von",IF(D864&lt;INDEX(Mitarbeiter!$C$6:$C$205,MATCH($A864,Mitarbeiter!$A$6:$A$205,0)),"vor Eintritt",IF(AND(INDEX(Mitarbeiter!$D$6:$D$205,MATCH($A864,Mitarbeiter!$A$6:$A$205,0))&lt;&gt;"",D864&gt;INDEX(Mitarbeiter!$D$6:$D$205,MATCH($A864,Mitarbeiter!$A$6:$A$205,0))),"nach Austritt",IF(E864="","offen","ok"))))))))</f>
        <v/>
      </c>
      <c r="J864" s="47">
        <f>IF(A864="","",IF(E864="",Einstellungen!$C$9,E864))</f>
        <v/>
      </c>
      <c r="K864" s="48">
        <f>IF(A864="",0,IFERROR(INDEX(Mitarbeiter!$F$6:$F$205,MATCH($A864,Mitarbeiter!$A$6:$A$205,0)),0))</f>
        <v/>
      </c>
      <c r="L864" s="49">
        <f>IF(OR(A864="",D864=""),0,MAX(0,NETWORKDAYS(MAX(D864,DATE(Einstellungen!$C$3,1,1)),MIN(J864,DATE(Einstellungen!$C$3,2,0)),Einstellungen!$F$13:$F$32)))</f>
        <v/>
      </c>
      <c r="M864" s="49">
        <f>IF(OR(A864="",D864=""),0,MAX(0,NETWORKDAYS(MAX(D864,DATE(Einstellungen!$C$3,2,1)),MIN(J864,DATE(Einstellungen!$C$3,3,0)),Einstellungen!$F$13:$F$32)))</f>
        <v/>
      </c>
      <c r="N864" s="49">
        <f>IF(OR(A864="",D864=""),0,MAX(0,NETWORKDAYS(MAX(D864,DATE(Einstellungen!$C$3,3,1)),MIN(J864,DATE(Einstellungen!$C$3,4,0)),Einstellungen!$F$13:$F$32)))</f>
        <v/>
      </c>
      <c r="O864" s="49">
        <f>IF(OR(A864="",D864=""),0,MAX(0,NETWORKDAYS(MAX(D864,DATE(Einstellungen!$C$3,4,1)),MIN(J864,DATE(Einstellungen!$C$3,5,0)),Einstellungen!$F$13:$F$32)))</f>
        <v/>
      </c>
      <c r="P864" s="49">
        <f>IF(OR(A864="",D864=""),0,MAX(0,NETWORKDAYS(MAX(D864,DATE(Einstellungen!$C$3,5,1)),MIN(J864,DATE(Einstellungen!$C$3,6,0)),Einstellungen!$F$13:$F$32)))</f>
        <v/>
      </c>
      <c r="Q864" s="49">
        <f>IF(OR(A864="",D864=""),0,MAX(0,NETWORKDAYS(MAX(D864,DATE(Einstellungen!$C$3,6,1)),MIN(J864,DATE(Einstellungen!$C$3,7,0)),Einstellungen!$F$13:$F$32)))</f>
        <v/>
      </c>
      <c r="R864" s="49">
        <f>IF(OR(A864="",D864=""),0,MAX(0,NETWORKDAYS(MAX(D864,DATE(Einstellungen!$C$3,7,1)),MIN(J864,DATE(Einstellungen!$C$3,8,0)),Einstellungen!$F$13:$F$32)))</f>
        <v/>
      </c>
      <c r="S864" s="49">
        <f>IF(OR(A864="",D864=""),0,MAX(0,NETWORKDAYS(MAX(D864,DATE(Einstellungen!$C$3,8,1)),MIN(J864,DATE(Einstellungen!$C$3,9,0)),Einstellungen!$F$13:$F$32)))</f>
        <v/>
      </c>
      <c r="T864" s="49">
        <f>IF(OR(A864="",D864=""),0,MAX(0,NETWORKDAYS(MAX(D864,DATE(Einstellungen!$C$3,9,1)),MIN(J864,DATE(Einstellungen!$C$3,10,0)),Einstellungen!$F$13:$F$32)))</f>
        <v/>
      </c>
      <c r="U864" s="49">
        <f>IF(OR(A864="",D864=""),0,MAX(0,NETWORKDAYS(MAX(D864,DATE(Einstellungen!$C$3,10,1)),MIN(J864,DATE(Einstellungen!$C$3,11,0)),Einstellungen!$F$13:$F$32)))</f>
        <v/>
      </c>
      <c r="V864" s="49">
        <f>IF(OR(A864="",D864=""),0,MAX(0,NETWORKDAYS(MAX(D864,DATE(Einstellungen!$C$3,11,1)),MIN(J864,DATE(Einstellungen!$C$3,12,0)),Einstellungen!$F$13:$F$32)))</f>
        <v/>
      </c>
      <c r="W864" s="49">
        <f>IF(OR(A864="",D864=""),0,MAX(0,NETWORKDAYS(MAX(D864,DATE(Einstellungen!$C$3,12,1)),MIN(J864,DATE(Einstellungen!$C$3,13,0)),Einstellungen!$F$13:$F$32)))</f>
        <v/>
      </c>
      <c r="X864" s="50">
        <f>L864*K864</f>
        <v/>
      </c>
      <c r="Y864" s="50">
        <f>M864*K864</f>
        <v/>
      </c>
      <c r="Z864" s="50">
        <f>N864*K864</f>
        <v/>
      </c>
      <c r="AA864" s="50">
        <f>O864*K864</f>
        <v/>
      </c>
      <c r="AB864" s="50">
        <f>P864*K864</f>
        <v/>
      </c>
      <c r="AC864" s="50">
        <f>Q864*K864</f>
        <v/>
      </c>
      <c r="AD864" s="50">
        <f>R864*K864</f>
        <v/>
      </c>
      <c r="AE864" s="50">
        <f>S864*K864</f>
        <v/>
      </c>
      <c r="AF864" s="50">
        <f>T864*K864</f>
        <v/>
      </c>
      <c r="AG864" s="50">
        <f>U864*K864</f>
        <v/>
      </c>
      <c r="AH864" s="50">
        <f>V864*K864</f>
        <v/>
      </c>
      <c r="AI864" s="50">
        <f>W864*K864</f>
        <v/>
      </c>
    </row>
    <row r="865">
      <c r="A865" s="25" t="n"/>
      <c r="B865" s="45">
        <f>IF(A865="","",IFERROR(INDEX(Mitarbeiter!$B$6:$B$205,MATCH($A865,Mitarbeiter!$A$6:$A$205,0)),"?"))</f>
        <v/>
      </c>
      <c r="C865" s="46" t="n"/>
      <c r="D865" s="26" t="n"/>
      <c r="E865" s="26" t="n"/>
      <c r="F865" s="24">
        <f>IF(A865="","",SUM(L865:W865))</f>
        <v/>
      </c>
      <c r="G865" s="36">
        <f>IF(A865="","",SUM(X865:AI865))</f>
        <v/>
      </c>
      <c r="H865" s="8">
        <f>IF(A865="","",IF(ISNA(MATCH(A865,Mitarbeiter!$A$6:$A$205,0)),"Pers.-Nr. unbekannt",IF(D865="","Von fehlt",IF(AND(C865&lt;&gt;Einstellungen!$C$4,C865&lt;&gt;Einstellungen!$C$5),"Objekt fehlt",IF(J865&lt;D865,"Bis vor Von",IF(D865&lt;INDEX(Mitarbeiter!$C$6:$C$205,MATCH($A865,Mitarbeiter!$A$6:$A$205,0)),"vor Eintritt",IF(AND(INDEX(Mitarbeiter!$D$6:$D$205,MATCH($A865,Mitarbeiter!$A$6:$A$205,0))&lt;&gt;"",D865&gt;INDEX(Mitarbeiter!$D$6:$D$205,MATCH($A865,Mitarbeiter!$A$6:$A$205,0))),"nach Austritt",IF(E865="","offen","ok"))))))))</f>
        <v/>
      </c>
      <c r="J865" s="47">
        <f>IF(A865="","",IF(E865="",Einstellungen!$C$9,E865))</f>
        <v/>
      </c>
      <c r="K865" s="48">
        <f>IF(A865="",0,IFERROR(INDEX(Mitarbeiter!$F$6:$F$205,MATCH($A865,Mitarbeiter!$A$6:$A$205,0)),0))</f>
        <v/>
      </c>
      <c r="L865" s="49">
        <f>IF(OR(A865="",D865=""),0,MAX(0,NETWORKDAYS(MAX(D865,DATE(Einstellungen!$C$3,1,1)),MIN(J865,DATE(Einstellungen!$C$3,2,0)),Einstellungen!$F$13:$F$32)))</f>
        <v/>
      </c>
      <c r="M865" s="49">
        <f>IF(OR(A865="",D865=""),0,MAX(0,NETWORKDAYS(MAX(D865,DATE(Einstellungen!$C$3,2,1)),MIN(J865,DATE(Einstellungen!$C$3,3,0)),Einstellungen!$F$13:$F$32)))</f>
        <v/>
      </c>
      <c r="N865" s="49">
        <f>IF(OR(A865="",D865=""),0,MAX(0,NETWORKDAYS(MAX(D865,DATE(Einstellungen!$C$3,3,1)),MIN(J865,DATE(Einstellungen!$C$3,4,0)),Einstellungen!$F$13:$F$32)))</f>
        <v/>
      </c>
      <c r="O865" s="49">
        <f>IF(OR(A865="",D865=""),0,MAX(0,NETWORKDAYS(MAX(D865,DATE(Einstellungen!$C$3,4,1)),MIN(J865,DATE(Einstellungen!$C$3,5,0)),Einstellungen!$F$13:$F$32)))</f>
        <v/>
      </c>
      <c r="P865" s="49">
        <f>IF(OR(A865="",D865=""),0,MAX(0,NETWORKDAYS(MAX(D865,DATE(Einstellungen!$C$3,5,1)),MIN(J865,DATE(Einstellungen!$C$3,6,0)),Einstellungen!$F$13:$F$32)))</f>
        <v/>
      </c>
      <c r="Q865" s="49">
        <f>IF(OR(A865="",D865=""),0,MAX(0,NETWORKDAYS(MAX(D865,DATE(Einstellungen!$C$3,6,1)),MIN(J865,DATE(Einstellungen!$C$3,7,0)),Einstellungen!$F$13:$F$32)))</f>
        <v/>
      </c>
      <c r="R865" s="49">
        <f>IF(OR(A865="",D865=""),0,MAX(0,NETWORKDAYS(MAX(D865,DATE(Einstellungen!$C$3,7,1)),MIN(J865,DATE(Einstellungen!$C$3,8,0)),Einstellungen!$F$13:$F$32)))</f>
        <v/>
      </c>
      <c r="S865" s="49">
        <f>IF(OR(A865="",D865=""),0,MAX(0,NETWORKDAYS(MAX(D865,DATE(Einstellungen!$C$3,8,1)),MIN(J865,DATE(Einstellungen!$C$3,9,0)),Einstellungen!$F$13:$F$32)))</f>
        <v/>
      </c>
      <c r="T865" s="49">
        <f>IF(OR(A865="",D865=""),0,MAX(0,NETWORKDAYS(MAX(D865,DATE(Einstellungen!$C$3,9,1)),MIN(J865,DATE(Einstellungen!$C$3,10,0)),Einstellungen!$F$13:$F$32)))</f>
        <v/>
      </c>
      <c r="U865" s="49">
        <f>IF(OR(A865="",D865=""),0,MAX(0,NETWORKDAYS(MAX(D865,DATE(Einstellungen!$C$3,10,1)),MIN(J865,DATE(Einstellungen!$C$3,11,0)),Einstellungen!$F$13:$F$32)))</f>
        <v/>
      </c>
      <c r="V865" s="49">
        <f>IF(OR(A865="",D865=""),0,MAX(0,NETWORKDAYS(MAX(D865,DATE(Einstellungen!$C$3,11,1)),MIN(J865,DATE(Einstellungen!$C$3,12,0)),Einstellungen!$F$13:$F$32)))</f>
        <v/>
      </c>
      <c r="W865" s="49">
        <f>IF(OR(A865="",D865=""),0,MAX(0,NETWORKDAYS(MAX(D865,DATE(Einstellungen!$C$3,12,1)),MIN(J865,DATE(Einstellungen!$C$3,13,0)),Einstellungen!$F$13:$F$32)))</f>
        <v/>
      </c>
      <c r="X865" s="50">
        <f>L865*K865</f>
        <v/>
      </c>
      <c r="Y865" s="50">
        <f>M865*K865</f>
        <v/>
      </c>
      <c r="Z865" s="50">
        <f>N865*K865</f>
        <v/>
      </c>
      <c r="AA865" s="50">
        <f>O865*K865</f>
        <v/>
      </c>
      <c r="AB865" s="50">
        <f>P865*K865</f>
        <v/>
      </c>
      <c r="AC865" s="50">
        <f>Q865*K865</f>
        <v/>
      </c>
      <c r="AD865" s="50">
        <f>R865*K865</f>
        <v/>
      </c>
      <c r="AE865" s="50">
        <f>S865*K865</f>
        <v/>
      </c>
      <c r="AF865" s="50">
        <f>T865*K865</f>
        <v/>
      </c>
      <c r="AG865" s="50">
        <f>U865*K865</f>
        <v/>
      </c>
      <c r="AH865" s="50">
        <f>V865*K865</f>
        <v/>
      </c>
      <c r="AI865" s="50">
        <f>W865*K865</f>
        <v/>
      </c>
    </row>
    <row r="866">
      <c r="A866" s="25" t="n"/>
      <c r="B866" s="45">
        <f>IF(A866="","",IFERROR(INDEX(Mitarbeiter!$B$6:$B$205,MATCH($A866,Mitarbeiter!$A$6:$A$205,0)),"?"))</f>
        <v/>
      </c>
      <c r="C866" s="46" t="n"/>
      <c r="D866" s="26" t="n"/>
      <c r="E866" s="26" t="n"/>
      <c r="F866" s="24">
        <f>IF(A866="","",SUM(L866:W866))</f>
        <v/>
      </c>
      <c r="G866" s="36">
        <f>IF(A866="","",SUM(X866:AI866))</f>
        <v/>
      </c>
      <c r="H866" s="8">
        <f>IF(A866="","",IF(ISNA(MATCH(A866,Mitarbeiter!$A$6:$A$205,0)),"Pers.-Nr. unbekannt",IF(D866="","Von fehlt",IF(AND(C866&lt;&gt;Einstellungen!$C$4,C866&lt;&gt;Einstellungen!$C$5),"Objekt fehlt",IF(J866&lt;D866,"Bis vor Von",IF(D866&lt;INDEX(Mitarbeiter!$C$6:$C$205,MATCH($A866,Mitarbeiter!$A$6:$A$205,0)),"vor Eintritt",IF(AND(INDEX(Mitarbeiter!$D$6:$D$205,MATCH($A866,Mitarbeiter!$A$6:$A$205,0))&lt;&gt;"",D866&gt;INDEX(Mitarbeiter!$D$6:$D$205,MATCH($A866,Mitarbeiter!$A$6:$A$205,0))),"nach Austritt",IF(E866="","offen","ok"))))))))</f>
        <v/>
      </c>
      <c r="J866" s="47">
        <f>IF(A866="","",IF(E866="",Einstellungen!$C$9,E866))</f>
        <v/>
      </c>
      <c r="K866" s="48">
        <f>IF(A866="",0,IFERROR(INDEX(Mitarbeiter!$F$6:$F$205,MATCH($A866,Mitarbeiter!$A$6:$A$205,0)),0))</f>
        <v/>
      </c>
      <c r="L866" s="49">
        <f>IF(OR(A866="",D866=""),0,MAX(0,NETWORKDAYS(MAX(D866,DATE(Einstellungen!$C$3,1,1)),MIN(J866,DATE(Einstellungen!$C$3,2,0)),Einstellungen!$F$13:$F$32)))</f>
        <v/>
      </c>
      <c r="M866" s="49">
        <f>IF(OR(A866="",D866=""),0,MAX(0,NETWORKDAYS(MAX(D866,DATE(Einstellungen!$C$3,2,1)),MIN(J866,DATE(Einstellungen!$C$3,3,0)),Einstellungen!$F$13:$F$32)))</f>
        <v/>
      </c>
      <c r="N866" s="49">
        <f>IF(OR(A866="",D866=""),0,MAX(0,NETWORKDAYS(MAX(D866,DATE(Einstellungen!$C$3,3,1)),MIN(J866,DATE(Einstellungen!$C$3,4,0)),Einstellungen!$F$13:$F$32)))</f>
        <v/>
      </c>
      <c r="O866" s="49">
        <f>IF(OR(A866="",D866=""),0,MAX(0,NETWORKDAYS(MAX(D866,DATE(Einstellungen!$C$3,4,1)),MIN(J866,DATE(Einstellungen!$C$3,5,0)),Einstellungen!$F$13:$F$32)))</f>
        <v/>
      </c>
      <c r="P866" s="49">
        <f>IF(OR(A866="",D866=""),0,MAX(0,NETWORKDAYS(MAX(D866,DATE(Einstellungen!$C$3,5,1)),MIN(J866,DATE(Einstellungen!$C$3,6,0)),Einstellungen!$F$13:$F$32)))</f>
        <v/>
      </c>
      <c r="Q866" s="49">
        <f>IF(OR(A866="",D866=""),0,MAX(0,NETWORKDAYS(MAX(D866,DATE(Einstellungen!$C$3,6,1)),MIN(J866,DATE(Einstellungen!$C$3,7,0)),Einstellungen!$F$13:$F$32)))</f>
        <v/>
      </c>
      <c r="R866" s="49">
        <f>IF(OR(A866="",D866=""),0,MAX(0,NETWORKDAYS(MAX(D866,DATE(Einstellungen!$C$3,7,1)),MIN(J866,DATE(Einstellungen!$C$3,8,0)),Einstellungen!$F$13:$F$32)))</f>
        <v/>
      </c>
      <c r="S866" s="49">
        <f>IF(OR(A866="",D866=""),0,MAX(0,NETWORKDAYS(MAX(D866,DATE(Einstellungen!$C$3,8,1)),MIN(J866,DATE(Einstellungen!$C$3,9,0)),Einstellungen!$F$13:$F$32)))</f>
        <v/>
      </c>
      <c r="T866" s="49">
        <f>IF(OR(A866="",D866=""),0,MAX(0,NETWORKDAYS(MAX(D866,DATE(Einstellungen!$C$3,9,1)),MIN(J866,DATE(Einstellungen!$C$3,10,0)),Einstellungen!$F$13:$F$32)))</f>
        <v/>
      </c>
      <c r="U866" s="49">
        <f>IF(OR(A866="",D866=""),0,MAX(0,NETWORKDAYS(MAX(D866,DATE(Einstellungen!$C$3,10,1)),MIN(J866,DATE(Einstellungen!$C$3,11,0)),Einstellungen!$F$13:$F$32)))</f>
        <v/>
      </c>
      <c r="V866" s="49">
        <f>IF(OR(A866="",D866=""),0,MAX(0,NETWORKDAYS(MAX(D866,DATE(Einstellungen!$C$3,11,1)),MIN(J866,DATE(Einstellungen!$C$3,12,0)),Einstellungen!$F$13:$F$32)))</f>
        <v/>
      </c>
      <c r="W866" s="49">
        <f>IF(OR(A866="",D866=""),0,MAX(0,NETWORKDAYS(MAX(D866,DATE(Einstellungen!$C$3,12,1)),MIN(J866,DATE(Einstellungen!$C$3,13,0)),Einstellungen!$F$13:$F$32)))</f>
        <v/>
      </c>
      <c r="X866" s="50">
        <f>L866*K866</f>
        <v/>
      </c>
      <c r="Y866" s="50">
        <f>M866*K866</f>
        <v/>
      </c>
      <c r="Z866" s="50">
        <f>N866*K866</f>
        <v/>
      </c>
      <c r="AA866" s="50">
        <f>O866*K866</f>
        <v/>
      </c>
      <c r="AB866" s="50">
        <f>P866*K866</f>
        <v/>
      </c>
      <c r="AC866" s="50">
        <f>Q866*K866</f>
        <v/>
      </c>
      <c r="AD866" s="50">
        <f>R866*K866</f>
        <v/>
      </c>
      <c r="AE866" s="50">
        <f>S866*K866</f>
        <v/>
      </c>
      <c r="AF866" s="50">
        <f>T866*K866</f>
        <v/>
      </c>
      <c r="AG866" s="50">
        <f>U866*K866</f>
        <v/>
      </c>
      <c r="AH866" s="50">
        <f>V866*K866</f>
        <v/>
      </c>
      <c r="AI866" s="50">
        <f>W866*K866</f>
        <v/>
      </c>
    </row>
    <row r="867">
      <c r="A867" s="25" t="n"/>
      <c r="B867" s="45">
        <f>IF(A867="","",IFERROR(INDEX(Mitarbeiter!$B$6:$B$205,MATCH($A867,Mitarbeiter!$A$6:$A$205,0)),"?"))</f>
        <v/>
      </c>
      <c r="C867" s="46" t="n"/>
      <c r="D867" s="26" t="n"/>
      <c r="E867" s="26" t="n"/>
      <c r="F867" s="24">
        <f>IF(A867="","",SUM(L867:W867))</f>
        <v/>
      </c>
      <c r="G867" s="36">
        <f>IF(A867="","",SUM(X867:AI867))</f>
        <v/>
      </c>
      <c r="H867" s="8">
        <f>IF(A867="","",IF(ISNA(MATCH(A867,Mitarbeiter!$A$6:$A$205,0)),"Pers.-Nr. unbekannt",IF(D867="","Von fehlt",IF(AND(C867&lt;&gt;Einstellungen!$C$4,C867&lt;&gt;Einstellungen!$C$5),"Objekt fehlt",IF(J867&lt;D867,"Bis vor Von",IF(D867&lt;INDEX(Mitarbeiter!$C$6:$C$205,MATCH($A867,Mitarbeiter!$A$6:$A$205,0)),"vor Eintritt",IF(AND(INDEX(Mitarbeiter!$D$6:$D$205,MATCH($A867,Mitarbeiter!$A$6:$A$205,0))&lt;&gt;"",D867&gt;INDEX(Mitarbeiter!$D$6:$D$205,MATCH($A867,Mitarbeiter!$A$6:$A$205,0))),"nach Austritt",IF(E867="","offen","ok"))))))))</f>
        <v/>
      </c>
      <c r="J867" s="47">
        <f>IF(A867="","",IF(E867="",Einstellungen!$C$9,E867))</f>
        <v/>
      </c>
      <c r="K867" s="48">
        <f>IF(A867="",0,IFERROR(INDEX(Mitarbeiter!$F$6:$F$205,MATCH($A867,Mitarbeiter!$A$6:$A$205,0)),0))</f>
        <v/>
      </c>
      <c r="L867" s="49">
        <f>IF(OR(A867="",D867=""),0,MAX(0,NETWORKDAYS(MAX(D867,DATE(Einstellungen!$C$3,1,1)),MIN(J867,DATE(Einstellungen!$C$3,2,0)),Einstellungen!$F$13:$F$32)))</f>
        <v/>
      </c>
      <c r="M867" s="49">
        <f>IF(OR(A867="",D867=""),0,MAX(0,NETWORKDAYS(MAX(D867,DATE(Einstellungen!$C$3,2,1)),MIN(J867,DATE(Einstellungen!$C$3,3,0)),Einstellungen!$F$13:$F$32)))</f>
        <v/>
      </c>
      <c r="N867" s="49">
        <f>IF(OR(A867="",D867=""),0,MAX(0,NETWORKDAYS(MAX(D867,DATE(Einstellungen!$C$3,3,1)),MIN(J867,DATE(Einstellungen!$C$3,4,0)),Einstellungen!$F$13:$F$32)))</f>
        <v/>
      </c>
      <c r="O867" s="49">
        <f>IF(OR(A867="",D867=""),0,MAX(0,NETWORKDAYS(MAX(D867,DATE(Einstellungen!$C$3,4,1)),MIN(J867,DATE(Einstellungen!$C$3,5,0)),Einstellungen!$F$13:$F$32)))</f>
        <v/>
      </c>
      <c r="P867" s="49">
        <f>IF(OR(A867="",D867=""),0,MAX(0,NETWORKDAYS(MAX(D867,DATE(Einstellungen!$C$3,5,1)),MIN(J867,DATE(Einstellungen!$C$3,6,0)),Einstellungen!$F$13:$F$32)))</f>
        <v/>
      </c>
      <c r="Q867" s="49">
        <f>IF(OR(A867="",D867=""),0,MAX(0,NETWORKDAYS(MAX(D867,DATE(Einstellungen!$C$3,6,1)),MIN(J867,DATE(Einstellungen!$C$3,7,0)),Einstellungen!$F$13:$F$32)))</f>
        <v/>
      </c>
      <c r="R867" s="49">
        <f>IF(OR(A867="",D867=""),0,MAX(0,NETWORKDAYS(MAX(D867,DATE(Einstellungen!$C$3,7,1)),MIN(J867,DATE(Einstellungen!$C$3,8,0)),Einstellungen!$F$13:$F$32)))</f>
        <v/>
      </c>
      <c r="S867" s="49">
        <f>IF(OR(A867="",D867=""),0,MAX(0,NETWORKDAYS(MAX(D867,DATE(Einstellungen!$C$3,8,1)),MIN(J867,DATE(Einstellungen!$C$3,9,0)),Einstellungen!$F$13:$F$32)))</f>
        <v/>
      </c>
      <c r="T867" s="49">
        <f>IF(OR(A867="",D867=""),0,MAX(0,NETWORKDAYS(MAX(D867,DATE(Einstellungen!$C$3,9,1)),MIN(J867,DATE(Einstellungen!$C$3,10,0)),Einstellungen!$F$13:$F$32)))</f>
        <v/>
      </c>
      <c r="U867" s="49">
        <f>IF(OR(A867="",D867=""),0,MAX(0,NETWORKDAYS(MAX(D867,DATE(Einstellungen!$C$3,10,1)),MIN(J867,DATE(Einstellungen!$C$3,11,0)),Einstellungen!$F$13:$F$32)))</f>
        <v/>
      </c>
      <c r="V867" s="49">
        <f>IF(OR(A867="",D867=""),0,MAX(0,NETWORKDAYS(MAX(D867,DATE(Einstellungen!$C$3,11,1)),MIN(J867,DATE(Einstellungen!$C$3,12,0)),Einstellungen!$F$13:$F$32)))</f>
        <v/>
      </c>
      <c r="W867" s="49">
        <f>IF(OR(A867="",D867=""),0,MAX(0,NETWORKDAYS(MAX(D867,DATE(Einstellungen!$C$3,12,1)),MIN(J867,DATE(Einstellungen!$C$3,13,0)),Einstellungen!$F$13:$F$32)))</f>
        <v/>
      </c>
      <c r="X867" s="50">
        <f>L867*K867</f>
        <v/>
      </c>
      <c r="Y867" s="50">
        <f>M867*K867</f>
        <v/>
      </c>
      <c r="Z867" s="50">
        <f>N867*K867</f>
        <v/>
      </c>
      <c r="AA867" s="50">
        <f>O867*K867</f>
        <v/>
      </c>
      <c r="AB867" s="50">
        <f>P867*K867</f>
        <v/>
      </c>
      <c r="AC867" s="50">
        <f>Q867*K867</f>
        <v/>
      </c>
      <c r="AD867" s="50">
        <f>R867*K867</f>
        <v/>
      </c>
      <c r="AE867" s="50">
        <f>S867*K867</f>
        <v/>
      </c>
      <c r="AF867" s="50">
        <f>T867*K867</f>
        <v/>
      </c>
      <c r="AG867" s="50">
        <f>U867*K867</f>
        <v/>
      </c>
      <c r="AH867" s="50">
        <f>V867*K867</f>
        <v/>
      </c>
      <c r="AI867" s="50">
        <f>W867*K867</f>
        <v/>
      </c>
    </row>
    <row r="868">
      <c r="A868" s="25" t="n"/>
      <c r="B868" s="45">
        <f>IF(A868="","",IFERROR(INDEX(Mitarbeiter!$B$6:$B$205,MATCH($A868,Mitarbeiter!$A$6:$A$205,0)),"?"))</f>
        <v/>
      </c>
      <c r="C868" s="46" t="n"/>
      <c r="D868" s="26" t="n"/>
      <c r="E868" s="26" t="n"/>
      <c r="F868" s="24">
        <f>IF(A868="","",SUM(L868:W868))</f>
        <v/>
      </c>
      <c r="G868" s="36">
        <f>IF(A868="","",SUM(X868:AI868))</f>
        <v/>
      </c>
      <c r="H868" s="8">
        <f>IF(A868="","",IF(ISNA(MATCH(A868,Mitarbeiter!$A$6:$A$205,0)),"Pers.-Nr. unbekannt",IF(D868="","Von fehlt",IF(AND(C868&lt;&gt;Einstellungen!$C$4,C868&lt;&gt;Einstellungen!$C$5),"Objekt fehlt",IF(J868&lt;D868,"Bis vor Von",IF(D868&lt;INDEX(Mitarbeiter!$C$6:$C$205,MATCH($A868,Mitarbeiter!$A$6:$A$205,0)),"vor Eintritt",IF(AND(INDEX(Mitarbeiter!$D$6:$D$205,MATCH($A868,Mitarbeiter!$A$6:$A$205,0))&lt;&gt;"",D868&gt;INDEX(Mitarbeiter!$D$6:$D$205,MATCH($A868,Mitarbeiter!$A$6:$A$205,0))),"nach Austritt",IF(E868="","offen","ok"))))))))</f>
        <v/>
      </c>
      <c r="J868" s="47">
        <f>IF(A868="","",IF(E868="",Einstellungen!$C$9,E868))</f>
        <v/>
      </c>
      <c r="K868" s="48">
        <f>IF(A868="",0,IFERROR(INDEX(Mitarbeiter!$F$6:$F$205,MATCH($A868,Mitarbeiter!$A$6:$A$205,0)),0))</f>
        <v/>
      </c>
      <c r="L868" s="49">
        <f>IF(OR(A868="",D868=""),0,MAX(0,NETWORKDAYS(MAX(D868,DATE(Einstellungen!$C$3,1,1)),MIN(J868,DATE(Einstellungen!$C$3,2,0)),Einstellungen!$F$13:$F$32)))</f>
        <v/>
      </c>
      <c r="M868" s="49">
        <f>IF(OR(A868="",D868=""),0,MAX(0,NETWORKDAYS(MAX(D868,DATE(Einstellungen!$C$3,2,1)),MIN(J868,DATE(Einstellungen!$C$3,3,0)),Einstellungen!$F$13:$F$32)))</f>
        <v/>
      </c>
      <c r="N868" s="49">
        <f>IF(OR(A868="",D868=""),0,MAX(0,NETWORKDAYS(MAX(D868,DATE(Einstellungen!$C$3,3,1)),MIN(J868,DATE(Einstellungen!$C$3,4,0)),Einstellungen!$F$13:$F$32)))</f>
        <v/>
      </c>
      <c r="O868" s="49">
        <f>IF(OR(A868="",D868=""),0,MAX(0,NETWORKDAYS(MAX(D868,DATE(Einstellungen!$C$3,4,1)),MIN(J868,DATE(Einstellungen!$C$3,5,0)),Einstellungen!$F$13:$F$32)))</f>
        <v/>
      </c>
      <c r="P868" s="49">
        <f>IF(OR(A868="",D868=""),0,MAX(0,NETWORKDAYS(MAX(D868,DATE(Einstellungen!$C$3,5,1)),MIN(J868,DATE(Einstellungen!$C$3,6,0)),Einstellungen!$F$13:$F$32)))</f>
        <v/>
      </c>
      <c r="Q868" s="49">
        <f>IF(OR(A868="",D868=""),0,MAX(0,NETWORKDAYS(MAX(D868,DATE(Einstellungen!$C$3,6,1)),MIN(J868,DATE(Einstellungen!$C$3,7,0)),Einstellungen!$F$13:$F$32)))</f>
        <v/>
      </c>
      <c r="R868" s="49">
        <f>IF(OR(A868="",D868=""),0,MAX(0,NETWORKDAYS(MAX(D868,DATE(Einstellungen!$C$3,7,1)),MIN(J868,DATE(Einstellungen!$C$3,8,0)),Einstellungen!$F$13:$F$32)))</f>
        <v/>
      </c>
      <c r="S868" s="49">
        <f>IF(OR(A868="",D868=""),0,MAX(0,NETWORKDAYS(MAX(D868,DATE(Einstellungen!$C$3,8,1)),MIN(J868,DATE(Einstellungen!$C$3,9,0)),Einstellungen!$F$13:$F$32)))</f>
        <v/>
      </c>
      <c r="T868" s="49">
        <f>IF(OR(A868="",D868=""),0,MAX(0,NETWORKDAYS(MAX(D868,DATE(Einstellungen!$C$3,9,1)),MIN(J868,DATE(Einstellungen!$C$3,10,0)),Einstellungen!$F$13:$F$32)))</f>
        <v/>
      </c>
      <c r="U868" s="49">
        <f>IF(OR(A868="",D868=""),0,MAX(0,NETWORKDAYS(MAX(D868,DATE(Einstellungen!$C$3,10,1)),MIN(J868,DATE(Einstellungen!$C$3,11,0)),Einstellungen!$F$13:$F$32)))</f>
        <v/>
      </c>
      <c r="V868" s="49">
        <f>IF(OR(A868="",D868=""),0,MAX(0,NETWORKDAYS(MAX(D868,DATE(Einstellungen!$C$3,11,1)),MIN(J868,DATE(Einstellungen!$C$3,12,0)),Einstellungen!$F$13:$F$32)))</f>
        <v/>
      </c>
      <c r="W868" s="49">
        <f>IF(OR(A868="",D868=""),0,MAX(0,NETWORKDAYS(MAX(D868,DATE(Einstellungen!$C$3,12,1)),MIN(J868,DATE(Einstellungen!$C$3,13,0)),Einstellungen!$F$13:$F$32)))</f>
        <v/>
      </c>
      <c r="X868" s="50">
        <f>L868*K868</f>
        <v/>
      </c>
      <c r="Y868" s="50">
        <f>M868*K868</f>
        <v/>
      </c>
      <c r="Z868" s="50">
        <f>N868*K868</f>
        <v/>
      </c>
      <c r="AA868" s="50">
        <f>O868*K868</f>
        <v/>
      </c>
      <c r="AB868" s="50">
        <f>P868*K868</f>
        <v/>
      </c>
      <c r="AC868" s="50">
        <f>Q868*K868</f>
        <v/>
      </c>
      <c r="AD868" s="50">
        <f>R868*K868</f>
        <v/>
      </c>
      <c r="AE868" s="50">
        <f>S868*K868</f>
        <v/>
      </c>
      <c r="AF868" s="50">
        <f>T868*K868</f>
        <v/>
      </c>
      <c r="AG868" s="50">
        <f>U868*K868</f>
        <v/>
      </c>
      <c r="AH868" s="50">
        <f>V868*K868</f>
        <v/>
      </c>
      <c r="AI868" s="50">
        <f>W868*K868</f>
        <v/>
      </c>
    </row>
    <row r="869">
      <c r="A869" s="25" t="n"/>
      <c r="B869" s="45">
        <f>IF(A869="","",IFERROR(INDEX(Mitarbeiter!$B$6:$B$205,MATCH($A869,Mitarbeiter!$A$6:$A$205,0)),"?"))</f>
        <v/>
      </c>
      <c r="C869" s="46" t="n"/>
      <c r="D869" s="26" t="n"/>
      <c r="E869" s="26" t="n"/>
      <c r="F869" s="24">
        <f>IF(A869="","",SUM(L869:W869))</f>
        <v/>
      </c>
      <c r="G869" s="36">
        <f>IF(A869="","",SUM(X869:AI869))</f>
        <v/>
      </c>
      <c r="H869" s="8">
        <f>IF(A869="","",IF(ISNA(MATCH(A869,Mitarbeiter!$A$6:$A$205,0)),"Pers.-Nr. unbekannt",IF(D869="","Von fehlt",IF(AND(C869&lt;&gt;Einstellungen!$C$4,C869&lt;&gt;Einstellungen!$C$5),"Objekt fehlt",IF(J869&lt;D869,"Bis vor Von",IF(D869&lt;INDEX(Mitarbeiter!$C$6:$C$205,MATCH($A869,Mitarbeiter!$A$6:$A$205,0)),"vor Eintritt",IF(AND(INDEX(Mitarbeiter!$D$6:$D$205,MATCH($A869,Mitarbeiter!$A$6:$A$205,0))&lt;&gt;"",D869&gt;INDEX(Mitarbeiter!$D$6:$D$205,MATCH($A869,Mitarbeiter!$A$6:$A$205,0))),"nach Austritt",IF(E869="","offen","ok"))))))))</f>
        <v/>
      </c>
      <c r="J869" s="47">
        <f>IF(A869="","",IF(E869="",Einstellungen!$C$9,E869))</f>
        <v/>
      </c>
      <c r="K869" s="48">
        <f>IF(A869="",0,IFERROR(INDEX(Mitarbeiter!$F$6:$F$205,MATCH($A869,Mitarbeiter!$A$6:$A$205,0)),0))</f>
        <v/>
      </c>
      <c r="L869" s="49">
        <f>IF(OR(A869="",D869=""),0,MAX(0,NETWORKDAYS(MAX(D869,DATE(Einstellungen!$C$3,1,1)),MIN(J869,DATE(Einstellungen!$C$3,2,0)),Einstellungen!$F$13:$F$32)))</f>
        <v/>
      </c>
      <c r="M869" s="49">
        <f>IF(OR(A869="",D869=""),0,MAX(0,NETWORKDAYS(MAX(D869,DATE(Einstellungen!$C$3,2,1)),MIN(J869,DATE(Einstellungen!$C$3,3,0)),Einstellungen!$F$13:$F$32)))</f>
        <v/>
      </c>
      <c r="N869" s="49">
        <f>IF(OR(A869="",D869=""),0,MAX(0,NETWORKDAYS(MAX(D869,DATE(Einstellungen!$C$3,3,1)),MIN(J869,DATE(Einstellungen!$C$3,4,0)),Einstellungen!$F$13:$F$32)))</f>
        <v/>
      </c>
      <c r="O869" s="49">
        <f>IF(OR(A869="",D869=""),0,MAX(0,NETWORKDAYS(MAX(D869,DATE(Einstellungen!$C$3,4,1)),MIN(J869,DATE(Einstellungen!$C$3,5,0)),Einstellungen!$F$13:$F$32)))</f>
        <v/>
      </c>
      <c r="P869" s="49">
        <f>IF(OR(A869="",D869=""),0,MAX(0,NETWORKDAYS(MAX(D869,DATE(Einstellungen!$C$3,5,1)),MIN(J869,DATE(Einstellungen!$C$3,6,0)),Einstellungen!$F$13:$F$32)))</f>
        <v/>
      </c>
      <c r="Q869" s="49">
        <f>IF(OR(A869="",D869=""),0,MAX(0,NETWORKDAYS(MAX(D869,DATE(Einstellungen!$C$3,6,1)),MIN(J869,DATE(Einstellungen!$C$3,7,0)),Einstellungen!$F$13:$F$32)))</f>
        <v/>
      </c>
      <c r="R869" s="49">
        <f>IF(OR(A869="",D869=""),0,MAX(0,NETWORKDAYS(MAX(D869,DATE(Einstellungen!$C$3,7,1)),MIN(J869,DATE(Einstellungen!$C$3,8,0)),Einstellungen!$F$13:$F$32)))</f>
        <v/>
      </c>
      <c r="S869" s="49">
        <f>IF(OR(A869="",D869=""),0,MAX(0,NETWORKDAYS(MAX(D869,DATE(Einstellungen!$C$3,8,1)),MIN(J869,DATE(Einstellungen!$C$3,9,0)),Einstellungen!$F$13:$F$32)))</f>
        <v/>
      </c>
      <c r="T869" s="49">
        <f>IF(OR(A869="",D869=""),0,MAX(0,NETWORKDAYS(MAX(D869,DATE(Einstellungen!$C$3,9,1)),MIN(J869,DATE(Einstellungen!$C$3,10,0)),Einstellungen!$F$13:$F$32)))</f>
        <v/>
      </c>
      <c r="U869" s="49">
        <f>IF(OR(A869="",D869=""),0,MAX(0,NETWORKDAYS(MAX(D869,DATE(Einstellungen!$C$3,10,1)),MIN(J869,DATE(Einstellungen!$C$3,11,0)),Einstellungen!$F$13:$F$32)))</f>
        <v/>
      </c>
      <c r="V869" s="49">
        <f>IF(OR(A869="",D869=""),0,MAX(0,NETWORKDAYS(MAX(D869,DATE(Einstellungen!$C$3,11,1)),MIN(J869,DATE(Einstellungen!$C$3,12,0)),Einstellungen!$F$13:$F$32)))</f>
        <v/>
      </c>
      <c r="W869" s="49">
        <f>IF(OR(A869="",D869=""),0,MAX(0,NETWORKDAYS(MAX(D869,DATE(Einstellungen!$C$3,12,1)),MIN(J869,DATE(Einstellungen!$C$3,13,0)),Einstellungen!$F$13:$F$32)))</f>
        <v/>
      </c>
      <c r="X869" s="50">
        <f>L869*K869</f>
        <v/>
      </c>
      <c r="Y869" s="50">
        <f>M869*K869</f>
        <v/>
      </c>
      <c r="Z869" s="50">
        <f>N869*K869</f>
        <v/>
      </c>
      <c r="AA869" s="50">
        <f>O869*K869</f>
        <v/>
      </c>
      <c r="AB869" s="50">
        <f>P869*K869</f>
        <v/>
      </c>
      <c r="AC869" s="50">
        <f>Q869*K869</f>
        <v/>
      </c>
      <c r="AD869" s="50">
        <f>R869*K869</f>
        <v/>
      </c>
      <c r="AE869" s="50">
        <f>S869*K869</f>
        <v/>
      </c>
      <c r="AF869" s="50">
        <f>T869*K869</f>
        <v/>
      </c>
      <c r="AG869" s="50">
        <f>U869*K869</f>
        <v/>
      </c>
      <c r="AH869" s="50">
        <f>V869*K869</f>
        <v/>
      </c>
      <c r="AI869" s="50">
        <f>W869*K869</f>
        <v/>
      </c>
    </row>
    <row r="870">
      <c r="A870" s="25" t="n"/>
      <c r="B870" s="45">
        <f>IF(A870="","",IFERROR(INDEX(Mitarbeiter!$B$6:$B$205,MATCH($A870,Mitarbeiter!$A$6:$A$205,0)),"?"))</f>
        <v/>
      </c>
      <c r="C870" s="46" t="n"/>
      <c r="D870" s="26" t="n"/>
      <c r="E870" s="26" t="n"/>
      <c r="F870" s="24">
        <f>IF(A870="","",SUM(L870:W870))</f>
        <v/>
      </c>
      <c r="G870" s="36">
        <f>IF(A870="","",SUM(X870:AI870))</f>
        <v/>
      </c>
      <c r="H870" s="8">
        <f>IF(A870="","",IF(ISNA(MATCH(A870,Mitarbeiter!$A$6:$A$205,0)),"Pers.-Nr. unbekannt",IF(D870="","Von fehlt",IF(AND(C870&lt;&gt;Einstellungen!$C$4,C870&lt;&gt;Einstellungen!$C$5),"Objekt fehlt",IF(J870&lt;D870,"Bis vor Von",IF(D870&lt;INDEX(Mitarbeiter!$C$6:$C$205,MATCH($A870,Mitarbeiter!$A$6:$A$205,0)),"vor Eintritt",IF(AND(INDEX(Mitarbeiter!$D$6:$D$205,MATCH($A870,Mitarbeiter!$A$6:$A$205,0))&lt;&gt;"",D870&gt;INDEX(Mitarbeiter!$D$6:$D$205,MATCH($A870,Mitarbeiter!$A$6:$A$205,0))),"nach Austritt",IF(E870="","offen","ok"))))))))</f>
        <v/>
      </c>
      <c r="J870" s="47">
        <f>IF(A870="","",IF(E870="",Einstellungen!$C$9,E870))</f>
        <v/>
      </c>
      <c r="K870" s="48">
        <f>IF(A870="",0,IFERROR(INDEX(Mitarbeiter!$F$6:$F$205,MATCH($A870,Mitarbeiter!$A$6:$A$205,0)),0))</f>
        <v/>
      </c>
      <c r="L870" s="49">
        <f>IF(OR(A870="",D870=""),0,MAX(0,NETWORKDAYS(MAX(D870,DATE(Einstellungen!$C$3,1,1)),MIN(J870,DATE(Einstellungen!$C$3,2,0)),Einstellungen!$F$13:$F$32)))</f>
        <v/>
      </c>
      <c r="M870" s="49">
        <f>IF(OR(A870="",D870=""),0,MAX(0,NETWORKDAYS(MAX(D870,DATE(Einstellungen!$C$3,2,1)),MIN(J870,DATE(Einstellungen!$C$3,3,0)),Einstellungen!$F$13:$F$32)))</f>
        <v/>
      </c>
      <c r="N870" s="49">
        <f>IF(OR(A870="",D870=""),0,MAX(0,NETWORKDAYS(MAX(D870,DATE(Einstellungen!$C$3,3,1)),MIN(J870,DATE(Einstellungen!$C$3,4,0)),Einstellungen!$F$13:$F$32)))</f>
        <v/>
      </c>
      <c r="O870" s="49">
        <f>IF(OR(A870="",D870=""),0,MAX(0,NETWORKDAYS(MAX(D870,DATE(Einstellungen!$C$3,4,1)),MIN(J870,DATE(Einstellungen!$C$3,5,0)),Einstellungen!$F$13:$F$32)))</f>
        <v/>
      </c>
      <c r="P870" s="49">
        <f>IF(OR(A870="",D870=""),0,MAX(0,NETWORKDAYS(MAX(D870,DATE(Einstellungen!$C$3,5,1)),MIN(J870,DATE(Einstellungen!$C$3,6,0)),Einstellungen!$F$13:$F$32)))</f>
        <v/>
      </c>
      <c r="Q870" s="49">
        <f>IF(OR(A870="",D870=""),0,MAX(0,NETWORKDAYS(MAX(D870,DATE(Einstellungen!$C$3,6,1)),MIN(J870,DATE(Einstellungen!$C$3,7,0)),Einstellungen!$F$13:$F$32)))</f>
        <v/>
      </c>
      <c r="R870" s="49">
        <f>IF(OR(A870="",D870=""),0,MAX(0,NETWORKDAYS(MAX(D870,DATE(Einstellungen!$C$3,7,1)),MIN(J870,DATE(Einstellungen!$C$3,8,0)),Einstellungen!$F$13:$F$32)))</f>
        <v/>
      </c>
      <c r="S870" s="49">
        <f>IF(OR(A870="",D870=""),0,MAX(0,NETWORKDAYS(MAX(D870,DATE(Einstellungen!$C$3,8,1)),MIN(J870,DATE(Einstellungen!$C$3,9,0)),Einstellungen!$F$13:$F$32)))</f>
        <v/>
      </c>
      <c r="T870" s="49">
        <f>IF(OR(A870="",D870=""),0,MAX(0,NETWORKDAYS(MAX(D870,DATE(Einstellungen!$C$3,9,1)),MIN(J870,DATE(Einstellungen!$C$3,10,0)),Einstellungen!$F$13:$F$32)))</f>
        <v/>
      </c>
      <c r="U870" s="49">
        <f>IF(OR(A870="",D870=""),0,MAX(0,NETWORKDAYS(MAX(D870,DATE(Einstellungen!$C$3,10,1)),MIN(J870,DATE(Einstellungen!$C$3,11,0)),Einstellungen!$F$13:$F$32)))</f>
        <v/>
      </c>
      <c r="V870" s="49">
        <f>IF(OR(A870="",D870=""),0,MAX(0,NETWORKDAYS(MAX(D870,DATE(Einstellungen!$C$3,11,1)),MIN(J870,DATE(Einstellungen!$C$3,12,0)),Einstellungen!$F$13:$F$32)))</f>
        <v/>
      </c>
      <c r="W870" s="49">
        <f>IF(OR(A870="",D870=""),0,MAX(0,NETWORKDAYS(MAX(D870,DATE(Einstellungen!$C$3,12,1)),MIN(J870,DATE(Einstellungen!$C$3,13,0)),Einstellungen!$F$13:$F$32)))</f>
        <v/>
      </c>
      <c r="X870" s="50">
        <f>L870*K870</f>
        <v/>
      </c>
      <c r="Y870" s="50">
        <f>M870*K870</f>
        <v/>
      </c>
      <c r="Z870" s="50">
        <f>N870*K870</f>
        <v/>
      </c>
      <c r="AA870" s="50">
        <f>O870*K870</f>
        <v/>
      </c>
      <c r="AB870" s="50">
        <f>P870*K870</f>
        <v/>
      </c>
      <c r="AC870" s="50">
        <f>Q870*K870</f>
        <v/>
      </c>
      <c r="AD870" s="50">
        <f>R870*K870</f>
        <v/>
      </c>
      <c r="AE870" s="50">
        <f>S870*K870</f>
        <v/>
      </c>
      <c r="AF870" s="50">
        <f>T870*K870</f>
        <v/>
      </c>
      <c r="AG870" s="50">
        <f>U870*K870</f>
        <v/>
      </c>
      <c r="AH870" s="50">
        <f>V870*K870</f>
        <v/>
      </c>
      <c r="AI870" s="50">
        <f>W870*K870</f>
        <v/>
      </c>
    </row>
    <row r="871">
      <c r="A871" s="25" t="n"/>
      <c r="B871" s="45">
        <f>IF(A871="","",IFERROR(INDEX(Mitarbeiter!$B$6:$B$205,MATCH($A871,Mitarbeiter!$A$6:$A$205,0)),"?"))</f>
        <v/>
      </c>
      <c r="C871" s="46" t="n"/>
      <c r="D871" s="26" t="n"/>
      <c r="E871" s="26" t="n"/>
      <c r="F871" s="24">
        <f>IF(A871="","",SUM(L871:W871))</f>
        <v/>
      </c>
      <c r="G871" s="36">
        <f>IF(A871="","",SUM(X871:AI871))</f>
        <v/>
      </c>
      <c r="H871" s="8">
        <f>IF(A871="","",IF(ISNA(MATCH(A871,Mitarbeiter!$A$6:$A$205,0)),"Pers.-Nr. unbekannt",IF(D871="","Von fehlt",IF(AND(C871&lt;&gt;Einstellungen!$C$4,C871&lt;&gt;Einstellungen!$C$5),"Objekt fehlt",IF(J871&lt;D871,"Bis vor Von",IF(D871&lt;INDEX(Mitarbeiter!$C$6:$C$205,MATCH($A871,Mitarbeiter!$A$6:$A$205,0)),"vor Eintritt",IF(AND(INDEX(Mitarbeiter!$D$6:$D$205,MATCH($A871,Mitarbeiter!$A$6:$A$205,0))&lt;&gt;"",D871&gt;INDEX(Mitarbeiter!$D$6:$D$205,MATCH($A871,Mitarbeiter!$A$6:$A$205,0))),"nach Austritt",IF(E871="","offen","ok"))))))))</f>
        <v/>
      </c>
      <c r="J871" s="47">
        <f>IF(A871="","",IF(E871="",Einstellungen!$C$9,E871))</f>
        <v/>
      </c>
      <c r="K871" s="48">
        <f>IF(A871="",0,IFERROR(INDEX(Mitarbeiter!$F$6:$F$205,MATCH($A871,Mitarbeiter!$A$6:$A$205,0)),0))</f>
        <v/>
      </c>
      <c r="L871" s="49">
        <f>IF(OR(A871="",D871=""),0,MAX(0,NETWORKDAYS(MAX(D871,DATE(Einstellungen!$C$3,1,1)),MIN(J871,DATE(Einstellungen!$C$3,2,0)),Einstellungen!$F$13:$F$32)))</f>
        <v/>
      </c>
      <c r="M871" s="49">
        <f>IF(OR(A871="",D871=""),0,MAX(0,NETWORKDAYS(MAX(D871,DATE(Einstellungen!$C$3,2,1)),MIN(J871,DATE(Einstellungen!$C$3,3,0)),Einstellungen!$F$13:$F$32)))</f>
        <v/>
      </c>
      <c r="N871" s="49">
        <f>IF(OR(A871="",D871=""),0,MAX(0,NETWORKDAYS(MAX(D871,DATE(Einstellungen!$C$3,3,1)),MIN(J871,DATE(Einstellungen!$C$3,4,0)),Einstellungen!$F$13:$F$32)))</f>
        <v/>
      </c>
      <c r="O871" s="49">
        <f>IF(OR(A871="",D871=""),0,MAX(0,NETWORKDAYS(MAX(D871,DATE(Einstellungen!$C$3,4,1)),MIN(J871,DATE(Einstellungen!$C$3,5,0)),Einstellungen!$F$13:$F$32)))</f>
        <v/>
      </c>
      <c r="P871" s="49">
        <f>IF(OR(A871="",D871=""),0,MAX(0,NETWORKDAYS(MAX(D871,DATE(Einstellungen!$C$3,5,1)),MIN(J871,DATE(Einstellungen!$C$3,6,0)),Einstellungen!$F$13:$F$32)))</f>
        <v/>
      </c>
      <c r="Q871" s="49">
        <f>IF(OR(A871="",D871=""),0,MAX(0,NETWORKDAYS(MAX(D871,DATE(Einstellungen!$C$3,6,1)),MIN(J871,DATE(Einstellungen!$C$3,7,0)),Einstellungen!$F$13:$F$32)))</f>
        <v/>
      </c>
      <c r="R871" s="49">
        <f>IF(OR(A871="",D871=""),0,MAX(0,NETWORKDAYS(MAX(D871,DATE(Einstellungen!$C$3,7,1)),MIN(J871,DATE(Einstellungen!$C$3,8,0)),Einstellungen!$F$13:$F$32)))</f>
        <v/>
      </c>
      <c r="S871" s="49">
        <f>IF(OR(A871="",D871=""),0,MAX(0,NETWORKDAYS(MAX(D871,DATE(Einstellungen!$C$3,8,1)),MIN(J871,DATE(Einstellungen!$C$3,9,0)),Einstellungen!$F$13:$F$32)))</f>
        <v/>
      </c>
      <c r="T871" s="49">
        <f>IF(OR(A871="",D871=""),0,MAX(0,NETWORKDAYS(MAX(D871,DATE(Einstellungen!$C$3,9,1)),MIN(J871,DATE(Einstellungen!$C$3,10,0)),Einstellungen!$F$13:$F$32)))</f>
        <v/>
      </c>
      <c r="U871" s="49">
        <f>IF(OR(A871="",D871=""),0,MAX(0,NETWORKDAYS(MAX(D871,DATE(Einstellungen!$C$3,10,1)),MIN(J871,DATE(Einstellungen!$C$3,11,0)),Einstellungen!$F$13:$F$32)))</f>
        <v/>
      </c>
      <c r="V871" s="49">
        <f>IF(OR(A871="",D871=""),0,MAX(0,NETWORKDAYS(MAX(D871,DATE(Einstellungen!$C$3,11,1)),MIN(J871,DATE(Einstellungen!$C$3,12,0)),Einstellungen!$F$13:$F$32)))</f>
        <v/>
      </c>
      <c r="W871" s="49">
        <f>IF(OR(A871="",D871=""),0,MAX(0,NETWORKDAYS(MAX(D871,DATE(Einstellungen!$C$3,12,1)),MIN(J871,DATE(Einstellungen!$C$3,13,0)),Einstellungen!$F$13:$F$32)))</f>
        <v/>
      </c>
      <c r="X871" s="50">
        <f>L871*K871</f>
        <v/>
      </c>
      <c r="Y871" s="50">
        <f>M871*K871</f>
        <v/>
      </c>
      <c r="Z871" s="50">
        <f>N871*K871</f>
        <v/>
      </c>
      <c r="AA871" s="50">
        <f>O871*K871</f>
        <v/>
      </c>
      <c r="AB871" s="50">
        <f>P871*K871</f>
        <v/>
      </c>
      <c r="AC871" s="50">
        <f>Q871*K871</f>
        <v/>
      </c>
      <c r="AD871" s="50">
        <f>R871*K871</f>
        <v/>
      </c>
      <c r="AE871" s="50">
        <f>S871*K871</f>
        <v/>
      </c>
      <c r="AF871" s="50">
        <f>T871*K871</f>
        <v/>
      </c>
      <c r="AG871" s="50">
        <f>U871*K871</f>
        <v/>
      </c>
      <c r="AH871" s="50">
        <f>V871*K871</f>
        <v/>
      </c>
      <c r="AI871" s="50">
        <f>W871*K871</f>
        <v/>
      </c>
    </row>
    <row r="872">
      <c r="A872" s="25" t="n"/>
      <c r="B872" s="45">
        <f>IF(A872="","",IFERROR(INDEX(Mitarbeiter!$B$6:$B$205,MATCH($A872,Mitarbeiter!$A$6:$A$205,0)),"?"))</f>
        <v/>
      </c>
      <c r="C872" s="46" t="n"/>
      <c r="D872" s="26" t="n"/>
      <c r="E872" s="26" t="n"/>
      <c r="F872" s="24">
        <f>IF(A872="","",SUM(L872:W872))</f>
        <v/>
      </c>
      <c r="G872" s="36">
        <f>IF(A872="","",SUM(X872:AI872))</f>
        <v/>
      </c>
      <c r="H872" s="8">
        <f>IF(A872="","",IF(ISNA(MATCH(A872,Mitarbeiter!$A$6:$A$205,0)),"Pers.-Nr. unbekannt",IF(D872="","Von fehlt",IF(AND(C872&lt;&gt;Einstellungen!$C$4,C872&lt;&gt;Einstellungen!$C$5),"Objekt fehlt",IF(J872&lt;D872,"Bis vor Von",IF(D872&lt;INDEX(Mitarbeiter!$C$6:$C$205,MATCH($A872,Mitarbeiter!$A$6:$A$205,0)),"vor Eintritt",IF(AND(INDEX(Mitarbeiter!$D$6:$D$205,MATCH($A872,Mitarbeiter!$A$6:$A$205,0))&lt;&gt;"",D872&gt;INDEX(Mitarbeiter!$D$6:$D$205,MATCH($A872,Mitarbeiter!$A$6:$A$205,0))),"nach Austritt",IF(E872="","offen","ok"))))))))</f>
        <v/>
      </c>
      <c r="J872" s="47">
        <f>IF(A872="","",IF(E872="",Einstellungen!$C$9,E872))</f>
        <v/>
      </c>
      <c r="K872" s="48">
        <f>IF(A872="",0,IFERROR(INDEX(Mitarbeiter!$F$6:$F$205,MATCH($A872,Mitarbeiter!$A$6:$A$205,0)),0))</f>
        <v/>
      </c>
      <c r="L872" s="49">
        <f>IF(OR(A872="",D872=""),0,MAX(0,NETWORKDAYS(MAX(D872,DATE(Einstellungen!$C$3,1,1)),MIN(J872,DATE(Einstellungen!$C$3,2,0)),Einstellungen!$F$13:$F$32)))</f>
        <v/>
      </c>
      <c r="M872" s="49">
        <f>IF(OR(A872="",D872=""),0,MAX(0,NETWORKDAYS(MAX(D872,DATE(Einstellungen!$C$3,2,1)),MIN(J872,DATE(Einstellungen!$C$3,3,0)),Einstellungen!$F$13:$F$32)))</f>
        <v/>
      </c>
      <c r="N872" s="49">
        <f>IF(OR(A872="",D872=""),0,MAX(0,NETWORKDAYS(MAX(D872,DATE(Einstellungen!$C$3,3,1)),MIN(J872,DATE(Einstellungen!$C$3,4,0)),Einstellungen!$F$13:$F$32)))</f>
        <v/>
      </c>
      <c r="O872" s="49">
        <f>IF(OR(A872="",D872=""),0,MAX(0,NETWORKDAYS(MAX(D872,DATE(Einstellungen!$C$3,4,1)),MIN(J872,DATE(Einstellungen!$C$3,5,0)),Einstellungen!$F$13:$F$32)))</f>
        <v/>
      </c>
      <c r="P872" s="49">
        <f>IF(OR(A872="",D872=""),0,MAX(0,NETWORKDAYS(MAX(D872,DATE(Einstellungen!$C$3,5,1)),MIN(J872,DATE(Einstellungen!$C$3,6,0)),Einstellungen!$F$13:$F$32)))</f>
        <v/>
      </c>
      <c r="Q872" s="49">
        <f>IF(OR(A872="",D872=""),0,MAX(0,NETWORKDAYS(MAX(D872,DATE(Einstellungen!$C$3,6,1)),MIN(J872,DATE(Einstellungen!$C$3,7,0)),Einstellungen!$F$13:$F$32)))</f>
        <v/>
      </c>
      <c r="R872" s="49">
        <f>IF(OR(A872="",D872=""),0,MAX(0,NETWORKDAYS(MAX(D872,DATE(Einstellungen!$C$3,7,1)),MIN(J872,DATE(Einstellungen!$C$3,8,0)),Einstellungen!$F$13:$F$32)))</f>
        <v/>
      </c>
      <c r="S872" s="49">
        <f>IF(OR(A872="",D872=""),0,MAX(0,NETWORKDAYS(MAX(D872,DATE(Einstellungen!$C$3,8,1)),MIN(J872,DATE(Einstellungen!$C$3,9,0)),Einstellungen!$F$13:$F$32)))</f>
        <v/>
      </c>
      <c r="T872" s="49">
        <f>IF(OR(A872="",D872=""),0,MAX(0,NETWORKDAYS(MAX(D872,DATE(Einstellungen!$C$3,9,1)),MIN(J872,DATE(Einstellungen!$C$3,10,0)),Einstellungen!$F$13:$F$32)))</f>
        <v/>
      </c>
      <c r="U872" s="49">
        <f>IF(OR(A872="",D872=""),0,MAX(0,NETWORKDAYS(MAX(D872,DATE(Einstellungen!$C$3,10,1)),MIN(J872,DATE(Einstellungen!$C$3,11,0)),Einstellungen!$F$13:$F$32)))</f>
        <v/>
      </c>
      <c r="V872" s="49">
        <f>IF(OR(A872="",D872=""),0,MAX(0,NETWORKDAYS(MAX(D872,DATE(Einstellungen!$C$3,11,1)),MIN(J872,DATE(Einstellungen!$C$3,12,0)),Einstellungen!$F$13:$F$32)))</f>
        <v/>
      </c>
      <c r="W872" s="49">
        <f>IF(OR(A872="",D872=""),0,MAX(0,NETWORKDAYS(MAX(D872,DATE(Einstellungen!$C$3,12,1)),MIN(J872,DATE(Einstellungen!$C$3,13,0)),Einstellungen!$F$13:$F$32)))</f>
        <v/>
      </c>
      <c r="X872" s="50">
        <f>L872*K872</f>
        <v/>
      </c>
      <c r="Y872" s="50">
        <f>M872*K872</f>
        <v/>
      </c>
      <c r="Z872" s="50">
        <f>N872*K872</f>
        <v/>
      </c>
      <c r="AA872" s="50">
        <f>O872*K872</f>
        <v/>
      </c>
      <c r="AB872" s="50">
        <f>P872*K872</f>
        <v/>
      </c>
      <c r="AC872" s="50">
        <f>Q872*K872</f>
        <v/>
      </c>
      <c r="AD872" s="50">
        <f>R872*K872</f>
        <v/>
      </c>
      <c r="AE872" s="50">
        <f>S872*K872</f>
        <v/>
      </c>
      <c r="AF872" s="50">
        <f>T872*K872</f>
        <v/>
      </c>
      <c r="AG872" s="50">
        <f>U872*K872</f>
        <v/>
      </c>
      <c r="AH872" s="50">
        <f>V872*K872</f>
        <v/>
      </c>
      <c r="AI872" s="50">
        <f>W872*K872</f>
        <v/>
      </c>
    </row>
    <row r="873">
      <c r="A873" s="25" t="n"/>
      <c r="B873" s="45">
        <f>IF(A873="","",IFERROR(INDEX(Mitarbeiter!$B$6:$B$205,MATCH($A873,Mitarbeiter!$A$6:$A$205,0)),"?"))</f>
        <v/>
      </c>
      <c r="C873" s="46" t="n"/>
      <c r="D873" s="26" t="n"/>
      <c r="E873" s="26" t="n"/>
      <c r="F873" s="24">
        <f>IF(A873="","",SUM(L873:W873))</f>
        <v/>
      </c>
      <c r="G873" s="36">
        <f>IF(A873="","",SUM(X873:AI873))</f>
        <v/>
      </c>
      <c r="H873" s="8">
        <f>IF(A873="","",IF(ISNA(MATCH(A873,Mitarbeiter!$A$6:$A$205,0)),"Pers.-Nr. unbekannt",IF(D873="","Von fehlt",IF(AND(C873&lt;&gt;Einstellungen!$C$4,C873&lt;&gt;Einstellungen!$C$5),"Objekt fehlt",IF(J873&lt;D873,"Bis vor Von",IF(D873&lt;INDEX(Mitarbeiter!$C$6:$C$205,MATCH($A873,Mitarbeiter!$A$6:$A$205,0)),"vor Eintritt",IF(AND(INDEX(Mitarbeiter!$D$6:$D$205,MATCH($A873,Mitarbeiter!$A$6:$A$205,0))&lt;&gt;"",D873&gt;INDEX(Mitarbeiter!$D$6:$D$205,MATCH($A873,Mitarbeiter!$A$6:$A$205,0))),"nach Austritt",IF(E873="","offen","ok"))))))))</f>
        <v/>
      </c>
      <c r="J873" s="47">
        <f>IF(A873="","",IF(E873="",Einstellungen!$C$9,E873))</f>
        <v/>
      </c>
      <c r="K873" s="48">
        <f>IF(A873="",0,IFERROR(INDEX(Mitarbeiter!$F$6:$F$205,MATCH($A873,Mitarbeiter!$A$6:$A$205,0)),0))</f>
        <v/>
      </c>
      <c r="L873" s="49">
        <f>IF(OR(A873="",D873=""),0,MAX(0,NETWORKDAYS(MAX(D873,DATE(Einstellungen!$C$3,1,1)),MIN(J873,DATE(Einstellungen!$C$3,2,0)),Einstellungen!$F$13:$F$32)))</f>
        <v/>
      </c>
      <c r="M873" s="49">
        <f>IF(OR(A873="",D873=""),0,MAX(0,NETWORKDAYS(MAX(D873,DATE(Einstellungen!$C$3,2,1)),MIN(J873,DATE(Einstellungen!$C$3,3,0)),Einstellungen!$F$13:$F$32)))</f>
        <v/>
      </c>
      <c r="N873" s="49">
        <f>IF(OR(A873="",D873=""),0,MAX(0,NETWORKDAYS(MAX(D873,DATE(Einstellungen!$C$3,3,1)),MIN(J873,DATE(Einstellungen!$C$3,4,0)),Einstellungen!$F$13:$F$32)))</f>
        <v/>
      </c>
      <c r="O873" s="49">
        <f>IF(OR(A873="",D873=""),0,MAX(0,NETWORKDAYS(MAX(D873,DATE(Einstellungen!$C$3,4,1)),MIN(J873,DATE(Einstellungen!$C$3,5,0)),Einstellungen!$F$13:$F$32)))</f>
        <v/>
      </c>
      <c r="P873" s="49">
        <f>IF(OR(A873="",D873=""),0,MAX(0,NETWORKDAYS(MAX(D873,DATE(Einstellungen!$C$3,5,1)),MIN(J873,DATE(Einstellungen!$C$3,6,0)),Einstellungen!$F$13:$F$32)))</f>
        <v/>
      </c>
      <c r="Q873" s="49">
        <f>IF(OR(A873="",D873=""),0,MAX(0,NETWORKDAYS(MAX(D873,DATE(Einstellungen!$C$3,6,1)),MIN(J873,DATE(Einstellungen!$C$3,7,0)),Einstellungen!$F$13:$F$32)))</f>
        <v/>
      </c>
      <c r="R873" s="49">
        <f>IF(OR(A873="",D873=""),0,MAX(0,NETWORKDAYS(MAX(D873,DATE(Einstellungen!$C$3,7,1)),MIN(J873,DATE(Einstellungen!$C$3,8,0)),Einstellungen!$F$13:$F$32)))</f>
        <v/>
      </c>
      <c r="S873" s="49">
        <f>IF(OR(A873="",D873=""),0,MAX(0,NETWORKDAYS(MAX(D873,DATE(Einstellungen!$C$3,8,1)),MIN(J873,DATE(Einstellungen!$C$3,9,0)),Einstellungen!$F$13:$F$32)))</f>
        <v/>
      </c>
      <c r="T873" s="49">
        <f>IF(OR(A873="",D873=""),0,MAX(0,NETWORKDAYS(MAX(D873,DATE(Einstellungen!$C$3,9,1)),MIN(J873,DATE(Einstellungen!$C$3,10,0)),Einstellungen!$F$13:$F$32)))</f>
        <v/>
      </c>
      <c r="U873" s="49">
        <f>IF(OR(A873="",D873=""),0,MAX(0,NETWORKDAYS(MAX(D873,DATE(Einstellungen!$C$3,10,1)),MIN(J873,DATE(Einstellungen!$C$3,11,0)),Einstellungen!$F$13:$F$32)))</f>
        <v/>
      </c>
      <c r="V873" s="49">
        <f>IF(OR(A873="",D873=""),0,MAX(0,NETWORKDAYS(MAX(D873,DATE(Einstellungen!$C$3,11,1)),MIN(J873,DATE(Einstellungen!$C$3,12,0)),Einstellungen!$F$13:$F$32)))</f>
        <v/>
      </c>
      <c r="W873" s="49">
        <f>IF(OR(A873="",D873=""),0,MAX(0,NETWORKDAYS(MAX(D873,DATE(Einstellungen!$C$3,12,1)),MIN(J873,DATE(Einstellungen!$C$3,13,0)),Einstellungen!$F$13:$F$32)))</f>
        <v/>
      </c>
      <c r="X873" s="50">
        <f>L873*K873</f>
        <v/>
      </c>
      <c r="Y873" s="50">
        <f>M873*K873</f>
        <v/>
      </c>
      <c r="Z873" s="50">
        <f>N873*K873</f>
        <v/>
      </c>
      <c r="AA873" s="50">
        <f>O873*K873</f>
        <v/>
      </c>
      <c r="AB873" s="50">
        <f>P873*K873</f>
        <v/>
      </c>
      <c r="AC873" s="50">
        <f>Q873*K873</f>
        <v/>
      </c>
      <c r="AD873" s="50">
        <f>R873*K873</f>
        <v/>
      </c>
      <c r="AE873" s="50">
        <f>S873*K873</f>
        <v/>
      </c>
      <c r="AF873" s="50">
        <f>T873*K873</f>
        <v/>
      </c>
      <c r="AG873" s="50">
        <f>U873*K873</f>
        <v/>
      </c>
      <c r="AH873" s="50">
        <f>V873*K873</f>
        <v/>
      </c>
      <c r="AI873" s="50">
        <f>W873*K873</f>
        <v/>
      </c>
    </row>
    <row r="874">
      <c r="A874" s="25" t="n"/>
      <c r="B874" s="45">
        <f>IF(A874="","",IFERROR(INDEX(Mitarbeiter!$B$6:$B$205,MATCH($A874,Mitarbeiter!$A$6:$A$205,0)),"?"))</f>
        <v/>
      </c>
      <c r="C874" s="46" t="n"/>
      <c r="D874" s="26" t="n"/>
      <c r="E874" s="26" t="n"/>
      <c r="F874" s="24">
        <f>IF(A874="","",SUM(L874:W874))</f>
        <v/>
      </c>
      <c r="G874" s="36">
        <f>IF(A874="","",SUM(X874:AI874))</f>
        <v/>
      </c>
      <c r="H874" s="8">
        <f>IF(A874="","",IF(ISNA(MATCH(A874,Mitarbeiter!$A$6:$A$205,0)),"Pers.-Nr. unbekannt",IF(D874="","Von fehlt",IF(AND(C874&lt;&gt;Einstellungen!$C$4,C874&lt;&gt;Einstellungen!$C$5),"Objekt fehlt",IF(J874&lt;D874,"Bis vor Von",IF(D874&lt;INDEX(Mitarbeiter!$C$6:$C$205,MATCH($A874,Mitarbeiter!$A$6:$A$205,0)),"vor Eintritt",IF(AND(INDEX(Mitarbeiter!$D$6:$D$205,MATCH($A874,Mitarbeiter!$A$6:$A$205,0))&lt;&gt;"",D874&gt;INDEX(Mitarbeiter!$D$6:$D$205,MATCH($A874,Mitarbeiter!$A$6:$A$205,0))),"nach Austritt",IF(E874="","offen","ok"))))))))</f>
        <v/>
      </c>
      <c r="J874" s="47">
        <f>IF(A874="","",IF(E874="",Einstellungen!$C$9,E874))</f>
        <v/>
      </c>
      <c r="K874" s="48">
        <f>IF(A874="",0,IFERROR(INDEX(Mitarbeiter!$F$6:$F$205,MATCH($A874,Mitarbeiter!$A$6:$A$205,0)),0))</f>
        <v/>
      </c>
      <c r="L874" s="49">
        <f>IF(OR(A874="",D874=""),0,MAX(0,NETWORKDAYS(MAX(D874,DATE(Einstellungen!$C$3,1,1)),MIN(J874,DATE(Einstellungen!$C$3,2,0)),Einstellungen!$F$13:$F$32)))</f>
        <v/>
      </c>
      <c r="M874" s="49">
        <f>IF(OR(A874="",D874=""),0,MAX(0,NETWORKDAYS(MAX(D874,DATE(Einstellungen!$C$3,2,1)),MIN(J874,DATE(Einstellungen!$C$3,3,0)),Einstellungen!$F$13:$F$32)))</f>
        <v/>
      </c>
      <c r="N874" s="49">
        <f>IF(OR(A874="",D874=""),0,MAX(0,NETWORKDAYS(MAX(D874,DATE(Einstellungen!$C$3,3,1)),MIN(J874,DATE(Einstellungen!$C$3,4,0)),Einstellungen!$F$13:$F$32)))</f>
        <v/>
      </c>
      <c r="O874" s="49">
        <f>IF(OR(A874="",D874=""),0,MAX(0,NETWORKDAYS(MAX(D874,DATE(Einstellungen!$C$3,4,1)),MIN(J874,DATE(Einstellungen!$C$3,5,0)),Einstellungen!$F$13:$F$32)))</f>
        <v/>
      </c>
      <c r="P874" s="49">
        <f>IF(OR(A874="",D874=""),0,MAX(0,NETWORKDAYS(MAX(D874,DATE(Einstellungen!$C$3,5,1)),MIN(J874,DATE(Einstellungen!$C$3,6,0)),Einstellungen!$F$13:$F$32)))</f>
        <v/>
      </c>
      <c r="Q874" s="49">
        <f>IF(OR(A874="",D874=""),0,MAX(0,NETWORKDAYS(MAX(D874,DATE(Einstellungen!$C$3,6,1)),MIN(J874,DATE(Einstellungen!$C$3,7,0)),Einstellungen!$F$13:$F$32)))</f>
        <v/>
      </c>
      <c r="R874" s="49">
        <f>IF(OR(A874="",D874=""),0,MAX(0,NETWORKDAYS(MAX(D874,DATE(Einstellungen!$C$3,7,1)),MIN(J874,DATE(Einstellungen!$C$3,8,0)),Einstellungen!$F$13:$F$32)))</f>
        <v/>
      </c>
      <c r="S874" s="49">
        <f>IF(OR(A874="",D874=""),0,MAX(0,NETWORKDAYS(MAX(D874,DATE(Einstellungen!$C$3,8,1)),MIN(J874,DATE(Einstellungen!$C$3,9,0)),Einstellungen!$F$13:$F$32)))</f>
        <v/>
      </c>
      <c r="T874" s="49">
        <f>IF(OR(A874="",D874=""),0,MAX(0,NETWORKDAYS(MAX(D874,DATE(Einstellungen!$C$3,9,1)),MIN(J874,DATE(Einstellungen!$C$3,10,0)),Einstellungen!$F$13:$F$32)))</f>
        <v/>
      </c>
      <c r="U874" s="49">
        <f>IF(OR(A874="",D874=""),0,MAX(0,NETWORKDAYS(MAX(D874,DATE(Einstellungen!$C$3,10,1)),MIN(J874,DATE(Einstellungen!$C$3,11,0)),Einstellungen!$F$13:$F$32)))</f>
        <v/>
      </c>
      <c r="V874" s="49">
        <f>IF(OR(A874="",D874=""),0,MAX(0,NETWORKDAYS(MAX(D874,DATE(Einstellungen!$C$3,11,1)),MIN(J874,DATE(Einstellungen!$C$3,12,0)),Einstellungen!$F$13:$F$32)))</f>
        <v/>
      </c>
      <c r="W874" s="49">
        <f>IF(OR(A874="",D874=""),0,MAX(0,NETWORKDAYS(MAX(D874,DATE(Einstellungen!$C$3,12,1)),MIN(J874,DATE(Einstellungen!$C$3,13,0)),Einstellungen!$F$13:$F$32)))</f>
        <v/>
      </c>
      <c r="X874" s="50">
        <f>L874*K874</f>
        <v/>
      </c>
      <c r="Y874" s="50">
        <f>M874*K874</f>
        <v/>
      </c>
      <c r="Z874" s="50">
        <f>N874*K874</f>
        <v/>
      </c>
      <c r="AA874" s="50">
        <f>O874*K874</f>
        <v/>
      </c>
      <c r="AB874" s="50">
        <f>P874*K874</f>
        <v/>
      </c>
      <c r="AC874" s="50">
        <f>Q874*K874</f>
        <v/>
      </c>
      <c r="AD874" s="50">
        <f>R874*K874</f>
        <v/>
      </c>
      <c r="AE874" s="50">
        <f>S874*K874</f>
        <v/>
      </c>
      <c r="AF874" s="50">
        <f>T874*K874</f>
        <v/>
      </c>
      <c r="AG874" s="50">
        <f>U874*K874</f>
        <v/>
      </c>
      <c r="AH874" s="50">
        <f>V874*K874</f>
        <v/>
      </c>
      <c r="AI874" s="50">
        <f>W874*K874</f>
        <v/>
      </c>
    </row>
    <row r="875">
      <c r="A875" s="25" t="n"/>
      <c r="B875" s="45">
        <f>IF(A875="","",IFERROR(INDEX(Mitarbeiter!$B$6:$B$205,MATCH($A875,Mitarbeiter!$A$6:$A$205,0)),"?"))</f>
        <v/>
      </c>
      <c r="C875" s="46" t="n"/>
      <c r="D875" s="26" t="n"/>
      <c r="E875" s="26" t="n"/>
      <c r="F875" s="24">
        <f>IF(A875="","",SUM(L875:W875))</f>
        <v/>
      </c>
      <c r="G875" s="36">
        <f>IF(A875="","",SUM(X875:AI875))</f>
        <v/>
      </c>
      <c r="H875" s="8">
        <f>IF(A875="","",IF(ISNA(MATCH(A875,Mitarbeiter!$A$6:$A$205,0)),"Pers.-Nr. unbekannt",IF(D875="","Von fehlt",IF(AND(C875&lt;&gt;Einstellungen!$C$4,C875&lt;&gt;Einstellungen!$C$5),"Objekt fehlt",IF(J875&lt;D875,"Bis vor Von",IF(D875&lt;INDEX(Mitarbeiter!$C$6:$C$205,MATCH($A875,Mitarbeiter!$A$6:$A$205,0)),"vor Eintritt",IF(AND(INDEX(Mitarbeiter!$D$6:$D$205,MATCH($A875,Mitarbeiter!$A$6:$A$205,0))&lt;&gt;"",D875&gt;INDEX(Mitarbeiter!$D$6:$D$205,MATCH($A875,Mitarbeiter!$A$6:$A$205,0))),"nach Austritt",IF(E875="","offen","ok"))))))))</f>
        <v/>
      </c>
      <c r="J875" s="47">
        <f>IF(A875="","",IF(E875="",Einstellungen!$C$9,E875))</f>
        <v/>
      </c>
      <c r="K875" s="48">
        <f>IF(A875="",0,IFERROR(INDEX(Mitarbeiter!$F$6:$F$205,MATCH($A875,Mitarbeiter!$A$6:$A$205,0)),0))</f>
        <v/>
      </c>
      <c r="L875" s="49">
        <f>IF(OR(A875="",D875=""),0,MAX(0,NETWORKDAYS(MAX(D875,DATE(Einstellungen!$C$3,1,1)),MIN(J875,DATE(Einstellungen!$C$3,2,0)),Einstellungen!$F$13:$F$32)))</f>
        <v/>
      </c>
      <c r="M875" s="49">
        <f>IF(OR(A875="",D875=""),0,MAX(0,NETWORKDAYS(MAX(D875,DATE(Einstellungen!$C$3,2,1)),MIN(J875,DATE(Einstellungen!$C$3,3,0)),Einstellungen!$F$13:$F$32)))</f>
        <v/>
      </c>
      <c r="N875" s="49">
        <f>IF(OR(A875="",D875=""),0,MAX(0,NETWORKDAYS(MAX(D875,DATE(Einstellungen!$C$3,3,1)),MIN(J875,DATE(Einstellungen!$C$3,4,0)),Einstellungen!$F$13:$F$32)))</f>
        <v/>
      </c>
      <c r="O875" s="49">
        <f>IF(OR(A875="",D875=""),0,MAX(0,NETWORKDAYS(MAX(D875,DATE(Einstellungen!$C$3,4,1)),MIN(J875,DATE(Einstellungen!$C$3,5,0)),Einstellungen!$F$13:$F$32)))</f>
        <v/>
      </c>
      <c r="P875" s="49">
        <f>IF(OR(A875="",D875=""),0,MAX(0,NETWORKDAYS(MAX(D875,DATE(Einstellungen!$C$3,5,1)),MIN(J875,DATE(Einstellungen!$C$3,6,0)),Einstellungen!$F$13:$F$32)))</f>
        <v/>
      </c>
      <c r="Q875" s="49">
        <f>IF(OR(A875="",D875=""),0,MAX(0,NETWORKDAYS(MAX(D875,DATE(Einstellungen!$C$3,6,1)),MIN(J875,DATE(Einstellungen!$C$3,7,0)),Einstellungen!$F$13:$F$32)))</f>
        <v/>
      </c>
      <c r="R875" s="49">
        <f>IF(OR(A875="",D875=""),0,MAX(0,NETWORKDAYS(MAX(D875,DATE(Einstellungen!$C$3,7,1)),MIN(J875,DATE(Einstellungen!$C$3,8,0)),Einstellungen!$F$13:$F$32)))</f>
        <v/>
      </c>
      <c r="S875" s="49">
        <f>IF(OR(A875="",D875=""),0,MAX(0,NETWORKDAYS(MAX(D875,DATE(Einstellungen!$C$3,8,1)),MIN(J875,DATE(Einstellungen!$C$3,9,0)),Einstellungen!$F$13:$F$32)))</f>
        <v/>
      </c>
      <c r="T875" s="49">
        <f>IF(OR(A875="",D875=""),0,MAX(0,NETWORKDAYS(MAX(D875,DATE(Einstellungen!$C$3,9,1)),MIN(J875,DATE(Einstellungen!$C$3,10,0)),Einstellungen!$F$13:$F$32)))</f>
        <v/>
      </c>
      <c r="U875" s="49">
        <f>IF(OR(A875="",D875=""),0,MAX(0,NETWORKDAYS(MAX(D875,DATE(Einstellungen!$C$3,10,1)),MIN(J875,DATE(Einstellungen!$C$3,11,0)),Einstellungen!$F$13:$F$32)))</f>
        <v/>
      </c>
      <c r="V875" s="49">
        <f>IF(OR(A875="",D875=""),0,MAX(0,NETWORKDAYS(MAX(D875,DATE(Einstellungen!$C$3,11,1)),MIN(J875,DATE(Einstellungen!$C$3,12,0)),Einstellungen!$F$13:$F$32)))</f>
        <v/>
      </c>
      <c r="W875" s="49">
        <f>IF(OR(A875="",D875=""),0,MAX(0,NETWORKDAYS(MAX(D875,DATE(Einstellungen!$C$3,12,1)),MIN(J875,DATE(Einstellungen!$C$3,13,0)),Einstellungen!$F$13:$F$32)))</f>
        <v/>
      </c>
      <c r="X875" s="50">
        <f>L875*K875</f>
        <v/>
      </c>
      <c r="Y875" s="50">
        <f>M875*K875</f>
        <v/>
      </c>
      <c r="Z875" s="50">
        <f>N875*K875</f>
        <v/>
      </c>
      <c r="AA875" s="50">
        <f>O875*K875</f>
        <v/>
      </c>
      <c r="AB875" s="50">
        <f>P875*K875</f>
        <v/>
      </c>
      <c r="AC875" s="50">
        <f>Q875*K875</f>
        <v/>
      </c>
      <c r="AD875" s="50">
        <f>R875*K875</f>
        <v/>
      </c>
      <c r="AE875" s="50">
        <f>S875*K875</f>
        <v/>
      </c>
      <c r="AF875" s="50">
        <f>T875*K875</f>
        <v/>
      </c>
      <c r="AG875" s="50">
        <f>U875*K875</f>
        <v/>
      </c>
      <c r="AH875" s="50">
        <f>V875*K875</f>
        <v/>
      </c>
      <c r="AI875" s="50">
        <f>W875*K875</f>
        <v/>
      </c>
    </row>
    <row r="876">
      <c r="A876" s="25" t="n"/>
      <c r="B876" s="45">
        <f>IF(A876="","",IFERROR(INDEX(Mitarbeiter!$B$6:$B$205,MATCH($A876,Mitarbeiter!$A$6:$A$205,0)),"?"))</f>
        <v/>
      </c>
      <c r="C876" s="46" t="n"/>
      <c r="D876" s="26" t="n"/>
      <c r="E876" s="26" t="n"/>
      <c r="F876" s="24">
        <f>IF(A876="","",SUM(L876:W876))</f>
        <v/>
      </c>
      <c r="G876" s="36">
        <f>IF(A876="","",SUM(X876:AI876))</f>
        <v/>
      </c>
      <c r="H876" s="8">
        <f>IF(A876="","",IF(ISNA(MATCH(A876,Mitarbeiter!$A$6:$A$205,0)),"Pers.-Nr. unbekannt",IF(D876="","Von fehlt",IF(AND(C876&lt;&gt;Einstellungen!$C$4,C876&lt;&gt;Einstellungen!$C$5),"Objekt fehlt",IF(J876&lt;D876,"Bis vor Von",IF(D876&lt;INDEX(Mitarbeiter!$C$6:$C$205,MATCH($A876,Mitarbeiter!$A$6:$A$205,0)),"vor Eintritt",IF(AND(INDEX(Mitarbeiter!$D$6:$D$205,MATCH($A876,Mitarbeiter!$A$6:$A$205,0))&lt;&gt;"",D876&gt;INDEX(Mitarbeiter!$D$6:$D$205,MATCH($A876,Mitarbeiter!$A$6:$A$205,0))),"nach Austritt",IF(E876="","offen","ok"))))))))</f>
        <v/>
      </c>
      <c r="J876" s="47">
        <f>IF(A876="","",IF(E876="",Einstellungen!$C$9,E876))</f>
        <v/>
      </c>
      <c r="K876" s="48">
        <f>IF(A876="",0,IFERROR(INDEX(Mitarbeiter!$F$6:$F$205,MATCH($A876,Mitarbeiter!$A$6:$A$205,0)),0))</f>
        <v/>
      </c>
      <c r="L876" s="49">
        <f>IF(OR(A876="",D876=""),0,MAX(0,NETWORKDAYS(MAX(D876,DATE(Einstellungen!$C$3,1,1)),MIN(J876,DATE(Einstellungen!$C$3,2,0)),Einstellungen!$F$13:$F$32)))</f>
        <v/>
      </c>
      <c r="M876" s="49">
        <f>IF(OR(A876="",D876=""),0,MAX(0,NETWORKDAYS(MAX(D876,DATE(Einstellungen!$C$3,2,1)),MIN(J876,DATE(Einstellungen!$C$3,3,0)),Einstellungen!$F$13:$F$32)))</f>
        <v/>
      </c>
      <c r="N876" s="49">
        <f>IF(OR(A876="",D876=""),0,MAX(0,NETWORKDAYS(MAX(D876,DATE(Einstellungen!$C$3,3,1)),MIN(J876,DATE(Einstellungen!$C$3,4,0)),Einstellungen!$F$13:$F$32)))</f>
        <v/>
      </c>
      <c r="O876" s="49">
        <f>IF(OR(A876="",D876=""),0,MAX(0,NETWORKDAYS(MAX(D876,DATE(Einstellungen!$C$3,4,1)),MIN(J876,DATE(Einstellungen!$C$3,5,0)),Einstellungen!$F$13:$F$32)))</f>
        <v/>
      </c>
      <c r="P876" s="49">
        <f>IF(OR(A876="",D876=""),0,MAX(0,NETWORKDAYS(MAX(D876,DATE(Einstellungen!$C$3,5,1)),MIN(J876,DATE(Einstellungen!$C$3,6,0)),Einstellungen!$F$13:$F$32)))</f>
        <v/>
      </c>
      <c r="Q876" s="49">
        <f>IF(OR(A876="",D876=""),0,MAX(0,NETWORKDAYS(MAX(D876,DATE(Einstellungen!$C$3,6,1)),MIN(J876,DATE(Einstellungen!$C$3,7,0)),Einstellungen!$F$13:$F$32)))</f>
        <v/>
      </c>
      <c r="R876" s="49">
        <f>IF(OR(A876="",D876=""),0,MAX(0,NETWORKDAYS(MAX(D876,DATE(Einstellungen!$C$3,7,1)),MIN(J876,DATE(Einstellungen!$C$3,8,0)),Einstellungen!$F$13:$F$32)))</f>
        <v/>
      </c>
      <c r="S876" s="49">
        <f>IF(OR(A876="",D876=""),0,MAX(0,NETWORKDAYS(MAX(D876,DATE(Einstellungen!$C$3,8,1)),MIN(J876,DATE(Einstellungen!$C$3,9,0)),Einstellungen!$F$13:$F$32)))</f>
        <v/>
      </c>
      <c r="T876" s="49">
        <f>IF(OR(A876="",D876=""),0,MAX(0,NETWORKDAYS(MAX(D876,DATE(Einstellungen!$C$3,9,1)),MIN(J876,DATE(Einstellungen!$C$3,10,0)),Einstellungen!$F$13:$F$32)))</f>
        <v/>
      </c>
      <c r="U876" s="49">
        <f>IF(OR(A876="",D876=""),0,MAX(0,NETWORKDAYS(MAX(D876,DATE(Einstellungen!$C$3,10,1)),MIN(J876,DATE(Einstellungen!$C$3,11,0)),Einstellungen!$F$13:$F$32)))</f>
        <v/>
      </c>
      <c r="V876" s="49">
        <f>IF(OR(A876="",D876=""),0,MAX(0,NETWORKDAYS(MAX(D876,DATE(Einstellungen!$C$3,11,1)),MIN(J876,DATE(Einstellungen!$C$3,12,0)),Einstellungen!$F$13:$F$32)))</f>
        <v/>
      </c>
      <c r="W876" s="49">
        <f>IF(OR(A876="",D876=""),0,MAX(0,NETWORKDAYS(MAX(D876,DATE(Einstellungen!$C$3,12,1)),MIN(J876,DATE(Einstellungen!$C$3,13,0)),Einstellungen!$F$13:$F$32)))</f>
        <v/>
      </c>
      <c r="X876" s="50">
        <f>L876*K876</f>
        <v/>
      </c>
      <c r="Y876" s="50">
        <f>M876*K876</f>
        <v/>
      </c>
      <c r="Z876" s="50">
        <f>N876*K876</f>
        <v/>
      </c>
      <c r="AA876" s="50">
        <f>O876*K876</f>
        <v/>
      </c>
      <c r="AB876" s="50">
        <f>P876*K876</f>
        <v/>
      </c>
      <c r="AC876" s="50">
        <f>Q876*K876</f>
        <v/>
      </c>
      <c r="AD876" s="50">
        <f>R876*K876</f>
        <v/>
      </c>
      <c r="AE876" s="50">
        <f>S876*K876</f>
        <v/>
      </c>
      <c r="AF876" s="50">
        <f>T876*K876</f>
        <v/>
      </c>
      <c r="AG876" s="50">
        <f>U876*K876</f>
        <v/>
      </c>
      <c r="AH876" s="50">
        <f>V876*K876</f>
        <v/>
      </c>
      <c r="AI876" s="50">
        <f>W876*K876</f>
        <v/>
      </c>
    </row>
    <row r="877">
      <c r="A877" s="25" t="n"/>
      <c r="B877" s="45">
        <f>IF(A877="","",IFERROR(INDEX(Mitarbeiter!$B$6:$B$205,MATCH($A877,Mitarbeiter!$A$6:$A$205,0)),"?"))</f>
        <v/>
      </c>
      <c r="C877" s="46" t="n"/>
      <c r="D877" s="26" t="n"/>
      <c r="E877" s="26" t="n"/>
      <c r="F877" s="24">
        <f>IF(A877="","",SUM(L877:W877))</f>
        <v/>
      </c>
      <c r="G877" s="36">
        <f>IF(A877="","",SUM(X877:AI877))</f>
        <v/>
      </c>
      <c r="H877" s="8">
        <f>IF(A877="","",IF(ISNA(MATCH(A877,Mitarbeiter!$A$6:$A$205,0)),"Pers.-Nr. unbekannt",IF(D877="","Von fehlt",IF(AND(C877&lt;&gt;Einstellungen!$C$4,C877&lt;&gt;Einstellungen!$C$5),"Objekt fehlt",IF(J877&lt;D877,"Bis vor Von",IF(D877&lt;INDEX(Mitarbeiter!$C$6:$C$205,MATCH($A877,Mitarbeiter!$A$6:$A$205,0)),"vor Eintritt",IF(AND(INDEX(Mitarbeiter!$D$6:$D$205,MATCH($A877,Mitarbeiter!$A$6:$A$205,0))&lt;&gt;"",D877&gt;INDEX(Mitarbeiter!$D$6:$D$205,MATCH($A877,Mitarbeiter!$A$6:$A$205,0))),"nach Austritt",IF(E877="","offen","ok"))))))))</f>
        <v/>
      </c>
      <c r="J877" s="47">
        <f>IF(A877="","",IF(E877="",Einstellungen!$C$9,E877))</f>
        <v/>
      </c>
      <c r="K877" s="48">
        <f>IF(A877="",0,IFERROR(INDEX(Mitarbeiter!$F$6:$F$205,MATCH($A877,Mitarbeiter!$A$6:$A$205,0)),0))</f>
        <v/>
      </c>
      <c r="L877" s="49">
        <f>IF(OR(A877="",D877=""),0,MAX(0,NETWORKDAYS(MAX(D877,DATE(Einstellungen!$C$3,1,1)),MIN(J877,DATE(Einstellungen!$C$3,2,0)),Einstellungen!$F$13:$F$32)))</f>
        <v/>
      </c>
      <c r="M877" s="49">
        <f>IF(OR(A877="",D877=""),0,MAX(0,NETWORKDAYS(MAX(D877,DATE(Einstellungen!$C$3,2,1)),MIN(J877,DATE(Einstellungen!$C$3,3,0)),Einstellungen!$F$13:$F$32)))</f>
        <v/>
      </c>
      <c r="N877" s="49">
        <f>IF(OR(A877="",D877=""),0,MAX(0,NETWORKDAYS(MAX(D877,DATE(Einstellungen!$C$3,3,1)),MIN(J877,DATE(Einstellungen!$C$3,4,0)),Einstellungen!$F$13:$F$32)))</f>
        <v/>
      </c>
      <c r="O877" s="49">
        <f>IF(OR(A877="",D877=""),0,MAX(0,NETWORKDAYS(MAX(D877,DATE(Einstellungen!$C$3,4,1)),MIN(J877,DATE(Einstellungen!$C$3,5,0)),Einstellungen!$F$13:$F$32)))</f>
        <v/>
      </c>
      <c r="P877" s="49">
        <f>IF(OR(A877="",D877=""),0,MAX(0,NETWORKDAYS(MAX(D877,DATE(Einstellungen!$C$3,5,1)),MIN(J877,DATE(Einstellungen!$C$3,6,0)),Einstellungen!$F$13:$F$32)))</f>
        <v/>
      </c>
      <c r="Q877" s="49">
        <f>IF(OR(A877="",D877=""),0,MAX(0,NETWORKDAYS(MAX(D877,DATE(Einstellungen!$C$3,6,1)),MIN(J877,DATE(Einstellungen!$C$3,7,0)),Einstellungen!$F$13:$F$32)))</f>
        <v/>
      </c>
      <c r="R877" s="49">
        <f>IF(OR(A877="",D877=""),0,MAX(0,NETWORKDAYS(MAX(D877,DATE(Einstellungen!$C$3,7,1)),MIN(J877,DATE(Einstellungen!$C$3,8,0)),Einstellungen!$F$13:$F$32)))</f>
        <v/>
      </c>
      <c r="S877" s="49">
        <f>IF(OR(A877="",D877=""),0,MAX(0,NETWORKDAYS(MAX(D877,DATE(Einstellungen!$C$3,8,1)),MIN(J877,DATE(Einstellungen!$C$3,9,0)),Einstellungen!$F$13:$F$32)))</f>
        <v/>
      </c>
      <c r="T877" s="49">
        <f>IF(OR(A877="",D877=""),0,MAX(0,NETWORKDAYS(MAX(D877,DATE(Einstellungen!$C$3,9,1)),MIN(J877,DATE(Einstellungen!$C$3,10,0)),Einstellungen!$F$13:$F$32)))</f>
        <v/>
      </c>
      <c r="U877" s="49">
        <f>IF(OR(A877="",D877=""),0,MAX(0,NETWORKDAYS(MAX(D877,DATE(Einstellungen!$C$3,10,1)),MIN(J877,DATE(Einstellungen!$C$3,11,0)),Einstellungen!$F$13:$F$32)))</f>
        <v/>
      </c>
      <c r="V877" s="49">
        <f>IF(OR(A877="",D877=""),0,MAX(0,NETWORKDAYS(MAX(D877,DATE(Einstellungen!$C$3,11,1)),MIN(J877,DATE(Einstellungen!$C$3,12,0)),Einstellungen!$F$13:$F$32)))</f>
        <v/>
      </c>
      <c r="W877" s="49">
        <f>IF(OR(A877="",D877=""),0,MAX(0,NETWORKDAYS(MAX(D877,DATE(Einstellungen!$C$3,12,1)),MIN(J877,DATE(Einstellungen!$C$3,13,0)),Einstellungen!$F$13:$F$32)))</f>
        <v/>
      </c>
      <c r="X877" s="50">
        <f>L877*K877</f>
        <v/>
      </c>
      <c r="Y877" s="50">
        <f>M877*K877</f>
        <v/>
      </c>
      <c r="Z877" s="50">
        <f>N877*K877</f>
        <v/>
      </c>
      <c r="AA877" s="50">
        <f>O877*K877</f>
        <v/>
      </c>
      <c r="AB877" s="50">
        <f>P877*K877</f>
        <v/>
      </c>
      <c r="AC877" s="50">
        <f>Q877*K877</f>
        <v/>
      </c>
      <c r="AD877" s="50">
        <f>R877*K877</f>
        <v/>
      </c>
      <c r="AE877" s="50">
        <f>S877*K877</f>
        <v/>
      </c>
      <c r="AF877" s="50">
        <f>T877*K877</f>
        <v/>
      </c>
      <c r="AG877" s="50">
        <f>U877*K877</f>
        <v/>
      </c>
      <c r="AH877" s="50">
        <f>V877*K877</f>
        <v/>
      </c>
      <c r="AI877" s="50">
        <f>W877*K877</f>
        <v/>
      </c>
    </row>
    <row r="878">
      <c r="A878" s="25" t="n"/>
      <c r="B878" s="45">
        <f>IF(A878="","",IFERROR(INDEX(Mitarbeiter!$B$6:$B$205,MATCH($A878,Mitarbeiter!$A$6:$A$205,0)),"?"))</f>
        <v/>
      </c>
      <c r="C878" s="46" t="n"/>
      <c r="D878" s="26" t="n"/>
      <c r="E878" s="26" t="n"/>
      <c r="F878" s="24">
        <f>IF(A878="","",SUM(L878:W878))</f>
        <v/>
      </c>
      <c r="G878" s="36">
        <f>IF(A878="","",SUM(X878:AI878))</f>
        <v/>
      </c>
      <c r="H878" s="8">
        <f>IF(A878="","",IF(ISNA(MATCH(A878,Mitarbeiter!$A$6:$A$205,0)),"Pers.-Nr. unbekannt",IF(D878="","Von fehlt",IF(AND(C878&lt;&gt;Einstellungen!$C$4,C878&lt;&gt;Einstellungen!$C$5),"Objekt fehlt",IF(J878&lt;D878,"Bis vor Von",IF(D878&lt;INDEX(Mitarbeiter!$C$6:$C$205,MATCH($A878,Mitarbeiter!$A$6:$A$205,0)),"vor Eintritt",IF(AND(INDEX(Mitarbeiter!$D$6:$D$205,MATCH($A878,Mitarbeiter!$A$6:$A$205,0))&lt;&gt;"",D878&gt;INDEX(Mitarbeiter!$D$6:$D$205,MATCH($A878,Mitarbeiter!$A$6:$A$205,0))),"nach Austritt",IF(E878="","offen","ok"))))))))</f>
        <v/>
      </c>
      <c r="J878" s="47">
        <f>IF(A878="","",IF(E878="",Einstellungen!$C$9,E878))</f>
        <v/>
      </c>
      <c r="K878" s="48">
        <f>IF(A878="",0,IFERROR(INDEX(Mitarbeiter!$F$6:$F$205,MATCH($A878,Mitarbeiter!$A$6:$A$205,0)),0))</f>
        <v/>
      </c>
      <c r="L878" s="49">
        <f>IF(OR(A878="",D878=""),0,MAX(0,NETWORKDAYS(MAX(D878,DATE(Einstellungen!$C$3,1,1)),MIN(J878,DATE(Einstellungen!$C$3,2,0)),Einstellungen!$F$13:$F$32)))</f>
        <v/>
      </c>
      <c r="M878" s="49">
        <f>IF(OR(A878="",D878=""),0,MAX(0,NETWORKDAYS(MAX(D878,DATE(Einstellungen!$C$3,2,1)),MIN(J878,DATE(Einstellungen!$C$3,3,0)),Einstellungen!$F$13:$F$32)))</f>
        <v/>
      </c>
      <c r="N878" s="49">
        <f>IF(OR(A878="",D878=""),0,MAX(0,NETWORKDAYS(MAX(D878,DATE(Einstellungen!$C$3,3,1)),MIN(J878,DATE(Einstellungen!$C$3,4,0)),Einstellungen!$F$13:$F$32)))</f>
        <v/>
      </c>
      <c r="O878" s="49">
        <f>IF(OR(A878="",D878=""),0,MAX(0,NETWORKDAYS(MAX(D878,DATE(Einstellungen!$C$3,4,1)),MIN(J878,DATE(Einstellungen!$C$3,5,0)),Einstellungen!$F$13:$F$32)))</f>
        <v/>
      </c>
      <c r="P878" s="49">
        <f>IF(OR(A878="",D878=""),0,MAX(0,NETWORKDAYS(MAX(D878,DATE(Einstellungen!$C$3,5,1)),MIN(J878,DATE(Einstellungen!$C$3,6,0)),Einstellungen!$F$13:$F$32)))</f>
        <v/>
      </c>
      <c r="Q878" s="49">
        <f>IF(OR(A878="",D878=""),0,MAX(0,NETWORKDAYS(MAX(D878,DATE(Einstellungen!$C$3,6,1)),MIN(J878,DATE(Einstellungen!$C$3,7,0)),Einstellungen!$F$13:$F$32)))</f>
        <v/>
      </c>
      <c r="R878" s="49">
        <f>IF(OR(A878="",D878=""),0,MAX(0,NETWORKDAYS(MAX(D878,DATE(Einstellungen!$C$3,7,1)),MIN(J878,DATE(Einstellungen!$C$3,8,0)),Einstellungen!$F$13:$F$32)))</f>
        <v/>
      </c>
      <c r="S878" s="49">
        <f>IF(OR(A878="",D878=""),0,MAX(0,NETWORKDAYS(MAX(D878,DATE(Einstellungen!$C$3,8,1)),MIN(J878,DATE(Einstellungen!$C$3,9,0)),Einstellungen!$F$13:$F$32)))</f>
        <v/>
      </c>
      <c r="T878" s="49">
        <f>IF(OR(A878="",D878=""),0,MAX(0,NETWORKDAYS(MAX(D878,DATE(Einstellungen!$C$3,9,1)),MIN(J878,DATE(Einstellungen!$C$3,10,0)),Einstellungen!$F$13:$F$32)))</f>
        <v/>
      </c>
      <c r="U878" s="49">
        <f>IF(OR(A878="",D878=""),0,MAX(0,NETWORKDAYS(MAX(D878,DATE(Einstellungen!$C$3,10,1)),MIN(J878,DATE(Einstellungen!$C$3,11,0)),Einstellungen!$F$13:$F$32)))</f>
        <v/>
      </c>
      <c r="V878" s="49">
        <f>IF(OR(A878="",D878=""),0,MAX(0,NETWORKDAYS(MAX(D878,DATE(Einstellungen!$C$3,11,1)),MIN(J878,DATE(Einstellungen!$C$3,12,0)),Einstellungen!$F$13:$F$32)))</f>
        <v/>
      </c>
      <c r="W878" s="49">
        <f>IF(OR(A878="",D878=""),0,MAX(0,NETWORKDAYS(MAX(D878,DATE(Einstellungen!$C$3,12,1)),MIN(J878,DATE(Einstellungen!$C$3,13,0)),Einstellungen!$F$13:$F$32)))</f>
        <v/>
      </c>
      <c r="X878" s="50">
        <f>L878*K878</f>
        <v/>
      </c>
      <c r="Y878" s="50">
        <f>M878*K878</f>
        <v/>
      </c>
      <c r="Z878" s="50">
        <f>N878*K878</f>
        <v/>
      </c>
      <c r="AA878" s="50">
        <f>O878*K878</f>
        <v/>
      </c>
      <c r="AB878" s="50">
        <f>P878*K878</f>
        <v/>
      </c>
      <c r="AC878" s="50">
        <f>Q878*K878</f>
        <v/>
      </c>
      <c r="AD878" s="50">
        <f>R878*K878</f>
        <v/>
      </c>
      <c r="AE878" s="50">
        <f>S878*K878</f>
        <v/>
      </c>
      <c r="AF878" s="50">
        <f>T878*K878</f>
        <v/>
      </c>
      <c r="AG878" s="50">
        <f>U878*K878</f>
        <v/>
      </c>
      <c r="AH878" s="50">
        <f>V878*K878</f>
        <v/>
      </c>
      <c r="AI878" s="50">
        <f>W878*K878</f>
        <v/>
      </c>
    </row>
    <row r="879">
      <c r="A879" s="25" t="n"/>
      <c r="B879" s="45">
        <f>IF(A879="","",IFERROR(INDEX(Mitarbeiter!$B$6:$B$205,MATCH($A879,Mitarbeiter!$A$6:$A$205,0)),"?"))</f>
        <v/>
      </c>
      <c r="C879" s="46" t="n"/>
      <c r="D879" s="26" t="n"/>
      <c r="E879" s="26" t="n"/>
      <c r="F879" s="24">
        <f>IF(A879="","",SUM(L879:W879))</f>
        <v/>
      </c>
      <c r="G879" s="36">
        <f>IF(A879="","",SUM(X879:AI879))</f>
        <v/>
      </c>
      <c r="H879" s="8">
        <f>IF(A879="","",IF(ISNA(MATCH(A879,Mitarbeiter!$A$6:$A$205,0)),"Pers.-Nr. unbekannt",IF(D879="","Von fehlt",IF(AND(C879&lt;&gt;Einstellungen!$C$4,C879&lt;&gt;Einstellungen!$C$5),"Objekt fehlt",IF(J879&lt;D879,"Bis vor Von",IF(D879&lt;INDEX(Mitarbeiter!$C$6:$C$205,MATCH($A879,Mitarbeiter!$A$6:$A$205,0)),"vor Eintritt",IF(AND(INDEX(Mitarbeiter!$D$6:$D$205,MATCH($A879,Mitarbeiter!$A$6:$A$205,0))&lt;&gt;"",D879&gt;INDEX(Mitarbeiter!$D$6:$D$205,MATCH($A879,Mitarbeiter!$A$6:$A$205,0))),"nach Austritt",IF(E879="","offen","ok"))))))))</f>
        <v/>
      </c>
      <c r="J879" s="47">
        <f>IF(A879="","",IF(E879="",Einstellungen!$C$9,E879))</f>
        <v/>
      </c>
      <c r="K879" s="48">
        <f>IF(A879="",0,IFERROR(INDEX(Mitarbeiter!$F$6:$F$205,MATCH($A879,Mitarbeiter!$A$6:$A$205,0)),0))</f>
        <v/>
      </c>
      <c r="L879" s="49">
        <f>IF(OR(A879="",D879=""),0,MAX(0,NETWORKDAYS(MAX(D879,DATE(Einstellungen!$C$3,1,1)),MIN(J879,DATE(Einstellungen!$C$3,2,0)),Einstellungen!$F$13:$F$32)))</f>
        <v/>
      </c>
      <c r="M879" s="49">
        <f>IF(OR(A879="",D879=""),0,MAX(0,NETWORKDAYS(MAX(D879,DATE(Einstellungen!$C$3,2,1)),MIN(J879,DATE(Einstellungen!$C$3,3,0)),Einstellungen!$F$13:$F$32)))</f>
        <v/>
      </c>
      <c r="N879" s="49">
        <f>IF(OR(A879="",D879=""),0,MAX(0,NETWORKDAYS(MAX(D879,DATE(Einstellungen!$C$3,3,1)),MIN(J879,DATE(Einstellungen!$C$3,4,0)),Einstellungen!$F$13:$F$32)))</f>
        <v/>
      </c>
      <c r="O879" s="49">
        <f>IF(OR(A879="",D879=""),0,MAX(0,NETWORKDAYS(MAX(D879,DATE(Einstellungen!$C$3,4,1)),MIN(J879,DATE(Einstellungen!$C$3,5,0)),Einstellungen!$F$13:$F$32)))</f>
        <v/>
      </c>
      <c r="P879" s="49">
        <f>IF(OR(A879="",D879=""),0,MAX(0,NETWORKDAYS(MAX(D879,DATE(Einstellungen!$C$3,5,1)),MIN(J879,DATE(Einstellungen!$C$3,6,0)),Einstellungen!$F$13:$F$32)))</f>
        <v/>
      </c>
      <c r="Q879" s="49">
        <f>IF(OR(A879="",D879=""),0,MAX(0,NETWORKDAYS(MAX(D879,DATE(Einstellungen!$C$3,6,1)),MIN(J879,DATE(Einstellungen!$C$3,7,0)),Einstellungen!$F$13:$F$32)))</f>
        <v/>
      </c>
      <c r="R879" s="49">
        <f>IF(OR(A879="",D879=""),0,MAX(0,NETWORKDAYS(MAX(D879,DATE(Einstellungen!$C$3,7,1)),MIN(J879,DATE(Einstellungen!$C$3,8,0)),Einstellungen!$F$13:$F$32)))</f>
        <v/>
      </c>
      <c r="S879" s="49">
        <f>IF(OR(A879="",D879=""),0,MAX(0,NETWORKDAYS(MAX(D879,DATE(Einstellungen!$C$3,8,1)),MIN(J879,DATE(Einstellungen!$C$3,9,0)),Einstellungen!$F$13:$F$32)))</f>
        <v/>
      </c>
      <c r="T879" s="49">
        <f>IF(OR(A879="",D879=""),0,MAX(0,NETWORKDAYS(MAX(D879,DATE(Einstellungen!$C$3,9,1)),MIN(J879,DATE(Einstellungen!$C$3,10,0)),Einstellungen!$F$13:$F$32)))</f>
        <v/>
      </c>
      <c r="U879" s="49">
        <f>IF(OR(A879="",D879=""),0,MAX(0,NETWORKDAYS(MAX(D879,DATE(Einstellungen!$C$3,10,1)),MIN(J879,DATE(Einstellungen!$C$3,11,0)),Einstellungen!$F$13:$F$32)))</f>
        <v/>
      </c>
      <c r="V879" s="49">
        <f>IF(OR(A879="",D879=""),0,MAX(0,NETWORKDAYS(MAX(D879,DATE(Einstellungen!$C$3,11,1)),MIN(J879,DATE(Einstellungen!$C$3,12,0)),Einstellungen!$F$13:$F$32)))</f>
        <v/>
      </c>
      <c r="W879" s="49">
        <f>IF(OR(A879="",D879=""),0,MAX(0,NETWORKDAYS(MAX(D879,DATE(Einstellungen!$C$3,12,1)),MIN(J879,DATE(Einstellungen!$C$3,13,0)),Einstellungen!$F$13:$F$32)))</f>
        <v/>
      </c>
      <c r="X879" s="50">
        <f>L879*K879</f>
        <v/>
      </c>
      <c r="Y879" s="50">
        <f>M879*K879</f>
        <v/>
      </c>
      <c r="Z879" s="50">
        <f>N879*K879</f>
        <v/>
      </c>
      <c r="AA879" s="50">
        <f>O879*K879</f>
        <v/>
      </c>
      <c r="AB879" s="50">
        <f>P879*K879</f>
        <v/>
      </c>
      <c r="AC879" s="50">
        <f>Q879*K879</f>
        <v/>
      </c>
      <c r="AD879" s="50">
        <f>R879*K879</f>
        <v/>
      </c>
      <c r="AE879" s="50">
        <f>S879*K879</f>
        <v/>
      </c>
      <c r="AF879" s="50">
        <f>T879*K879</f>
        <v/>
      </c>
      <c r="AG879" s="50">
        <f>U879*K879</f>
        <v/>
      </c>
      <c r="AH879" s="50">
        <f>V879*K879</f>
        <v/>
      </c>
      <c r="AI879" s="50">
        <f>W879*K879</f>
        <v/>
      </c>
    </row>
    <row r="880">
      <c r="A880" s="25" t="n"/>
      <c r="B880" s="45">
        <f>IF(A880="","",IFERROR(INDEX(Mitarbeiter!$B$6:$B$205,MATCH($A880,Mitarbeiter!$A$6:$A$205,0)),"?"))</f>
        <v/>
      </c>
      <c r="C880" s="46" t="n"/>
      <c r="D880" s="26" t="n"/>
      <c r="E880" s="26" t="n"/>
      <c r="F880" s="24">
        <f>IF(A880="","",SUM(L880:W880))</f>
        <v/>
      </c>
      <c r="G880" s="36">
        <f>IF(A880="","",SUM(X880:AI880))</f>
        <v/>
      </c>
      <c r="H880" s="8">
        <f>IF(A880="","",IF(ISNA(MATCH(A880,Mitarbeiter!$A$6:$A$205,0)),"Pers.-Nr. unbekannt",IF(D880="","Von fehlt",IF(AND(C880&lt;&gt;Einstellungen!$C$4,C880&lt;&gt;Einstellungen!$C$5),"Objekt fehlt",IF(J880&lt;D880,"Bis vor Von",IF(D880&lt;INDEX(Mitarbeiter!$C$6:$C$205,MATCH($A880,Mitarbeiter!$A$6:$A$205,0)),"vor Eintritt",IF(AND(INDEX(Mitarbeiter!$D$6:$D$205,MATCH($A880,Mitarbeiter!$A$6:$A$205,0))&lt;&gt;"",D880&gt;INDEX(Mitarbeiter!$D$6:$D$205,MATCH($A880,Mitarbeiter!$A$6:$A$205,0))),"nach Austritt",IF(E880="","offen","ok"))))))))</f>
        <v/>
      </c>
      <c r="J880" s="47">
        <f>IF(A880="","",IF(E880="",Einstellungen!$C$9,E880))</f>
        <v/>
      </c>
      <c r="K880" s="48">
        <f>IF(A880="",0,IFERROR(INDEX(Mitarbeiter!$F$6:$F$205,MATCH($A880,Mitarbeiter!$A$6:$A$205,0)),0))</f>
        <v/>
      </c>
      <c r="L880" s="49">
        <f>IF(OR(A880="",D880=""),0,MAX(0,NETWORKDAYS(MAX(D880,DATE(Einstellungen!$C$3,1,1)),MIN(J880,DATE(Einstellungen!$C$3,2,0)),Einstellungen!$F$13:$F$32)))</f>
        <v/>
      </c>
      <c r="M880" s="49">
        <f>IF(OR(A880="",D880=""),0,MAX(0,NETWORKDAYS(MAX(D880,DATE(Einstellungen!$C$3,2,1)),MIN(J880,DATE(Einstellungen!$C$3,3,0)),Einstellungen!$F$13:$F$32)))</f>
        <v/>
      </c>
      <c r="N880" s="49">
        <f>IF(OR(A880="",D880=""),0,MAX(0,NETWORKDAYS(MAX(D880,DATE(Einstellungen!$C$3,3,1)),MIN(J880,DATE(Einstellungen!$C$3,4,0)),Einstellungen!$F$13:$F$32)))</f>
        <v/>
      </c>
      <c r="O880" s="49">
        <f>IF(OR(A880="",D880=""),0,MAX(0,NETWORKDAYS(MAX(D880,DATE(Einstellungen!$C$3,4,1)),MIN(J880,DATE(Einstellungen!$C$3,5,0)),Einstellungen!$F$13:$F$32)))</f>
        <v/>
      </c>
      <c r="P880" s="49">
        <f>IF(OR(A880="",D880=""),0,MAX(0,NETWORKDAYS(MAX(D880,DATE(Einstellungen!$C$3,5,1)),MIN(J880,DATE(Einstellungen!$C$3,6,0)),Einstellungen!$F$13:$F$32)))</f>
        <v/>
      </c>
      <c r="Q880" s="49">
        <f>IF(OR(A880="",D880=""),0,MAX(0,NETWORKDAYS(MAX(D880,DATE(Einstellungen!$C$3,6,1)),MIN(J880,DATE(Einstellungen!$C$3,7,0)),Einstellungen!$F$13:$F$32)))</f>
        <v/>
      </c>
      <c r="R880" s="49">
        <f>IF(OR(A880="",D880=""),0,MAX(0,NETWORKDAYS(MAX(D880,DATE(Einstellungen!$C$3,7,1)),MIN(J880,DATE(Einstellungen!$C$3,8,0)),Einstellungen!$F$13:$F$32)))</f>
        <v/>
      </c>
      <c r="S880" s="49">
        <f>IF(OR(A880="",D880=""),0,MAX(0,NETWORKDAYS(MAX(D880,DATE(Einstellungen!$C$3,8,1)),MIN(J880,DATE(Einstellungen!$C$3,9,0)),Einstellungen!$F$13:$F$32)))</f>
        <v/>
      </c>
      <c r="T880" s="49">
        <f>IF(OR(A880="",D880=""),0,MAX(0,NETWORKDAYS(MAX(D880,DATE(Einstellungen!$C$3,9,1)),MIN(J880,DATE(Einstellungen!$C$3,10,0)),Einstellungen!$F$13:$F$32)))</f>
        <v/>
      </c>
      <c r="U880" s="49">
        <f>IF(OR(A880="",D880=""),0,MAX(0,NETWORKDAYS(MAX(D880,DATE(Einstellungen!$C$3,10,1)),MIN(J880,DATE(Einstellungen!$C$3,11,0)),Einstellungen!$F$13:$F$32)))</f>
        <v/>
      </c>
      <c r="V880" s="49">
        <f>IF(OR(A880="",D880=""),0,MAX(0,NETWORKDAYS(MAX(D880,DATE(Einstellungen!$C$3,11,1)),MIN(J880,DATE(Einstellungen!$C$3,12,0)),Einstellungen!$F$13:$F$32)))</f>
        <v/>
      </c>
      <c r="W880" s="49">
        <f>IF(OR(A880="",D880=""),0,MAX(0,NETWORKDAYS(MAX(D880,DATE(Einstellungen!$C$3,12,1)),MIN(J880,DATE(Einstellungen!$C$3,13,0)),Einstellungen!$F$13:$F$32)))</f>
        <v/>
      </c>
      <c r="X880" s="50">
        <f>L880*K880</f>
        <v/>
      </c>
      <c r="Y880" s="50">
        <f>M880*K880</f>
        <v/>
      </c>
      <c r="Z880" s="50">
        <f>N880*K880</f>
        <v/>
      </c>
      <c r="AA880" s="50">
        <f>O880*K880</f>
        <v/>
      </c>
      <c r="AB880" s="50">
        <f>P880*K880</f>
        <v/>
      </c>
      <c r="AC880" s="50">
        <f>Q880*K880</f>
        <v/>
      </c>
      <c r="AD880" s="50">
        <f>R880*K880</f>
        <v/>
      </c>
      <c r="AE880" s="50">
        <f>S880*K880</f>
        <v/>
      </c>
      <c r="AF880" s="50">
        <f>T880*K880</f>
        <v/>
      </c>
      <c r="AG880" s="50">
        <f>U880*K880</f>
        <v/>
      </c>
      <c r="AH880" s="50">
        <f>V880*K880</f>
        <v/>
      </c>
      <c r="AI880" s="50">
        <f>W880*K880</f>
        <v/>
      </c>
    </row>
    <row r="881">
      <c r="A881" s="25" t="n"/>
      <c r="B881" s="45">
        <f>IF(A881="","",IFERROR(INDEX(Mitarbeiter!$B$6:$B$205,MATCH($A881,Mitarbeiter!$A$6:$A$205,0)),"?"))</f>
        <v/>
      </c>
      <c r="C881" s="46" t="n"/>
      <c r="D881" s="26" t="n"/>
      <c r="E881" s="26" t="n"/>
      <c r="F881" s="24">
        <f>IF(A881="","",SUM(L881:W881))</f>
        <v/>
      </c>
      <c r="G881" s="36">
        <f>IF(A881="","",SUM(X881:AI881))</f>
        <v/>
      </c>
      <c r="H881" s="8">
        <f>IF(A881="","",IF(ISNA(MATCH(A881,Mitarbeiter!$A$6:$A$205,0)),"Pers.-Nr. unbekannt",IF(D881="","Von fehlt",IF(AND(C881&lt;&gt;Einstellungen!$C$4,C881&lt;&gt;Einstellungen!$C$5),"Objekt fehlt",IF(J881&lt;D881,"Bis vor Von",IF(D881&lt;INDEX(Mitarbeiter!$C$6:$C$205,MATCH($A881,Mitarbeiter!$A$6:$A$205,0)),"vor Eintritt",IF(AND(INDEX(Mitarbeiter!$D$6:$D$205,MATCH($A881,Mitarbeiter!$A$6:$A$205,0))&lt;&gt;"",D881&gt;INDEX(Mitarbeiter!$D$6:$D$205,MATCH($A881,Mitarbeiter!$A$6:$A$205,0))),"nach Austritt",IF(E881="","offen","ok"))))))))</f>
        <v/>
      </c>
      <c r="J881" s="47">
        <f>IF(A881="","",IF(E881="",Einstellungen!$C$9,E881))</f>
        <v/>
      </c>
      <c r="K881" s="48">
        <f>IF(A881="",0,IFERROR(INDEX(Mitarbeiter!$F$6:$F$205,MATCH($A881,Mitarbeiter!$A$6:$A$205,0)),0))</f>
        <v/>
      </c>
      <c r="L881" s="49">
        <f>IF(OR(A881="",D881=""),0,MAX(0,NETWORKDAYS(MAX(D881,DATE(Einstellungen!$C$3,1,1)),MIN(J881,DATE(Einstellungen!$C$3,2,0)),Einstellungen!$F$13:$F$32)))</f>
        <v/>
      </c>
      <c r="M881" s="49">
        <f>IF(OR(A881="",D881=""),0,MAX(0,NETWORKDAYS(MAX(D881,DATE(Einstellungen!$C$3,2,1)),MIN(J881,DATE(Einstellungen!$C$3,3,0)),Einstellungen!$F$13:$F$32)))</f>
        <v/>
      </c>
      <c r="N881" s="49">
        <f>IF(OR(A881="",D881=""),0,MAX(0,NETWORKDAYS(MAX(D881,DATE(Einstellungen!$C$3,3,1)),MIN(J881,DATE(Einstellungen!$C$3,4,0)),Einstellungen!$F$13:$F$32)))</f>
        <v/>
      </c>
      <c r="O881" s="49">
        <f>IF(OR(A881="",D881=""),0,MAX(0,NETWORKDAYS(MAX(D881,DATE(Einstellungen!$C$3,4,1)),MIN(J881,DATE(Einstellungen!$C$3,5,0)),Einstellungen!$F$13:$F$32)))</f>
        <v/>
      </c>
      <c r="P881" s="49">
        <f>IF(OR(A881="",D881=""),0,MAX(0,NETWORKDAYS(MAX(D881,DATE(Einstellungen!$C$3,5,1)),MIN(J881,DATE(Einstellungen!$C$3,6,0)),Einstellungen!$F$13:$F$32)))</f>
        <v/>
      </c>
      <c r="Q881" s="49">
        <f>IF(OR(A881="",D881=""),0,MAX(0,NETWORKDAYS(MAX(D881,DATE(Einstellungen!$C$3,6,1)),MIN(J881,DATE(Einstellungen!$C$3,7,0)),Einstellungen!$F$13:$F$32)))</f>
        <v/>
      </c>
      <c r="R881" s="49">
        <f>IF(OR(A881="",D881=""),0,MAX(0,NETWORKDAYS(MAX(D881,DATE(Einstellungen!$C$3,7,1)),MIN(J881,DATE(Einstellungen!$C$3,8,0)),Einstellungen!$F$13:$F$32)))</f>
        <v/>
      </c>
      <c r="S881" s="49">
        <f>IF(OR(A881="",D881=""),0,MAX(0,NETWORKDAYS(MAX(D881,DATE(Einstellungen!$C$3,8,1)),MIN(J881,DATE(Einstellungen!$C$3,9,0)),Einstellungen!$F$13:$F$32)))</f>
        <v/>
      </c>
      <c r="T881" s="49">
        <f>IF(OR(A881="",D881=""),0,MAX(0,NETWORKDAYS(MAX(D881,DATE(Einstellungen!$C$3,9,1)),MIN(J881,DATE(Einstellungen!$C$3,10,0)),Einstellungen!$F$13:$F$32)))</f>
        <v/>
      </c>
      <c r="U881" s="49">
        <f>IF(OR(A881="",D881=""),0,MAX(0,NETWORKDAYS(MAX(D881,DATE(Einstellungen!$C$3,10,1)),MIN(J881,DATE(Einstellungen!$C$3,11,0)),Einstellungen!$F$13:$F$32)))</f>
        <v/>
      </c>
      <c r="V881" s="49">
        <f>IF(OR(A881="",D881=""),0,MAX(0,NETWORKDAYS(MAX(D881,DATE(Einstellungen!$C$3,11,1)),MIN(J881,DATE(Einstellungen!$C$3,12,0)),Einstellungen!$F$13:$F$32)))</f>
        <v/>
      </c>
      <c r="W881" s="49">
        <f>IF(OR(A881="",D881=""),0,MAX(0,NETWORKDAYS(MAX(D881,DATE(Einstellungen!$C$3,12,1)),MIN(J881,DATE(Einstellungen!$C$3,13,0)),Einstellungen!$F$13:$F$32)))</f>
        <v/>
      </c>
      <c r="X881" s="50">
        <f>L881*K881</f>
        <v/>
      </c>
      <c r="Y881" s="50">
        <f>M881*K881</f>
        <v/>
      </c>
      <c r="Z881" s="50">
        <f>N881*K881</f>
        <v/>
      </c>
      <c r="AA881" s="50">
        <f>O881*K881</f>
        <v/>
      </c>
      <c r="AB881" s="50">
        <f>P881*K881</f>
        <v/>
      </c>
      <c r="AC881" s="50">
        <f>Q881*K881</f>
        <v/>
      </c>
      <c r="AD881" s="50">
        <f>R881*K881</f>
        <v/>
      </c>
      <c r="AE881" s="50">
        <f>S881*K881</f>
        <v/>
      </c>
      <c r="AF881" s="50">
        <f>T881*K881</f>
        <v/>
      </c>
      <c r="AG881" s="50">
        <f>U881*K881</f>
        <v/>
      </c>
      <c r="AH881" s="50">
        <f>V881*K881</f>
        <v/>
      </c>
      <c r="AI881" s="50">
        <f>W881*K881</f>
        <v/>
      </c>
    </row>
    <row r="882">
      <c r="A882" s="25" t="n"/>
      <c r="B882" s="45">
        <f>IF(A882="","",IFERROR(INDEX(Mitarbeiter!$B$6:$B$205,MATCH($A882,Mitarbeiter!$A$6:$A$205,0)),"?"))</f>
        <v/>
      </c>
      <c r="C882" s="46" t="n"/>
      <c r="D882" s="26" t="n"/>
      <c r="E882" s="26" t="n"/>
      <c r="F882" s="24">
        <f>IF(A882="","",SUM(L882:W882))</f>
        <v/>
      </c>
      <c r="G882" s="36">
        <f>IF(A882="","",SUM(X882:AI882))</f>
        <v/>
      </c>
      <c r="H882" s="8">
        <f>IF(A882="","",IF(ISNA(MATCH(A882,Mitarbeiter!$A$6:$A$205,0)),"Pers.-Nr. unbekannt",IF(D882="","Von fehlt",IF(AND(C882&lt;&gt;Einstellungen!$C$4,C882&lt;&gt;Einstellungen!$C$5),"Objekt fehlt",IF(J882&lt;D882,"Bis vor Von",IF(D882&lt;INDEX(Mitarbeiter!$C$6:$C$205,MATCH($A882,Mitarbeiter!$A$6:$A$205,0)),"vor Eintritt",IF(AND(INDEX(Mitarbeiter!$D$6:$D$205,MATCH($A882,Mitarbeiter!$A$6:$A$205,0))&lt;&gt;"",D882&gt;INDEX(Mitarbeiter!$D$6:$D$205,MATCH($A882,Mitarbeiter!$A$6:$A$205,0))),"nach Austritt",IF(E882="","offen","ok"))))))))</f>
        <v/>
      </c>
      <c r="J882" s="47">
        <f>IF(A882="","",IF(E882="",Einstellungen!$C$9,E882))</f>
        <v/>
      </c>
      <c r="K882" s="48">
        <f>IF(A882="",0,IFERROR(INDEX(Mitarbeiter!$F$6:$F$205,MATCH($A882,Mitarbeiter!$A$6:$A$205,0)),0))</f>
        <v/>
      </c>
      <c r="L882" s="49">
        <f>IF(OR(A882="",D882=""),0,MAX(0,NETWORKDAYS(MAX(D882,DATE(Einstellungen!$C$3,1,1)),MIN(J882,DATE(Einstellungen!$C$3,2,0)),Einstellungen!$F$13:$F$32)))</f>
        <v/>
      </c>
      <c r="M882" s="49">
        <f>IF(OR(A882="",D882=""),0,MAX(0,NETWORKDAYS(MAX(D882,DATE(Einstellungen!$C$3,2,1)),MIN(J882,DATE(Einstellungen!$C$3,3,0)),Einstellungen!$F$13:$F$32)))</f>
        <v/>
      </c>
      <c r="N882" s="49">
        <f>IF(OR(A882="",D882=""),0,MAX(0,NETWORKDAYS(MAX(D882,DATE(Einstellungen!$C$3,3,1)),MIN(J882,DATE(Einstellungen!$C$3,4,0)),Einstellungen!$F$13:$F$32)))</f>
        <v/>
      </c>
      <c r="O882" s="49">
        <f>IF(OR(A882="",D882=""),0,MAX(0,NETWORKDAYS(MAX(D882,DATE(Einstellungen!$C$3,4,1)),MIN(J882,DATE(Einstellungen!$C$3,5,0)),Einstellungen!$F$13:$F$32)))</f>
        <v/>
      </c>
      <c r="P882" s="49">
        <f>IF(OR(A882="",D882=""),0,MAX(0,NETWORKDAYS(MAX(D882,DATE(Einstellungen!$C$3,5,1)),MIN(J882,DATE(Einstellungen!$C$3,6,0)),Einstellungen!$F$13:$F$32)))</f>
        <v/>
      </c>
      <c r="Q882" s="49">
        <f>IF(OR(A882="",D882=""),0,MAX(0,NETWORKDAYS(MAX(D882,DATE(Einstellungen!$C$3,6,1)),MIN(J882,DATE(Einstellungen!$C$3,7,0)),Einstellungen!$F$13:$F$32)))</f>
        <v/>
      </c>
      <c r="R882" s="49">
        <f>IF(OR(A882="",D882=""),0,MAX(0,NETWORKDAYS(MAX(D882,DATE(Einstellungen!$C$3,7,1)),MIN(J882,DATE(Einstellungen!$C$3,8,0)),Einstellungen!$F$13:$F$32)))</f>
        <v/>
      </c>
      <c r="S882" s="49">
        <f>IF(OR(A882="",D882=""),0,MAX(0,NETWORKDAYS(MAX(D882,DATE(Einstellungen!$C$3,8,1)),MIN(J882,DATE(Einstellungen!$C$3,9,0)),Einstellungen!$F$13:$F$32)))</f>
        <v/>
      </c>
      <c r="T882" s="49">
        <f>IF(OR(A882="",D882=""),0,MAX(0,NETWORKDAYS(MAX(D882,DATE(Einstellungen!$C$3,9,1)),MIN(J882,DATE(Einstellungen!$C$3,10,0)),Einstellungen!$F$13:$F$32)))</f>
        <v/>
      </c>
      <c r="U882" s="49">
        <f>IF(OR(A882="",D882=""),0,MAX(0,NETWORKDAYS(MAX(D882,DATE(Einstellungen!$C$3,10,1)),MIN(J882,DATE(Einstellungen!$C$3,11,0)),Einstellungen!$F$13:$F$32)))</f>
        <v/>
      </c>
      <c r="V882" s="49">
        <f>IF(OR(A882="",D882=""),0,MAX(0,NETWORKDAYS(MAX(D882,DATE(Einstellungen!$C$3,11,1)),MIN(J882,DATE(Einstellungen!$C$3,12,0)),Einstellungen!$F$13:$F$32)))</f>
        <v/>
      </c>
      <c r="W882" s="49">
        <f>IF(OR(A882="",D882=""),0,MAX(0,NETWORKDAYS(MAX(D882,DATE(Einstellungen!$C$3,12,1)),MIN(J882,DATE(Einstellungen!$C$3,13,0)),Einstellungen!$F$13:$F$32)))</f>
        <v/>
      </c>
      <c r="X882" s="50">
        <f>L882*K882</f>
        <v/>
      </c>
      <c r="Y882" s="50">
        <f>M882*K882</f>
        <v/>
      </c>
      <c r="Z882" s="50">
        <f>N882*K882</f>
        <v/>
      </c>
      <c r="AA882" s="50">
        <f>O882*K882</f>
        <v/>
      </c>
      <c r="AB882" s="50">
        <f>P882*K882</f>
        <v/>
      </c>
      <c r="AC882" s="50">
        <f>Q882*K882</f>
        <v/>
      </c>
      <c r="AD882" s="50">
        <f>R882*K882</f>
        <v/>
      </c>
      <c r="AE882" s="50">
        <f>S882*K882</f>
        <v/>
      </c>
      <c r="AF882" s="50">
        <f>T882*K882</f>
        <v/>
      </c>
      <c r="AG882" s="50">
        <f>U882*K882</f>
        <v/>
      </c>
      <c r="AH882" s="50">
        <f>V882*K882</f>
        <v/>
      </c>
      <c r="AI882" s="50">
        <f>W882*K882</f>
        <v/>
      </c>
    </row>
    <row r="883">
      <c r="A883" s="25" t="n"/>
      <c r="B883" s="45">
        <f>IF(A883="","",IFERROR(INDEX(Mitarbeiter!$B$6:$B$205,MATCH($A883,Mitarbeiter!$A$6:$A$205,0)),"?"))</f>
        <v/>
      </c>
      <c r="C883" s="46" t="n"/>
      <c r="D883" s="26" t="n"/>
      <c r="E883" s="26" t="n"/>
      <c r="F883" s="24">
        <f>IF(A883="","",SUM(L883:W883))</f>
        <v/>
      </c>
      <c r="G883" s="36">
        <f>IF(A883="","",SUM(X883:AI883))</f>
        <v/>
      </c>
      <c r="H883" s="8">
        <f>IF(A883="","",IF(ISNA(MATCH(A883,Mitarbeiter!$A$6:$A$205,0)),"Pers.-Nr. unbekannt",IF(D883="","Von fehlt",IF(AND(C883&lt;&gt;Einstellungen!$C$4,C883&lt;&gt;Einstellungen!$C$5),"Objekt fehlt",IF(J883&lt;D883,"Bis vor Von",IF(D883&lt;INDEX(Mitarbeiter!$C$6:$C$205,MATCH($A883,Mitarbeiter!$A$6:$A$205,0)),"vor Eintritt",IF(AND(INDEX(Mitarbeiter!$D$6:$D$205,MATCH($A883,Mitarbeiter!$A$6:$A$205,0))&lt;&gt;"",D883&gt;INDEX(Mitarbeiter!$D$6:$D$205,MATCH($A883,Mitarbeiter!$A$6:$A$205,0))),"nach Austritt",IF(E883="","offen","ok"))))))))</f>
        <v/>
      </c>
      <c r="J883" s="47">
        <f>IF(A883="","",IF(E883="",Einstellungen!$C$9,E883))</f>
        <v/>
      </c>
      <c r="K883" s="48">
        <f>IF(A883="",0,IFERROR(INDEX(Mitarbeiter!$F$6:$F$205,MATCH($A883,Mitarbeiter!$A$6:$A$205,0)),0))</f>
        <v/>
      </c>
      <c r="L883" s="49">
        <f>IF(OR(A883="",D883=""),0,MAX(0,NETWORKDAYS(MAX(D883,DATE(Einstellungen!$C$3,1,1)),MIN(J883,DATE(Einstellungen!$C$3,2,0)),Einstellungen!$F$13:$F$32)))</f>
        <v/>
      </c>
      <c r="M883" s="49">
        <f>IF(OR(A883="",D883=""),0,MAX(0,NETWORKDAYS(MAX(D883,DATE(Einstellungen!$C$3,2,1)),MIN(J883,DATE(Einstellungen!$C$3,3,0)),Einstellungen!$F$13:$F$32)))</f>
        <v/>
      </c>
      <c r="N883" s="49">
        <f>IF(OR(A883="",D883=""),0,MAX(0,NETWORKDAYS(MAX(D883,DATE(Einstellungen!$C$3,3,1)),MIN(J883,DATE(Einstellungen!$C$3,4,0)),Einstellungen!$F$13:$F$32)))</f>
        <v/>
      </c>
      <c r="O883" s="49">
        <f>IF(OR(A883="",D883=""),0,MAX(0,NETWORKDAYS(MAX(D883,DATE(Einstellungen!$C$3,4,1)),MIN(J883,DATE(Einstellungen!$C$3,5,0)),Einstellungen!$F$13:$F$32)))</f>
        <v/>
      </c>
      <c r="P883" s="49">
        <f>IF(OR(A883="",D883=""),0,MAX(0,NETWORKDAYS(MAX(D883,DATE(Einstellungen!$C$3,5,1)),MIN(J883,DATE(Einstellungen!$C$3,6,0)),Einstellungen!$F$13:$F$32)))</f>
        <v/>
      </c>
      <c r="Q883" s="49">
        <f>IF(OR(A883="",D883=""),0,MAX(0,NETWORKDAYS(MAX(D883,DATE(Einstellungen!$C$3,6,1)),MIN(J883,DATE(Einstellungen!$C$3,7,0)),Einstellungen!$F$13:$F$32)))</f>
        <v/>
      </c>
      <c r="R883" s="49">
        <f>IF(OR(A883="",D883=""),0,MAX(0,NETWORKDAYS(MAX(D883,DATE(Einstellungen!$C$3,7,1)),MIN(J883,DATE(Einstellungen!$C$3,8,0)),Einstellungen!$F$13:$F$32)))</f>
        <v/>
      </c>
      <c r="S883" s="49">
        <f>IF(OR(A883="",D883=""),0,MAX(0,NETWORKDAYS(MAX(D883,DATE(Einstellungen!$C$3,8,1)),MIN(J883,DATE(Einstellungen!$C$3,9,0)),Einstellungen!$F$13:$F$32)))</f>
        <v/>
      </c>
      <c r="T883" s="49">
        <f>IF(OR(A883="",D883=""),0,MAX(0,NETWORKDAYS(MAX(D883,DATE(Einstellungen!$C$3,9,1)),MIN(J883,DATE(Einstellungen!$C$3,10,0)),Einstellungen!$F$13:$F$32)))</f>
        <v/>
      </c>
      <c r="U883" s="49">
        <f>IF(OR(A883="",D883=""),0,MAX(0,NETWORKDAYS(MAX(D883,DATE(Einstellungen!$C$3,10,1)),MIN(J883,DATE(Einstellungen!$C$3,11,0)),Einstellungen!$F$13:$F$32)))</f>
        <v/>
      </c>
      <c r="V883" s="49">
        <f>IF(OR(A883="",D883=""),0,MAX(0,NETWORKDAYS(MAX(D883,DATE(Einstellungen!$C$3,11,1)),MIN(J883,DATE(Einstellungen!$C$3,12,0)),Einstellungen!$F$13:$F$32)))</f>
        <v/>
      </c>
      <c r="W883" s="49">
        <f>IF(OR(A883="",D883=""),0,MAX(0,NETWORKDAYS(MAX(D883,DATE(Einstellungen!$C$3,12,1)),MIN(J883,DATE(Einstellungen!$C$3,13,0)),Einstellungen!$F$13:$F$32)))</f>
        <v/>
      </c>
      <c r="X883" s="50">
        <f>L883*K883</f>
        <v/>
      </c>
      <c r="Y883" s="50">
        <f>M883*K883</f>
        <v/>
      </c>
      <c r="Z883" s="50">
        <f>N883*K883</f>
        <v/>
      </c>
      <c r="AA883" s="50">
        <f>O883*K883</f>
        <v/>
      </c>
      <c r="AB883" s="50">
        <f>P883*K883</f>
        <v/>
      </c>
      <c r="AC883" s="50">
        <f>Q883*K883</f>
        <v/>
      </c>
      <c r="AD883" s="50">
        <f>R883*K883</f>
        <v/>
      </c>
      <c r="AE883" s="50">
        <f>S883*K883</f>
        <v/>
      </c>
      <c r="AF883" s="50">
        <f>T883*K883</f>
        <v/>
      </c>
      <c r="AG883" s="50">
        <f>U883*K883</f>
        <v/>
      </c>
      <c r="AH883" s="50">
        <f>V883*K883</f>
        <v/>
      </c>
      <c r="AI883" s="50">
        <f>W883*K883</f>
        <v/>
      </c>
    </row>
    <row r="884">
      <c r="A884" s="25" t="n"/>
      <c r="B884" s="45">
        <f>IF(A884="","",IFERROR(INDEX(Mitarbeiter!$B$6:$B$205,MATCH($A884,Mitarbeiter!$A$6:$A$205,0)),"?"))</f>
        <v/>
      </c>
      <c r="C884" s="46" t="n"/>
      <c r="D884" s="26" t="n"/>
      <c r="E884" s="26" t="n"/>
      <c r="F884" s="24">
        <f>IF(A884="","",SUM(L884:W884))</f>
        <v/>
      </c>
      <c r="G884" s="36">
        <f>IF(A884="","",SUM(X884:AI884))</f>
        <v/>
      </c>
      <c r="H884" s="8">
        <f>IF(A884="","",IF(ISNA(MATCH(A884,Mitarbeiter!$A$6:$A$205,0)),"Pers.-Nr. unbekannt",IF(D884="","Von fehlt",IF(AND(C884&lt;&gt;Einstellungen!$C$4,C884&lt;&gt;Einstellungen!$C$5),"Objekt fehlt",IF(J884&lt;D884,"Bis vor Von",IF(D884&lt;INDEX(Mitarbeiter!$C$6:$C$205,MATCH($A884,Mitarbeiter!$A$6:$A$205,0)),"vor Eintritt",IF(AND(INDEX(Mitarbeiter!$D$6:$D$205,MATCH($A884,Mitarbeiter!$A$6:$A$205,0))&lt;&gt;"",D884&gt;INDEX(Mitarbeiter!$D$6:$D$205,MATCH($A884,Mitarbeiter!$A$6:$A$205,0))),"nach Austritt",IF(E884="","offen","ok"))))))))</f>
        <v/>
      </c>
      <c r="J884" s="47">
        <f>IF(A884="","",IF(E884="",Einstellungen!$C$9,E884))</f>
        <v/>
      </c>
      <c r="K884" s="48">
        <f>IF(A884="",0,IFERROR(INDEX(Mitarbeiter!$F$6:$F$205,MATCH($A884,Mitarbeiter!$A$6:$A$205,0)),0))</f>
        <v/>
      </c>
      <c r="L884" s="49">
        <f>IF(OR(A884="",D884=""),0,MAX(0,NETWORKDAYS(MAX(D884,DATE(Einstellungen!$C$3,1,1)),MIN(J884,DATE(Einstellungen!$C$3,2,0)),Einstellungen!$F$13:$F$32)))</f>
        <v/>
      </c>
      <c r="M884" s="49">
        <f>IF(OR(A884="",D884=""),0,MAX(0,NETWORKDAYS(MAX(D884,DATE(Einstellungen!$C$3,2,1)),MIN(J884,DATE(Einstellungen!$C$3,3,0)),Einstellungen!$F$13:$F$32)))</f>
        <v/>
      </c>
      <c r="N884" s="49">
        <f>IF(OR(A884="",D884=""),0,MAX(0,NETWORKDAYS(MAX(D884,DATE(Einstellungen!$C$3,3,1)),MIN(J884,DATE(Einstellungen!$C$3,4,0)),Einstellungen!$F$13:$F$32)))</f>
        <v/>
      </c>
      <c r="O884" s="49">
        <f>IF(OR(A884="",D884=""),0,MAX(0,NETWORKDAYS(MAX(D884,DATE(Einstellungen!$C$3,4,1)),MIN(J884,DATE(Einstellungen!$C$3,5,0)),Einstellungen!$F$13:$F$32)))</f>
        <v/>
      </c>
      <c r="P884" s="49">
        <f>IF(OR(A884="",D884=""),0,MAX(0,NETWORKDAYS(MAX(D884,DATE(Einstellungen!$C$3,5,1)),MIN(J884,DATE(Einstellungen!$C$3,6,0)),Einstellungen!$F$13:$F$32)))</f>
        <v/>
      </c>
      <c r="Q884" s="49">
        <f>IF(OR(A884="",D884=""),0,MAX(0,NETWORKDAYS(MAX(D884,DATE(Einstellungen!$C$3,6,1)),MIN(J884,DATE(Einstellungen!$C$3,7,0)),Einstellungen!$F$13:$F$32)))</f>
        <v/>
      </c>
      <c r="R884" s="49">
        <f>IF(OR(A884="",D884=""),0,MAX(0,NETWORKDAYS(MAX(D884,DATE(Einstellungen!$C$3,7,1)),MIN(J884,DATE(Einstellungen!$C$3,8,0)),Einstellungen!$F$13:$F$32)))</f>
        <v/>
      </c>
      <c r="S884" s="49">
        <f>IF(OR(A884="",D884=""),0,MAX(0,NETWORKDAYS(MAX(D884,DATE(Einstellungen!$C$3,8,1)),MIN(J884,DATE(Einstellungen!$C$3,9,0)),Einstellungen!$F$13:$F$32)))</f>
        <v/>
      </c>
      <c r="T884" s="49">
        <f>IF(OR(A884="",D884=""),0,MAX(0,NETWORKDAYS(MAX(D884,DATE(Einstellungen!$C$3,9,1)),MIN(J884,DATE(Einstellungen!$C$3,10,0)),Einstellungen!$F$13:$F$32)))</f>
        <v/>
      </c>
      <c r="U884" s="49">
        <f>IF(OR(A884="",D884=""),0,MAX(0,NETWORKDAYS(MAX(D884,DATE(Einstellungen!$C$3,10,1)),MIN(J884,DATE(Einstellungen!$C$3,11,0)),Einstellungen!$F$13:$F$32)))</f>
        <v/>
      </c>
      <c r="V884" s="49">
        <f>IF(OR(A884="",D884=""),0,MAX(0,NETWORKDAYS(MAX(D884,DATE(Einstellungen!$C$3,11,1)),MIN(J884,DATE(Einstellungen!$C$3,12,0)),Einstellungen!$F$13:$F$32)))</f>
        <v/>
      </c>
      <c r="W884" s="49">
        <f>IF(OR(A884="",D884=""),0,MAX(0,NETWORKDAYS(MAX(D884,DATE(Einstellungen!$C$3,12,1)),MIN(J884,DATE(Einstellungen!$C$3,13,0)),Einstellungen!$F$13:$F$32)))</f>
        <v/>
      </c>
      <c r="X884" s="50">
        <f>L884*K884</f>
        <v/>
      </c>
      <c r="Y884" s="50">
        <f>M884*K884</f>
        <v/>
      </c>
      <c r="Z884" s="50">
        <f>N884*K884</f>
        <v/>
      </c>
      <c r="AA884" s="50">
        <f>O884*K884</f>
        <v/>
      </c>
      <c r="AB884" s="50">
        <f>P884*K884</f>
        <v/>
      </c>
      <c r="AC884" s="50">
        <f>Q884*K884</f>
        <v/>
      </c>
      <c r="AD884" s="50">
        <f>R884*K884</f>
        <v/>
      </c>
      <c r="AE884" s="50">
        <f>S884*K884</f>
        <v/>
      </c>
      <c r="AF884" s="50">
        <f>T884*K884</f>
        <v/>
      </c>
      <c r="AG884" s="50">
        <f>U884*K884</f>
        <v/>
      </c>
      <c r="AH884" s="50">
        <f>V884*K884</f>
        <v/>
      </c>
      <c r="AI884" s="50">
        <f>W884*K884</f>
        <v/>
      </c>
    </row>
    <row r="885">
      <c r="A885" s="25" t="n"/>
      <c r="B885" s="45">
        <f>IF(A885="","",IFERROR(INDEX(Mitarbeiter!$B$6:$B$205,MATCH($A885,Mitarbeiter!$A$6:$A$205,0)),"?"))</f>
        <v/>
      </c>
      <c r="C885" s="46" t="n"/>
      <c r="D885" s="26" t="n"/>
      <c r="E885" s="26" t="n"/>
      <c r="F885" s="24">
        <f>IF(A885="","",SUM(L885:W885))</f>
        <v/>
      </c>
      <c r="G885" s="36">
        <f>IF(A885="","",SUM(X885:AI885))</f>
        <v/>
      </c>
      <c r="H885" s="8">
        <f>IF(A885="","",IF(ISNA(MATCH(A885,Mitarbeiter!$A$6:$A$205,0)),"Pers.-Nr. unbekannt",IF(D885="","Von fehlt",IF(AND(C885&lt;&gt;Einstellungen!$C$4,C885&lt;&gt;Einstellungen!$C$5),"Objekt fehlt",IF(J885&lt;D885,"Bis vor Von",IF(D885&lt;INDEX(Mitarbeiter!$C$6:$C$205,MATCH($A885,Mitarbeiter!$A$6:$A$205,0)),"vor Eintritt",IF(AND(INDEX(Mitarbeiter!$D$6:$D$205,MATCH($A885,Mitarbeiter!$A$6:$A$205,0))&lt;&gt;"",D885&gt;INDEX(Mitarbeiter!$D$6:$D$205,MATCH($A885,Mitarbeiter!$A$6:$A$205,0))),"nach Austritt",IF(E885="","offen","ok"))))))))</f>
        <v/>
      </c>
      <c r="J885" s="47">
        <f>IF(A885="","",IF(E885="",Einstellungen!$C$9,E885))</f>
        <v/>
      </c>
      <c r="K885" s="48">
        <f>IF(A885="",0,IFERROR(INDEX(Mitarbeiter!$F$6:$F$205,MATCH($A885,Mitarbeiter!$A$6:$A$205,0)),0))</f>
        <v/>
      </c>
      <c r="L885" s="49">
        <f>IF(OR(A885="",D885=""),0,MAX(0,NETWORKDAYS(MAX(D885,DATE(Einstellungen!$C$3,1,1)),MIN(J885,DATE(Einstellungen!$C$3,2,0)),Einstellungen!$F$13:$F$32)))</f>
        <v/>
      </c>
      <c r="M885" s="49">
        <f>IF(OR(A885="",D885=""),0,MAX(0,NETWORKDAYS(MAX(D885,DATE(Einstellungen!$C$3,2,1)),MIN(J885,DATE(Einstellungen!$C$3,3,0)),Einstellungen!$F$13:$F$32)))</f>
        <v/>
      </c>
      <c r="N885" s="49">
        <f>IF(OR(A885="",D885=""),0,MAX(0,NETWORKDAYS(MAX(D885,DATE(Einstellungen!$C$3,3,1)),MIN(J885,DATE(Einstellungen!$C$3,4,0)),Einstellungen!$F$13:$F$32)))</f>
        <v/>
      </c>
      <c r="O885" s="49">
        <f>IF(OR(A885="",D885=""),0,MAX(0,NETWORKDAYS(MAX(D885,DATE(Einstellungen!$C$3,4,1)),MIN(J885,DATE(Einstellungen!$C$3,5,0)),Einstellungen!$F$13:$F$32)))</f>
        <v/>
      </c>
      <c r="P885" s="49">
        <f>IF(OR(A885="",D885=""),0,MAX(0,NETWORKDAYS(MAX(D885,DATE(Einstellungen!$C$3,5,1)),MIN(J885,DATE(Einstellungen!$C$3,6,0)),Einstellungen!$F$13:$F$32)))</f>
        <v/>
      </c>
      <c r="Q885" s="49">
        <f>IF(OR(A885="",D885=""),0,MAX(0,NETWORKDAYS(MAX(D885,DATE(Einstellungen!$C$3,6,1)),MIN(J885,DATE(Einstellungen!$C$3,7,0)),Einstellungen!$F$13:$F$32)))</f>
        <v/>
      </c>
      <c r="R885" s="49">
        <f>IF(OR(A885="",D885=""),0,MAX(0,NETWORKDAYS(MAX(D885,DATE(Einstellungen!$C$3,7,1)),MIN(J885,DATE(Einstellungen!$C$3,8,0)),Einstellungen!$F$13:$F$32)))</f>
        <v/>
      </c>
      <c r="S885" s="49">
        <f>IF(OR(A885="",D885=""),0,MAX(0,NETWORKDAYS(MAX(D885,DATE(Einstellungen!$C$3,8,1)),MIN(J885,DATE(Einstellungen!$C$3,9,0)),Einstellungen!$F$13:$F$32)))</f>
        <v/>
      </c>
      <c r="T885" s="49">
        <f>IF(OR(A885="",D885=""),0,MAX(0,NETWORKDAYS(MAX(D885,DATE(Einstellungen!$C$3,9,1)),MIN(J885,DATE(Einstellungen!$C$3,10,0)),Einstellungen!$F$13:$F$32)))</f>
        <v/>
      </c>
      <c r="U885" s="49">
        <f>IF(OR(A885="",D885=""),0,MAX(0,NETWORKDAYS(MAX(D885,DATE(Einstellungen!$C$3,10,1)),MIN(J885,DATE(Einstellungen!$C$3,11,0)),Einstellungen!$F$13:$F$32)))</f>
        <v/>
      </c>
      <c r="V885" s="49">
        <f>IF(OR(A885="",D885=""),0,MAX(0,NETWORKDAYS(MAX(D885,DATE(Einstellungen!$C$3,11,1)),MIN(J885,DATE(Einstellungen!$C$3,12,0)),Einstellungen!$F$13:$F$32)))</f>
        <v/>
      </c>
      <c r="W885" s="49">
        <f>IF(OR(A885="",D885=""),0,MAX(0,NETWORKDAYS(MAX(D885,DATE(Einstellungen!$C$3,12,1)),MIN(J885,DATE(Einstellungen!$C$3,13,0)),Einstellungen!$F$13:$F$32)))</f>
        <v/>
      </c>
      <c r="X885" s="50">
        <f>L885*K885</f>
        <v/>
      </c>
      <c r="Y885" s="50">
        <f>M885*K885</f>
        <v/>
      </c>
      <c r="Z885" s="50">
        <f>N885*K885</f>
        <v/>
      </c>
      <c r="AA885" s="50">
        <f>O885*K885</f>
        <v/>
      </c>
      <c r="AB885" s="50">
        <f>P885*K885</f>
        <v/>
      </c>
      <c r="AC885" s="50">
        <f>Q885*K885</f>
        <v/>
      </c>
      <c r="AD885" s="50">
        <f>R885*K885</f>
        <v/>
      </c>
      <c r="AE885" s="50">
        <f>S885*K885</f>
        <v/>
      </c>
      <c r="AF885" s="50">
        <f>T885*K885</f>
        <v/>
      </c>
      <c r="AG885" s="50">
        <f>U885*K885</f>
        <v/>
      </c>
      <c r="AH885" s="50">
        <f>V885*K885</f>
        <v/>
      </c>
      <c r="AI885" s="50">
        <f>W885*K885</f>
        <v/>
      </c>
    </row>
    <row r="886">
      <c r="A886" s="25" t="n"/>
      <c r="B886" s="45">
        <f>IF(A886="","",IFERROR(INDEX(Mitarbeiter!$B$6:$B$205,MATCH($A886,Mitarbeiter!$A$6:$A$205,0)),"?"))</f>
        <v/>
      </c>
      <c r="C886" s="46" t="n"/>
      <c r="D886" s="26" t="n"/>
      <c r="E886" s="26" t="n"/>
      <c r="F886" s="24">
        <f>IF(A886="","",SUM(L886:W886))</f>
        <v/>
      </c>
      <c r="G886" s="36">
        <f>IF(A886="","",SUM(X886:AI886))</f>
        <v/>
      </c>
      <c r="H886" s="8">
        <f>IF(A886="","",IF(ISNA(MATCH(A886,Mitarbeiter!$A$6:$A$205,0)),"Pers.-Nr. unbekannt",IF(D886="","Von fehlt",IF(AND(C886&lt;&gt;Einstellungen!$C$4,C886&lt;&gt;Einstellungen!$C$5),"Objekt fehlt",IF(J886&lt;D886,"Bis vor Von",IF(D886&lt;INDEX(Mitarbeiter!$C$6:$C$205,MATCH($A886,Mitarbeiter!$A$6:$A$205,0)),"vor Eintritt",IF(AND(INDEX(Mitarbeiter!$D$6:$D$205,MATCH($A886,Mitarbeiter!$A$6:$A$205,0))&lt;&gt;"",D886&gt;INDEX(Mitarbeiter!$D$6:$D$205,MATCH($A886,Mitarbeiter!$A$6:$A$205,0))),"nach Austritt",IF(E886="","offen","ok"))))))))</f>
        <v/>
      </c>
      <c r="J886" s="47">
        <f>IF(A886="","",IF(E886="",Einstellungen!$C$9,E886))</f>
        <v/>
      </c>
      <c r="K886" s="48">
        <f>IF(A886="",0,IFERROR(INDEX(Mitarbeiter!$F$6:$F$205,MATCH($A886,Mitarbeiter!$A$6:$A$205,0)),0))</f>
        <v/>
      </c>
      <c r="L886" s="49">
        <f>IF(OR(A886="",D886=""),0,MAX(0,NETWORKDAYS(MAX(D886,DATE(Einstellungen!$C$3,1,1)),MIN(J886,DATE(Einstellungen!$C$3,2,0)),Einstellungen!$F$13:$F$32)))</f>
        <v/>
      </c>
      <c r="M886" s="49">
        <f>IF(OR(A886="",D886=""),0,MAX(0,NETWORKDAYS(MAX(D886,DATE(Einstellungen!$C$3,2,1)),MIN(J886,DATE(Einstellungen!$C$3,3,0)),Einstellungen!$F$13:$F$32)))</f>
        <v/>
      </c>
      <c r="N886" s="49">
        <f>IF(OR(A886="",D886=""),0,MAX(0,NETWORKDAYS(MAX(D886,DATE(Einstellungen!$C$3,3,1)),MIN(J886,DATE(Einstellungen!$C$3,4,0)),Einstellungen!$F$13:$F$32)))</f>
        <v/>
      </c>
      <c r="O886" s="49">
        <f>IF(OR(A886="",D886=""),0,MAX(0,NETWORKDAYS(MAX(D886,DATE(Einstellungen!$C$3,4,1)),MIN(J886,DATE(Einstellungen!$C$3,5,0)),Einstellungen!$F$13:$F$32)))</f>
        <v/>
      </c>
      <c r="P886" s="49">
        <f>IF(OR(A886="",D886=""),0,MAX(0,NETWORKDAYS(MAX(D886,DATE(Einstellungen!$C$3,5,1)),MIN(J886,DATE(Einstellungen!$C$3,6,0)),Einstellungen!$F$13:$F$32)))</f>
        <v/>
      </c>
      <c r="Q886" s="49">
        <f>IF(OR(A886="",D886=""),0,MAX(0,NETWORKDAYS(MAX(D886,DATE(Einstellungen!$C$3,6,1)),MIN(J886,DATE(Einstellungen!$C$3,7,0)),Einstellungen!$F$13:$F$32)))</f>
        <v/>
      </c>
      <c r="R886" s="49">
        <f>IF(OR(A886="",D886=""),0,MAX(0,NETWORKDAYS(MAX(D886,DATE(Einstellungen!$C$3,7,1)),MIN(J886,DATE(Einstellungen!$C$3,8,0)),Einstellungen!$F$13:$F$32)))</f>
        <v/>
      </c>
      <c r="S886" s="49">
        <f>IF(OR(A886="",D886=""),0,MAX(0,NETWORKDAYS(MAX(D886,DATE(Einstellungen!$C$3,8,1)),MIN(J886,DATE(Einstellungen!$C$3,9,0)),Einstellungen!$F$13:$F$32)))</f>
        <v/>
      </c>
      <c r="T886" s="49">
        <f>IF(OR(A886="",D886=""),0,MAX(0,NETWORKDAYS(MAX(D886,DATE(Einstellungen!$C$3,9,1)),MIN(J886,DATE(Einstellungen!$C$3,10,0)),Einstellungen!$F$13:$F$32)))</f>
        <v/>
      </c>
      <c r="U886" s="49">
        <f>IF(OR(A886="",D886=""),0,MAX(0,NETWORKDAYS(MAX(D886,DATE(Einstellungen!$C$3,10,1)),MIN(J886,DATE(Einstellungen!$C$3,11,0)),Einstellungen!$F$13:$F$32)))</f>
        <v/>
      </c>
      <c r="V886" s="49">
        <f>IF(OR(A886="",D886=""),0,MAX(0,NETWORKDAYS(MAX(D886,DATE(Einstellungen!$C$3,11,1)),MIN(J886,DATE(Einstellungen!$C$3,12,0)),Einstellungen!$F$13:$F$32)))</f>
        <v/>
      </c>
      <c r="W886" s="49">
        <f>IF(OR(A886="",D886=""),0,MAX(0,NETWORKDAYS(MAX(D886,DATE(Einstellungen!$C$3,12,1)),MIN(J886,DATE(Einstellungen!$C$3,13,0)),Einstellungen!$F$13:$F$32)))</f>
        <v/>
      </c>
      <c r="X886" s="50">
        <f>L886*K886</f>
        <v/>
      </c>
      <c r="Y886" s="50">
        <f>M886*K886</f>
        <v/>
      </c>
      <c r="Z886" s="50">
        <f>N886*K886</f>
        <v/>
      </c>
      <c r="AA886" s="50">
        <f>O886*K886</f>
        <v/>
      </c>
      <c r="AB886" s="50">
        <f>P886*K886</f>
        <v/>
      </c>
      <c r="AC886" s="50">
        <f>Q886*K886</f>
        <v/>
      </c>
      <c r="AD886" s="50">
        <f>R886*K886</f>
        <v/>
      </c>
      <c r="AE886" s="50">
        <f>S886*K886</f>
        <v/>
      </c>
      <c r="AF886" s="50">
        <f>T886*K886</f>
        <v/>
      </c>
      <c r="AG886" s="50">
        <f>U886*K886</f>
        <v/>
      </c>
      <c r="AH886" s="50">
        <f>V886*K886</f>
        <v/>
      </c>
      <c r="AI886" s="50">
        <f>W886*K886</f>
        <v/>
      </c>
    </row>
    <row r="887">
      <c r="A887" s="25" t="n"/>
      <c r="B887" s="45">
        <f>IF(A887="","",IFERROR(INDEX(Mitarbeiter!$B$6:$B$205,MATCH($A887,Mitarbeiter!$A$6:$A$205,0)),"?"))</f>
        <v/>
      </c>
      <c r="C887" s="46" t="n"/>
      <c r="D887" s="26" t="n"/>
      <c r="E887" s="26" t="n"/>
      <c r="F887" s="24">
        <f>IF(A887="","",SUM(L887:W887))</f>
        <v/>
      </c>
      <c r="G887" s="36">
        <f>IF(A887="","",SUM(X887:AI887))</f>
        <v/>
      </c>
      <c r="H887" s="8">
        <f>IF(A887="","",IF(ISNA(MATCH(A887,Mitarbeiter!$A$6:$A$205,0)),"Pers.-Nr. unbekannt",IF(D887="","Von fehlt",IF(AND(C887&lt;&gt;Einstellungen!$C$4,C887&lt;&gt;Einstellungen!$C$5),"Objekt fehlt",IF(J887&lt;D887,"Bis vor Von",IF(D887&lt;INDEX(Mitarbeiter!$C$6:$C$205,MATCH($A887,Mitarbeiter!$A$6:$A$205,0)),"vor Eintritt",IF(AND(INDEX(Mitarbeiter!$D$6:$D$205,MATCH($A887,Mitarbeiter!$A$6:$A$205,0))&lt;&gt;"",D887&gt;INDEX(Mitarbeiter!$D$6:$D$205,MATCH($A887,Mitarbeiter!$A$6:$A$205,0))),"nach Austritt",IF(E887="","offen","ok"))))))))</f>
        <v/>
      </c>
      <c r="J887" s="47">
        <f>IF(A887="","",IF(E887="",Einstellungen!$C$9,E887))</f>
        <v/>
      </c>
      <c r="K887" s="48">
        <f>IF(A887="",0,IFERROR(INDEX(Mitarbeiter!$F$6:$F$205,MATCH($A887,Mitarbeiter!$A$6:$A$205,0)),0))</f>
        <v/>
      </c>
      <c r="L887" s="49">
        <f>IF(OR(A887="",D887=""),0,MAX(0,NETWORKDAYS(MAX(D887,DATE(Einstellungen!$C$3,1,1)),MIN(J887,DATE(Einstellungen!$C$3,2,0)),Einstellungen!$F$13:$F$32)))</f>
        <v/>
      </c>
      <c r="M887" s="49">
        <f>IF(OR(A887="",D887=""),0,MAX(0,NETWORKDAYS(MAX(D887,DATE(Einstellungen!$C$3,2,1)),MIN(J887,DATE(Einstellungen!$C$3,3,0)),Einstellungen!$F$13:$F$32)))</f>
        <v/>
      </c>
      <c r="N887" s="49">
        <f>IF(OR(A887="",D887=""),0,MAX(0,NETWORKDAYS(MAX(D887,DATE(Einstellungen!$C$3,3,1)),MIN(J887,DATE(Einstellungen!$C$3,4,0)),Einstellungen!$F$13:$F$32)))</f>
        <v/>
      </c>
      <c r="O887" s="49">
        <f>IF(OR(A887="",D887=""),0,MAX(0,NETWORKDAYS(MAX(D887,DATE(Einstellungen!$C$3,4,1)),MIN(J887,DATE(Einstellungen!$C$3,5,0)),Einstellungen!$F$13:$F$32)))</f>
        <v/>
      </c>
      <c r="P887" s="49">
        <f>IF(OR(A887="",D887=""),0,MAX(0,NETWORKDAYS(MAX(D887,DATE(Einstellungen!$C$3,5,1)),MIN(J887,DATE(Einstellungen!$C$3,6,0)),Einstellungen!$F$13:$F$32)))</f>
        <v/>
      </c>
      <c r="Q887" s="49">
        <f>IF(OR(A887="",D887=""),0,MAX(0,NETWORKDAYS(MAX(D887,DATE(Einstellungen!$C$3,6,1)),MIN(J887,DATE(Einstellungen!$C$3,7,0)),Einstellungen!$F$13:$F$32)))</f>
        <v/>
      </c>
      <c r="R887" s="49">
        <f>IF(OR(A887="",D887=""),0,MAX(0,NETWORKDAYS(MAX(D887,DATE(Einstellungen!$C$3,7,1)),MIN(J887,DATE(Einstellungen!$C$3,8,0)),Einstellungen!$F$13:$F$32)))</f>
        <v/>
      </c>
      <c r="S887" s="49">
        <f>IF(OR(A887="",D887=""),0,MAX(0,NETWORKDAYS(MAX(D887,DATE(Einstellungen!$C$3,8,1)),MIN(J887,DATE(Einstellungen!$C$3,9,0)),Einstellungen!$F$13:$F$32)))</f>
        <v/>
      </c>
      <c r="T887" s="49">
        <f>IF(OR(A887="",D887=""),0,MAX(0,NETWORKDAYS(MAX(D887,DATE(Einstellungen!$C$3,9,1)),MIN(J887,DATE(Einstellungen!$C$3,10,0)),Einstellungen!$F$13:$F$32)))</f>
        <v/>
      </c>
      <c r="U887" s="49">
        <f>IF(OR(A887="",D887=""),0,MAX(0,NETWORKDAYS(MAX(D887,DATE(Einstellungen!$C$3,10,1)),MIN(J887,DATE(Einstellungen!$C$3,11,0)),Einstellungen!$F$13:$F$32)))</f>
        <v/>
      </c>
      <c r="V887" s="49">
        <f>IF(OR(A887="",D887=""),0,MAX(0,NETWORKDAYS(MAX(D887,DATE(Einstellungen!$C$3,11,1)),MIN(J887,DATE(Einstellungen!$C$3,12,0)),Einstellungen!$F$13:$F$32)))</f>
        <v/>
      </c>
      <c r="W887" s="49">
        <f>IF(OR(A887="",D887=""),0,MAX(0,NETWORKDAYS(MAX(D887,DATE(Einstellungen!$C$3,12,1)),MIN(J887,DATE(Einstellungen!$C$3,13,0)),Einstellungen!$F$13:$F$32)))</f>
        <v/>
      </c>
      <c r="X887" s="50">
        <f>L887*K887</f>
        <v/>
      </c>
      <c r="Y887" s="50">
        <f>M887*K887</f>
        <v/>
      </c>
      <c r="Z887" s="50">
        <f>N887*K887</f>
        <v/>
      </c>
      <c r="AA887" s="50">
        <f>O887*K887</f>
        <v/>
      </c>
      <c r="AB887" s="50">
        <f>P887*K887</f>
        <v/>
      </c>
      <c r="AC887" s="50">
        <f>Q887*K887</f>
        <v/>
      </c>
      <c r="AD887" s="50">
        <f>R887*K887</f>
        <v/>
      </c>
      <c r="AE887" s="50">
        <f>S887*K887</f>
        <v/>
      </c>
      <c r="AF887" s="50">
        <f>T887*K887</f>
        <v/>
      </c>
      <c r="AG887" s="50">
        <f>U887*K887</f>
        <v/>
      </c>
      <c r="AH887" s="50">
        <f>V887*K887</f>
        <v/>
      </c>
      <c r="AI887" s="50">
        <f>W887*K887</f>
        <v/>
      </c>
    </row>
    <row r="888">
      <c r="A888" s="25" t="n"/>
      <c r="B888" s="45">
        <f>IF(A888="","",IFERROR(INDEX(Mitarbeiter!$B$6:$B$205,MATCH($A888,Mitarbeiter!$A$6:$A$205,0)),"?"))</f>
        <v/>
      </c>
      <c r="C888" s="46" t="n"/>
      <c r="D888" s="26" t="n"/>
      <c r="E888" s="26" t="n"/>
      <c r="F888" s="24">
        <f>IF(A888="","",SUM(L888:W888))</f>
        <v/>
      </c>
      <c r="G888" s="36">
        <f>IF(A888="","",SUM(X888:AI888))</f>
        <v/>
      </c>
      <c r="H888" s="8">
        <f>IF(A888="","",IF(ISNA(MATCH(A888,Mitarbeiter!$A$6:$A$205,0)),"Pers.-Nr. unbekannt",IF(D888="","Von fehlt",IF(AND(C888&lt;&gt;Einstellungen!$C$4,C888&lt;&gt;Einstellungen!$C$5),"Objekt fehlt",IF(J888&lt;D888,"Bis vor Von",IF(D888&lt;INDEX(Mitarbeiter!$C$6:$C$205,MATCH($A888,Mitarbeiter!$A$6:$A$205,0)),"vor Eintritt",IF(AND(INDEX(Mitarbeiter!$D$6:$D$205,MATCH($A888,Mitarbeiter!$A$6:$A$205,0))&lt;&gt;"",D888&gt;INDEX(Mitarbeiter!$D$6:$D$205,MATCH($A888,Mitarbeiter!$A$6:$A$205,0))),"nach Austritt",IF(E888="","offen","ok"))))))))</f>
        <v/>
      </c>
      <c r="J888" s="47">
        <f>IF(A888="","",IF(E888="",Einstellungen!$C$9,E888))</f>
        <v/>
      </c>
      <c r="K888" s="48">
        <f>IF(A888="",0,IFERROR(INDEX(Mitarbeiter!$F$6:$F$205,MATCH($A888,Mitarbeiter!$A$6:$A$205,0)),0))</f>
        <v/>
      </c>
      <c r="L888" s="49">
        <f>IF(OR(A888="",D888=""),0,MAX(0,NETWORKDAYS(MAX(D888,DATE(Einstellungen!$C$3,1,1)),MIN(J888,DATE(Einstellungen!$C$3,2,0)),Einstellungen!$F$13:$F$32)))</f>
        <v/>
      </c>
      <c r="M888" s="49">
        <f>IF(OR(A888="",D888=""),0,MAX(0,NETWORKDAYS(MAX(D888,DATE(Einstellungen!$C$3,2,1)),MIN(J888,DATE(Einstellungen!$C$3,3,0)),Einstellungen!$F$13:$F$32)))</f>
        <v/>
      </c>
      <c r="N888" s="49">
        <f>IF(OR(A888="",D888=""),0,MAX(0,NETWORKDAYS(MAX(D888,DATE(Einstellungen!$C$3,3,1)),MIN(J888,DATE(Einstellungen!$C$3,4,0)),Einstellungen!$F$13:$F$32)))</f>
        <v/>
      </c>
      <c r="O888" s="49">
        <f>IF(OR(A888="",D888=""),0,MAX(0,NETWORKDAYS(MAX(D888,DATE(Einstellungen!$C$3,4,1)),MIN(J888,DATE(Einstellungen!$C$3,5,0)),Einstellungen!$F$13:$F$32)))</f>
        <v/>
      </c>
      <c r="P888" s="49">
        <f>IF(OR(A888="",D888=""),0,MAX(0,NETWORKDAYS(MAX(D888,DATE(Einstellungen!$C$3,5,1)),MIN(J888,DATE(Einstellungen!$C$3,6,0)),Einstellungen!$F$13:$F$32)))</f>
        <v/>
      </c>
      <c r="Q888" s="49">
        <f>IF(OR(A888="",D888=""),0,MAX(0,NETWORKDAYS(MAX(D888,DATE(Einstellungen!$C$3,6,1)),MIN(J888,DATE(Einstellungen!$C$3,7,0)),Einstellungen!$F$13:$F$32)))</f>
        <v/>
      </c>
      <c r="R888" s="49">
        <f>IF(OR(A888="",D888=""),0,MAX(0,NETWORKDAYS(MAX(D888,DATE(Einstellungen!$C$3,7,1)),MIN(J888,DATE(Einstellungen!$C$3,8,0)),Einstellungen!$F$13:$F$32)))</f>
        <v/>
      </c>
      <c r="S888" s="49">
        <f>IF(OR(A888="",D888=""),0,MAX(0,NETWORKDAYS(MAX(D888,DATE(Einstellungen!$C$3,8,1)),MIN(J888,DATE(Einstellungen!$C$3,9,0)),Einstellungen!$F$13:$F$32)))</f>
        <v/>
      </c>
      <c r="T888" s="49">
        <f>IF(OR(A888="",D888=""),0,MAX(0,NETWORKDAYS(MAX(D888,DATE(Einstellungen!$C$3,9,1)),MIN(J888,DATE(Einstellungen!$C$3,10,0)),Einstellungen!$F$13:$F$32)))</f>
        <v/>
      </c>
      <c r="U888" s="49">
        <f>IF(OR(A888="",D888=""),0,MAX(0,NETWORKDAYS(MAX(D888,DATE(Einstellungen!$C$3,10,1)),MIN(J888,DATE(Einstellungen!$C$3,11,0)),Einstellungen!$F$13:$F$32)))</f>
        <v/>
      </c>
      <c r="V888" s="49">
        <f>IF(OR(A888="",D888=""),0,MAX(0,NETWORKDAYS(MAX(D888,DATE(Einstellungen!$C$3,11,1)),MIN(J888,DATE(Einstellungen!$C$3,12,0)),Einstellungen!$F$13:$F$32)))</f>
        <v/>
      </c>
      <c r="W888" s="49">
        <f>IF(OR(A888="",D888=""),0,MAX(0,NETWORKDAYS(MAX(D888,DATE(Einstellungen!$C$3,12,1)),MIN(J888,DATE(Einstellungen!$C$3,13,0)),Einstellungen!$F$13:$F$32)))</f>
        <v/>
      </c>
      <c r="X888" s="50">
        <f>L888*K888</f>
        <v/>
      </c>
      <c r="Y888" s="50">
        <f>M888*K888</f>
        <v/>
      </c>
      <c r="Z888" s="50">
        <f>N888*K888</f>
        <v/>
      </c>
      <c r="AA888" s="50">
        <f>O888*K888</f>
        <v/>
      </c>
      <c r="AB888" s="50">
        <f>P888*K888</f>
        <v/>
      </c>
      <c r="AC888" s="50">
        <f>Q888*K888</f>
        <v/>
      </c>
      <c r="AD888" s="50">
        <f>R888*K888</f>
        <v/>
      </c>
      <c r="AE888" s="50">
        <f>S888*K888</f>
        <v/>
      </c>
      <c r="AF888" s="50">
        <f>T888*K888</f>
        <v/>
      </c>
      <c r="AG888" s="50">
        <f>U888*K888</f>
        <v/>
      </c>
      <c r="AH888" s="50">
        <f>V888*K888</f>
        <v/>
      </c>
      <c r="AI888" s="50">
        <f>W888*K888</f>
        <v/>
      </c>
    </row>
    <row r="889">
      <c r="A889" s="25" t="n"/>
      <c r="B889" s="45">
        <f>IF(A889="","",IFERROR(INDEX(Mitarbeiter!$B$6:$B$205,MATCH($A889,Mitarbeiter!$A$6:$A$205,0)),"?"))</f>
        <v/>
      </c>
      <c r="C889" s="46" t="n"/>
      <c r="D889" s="26" t="n"/>
      <c r="E889" s="26" t="n"/>
      <c r="F889" s="24">
        <f>IF(A889="","",SUM(L889:W889))</f>
        <v/>
      </c>
      <c r="G889" s="36">
        <f>IF(A889="","",SUM(X889:AI889))</f>
        <v/>
      </c>
      <c r="H889" s="8">
        <f>IF(A889="","",IF(ISNA(MATCH(A889,Mitarbeiter!$A$6:$A$205,0)),"Pers.-Nr. unbekannt",IF(D889="","Von fehlt",IF(AND(C889&lt;&gt;Einstellungen!$C$4,C889&lt;&gt;Einstellungen!$C$5),"Objekt fehlt",IF(J889&lt;D889,"Bis vor Von",IF(D889&lt;INDEX(Mitarbeiter!$C$6:$C$205,MATCH($A889,Mitarbeiter!$A$6:$A$205,0)),"vor Eintritt",IF(AND(INDEX(Mitarbeiter!$D$6:$D$205,MATCH($A889,Mitarbeiter!$A$6:$A$205,0))&lt;&gt;"",D889&gt;INDEX(Mitarbeiter!$D$6:$D$205,MATCH($A889,Mitarbeiter!$A$6:$A$205,0))),"nach Austritt",IF(E889="","offen","ok"))))))))</f>
        <v/>
      </c>
      <c r="J889" s="47">
        <f>IF(A889="","",IF(E889="",Einstellungen!$C$9,E889))</f>
        <v/>
      </c>
      <c r="K889" s="48">
        <f>IF(A889="",0,IFERROR(INDEX(Mitarbeiter!$F$6:$F$205,MATCH($A889,Mitarbeiter!$A$6:$A$205,0)),0))</f>
        <v/>
      </c>
      <c r="L889" s="49">
        <f>IF(OR(A889="",D889=""),0,MAX(0,NETWORKDAYS(MAX(D889,DATE(Einstellungen!$C$3,1,1)),MIN(J889,DATE(Einstellungen!$C$3,2,0)),Einstellungen!$F$13:$F$32)))</f>
        <v/>
      </c>
      <c r="M889" s="49">
        <f>IF(OR(A889="",D889=""),0,MAX(0,NETWORKDAYS(MAX(D889,DATE(Einstellungen!$C$3,2,1)),MIN(J889,DATE(Einstellungen!$C$3,3,0)),Einstellungen!$F$13:$F$32)))</f>
        <v/>
      </c>
      <c r="N889" s="49">
        <f>IF(OR(A889="",D889=""),0,MAX(0,NETWORKDAYS(MAX(D889,DATE(Einstellungen!$C$3,3,1)),MIN(J889,DATE(Einstellungen!$C$3,4,0)),Einstellungen!$F$13:$F$32)))</f>
        <v/>
      </c>
      <c r="O889" s="49">
        <f>IF(OR(A889="",D889=""),0,MAX(0,NETWORKDAYS(MAX(D889,DATE(Einstellungen!$C$3,4,1)),MIN(J889,DATE(Einstellungen!$C$3,5,0)),Einstellungen!$F$13:$F$32)))</f>
        <v/>
      </c>
      <c r="P889" s="49">
        <f>IF(OR(A889="",D889=""),0,MAX(0,NETWORKDAYS(MAX(D889,DATE(Einstellungen!$C$3,5,1)),MIN(J889,DATE(Einstellungen!$C$3,6,0)),Einstellungen!$F$13:$F$32)))</f>
        <v/>
      </c>
      <c r="Q889" s="49">
        <f>IF(OR(A889="",D889=""),0,MAX(0,NETWORKDAYS(MAX(D889,DATE(Einstellungen!$C$3,6,1)),MIN(J889,DATE(Einstellungen!$C$3,7,0)),Einstellungen!$F$13:$F$32)))</f>
        <v/>
      </c>
      <c r="R889" s="49">
        <f>IF(OR(A889="",D889=""),0,MAX(0,NETWORKDAYS(MAX(D889,DATE(Einstellungen!$C$3,7,1)),MIN(J889,DATE(Einstellungen!$C$3,8,0)),Einstellungen!$F$13:$F$32)))</f>
        <v/>
      </c>
      <c r="S889" s="49">
        <f>IF(OR(A889="",D889=""),0,MAX(0,NETWORKDAYS(MAX(D889,DATE(Einstellungen!$C$3,8,1)),MIN(J889,DATE(Einstellungen!$C$3,9,0)),Einstellungen!$F$13:$F$32)))</f>
        <v/>
      </c>
      <c r="T889" s="49">
        <f>IF(OR(A889="",D889=""),0,MAX(0,NETWORKDAYS(MAX(D889,DATE(Einstellungen!$C$3,9,1)),MIN(J889,DATE(Einstellungen!$C$3,10,0)),Einstellungen!$F$13:$F$32)))</f>
        <v/>
      </c>
      <c r="U889" s="49">
        <f>IF(OR(A889="",D889=""),0,MAX(0,NETWORKDAYS(MAX(D889,DATE(Einstellungen!$C$3,10,1)),MIN(J889,DATE(Einstellungen!$C$3,11,0)),Einstellungen!$F$13:$F$32)))</f>
        <v/>
      </c>
      <c r="V889" s="49">
        <f>IF(OR(A889="",D889=""),0,MAX(0,NETWORKDAYS(MAX(D889,DATE(Einstellungen!$C$3,11,1)),MIN(J889,DATE(Einstellungen!$C$3,12,0)),Einstellungen!$F$13:$F$32)))</f>
        <v/>
      </c>
      <c r="W889" s="49">
        <f>IF(OR(A889="",D889=""),0,MAX(0,NETWORKDAYS(MAX(D889,DATE(Einstellungen!$C$3,12,1)),MIN(J889,DATE(Einstellungen!$C$3,13,0)),Einstellungen!$F$13:$F$32)))</f>
        <v/>
      </c>
      <c r="X889" s="50">
        <f>L889*K889</f>
        <v/>
      </c>
      <c r="Y889" s="50">
        <f>M889*K889</f>
        <v/>
      </c>
      <c r="Z889" s="50">
        <f>N889*K889</f>
        <v/>
      </c>
      <c r="AA889" s="50">
        <f>O889*K889</f>
        <v/>
      </c>
      <c r="AB889" s="50">
        <f>P889*K889</f>
        <v/>
      </c>
      <c r="AC889" s="50">
        <f>Q889*K889</f>
        <v/>
      </c>
      <c r="AD889" s="50">
        <f>R889*K889</f>
        <v/>
      </c>
      <c r="AE889" s="50">
        <f>S889*K889</f>
        <v/>
      </c>
      <c r="AF889" s="50">
        <f>T889*K889</f>
        <v/>
      </c>
      <c r="AG889" s="50">
        <f>U889*K889</f>
        <v/>
      </c>
      <c r="AH889" s="50">
        <f>V889*K889</f>
        <v/>
      </c>
      <c r="AI889" s="50">
        <f>W889*K889</f>
        <v/>
      </c>
    </row>
    <row r="890">
      <c r="A890" s="25" t="n"/>
      <c r="B890" s="45">
        <f>IF(A890="","",IFERROR(INDEX(Mitarbeiter!$B$6:$B$205,MATCH($A890,Mitarbeiter!$A$6:$A$205,0)),"?"))</f>
        <v/>
      </c>
      <c r="C890" s="46" t="n"/>
      <c r="D890" s="26" t="n"/>
      <c r="E890" s="26" t="n"/>
      <c r="F890" s="24">
        <f>IF(A890="","",SUM(L890:W890))</f>
        <v/>
      </c>
      <c r="G890" s="36">
        <f>IF(A890="","",SUM(X890:AI890))</f>
        <v/>
      </c>
      <c r="H890" s="8">
        <f>IF(A890="","",IF(ISNA(MATCH(A890,Mitarbeiter!$A$6:$A$205,0)),"Pers.-Nr. unbekannt",IF(D890="","Von fehlt",IF(AND(C890&lt;&gt;Einstellungen!$C$4,C890&lt;&gt;Einstellungen!$C$5),"Objekt fehlt",IF(J890&lt;D890,"Bis vor Von",IF(D890&lt;INDEX(Mitarbeiter!$C$6:$C$205,MATCH($A890,Mitarbeiter!$A$6:$A$205,0)),"vor Eintritt",IF(AND(INDEX(Mitarbeiter!$D$6:$D$205,MATCH($A890,Mitarbeiter!$A$6:$A$205,0))&lt;&gt;"",D890&gt;INDEX(Mitarbeiter!$D$6:$D$205,MATCH($A890,Mitarbeiter!$A$6:$A$205,0))),"nach Austritt",IF(E890="","offen","ok"))))))))</f>
        <v/>
      </c>
      <c r="J890" s="47">
        <f>IF(A890="","",IF(E890="",Einstellungen!$C$9,E890))</f>
        <v/>
      </c>
      <c r="K890" s="48">
        <f>IF(A890="",0,IFERROR(INDEX(Mitarbeiter!$F$6:$F$205,MATCH($A890,Mitarbeiter!$A$6:$A$205,0)),0))</f>
        <v/>
      </c>
      <c r="L890" s="49">
        <f>IF(OR(A890="",D890=""),0,MAX(0,NETWORKDAYS(MAX(D890,DATE(Einstellungen!$C$3,1,1)),MIN(J890,DATE(Einstellungen!$C$3,2,0)),Einstellungen!$F$13:$F$32)))</f>
        <v/>
      </c>
      <c r="M890" s="49">
        <f>IF(OR(A890="",D890=""),0,MAX(0,NETWORKDAYS(MAX(D890,DATE(Einstellungen!$C$3,2,1)),MIN(J890,DATE(Einstellungen!$C$3,3,0)),Einstellungen!$F$13:$F$32)))</f>
        <v/>
      </c>
      <c r="N890" s="49">
        <f>IF(OR(A890="",D890=""),0,MAX(0,NETWORKDAYS(MAX(D890,DATE(Einstellungen!$C$3,3,1)),MIN(J890,DATE(Einstellungen!$C$3,4,0)),Einstellungen!$F$13:$F$32)))</f>
        <v/>
      </c>
      <c r="O890" s="49">
        <f>IF(OR(A890="",D890=""),0,MAX(0,NETWORKDAYS(MAX(D890,DATE(Einstellungen!$C$3,4,1)),MIN(J890,DATE(Einstellungen!$C$3,5,0)),Einstellungen!$F$13:$F$32)))</f>
        <v/>
      </c>
      <c r="P890" s="49">
        <f>IF(OR(A890="",D890=""),0,MAX(0,NETWORKDAYS(MAX(D890,DATE(Einstellungen!$C$3,5,1)),MIN(J890,DATE(Einstellungen!$C$3,6,0)),Einstellungen!$F$13:$F$32)))</f>
        <v/>
      </c>
      <c r="Q890" s="49">
        <f>IF(OR(A890="",D890=""),0,MAX(0,NETWORKDAYS(MAX(D890,DATE(Einstellungen!$C$3,6,1)),MIN(J890,DATE(Einstellungen!$C$3,7,0)),Einstellungen!$F$13:$F$32)))</f>
        <v/>
      </c>
      <c r="R890" s="49">
        <f>IF(OR(A890="",D890=""),0,MAX(0,NETWORKDAYS(MAX(D890,DATE(Einstellungen!$C$3,7,1)),MIN(J890,DATE(Einstellungen!$C$3,8,0)),Einstellungen!$F$13:$F$32)))</f>
        <v/>
      </c>
      <c r="S890" s="49">
        <f>IF(OR(A890="",D890=""),0,MAX(0,NETWORKDAYS(MAX(D890,DATE(Einstellungen!$C$3,8,1)),MIN(J890,DATE(Einstellungen!$C$3,9,0)),Einstellungen!$F$13:$F$32)))</f>
        <v/>
      </c>
      <c r="T890" s="49">
        <f>IF(OR(A890="",D890=""),0,MAX(0,NETWORKDAYS(MAX(D890,DATE(Einstellungen!$C$3,9,1)),MIN(J890,DATE(Einstellungen!$C$3,10,0)),Einstellungen!$F$13:$F$32)))</f>
        <v/>
      </c>
      <c r="U890" s="49">
        <f>IF(OR(A890="",D890=""),0,MAX(0,NETWORKDAYS(MAX(D890,DATE(Einstellungen!$C$3,10,1)),MIN(J890,DATE(Einstellungen!$C$3,11,0)),Einstellungen!$F$13:$F$32)))</f>
        <v/>
      </c>
      <c r="V890" s="49">
        <f>IF(OR(A890="",D890=""),0,MAX(0,NETWORKDAYS(MAX(D890,DATE(Einstellungen!$C$3,11,1)),MIN(J890,DATE(Einstellungen!$C$3,12,0)),Einstellungen!$F$13:$F$32)))</f>
        <v/>
      </c>
      <c r="W890" s="49">
        <f>IF(OR(A890="",D890=""),0,MAX(0,NETWORKDAYS(MAX(D890,DATE(Einstellungen!$C$3,12,1)),MIN(J890,DATE(Einstellungen!$C$3,13,0)),Einstellungen!$F$13:$F$32)))</f>
        <v/>
      </c>
      <c r="X890" s="50">
        <f>L890*K890</f>
        <v/>
      </c>
      <c r="Y890" s="50">
        <f>M890*K890</f>
        <v/>
      </c>
      <c r="Z890" s="50">
        <f>N890*K890</f>
        <v/>
      </c>
      <c r="AA890" s="50">
        <f>O890*K890</f>
        <v/>
      </c>
      <c r="AB890" s="50">
        <f>P890*K890</f>
        <v/>
      </c>
      <c r="AC890" s="50">
        <f>Q890*K890</f>
        <v/>
      </c>
      <c r="AD890" s="50">
        <f>R890*K890</f>
        <v/>
      </c>
      <c r="AE890" s="50">
        <f>S890*K890</f>
        <v/>
      </c>
      <c r="AF890" s="50">
        <f>T890*K890</f>
        <v/>
      </c>
      <c r="AG890" s="50">
        <f>U890*K890</f>
        <v/>
      </c>
      <c r="AH890" s="50">
        <f>V890*K890</f>
        <v/>
      </c>
      <c r="AI890" s="50">
        <f>W890*K890</f>
        <v/>
      </c>
    </row>
    <row r="891">
      <c r="A891" s="25" t="n"/>
      <c r="B891" s="45">
        <f>IF(A891="","",IFERROR(INDEX(Mitarbeiter!$B$6:$B$205,MATCH($A891,Mitarbeiter!$A$6:$A$205,0)),"?"))</f>
        <v/>
      </c>
      <c r="C891" s="46" t="n"/>
      <c r="D891" s="26" t="n"/>
      <c r="E891" s="26" t="n"/>
      <c r="F891" s="24">
        <f>IF(A891="","",SUM(L891:W891))</f>
        <v/>
      </c>
      <c r="G891" s="36">
        <f>IF(A891="","",SUM(X891:AI891))</f>
        <v/>
      </c>
      <c r="H891" s="8">
        <f>IF(A891="","",IF(ISNA(MATCH(A891,Mitarbeiter!$A$6:$A$205,0)),"Pers.-Nr. unbekannt",IF(D891="","Von fehlt",IF(AND(C891&lt;&gt;Einstellungen!$C$4,C891&lt;&gt;Einstellungen!$C$5),"Objekt fehlt",IF(J891&lt;D891,"Bis vor Von",IF(D891&lt;INDEX(Mitarbeiter!$C$6:$C$205,MATCH($A891,Mitarbeiter!$A$6:$A$205,0)),"vor Eintritt",IF(AND(INDEX(Mitarbeiter!$D$6:$D$205,MATCH($A891,Mitarbeiter!$A$6:$A$205,0))&lt;&gt;"",D891&gt;INDEX(Mitarbeiter!$D$6:$D$205,MATCH($A891,Mitarbeiter!$A$6:$A$205,0))),"nach Austritt",IF(E891="","offen","ok"))))))))</f>
        <v/>
      </c>
      <c r="J891" s="47">
        <f>IF(A891="","",IF(E891="",Einstellungen!$C$9,E891))</f>
        <v/>
      </c>
      <c r="K891" s="48">
        <f>IF(A891="",0,IFERROR(INDEX(Mitarbeiter!$F$6:$F$205,MATCH($A891,Mitarbeiter!$A$6:$A$205,0)),0))</f>
        <v/>
      </c>
      <c r="L891" s="49">
        <f>IF(OR(A891="",D891=""),0,MAX(0,NETWORKDAYS(MAX(D891,DATE(Einstellungen!$C$3,1,1)),MIN(J891,DATE(Einstellungen!$C$3,2,0)),Einstellungen!$F$13:$F$32)))</f>
        <v/>
      </c>
      <c r="M891" s="49">
        <f>IF(OR(A891="",D891=""),0,MAX(0,NETWORKDAYS(MAX(D891,DATE(Einstellungen!$C$3,2,1)),MIN(J891,DATE(Einstellungen!$C$3,3,0)),Einstellungen!$F$13:$F$32)))</f>
        <v/>
      </c>
      <c r="N891" s="49">
        <f>IF(OR(A891="",D891=""),0,MAX(0,NETWORKDAYS(MAX(D891,DATE(Einstellungen!$C$3,3,1)),MIN(J891,DATE(Einstellungen!$C$3,4,0)),Einstellungen!$F$13:$F$32)))</f>
        <v/>
      </c>
      <c r="O891" s="49">
        <f>IF(OR(A891="",D891=""),0,MAX(0,NETWORKDAYS(MAX(D891,DATE(Einstellungen!$C$3,4,1)),MIN(J891,DATE(Einstellungen!$C$3,5,0)),Einstellungen!$F$13:$F$32)))</f>
        <v/>
      </c>
      <c r="P891" s="49">
        <f>IF(OR(A891="",D891=""),0,MAX(0,NETWORKDAYS(MAX(D891,DATE(Einstellungen!$C$3,5,1)),MIN(J891,DATE(Einstellungen!$C$3,6,0)),Einstellungen!$F$13:$F$32)))</f>
        <v/>
      </c>
      <c r="Q891" s="49">
        <f>IF(OR(A891="",D891=""),0,MAX(0,NETWORKDAYS(MAX(D891,DATE(Einstellungen!$C$3,6,1)),MIN(J891,DATE(Einstellungen!$C$3,7,0)),Einstellungen!$F$13:$F$32)))</f>
        <v/>
      </c>
      <c r="R891" s="49">
        <f>IF(OR(A891="",D891=""),0,MAX(0,NETWORKDAYS(MAX(D891,DATE(Einstellungen!$C$3,7,1)),MIN(J891,DATE(Einstellungen!$C$3,8,0)),Einstellungen!$F$13:$F$32)))</f>
        <v/>
      </c>
      <c r="S891" s="49">
        <f>IF(OR(A891="",D891=""),0,MAX(0,NETWORKDAYS(MAX(D891,DATE(Einstellungen!$C$3,8,1)),MIN(J891,DATE(Einstellungen!$C$3,9,0)),Einstellungen!$F$13:$F$32)))</f>
        <v/>
      </c>
      <c r="T891" s="49">
        <f>IF(OR(A891="",D891=""),0,MAX(0,NETWORKDAYS(MAX(D891,DATE(Einstellungen!$C$3,9,1)),MIN(J891,DATE(Einstellungen!$C$3,10,0)),Einstellungen!$F$13:$F$32)))</f>
        <v/>
      </c>
      <c r="U891" s="49">
        <f>IF(OR(A891="",D891=""),0,MAX(0,NETWORKDAYS(MAX(D891,DATE(Einstellungen!$C$3,10,1)),MIN(J891,DATE(Einstellungen!$C$3,11,0)),Einstellungen!$F$13:$F$32)))</f>
        <v/>
      </c>
      <c r="V891" s="49">
        <f>IF(OR(A891="",D891=""),0,MAX(0,NETWORKDAYS(MAX(D891,DATE(Einstellungen!$C$3,11,1)),MIN(J891,DATE(Einstellungen!$C$3,12,0)),Einstellungen!$F$13:$F$32)))</f>
        <v/>
      </c>
      <c r="W891" s="49">
        <f>IF(OR(A891="",D891=""),0,MAX(0,NETWORKDAYS(MAX(D891,DATE(Einstellungen!$C$3,12,1)),MIN(J891,DATE(Einstellungen!$C$3,13,0)),Einstellungen!$F$13:$F$32)))</f>
        <v/>
      </c>
      <c r="X891" s="50">
        <f>L891*K891</f>
        <v/>
      </c>
      <c r="Y891" s="50">
        <f>M891*K891</f>
        <v/>
      </c>
      <c r="Z891" s="50">
        <f>N891*K891</f>
        <v/>
      </c>
      <c r="AA891" s="50">
        <f>O891*K891</f>
        <v/>
      </c>
      <c r="AB891" s="50">
        <f>P891*K891</f>
        <v/>
      </c>
      <c r="AC891" s="50">
        <f>Q891*K891</f>
        <v/>
      </c>
      <c r="AD891" s="50">
        <f>R891*K891</f>
        <v/>
      </c>
      <c r="AE891" s="50">
        <f>S891*K891</f>
        <v/>
      </c>
      <c r="AF891" s="50">
        <f>T891*K891</f>
        <v/>
      </c>
      <c r="AG891" s="50">
        <f>U891*K891</f>
        <v/>
      </c>
      <c r="AH891" s="50">
        <f>V891*K891</f>
        <v/>
      </c>
      <c r="AI891" s="50">
        <f>W891*K891</f>
        <v/>
      </c>
    </row>
    <row r="892">
      <c r="A892" s="25" t="n"/>
      <c r="B892" s="45">
        <f>IF(A892="","",IFERROR(INDEX(Mitarbeiter!$B$6:$B$205,MATCH($A892,Mitarbeiter!$A$6:$A$205,0)),"?"))</f>
        <v/>
      </c>
      <c r="C892" s="46" t="n"/>
      <c r="D892" s="26" t="n"/>
      <c r="E892" s="26" t="n"/>
      <c r="F892" s="24">
        <f>IF(A892="","",SUM(L892:W892))</f>
        <v/>
      </c>
      <c r="G892" s="36">
        <f>IF(A892="","",SUM(X892:AI892))</f>
        <v/>
      </c>
      <c r="H892" s="8">
        <f>IF(A892="","",IF(ISNA(MATCH(A892,Mitarbeiter!$A$6:$A$205,0)),"Pers.-Nr. unbekannt",IF(D892="","Von fehlt",IF(AND(C892&lt;&gt;Einstellungen!$C$4,C892&lt;&gt;Einstellungen!$C$5),"Objekt fehlt",IF(J892&lt;D892,"Bis vor Von",IF(D892&lt;INDEX(Mitarbeiter!$C$6:$C$205,MATCH($A892,Mitarbeiter!$A$6:$A$205,0)),"vor Eintritt",IF(AND(INDEX(Mitarbeiter!$D$6:$D$205,MATCH($A892,Mitarbeiter!$A$6:$A$205,0))&lt;&gt;"",D892&gt;INDEX(Mitarbeiter!$D$6:$D$205,MATCH($A892,Mitarbeiter!$A$6:$A$205,0))),"nach Austritt",IF(E892="","offen","ok"))))))))</f>
        <v/>
      </c>
      <c r="J892" s="47">
        <f>IF(A892="","",IF(E892="",Einstellungen!$C$9,E892))</f>
        <v/>
      </c>
      <c r="K892" s="48">
        <f>IF(A892="",0,IFERROR(INDEX(Mitarbeiter!$F$6:$F$205,MATCH($A892,Mitarbeiter!$A$6:$A$205,0)),0))</f>
        <v/>
      </c>
      <c r="L892" s="49">
        <f>IF(OR(A892="",D892=""),0,MAX(0,NETWORKDAYS(MAX(D892,DATE(Einstellungen!$C$3,1,1)),MIN(J892,DATE(Einstellungen!$C$3,2,0)),Einstellungen!$F$13:$F$32)))</f>
        <v/>
      </c>
      <c r="M892" s="49">
        <f>IF(OR(A892="",D892=""),0,MAX(0,NETWORKDAYS(MAX(D892,DATE(Einstellungen!$C$3,2,1)),MIN(J892,DATE(Einstellungen!$C$3,3,0)),Einstellungen!$F$13:$F$32)))</f>
        <v/>
      </c>
      <c r="N892" s="49">
        <f>IF(OR(A892="",D892=""),0,MAX(0,NETWORKDAYS(MAX(D892,DATE(Einstellungen!$C$3,3,1)),MIN(J892,DATE(Einstellungen!$C$3,4,0)),Einstellungen!$F$13:$F$32)))</f>
        <v/>
      </c>
      <c r="O892" s="49">
        <f>IF(OR(A892="",D892=""),0,MAX(0,NETWORKDAYS(MAX(D892,DATE(Einstellungen!$C$3,4,1)),MIN(J892,DATE(Einstellungen!$C$3,5,0)),Einstellungen!$F$13:$F$32)))</f>
        <v/>
      </c>
      <c r="P892" s="49">
        <f>IF(OR(A892="",D892=""),0,MAX(0,NETWORKDAYS(MAX(D892,DATE(Einstellungen!$C$3,5,1)),MIN(J892,DATE(Einstellungen!$C$3,6,0)),Einstellungen!$F$13:$F$32)))</f>
        <v/>
      </c>
      <c r="Q892" s="49">
        <f>IF(OR(A892="",D892=""),0,MAX(0,NETWORKDAYS(MAX(D892,DATE(Einstellungen!$C$3,6,1)),MIN(J892,DATE(Einstellungen!$C$3,7,0)),Einstellungen!$F$13:$F$32)))</f>
        <v/>
      </c>
      <c r="R892" s="49">
        <f>IF(OR(A892="",D892=""),0,MAX(0,NETWORKDAYS(MAX(D892,DATE(Einstellungen!$C$3,7,1)),MIN(J892,DATE(Einstellungen!$C$3,8,0)),Einstellungen!$F$13:$F$32)))</f>
        <v/>
      </c>
      <c r="S892" s="49">
        <f>IF(OR(A892="",D892=""),0,MAX(0,NETWORKDAYS(MAX(D892,DATE(Einstellungen!$C$3,8,1)),MIN(J892,DATE(Einstellungen!$C$3,9,0)),Einstellungen!$F$13:$F$32)))</f>
        <v/>
      </c>
      <c r="T892" s="49">
        <f>IF(OR(A892="",D892=""),0,MAX(0,NETWORKDAYS(MAX(D892,DATE(Einstellungen!$C$3,9,1)),MIN(J892,DATE(Einstellungen!$C$3,10,0)),Einstellungen!$F$13:$F$32)))</f>
        <v/>
      </c>
      <c r="U892" s="49">
        <f>IF(OR(A892="",D892=""),0,MAX(0,NETWORKDAYS(MAX(D892,DATE(Einstellungen!$C$3,10,1)),MIN(J892,DATE(Einstellungen!$C$3,11,0)),Einstellungen!$F$13:$F$32)))</f>
        <v/>
      </c>
      <c r="V892" s="49">
        <f>IF(OR(A892="",D892=""),0,MAX(0,NETWORKDAYS(MAX(D892,DATE(Einstellungen!$C$3,11,1)),MIN(J892,DATE(Einstellungen!$C$3,12,0)),Einstellungen!$F$13:$F$32)))</f>
        <v/>
      </c>
      <c r="W892" s="49">
        <f>IF(OR(A892="",D892=""),0,MAX(0,NETWORKDAYS(MAX(D892,DATE(Einstellungen!$C$3,12,1)),MIN(J892,DATE(Einstellungen!$C$3,13,0)),Einstellungen!$F$13:$F$32)))</f>
        <v/>
      </c>
      <c r="X892" s="50">
        <f>L892*K892</f>
        <v/>
      </c>
      <c r="Y892" s="50">
        <f>M892*K892</f>
        <v/>
      </c>
      <c r="Z892" s="50">
        <f>N892*K892</f>
        <v/>
      </c>
      <c r="AA892" s="50">
        <f>O892*K892</f>
        <v/>
      </c>
      <c r="AB892" s="50">
        <f>P892*K892</f>
        <v/>
      </c>
      <c r="AC892" s="50">
        <f>Q892*K892</f>
        <v/>
      </c>
      <c r="AD892" s="50">
        <f>R892*K892</f>
        <v/>
      </c>
      <c r="AE892" s="50">
        <f>S892*K892</f>
        <v/>
      </c>
      <c r="AF892" s="50">
        <f>T892*K892</f>
        <v/>
      </c>
      <c r="AG892" s="50">
        <f>U892*K892</f>
        <v/>
      </c>
      <c r="AH892" s="50">
        <f>V892*K892</f>
        <v/>
      </c>
      <c r="AI892" s="50">
        <f>W892*K892</f>
        <v/>
      </c>
    </row>
    <row r="893">
      <c r="A893" s="25" t="n"/>
      <c r="B893" s="45">
        <f>IF(A893="","",IFERROR(INDEX(Mitarbeiter!$B$6:$B$205,MATCH($A893,Mitarbeiter!$A$6:$A$205,0)),"?"))</f>
        <v/>
      </c>
      <c r="C893" s="46" t="n"/>
      <c r="D893" s="26" t="n"/>
      <c r="E893" s="26" t="n"/>
      <c r="F893" s="24">
        <f>IF(A893="","",SUM(L893:W893))</f>
        <v/>
      </c>
      <c r="G893" s="36">
        <f>IF(A893="","",SUM(X893:AI893))</f>
        <v/>
      </c>
      <c r="H893" s="8">
        <f>IF(A893="","",IF(ISNA(MATCH(A893,Mitarbeiter!$A$6:$A$205,0)),"Pers.-Nr. unbekannt",IF(D893="","Von fehlt",IF(AND(C893&lt;&gt;Einstellungen!$C$4,C893&lt;&gt;Einstellungen!$C$5),"Objekt fehlt",IF(J893&lt;D893,"Bis vor Von",IF(D893&lt;INDEX(Mitarbeiter!$C$6:$C$205,MATCH($A893,Mitarbeiter!$A$6:$A$205,0)),"vor Eintritt",IF(AND(INDEX(Mitarbeiter!$D$6:$D$205,MATCH($A893,Mitarbeiter!$A$6:$A$205,0))&lt;&gt;"",D893&gt;INDEX(Mitarbeiter!$D$6:$D$205,MATCH($A893,Mitarbeiter!$A$6:$A$205,0))),"nach Austritt",IF(E893="","offen","ok"))))))))</f>
        <v/>
      </c>
      <c r="J893" s="47">
        <f>IF(A893="","",IF(E893="",Einstellungen!$C$9,E893))</f>
        <v/>
      </c>
      <c r="K893" s="48">
        <f>IF(A893="",0,IFERROR(INDEX(Mitarbeiter!$F$6:$F$205,MATCH($A893,Mitarbeiter!$A$6:$A$205,0)),0))</f>
        <v/>
      </c>
      <c r="L893" s="49">
        <f>IF(OR(A893="",D893=""),0,MAX(0,NETWORKDAYS(MAX(D893,DATE(Einstellungen!$C$3,1,1)),MIN(J893,DATE(Einstellungen!$C$3,2,0)),Einstellungen!$F$13:$F$32)))</f>
        <v/>
      </c>
      <c r="M893" s="49">
        <f>IF(OR(A893="",D893=""),0,MAX(0,NETWORKDAYS(MAX(D893,DATE(Einstellungen!$C$3,2,1)),MIN(J893,DATE(Einstellungen!$C$3,3,0)),Einstellungen!$F$13:$F$32)))</f>
        <v/>
      </c>
      <c r="N893" s="49">
        <f>IF(OR(A893="",D893=""),0,MAX(0,NETWORKDAYS(MAX(D893,DATE(Einstellungen!$C$3,3,1)),MIN(J893,DATE(Einstellungen!$C$3,4,0)),Einstellungen!$F$13:$F$32)))</f>
        <v/>
      </c>
      <c r="O893" s="49">
        <f>IF(OR(A893="",D893=""),0,MAX(0,NETWORKDAYS(MAX(D893,DATE(Einstellungen!$C$3,4,1)),MIN(J893,DATE(Einstellungen!$C$3,5,0)),Einstellungen!$F$13:$F$32)))</f>
        <v/>
      </c>
      <c r="P893" s="49">
        <f>IF(OR(A893="",D893=""),0,MAX(0,NETWORKDAYS(MAX(D893,DATE(Einstellungen!$C$3,5,1)),MIN(J893,DATE(Einstellungen!$C$3,6,0)),Einstellungen!$F$13:$F$32)))</f>
        <v/>
      </c>
      <c r="Q893" s="49">
        <f>IF(OR(A893="",D893=""),0,MAX(0,NETWORKDAYS(MAX(D893,DATE(Einstellungen!$C$3,6,1)),MIN(J893,DATE(Einstellungen!$C$3,7,0)),Einstellungen!$F$13:$F$32)))</f>
        <v/>
      </c>
      <c r="R893" s="49">
        <f>IF(OR(A893="",D893=""),0,MAX(0,NETWORKDAYS(MAX(D893,DATE(Einstellungen!$C$3,7,1)),MIN(J893,DATE(Einstellungen!$C$3,8,0)),Einstellungen!$F$13:$F$32)))</f>
        <v/>
      </c>
      <c r="S893" s="49">
        <f>IF(OR(A893="",D893=""),0,MAX(0,NETWORKDAYS(MAX(D893,DATE(Einstellungen!$C$3,8,1)),MIN(J893,DATE(Einstellungen!$C$3,9,0)),Einstellungen!$F$13:$F$32)))</f>
        <v/>
      </c>
      <c r="T893" s="49">
        <f>IF(OR(A893="",D893=""),0,MAX(0,NETWORKDAYS(MAX(D893,DATE(Einstellungen!$C$3,9,1)),MIN(J893,DATE(Einstellungen!$C$3,10,0)),Einstellungen!$F$13:$F$32)))</f>
        <v/>
      </c>
      <c r="U893" s="49">
        <f>IF(OR(A893="",D893=""),0,MAX(0,NETWORKDAYS(MAX(D893,DATE(Einstellungen!$C$3,10,1)),MIN(J893,DATE(Einstellungen!$C$3,11,0)),Einstellungen!$F$13:$F$32)))</f>
        <v/>
      </c>
      <c r="V893" s="49">
        <f>IF(OR(A893="",D893=""),0,MAX(0,NETWORKDAYS(MAX(D893,DATE(Einstellungen!$C$3,11,1)),MIN(J893,DATE(Einstellungen!$C$3,12,0)),Einstellungen!$F$13:$F$32)))</f>
        <v/>
      </c>
      <c r="W893" s="49">
        <f>IF(OR(A893="",D893=""),0,MAX(0,NETWORKDAYS(MAX(D893,DATE(Einstellungen!$C$3,12,1)),MIN(J893,DATE(Einstellungen!$C$3,13,0)),Einstellungen!$F$13:$F$32)))</f>
        <v/>
      </c>
      <c r="X893" s="50">
        <f>L893*K893</f>
        <v/>
      </c>
      <c r="Y893" s="50">
        <f>M893*K893</f>
        <v/>
      </c>
      <c r="Z893" s="50">
        <f>N893*K893</f>
        <v/>
      </c>
      <c r="AA893" s="50">
        <f>O893*K893</f>
        <v/>
      </c>
      <c r="AB893" s="50">
        <f>P893*K893</f>
        <v/>
      </c>
      <c r="AC893" s="50">
        <f>Q893*K893</f>
        <v/>
      </c>
      <c r="AD893" s="50">
        <f>R893*K893</f>
        <v/>
      </c>
      <c r="AE893" s="50">
        <f>S893*K893</f>
        <v/>
      </c>
      <c r="AF893" s="50">
        <f>T893*K893</f>
        <v/>
      </c>
      <c r="AG893" s="50">
        <f>U893*K893</f>
        <v/>
      </c>
      <c r="AH893" s="50">
        <f>V893*K893</f>
        <v/>
      </c>
      <c r="AI893" s="50">
        <f>W893*K893</f>
        <v/>
      </c>
    </row>
    <row r="894">
      <c r="A894" s="25" t="n"/>
      <c r="B894" s="45">
        <f>IF(A894="","",IFERROR(INDEX(Mitarbeiter!$B$6:$B$205,MATCH($A894,Mitarbeiter!$A$6:$A$205,0)),"?"))</f>
        <v/>
      </c>
      <c r="C894" s="46" t="n"/>
      <c r="D894" s="26" t="n"/>
      <c r="E894" s="26" t="n"/>
      <c r="F894" s="24">
        <f>IF(A894="","",SUM(L894:W894))</f>
        <v/>
      </c>
      <c r="G894" s="36">
        <f>IF(A894="","",SUM(X894:AI894))</f>
        <v/>
      </c>
      <c r="H894" s="8">
        <f>IF(A894="","",IF(ISNA(MATCH(A894,Mitarbeiter!$A$6:$A$205,0)),"Pers.-Nr. unbekannt",IF(D894="","Von fehlt",IF(AND(C894&lt;&gt;Einstellungen!$C$4,C894&lt;&gt;Einstellungen!$C$5),"Objekt fehlt",IF(J894&lt;D894,"Bis vor Von",IF(D894&lt;INDEX(Mitarbeiter!$C$6:$C$205,MATCH($A894,Mitarbeiter!$A$6:$A$205,0)),"vor Eintritt",IF(AND(INDEX(Mitarbeiter!$D$6:$D$205,MATCH($A894,Mitarbeiter!$A$6:$A$205,0))&lt;&gt;"",D894&gt;INDEX(Mitarbeiter!$D$6:$D$205,MATCH($A894,Mitarbeiter!$A$6:$A$205,0))),"nach Austritt",IF(E894="","offen","ok"))))))))</f>
        <v/>
      </c>
      <c r="J894" s="47">
        <f>IF(A894="","",IF(E894="",Einstellungen!$C$9,E894))</f>
        <v/>
      </c>
      <c r="K894" s="48">
        <f>IF(A894="",0,IFERROR(INDEX(Mitarbeiter!$F$6:$F$205,MATCH($A894,Mitarbeiter!$A$6:$A$205,0)),0))</f>
        <v/>
      </c>
      <c r="L894" s="49">
        <f>IF(OR(A894="",D894=""),0,MAX(0,NETWORKDAYS(MAX(D894,DATE(Einstellungen!$C$3,1,1)),MIN(J894,DATE(Einstellungen!$C$3,2,0)),Einstellungen!$F$13:$F$32)))</f>
        <v/>
      </c>
      <c r="M894" s="49">
        <f>IF(OR(A894="",D894=""),0,MAX(0,NETWORKDAYS(MAX(D894,DATE(Einstellungen!$C$3,2,1)),MIN(J894,DATE(Einstellungen!$C$3,3,0)),Einstellungen!$F$13:$F$32)))</f>
        <v/>
      </c>
      <c r="N894" s="49">
        <f>IF(OR(A894="",D894=""),0,MAX(0,NETWORKDAYS(MAX(D894,DATE(Einstellungen!$C$3,3,1)),MIN(J894,DATE(Einstellungen!$C$3,4,0)),Einstellungen!$F$13:$F$32)))</f>
        <v/>
      </c>
      <c r="O894" s="49">
        <f>IF(OR(A894="",D894=""),0,MAX(0,NETWORKDAYS(MAX(D894,DATE(Einstellungen!$C$3,4,1)),MIN(J894,DATE(Einstellungen!$C$3,5,0)),Einstellungen!$F$13:$F$32)))</f>
        <v/>
      </c>
      <c r="P894" s="49">
        <f>IF(OR(A894="",D894=""),0,MAX(0,NETWORKDAYS(MAX(D894,DATE(Einstellungen!$C$3,5,1)),MIN(J894,DATE(Einstellungen!$C$3,6,0)),Einstellungen!$F$13:$F$32)))</f>
        <v/>
      </c>
      <c r="Q894" s="49">
        <f>IF(OR(A894="",D894=""),0,MAX(0,NETWORKDAYS(MAX(D894,DATE(Einstellungen!$C$3,6,1)),MIN(J894,DATE(Einstellungen!$C$3,7,0)),Einstellungen!$F$13:$F$32)))</f>
        <v/>
      </c>
      <c r="R894" s="49">
        <f>IF(OR(A894="",D894=""),0,MAX(0,NETWORKDAYS(MAX(D894,DATE(Einstellungen!$C$3,7,1)),MIN(J894,DATE(Einstellungen!$C$3,8,0)),Einstellungen!$F$13:$F$32)))</f>
        <v/>
      </c>
      <c r="S894" s="49">
        <f>IF(OR(A894="",D894=""),0,MAX(0,NETWORKDAYS(MAX(D894,DATE(Einstellungen!$C$3,8,1)),MIN(J894,DATE(Einstellungen!$C$3,9,0)),Einstellungen!$F$13:$F$32)))</f>
        <v/>
      </c>
      <c r="T894" s="49">
        <f>IF(OR(A894="",D894=""),0,MAX(0,NETWORKDAYS(MAX(D894,DATE(Einstellungen!$C$3,9,1)),MIN(J894,DATE(Einstellungen!$C$3,10,0)),Einstellungen!$F$13:$F$32)))</f>
        <v/>
      </c>
      <c r="U894" s="49">
        <f>IF(OR(A894="",D894=""),0,MAX(0,NETWORKDAYS(MAX(D894,DATE(Einstellungen!$C$3,10,1)),MIN(J894,DATE(Einstellungen!$C$3,11,0)),Einstellungen!$F$13:$F$32)))</f>
        <v/>
      </c>
      <c r="V894" s="49">
        <f>IF(OR(A894="",D894=""),0,MAX(0,NETWORKDAYS(MAX(D894,DATE(Einstellungen!$C$3,11,1)),MIN(J894,DATE(Einstellungen!$C$3,12,0)),Einstellungen!$F$13:$F$32)))</f>
        <v/>
      </c>
      <c r="W894" s="49">
        <f>IF(OR(A894="",D894=""),0,MAX(0,NETWORKDAYS(MAX(D894,DATE(Einstellungen!$C$3,12,1)),MIN(J894,DATE(Einstellungen!$C$3,13,0)),Einstellungen!$F$13:$F$32)))</f>
        <v/>
      </c>
      <c r="X894" s="50">
        <f>L894*K894</f>
        <v/>
      </c>
      <c r="Y894" s="50">
        <f>M894*K894</f>
        <v/>
      </c>
      <c r="Z894" s="50">
        <f>N894*K894</f>
        <v/>
      </c>
      <c r="AA894" s="50">
        <f>O894*K894</f>
        <v/>
      </c>
      <c r="AB894" s="50">
        <f>P894*K894</f>
        <v/>
      </c>
      <c r="AC894" s="50">
        <f>Q894*K894</f>
        <v/>
      </c>
      <c r="AD894" s="50">
        <f>R894*K894</f>
        <v/>
      </c>
      <c r="AE894" s="50">
        <f>S894*K894</f>
        <v/>
      </c>
      <c r="AF894" s="50">
        <f>T894*K894</f>
        <v/>
      </c>
      <c r="AG894" s="50">
        <f>U894*K894</f>
        <v/>
      </c>
      <c r="AH894" s="50">
        <f>V894*K894</f>
        <v/>
      </c>
      <c r="AI894" s="50">
        <f>W894*K894</f>
        <v/>
      </c>
    </row>
    <row r="895">
      <c r="A895" s="25" t="n"/>
      <c r="B895" s="45">
        <f>IF(A895="","",IFERROR(INDEX(Mitarbeiter!$B$6:$B$205,MATCH($A895,Mitarbeiter!$A$6:$A$205,0)),"?"))</f>
        <v/>
      </c>
      <c r="C895" s="46" t="n"/>
      <c r="D895" s="26" t="n"/>
      <c r="E895" s="26" t="n"/>
      <c r="F895" s="24">
        <f>IF(A895="","",SUM(L895:W895))</f>
        <v/>
      </c>
      <c r="G895" s="36">
        <f>IF(A895="","",SUM(X895:AI895))</f>
        <v/>
      </c>
      <c r="H895" s="8">
        <f>IF(A895="","",IF(ISNA(MATCH(A895,Mitarbeiter!$A$6:$A$205,0)),"Pers.-Nr. unbekannt",IF(D895="","Von fehlt",IF(AND(C895&lt;&gt;Einstellungen!$C$4,C895&lt;&gt;Einstellungen!$C$5),"Objekt fehlt",IF(J895&lt;D895,"Bis vor Von",IF(D895&lt;INDEX(Mitarbeiter!$C$6:$C$205,MATCH($A895,Mitarbeiter!$A$6:$A$205,0)),"vor Eintritt",IF(AND(INDEX(Mitarbeiter!$D$6:$D$205,MATCH($A895,Mitarbeiter!$A$6:$A$205,0))&lt;&gt;"",D895&gt;INDEX(Mitarbeiter!$D$6:$D$205,MATCH($A895,Mitarbeiter!$A$6:$A$205,0))),"nach Austritt",IF(E895="","offen","ok"))))))))</f>
        <v/>
      </c>
      <c r="J895" s="47">
        <f>IF(A895="","",IF(E895="",Einstellungen!$C$9,E895))</f>
        <v/>
      </c>
      <c r="K895" s="48">
        <f>IF(A895="",0,IFERROR(INDEX(Mitarbeiter!$F$6:$F$205,MATCH($A895,Mitarbeiter!$A$6:$A$205,0)),0))</f>
        <v/>
      </c>
      <c r="L895" s="49">
        <f>IF(OR(A895="",D895=""),0,MAX(0,NETWORKDAYS(MAX(D895,DATE(Einstellungen!$C$3,1,1)),MIN(J895,DATE(Einstellungen!$C$3,2,0)),Einstellungen!$F$13:$F$32)))</f>
        <v/>
      </c>
      <c r="M895" s="49">
        <f>IF(OR(A895="",D895=""),0,MAX(0,NETWORKDAYS(MAX(D895,DATE(Einstellungen!$C$3,2,1)),MIN(J895,DATE(Einstellungen!$C$3,3,0)),Einstellungen!$F$13:$F$32)))</f>
        <v/>
      </c>
      <c r="N895" s="49">
        <f>IF(OR(A895="",D895=""),0,MAX(0,NETWORKDAYS(MAX(D895,DATE(Einstellungen!$C$3,3,1)),MIN(J895,DATE(Einstellungen!$C$3,4,0)),Einstellungen!$F$13:$F$32)))</f>
        <v/>
      </c>
      <c r="O895" s="49">
        <f>IF(OR(A895="",D895=""),0,MAX(0,NETWORKDAYS(MAX(D895,DATE(Einstellungen!$C$3,4,1)),MIN(J895,DATE(Einstellungen!$C$3,5,0)),Einstellungen!$F$13:$F$32)))</f>
        <v/>
      </c>
      <c r="P895" s="49">
        <f>IF(OR(A895="",D895=""),0,MAX(0,NETWORKDAYS(MAX(D895,DATE(Einstellungen!$C$3,5,1)),MIN(J895,DATE(Einstellungen!$C$3,6,0)),Einstellungen!$F$13:$F$32)))</f>
        <v/>
      </c>
      <c r="Q895" s="49">
        <f>IF(OR(A895="",D895=""),0,MAX(0,NETWORKDAYS(MAX(D895,DATE(Einstellungen!$C$3,6,1)),MIN(J895,DATE(Einstellungen!$C$3,7,0)),Einstellungen!$F$13:$F$32)))</f>
        <v/>
      </c>
      <c r="R895" s="49">
        <f>IF(OR(A895="",D895=""),0,MAX(0,NETWORKDAYS(MAX(D895,DATE(Einstellungen!$C$3,7,1)),MIN(J895,DATE(Einstellungen!$C$3,8,0)),Einstellungen!$F$13:$F$32)))</f>
        <v/>
      </c>
      <c r="S895" s="49">
        <f>IF(OR(A895="",D895=""),0,MAX(0,NETWORKDAYS(MAX(D895,DATE(Einstellungen!$C$3,8,1)),MIN(J895,DATE(Einstellungen!$C$3,9,0)),Einstellungen!$F$13:$F$32)))</f>
        <v/>
      </c>
      <c r="T895" s="49">
        <f>IF(OR(A895="",D895=""),0,MAX(0,NETWORKDAYS(MAX(D895,DATE(Einstellungen!$C$3,9,1)),MIN(J895,DATE(Einstellungen!$C$3,10,0)),Einstellungen!$F$13:$F$32)))</f>
        <v/>
      </c>
      <c r="U895" s="49">
        <f>IF(OR(A895="",D895=""),0,MAX(0,NETWORKDAYS(MAX(D895,DATE(Einstellungen!$C$3,10,1)),MIN(J895,DATE(Einstellungen!$C$3,11,0)),Einstellungen!$F$13:$F$32)))</f>
        <v/>
      </c>
      <c r="V895" s="49">
        <f>IF(OR(A895="",D895=""),0,MAX(0,NETWORKDAYS(MAX(D895,DATE(Einstellungen!$C$3,11,1)),MIN(J895,DATE(Einstellungen!$C$3,12,0)),Einstellungen!$F$13:$F$32)))</f>
        <v/>
      </c>
      <c r="W895" s="49">
        <f>IF(OR(A895="",D895=""),0,MAX(0,NETWORKDAYS(MAX(D895,DATE(Einstellungen!$C$3,12,1)),MIN(J895,DATE(Einstellungen!$C$3,13,0)),Einstellungen!$F$13:$F$32)))</f>
        <v/>
      </c>
      <c r="X895" s="50">
        <f>L895*K895</f>
        <v/>
      </c>
      <c r="Y895" s="50">
        <f>M895*K895</f>
        <v/>
      </c>
      <c r="Z895" s="50">
        <f>N895*K895</f>
        <v/>
      </c>
      <c r="AA895" s="50">
        <f>O895*K895</f>
        <v/>
      </c>
      <c r="AB895" s="50">
        <f>P895*K895</f>
        <v/>
      </c>
      <c r="AC895" s="50">
        <f>Q895*K895</f>
        <v/>
      </c>
      <c r="AD895" s="50">
        <f>R895*K895</f>
        <v/>
      </c>
      <c r="AE895" s="50">
        <f>S895*K895</f>
        <v/>
      </c>
      <c r="AF895" s="50">
        <f>T895*K895</f>
        <v/>
      </c>
      <c r="AG895" s="50">
        <f>U895*K895</f>
        <v/>
      </c>
      <c r="AH895" s="50">
        <f>V895*K895</f>
        <v/>
      </c>
      <c r="AI895" s="50">
        <f>W895*K895</f>
        <v/>
      </c>
    </row>
    <row r="896">
      <c r="A896" s="25" t="n"/>
      <c r="B896" s="45">
        <f>IF(A896="","",IFERROR(INDEX(Mitarbeiter!$B$6:$B$205,MATCH($A896,Mitarbeiter!$A$6:$A$205,0)),"?"))</f>
        <v/>
      </c>
      <c r="C896" s="46" t="n"/>
      <c r="D896" s="26" t="n"/>
      <c r="E896" s="26" t="n"/>
      <c r="F896" s="24">
        <f>IF(A896="","",SUM(L896:W896))</f>
        <v/>
      </c>
      <c r="G896" s="36">
        <f>IF(A896="","",SUM(X896:AI896))</f>
        <v/>
      </c>
      <c r="H896" s="8">
        <f>IF(A896="","",IF(ISNA(MATCH(A896,Mitarbeiter!$A$6:$A$205,0)),"Pers.-Nr. unbekannt",IF(D896="","Von fehlt",IF(AND(C896&lt;&gt;Einstellungen!$C$4,C896&lt;&gt;Einstellungen!$C$5),"Objekt fehlt",IF(J896&lt;D896,"Bis vor Von",IF(D896&lt;INDEX(Mitarbeiter!$C$6:$C$205,MATCH($A896,Mitarbeiter!$A$6:$A$205,0)),"vor Eintritt",IF(AND(INDEX(Mitarbeiter!$D$6:$D$205,MATCH($A896,Mitarbeiter!$A$6:$A$205,0))&lt;&gt;"",D896&gt;INDEX(Mitarbeiter!$D$6:$D$205,MATCH($A896,Mitarbeiter!$A$6:$A$205,0))),"nach Austritt",IF(E896="","offen","ok"))))))))</f>
        <v/>
      </c>
      <c r="J896" s="47">
        <f>IF(A896="","",IF(E896="",Einstellungen!$C$9,E896))</f>
        <v/>
      </c>
      <c r="K896" s="48">
        <f>IF(A896="",0,IFERROR(INDEX(Mitarbeiter!$F$6:$F$205,MATCH($A896,Mitarbeiter!$A$6:$A$205,0)),0))</f>
        <v/>
      </c>
      <c r="L896" s="49">
        <f>IF(OR(A896="",D896=""),0,MAX(0,NETWORKDAYS(MAX(D896,DATE(Einstellungen!$C$3,1,1)),MIN(J896,DATE(Einstellungen!$C$3,2,0)),Einstellungen!$F$13:$F$32)))</f>
        <v/>
      </c>
      <c r="M896" s="49">
        <f>IF(OR(A896="",D896=""),0,MAX(0,NETWORKDAYS(MAX(D896,DATE(Einstellungen!$C$3,2,1)),MIN(J896,DATE(Einstellungen!$C$3,3,0)),Einstellungen!$F$13:$F$32)))</f>
        <v/>
      </c>
      <c r="N896" s="49">
        <f>IF(OR(A896="",D896=""),0,MAX(0,NETWORKDAYS(MAX(D896,DATE(Einstellungen!$C$3,3,1)),MIN(J896,DATE(Einstellungen!$C$3,4,0)),Einstellungen!$F$13:$F$32)))</f>
        <v/>
      </c>
      <c r="O896" s="49">
        <f>IF(OR(A896="",D896=""),0,MAX(0,NETWORKDAYS(MAX(D896,DATE(Einstellungen!$C$3,4,1)),MIN(J896,DATE(Einstellungen!$C$3,5,0)),Einstellungen!$F$13:$F$32)))</f>
        <v/>
      </c>
      <c r="P896" s="49">
        <f>IF(OR(A896="",D896=""),0,MAX(0,NETWORKDAYS(MAX(D896,DATE(Einstellungen!$C$3,5,1)),MIN(J896,DATE(Einstellungen!$C$3,6,0)),Einstellungen!$F$13:$F$32)))</f>
        <v/>
      </c>
      <c r="Q896" s="49">
        <f>IF(OR(A896="",D896=""),0,MAX(0,NETWORKDAYS(MAX(D896,DATE(Einstellungen!$C$3,6,1)),MIN(J896,DATE(Einstellungen!$C$3,7,0)),Einstellungen!$F$13:$F$32)))</f>
        <v/>
      </c>
      <c r="R896" s="49">
        <f>IF(OR(A896="",D896=""),0,MAX(0,NETWORKDAYS(MAX(D896,DATE(Einstellungen!$C$3,7,1)),MIN(J896,DATE(Einstellungen!$C$3,8,0)),Einstellungen!$F$13:$F$32)))</f>
        <v/>
      </c>
      <c r="S896" s="49">
        <f>IF(OR(A896="",D896=""),0,MAX(0,NETWORKDAYS(MAX(D896,DATE(Einstellungen!$C$3,8,1)),MIN(J896,DATE(Einstellungen!$C$3,9,0)),Einstellungen!$F$13:$F$32)))</f>
        <v/>
      </c>
      <c r="T896" s="49">
        <f>IF(OR(A896="",D896=""),0,MAX(0,NETWORKDAYS(MAX(D896,DATE(Einstellungen!$C$3,9,1)),MIN(J896,DATE(Einstellungen!$C$3,10,0)),Einstellungen!$F$13:$F$32)))</f>
        <v/>
      </c>
      <c r="U896" s="49">
        <f>IF(OR(A896="",D896=""),0,MAX(0,NETWORKDAYS(MAX(D896,DATE(Einstellungen!$C$3,10,1)),MIN(J896,DATE(Einstellungen!$C$3,11,0)),Einstellungen!$F$13:$F$32)))</f>
        <v/>
      </c>
      <c r="V896" s="49">
        <f>IF(OR(A896="",D896=""),0,MAX(0,NETWORKDAYS(MAX(D896,DATE(Einstellungen!$C$3,11,1)),MIN(J896,DATE(Einstellungen!$C$3,12,0)),Einstellungen!$F$13:$F$32)))</f>
        <v/>
      </c>
      <c r="W896" s="49">
        <f>IF(OR(A896="",D896=""),0,MAX(0,NETWORKDAYS(MAX(D896,DATE(Einstellungen!$C$3,12,1)),MIN(J896,DATE(Einstellungen!$C$3,13,0)),Einstellungen!$F$13:$F$32)))</f>
        <v/>
      </c>
      <c r="X896" s="50">
        <f>L896*K896</f>
        <v/>
      </c>
      <c r="Y896" s="50">
        <f>M896*K896</f>
        <v/>
      </c>
      <c r="Z896" s="50">
        <f>N896*K896</f>
        <v/>
      </c>
      <c r="AA896" s="50">
        <f>O896*K896</f>
        <v/>
      </c>
      <c r="AB896" s="50">
        <f>P896*K896</f>
        <v/>
      </c>
      <c r="AC896" s="50">
        <f>Q896*K896</f>
        <v/>
      </c>
      <c r="AD896" s="50">
        <f>R896*K896</f>
        <v/>
      </c>
      <c r="AE896" s="50">
        <f>S896*K896</f>
        <v/>
      </c>
      <c r="AF896" s="50">
        <f>T896*K896</f>
        <v/>
      </c>
      <c r="AG896" s="50">
        <f>U896*K896</f>
        <v/>
      </c>
      <c r="AH896" s="50">
        <f>V896*K896</f>
        <v/>
      </c>
      <c r="AI896" s="50">
        <f>W896*K896</f>
        <v/>
      </c>
    </row>
    <row r="897">
      <c r="A897" s="25" t="n"/>
      <c r="B897" s="45">
        <f>IF(A897="","",IFERROR(INDEX(Mitarbeiter!$B$6:$B$205,MATCH($A897,Mitarbeiter!$A$6:$A$205,0)),"?"))</f>
        <v/>
      </c>
      <c r="C897" s="46" t="n"/>
      <c r="D897" s="26" t="n"/>
      <c r="E897" s="26" t="n"/>
      <c r="F897" s="24">
        <f>IF(A897="","",SUM(L897:W897))</f>
        <v/>
      </c>
      <c r="G897" s="36">
        <f>IF(A897="","",SUM(X897:AI897))</f>
        <v/>
      </c>
      <c r="H897" s="8">
        <f>IF(A897="","",IF(ISNA(MATCH(A897,Mitarbeiter!$A$6:$A$205,0)),"Pers.-Nr. unbekannt",IF(D897="","Von fehlt",IF(AND(C897&lt;&gt;Einstellungen!$C$4,C897&lt;&gt;Einstellungen!$C$5),"Objekt fehlt",IF(J897&lt;D897,"Bis vor Von",IF(D897&lt;INDEX(Mitarbeiter!$C$6:$C$205,MATCH($A897,Mitarbeiter!$A$6:$A$205,0)),"vor Eintritt",IF(AND(INDEX(Mitarbeiter!$D$6:$D$205,MATCH($A897,Mitarbeiter!$A$6:$A$205,0))&lt;&gt;"",D897&gt;INDEX(Mitarbeiter!$D$6:$D$205,MATCH($A897,Mitarbeiter!$A$6:$A$205,0))),"nach Austritt",IF(E897="","offen","ok"))))))))</f>
        <v/>
      </c>
      <c r="J897" s="47">
        <f>IF(A897="","",IF(E897="",Einstellungen!$C$9,E897))</f>
        <v/>
      </c>
      <c r="K897" s="48">
        <f>IF(A897="",0,IFERROR(INDEX(Mitarbeiter!$F$6:$F$205,MATCH($A897,Mitarbeiter!$A$6:$A$205,0)),0))</f>
        <v/>
      </c>
      <c r="L897" s="49">
        <f>IF(OR(A897="",D897=""),0,MAX(0,NETWORKDAYS(MAX(D897,DATE(Einstellungen!$C$3,1,1)),MIN(J897,DATE(Einstellungen!$C$3,2,0)),Einstellungen!$F$13:$F$32)))</f>
        <v/>
      </c>
      <c r="M897" s="49">
        <f>IF(OR(A897="",D897=""),0,MAX(0,NETWORKDAYS(MAX(D897,DATE(Einstellungen!$C$3,2,1)),MIN(J897,DATE(Einstellungen!$C$3,3,0)),Einstellungen!$F$13:$F$32)))</f>
        <v/>
      </c>
      <c r="N897" s="49">
        <f>IF(OR(A897="",D897=""),0,MAX(0,NETWORKDAYS(MAX(D897,DATE(Einstellungen!$C$3,3,1)),MIN(J897,DATE(Einstellungen!$C$3,4,0)),Einstellungen!$F$13:$F$32)))</f>
        <v/>
      </c>
      <c r="O897" s="49">
        <f>IF(OR(A897="",D897=""),0,MAX(0,NETWORKDAYS(MAX(D897,DATE(Einstellungen!$C$3,4,1)),MIN(J897,DATE(Einstellungen!$C$3,5,0)),Einstellungen!$F$13:$F$32)))</f>
        <v/>
      </c>
      <c r="P897" s="49">
        <f>IF(OR(A897="",D897=""),0,MAX(0,NETWORKDAYS(MAX(D897,DATE(Einstellungen!$C$3,5,1)),MIN(J897,DATE(Einstellungen!$C$3,6,0)),Einstellungen!$F$13:$F$32)))</f>
        <v/>
      </c>
      <c r="Q897" s="49">
        <f>IF(OR(A897="",D897=""),0,MAX(0,NETWORKDAYS(MAX(D897,DATE(Einstellungen!$C$3,6,1)),MIN(J897,DATE(Einstellungen!$C$3,7,0)),Einstellungen!$F$13:$F$32)))</f>
        <v/>
      </c>
      <c r="R897" s="49">
        <f>IF(OR(A897="",D897=""),0,MAX(0,NETWORKDAYS(MAX(D897,DATE(Einstellungen!$C$3,7,1)),MIN(J897,DATE(Einstellungen!$C$3,8,0)),Einstellungen!$F$13:$F$32)))</f>
        <v/>
      </c>
      <c r="S897" s="49">
        <f>IF(OR(A897="",D897=""),0,MAX(0,NETWORKDAYS(MAX(D897,DATE(Einstellungen!$C$3,8,1)),MIN(J897,DATE(Einstellungen!$C$3,9,0)),Einstellungen!$F$13:$F$32)))</f>
        <v/>
      </c>
      <c r="T897" s="49">
        <f>IF(OR(A897="",D897=""),0,MAX(0,NETWORKDAYS(MAX(D897,DATE(Einstellungen!$C$3,9,1)),MIN(J897,DATE(Einstellungen!$C$3,10,0)),Einstellungen!$F$13:$F$32)))</f>
        <v/>
      </c>
      <c r="U897" s="49">
        <f>IF(OR(A897="",D897=""),0,MAX(0,NETWORKDAYS(MAX(D897,DATE(Einstellungen!$C$3,10,1)),MIN(J897,DATE(Einstellungen!$C$3,11,0)),Einstellungen!$F$13:$F$32)))</f>
        <v/>
      </c>
      <c r="V897" s="49">
        <f>IF(OR(A897="",D897=""),0,MAX(0,NETWORKDAYS(MAX(D897,DATE(Einstellungen!$C$3,11,1)),MIN(J897,DATE(Einstellungen!$C$3,12,0)),Einstellungen!$F$13:$F$32)))</f>
        <v/>
      </c>
      <c r="W897" s="49">
        <f>IF(OR(A897="",D897=""),0,MAX(0,NETWORKDAYS(MAX(D897,DATE(Einstellungen!$C$3,12,1)),MIN(J897,DATE(Einstellungen!$C$3,13,0)),Einstellungen!$F$13:$F$32)))</f>
        <v/>
      </c>
      <c r="X897" s="50">
        <f>L897*K897</f>
        <v/>
      </c>
      <c r="Y897" s="50">
        <f>M897*K897</f>
        <v/>
      </c>
      <c r="Z897" s="50">
        <f>N897*K897</f>
        <v/>
      </c>
      <c r="AA897" s="50">
        <f>O897*K897</f>
        <v/>
      </c>
      <c r="AB897" s="50">
        <f>P897*K897</f>
        <v/>
      </c>
      <c r="AC897" s="50">
        <f>Q897*K897</f>
        <v/>
      </c>
      <c r="AD897" s="50">
        <f>R897*K897</f>
        <v/>
      </c>
      <c r="AE897" s="50">
        <f>S897*K897</f>
        <v/>
      </c>
      <c r="AF897" s="50">
        <f>T897*K897</f>
        <v/>
      </c>
      <c r="AG897" s="50">
        <f>U897*K897</f>
        <v/>
      </c>
      <c r="AH897" s="50">
        <f>V897*K897</f>
        <v/>
      </c>
      <c r="AI897" s="50">
        <f>W897*K897</f>
        <v/>
      </c>
    </row>
    <row r="898">
      <c r="A898" s="25" t="n"/>
      <c r="B898" s="45">
        <f>IF(A898="","",IFERROR(INDEX(Mitarbeiter!$B$6:$B$205,MATCH($A898,Mitarbeiter!$A$6:$A$205,0)),"?"))</f>
        <v/>
      </c>
      <c r="C898" s="46" t="n"/>
      <c r="D898" s="26" t="n"/>
      <c r="E898" s="26" t="n"/>
      <c r="F898" s="24">
        <f>IF(A898="","",SUM(L898:W898))</f>
        <v/>
      </c>
      <c r="G898" s="36">
        <f>IF(A898="","",SUM(X898:AI898))</f>
        <v/>
      </c>
      <c r="H898" s="8">
        <f>IF(A898="","",IF(ISNA(MATCH(A898,Mitarbeiter!$A$6:$A$205,0)),"Pers.-Nr. unbekannt",IF(D898="","Von fehlt",IF(AND(C898&lt;&gt;Einstellungen!$C$4,C898&lt;&gt;Einstellungen!$C$5),"Objekt fehlt",IF(J898&lt;D898,"Bis vor Von",IF(D898&lt;INDEX(Mitarbeiter!$C$6:$C$205,MATCH($A898,Mitarbeiter!$A$6:$A$205,0)),"vor Eintritt",IF(AND(INDEX(Mitarbeiter!$D$6:$D$205,MATCH($A898,Mitarbeiter!$A$6:$A$205,0))&lt;&gt;"",D898&gt;INDEX(Mitarbeiter!$D$6:$D$205,MATCH($A898,Mitarbeiter!$A$6:$A$205,0))),"nach Austritt",IF(E898="","offen","ok"))))))))</f>
        <v/>
      </c>
      <c r="J898" s="47">
        <f>IF(A898="","",IF(E898="",Einstellungen!$C$9,E898))</f>
        <v/>
      </c>
      <c r="K898" s="48">
        <f>IF(A898="",0,IFERROR(INDEX(Mitarbeiter!$F$6:$F$205,MATCH($A898,Mitarbeiter!$A$6:$A$205,0)),0))</f>
        <v/>
      </c>
      <c r="L898" s="49">
        <f>IF(OR(A898="",D898=""),0,MAX(0,NETWORKDAYS(MAX(D898,DATE(Einstellungen!$C$3,1,1)),MIN(J898,DATE(Einstellungen!$C$3,2,0)),Einstellungen!$F$13:$F$32)))</f>
        <v/>
      </c>
      <c r="M898" s="49">
        <f>IF(OR(A898="",D898=""),0,MAX(0,NETWORKDAYS(MAX(D898,DATE(Einstellungen!$C$3,2,1)),MIN(J898,DATE(Einstellungen!$C$3,3,0)),Einstellungen!$F$13:$F$32)))</f>
        <v/>
      </c>
      <c r="N898" s="49">
        <f>IF(OR(A898="",D898=""),0,MAX(0,NETWORKDAYS(MAX(D898,DATE(Einstellungen!$C$3,3,1)),MIN(J898,DATE(Einstellungen!$C$3,4,0)),Einstellungen!$F$13:$F$32)))</f>
        <v/>
      </c>
      <c r="O898" s="49">
        <f>IF(OR(A898="",D898=""),0,MAX(0,NETWORKDAYS(MAX(D898,DATE(Einstellungen!$C$3,4,1)),MIN(J898,DATE(Einstellungen!$C$3,5,0)),Einstellungen!$F$13:$F$32)))</f>
        <v/>
      </c>
      <c r="P898" s="49">
        <f>IF(OR(A898="",D898=""),0,MAX(0,NETWORKDAYS(MAX(D898,DATE(Einstellungen!$C$3,5,1)),MIN(J898,DATE(Einstellungen!$C$3,6,0)),Einstellungen!$F$13:$F$32)))</f>
        <v/>
      </c>
      <c r="Q898" s="49">
        <f>IF(OR(A898="",D898=""),0,MAX(0,NETWORKDAYS(MAX(D898,DATE(Einstellungen!$C$3,6,1)),MIN(J898,DATE(Einstellungen!$C$3,7,0)),Einstellungen!$F$13:$F$32)))</f>
        <v/>
      </c>
      <c r="R898" s="49">
        <f>IF(OR(A898="",D898=""),0,MAX(0,NETWORKDAYS(MAX(D898,DATE(Einstellungen!$C$3,7,1)),MIN(J898,DATE(Einstellungen!$C$3,8,0)),Einstellungen!$F$13:$F$32)))</f>
        <v/>
      </c>
      <c r="S898" s="49">
        <f>IF(OR(A898="",D898=""),0,MAX(0,NETWORKDAYS(MAX(D898,DATE(Einstellungen!$C$3,8,1)),MIN(J898,DATE(Einstellungen!$C$3,9,0)),Einstellungen!$F$13:$F$32)))</f>
        <v/>
      </c>
      <c r="T898" s="49">
        <f>IF(OR(A898="",D898=""),0,MAX(0,NETWORKDAYS(MAX(D898,DATE(Einstellungen!$C$3,9,1)),MIN(J898,DATE(Einstellungen!$C$3,10,0)),Einstellungen!$F$13:$F$32)))</f>
        <v/>
      </c>
      <c r="U898" s="49">
        <f>IF(OR(A898="",D898=""),0,MAX(0,NETWORKDAYS(MAX(D898,DATE(Einstellungen!$C$3,10,1)),MIN(J898,DATE(Einstellungen!$C$3,11,0)),Einstellungen!$F$13:$F$32)))</f>
        <v/>
      </c>
      <c r="V898" s="49">
        <f>IF(OR(A898="",D898=""),0,MAX(0,NETWORKDAYS(MAX(D898,DATE(Einstellungen!$C$3,11,1)),MIN(J898,DATE(Einstellungen!$C$3,12,0)),Einstellungen!$F$13:$F$32)))</f>
        <v/>
      </c>
      <c r="W898" s="49">
        <f>IF(OR(A898="",D898=""),0,MAX(0,NETWORKDAYS(MAX(D898,DATE(Einstellungen!$C$3,12,1)),MIN(J898,DATE(Einstellungen!$C$3,13,0)),Einstellungen!$F$13:$F$32)))</f>
        <v/>
      </c>
      <c r="X898" s="50">
        <f>L898*K898</f>
        <v/>
      </c>
      <c r="Y898" s="50">
        <f>M898*K898</f>
        <v/>
      </c>
      <c r="Z898" s="50">
        <f>N898*K898</f>
        <v/>
      </c>
      <c r="AA898" s="50">
        <f>O898*K898</f>
        <v/>
      </c>
      <c r="AB898" s="50">
        <f>P898*K898</f>
        <v/>
      </c>
      <c r="AC898" s="50">
        <f>Q898*K898</f>
        <v/>
      </c>
      <c r="AD898" s="50">
        <f>R898*K898</f>
        <v/>
      </c>
      <c r="AE898" s="50">
        <f>S898*K898</f>
        <v/>
      </c>
      <c r="AF898" s="50">
        <f>T898*K898</f>
        <v/>
      </c>
      <c r="AG898" s="50">
        <f>U898*K898</f>
        <v/>
      </c>
      <c r="AH898" s="50">
        <f>V898*K898</f>
        <v/>
      </c>
      <c r="AI898" s="50">
        <f>W898*K898</f>
        <v/>
      </c>
    </row>
    <row r="899">
      <c r="A899" s="25" t="n"/>
      <c r="B899" s="45">
        <f>IF(A899="","",IFERROR(INDEX(Mitarbeiter!$B$6:$B$205,MATCH($A899,Mitarbeiter!$A$6:$A$205,0)),"?"))</f>
        <v/>
      </c>
      <c r="C899" s="46" t="n"/>
      <c r="D899" s="26" t="n"/>
      <c r="E899" s="26" t="n"/>
      <c r="F899" s="24">
        <f>IF(A899="","",SUM(L899:W899))</f>
        <v/>
      </c>
      <c r="G899" s="36">
        <f>IF(A899="","",SUM(X899:AI899))</f>
        <v/>
      </c>
      <c r="H899" s="8">
        <f>IF(A899="","",IF(ISNA(MATCH(A899,Mitarbeiter!$A$6:$A$205,0)),"Pers.-Nr. unbekannt",IF(D899="","Von fehlt",IF(AND(C899&lt;&gt;Einstellungen!$C$4,C899&lt;&gt;Einstellungen!$C$5),"Objekt fehlt",IF(J899&lt;D899,"Bis vor Von",IF(D899&lt;INDEX(Mitarbeiter!$C$6:$C$205,MATCH($A899,Mitarbeiter!$A$6:$A$205,0)),"vor Eintritt",IF(AND(INDEX(Mitarbeiter!$D$6:$D$205,MATCH($A899,Mitarbeiter!$A$6:$A$205,0))&lt;&gt;"",D899&gt;INDEX(Mitarbeiter!$D$6:$D$205,MATCH($A899,Mitarbeiter!$A$6:$A$205,0))),"nach Austritt",IF(E899="","offen","ok"))))))))</f>
        <v/>
      </c>
      <c r="J899" s="47">
        <f>IF(A899="","",IF(E899="",Einstellungen!$C$9,E899))</f>
        <v/>
      </c>
      <c r="K899" s="48">
        <f>IF(A899="",0,IFERROR(INDEX(Mitarbeiter!$F$6:$F$205,MATCH($A899,Mitarbeiter!$A$6:$A$205,0)),0))</f>
        <v/>
      </c>
      <c r="L899" s="49">
        <f>IF(OR(A899="",D899=""),0,MAX(0,NETWORKDAYS(MAX(D899,DATE(Einstellungen!$C$3,1,1)),MIN(J899,DATE(Einstellungen!$C$3,2,0)),Einstellungen!$F$13:$F$32)))</f>
        <v/>
      </c>
      <c r="M899" s="49">
        <f>IF(OR(A899="",D899=""),0,MAX(0,NETWORKDAYS(MAX(D899,DATE(Einstellungen!$C$3,2,1)),MIN(J899,DATE(Einstellungen!$C$3,3,0)),Einstellungen!$F$13:$F$32)))</f>
        <v/>
      </c>
      <c r="N899" s="49">
        <f>IF(OR(A899="",D899=""),0,MAX(0,NETWORKDAYS(MAX(D899,DATE(Einstellungen!$C$3,3,1)),MIN(J899,DATE(Einstellungen!$C$3,4,0)),Einstellungen!$F$13:$F$32)))</f>
        <v/>
      </c>
      <c r="O899" s="49">
        <f>IF(OR(A899="",D899=""),0,MAX(0,NETWORKDAYS(MAX(D899,DATE(Einstellungen!$C$3,4,1)),MIN(J899,DATE(Einstellungen!$C$3,5,0)),Einstellungen!$F$13:$F$32)))</f>
        <v/>
      </c>
      <c r="P899" s="49">
        <f>IF(OR(A899="",D899=""),0,MAX(0,NETWORKDAYS(MAX(D899,DATE(Einstellungen!$C$3,5,1)),MIN(J899,DATE(Einstellungen!$C$3,6,0)),Einstellungen!$F$13:$F$32)))</f>
        <v/>
      </c>
      <c r="Q899" s="49">
        <f>IF(OR(A899="",D899=""),0,MAX(0,NETWORKDAYS(MAX(D899,DATE(Einstellungen!$C$3,6,1)),MIN(J899,DATE(Einstellungen!$C$3,7,0)),Einstellungen!$F$13:$F$32)))</f>
        <v/>
      </c>
      <c r="R899" s="49">
        <f>IF(OR(A899="",D899=""),0,MAX(0,NETWORKDAYS(MAX(D899,DATE(Einstellungen!$C$3,7,1)),MIN(J899,DATE(Einstellungen!$C$3,8,0)),Einstellungen!$F$13:$F$32)))</f>
        <v/>
      </c>
      <c r="S899" s="49">
        <f>IF(OR(A899="",D899=""),0,MAX(0,NETWORKDAYS(MAX(D899,DATE(Einstellungen!$C$3,8,1)),MIN(J899,DATE(Einstellungen!$C$3,9,0)),Einstellungen!$F$13:$F$32)))</f>
        <v/>
      </c>
      <c r="T899" s="49">
        <f>IF(OR(A899="",D899=""),0,MAX(0,NETWORKDAYS(MAX(D899,DATE(Einstellungen!$C$3,9,1)),MIN(J899,DATE(Einstellungen!$C$3,10,0)),Einstellungen!$F$13:$F$32)))</f>
        <v/>
      </c>
      <c r="U899" s="49">
        <f>IF(OR(A899="",D899=""),0,MAX(0,NETWORKDAYS(MAX(D899,DATE(Einstellungen!$C$3,10,1)),MIN(J899,DATE(Einstellungen!$C$3,11,0)),Einstellungen!$F$13:$F$32)))</f>
        <v/>
      </c>
      <c r="V899" s="49">
        <f>IF(OR(A899="",D899=""),0,MAX(0,NETWORKDAYS(MAX(D899,DATE(Einstellungen!$C$3,11,1)),MIN(J899,DATE(Einstellungen!$C$3,12,0)),Einstellungen!$F$13:$F$32)))</f>
        <v/>
      </c>
      <c r="W899" s="49">
        <f>IF(OR(A899="",D899=""),0,MAX(0,NETWORKDAYS(MAX(D899,DATE(Einstellungen!$C$3,12,1)),MIN(J899,DATE(Einstellungen!$C$3,13,0)),Einstellungen!$F$13:$F$32)))</f>
        <v/>
      </c>
      <c r="X899" s="50">
        <f>L899*K899</f>
        <v/>
      </c>
      <c r="Y899" s="50">
        <f>M899*K899</f>
        <v/>
      </c>
      <c r="Z899" s="50">
        <f>N899*K899</f>
        <v/>
      </c>
      <c r="AA899" s="50">
        <f>O899*K899</f>
        <v/>
      </c>
      <c r="AB899" s="50">
        <f>P899*K899</f>
        <v/>
      </c>
      <c r="AC899" s="50">
        <f>Q899*K899</f>
        <v/>
      </c>
      <c r="AD899" s="50">
        <f>R899*K899</f>
        <v/>
      </c>
      <c r="AE899" s="50">
        <f>S899*K899</f>
        <v/>
      </c>
      <c r="AF899" s="50">
        <f>T899*K899</f>
        <v/>
      </c>
      <c r="AG899" s="50">
        <f>U899*K899</f>
        <v/>
      </c>
      <c r="AH899" s="50">
        <f>V899*K899</f>
        <v/>
      </c>
      <c r="AI899" s="50">
        <f>W899*K899</f>
        <v/>
      </c>
    </row>
    <row r="900">
      <c r="A900" s="25" t="n"/>
      <c r="B900" s="45">
        <f>IF(A900="","",IFERROR(INDEX(Mitarbeiter!$B$6:$B$205,MATCH($A900,Mitarbeiter!$A$6:$A$205,0)),"?"))</f>
        <v/>
      </c>
      <c r="C900" s="46" t="n"/>
      <c r="D900" s="26" t="n"/>
      <c r="E900" s="26" t="n"/>
      <c r="F900" s="24">
        <f>IF(A900="","",SUM(L900:W900))</f>
        <v/>
      </c>
      <c r="G900" s="36">
        <f>IF(A900="","",SUM(X900:AI900))</f>
        <v/>
      </c>
      <c r="H900" s="8">
        <f>IF(A900="","",IF(ISNA(MATCH(A900,Mitarbeiter!$A$6:$A$205,0)),"Pers.-Nr. unbekannt",IF(D900="","Von fehlt",IF(AND(C900&lt;&gt;Einstellungen!$C$4,C900&lt;&gt;Einstellungen!$C$5),"Objekt fehlt",IF(J900&lt;D900,"Bis vor Von",IF(D900&lt;INDEX(Mitarbeiter!$C$6:$C$205,MATCH($A900,Mitarbeiter!$A$6:$A$205,0)),"vor Eintritt",IF(AND(INDEX(Mitarbeiter!$D$6:$D$205,MATCH($A900,Mitarbeiter!$A$6:$A$205,0))&lt;&gt;"",D900&gt;INDEX(Mitarbeiter!$D$6:$D$205,MATCH($A900,Mitarbeiter!$A$6:$A$205,0))),"nach Austritt",IF(E900="","offen","ok"))))))))</f>
        <v/>
      </c>
      <c r="J900" s="47">
        <f>IF(A900="","",IF(E900="",Einstellungen!$C$9,E900))</f>
        <v/>
      </c>
      <c r="K900" s="48">
        <f>IF(A900="",0,IFERROR(INDEX(Mitarbeiter!$F$6:$F$205,MATCH($A900,Mitarbeiter!$A$6:$A$205,0)),0))</f>
        <v/>
      </c>
      <c r="L900" s="49">
        <f>IF(OR(A900="",D900=""),0,MAX(0,NETWORKDAYS(MAX(D900,DATE(Einstellungen!$C$3,1,1)),MIN(J900,DATE(Einstellungen!$C$3,2,0)),Einstellungen!$F$13:$F$32)))</f>
        <v/>
      </c>
      <c r="M900" s="49">
        <f>IF(OR(A900="",D900=""),0,MAX(0,NETWORKDAYS(MAX(D900,DATE(Einstellungen!$C$3,2,1)),MIN(J900,DATE(Einstellungen!$C$3,3,0)),Einstellungen!$F$13:$F$32)))</f>
        <v/>
      </c>
      <c r="N900" s="49">
        <f>IF(OR(A900="",D900=""),0,MAX(0,NETWORKDAYS(MAX(D900,DATE(Einstellungen!$C$3,3,1)),MIN(J900,DATE(Einstellungen!$C$3,4,0)),Einstellungen!$F$13:$F$32)))</f>
        <v/>
      </c>
      <c r="O900" s="49">
        <f>IF(OR(A900="",D900=""),0,MAX(0,NETWORKDAYS(MAX(D900,DATE(Einstellungen!$C$3,4,1)),MIN(J900,DATE(Einstellungen!$C$3,5,0)),Einstellungen!$F$13:$F$32)))</f>
        <v/>
      </c>
      <c r="P900" s="49">
        <f>IF(OR(A900="",D900=""),0,MAX(0,NETWORKDAYS(MAX(D900,DATE(Einstellungen!$C$3,5,1)),MIN(J900,DATE(Einstellungen!$C$3,6,0)),Einstellungen!$F$13:$F$32)))</f>
        <v/>
      </c>
      <c r="Q900" s="49">
        <f>IF(OR(A900="",D900=""),0,MAX(0,NETWORKDAYS(MAX(D900,DATE(Einstellungen!$C$3,6,1)),MIN(J900,DATE(Einstellungen!$C$3,7,0)),Einstellungen!$F$13:$F$32)))</f>
        <v/>
      </c>
      <c r="R900" s="49">
        <f>IF(OR(A900="",D900=""),0,MAX(0,NETWORKDAYS(MAX(D900,DATE(Einstellungen!$C$3,7,1)),MIN(J900,DATE(Einstellungen!$C$3,8,0)),Einstellungen!$F$13:$F$32)))</f>
        <v/>
      </c>
      <c r="S900" s="49">
        <f>IF(OR(A900="",D900=""),0,MAX(0,NETWORKDAYS(MAX(D900,DATE(Einstellungen!$C$3,8,1)),MIN(J900,DATE(Einstellungen!$C$3,9,0)),Einstellungen!$F$13:$F$32)))</f>
        <v/>
      </c>
      <c r="T900" s="49">
        <f>IF(OR(A900="",D900=""),0,MAX(0,NETWORKDAYS(MAX(D900,DATE(Einstellungen!$C$3,9,1)),MIN(J900,DATE(Einstellungen!$C$3,10,0)),Einstellungen!$F$13:$F$32)))</f>
        <v/>
      </c>
      <c r="U900" s="49">
        <f>IF(OR(A900="",D900=""),0,MAX(0,NETWORKDAYS(MAX(D900,DATE(Einstellungen!$C$3,10,1)),MIN(J900,DATE(Einstellungen!$C$3,11,0)),Einstellungen!$F$13:$F$32)))</f>
        <v/>
      </c>
      <c r="V900" s="49">
        <f>IF(OR(A900="",D900=""),0,MAX(0,NETWORKDAYS(MAX(D900,DATE(Einstellungen!$C$3,11,1)),MIN(J900,DATE(Einstellungen!$C$3,12,0)),Einstellungen!$F$13:$F$32)))</f>
        <v/>
      </c>
      <c r="W900" s="49">
        <f>IF(OR(A900="",D900=""),0,MAX(0,NETWORKDAYS(MAX(D900,DATE(Einstellungen!$C$3,12,1)),MIN(J900,DATE(Einstellungen!$C$3,13,0)),Einstellungen!$F$13:$F$32)))</f>
        <v/>
      </c>
      <c r="X900" s="50">
        <f>L900*K900</f>
        <v/>
      </c>
      <c r="Y900" s="50">
        <f>M900*K900</f>
        <v/>
      </c>
      <c r="Z900" s="50">
        <f>N900*K900</f>
        <v/>
      </c>
      <c r="AA900" s="50">
        <f>O900*K900</f>
        <v/>
      </c>
      <c r="AB900" s="50">
        <f>P900*K900</f>
        <v/>
      </c>
      <c r="AC900" s="50">
        <f>Q900*K900</f>
        <v/>
      </c>
      <c r="AD900" s="50">
        <f>R900*K900</f>
        <v/>
      </c>
      <c r="AE900" s="50">
        <f>S900*K900</f>
        <v/>
      </c>
      <c r="AF900" s="50">
        <f>T900*K900</f>
        <v/>
      </c>
      <c r="AG900" s="50">
        <f>U900*K900</f>
        <v/>
      </c>
      <c r="AH900" s="50">
        <f>V900*K900</f>
        <v/>
      </c>
      <c r="AI900" s="50">
        <f>W900*K900</f>
        <v/>
      </c>
    </row>
    <row r="901">
      <c r="A901" s="25" t="n"/>
      <c r="B901" s="45">
        <f>IF(A901="","",IFERROR(INDEX(Mitarbeiter!$B$6:$B$205,MATCH($A901,Mitarbeiter!$A$6:$A$205,0)),"?"))</f>
        <v/>
      </c>
      <c r="C901" s="46" t="n"/>
      <c r="D901" s="26" t="n"/>
      <c r="E901" s="26" t="n"/>
      <c r="F901" s="24">
        <f>IF(A901="","",SUM(L901:W901))</f>
        <v/>
      </c>
      <c r="G901" s="36">
        <f>IF(A901="","",SUM(X901:AI901))</f>
        <v/>
      </c>
      <c r="H901" s="8">
        <f>IF(A901="","",IF(ISNA(MATCH(A901,Mitarbeiter!$A$6:$A$205,0)),"Pers.-Nr. unbekannt",IF(D901="","Von fehlt",IF(AND(C901&lt;&gt;Einstellungen!$C$4,C901&lt;&gt;Einstellungen!$C$5),"Objekt fehlt",IF(J901&lt;D901,"Bis vor Von",IF(D901&lt;INDEX(Mitarbeiter!$C$6:$C$205,MATCH($A901,Mitarbeiter!$A$6:$A$205,0)),"vor Eintritt",IF(AND(INDEX(Mitarbeiter!$D$6:$D$205,MATCH($A901,Mitarbeiter!$A$6:$A$205,0))&lt;&gt;"",D901&gt;INDEX(Mitarbeiter!$D$6:$D$205,MATCH($A901,Mitarbeiter!$A$6:$A$205,0))),"nach Austritt",IF(E901="","offen","ok"))))))))</f>
        <v/>
      </c>
      <c r="J901" s="47">
        <f>IF(A901="","",IF(E901="",Einstellungen!$C$9,E901))</f>
        <v/>
      </c>
      <c r="K901" s="48">
        <f>IF(A901="",0,IFERROR(INDEX(Mitarbeiter!$F$6:$F$205,MATCH($A901,Mitarbeiter!$A$6:$A$205,0)),0))</f>
        <v/>
      </c>
      <c r="L901" s="49">
        <f>IF(OR(A901="",D901=""),0,MAX(0,NETWORKDAYS(MAX(D901,DATE(Einstellungen!$C$3,1,1)),MIN(J901,DATE(Einstellungen!$C$3,2,0)),Einstellungen!$F$13:$F$32)))</f>
        <v/>
      </c>
      <c r="M901" s="49">
        <f>IF(OR(A901="",D901=""),0,MAX(0,NETWORKDAYS(MAX(D901,DATE(Einstellungen!$C$3,2,1)),MIN(J901,DATE(Einstellungen!$C$3,3,0)),Einstellungen!$F$13:$F$32)))</f>
        <v/>
      </c>
      <c r="N901" s="49">
        <f>IF(OR(A901="",D901=""),0,MAX(0,NETWORKDAYS(MAX(D901,DATE(Einstellungen!$C$3,3,1)),MIN(J901,DATE(Einstellungen!$C$3,4,0)),Einstellungen!$F$13:$F$32)))</f>
        <v/>
      </c>
      <c r="O901" s="49">
        <f>IF(OR(A901="",D901=""),0,MAX(0,NETWORKDAYS(MAX(D901,DATE(Einstellungen!$C$3,4,1)),MIN(J901,DATE(Einstellungen!$C$3,5,0)),Einstellungen!$F$13:$F$32)))</f>
        <v/>
      </c>
      <c r="P901" s="49">
        <f>IF(OR(A901="",D901=""),0,MAX(0,NETWORKDAYS(MAX(D901,DATE(Einstellungen!$C$3,5,1)),MIN(J901,DATE(Einstellungen!$C$3,6,0)),Einstellungen!$F$13:$F$32)))</f>
        <v/>
      </c>
      <c r="Q901" s="49">
        <f>IF(OR(A901="",D901=""),0,MAX(0,NETWORKDAYS(MAX(D901,DATE(Einstellungen!$C$3,6,1)),MIN(J901,DATE(Einstellungen!$C$3,7,0)),Einstellungen!$F$13:$F$32)))</f>
        <v/>
      </c>
      <c r="R901" s="49">
        <f>IF(OR(A901="",D901=""),0,MAX(0,NETWORKDAYS(MAX(D901,DATE(Einstellungen!$C$3,7,1)),MIN(J901,DATE(Einstellungen!$C$3,8,0)),Einstellungen!$F$13:$F$32)))</f>
        <v/>
      </c>
      <c r="S901" s="49">
        <f>IF(OR(A901="",D901=""),0,MAX(0,NETWORKDAYS(MAX(D901,DATE(Einstellungen!$C$3,8,1)),MIN(J901,DATE(Einstellungen!$C$3,9,0)),Einstellungen!$F$13:$F$32)))</f>
        <v/>
      </c>
      <c r="T901" s="49">
        <f>IF(OR(A901="",D901=""),0,MAX(0,NETWORKDAYS(MAX(D901,DATE(Einstellungen!$C$3,9,1)),MIN(J901,DATE(Einstellungen!$C$3,10,0)),Einstellungen!$F$13:$F$32)))</f>
        <v/>
      </c>
      <c r="U901" s="49">
        <f>IF(OR(A901="",D901=""),0,MAX(0,NETWORKDAYS(MAX(D901,DATE(Einstellungen!$C$3,10,1)),MIN(J901,DATE(Einstellungen!$C$3,11,0)),Einstellungen!$F$13:$F$32)))</f>
        <v/>
      </c>
      <c r="V901" s="49">
        <f>IF(OR(A901="",D901=""),0,MAX(0,NETWORKDAYS(MAX(D901,DATE(Einstellungen!$C$3,11,1)),MIN(J901,DATE(Einstellungen!$C$3,12,0)),Einstellungen!$F$13:$F$32)))</f>
        <v/>
      </c>
      <c r="W901" s="49">
        <f>IF(OR(A901="",D901=""),0,MAX(0,NETWORKDAYS(MAX(D901,DATE(Einstellungen!$C$3,12,1)),MIN(J901,DATE(Einstellungen!$C$3,13,0)),Einstellungen!$F$13:$F$32)))</f>
        <v/>
      </c>
      <c r="X901" s="50">
        <f>L901*K901</f>
        <v/>
      </c>
      <c r="Y901" s="50">
        <f>M901*K901</f>
        <v/>
      </c>
      <c r="Z901" s="50">
        <f>N901*K901</f>
        <v/>
      </c>
      <c r="AA901" s="50">
        <f>O901*K901</f>
        <v/>
      </c>
      <c r="AB901" s="50">
        <f>P901*K901</f>
        <v/>
      </c>
      <c r="AC901" s="50">
        <f>Q901*K901</f>
        <v/>
      </c>
      <c r="AD901" s="50">
        <f>R901*K901</f>
        <v/>
      </c>
      <c r="AE901" s="50">
        <f>S901*K901</f>
        <v/>
      </c>
      <c r="AF901" s="50">
        <f>T901*K901</f>
        <v/>
      </c>
      <c r="AG901" s="50">
        <f>U901*K901</f>
        <v/>
      </c>
      <c r="AH901" s="50">
        <f>V901*K901</f>
        <v/>
      </c>
      <c r="AI901" s="50">
        <f>W901*K901</f>
        <v/>
      </c>
    </row>
    <row r="902">
      <c r="A902" s="25" t="n"/>
      <c r="B902" s="45">
        <f>IF(A902="","",IFERROR(INDEX(Mitarbeiter!$B$6:$B$205,MATCH($A902,Mitarbeiter!$A$6:$A$205,0)),"?"))</f>
        <v/>
      </c>
      <c r="C902" s="46" t="n"/>
      <c r="D902" s="26" t="n"/>
      <c r="E902" s="26" t="n"/>
      <c r="F902" s="24">
        <f>IF(A902="","",SUM(L902:W902))</f>
        <v/>
      </c>
      <c r="G902" s="36">
        <f>IF(A902="","",SUM(X902:AI902))</f>
        <v/>
      </c>
      <c r="H902" s="8">
        <f>IF(A902="","",IF(ISNA(MATCH(A902,Mitarbeiter!$A$6:$A$205,0)),"Pers.-Nr. unbekannt",IF(D902="","Von fehlt",IF(AND(C902&lt;&gt;Einstellungen!$C$4,C902&lt;&gt;Einstellungen!$C$5),"Objekt fehlt",IF(J902&lt;D902,"Bis vor Von",IF(D902&lt;INDEX(Mitarbeiter!$C$6:$C$205,MATCH($A902,Mitarbeiter!$A$6:$A$205,0)),"vor Eintritt",IF(AND(INDEX(Mitarbeiter!$D$6:$D$205,MATCH($A902,Mitarbeiter!$A$6:$A$205,0))&lt;&gt;"",D902&gt;INDEX(Mitarbeiter!$D$6:$D$205,MATCH($A902,Mitarbeiter!$A$6:$A$205,0))),"nach Austritt",IF(E902="","offen","ok"))))))))</f>
        <v/>
      </c>
      <c r="J902" s="47">
        <f>IF(A902="","",IF(E902="",Einstellungen!$C$9,E902))</f>
        <v/>
      </c>
      <c r="K902" s="48">
        <f>IF(A902="",0,IFERROR(INDEX(Mitarbeiter!$F$6:$F$205,MATCH($A902,Mitarbeiter!$A$6:$A$205,0)),0))</f>
        <v/>
      </c>
      <c r="L902" s="49">
        <f>IF(OR(A902="",D902=""),0,MAX(0,NETWORKDAYS(MAX(D902,DATE(Einstellungen!$C$3,1,1)),MIN(J902,DATE(Einstellungen!$C$3,2,0)),Einstellungen!$F$13:$F$32)))</f>
        <v/>
      </c>
      <c r="M902" s="49">
        <f>IF(OR(A902="",D902=""),0,MAX(0,NETWORKDAYS(MAX(D902,DATE(Einstellungen!$C$3,2,1)),MIN(J902,DATE(Einstellungen!$C$3,3,0)),Einstellungen!$F$13:$F$32)))</f>
        <v/>
      </c>
      <c r="N902" s="49">
        <f>IF(OR(A902="",D902=""),0,MAX(0,NETWORKDAYS(MAX(D902,DATE(Einstellungen!$C$3,3,1)),MIN(J902,DATE(Einstellungen!$C$3,4,0)),Einstellungen!$F$13:$F$32)))</f>
        <v/>
      </c>
      <c r="O902" s="49">
        <f>IF(OR(A902="",D902=""),0,MAX(0,NETWORKDAYS(MAX(D902,DATE(Einstellungen!$C$3,4,1)),MIN(J902,DATE(Einstellungen!$C$3,5,0)),Einstellungen!$F$13:$F$32)))</f>
        <v/>
      </c>
      <c r="P902" s="49">
        <f>IF(OR(A902="",D902=""),0,MAX(0,NETWORKDAYS(MAX(D902,DATE(Einstellungen!$C$3,5,1)),MIN(J902,DATE(Einstellungen!$C$3,6,0)),Einstellungen!$F$13:$F$32)))</f>
        <v/>
      </c>
      <c r="Q902" s="49">
        <f>IF(OR(A902="",D902=""),0,MAX(0,NETWORKDAYS(MAX(D902,DATE(Einstellungen!$C$3,6,1)),MIN(J902,DATE(Einstellungen!$C$3,7,0)),Einstellungen!$F$13:$F$32)))</f>
        <v/>
      </c>
      <c r="R902" s="49">
        <f>IF(OR(A902="",D902=""),0,MAX(0,NETWORKDAYS(MAX(D902,DATE(Einstellungen!$C$3,7,1)),MIN(J902,DATE(Einstellungen!$C$3,8,0)),Einstellungen!$F$13:$F$32)))</f>
        <v/>
      </c>
      <c r="S902" s="49">
        <f>IF(OR(A902="",D902=""),0,MAX(0,NETWORKDAYS(MAX(D902,DATE(Einstellungen!$C$3,8,1)),MIN(J902,DATE(Einstellungen!$C$3,9,0)),Einstellungen!$F$13:$F$32)))</f>
        <v/>
      </c>
      <c r="T902" s="49">
        <f>IF(OR(A902="",D902=""),0,MAX(0,NETWORKDAYS(MAX(D902,DATE(Einstellungen!$C$3,9,1)),MIN(J902,DATE(Einstellungen!$C$3,10,0)),Einstellungen!$F$13:$F$32)))</f>
        <v/>
      </c>
      <c r="U902" s="49">
        <f>IF(OR(A902="",D902=""),0,MAX(0,NETWORKDAYS(MAX(D902,DATE(Einstellungen!$C$3,10,1)),MIN(J902,DATE(Einstellungen!$C$3,11,0)),Einstellungen!$F$13:$F$32)))</f>
        <v/>
      </c>
      <c r="V902" s="49">
        <f>IF(OR(A902="",D902=""),0,MAX(0,NETWORKDAYS(MAX(D902,DATE(Einstellungen!$C$3,11,1)),MIN(J902,DATE(Einstellungen!$C$3,12,0)),Einstellungen!$F$13:$F$32)))</f>
        <v/>
      </c>
      <c r="W902" s="49">
        <f>IF(OR(A902="",D902=""),0,MAX(0,NETWORKDAYS(MAX(D902,DATE(Einstellungen!$C$3,12,1)),MIN(J902,DATE(Einstellungen!$C$3,13,0)),Einstellungen!$F$13:$F$32)))</f>
        <v/>
      </c>
      <c r="X902" s="50">
        <f>L902*K902</f>
        <v/>
      </c>
      <c r="Y902" s="50">
        <f>M902*K902</f>
        <v/>
      </c>
      <c r="Z902" s="50">
        <f>N902*K902</f>
        <v/>
      </c>
      <c r="AA902" s="50">
        <f>O902*K902</f>
        <v/>
      </c>
      <c r="AB902" s="50">
        <f>P902*K902</f>
        <v/>
      </c>
      <c r="AC902" s="50">
        <f>Q902*K902</f>
        <v/>
      </c>
      <c r="AD902" s="50">
        <f>R902*K902</f>
        <v/>
      </c>
      <c r="AE902" s="50">
        <f>S902*K902</f>
        <v/>
      </c>
      <c r="AF902" s="50">
        <f>T902*K902</f>
        <v/>
      </c>
      <c r="AG902" s="50">
        <f>U902*K902</f>
        <v/>
      </c>
      <c r="AH902" s="50">
        <f>V902*K902</f>
        <v/>
      </c>
      <c r="AI902" s="50">
        <f>W902*K902</f>
        <v/>
      </c>
    </row>
    <row r="903">
      <c r="A903" s="25" t="n"/>
      <c r="B903" s="45">
        <f>IF(A903="","",IFERROR(INDEX(Mitarbeiter!$B$6:$B$205,MATCH($A903,Mitarbeiter!$A$6:$A$205,0)),"?"))</f>
        <v/>
      </c>
      <c r="C903" s="46" t="n"/>
      <c r="D903" s="26" t="n"/>
      <c r="E903" s="26" t="n"/>
      <c r="F903" s="24">
        <f>IF(A903="","",SUM(L903:W903))</f>
        <v/>
      </c>
      <c r="G903" s="36">
        <f>IF(A903="","",SUM(X903:AI903))</f>
        <v/>
      </c>
      <c r="H903" s="8">
        <f>IF(A903="","",IF(ISNA(MATCH(A903,Mitarbeiter!$A$6:$A$205,0)),"Pers.-Nr. unbekannt",IF(D903="","Von fehlt",IF(AND(C903&lt;&gt;Einstellungen!$C$4,C903&lt;&gt;Einstellungen!$C$5),"Objekt fehlt",IF(J903&lt;D903,"Bis vor Von",IF(D903&lt;INDEX(Mitarbeiter!$C$6:$C$205,MATCH($A903,Mitarbeiter!$A$6:$A$205,0)),"vor Eintritt",IF(AND(INDEX(Mitarbeiter!$D$6:$D$205,MATCH($A903,Mitarbeiter!$A$6:$A$205,0))&lt;&gt;"",D903&gt;INDEX(Mitarbeiter!$D$6:$D$205,MATCH($A903,Mitarbeiter!$A$6:$A$205,0))),"nach Austritt",IF(E903="","offen","ok"))))))))</f>
        <v/>
      </c>
      <c r="J903" s="47">
        <f>IF(A903="","",IF(E903="",Einstellungen!$C$9,E903))</f>
        <v/>
      </c>
      <c r="K903" s="48">
        <f>IF(A903="",0,IFERROR(INDEX(Mitarbeiter!$F$6:$F$205,MATCH($A903,Mitarbeiter!$A$6:$A$205,0)),0))</f>
        <v/>
      </c>
      <c r="L903" s="49">
        <f>IF(OR(A903="",D903=""),0,MAX(0,NETWORKDAYS(MAX(D903,DATE(Einstellungen!$C$3,1,1)),MIN(J903,DATE(Einstellungen!$C$3,2,0)),Einstellungen!$F$13:$F$32)))</f>
        <v/>
      </c>
      <c r="M903" s="49">
        <f>IF(OR(A903="",D903=""),0,MAX(0,NETWORKDAYS(MAX(D903,DATE(Einstellungen!$C$3,2,1)),MIN(J903,DATE(Einstellungen!$C$3,3,0)),Einstellungen!$F$13:$F$32)))</f>
        <v/>
      </c>
      <c r="N903" s="49">
        <f>IF(OR(A903="",D903=""),0,MAX(0,NETWORKDAYS(MAX(D903,DATE(Einstellungen!$C$3,3,1)),MIN(J903,DATE(Einstellungen!$C$3,4,0)),Einstellungen!$F$13:$F$32)))</f>
        <v/>
      </c>
      <c r="O903" s="49">
        <f>IF(OR(A903="",D903=""),0,MAX(0,NETWORKDAYS(MAX(D903,DATE(Einstellungen!$C$3,4,1)),MIN(J903,DATE(Einstellungen!$C$3,5,0)),Einstellungen!$F$13:$F$32)))</f>
        <v/>
      </c>
      <c r="P903" s="49">
        <f>IF(OR(A903="",D903=""),0,MAX(0,NETWORKDAYS(MAX(D903,DATE(Einstellungen!$C$3,5,1)),MIN(J903,DATE(Einstellungen!$C$3,6,0)),Einstellungen!$F$13:$F$32)))</f>
        <v/>
      </c>
      <c r="Q903" s="49">
        <f>IF(OR(A903="",D903=""),0,MAX(0,NETWORKDAYS(MAX(D903,DATE(Einstellungen!$C$3,6,1)),MIN(J903,DATE(Einstellungen!$C$3,7,0)),Einstellungen!$F$13:$F$32)))</f>
        <v/>
      </c>
      <c r="R903" s="49">
        <f>IF(OR(A903="",D903=""),0,MAX(0,NETWORKDAYS(MAX(D903,DATE(Einstellungen!$C$3,7,1)),MIN(J903,DATE(Einstellungen!$C$3,8,0)),Einstellungen!$F$13:$F$32)))</f>
        <v/>
      </c>
      <c r="S903" s="49">
        <f>IF(OR(A903="",D903=""),0,MAX(0,NETWORKDAYS(MAX(D903,DATE(Einstellungen!$C$3,8,1)),MIN(J903,DATE(Einstellungen!$C$3,9,0)),Einstellungen!$F$13:$F$32)))</f>
        <v/>
      </c>
      <c r="T903" s="49">
        <f>IF(OR(A903="",D903=""),0,MAX(0,NETWORKDAYS(MAX(D903,DATE(Einstellungen!$C$3,9,1)),MIN(J903,DATE(Einstellungen!$C$3,10,0)),Einstellungen!$F$13:$F$32)))</f>
        <v/>
      </c>
      <c r="U903" s="49">
        <f>IF(OR(A903="",D903=""),0,MAX(0,NETWORKDAYS(MAX(D903,DATE(Einstellungen!$C$3,10,1)),MIN(J903,DATE(Einstellungen!$C$3,11,0)),Einstellungen!$F$13:$F$32)))</f>
        <v/>
      </c>
      <c r="V903" s="49">
        <f>IF(OR(A903="",D903=""),0,MAX(0,NETWORKDAYS(MAX(D903,DATE(Einstellungen!$C$3,11,1)),MIN(J903,DATE(Einstellungen!$C$3,12,0)),Einstellungen!$F$13:$F$32)))</f>
        <v/>
      </c>
      <c r="W903" s="49">
        <f>IF(OR(A903="",D903=""),0,MAX(0,NETWORKDAYS(MAX(D903,DATE(Einstellungen!$C$3,12,1)),MIN(J903,DATE(Einstellungen!$C$3,13,0)),Einstellungen!$F$13:$F$32)))</f>
        <v/>
      </c>
      <c r="X903" s="50">
        <f>L903*K903</f>
        <v/>
      </c>
      <c r="Y903" s="50">
        <f>M903*K903</f>
        <v/>
      </c>
      <c r="Z903" s="50">
        <f>N903*K903</f>
        <v/>
      </c>
      <c r="AA903" s="50">
        <f>O903*K903</f>
        <v/>
      </c>
      <c r="AB903" s="50">
        <f>P903*K903</f>
        <v/>
      </c>
      <c r="AC903" s="50">
        <f>Q903*K903</f>
        <v/>
      </c>
      <c r="AD903" s="50">
        <f>R903*K903</f>
        <v/>
      </c>
      <c r="AE903" s="50">
        <f>S903*K903</f>
        <v/>
      </c>
      <c r="AF903" s="50">
        <f>T903*K903</f>
        <v/>
      </c>
      <c r="AG903" s="50">
        <f>U903*K903</f>
        <v/>
      </c>
      <c r="AH903" s="50">
        <f>V903*K903</f>
        <v/>
      </c>
      <c r="AI903" s="50">
        <f>W903*K903</f>
        <v/>
      </c>
    </row>
    <row r="904">
      <c r="A904" s="25" t="n"/>
      <c r="B904" s="45">
        <f>IF(A904="","",IFERROR(INDEX(Mitarbeiter!$B$6:$B$205,MATCH($A904,Mitarbeiter!$A$6:$A$205,0)),"?"))</f>
        <v/>
      </c>
      <c r="C904" s="46" t="n"/>
      <c r="D904" s="26" t="n"/>
      <c r="E904" s="26" t="n"/>
      <c r="F904" s="24">
        <f>IF(A904="","",SUM(L904:W904))</f>
        <v/>
      </c>
      <c r="G904" s="36">
        <f>IF(A904="","",SUM(X904:AI904))</f>
        <v/>
      </c>
      <c r="H904" s="8">
        <f>IF(A904="","",IF(ISNA(MATCH(A904,Mitarbeiter!$A$6:$A$205,0)),"Pers.-Nr. unbekannt",IF(D904="","Von fehlt",IF(AND(C904&lt;&gt;Einstellungen!$C$4,C904&lt;&gt;Einstellungen!$C$5),"Objekt fehlt",IF(J904&lt;D904,"Bis vor Von",IF(D904&lt;INDEX(Mitarbeiter!$C$6:$C$205,MATCH($A904,Mitarbeiter!$A$6:$A$205,0)),"vor Eintritt",IF(AND(INDEX(Mitarbeiter!$D$6:$D$205,MATCH($A904,Mitarbeiter!$A$6:$A$205,0))&lt;&gt;"",D904&gt;INDEX(Mitarbeiter!$D$6:$D$205,MATCH($A904,Mitarbeiter!$A$6:$A$205,0))),"nach Austritt",IF(E904="","offen","ok"))))))))</f>
        <v/>
      </c>
      <c r="J904" s="47">
        <f>IF(A904="","",IF(E904="",Einstellungen!$C$9,E904))</f>
        <v/>
      </c>
      <c r="K904" s="48">
        <f>IF(A904="",0,IFERROR(INDEX(Mitarbeiter!$F$6:$F$205,MATCH($A904,Mitarbeiter!$A$6:$A$205,0)),0))</f>
        <v/>
      </c>
      <c r="L904" s="49">
        <f>IF(OR(A904="",D904=""),0,MAX(0,NETWORKDAYS(MAX(D904,DATE(Einstellungen!$C$3,1,1)),MIN(J904,DATE(Einstellungen!$C$3,2,0)),Einstellungen!$F$13:$F$32)))</f>
        <v/>
      </c>
      <c r="M904" s="49">
        <f>IF(OR(A904="",D904=""),0,MAX(0,NETWORKDAYS(MAX(D904,DATE(Einstellungen!$C$3,2,1)),MIN(J904,DATE(Einstellungen!$C$3,3,0)),Einstellungen!$F$13:$F$32)))</f>
        <v/>
      </c>
      <c r="N904" s="49">
        <f>IF(OR(A904="",D904=""),0,MAX(0,NETWORKDAYS(MAX(D904,DATE(Einstellungen!$C$3,3,1)),MIN(J904,DATE(Einstellungen!$C$3,4,0)),Einstellungen!$F$13:$F$32)))</f>
        <v/>
      </c>
      <c r="O904" s="49">
        <f>IF(OR(A904="",D904=""),0,MAX(0,NETWORKDAYS(MAX(D904,DATE(Einstellungen!$C$3,4,1)),MIN(J904,DATE(Einstellungen!$C$3,5,0)),Einstellungen!$F$13:$F$32)))</f>
        <v/>
      </c>
      <c r="P904" s="49">
        <f>IF(OR(A904="",D904=""),0,MAX(0,NETWORKDAYS(MAX(D904,DATE(Einstellungen!$C$3,5,1)),MIN(J904,DATE(Einstellungen!$C$3,6,0)),Einstellungen!$F$13:$F$32)))</f>
        <v/>
      </c>
      <c r="Q904" s="49">
        <f>IF(OR(A904="",D904=""),0,MAX(0,NETWORKDAYS(MAX(D904,DATE(Einstellungen!$C$3,6,1)),MIN(J904,DATE(Einstellungen!$C$3,7,0)),Einstellungen!$F$13:$F$32)))</f>
        <v/>
      </c>
      <c r="R904" s="49">
        <f>IF(OR(A904="",D904=""),0,MAX(0,NETWORKDAYS(MAX(D904,DATE(Einstellungen!$C$3,7,1)),MIN(J904,DATE(Einstellungen!$C$3,8,0)),Einstellungen!$F$13:$F$32)))</f>
        <v/>
      </c>
      <c r="S904" s="49">
        <f>IF(OR(A904="",D904=""),0,MAX(0,NETWORKDAYS(MAX(D904,DATE(Einstellungen!$C$3,8,1)),MIN(J904,DATE(Einstellungen!$C$3,9,0)),Einstellungen!$F$13:$F$32)))</f>
        <v/>
      </c>
      <c r="T904" s="49">
        <f>IF(OR(A904="",D904=""),0,MAX(0,NETWORKDAYS(MAX(D904,DATE(Einstellungen!$C$3,9,1)),MIN(J904,DATE(Einstellungen!$C$3,10,0)),Einstellungen!$F$13:$F$32)))</f>
        <v/>
      </c>
      <c r="U904" s="49">
        <f>IF(OR(A904="",D904=""),0,MAX(0,NETWORKDAYS(MAX(D904,DATE(Einstellungen!$C$3,10,1)),MIN(J904,DATE(Einstellungen!$C$3,11,0)),Einstellungen!$F$13:$F$32)))</f>
        <v/>
      </c>
      <c r="V904" s="49">
        <f>IF(OR(A904="",D904=""),0,MAX(0,NETWORKDAYS(MAX(D904,DATE(Einstellungen!$C$3,11,1)),MIN(J904,DATE(Einstellungen!$C$3,12,0)),Einstellungen!$F$13:$F$32)))</f>
        <v/>
      </c>
      <c r="W904" s="49">
        <f>IF(OR(A904="",D904=""),0,MAX(0,NETWORKDAYS(MAX(D904,DATE(Einstellungen!$C$3,12,1)),MIN(J904,DATE(Einstellungen!$C$3,13,0)),Einstellungen!$F$13:$F$32)))</f>
        <v/>
      </c>
      <c r="X904" s="50">
        <f>L904*K904</f>
        <v/>
      </c>
      <c r="Y904" s="50">
        <f>M904*K904</f>
        <v/>
      </c>
      <c r="Z904" s="50">
        <f>N904*K904</f>
        <v/>
      </c>
      <c r="AA904" s="50">
        <f>O904*K904</f>
        <v/>
      </c>
      <c r="AB904" s="50">
        <f>P904*K904</f>
        <v/>
      </c>
      <c r="AC904" s="50">
        <f>Q904*K904</f>
        <v/>
      </c>
      <c r="AD904" s="50">
        <f>R904*K904</f>
        <v/>
      </c>
      <c r="AE904" s="50">
        <f>S904*K904</f>
        <v/>
      </c>
      <c r="AF904" s="50">
        <f>T904*K904</f>
        <v/>
      </c>
      <c r="AG904" s="50">
        <f>U904*K904</f>
        <v/>
      </c>
      <c r="AH904" s="50">
        <f>V904*K904</f>
        <v/>
      </c>
      <c r="AI904" s="50">
        <f>W904*K904</f>
        <v/>
      </c>
    </row>
    <row r="905">
      <c r="A905" s="25" t="n"/>
      <c r="B905" s="45">
        <f>IF(A905="","",IFERROR(INDEX(Mitarbeiter!$B$6:$B$205,MATCH($A905,Mitarbeiter!$A$6:$A$205,0)),"?"))</f>
        <v/>
      </c>
      <c r="C905" s="46" t="n"/>
      <c r="D905" s="26" t="n"/>
      <c r="E905" s="26" t="n"/>
      <c r="F905" s="24">
        <f>IF(A905="","",SUM(L905:W905))</f>
        <v/>
      </c>
      <c r="G905" s="36">
        <f>IF(A905="","",SUM(X905:AI905))</f>
        <v/>
      </c>
      <c r="H905" s="8">
        <f>IF(A905="","",IF(ISNA(MATCH(A905,Mitarbeiter!$A$6:$A$205,0)),"Pers.-Nr. unbekannt",IF(D905="","Von fehlt",IF(AND(C905&lt;&gt;Einstellungen!$C$4,C905&lt;&gt;Einstellungen!$C$5),"Objekt fehlt",IF(J905&lt;D905,"Bis vor Von",IF(D905&lt;INDEX(Mitarbeiter!$C$6:$C$205,MATCH($A905,Mitarbeiter!$A$6:$A$205,0)),"vor Eintritt",IF(AND(INDEX(Mitarbeiter!$D$6:$D$205,MATCH($A905,Mitarbeiter!$A$6:$A$205,0))&lt;&gt;"",D905&gt;INDEX(Mitarbeiter!$D$6:$D$205,MATCH($A905,Mitarbeiter!$A$6:$A$205,0))),"nach Austritt",IF(E905="","offen","ok"))))))))</f>
        <v/>
      </c>
      <c r="J905" s="47">
        <f>IF(A905="","",IF(E905="",Einstellungen!$C$9,E905))</f>
        <v/>
      </c>
      <c r="K905" s="48">
        <f>IF(A905="",0,IFERROR(INDEX(Mitarbeiter!$F$6:$F$205,MATCH($A905,Mitarbeiter!$A$6:$A$205,0)),0))</f>
        <v/>
      </c>
      <c r="L905" s="49">
        <f>IF(OR(A905="",D905=""),0,MAX(0,NETWORKDAYS(MAX(D905,DATE(Einstellungen!$C$3,1,1)),MIN(J905,DATE(Einstellungen!$C$3,2,0)),Einstellungen!$F$13:$F$32)))</f>
        <v/>
      </c>
      <c r="M905" s="49">
        <f>IF(OR(A905="",D905=""),0,MAX(0,NETWORKDAYS(MAX(D905,DATE(Einstellungen!$C$3,2,1)),MIN(J905,DATE(Einstellungen!$C$3,3,0)),Einstellungen!$F$13:$F$32)))</f>
        <v/>
      </c>
      <c r="N905" s="49">
        <f>IF(OR(A905="",D905=""),0,MAX(0,NETWORKDAYS(MAX(D905,DATE(Einstellungen!$C$3,3,1)),MIN(J905,DATE(Einstellungen!$C$3,4,0)),Einstellungen!$F$13:$F$32)))</f>
        <v/>
      </c>
      <c r="O905" s="49">
        <f>IF(OR(A905="",D905=""),0,MAX(0,NETWORKDAYS(MAX(D905,DATE(Einstellungen!$C$3,4,1)),MIN(J905,DATE(Einstellungen!$C$3,5,0)),Einstellungen!$F$13:$F$32)))</f>
        <v/>
      </c>
      <c r="P905" s="49">
        <f>IF(OR(A905="",D905=""),0,MAX(0,NETWORKDAYS(MAX(D905,DATE(Einstellungen!$C$3,5,1)),MIN(J905,DATE(Einstellungen!$C$3,6,0)),Einstellungen!$F$13:$F$32)))</f>
        <v/>
      </c>
      <c r="Q905" s="49">
        <f>IF(OR(A905="",D905=""),0,MAX(0,NETWORKDAYS(MAX(D905,DATE(Einstellungen!$C$3,6,1)),MIN(J905,DATE(Einstellungen!$C$3,7,0)),Einstellungen!$F$13:$F$32)))</f>
        <v/>
      </c>
      <c r="R905" s="49">
        <f>IF(OR(A905="",D905=""),0,MAX(0,NETWORKDAYS(MAX(D905,DATE(Einstellungen!$C$3,7,1)),MIN(J905,DATE(Einstellungen!$C$3,8,0)),Einstellungen!$F$13:$F$32)))</f>
        <v/>
      </c>
      <c r="S905" s="49">
        <f>IF(OR(A905="",D905=""),0,MAX(0,NETWORKDAYS(MAX(D905,DATE(Einstellungen!$C$3,8,1)),MIN(J905,DATE(Einstellungen!$C$3,9,0)),Einstellungen!$F$13:$F$32)))</f>
        <v/>
      </c>
      <c r="T905" s="49">
        <f>IF(OR(A905="",D905=""),0,MAX(0,NETWORKDAYS(MAX(D905,DATE(Einstellungen!$C$3,9,1)),MIN(J905,DATE(Einstellungen!$C$3,10,0)),Einstellungen!$F$13:$F$32)))</f>
        <v/>
      </c>
      <c r="U905" s="49">
        <f>IF(OR(A905="",D905=""),0,MAX(0,NETWORKDAYS(MAX(D905,DATE(Einstellungen!$C$3,10,1)),MIN(J905,DATE(Einstellungen!$C$3,11,0)),Einstellungen!$F$13:$F$32)))</f>
        <v/>
      </c>
      <c r="V905" s="49">
        <f>IF(OR(A905="",D905=""),0,MAX(0,NETWORKDAYS(MAX(D905,DATE(Einstellungen!$C$3,11,1)),MIN(J905,DATE(Einstellungen!$C$3,12,0)),Einstellungen!$F$13:$F$32)))</f>
        <v/>
      </c>
      <c r="W905" s="49">
        <f>IF(OR(A905="",D905=""),0,MAX(0,NETWORKDAYS(MAX(D905,DATE(Einstellungen!$C$3,12,1)),MIN(J905,DATE(Einstellungen!$C$3,13,0)),Einstellungen!$F$13:$F$32)))</f>
        <v/>
      </c>
      <c r="X905" s="50">
        <f>L905*K905</f>
        <v/>
      </c>
      <c r="Y905" s="50">
        <f>M905*K905</f>
        <v/>
      </c>
      <c r="Z905" s="50">
        <f>N905*K905</f>
        <v/>
      </c>
      <c r="AA905" s="50">
        <f>O905*K905</f>
        <v/>
      </c>
      <c r="AB905" s="50">
        <f>P905*K905</f>
        <v/>
      </c>
      <c r="AC905" s="50">
        <f>Q905*K905</f>
        <v/>
      </c>
      <c r="AD905" s="50">
        <f>R905*K905</f>
        <v/>
      </c>
      <c r="AE905" s="50">
        <f>S905*K905</f>
        <v/>
      </c>
      <c r="AF905" s="50">
        <f>T905*K905</f>
        <v/>
      </c>
      <c r="AG905" s="50">
        <f>U905*K905</f>
        <v/>
      </c>
      <c r="AH905" s="50">
        <f>V905*K905</f>
        <v/>
      </c>
      <c r="AI905" s="50">
        <f>W905*K905</f>
        <v/>
      </c>
    </row>
    <row r="906">
      <c r="A906" s="25" t="n"/>
      <c r="B906" s="45">
        <f>IF(A906="","",IFERROR(INDEX(Mitarbeiter!$B$6:$B$205,MATCH($A906,Mitarbeiter!$A$6:$A$205,0)),"?"))</f>
        <v/>
      </c>
      <c r="C906" s="46" t="n"/>
      <c r="D906" s="26" t="n"/>
      <c r="E906" s="26" t="n"/>
      <c r="F906" s="24">
        <f>IF(A906="","",SUM(L906:W906))</f>
        <v/>
      </c>
      <c r="G906" s="36">
        <f>IF(A906="","",SUM(X906:AI906))</f>
        <v/>
      </c>
      <c r="H906" s="8">
        <f>IF(A906="","",IF(ISNA(MATCH(A906,Mitarbeiter!$A$6:$A$205,0)),"Pers.-Nr. unbekannt",IF(D906="","Von fehlt",IF(AND(C906&lt;&gt;Einstellungen!$C$4,C906&lt;&gt;Einstellungen!$C$5),"Objekt fehlt",IF(J906&lt;D906,"Bis vor Von",IF(D906&lt;INDEX(Mitarbeiter!$C$6:$C$205,MATCH($A906,Mitarbeiter!$A$6:$A$205,0)),"vor Eintritt",IF(AND(INDEX(Mitarbeiter!$D$6:$D$205,MATCH($A906,Mitarbeiter!$A$6:$A$205,0))&lt;&gt;"",D906&gt;INDEX(Mitarbeiter!$D$6:$D$205,MATCH($A906,Mitarbeiter!$A$6:$A$205,0))),"nach Austritt",IF(E906="","offen","ok"))))))))</f>
        <v/>
      </c>
      <c r="J906" s="47">
        <f>IF(A906="","",IF(E906="",Einstellungen!$C$9,E906))</f>
        <v/>
      </c>
      <c r="K906" s="48">
        <f>IF(A906="",0,IFERROR(INDEX(Mitarbeiter!$F$6:$F$205,MATCH($A906,Mitarbeiter!$A$6:$A$205,0)),0))</f>
        <v/>
      </c>
      <c r="L906" s="49">
        <f>IF(OR(A906="",D906=""),0,MAX(0,NETWORKDAYS(MAX(D906,DATE(Einstellungen!$C$3,1,1)),MIN(J906,DATE(Einstellungen!$C$3,2,0)),Einstellungen!$F$13:$F$32)))</f>
        <v/>
      </c>
      <c r="M906" s="49">
        <f>IF(OR(A906="",D906=""),0,MAX(0,NETWORKDAYS(MAX(D906,DATE(Einstellungen!$C$3,2,1)),MIN(J906,DATE(Einstellungen!$C$3,3,0)),Einstellungen!$F$13:$F$32)))</f>
        <v/>
      </c>
      <c r="N906" s="49">
        <f>IF(OR(A906="",D906=""),0,MAX(0,NETWORKDAYS(MAX(D906,DATE(Einstellungen!$C$3,3,1)),MIN(J906,DATE(Einstellungen!$C$3,4,0)),Einstellungen!$F$13:$F$32)))</f>
        <v/>
      </c>
      <c r="O906" s="49">
        <f>IF(OR(A906="",D906=""),0,MAX(0,NETWORKDAYS(MAX(D906,DATE(Einstellungen!$C$3,4,1)),MIN(J906,DATE(Einstellungen!$C$3,5,0)),Einstellungen!$F$13:$F$32)))</f>
        <v/>
      </c>
      <c r="P906" s="49">
        <f>IF(OR(A906="",D906=""),0,MAX(0,NETWORKDAYS(MAX(D906,DATE(Einstellungen!$C$3,5,1)),MIN(J906,DATE(Einstellungen!$C$3,6,0)),Einstellungen!$F$13:$F$32)))</f>
        <v/>
      </c>
      <c r="Q906" s="49">
        <f>IF(OR(A906="",D906=""),0,MAX(0,NETWORKDAYS(MAX(D906,DATE(Einstellungen!$C$3,6,1)),MIN(J906,DATE(Einstellungen!$C$3,7,0)),Einstellungen!$F$13:$F$32)))</f>
        <v/>
      </c>
      <c r="R906" s="49">
        <f>IF(OR(A906="",D906=""),0,MAX(0,NETWORKDAYS(MAX(D906,DATE(Einstellungen!$C$3,7,1)),MIN(J906,DATE(Einstellungen!$C$3,8,0)),Einstellungen!$F$13:$F$32)))</f>
        <v/>
      </c>
      <c r="S906" s="49">
        <f>IF(OR(A906="",D906=""),0,MAX(0,NETWORKDAYS(MAX(D906,DATE(Einstellungen!$C$3,8,1)),MIN(J906,DATE(Einstellungen!$C$3,9,0)),Einstellungen!$F$13:$F$32)))</f>
        <v/>
      </c>
      <c r="T906" s="49">
        <f>IF(OR(A906="",D906=""),0,MAX(0,NETWORKDAYS(MAX(D906,DATE(Einstellungen!$C$3,9,1)),MIN(J906,DATE(Einstellungen!$C$3,10,0)),Einstellungen!$F$13:$F$32)))</f>
        <v/>
      </c>
      <c r="U906" s="49">
        <f>IF(OR(A906="",D906=""),0,MAX(0,NETWORKDAYS(MAX(D906,DATE(Einstellungen!$C$3,10,1)),MIN(J906,DATE(Einstellungen!$C$3,11,0)),Einstellungen!$F$13:$F$32)))</f>
        <v/>
      </c>
      <c r="V906" s="49">
        <f>IF(OR(A906="",D906=""),0,MAX(0,NETWORKDAYS(MAX(D906,DATE(Einstellungen!$C$3,11,1)),MIN(J906,DATE(Einstellungen!$C$3,12,0)),Einstellungen!$F$13:$F$32)))</f>
        <v/>
      </c>
      <c r="W906" s="49">
        <f>IF(OR(A906="",D906=""),0,MAX(0,NETWORKDAYS(MAX(D906,DATE(Einstellungen!$C$3,12,1)),MIN(J906,DATE(Einstellungen!$C$3,13,0)),Einstellungen!$F$13:$F$32)))</f>
        <v/>
      </c>
      <c r="X906" s="50">
        <f>L906*K906</f>
        <v/>
      </c>
      <c r="Y906" s="50">
        <f>M906*K906</f>
        <v/>
      </c>
      <c r="Z906" s="50">
        <f>N906*K906</f>
        <v/>
      </c>
      <c r="AA906" s="50">
        <f>O906*K906</f>
        <v/>
      </c>
      <c r="AB906" s="50">
        <f>P906*K906</f>
        <v/>
      </c>
      <c r="AC906" s="50">
        <f>Q906*K906</f>
        <v/>
      </c>
      <c r="AD906" s="50">
        <f>R906*K906</f>
        <v/>
      </c>
      <c r="AE906" s="50">
        <f>S906*K906</f>
        <v/>
      </c>
      <c r="AF906" s="50">
        <f>T906*K906</f>
        <v/>
      </c>
      <c r="AG906" s="50">
        <f>U906*K906</f>
        <v/>
      </c>
      <c r="AH906" s="50">
        <f>V906*K906</f>
        <v/>
      </c>
      <c r="AI906" s="50">
        <f>W906*K906</f>
        <v/>
      </c>
    </row>
    <row r="907">
      <c r="A907" s="25" t="n"/>
      <c r="B907" s="45">
        <f>IF(A907="","",IFERROR(INDEX(Mitarbeiter!$B$6:$B$205,MATCH($A907,Mitarbeiter!$A$6:$A$205,0)),"?"))</f>
        <v/>
      </c>
      <c r="C907" s="46" t="n"/>
      <c r="D907" s="26" t="n"/>
      <c r="E907" s="26" t="n"/>
      <c r="F907" s="24">
        <f>IF(A907="","",SUM(L907:W907))</f>
        <v/>
      </c>
      <c r="G907" s="36">
        <f>IF(A907="","",SUM(X907:AI907))</f>
        <v/>
      </c>
      <c r="H907" s="8">
        <f>IF(A907="","",IF(ISNA(MATCH(A907,Mitarbeiter!$A$6:$A$205,0)),"Pers.-Nr. unbekannt",IF(D907="","Von fehlt",IF(AND(C907&lt;&gt;Einstellungen!$C$4,C907&lt;&gt;Einstellungen!$C$5),"Objekt fehlt",IF(J907&lt;D907,"Bis vor Von",IF(D907&lt;INDEX(Mitarbeiter!$C$6:$C$205,MATCH($A907,Mitarbeiter!$A$6:$A$205,0)),"vor Eintritt",IF(AND(INDEX(Mitarbeiter!$D$6:$D$205,MATCH($A907,Mitarbeiter!$A$6:$A$205,0))&lt;&gt;"",D907&gt;INDEX(Mitarbeiter!$D$6:$D$205,MATCH($A907,Mitarbeiter!$A$6:$A$205,0))),"nach Austritt",IF(E907="","offen","ok"))))))))</f>
        <v/>
      </c>
      <c r="J907" s="47">
        <f>IF(A907="","",IF(E907="",Einstellungen!$C$9,E907))</f>
        <v/>
      </c>
      <c r="K907" s="48">
        <f>IF(A907="",0,IFERROR(INDEX(Mitarbeiter!$F$6:$F$205,MATCH($A907,Mitarbeiter!$A$6:$A$205,0)),0))</f>
        <v/>
      </c>
      <c r="L907" s="49">
        <f>IF(OR(A907="",D907=""),0,MAX(0,NETWORKDAYS(MAX(D907,DATE(Einstellungen!$C$3,1,1)),MIN(J907,DATE(Einstellungen!$C$3,2,0)),Einstellungen!$F$13:$F$32)))</f>
        <v/>
      </c>
      <c r="M907" s="49">
        <f>IF(OR(A907="",D907=""),0,MAX(0,NETWORKDAYS(MAX(D907,DATE(Einstellungen!$C$3,2,1)),MIN(J907,DATE(Einstellungen!$C$3,3,0)),Einstellungen!$F$13:$F$32)))</f>
        <v/>
      </c>
      <c r="N907" s="49">
        <f>IF(OR(A907="",D907=""),0,MAX(0,NETWORKDAYS(MAX(D907,DATE(Einstellungen!$C$3,3,1)),MIN(J907,DATE(Einstellungen!$C$3,4,0)),Einstellungen!$F$13:$F$32)))</f>
        <v/>
      </c>
      <c r="O907" s="49">
        <f>IF(OR(A907="",D907=""),0,MAX(0,NETWORKDAYS(MAX(D907,DATE(Einstellungen!$C$3,4,1)),MIN(J907,DATE(Einstellungen!$C$3,5,0)),Einstellungen!$F$13:$F$32)))</f>
        <v/>
      </c>
      <c r="P907" s="49">
        <f>IF(OR(A907="",D907=""),0,MAX(0,NETWORKDAYS(MAX(D907,DATE(Einstellungen!$C$3,5,1)),MIN(J907,DATE(Einstellungen!$C$3,6,0)),Einstellungen!$F$13:$F$32)))</f>
        <v/>
      </c>
      <c r="Q907" s="49">
        <f>IF(OR(A907="",D907=""),0,MAX(0,NETWORKDAYS(MAX(D907,DATE(Einstellungen!$C$3,6,1)),MIN(J907,DATE(Einstellungen!$C$3,7,0)),Einstellungen!$F$13:$F$32)))</f>
        <v/>
      </c>
      <c r="R907" s="49">
        <f>IF(OR(A907="",D907=""),0,MAX(0,NETWORKDAYS(MAX(D907,DATE(Einstellungen!$C$3,7,1)),MIN(J907,DATE(Einstellungen!$C$3,8,0)),Einstellungen!$F$13:$F$32)))</f>
        <v/>
      </c>
      <c r="S907" s="49">
        <f>IF(OR(A907="",D907=""),0,MAX(0,NETWORKDAYS(MAX(D907,DATE(Einstellungen!$C$3,8,1)),MIN(J907,DATE(Einstellungen!$C$3,9,0)),Einstellungen!$F$13:$F$32)))</f>
        <v/>
      </c>
      <c r="T907" s="49">
        <f>IF(OR(A907="",D907=""),0,MAX(0,NETWORKDAYS(MAX(D907,DATE(Einstellungen!$C$3,9,1)),MIN(J907,DATE(Einstellungen!$C$3,10,0)),Einstellungen!$F$13:$F$32)))</f>
        <v/>
      </c>
      <c r="U907" s="49">
        <f>IF(OR(A907="",D907=""),0,MAX(0,NETWORKDAYS(MAX(D907,DATE(Einstellungen!$C$3,10,1)),MIN(J907,DATE(Einstellungen!$C$3,11,0)),Einstellungen!$F$13:$F$32)))</f>
        <v/>
      </c>
      <c r="V907" s="49">
        <f>IF(OR(A907="",D907=""),0,MAX(0,NETWORKDAYS(MAX(D907,DATE(Einstellungen!$C$3,11,1)),MIN(J907,DATE(Einstellungen!$C$3,12,0)),Einstellungen!$F$13:$F$32)))</f>
        <v/>
      </c>
      <c r="W907" s="49">
        <f>IF(OR(A907="",D907=""),0,MAX(0,NETWORKDAYS(MAX(D907,DATE(Einstellungen!$C$3,12,1)),MIN(J907,DATE(Einstellungen!$C$3,13,0)),Einstellungen!$F$13:$F$32)))</f>
        <v/>
      </c>
      <c r="X907" s="50">
        <f>L907*K907</f>
        <v/>
      </c>
      <c r="Y907" s="50">
        <f>M907*K907</f>
        <v/>
      </c>
      <c r="Z907" s="50">
        <f>N907*K907</f>
        <v/>
      </c>
      <c r="AA907" s="50">
        <f>O907*K907</f>
        <v/>
      </c>
      <c r="AB907" s="50">
        <f>P907*K907</f>
        <v/>
      </c>
      <c r="AC907" s="50">
        <f>Q907*K907</f>
        <v/>
      </c>
      <c r="AD907" s="50">
        <f>R907*K907</f>
        <v/>
      </c>
      <c r="AE907" s="50">
        <f>S907*K907</f>
        <v/>
      </c>
      <c r="AF907" s="50">
        <f>T907*K907</f>
        <v/>
      </c>
      <c r="AG907" s="50">
        <f>U907*K907</f>
        <v/>
      </c>
      <c r="AH907" s="50">
        <f>V907*K907</f>
        <v/>
      </c>
      <c r="AI907" s="50">
        <f>W907*K907</f>
        <v/>
      </c>
    </row>
    <row r="908">
      <c r="A908" s="25" t="n"/>
      <c r="B908" s="45">
        <f>IF(A908="","",IFERROR(INDEX(Mitarbeiter!$B$6:$B$205,MATCH($A908,Mitarbeiter!$A$6:$A$205,0)),"?"))</f>
        <v/>
      </c>
      <c r="C908" s="46" t="n"/>
      <c r="D908" s="26" t="n"/>
      <c r="E908" s="26" t="n"/>
      <c r="F908" s="24">
        <f>IF(A908="","",SUM(L908:W908))</f>
        <v/>
      </c>
      <c r="G908" s="36">
        <f>IF(A908="","",SUM(X908:AI908))</f>
        <v/>
      </c>
      <c r="H908" s="8">
        <f>IF(A908="","",IF(ISNA(MATCH(A908,Mitarbeiter!$A$6:$A$205,0)),"Pers.-Nr. unbekannt",IF(D908="","Von fehlt",IF(AND(C908&lt;&gt;Einstellungen!$C$4,C908&lt;&gt;Einstellungen!$C$5),"Objekt fehlt",IF(J908&lt;D908,"Bis vor Von",IF(D908&lt;INDEX(Mitarbeiter!$C$6:$C$205,MATCH($A908,Mitarbeiter!$A$6:$A$205,0)),"vor Eintritt",IF(AND(INDEX(Mitarbeiter!$D$6:$D$205,MATCH($A908,Mitarbeiter!$A$6:$A$205,0))&lt;&gt;"",D908&gt;INDEX(Mitarbeiter!$D$6:$D$205,MATCH($A908,Mitarbeiter!$A$6:$A$205,0))),"nach Austritt",IF(E908="","offen","ok"))))))))</f>
        <v/>
      </c>
      <c r="J908" s="47">
        <f>IF(A908="","",IF(E908="",Einstellungen!$C$9,E908))</f>
        <v/>
      </c>
      <c r="K908" s="48">
        <f>IF(A908="",0,IFERROR(INDEX(Mitarbeiter!$F$6:$F$205,MATCH($A908,Mitarbeiter!$A$6:$A$205,0)),0))</f>
        <v/>
      </c>
      <c r="L908" s="49">
        <f>IF(OR(A908="",D908=""),0,MAX(0,NETWORKDAYS(MAX(D908,DATE(Einstellungen!$C$3,1,1)),MIN(J908,DATE(Einstellungen!$C$3,2,0)),Einstellungen!$F$13:$F$32)))</f>
        <v/>
      </c>
      <c r="M908" s="49">
        <f>IF(OR(A908="",D908=""),0,MAX(0,NETWORKDAYS(MAX(D908,DATE(Einstellungen!$C$3,2,1)),MIN(J908,DATE(Einstellungen!$C$3,3,0)),Einstellungen!$F$13:$F$32)))</f>
        <v/>
      </c>
      <c r="N908" s="49">
        <f>IF(OR(A908="",D908=""),0,MAX(0,NETWORKDAYS(MAX(D908,DATE(Einstellungen!$C$3,3,1)),MIN(J908,DATE(Einstellungen!$C$3,4,0)),Einstellungen!$F$13:$F$32)))</f>
        <v/>
      </c>
      <c r="O908" s="49">
        <f>IF(OR(A908="",D908=""),0,MAX(0,NETWORKDAYS(MAX(D908,DATE(Einstellungen!$C$3,4,1)),MIN(J908,DATE(Einstellungen!$C$3,5,0)),Einstellungen!$F$13:$F$32)))</f>
        <v/>
      </c>
      <c r="P908" s="49">
        <f>IF(OR(A908="",D908=""),0,MAX(0,NETWORKDAYS(MAX(D908,DATE(Einstellungen!$C$3,5,1)),MIN(J908,DATE(Einstellungen!$C$3,6,0)),Einstellungen!$F$13:$F$32)))</f>
        <v/>
      </c>
      <c r="Q908" s="49">
        <f>IF(OR(A908="",D908=""),0,MAX(0,NETWORKDAYS(MAX(D908,DATE(Einstellungen!$C$3,6,1)),MIN(J908,DATE(Einstellungen!$C$3,7,0)),Einstellungen!$F$13:$F$32)))</f>
        <v/>
      </c>
      <c r="R908" s="49">
        <f>IF(OR(A908="",D908=""),0,MAX(0,NETWORKDAYS(MAX(D908,DATE(Einstellungen!$C$3,7,1)),MIN(J908,DATE(Einstellungen!$C$3,8,0)),Einstellungen!$F$13:$F$32)))</f>
        <v/>
      </c>
      <c r="S908" s="49">
        <f>IF(OR(A908="",D908=""),0,MAX(0,NETWORKDAYS(MAX(D908,DATE(Einstellungen!$C$3,8,1)),MIN(J908,DATE(Einstellungen!$C$3,9,0)),Einstellungen!$F$13:$F$32)))</f>
        <v/>
      </c>
      <c r="T908" s="49">
        <f>IF(OR(A908="",D908=""),0,MAX(0,NETWORKDAYS(MAX(D908,DATE(Einstellungen!$C$3,9,1)),MIN(J908,DATE(Einstellungen!$C$3,10,0)),Einstellungen!$F$13:$F$32)))</f>
        <v/>
      </c>
      <c r="U908" s="49">
        <f>IF(OR(A908="",D908=""),0,MAX(0,NETWORKDAYS(MAX(D908,DATE(Einstellungen!$C$3,10,1)),MIN(J908,DATE(Einstellungen!$C$3,11,0)),Einstellungen!$F$13:$F$32)))</f>
        <v/>
      </c>
      <c r="V908" s="49">
        <f>IF(OR(A908="",D908=""),0,MAX(0,NETWORKDAYS(MAX(D908,DATE(Einstellungen!$C$3,11,1)),MIN(J908,DATE(Einstellungen!$C$3,12,0)),Einstellungen!$F$13:$F$32)))</f>
        <v/>
      </c>
      <c r="W908" s="49">
        <f>IF(OR(A908="",D908=""),0,MAX(0,NETWORKDAYS(MAX(D908,DATE(Einstellungen!$C$3,12,1)),MIN(J908,DATE(Einstellungen!$C$3,13,0)),Einstellungen!$F$13:$F$32)))</f>
        <v/>
      </c>
      <c r="X908" s="50">
        <f>L908*K908</f>
        <v/>
      </c>
      <c r="Y908" s="50">
        <f>M908*K908</f>
        <v/>
      </c>
      <c r="Z908" s="50">
        <f>N908*K908</f>
        <v/>
      </c>
      <c r="AA908" s="50">
        <f>O908*K908</f>
        <v/>
      </c>
      <c r="AB908" s="50">
        <f>P908*K908</f>
        <v/>
      </c>
      <c r="AC908" s="50">
        <f>Q908*K908</f>
        <v/>
      </c>
      <c r="AD908" s="50">
        <f>R908*K908</f>
        <v/>
      </c>
      <c r="AE908" s="50">
        <f>S908*K908</f>
        <v/>
      </c>
      <c r="AF908" s="50">
        <f>T908*K908</f>
        <v/>
      </c>
      <c r="AG908" s="50">
        <f>U908*K908</f>
        <v/>
      </c>
      <c r="AH908" s="50">
        <f>V908*K908</f>
        <v/>
      </c>
      <c r="AI908" s="50">
        <f>W908*K908</f>
        <v/>
      </c>
    </row>
    <row r="909">
      <c r="A909" s="25" t="n"/>
      <c r="B909" s="45">
        <f>IF(A909="","",IFERROR(INDEX(Mitarbeiter!$B$6:$B$205,MATCH($A909,Mitarbeiter!$A$6:$A$205,0)),"?"))</f>
        <v/>
      </c>
      <c r="C909" s="46" t="n"/>
      <c r="D909" s="26" t="n"/>
      <c r="E909" s="26" t="n"/>
      <c r="F909" s="24">
        <f>IF(A909="","",SUM(L909:W909))</f>
        <v/>
      </c>
      <c r="G909" s="36">
        <f>IF(A909="","",SUM(X909:AI909))</f>
        <v/>
      </c>
      <c r="H909" s="8">
        <f>IF(A909="","",IF(ISNA(MATCH(A909,Mitarbeiter!$A$6:$A$205,0)),"Pers.-Nr. unbekannt",IF(D909="","Von fehlt",IF(AND(C909&lt;&gt;Einstellungen!$C$4,C909&lt;&gt;Einstellungen!$C$5),"Objekt fehlt",IF(J909&lt;D909,"Bis vor Von",IF(D909&lt;INDEX(Mitarbeiter!$C$6:$C$205,MATCH($A909,Mitarbeiter!$A$6:$A$205,0)),"vor Eintritt",IF(AND(INDEX(Mitarbeiter!$D$6:$D$205,MATCH($A909,Mitarbeiter!$A$6:$A$205,0))&lt;&gt;"",D909&gt;INDEX(Mitarbeiter!$D$6:$D$205,MATCH($A909,Mitarbeiter!$A$6:$A$205,0))),"nach Austritt",IF(E909="","offen","ok"))))))))</f>
        <v/>
      </c>
      <c r="J909" s="47">
        <f>IF(A909="","",IF(E909="",Einstellungen!$C$9,E909))</f>
        <v/>
      </c>
      <c r="K909" s="48">
        <f>IF(A909="",0,IFERROR(INDEX(Mitarbeiter!$F$6:$F$205,MATCH($A909,Mitarbeiter!$A$6:$A$205,0)),0))</f>
        <v/>
      </c>
      <c r="L909" s="49">
        <f>IF(OR(A909="",D909=""),0,MAX(0,NETWORKDAYS(MAX(D909,DATE(Einstellungen!$C$3,1,1)),MIN(J909,DATE(Einstellungen!$C$3,2,0)),Einstellungen!$F$13:$F$32)))</f>
        <v/>
      </c>
      <c r="M909" s="49">
        <f>IF(OR(A909="",D909=""),0,MAX(0,NETWORKDAYS(MAX(D909,DATE(Einstellungen!$C$3,2,1)),MIN(J909,DATE(Einstellungen!$C$3,3,0)),Einstellungen!$F$13:$F$32)))</f>
        <v/>
      </c>
      <c r="N909" s="49">
        <f>IF(OR(A909="",D909=""),0,MAX(0,NETWORKDAYS(MAX(D909,DATE(Einstellungen!$C$3,3,1)),MIN(J909,DATE(Einstellungen!$C$3,4,0)),Einstellungen!$F$13:$F$32)))</f>
        <v/>
      </c>
      <c r="O909" s="49">
        <f>IF(OR(A909="",D909=""),0,MAX(0,NETWORKDAYS(MAX(D909,DATE(Einstellungen!$C$3,4,1)),MIN(J909,DATE(Einstellungen!$C$3,5,0)),Einstellungen!$F$13:$F$32)))</f>
        <v/>
      </c>
      <c r="P909" s="49">
        <f>IF(OR(A909="",D909=""),0,MAX(0,NETWORKDAYS(MAX(D909,DATE(Einstellungen!$C$3,5,1)),MIN(J909,DATE(Einstellungen!$C$3,6,0)),Einstellungen!$F$13:$F$32)))</f>
        <v/>
      </c>
      <c r="Q909" s="49">
        <f>IF(OR(A909="",D909=""),0,MAX(0,NETWORKDAYS(MAX(D909,DATE(Einstellungen!$C$3,6,1)),MIN(J909,DATE(Einstellungen!$C$3,7,0)),Einstellungen!$F$13:$F$32)))</f>
        <v/>
      </c>
      <c r="R909" s="49">
        <f>IF(OR(A909="",D909=""),0,MAX(0,NETWORKDAYS(MAX(D909,DATE(Einstellungen!$C$3,7,1)),MIN(J909,DATE(Einstellungen!$C$3,8,0)),Einstellungen!$F$13:$F$32)))</f>
        <v/>
      </c>
      <c r="S909" s="49">
        <f>IF(OR(A909="",D909=""),0,MAX(0,NETWORKDAYS(MAX(D909,DATE(Einstellungen!$C$3,8,1)),MIN(J909,DATE(Einstellungen!$C$3,9,0)),Einstellungen!$F$13:$F$32)))</f>
        <v/>
      </c>
      <c r="T909" s="49">
        <f>IF(OR(A909="",D909=""),0,MAX(0,NETWORKDAYS(MAX(D909,DATE(Einstellungen!$C$3,9,1)),MIN(J909,DATE(Einstellungen!$C$3,10,0)),Einstellungen!$F$13:$F$32)))</f>
        <v/>
      </c>
      <c r="U909" s="49">
        <f>IF(OR(A909="",D909=""),0,MAX(0,NETWORKDAYS(MAX(D909,DATE(Einstellungen!$C$3,10,1)),MIN(J909,DATE(Einstellungen!$C$3,11,0)),Einstellungen!$F$13:$F$32)))</f>
        <v/>
      </c>
      <c r="V909" s="49">
        <f>IF(OR(A909="",D909=""),0,MAX(0,NETWORKDAYS(MAX(D909,DATE(Einstellungen!$C$3,11,1)),MIN(J909,DATE(Einstellungen!$C$3,12,0)),Einstellungen!$F$13:$F$32)))</f>
        <v/>
      </c>
      <c r="W909" s="49">
        <f>IF(OR(A909="",D909=""),0,MAX(0,NETWORKDAYS(MAX(D909,DATE(Einstellungen!$C$3,12,1)),MIN(J909,DATE(Einstellungen!$C$3,13,0)),Einstellungen!$F$13:$F$32)))</f>
        <v/>
      </c>
      <c r="X909" s="50">
        <f>L909*K909</f>
        <v/>
      </c>
      <c r="Y909" s="50">
        <f>M909*K909</f>
        <v/>
      </c>
      <c r="Z909" s="50">
        <f>N909*K909</f>
        <v/>
      </c>
      <c r="AA909" s="50">
        <f>O909*K909</f>
        <v/>
      </c>
      <c r="AB909" s="50">
        <f>P909*K909</f>
        <v/>
      </c>
      <c r="AC909" s="50">
        <f>Q909*K909</f>
        <v/>
      </c>
      <c r="AD909" s="50">
        <f>R909*K909</f>
        <v/>
      </c>
      <c r="AE909" s="50">
        <f>S909*K909</f>
        <v/>
      </c>
      <c r="AF909" s="50">
        <f>T909*K909</f>
        <v/>
      </c>
      <c r="AG909" s="50">
        <f>U909*K909</f>
        <v/>
      </c>
      <c r="AH909" s="50">
        <f>V909*K909</f>
        <v/>
      </c>
      <c r="AI909" s="50">
        <f>W909*K909</f>
        <v/>
      </c>
    </row>
    <row r="910">
      <c r="A910" s="25" t="n"/>
      <c r="B910" s="45">
        <f>IF(A910="","",IFERROR(INDEX(Mitarbeiter!$B$6:$B$205,MATCH($A910,Mitarbeiter!$A$6:$A$205,0)),"?"))</f>
        <v/>
      </c>
      <c r="C910" s="46" t="n"/>
      <c r="D910" s="26" t="n"/>
      <c r="E910" s="26" t="n"/>
      <c r="F910" s="24">
        <f>IF(A910="","",SUM(L910:W910))</f>
        <v/>
      </c>
      <c r="G910" s="36">
        <f>IF(A910="","",SUM(X910:AI910))</f>
        <v/>
      </c>
      <c r="H910" s="8">
        <f>IF(A910="","",IF(ISNA(MATCH(A910,Mitarbeiter!$A$6:$A$205,0)),"Pers.-Nr. unbekannt",IF(D910="","Von fehlt",IF(AND(C910&lt;&gt;Einstellungen!$C$4,C910&lt;&gt;Einstellungen!$C$5),"Objekt fehlt",IF(J910&lt;D910,"Bis vor Von",IF(D910&lt;INDEX(Mitarbeiter!$C$6:$C$205,MATCH($A910,Mitarbeiter!$A$6:$A$205,0)),"vor Eintritt",IF(AND(INDEX(Mitarbeiter!$D$6:$D$205,MATCH($A910,Mitarbeiter!$A$6:$A$205,0))&lt;&gt;"",D910&gt;INDEX(Mitarbeiter!$D$6:$D$205,MATCH($A910,Mitarbeiter!$A$6:$A$205,0))),"nach Austritt",IF(E910="","offen","ok"))))))))</f>
        <v/>
      </c>
      <c r="J910" s="47">
        <f>IF(A910="","",IF(E910="",Einstellungen!$C$9,E910))</f>
        <v/>
      </c>
      <c r="K910" s="48">
        <f>IF(A910="",0,IFERROR(INDEX(Mitarbeiter!$F$6:$F$205,MATCH($A910,Mitarbeiter!$A$6:$A$205,0)),0))</f>
        <v/>
      </c>
      <c r="L910" s="49">
        <f>IF(OR(A910="",D910=""),0,MAX(0,NETWORKDAYS(MAX(D910,DATE(Einstellungen!$C$3,1,1)),MIN(J910,DATE(Einstellungen!$C$3,2,0)),Einstellungen!$F$13:$F$32)))</f>
        <v/>
      </c>
      <c r="M910" s="49">
        <f>IF(OR(A910="",D910=""),0,MAX(0,NETWORKDAYS(MAX(D910,DATE(Einstellungen!$C$3,2,1)),MIN(J910,DATE(Einstellungen!$C$3,3,0)),Einstellungen!$F$13:$F$32)))</f>
        <v/>
      </c>
      <c r="N910" s="49">
        <f>IF(OR(A910="",D910=""),0,MAX(0,NETWORKDAYS(MAX(D910,DATE(Einstellungen!$C$3,3,1)),MIN(J910,DATE(Einstellungen!$C$3,4,0)),Einstellungen!$F$13:$F$32)))</f>
        <v/>
      </c>
      <c r="O910" s="49">
        <f>IF(OR(A910="",D910=""),0,MAX(0,NETWORKDAYS(MAX(D910,DATE(Einstellungen!$C$3,4,1)),MIN(J910,DATE(Einstellungen!$C$3,5,0)),Einstellungen!$F$13:$F$32)))</f>
        <v/>
      </c>
      <c r="P910" s="49">
        <f>IF(OR(A910="",D910=""),0,MAX(0,NETWORKDAYS(MAX(D910,DATE(Einstellungen!$C$3,5,1)),MIN(J910,DATE(Einstellungen!$C$3,6,0)),Einstellungen!$F$13:$F$32)))</f>
        <v/>
      </c>
      <c r="Q910" s="49">
        <f>IF(OR(A910="",D910=""),0,MAX(0,NETWORKDAYS(MAX(D910,DATE(Einstellungen!$C$3,6,1)),MIN(J910,DATE(Einstellungen!$C$3,7,0)),Einstellungen!$F$13:$F$32)))</f>
        <v/>
      </c>
      <c r="R910" s="49">
        <f>IF(OR(A910="",D910=""),0,MAX(0,NETWORKDAYS(MAX(D910,DATE(Einstellungen!$C$3,7,1)),MIN(J910,DATE(Einstellungen!$C$3,8,0)),Einstellungen!$F$13:$F$32)))</f>
        <v/>
      </c>
      <c r="S910" s="49">
        <f>IF(OR(A910="",D910=""),0,MAX(0,NETWORKDAYS(MAX(D910,DATE(Einstellungen!$C$3,8,1)),MIN(J910,DATE(Einstellungen!$C$3,9,0)),Einstellungen!$F$13:$F$32)))</f>
        <v/>
      </c>
      <c r="T910" s="49">
        <f>IF(OR(A910="",D910=""),0,MAX(0,NETWORKDAYS(MAX(D910,DATE(Einstellungen!$C$3,9,1)),MIN(J910,DATE(Einstellungen!$C$3,10,0)),Einstellungen!$F$13:$F$32)))</f>
        <v/>
      </c>
      <c r="U910" s="49">
        <f>IF(OR(A910="",D910=""),0,MAX(0,NETWORKDAYS(MAX(D910,DATE(Einstellungen!$C$3,10,1)),MIN(J910,DATE(Einstellungen!$C$3,11,0)),Einstellungen!$F$13:$F$32)))</f>
        <v/>
      </c>
      <c r="V910" s="49">
        <f>IF(OR(A910="",D910=""),0,MAX(0,NETWORKDAYS(MAX(D910,DATE(Einstellungen!$C$3,11,1)),MIN(J910,DATE(Einstellungen!$C$3,12,0)),Einstellungen!$F$13:$F$32)))</f>
        <v/>
      </c>
      <c r="W910" s="49">
        <f>IF(OR(A910="",D910=""),0,MAX(0,NETWORKDAYS(MAX(D910,DATE(Einstellungen!$C$3,12,1)),MIN(J910,DATE(Einstellungen!$C$3,13,0)),Einstellungen!$F$13:$F$32)))</f>
        <v/>
      </c>
      <c r="X910" s="50">
        <f>L910*K910</f>
        <v/>
      </c>
      <c r="Y910" s="50">
        <f>M910*K910</f>
        <v/>
      </c>
      <c r="Z910" s="50">
        <f>N910*K910</f>
        <v/>
      </c>
      <c r="AA910" s="50">
        <f>O910*K910</f>
        <v/>
      </c>
      <c r="AB910" s="50">
        <f>P910*K910</f>
        <v/>
      </c>
      <c r="AC910" s="50">
        <f>Q910*K910</f>
        <v/>
      </c>
      <c r="AD910" s="50">
        <f>R910*K910</f>
        <v/>
      </c>
      <c r="AE910" s="50">
        <f>S910*K910</f>
        <v/>
      </c>
      <c r="AF910" s="50">
        <f>T910*K910</f>
        <v/>
      </c>
      <c r="AG910" s="50">
        <f>U910*K910</f>
        <v/>
      </c>
      <c r="AH910" s="50">
        <f>V910*K910</f>
        <v/>
      </c>
      <c r="AI910" s="50">
        <f>W910*K910</f>
        <v/>
      </c>
    </row>
    <row r="911">
      <c r="A911" s="25" t="n"/>
      <c r="B911" s="45">
        <f>IF(A911="","",IFERROR(INDEX(Mitarbeiter!$B$6:$B$205,MATCH($A911,Mitarbeiter!$A$6:$A$205,0)),"?"))</f>
        <v/>
      </c>
      <c r="C911" s="46" t="n"/>
      <c r="D911" s="26" t="n"/>
      <c r="E911" s="26" t="n"/>
      <c r="F911" s="24">
        <f>IF(A911="","",SUM(L911:W911))</f>
        <v/>
      </c>
      <c r="G911" s="36">
        <f>IF(A911="","",SUM(X911:AI911))</f>
        <v/>
      </c>
      <c r="H911" s="8">
        <f>IF(A911="","",IF(ISNA(MATCH(A911,Mitarbeiter!$A$6:$A$205,0)),"Pers.-Nr. unbekannt",IF(D911="","Von fehlt",IF(AND(C911&lt;&gt;Einstellungen!$C$4,C911&lt;&gt;Einstellungen!$C$5),"Objekt fehlt",IF(J911&lt;D911,"Bis vor Von",IF(D911&lt;INDEX(Mitarbeiter!$C$6:$C$205,MATCH($A911,Mitarbeiter!$A$6:$A$205,0)),"vor Eintritt",IF(AND(INDEX(Mitarbeiter!$D$6:$D$205,MATCH($A911,Mitarbeiter!$A$6:$A$205,0))&lt;&gt;"",D911&gt;INDEX(Mitarbeiter!$D$6:$D$205,MATCH($A911,Mitarbeiter!$A$6:$A$205,0))),"nach Austritt",IF(E911="","offen","ok"))))))))</f>
        <v/>
      </c>
      <c r="J911" s="47">
        <f>IF(A911="","",IF(E911="",Einstellungen!$C$9,E911))</f>
        <v/>
      </c>
      <c r="K911" s="48">
        <f>IF(A911="",0,IFERROR(INDEX(Mitarbeiter!$F$6:$F$205,MATCH($A911,Mitarbeiter!$A$6:$A$205,0)),0))</f>
        <v/>
      </c>
      <c r="L911" s="49">
        <f>IF(OR(A911="",D911=""),0,MAX(0,NETWORKDAYS(MAX(D911,DATE(Einstellungen!$C$3,1,1)),MIN(J911,DATE(Einstellungen!$C$3,2,0)),Einstellungen!$F$13:$F$32)))</f>
        <v/>
      </c>
      <c r="M911" s="49">
        <f>IF(OR(A911="",D911=""),0,MAX(0,NETWORKDAYS(MAX(D911,DATE(Einstellungen!$C$3,2,1)),MIN(J911,DATE(Einstellungen!$C$3,3,0)),Einstellungen!$F$13:$F$32)))</f>
        <v/>
      </c>
      <c r="N911" s="49">
        <f>IF(OR(A911="",D911=""),0,MAX(0,NETWORKDAYS(MAX(D911,DATE(Einstellungen!$C$3,3,1)),MIN(J911,DATE(Einstellungen!$C$3,4,0)),Einstellungen!$F$13:$F$32)))</f>
        <v/>
      </c>
      <c r="O911" s="49">
        <f>IF(OR(A911="",D911=""),0,MAX(0,NETWORKDAYS(MAX(D911,DATE(Einstellungen!$C$3,4,1)),MIN(J911,DATE(Einstellungen!$C$3,5,0)),Einstellungen!$F$13:$F$32)))</f>
        <v/>
      </c>
      <c r="P911" s="49">
        <f>IF(OR(A911="",D911=""),0,MAX(0,NETWORKDAYS(MAX(D911,DATE(Einstellungen!$C$3,5,1)),MIN(J911,DATE(Einstellungen!$C$3,6,0)),Einstellungen!$F$13:$F$32)))</f>
        <v/>
      </c>
      <c r="Q911" s="49">
        <f>IF(OR(A911="",D911=""),0,MAX(0,NETWORKDAYS(MAX(D911,DATE(Einstellungen!$C$3,6,1)),MIN(J911,DATE(Einstellungen!$C$3,7,0)),Einstellungen!$F$13:$F$32)))</f>
        <v/>
      </c>
      <c r="R911" s="49">
        <f>IF(OR(A911="",D911=""),0,MAX(0,NETWORKDAYS(MAX(D911,DATE(Einstellungen!$C$3,7,1)),MIN(J911,DATE(Einstellungen!$C$3,8,0)),Einstellungen!$F$13:$F$32)))</f>
        <v/>
      </c>
      <c r="S911" s="49">
        <f>IF(OR(A911="",D911=""),0,MAX(0,NETWORKDAYS(MAX(D911,DATE(Einstellungen!$C$3,8,1)),MIN(J911,DATE(Einstellungen!$C$3,9,0)),Einstellungen!$F$13:$F$32)))</f>
        <v/>
      </c>
      <c r="T911" s="49">
        <f>IF(OR(A911="",D911=""),0,MAX(0,NETWORKDAYS(MAX(D911,DATE(Einstellungen!$C$3,9,1)),MIN(J911,DATE(Einstellungen!$C$3,10,0)),Einstellungen!$F$13:$F$32)))</f>
        <v/>
      </c>
      <c r="U911" s="49">
        <f>IF(OR(A911="",D911=""),0,MAX(0,NETWORKDAYS(MAX(D911,DATE(Einstellungen!$C$3,10,1)),MIN(J911,DATE(Einstellungen!$C$3,11,0)),Einstellungen!$F$13:$F$32)))</f>
        <v/>
      </c>
      <c r="V911" s="49">
        <f>IF(OR(A911="",D911=""),0,MAX(0,NETWORKDAYS(MAX(D911,DATE(Einstellungen!$C$3,11,1)),MIN(J911,DATE(Einstellungen!$C$3,12,0)),Einstellungen!$F$13:$F$32)))</f>
        <v/>
      </c>
      <c r="W911" s="49">
        <f>IF(OR(A911="",D911=""),0,MAX(0,NETWORKDAYS(MAX(D911,DATE(Einstellungen!$C$3,12,1)),MIN(J911,DATE(Einstellungen!$C$3,13,0)),Einstellungen!$F$13:$F$32)))</f>
        <v/>
      </c>
      <c r="X911" s="50">
        <f>L911*K911</f>
        <v/>
      </c>
      <c r="Y911" s="50">
        <f>M911*K911</f>
        <v/>
      </c>
      <c r="Z911" s="50">
        <f>N911*K911</f>
        <v/>
      </c>
      <c r="AA911" s="50">
        <f>O911*K911</f>
        <v/>
      </c>
      <c r="AB911" s="50">
        <f>P911*K911</f>
        <v/>
      </c>
      <c r="AC911" s="50">
        <f>Q911*K911</f>
        <v/>
      </c>
      <c r="AD911" s="50">
        <f>R911*K911</f>
        <v/>
      </c>
      <c r="AE911" s="50">
        <f>S911*K911</f>
        <v/>
      </c>
      <c r="AF911" s="50">
        <f>T911*K911</f>
        <v/>
      </c>
      <c r="AG911" s="50">
        <f>U911*K911</f>
        <v/>
      </c>
      <c r="AH911" s="50">
        <f>V911*K911</f>
        <v/>
      </c>
      <c r="AI911" s="50">
        <f>W911*K911</f>
        <v/>
      </c>
    </row>
    <row r="912">
      <c r="A912" s="25" t="n"/>
      <c r="B912" s="45">
        <f>IF(A912="","",IFERROR(INDEX(Mitarbeiter!$B$6:$B$205,MATCH($A912,Mitarbeiter!$A$6:$A$205,0)),"?"))</f>
        <v/>
      </c>
      <c r="C912" s="46" t="n"/>
      <c r="D912" s="26" t="n"/>
      <c r="E912" s="26" t="n"/>
      <c r="F912" s="24">
        <f>IF(A912="","",SUM(L912:W912))</f>
        <v/>
      </c>
      <c r="G912" s="36">
        <f>IF(A912="","",SUM(X912:AI912))</f>
        <v/>
      </c>
      <c r="H912" s="8">
        <f>IF(A912="","",IF(ISNA(MATCH(A912,Mitarbeiter!$A$6:$A$205,0)),"Pers.-Nr. unbekannt",IF(D912="","Von fehlt",IF(AND(C912&lt;&gt;Einstellungen!$C$4,C912&lt;&gt;Einstellungen!$C$5),"Objekt fehlt",IF(J912&lt;D912,"Bis vor Von",IF(D912&lt;INDEX(Mitarbeiter!$C$6:$C$205,MATCH($A912,Mitarbeiter!$A$6:$A$205,0)),"vor Eintritt",IF(AND(INDEX(Mitarbeiter!$D$6:$D$205,MATCH($A912,Mitarbeiter!$A$6:$A$205,0))&lt;&gt;"",D912&gt;INDEX(Mitarbeiter!$D$6:$D$205,MATCH($A912,Mitarbeiter!$A$6:$A$205,0))),"nach Austritt",IF(E912="","offen","ok"))))))))</f>
        <v/>
      </c>
      <c r="J912" s="47">
        <f>IF(A912="","",IF(E912="",Einstellungen!$C$9,E912))</f>
        <v/>
      </c>
      <c r="K912" s="48">
        <f>IF(A912="",0,IFERROR(INDEX(Mitarbeiter!$F$6:$F$205,MATCH($A912,Mitarbeiter!$A$6:$A$205,0)),0))</f>
        <v/>
      </c>
      <c r="L912" s="49">
        <f>IF(OR(A912="",D912=""),0,MAX(0,NETWORKDAYS(MAX(D912,DATE(Einstellungen!$C$3,1,1)),MIN(J912,DATE(Einstellungen!$C$3,2,0)),Einstellungen!$F$13:$F$32)))</f>
        <v/>
      </c>
      <c r="M912" s="49">
        <f>IF(OR(A912="",D912=""),0,MAX(0,NETWORKDAYS(MAX(D912,DATE(Einstellungen!$C$3,2,1)),MIN(J912,DATE(Einstellungen!$C$3,3,0)),Einstellungen!$F$13:$F$32)))</f>
        <v/>
      </c>
      <c r="N912" s="49">
        <f>IF(OR(A912="",D912=""),0,MAX(0,NETWORKDAYS(MAX(D912,DATE(Einstellungen!$C$3,3,1)),MIN(J912,DATE(Einstellungen!$C$3,4,0)),Einstellungen!$F$13:$F$32)))</f>
        <v/>
      </c>
      <c r="O912" s="49">
        <f>IF(OR(A912="",D912=""),0,MAX(0,NETWORKDAYS(MAX(D912,DATE(Einstellungen!$C$3,4,1)),MIN(J912,DATE(Einstellungen!$C$3,5,0)),Einstellungen!$F$13:$F$32)))</f>
        <v/>
      </c>
      <c r="P912" s="49">
        <f>IF(OR(A912="",D912=""),0,MAX(0,NETWORKDAYS(MAX(D912,DATE(Einstellungen!$C$3,5,1)),MIN(J912,DATE(Einstellungen!$C$3,6,0)),Einstellungen!$F$13:$F$32)))</f>
        <v/>
      </c>
      <c r="Q912" s="49">
        <f>IF(OR(A912="",D912=""),0,MAX(0,NETWORKDAYS(MAX(D912,DATE(Einstellungen!$C$3,6,1)),MIN(J912,DATE(Einstellungen!$C$3,7,0)),Einstellungen!$F$13:$F$32)))</f>
        <v/>
      </c>
      <c r="R912" s="49">
        <f>IF(OR(A912="",D912=""),0,MAX(0,NETWORKDAYS(MAX(D912,DATE(Einstellungen!$C$3,7,1)),MIN(J912,DATE(Einstellungen!$C$3,8,0)),Einstellungen!$F$13:$F$32)))</f>
        <v/>
      </c>
      <c r="S912" s="49">
        <f>IF(OR(A912="",D912=""),0,MAX(0,NETWORKDAYS(MAX(D912,DATE(Einstellungen!$C$3,8,1)),MIN(J912,DATE(Einstellungen!$C$3,9,0)),Einstellungen!$F$13:$F$32)))</f>
        <v/>
      </c>
      <c r="T912" s="49">
        <f>IF(OR(A912="",D912=""),0,MAX(0,NETWORKDAYS(MAX(D912,DATE(Einstellungen!$C$3,9,1)),MIN(J912,DATE(Einstellungen!$C$3,10,0)),Einstellungen!$F$13:$F$32)))</f>
        <v/>
      </c>
      <c r="U912" s="49">
        <f>IF(OR(A912="",D912=""),0,MAX(0,NETWORKDAYS(MAX(D912,DATE(Einstellungen!$C$3,10,1)),MIN(J912,DATE(Einstellungen!$C$3,11,0)),Einstellungen!$F$13:$F$32)))</f>
        <v/>
      </c>
      <c r="V912" s="49">
        <f>IF(OR(A912="",D912=""),0,MAX(0,NETWORKDAYS(MAX(D912,DATE(Einstellungen!$C$3,11,1)),MIN(J912,DATE(Einstellungen!$C$3,12,0)),Einstellungen!$F$13:$F$32)))</f>
        <v/>
      </c>
      <c r="W912" s="49">
        <f>IF(OR(A912="",D912=""),0,MAX(0,NETWORKDAYS(MAX(D912,DATE(Einstellungen!$C$3,12,1)),MIN(J912,DATE(Einstellungen!$C$3,13,0)),Einstellungen!$F$13:$F$32)))</f>
        <v/>
      </c>
      <c r="X912" s="50">
        <f>L912*K912</f>
        <v/>
      </c>
      <c r="Y912" s="50">
        <f>M912*K912</f>
        <v/>
      </c>
      <c r="Z912" s="50">
        <f>N912*K912</f>
        <v/>
      </c>
      <c r="AA912" s="50">
        <f>O912*K912</f>
        <v/>
      </c>
      <c r="AB912" s="50">
        <f>P912*K912</f>
        <v/>
      </c>
      <c r="AC912" s="50">
        <f>Q912*K912</f>
        <v/>
      </c>
      <c r="AD912" s="50">
        <f>R912*K912</f>
        <v/>
      </c>
      <c r="AE912" s="50">
        <f>S912*K912</f>
        <v/>
      </c>
      <c r="AF912" s="50">
        <f>T912*K912</f>
        <v/>
      </c>
      <c r="AG912" s="50">
        <f>U912*K912</f>
        <v/>
      </c>
      <c r="AH912" s="50">
        <f>V912*K912</f>
        <v/>
      </c>
      <c r="AI912" s="50">
        <f>W912*K912</f>
        <v/>
      </c>
    </row>
    <row r="913">
      <c r="A913" s="25" t="n"/>
      <c r="B913" s="45">
        <f>IF(A913="","",IFERROR(INDEX(Mitarbeiter!$B$6:$B$205,MATCH($A913,Mitarbeiter!$A$6:$A$205,0)),"?"))</f>
        <v/>
      </c>
      <c r="C913" s="46" t="n"/>
      <c r="D913" s="26" t="n"/>
      <c r="E913" s="26" t="n"/>
      <c r="F913" s="24">
        <f>IF(A913="","",SUM(L913:W913))</f>
        <v/>
      </c>
      <c r="G913" s="36">
        <f>IF(A913="","",SUM(X913:AI913))</f>
        <v/>
      </c>
      <c r="H913" s="8">
        <f>IF(A913="","",IF(ISNA(MATCH(A913,Mitarbeiter!$A$6:$A$205,0)),"Pers.-Nr. unbekannt",IF(D913="","Von fehlt",IF(AND(C913&lt;&gt;Einstellungen!$C$4,C913&lt;&gt;Einstellungen!$C$5),"Objekt fehlt",IF(J913&lt;D913,"Bis vor Von",IF(D913&lt;INDEX(Mitarbeiter!$C$6:$C$205,MATCH($A913,Mitarbeiter!$A$6:$A$205,0)),"vor Eintritt",IF(AND(INDEX(Mitarbeiter!$D$6:$D$205,MATCH($A913,Mitarbeiter!$A$6:$A$205,0))&lt;&gt;"",D913&gt;INDEX(Mitarbeiter!$D$6:$D$205,MATCH($A913,Mitarbeiter!$A$6:$A$205,0))),"nach Austritt",IF(E913="","offen","ok"))))))))</f>
        <v/>
      </c>
      <c r="J913" s="47">
        <f>IF(A913="","",IF(E913="",Einstellungen!$C$9,E913))</f>
        <v/>
      </c>
      <c r="K913" s="48">
        <f>IF(A913="",0,IFERROR(INDEX(Mitarbeiter!$F$6:$F$205,MATCH($A913,Mitarbeiter!$A$6:$A$205,0)),0))</f>
        <v/>
      </c>
      <c r="L913" s="49">
        <f>IF(OR(A913="",D913=""),0,MAX(0,NETWORKDAYS(MAX(D913,DATE(Einstellungen!$C$3,1,1)),MIN(J913,DATE(Einstellungen!$C$3,2,0)),Einstellungen!$F$13:$F$32)))</f>
        <v/>
      </c>
      <c r="M913" s="49">
        <f>IF(OR(A913="",D913=""),0,MAX(0,NETWORKDAYS(MAX(D913,DATE(Einstellungen!$C$3,2,1)),MIN(J913,DATE(Einstellungen!$C$3,3,0)),Einstellungen!$F$13:$F$32)))</f>
        <v/>
      </c>
      <c r="N913" s="49">
        <f>IF(OR(A913="",D913=""),0,MAX(0,NETWORKDAYS(MAX(D913,DATE(Einstellungen!$C$3,3,1)),MIN(J913,DATE(Einstellungen!$C$3,4,0)),Einstellungen!$F$13:$F$32)))</f>
        <v/>
      </c>
      <c r="O913" s="49">
        <f>IF(OR(A913="",D913=""),0,MAX(0,NETWORKDAYS(MAX(D913,DATE(Einstellungen!$C$3,4,1)),MIN(J913,DATE(Einstellungen!$C$3,5,0)),Einstellungen!$F$13:$F$32)))</f>
        <v/>
      </c>
      <c r="P913" s="49">
        <f>IF(OR(A913="",D913=""),0,MAX(0,NETWORKDAYS(MAX(D913,DATE(Einstellungen!$C$3,5,1)),MIN(J913,DATE(Einstellungen!$C$3,6,0)),Einstellungen!$F$13:$F$32)))</f>
        <v/>
      </c>
      <c r="Q913" s="49">
        <f>IF(OR(A913="",D913=""),0,MAX(0,NETWORKDAYS(MAX(D913,DATE(Einstellungen!$C$3,6,1)),MIN(J913,DATE(Einstellungen!$C$3,7,0)),Einstellungen!$F$13:$F$32)))</f>
        <v/>
      </c>
      <c r="R913" s="49">
        <f>IF(OR(A913="",D913=""),0,MAX(0,NETWORKDAYS(MAX(D913,DATE(Einstellungen!$C$3,7,1)),MIN(J913,DATE(Einstellungen!$C$3,8,0)),Einstellungen!$F$13:$F$32)))</f>
        <v/>
      </c>
      <c r="S913" s="49">
        <f>IF(OR(A913="",D913=""),0,MAX(0,NETWORKDAYS(MAX(D913,DATE(Einstellungen!$C$3,8,1)),MIN(J913,DATE(Einstellungen!$C$3,9,0)),Einstellungen!$F$13:$F$32)))</f>
        <v/>
      </c>
      <c r="T913" s="49">
        <f>IF(OR(A913="",D913=""),0,MAX(0,NETWORKDAYS(MAX(D913,DATE(Einstellungen!$C$3,9,1)),MIN(J913,DATE(Einstellungen!$C$3,10,0)),Einstellungen!$F$13:$F$32)))</f>
        <v/>
      </c>
      <c r="U913" s="49">
        <f>IF(OR(A913="",D913=""),0,MAX(0,NETWORKDAYS(MAX(D913,DATE(Einstellungen!$C$3,10,1)),MIN(J913,DATE(Einstellungen!$C$3,11,0)),Einstellungen!$F$13:$F$32)))</f>
        <v/>
      </c>
      <c r="V913" s="49">
        <f>IF(OR(A913="",D913=""),0,MAX(0,NETWORKDAYS(MAX(D913,DATE(Einstellungen!$C$3,11,1)),MIN(J913,DATE(Einstellungen!$C$3,12,0)),Einstellungen!$F$13:$F$32)))</f>
        <v/>
      </c>
      <c r="W913" s="49">
        <f>IF(OR(A913="",D913=""),0,MAX(0,NETWORKDAYS(MAX(D913,DATE(Einstellungen!$C$3,12,1)),MIN(J913,DATE(Einstellungen!$C$3,13,0)),Einstellungen!$F$13:$F$32)))</f>
        <v/>
      </c>
      <c r="X913" s="50">
        <f>L913*K913</f>
        <v/>
      </c>
      <c r="Y913" s="50">
        <f>M913*K913</f>
        <v/>
      </c>
      <c r="Z913" s="50">
        <f>N913*K913</f>
        <v/>
      </c>
      <c r="AA913" s="50">
        <f>O913*K913</f>
        <v/>
      </c>
      <c r="AB913" s="50">
        <f>P913*K913</f>
        <v/>
      </c>
      <c r="AC913" s="50">
        <f>Q913*K913</f>
        <v/>
      </c>
      <c r="AD913" s="50">
        <f>R913*K913</f>
        <v/>
      </c>
      <c r="AE913" s="50">
        <f>S913*K913</f>
        <v/>
      </c>
      <c r="AF913" s="50">
        <f>T913*K913</f>
        <v/>
      </c>
      <c r="AG913" s="50">
        <f>U913*K913</f>
        <v/>
      </c>
      <c r="AH913" s="50">
        <f>V913*K913</f>
        <v/>
      </c>
      <c r="AI913" s="50">
        <f>W913*K913</f>
        <v/>
      </c>
    </row>
    <row r="914">
      <c r="A914" s="25" t="n"/>
      <c r="B914" s="45">
        <f>IF(A914="","",IFERROR(INDEX(Mitarbeiter!$B$6:$B$205,MATCH($A914,Mitarbeiter!$A$6:$A$205,0)),"?"))</f>
        <v/>
      </c>
      <c r="C914" s="46" t="n"/>
      <c r="D914" s="26" t="n"/>
      <c r="E914" s="26" t="n"/>
      <c r="F914" s="24">
        <f>IF(A914="","",SUM(L914:W914))</f>
        <v/>
      </c>
      <c r="G914" s="36">
        <f>IF(A914="","",SUM(X914:AI914))</f>
        <v/>
      </c>
      <c r="H914" s="8">
        <f>IF(A914="","",IF(ISNA(MATCH(A914,Mitarbeiter!$A$6:$A$205,0)),"Pers.-Nr. unbekannt",IF(D914="","Von fehlt",IF(AND(C914&lt;&gt;Einstellungen!$C$4,C914&lt;&gt;Einstellungen!$C$5),"Objekt fehlt",IF(J914&lt;D914,"Bis vor Von",IF(D914&lt;INDEX(Mitarbeiter!$C$6:$C$205,MATCH($A914,Mitarbeiter!$A$6:$A$205,0)),"vor Eintritt",IF(AND(INDEX(Mitarbeiter!$D$6:$D$205,MATCH($A914,Mitarbeiter!$A$6:$A$205,0))&lt;&gt;"",D914&gt;INDEX(Mitarbeiter!$D$6:$D$205,MATCH($A914,Mitarbeiter!$A$6:$A$205,0))),"nach Austritt",IF(E914="","offen","ok"))))))))</f>
        <v/>
      </c>
      <c r="J914" s="47">
        <f>IF(A914="","",IF(E914="",Einstellungen!$C$9,E914))</f>
        <v/>
      </c>
      <c r="K914" s="48">
        <f>IF(A914="",0,IFERROR(INDEX(Mitarbeiter!$F$6:$F$205,MATCH($A914,Mitarbeiter!$A$6:$A$205,0)),0))</f>
        <v/>
      </c>
      <c r="L914" s="49">
        <f>IF(OR(A914="",D914=""),0,MAX(0,NETWORKDAYS(MAX(D914,DATE(Einstellungen!$C$3,1,1)),MIN(J914,DATE(Einstellungen!$C$3,2,0)),Einstellungen!$F$13:$F$32)))</f>
        <v/>
      </c>
      <c r="M914" s="49">
        <f>IF(OR(A914="",D914=""),0,MAX(0,NETWORKDAYS(MAX(D914,DATE(Einstellungen!$C$3,2,1)),MIN(J914,DATE(Einstellungen!$C$3,3,0)),Einstellungen!$F$13:$F$32)))</f>
        <v/>
      </c>
      <c r="N914" s="49">
        <f>IF(OR(A914="",D914=""),0,MAX(0,NETWORKDAYS(MAX(D914,DATE(Einstellungen!$C$3,3,1)),MIN(J914,DATE(Einstellungen!$C$3,4,0)),Einstellungen!$F$13:$F$32)))</f>
        <v/>
      </c>
      <c r="O914" s="49">
        <f>IF(OR(A914="",D914=""),0,MAX(0,NETWORKDAYS(MAX(D914,DATE(Einstellungen!$C$3,4,1)),MIN(J914,DATE(Einstellungen!$C$3,5,0)),Einstellungen!$F$13:$F$32)))</f>
        <v/>
      </c>
      <c r="P914" s="49">
        <f>IF(OR(A914="",D914=""),0,MAX(0,NETWORKDAYS(MAX(D914,DATE(Einstellungen!$C$3,5,1)),MIN(J914,DATE(Einstellungen!$C$3,6,0)),Einstellungen!$F$13:$F$32)))</f>
        <v/>
      </c>
      <c r="Q914" s="49">
        <f>IF(OR(A914="",D914=""),0,MAX(0,NETWORKDAYS(MAX(D914,DATE(Einstellungen!$C$3,6,1)),MIN(J914,DATE(Einstellungen!$C$3,7,0)),Einstellungen!$F$13:$F$32)))</f>
        <v/>
      </c>
      <c r="R914" s="49">
        <f>IF(OR(A914="",D914=""),0,MAX(0,NETWORKDAYS(MAX(D914,DATE(Einstellungen!$C$3,7,1)),MIN(J914,DATE(Einstellungen!$C$3,8,0)),Einstellungen!$F$13:$F$32)))</f>
        <v/>
      </c>
      <c r="S914" s="49">
        <f>IF(OR(A914="",D914=""),0,MAX(0,NETWORKDAYS(MAX(D914,DATE(Einstellungen!$C$3,8,1)),MIN(J914,DATE(Einstellungen!$C$3,9,0)),Einstellungen!$F$13:$F$32)))</f>
        <v/>
      </c>
      <c r="T914" s="49">
        <f>IF(OR(A914="",D914=""),0,MAX(0,NETWORKDAYS(MAX(D914,DATE(Einstellungen!$C$3,9,1)),MIN(J914,DATE(Einstellungen!$C$3,10,0)),Einstellungen!$F$13:$F$32)))</f>
        <v/>
      </c>
      <c r="U914" s="49">
        <f>IF(OR(A914="",D914=""),0,MAX(0,NETWORKDAYS(MAX(D914,DATE(Einstellungen!$C$3,10,1)),MIN(J914,DATE(Einstellungen!$C$3,11,0)),Einstellungen!$F$13:$F$32)))</f>
        <v/>
      </c>
      <c r="V914" s="49">
        <f>IF(OR(A914="",D914=""),0,MAX(0,NETWORKDAYS(MAX(D914,DATE(Einstellungen!$C$3,11,1)),MIN(J914,DATE(Einstellungen!$C$3,12,0)),Einstellungen!$F$13:$F$32)))</f>
        <v/>
      </c>
      <c r="W914" s="49">
        <f>IF(OR(A914="",D914=""),0,MAX(0,NETWORKDAYS(MAX(D914,DATE(Einstellungen!$C$3,12,1)),MIN(J914,DATE(Einstellungen!$C$3,13,0)),Einstellungen!$F$13:$F$32)))</f>
        <v/>
      </c>
      <c r="X914" s="50">
        <f>L914*K914</f>
        <v/>
      </c>
      <c r="Y914" s="50">
        <f>M914*K914</f>
        <v/>
      </c>
      <c r="Z914" s="50">
        <f>N914*K914</f>
        <v/>
      </c>
      <c r="AA914" s="50">
        <f>O914*K914</f>
        <v/>
      </c>
      <c r="AB914" s="50">
        <f>P914*K914</f>
        <v/>
      </c>
      <c r="AC914" s="50">
        <f>Q914*K914</f>
        <v/>
      </c>
      <c r="AD914" s="50">
        <f>R914*K914</f>
        <v/>
      </c>
      <c r="AE914" s="50">
        <f>S914*K914</f>
        <v/>
      </c>
      <c r="AF914" s="50">
        <f>T914*K914</f>
        <v/>
      </c>
      <c r="AG914" s="50">
        <f>U914*K914</f>
        <v/>
      </c>
      <c r="AH914" s="50">
        <f>V914*K914</f>
        <v/>
      </c>
      <c r="AI914" s="50">
        <f>W914*K914</f>
        <v/>
      </c>
    </row>
    <row r="915">
      <c r="A915" s="25" t="n"/>
      <c r="B915" s="45">
        <f>IF(A915="","",IFERROR(INDEX(Mitarbeiter!$B$6:$B$205,MATCH($A915,Mitarbeiter!$A$6:$A$205,0)),"?"))</f>
        <v/>
      </c>
      <c r="C915" s="46" t="n"/>
      <c r="D915" s="26" t="n"/>
      <c r="E915" s="26" t="n"/>
      <c r="F915" s="24">
        <f>IF(A915="","",SUM(L915:W915))</f>
        <v/>
      </c>
      <c r="G915" s="36">
        <f>IF(A915="","",SUM(X915:AI915))</f>
        <v/>
      </c>
      <c r="H915" s="8">
        <f>IF(A915="","",IF(ISNA(MATCH(A915,Mitarbeiter!$A$6:$A$205,0)),"Pers.-Nr. unbekannt",IF(D915="","Von fehlt",IF(AND(C915&lt;&gt;Einstellungen!$C$4,C915&lt;&gt;Einstellungen!$C$5),"Objekt fehlt",IF(J915&lt;D915,"Bis vor Von",IF(D915&lt;INDEX(Mitarbeiter!$C$6:$C$205,MATCH($A915,Mitarbeiter!$A$6:$A$205,0)),"vor Eintritt",IF(AND(INDEX(Mitarbeiter!$D$6:$D$205,MATCH($A915,Mitarbeiter!$A$6:$A$205,0))&lt;&gt;"",D915&gt;INDEX(Mitarbeiter!$D$6:$D$205,MATCH($A915,Mitarbeiter!$A$6:$A$205,0))),"nach Austritt",IF(E915="","offen","ok"))))))))</f>
        <v/>
      </c>
      <c r="J915" s="47">
        <f>IF(A915="","",IF(E915="",Einstellungen!$C$9,E915))</f>
        <v/>
      </c>
      <c r="K915" s="48">
        <f>IF(A915="",0,IFERROR(INDEX(Mitarbeiter!$F$6:$F$205,MATCH($A915,Mitarbeiter!$A$6:$A$205,0)),0))</f>
        <v/>
      </c>
      <c r="L915" s="49">
        <f>IF(OR(A915="",D915=""),0,MAX(0,NETWORKDAYS(MAX(D915,DATE(Einstellungen!$C$3,1,1)),MIN(J915,DATE(Einstellungen!$C$3,2,0)),Einstellungen!$F$13:$F$32)))</f>
        <v/>
      </c>
      <c r="M915" s="49">
        <f>IF(OR(A915="",D915=""),0,MAX(0,NETWORKDAYS(MAX(D915,DATE(Einstellungen!$C$3,2,1)),MIN(J915,DATE(Einstellungen!$C$3,3,0)),Einstellungen!$F$13:$F$32)))</f>
        <v/>
      </c>
      <c r="N915" s="49">
        <f>IF(OR(A915="",D915=""),0,MAX(0,NETWORKDAYS(MAX(D915,DATE(Einstellungen!$C$3,3,1)),MIN(J915,DATE(Einstellungen!$C$3,4,0)),Einstellungen!$F$13:$F$32)))</f>
        <v/>
      </c>
      <c r="O915" s="49">
        <f>IF(OR(A915="",D915=""),0,MAX(0,NETWORKDAYS(MAX(D915,DATE(Einstellungen!$C$3,4,1)),MIN(J915,DATE(Einstellungen!$C$3,5,0)),Einstellungen!$F$13:$F$32)))</f>
        <v/>
      </c>
      <c r="P915" s="49">
        <f>IF(OR(A915="",D915=""),0,MAX(0,NETWORKDAYS(MAX(D915,DATE(Einstellungen!$C$3,5,1)),MIN(J915,DATE(Einstellungen!$C$3,6,0)),Einstellungen!$F$13:$F$32)))</f>
        <v/>
      </c>
      <c r="Q915" s="49">
        <f>IF(OR(A915="",D915=""),0,MAX(0,NETWORKDAYS(MAX(D915,DATE(Einstellungen!$C$3,6,1)),MIN(J915,DATE(Einstellungen!$C$3,7,0)),Einstellungen!$F$13:$F$32)))</f>
        <v/>
      </c>
      <c r="R915" s="49">
        <f>IF(OR(A915="",D915=""),0,MAX(0,NETWORKDAYS(MAX(D915,DATE(Einstellungen!$C$3,7,1)),MIN(J915,DATE(Einstellungen!$C$3,8,0)),Einstellungen!$F$13:$F$32)))</f>
        <v/>
      </c>
      <c r="S915" s="49">
        <f>IF(OR(A915="",D915=""),0,MAX(0,NETWORKDAYS(MAX(D915,DATE(Einstellungen!$C$3,8,1)),MIN(J915,DATE(Einstellungen!$C$3,9,0)),Einstellungen!$F$13:$F$32)))</f>
        <v/>
      </c>
      <c r="T915" s="49">
        <f>IF(OR(A915="",D915=""),0,MAX(0,NETWORKDAYS(MAX(D915,DATE(Einstellungen!$C$3,9,1)),MIN(J915,DATE(Einstellungen!$C$3,10,0)),Einstellungen!$F$13:$F$32)))</f>
        <v/>
      </c>
      <c r="U915" s="49">
        <f>IF(OR(A915="",D915=""),0,MAX(0,NETWORKDAYS(MAX(D915,DATE(Einstellungen!$C$3,10,1)),MIN(J915,DATE(Einstellungen!$C$3,11,0)),Einstellungen!$F$13:$F$32)))</f>
        <v/>
      </c>
      <c r="V915" s="49">
        <f>IF(OR(A915="",D915=""),0,MAX(0,NETWORKDAYS(MAX(D915,DATE(Einstellungen!$C$3,11,1)),MIN(J915,DATE(Einstellungen!$C$3,12,0)),Einstellungen!$F$13:$F$32)))</f>
        <v/>
      </c>
      <c r="W915" s="49">
        <f>IF(OR(A915="",D915=""),0,MAX(0,NETWORKDAYS(MAX(D915,DATE(Einstellungen!$C$3,12,1)),MIN(J915,DATE(Einstellungen!$C$3,13,0)),Einstellungen!$F$13:$F$32)))</f>
        <v/>
      </c>
      <c r="X915" s="50">
        <f>L915*K915</f>
        <v/>
      </c>
      <c r="Y915" s="50">
        <f>M915*K915</f>
        <v/>
      </c>
      <c r="Z915" s="50">
        <f>N915*K915</f>
        <v/>
      </c>
      <c r="AA915" s="50">
        <f>O915*K915</f>
        <v/>
      </c>
      <c r="AB915" s="50">
        <f>P915*K915</f>
        <v/>
      </c>
      <c r="AC915" s="50">
        <f>Q915*K915</f>
        <v/>
      </c>
      <c r="AD915" s="50">
        <f>R915*K915</f>
        <v/>
      </c>
      <c r="AE915" s="50">
        <f>S915*K915</f>
        <v/>
      </c>
      <c r="AF915" s="50">
        <f>T915*K915</f>
        <v/>
      </c>
      <c r="AG915" s="50">
        <f>U915*K915</f>
        <v/>
      </c>
      <c r="AH915" s="50">
        <f>V915*K915</f>
        <v/>
      </c>
      <c r="AI915" s="50">
        <f>W915*K915</f>
        <v/>
      </c>
    </row>
    <row r="916">
      <c r="A916" s="25" t="n"/>
      <c r="B916" s="45">
        <f>IF(A916="","",IFERROR(INDEX(Mitarbeiter!$B$6:$B$205,MATCH($A916,Mitarbeiter!$A$6:$A$205,0)),"?"))</f>
        <v/>
      </c>
      <c r="C916" s="46" t="n"/>
      <c r="D916" s="26" t="n"/>
      <c r="E916" s="26" t="n"/>
      <c r="F916" s="24">
        <f>IF(A916="","",SUM(L916:W916))</f>
        <v/>
      </c>
      <c r="G916" s="36">
        <f>IF(A916="","",SUM(X916:AI916))</f>
        <v/>
      </c>
      <c r="H916" s="8">
        <f>IF(A916="","",IF(ISNA(MATCH(A916,Mitarbeiter!$A$6:$A$205,0)),"Pers.-Nr. unbekannt",IF(D916="","Von fehlt",IF(AND(C916&lt;&gt;Einstellungen!$C$4,C916&lt;&gt;Einstellungen!$C$5),"Objekt fehlt",IF(J916&lt;D916,"Bis vor Von",IF(D916&lt;INDEX(Mitarbeiter!$C$6:$C$205,MATCH($A916,Mitarbeiter!$A$6:$A$205,0)),"vor Eintritt",IF(AND(INDEX(Mitarbeiter!$D$6:$D$205,MATCH($A916,Mitarbeiter!$A$6:$A$205,0))&lt;&gt;"",D916&gt;INDEX(Mitarbeiter!$D$6:$D$205,MATCH($A916,Mitarbeiter!$A$6:$A$205,0))),"nach Austritt",IF(E916="","offen","ok"))))))))</f>
        <v/>
      </c>
      <c r="J916" s="47">
        <f>IF(A916="","",IF(E916="",Einstellungen!$C$9,E916))</f>
        <v/>
      </c>
      <c r="K916" s="48">
        <f>IF(A916="",0,IFERROR(INDEX(Mitarbeiter!$F$6:$F$205,MATCH($A916,Mitarbeiter!$A$6:$A$205,0)),0))</f>
        <v/>
      </c>
      <c r="L916" s="49">
        <f>IF(OR(A916="",D916=""),0,MAX(0,NETWORKDAYS(MAX(D916,DATE(Einstellungen!$C$3,1,1)),MIN(J916,DATE(Einstellungen!$C$3,2,0)),Einstellungen!$F$13:$F$32)))</f>
        <v/>
      </c>
      <c r="M916" s="49">
        <f>IF(OR(A916="",D916=""),0,MAX(0,NETWORKDAYS(MAX(D916,DATE(Einstellungen!$C$3,2,1)),MIN(J916,DATE(Einstellungen!$C$3,3,0)),Einstellungen!$F$13:$F$32)))</f>
        <v/>
      </c>
      <c r="N916" s="49">
        <f>IF(OR(A916="",D916=""),0,MAX(0,NETWORKDAYS(MAX(D916,DATE(Einstellungen!$C$3,3,1)),MIN(J916,DATE(Einstellungen!$C$3,4,0)),Einstellungen!$F$13:$F$32)))</f>
        <v/>
      </c>
      <c r="O916" s="49">
        <f>IF(OR(A916="",D916=""),0,MAX(0,NETWORKDAYS(MAX(D916,DATE(Einstellungen!$C$3,4,1)),MIN(J916,DATE(Einstellungen!$C$3,5,0)),Einstellungen!$F$13:$F$32)))</f>
        <v/>
      </c>
      <c r="P916" s="49">
        <f>IF(OR(A916="",D916=""),0,MAX(0,NETWORKDAYS(MAX(D916,DATE(Einstellungen!$C$3,5,1)),MIN(J916,DATE(Einstellungen!$C$3,6,0)),Einstellungen!$F$13:$F$32)))</f>
        <v/>
      </c>
      <c r="Q916" s="49">
        <f>IF(OR(A916="",D916=""),0,MAX(0,NETWORKDAYS(MAX(D916,DATE(Einstellungen!$C$3,6,1)),MIN(J916,DATE(Einstellungen!$C$3,7,0)),Einstellungen!$F$13:$F$32)))</f>
        <v/>
      </c>
      <c r="R916" s="49">
        <f>IF(OR(A916="",D916=""),0,MAX(0,NETWORKDAYS(MAX(D916,DATE(Einstellungen!$C$3,7,1)),MIN(J916,DATE(Einstellungen!$C$3,8,0)),Einstellungen!$F$13:$F$32)))</f>
        <v/>
      </c>
      <c r="S916" s="49">
        <f>IF(OR(A916="",D916=""),0,MAX(0,NETWORKDAYS(MAX(D916,DATE(Einstellungen!$C$3,8,1)),MIN(J916,DATE(Einstellungen!$C$3,9,0)),Einstellungen!$F$13:$F$32)))</f>
        <v/>
      </c>
      <c r="T916" s="49">
        <f>IF(OR(A916="",D916=""),0,MAX(0,NETWORKDAYS(MAX(D916,DATE(Einstellungen!$C$3,9,1)),MIN(J916,DATE(Einstellungen!$C$3,10,0)),Einstellungen!$F$13:$F$32)))</f>
        <v/>
      </c>
      <c r="U916" s="49">
        <f>IF(OR(A916="",D916=""),0,MAX(0,NETWORKDAYS(MAX(D916,DATE(Einstellungen!$C$3,10,1)),MIN(J916,DATE(Einstellungen!$C$3,11,0)),Einstellungen!$F$13:$F$32)))</f>
        <v/>
      </c>
      <c r="V916" s="49">
        <f>IF(OR(A916="",D916=""),0,MAX(0,NETWORKDAYS(MAX(D916,DATE(Einstellungen!$C$3,11,1)),MIN(J916,DATE(Einstellungen!$C$3,12,0)),Einstellungen!$F$13:$F$32)))</f>
        <v/>
      </c>
      <c r="W916" s="49">
        <f>IF(OR(A916="",D916=""),0,MAX(0,NETWORKDAYS(MAX(D916,DATE(Einstellungen!$C$3,12,1)),MIN(J916,DATE(Einstellungen!$C$3,13,0)),Einstellungen!$F$13:$F$32)))</f>
        <v/>
      </c>
      <c r="X916" s="50">
        <f>L916*K916</f>
        <v/>
      </c>
      <c r="Y916" s="50">
        <f>M916*K916</f>
        <v/>
      </c>
      <c r="Z916" s="50">
        <f>N916*K916</f>
        <v/>
      </c>
      <c r="AA916" s="50">
        <f>O916*K916</f>
        <v/>
      </c>
      <c r="AB916" s="50">
        <f>P916*K916</f>
        <v/>
      </c>
      <c r="AC916" s="50">
        <f>Q916*K916</f>
        <v/>
      </c>
      <c r="AD916" s="50">
        <f>R916*K916</f>
        <v/>
      </c>
      <c r="AE916" s="50">
        <f>S916*K916</f>
        <v/>
      </c>
      <c r="AF916" s="50">
        <f>T916*K916</f>
        <v/>
      </c>
      <c r="AG916" s="50">
        <f>U916*K916</f>
        <v/>
      </c>
      <c r="AH916" s="50">
        <f>V916*K916</f>
        <v/>
      </c>
      <c r="AI916" s="50">
        <f>W916*K916</f>
        <v/>
      </c>
    </row>
    <row r="917">
      <c r="A917" s="25" t="n"/>
      <c r="B917" s="45">
        <f>IF(A917="","",IFERROR(INDEX(Mitarbeiter!$B$6:$B$205,MATCH($A917,Mitarbeiter!$A$6:$A$205,0)),"?"))</f>
        <v/>
      </c>
      <c r="C917" s="46" t="n"/>
      <c r="D917" s="26" t="n"/>
      <c r="E917" s="26" t="n"/>
      <c r="F917" s="24">
        <f>IF(A917="","",SUM(L917:W917))</f>
        <v/>
      </c>
      <c r="G917" s="36">
        <f>IF(A917="","",SUM(X917:AI917))</f>
        <v/>
      </c>
      <c r="H917" s="8">
        <f>IF(A917="","",IF(ISNA(MATCH(A917,Mitarbeiter!$A$6:$A$205,0)),"Pers.-Nr. unbekannt",IF(D917="","Von fehlt",IF(AND(C917&lt;&gt;Einstellungen!$C$4,C917&lt;&gt;Einstellungen!$C$5),"Objekt fehlt",IF(J917&lt;D917,"Bis vor Von",IF(D917&lt;INDEX(Mitarbeiter!$C$6:$C$205,MATCH($A917,Mitarbeiter!$A$6:$A$205,0)),"vor Eintritt",IF(AND(INDEX(Mitarbeiter!$D$6:$D$205,MATCH($A917,Mitarbeiter!$A$6:$A$205,0))&lt;&gt;"",D917&gt;INDEX(Mitarbeiter!$D$6:$D$205,MATCH($A917,Mitarbeiter!$A$6:$A$205,0))),"nach Austritt",IF(E917="","offen","ok"))))))))</f>
        <v/>
      </c>
      <c r="J917" s="47">
        <f>IF(A917="","",IF(E917="",Einstellungen!$C$9,E917))</f>
        <v/>
      </c>
      <c r="K917" s="48">
        <f>IF(A917="",0,IFERROR(INDEX(Mitarbeiter!$F$6:$F$205,MATCH($A917,Mitarbeiter!$A$6:$A$205,0)),0))</f>
        <v/>
      </c>
      <c r="L917" s="49">
        <f>IF(OR(A917="",D917=""),0,MAX(0,NETWORKDAYS(MAX(D917,DATE(Einstellungen!$C$3,1,1)),MIN(J917,DATE(Einstellungen!$C$3,2,0)),Einstellungen!$F$13:$F$32)))</f>
        <v/>
      </c>
      <c r="M917" s="49">
        <f>IF(OR(A917="",D917=""),0,MAX(0,NETWORKDAYS(MAX(D917,DATE(Einstellungen!$C$3,2,1)),MIN(J917,DATE(Einstellungen!$C$3,3,0)),Einstellungen!$F$13:$F$32)))</f>
        <v/>
      </c>
      <c r="N917" s="49">
        <f>IF(OR(A917="",D917=""),0,MAX(0,NETWORKDAYS(MAX(D917,DATE(Einstellungen!$C$3,3,1)),MIN(J917,DATE(Einstellungen!$C$3,4,0)),Einstellungen!$F$13:$F$32)))</f>
        <v/>
      </c>
      <c r="O917" s="49">
        <f>IF(OR(A917="",D917=""),0,MAX(0,NETWORKDAYS(MAX(D917,DATE(Einstellungen!$C$3,4,1)),MIN(J917,DATE(Einstellungen!$C$3,5,0)),Einstellungen!$F$13:$F$32)))</f>
        <v/>
      </c>
      <c r="P917" s="49">
        <f>IF(OR(A917="",D917=""),0,MAX(0,NETWORKDAYS(MAX(D917,DATE(Einstellungen!$C$3,5,1)),MIN(J917,DATE(Einstellungen!$C$3,6,0)),Einstellungen!$F$13:$F$32)))</f>
        <v/>
      </c>
      <c r="Q917" s="49">
        <f>IF(OR(A917="",D917=""),0,MAX(0,NETWORKDAYS(MAX(D917,DATE(Einstellungen!$C$3,6,1)),MIN(J917,DATE(Einstellungen!$C$3,7,0)),Einstellungen!$F$13:$F$32)))</f>
        <v/>
      </c>
      <c r="R917" s="49">
        <f>IF(OR(A917="",D917=""),0,MAX(0,NETWORKDAYS(MAX(D917,DATE(Einstellungen!$C$3,7,1)),MIN(J917,DATE(Einstellungen!$C$3,8,0)),Einstellungen!$F$13:$F$32)))</f>
        <v/>
      </c>
      <c r="S917" s="49">
        <f>IF(OR(A917="",D917=""),0,MAX(0,NETWORKDAYS(MAX(D917,DATE(Einstellungen!$C$3,8,1)),MIN(J917,DATE(Einstellungen!$C$3,9,0)),Einstellungen!$F$13:$F$32)))</f>
        <v/>
      </c>
      <c r="T917" s="49">
        <f>IF(OR(A917="",D917=""),0,MAX(0,NETWORKDAYS(MAX(D917,DATE(Einstellungen!$C$3,9,1)),MIN(J917,DATE(Einstellungen!$C$3,10,0)),Einstellungen!$F$13:$F$32)))</f>
        <v/>
      </c>
      <c r="U917" s="49">
        <f>IF(OR(A917="",D917=""),0,MAX(0,NETWORKDAYS(MAX(D917,DATE(Einstellungen!$C$3,10,1)),MIN(J917,DATE(Einstellungen!$C$3,11,0)),Einstellungen!$F$13:$F$32)))</f>
        <v/>
      </c>
      <c r="V917" s="49">
        <f>IF(OR(A917="",D917=""),0,MAX(0,NETWORKDAYS(MAX(D917,DATE(Einstellungen!$C$3,11,1)),MIN(J917,DATE(Einstellungen!$C$3,12,0)),Einstellungen!$F$13:$F$32)))</f>
        <v/>
      </c>
      <c r="W917" s="49">
        <f>IF(OR(A917="",D917=""),0,MAX(0,NETWORKDAYS(MAX(D917,DATE(Einstellungen!$C$3,12,1)),MIN(J917,DATE(Einstellungen!$C$3,13,0)),Einstellungen!$F$13:$F$32)))</f>
        <v/>
      </c>
      <c r="X917" s="50">
        <f>L917*K917</f>
        <v/>
      </c>
      <c r="Y917" s="50">
        <f>M917*K917</f>
        <v/>
      </c>
      <c r="Z917" s="50">
        <f>N917*K917</f>
        <v/>
      </c>
      <c r="AA917" s="50">
        <f>O917*K917</f>
        <v/>
      </c>
      <c r="AB917" s="50">
        <f>P917*K917</f>
        <v/>
      </c>
      <c r="AC917" s="50">
        <f>Q917*K917</f>
        <v/>
      </c>
      <c r="AD917" s="50">
        <f>R917*K917</f>
        <v/>
      </c>
      <c r="AE917" s="50">
        <f>S917*K917</f>
        <v/>
      </c>
      <c r="AF917" s="50">
        <f>T917*K917</f>
        <v/>
      </c>
      <c r="AG917" s="50">
        <f>U917*K917</f>
        <v/>
      </c>
      <c r="AH917" s="50">
        <f>V917*K917</f>
        <v/>
      </c>
      <c r="AI917" s="50">
        <f>W917*K917</f>
        <v/>
      </c>
    </row>
    <row r="918">
      <c r="A918" s="25" t="n"/>
      <c r="B918" s="45">
        <f>IF(A918="","",IFERROR(INDEX(Mitarbeiter!$B$6:$B$205,MATCH($A918,Mitarbeiter!$A$6:$A$205,0)),"?"))</f>
        <v/>
      </c>
      <c r="C918" s="46" t="n"/>
      <c r="D918" s="26" t="n"/>
      <c r="E918" s="26" t="n"/>
      <c r="F918" s="24">
        <f>IF(A918="","",SUM(L918:W918))</f>
        <v/>
      </c>
      <c r="G918" s="36">
        <f>IF(A918="","",SUM(X918:AI918))</f>
        <v/>
      </c>
      <c r="H918" s="8">
        <f>IF(A918="","",IF(ISNA(MATCH(A918,Mitarbeiter!$A$6:$A$205,0)),"Pers.-Nr. unbekannt",IF(D918="","Von fehlt",IF(AND(C918&lt;&gt;Einstellungen!$C$4,C918&lt;&gt;Einstellungen!$C$5),"Objekt fehlt",IF(J918&lt;D918,"Bis vor Von",IF(D918&lt;INDEX(Mitarbeiter!$C$6:$C$205,MATCH($A918,Mitarbeiter!$A$6:$A$205,0)),"vor Eintritt",IF(AND(INDEX(Mitarbeiter!$D$6:$D$205,MATCH($A918,Mitarbeiter!$A$6:$A$205,0))&lt;&gt;"",D918&gt;INDEX(Mitarbeiter!$D$6:$D$205,MATCH($A918,Mitarbeiter!$A$6:$A$205,0))),"nach Austritt",IF(E918="","offen","ok"))))))))</f>
        <v/>
      </c>
      <c r="J918" s="47">
        <f>IF(A918="","",IF(E918="",Einstellungen!$C$9,E918))</f>
        <v/>
      </c>
      <c r="K918" s="48">
        <f>IF(A918="",0,IFERROR(INDEX(Mitarbeiter!$F$6:$F$205,MATCH($A918,Mitarbeiter!$A$6:$A$205,0)),0))</f>
        <v/>
      </c>
      <c r="L918" s="49">
        <f>IF(OR(A918="",D918=""),0,MAX(0,NETWORKDAYS(MAX(D918,DATE(Einstellungen!$C$3,1,1)),MIN(J918,DATE(Einstellungen!$C$3,2,0)),Einstellungen!$F$13:$F$32)))</f>
        <v/>
      </c>
      <c r="M918" s="49">
        <f>IF(OR(A918="",D918=""),0,MAX(0,NETWORKDAYS(MAX(D918,DATE(Einstellungen!$C$3,2,1)),MIN(J918,DATE(Einstellungen!$C$3,3,0)),Einstellungen!$F$13:$F$32)))</f>
        <v/>
      </c>
      <c r="N918" s="49">
        <f>IF(OR(A918="",D918=""),0,MAX(0,NETWORKDAYS(MAX(D918,DATE(Einstellungen!$C$3,3,1)),MIN(J918,DATE(Einstellungen!$C$3,4,0)),Einstellungen!$F$13:$F$32)))</f>
        <v/>
      </c>
      <c r="O918" s="49">
        <f>IF(OR(A918="",D918=""),0,MAX(0,NETWORKDAYS(MAX(D918,DATE(Einstellungen!$C$3,4,1)),MIN(J918,DATE(Einstellungen!$C$3,5,0)),Einstellungen!$F$13:$F$32)))</f>
        <v/>
      </c>
      <c r="P918" s="49">
        <f>IF(OR(A918="",D918=""),0,MAX(0,NETWORKDAYS(MAX(D918,DATE(Einstellungen!$C$3,5,1)),MIN(J918,DATE(Einstellungen!$C$3,6,0)),Einstellungen!$F$13:$F$32)))</f>
        <v/>
      </c>
      <c r="Q918" s="49">
        <f>IF(OR(A918="",D918=""),0,MAX(0,NETWORKDAYS(MAX(D918,DATE(Einstellungen!$C$3,6,1)),MIN(J918,DATE(Einstellungen!$C$3,7,0)),Einstellungen!$F$13:$F$32)))</f>
        <v/>
      </c>
      <c r="R918" s="49">
        <f>IF(OR(A918="",D918=""),0,MAX(0,NETWORKDAYS(MAX(D918,DATE(Einstellungen!$C$3,7,1)),MIN(J918,DATE(Einstellungen!$C$3,8,0)),Einstellungen!$F$13:$F$32)))</f>
        <v/>
      </c>
      <c r="S918" s="49">
        <f>IF(OR(A918="",D918=""),0,MAX(0,NETWORKDAYS(MAX(D918,DATE(Einstellungen!$C$3,8,1)),MIN(J918,DATE(Einstellungen!$C$3,9,0)),Einstellungen!$F$13:$F$32)))</f>
        <v/>
      </c>
      <c r="T918" s="49">
        <f>IF(OR(A918="",D918=""),0,MAX(0,NETWORKDAYS(MAX(D918,DATE(Einstellungen!$C$3,9,1)),MIN(J918,DATE(Einstellungen!$C$3,10,0)),Einstellungen!$F$13:$F$32)))</f>
        <v/>
      </c>
      <c r="U918" s="49">
        <f>IF(OR(A918="",D918=""),0,MAX(0,NETWORKDAYS(MAX(D918,DATE(Einstellungen!$C$3,10,1)),MIN(J918,DATE(Einstellungen!$C$3,11,0)),Einstellungen!$F$13:$F$32)))</f>
        <v/>
      </c>
      <c r="V918" s="49">
        <f>IF(OR(A918="",D918=""),0,MAX(0,NETWORKDAYS(MAX(D918,DATE(Einstellungen!$C$3,11,1)),MIN(J918,DATE(Einstellungen!$C$3,12,0)),Einstellungen!$F$13:$F$32)))</f>
        <v/>
      </c>
      <c r="W918" s="49">
        <f>IF(OR(A918="",D918=""),0,MAX(0,NETWORKDAYS(MAX(D918,DATE(Einstellungen!$C$3,12,1)),MIN(J918,DATE(Einstellungen!$C$3,13,0)),Einstellungen!$F$13:$F$32)))</f>
        <v/>
      </c>
      <c r="X918" s="50">
        <f>L918*K918</f>
        <v/>
      </c>
      <c r="Y918" s="50">
        <f>M918*K918</f>
        <v/>
      </c>
      <c r="Z918" s="50">
        <f>N918*K918</f>
        <v/>
      </c>
      <c r="AA918" s="50">
        <f>O918*K918</f>
        <v/>
      </c>
      <c r="AB918" s="50">
        <f>P918*K918</f>
        <v/>
      </c>
      <c r="AC918" s="50">
        <f>Q918*K918</f>
        <v/>
      </c>
      <c r="AD918" s="50">
        <f>R918*K918</f>
        <v/>
      </c>
      <c r="AE918" s="50">
        <f>S918*K918</f>
        <v/>
      </c>
      <c r="AF918" s="50">
        <f>T918*K918</f>
        <v/>
      </c>
      <c r="AG918" s="50">
        <f>U918*K918</f>
        <v/>
      </c>
      <c r="AH918" s="50">
        <f>V918*K918</f>
        <v/>
      </c>
      <c r="AI918" s="50">
        <f>W918*K918</f>
        <v/>
      </c>
    </row>
    <row r="919">
      <c r="A919" s="25" t="n"/>
      <c r="B919" s="45">
        <f>IF(A919="","",IFERROR(INDEX(Mitarbeiter!$B$6:$B$205,MATCH($A919,Mitarbeiter!$A$6:$A$205,0)),"?"))</f>
        <v/>
      </c>
      <c r="C919" s="46" t="n"/>
      <c r="D919" s="26" t="n"/>
      <c r="E919" s="26" t="n"/>
      <c r="F919" s="24">
        <f>IF(A919="","",SUM(L919:W919))</f>
        <v/>
      </c>
      <c r="G919" s="36">
        <f>IF(A919="","",SUM(X919:AI919))</f>
        <v/>
      </c>
      <c r="H919" s="8">
        <f>IF(A919="","",IF(ISNA(MATCH(A919,Mitarbeiter!$A$6:$A$205,0)),"Pers.-Nr. unbekannt",IF(D919="","Von fehlt",IF(AND(C919&lt;&gt;Einstellungen!$C$4,C919&lt;&gt;Einstellungen!$C$5),"Objekt fehlt",IF(J919&lt;D919,"Bis vor Von",IF(D919&lt;INDEX(Mitarbeiter!$C$6:$C$205,MATCH($A919,Mitarbeiter!$A$6:$A$205,0)),"vor Eintritt",IF(AND(INDEX(Mitarbeiter!$D$6:$D$205,MATCH($A919,Mitarbeiter!$A$6:$A$205,0))&lt;&gt;"",D919&gt;INDEX(Mitarbeiter!$D$6:$D$205,MATCH($A919,Mitarbeiter!$A$6:$A$205,0))),"nach Austritt",IF(E919="","offen","ok"))))))))</f>
        <v/>
      </c>
      <c r="J919" s="47">
        <f>IF(A919="","",IF(E919="",Einstellungen!$C$9,E919))</f>
        <v/>
      </c>
      <c r="K919" s="48">
        <f>IF(A919="",0,IFERROR(INDEX(Mitarbeiter!$F$6:$F$205,MATCH($A919,Mitarbeiter!$A$6:$A$205,0)),0))</f>
        <v/>
      </c>
      <c r="L919" s="49">
        <f>IF(OR(A919="",D919=""),0,MAX(0,NETWORKDAYS(MAX(D919,DATE(Einstellungen!$C$3,1,1)),MIN(J919,DATE(Einstellungen!$C$3,2,0)),Einstellungen!$F$13:$F$32)))</f>
        <v/>
      </c>
      <c r="M919" s="49">
        <f>IF(OR(A919="",D919=""),0,MAX(0,NETWORKDAYS(MAX(D919,DATE(Einstellungen!$C$3,2,1)),MIN(J919,DATE(Einstellungen!$C$3,3,0)),Einstellungen!$F$13:$F$32)))</f>
        <v/>
      </c>
      <c r="N919" s="49">
        <f>IF(OR(A919="",D919=""),0,MAX(0,NETWORKDAYS(MAX(D919,DATE(Einstellungen!$C$3,3,1)),MIN(J919,DATE(Einstellungen!$C$3,4,0)),Einstellungen!$F$13:$F$32)))</f>
        <v/>
      </c>
      <c r="O919" s="49">
        <f>IF(OR(A919="",D919=""),0,MAX(0,NETWORKDAYS(MAX(D919,DATE(Einstellungen!$C$3,4,1)),MIN(J919,DATE(Einstellungen!$C$3,5,0)),Einstellungen!$F$13:$F$32)))</f>
        <v/>
      </c>
      <c r="P919" s="49">
        <f>IF(OR(A919="",D919=""),0,MAX(0,NETWORKDAYS(MAX(D919,DATE(Einstellungen!$C$3,5,1)),MIN(J919,DATE(Einstellungen!$C$3,6,0)),Einstellungen!$F$13:$F$32)))</f>
        <v/>
      </c>
      <c r="Q919" s="49">
        <f>IF(OR(A919="",D919=""),0,MAX(0,NETWORKDAYS(MAX(D919,DATE(Einstellungen!$C$3,6,1)),MIN(J919,DATE(Einstellungen!$C$3,7,0)),Einstellungen!$F$13:$F$32)))</f>
        <v/>
      </c>
      <c r="R919" s="49">
        <f>IF(OR(A919="",D919=""),0,MAX(0,NETWORKDAYS(MAX(D919,DATE(Einstellungen!$C$3,7,1)),MIN(J919,DATE(Einstellungen!$C$3,8,0)),Einstellungen!$F$13:$F$32)))</f>
        <v/>
      </c>
      <c r="S919" s="49">
        <f>IF(OR(A919="",D919=""),0,MAX(0,NETWORKDAYS(MAX(D919,DATE(Einstellungen!$C$3,8,1)),MIN(J919,DATE(Einstellungen!$C$3,9,0)),Einstellungen!$F$13:$F$32)))</f>
        <v/>
      </c>
      <c r="T919" s="49">
        <f>IF(OR(A919="",D919=""),0,MAX(0,NETWORKDAYS(MAX(D919,DATE(Einstellungen!$C$3,9,1)),MIN(J919,DATE(Einstellungen!$C$3,10,0)),Einstellungen!$F$13:$F$32)))</f>
        <v/>
      </c>
      <c r="U919" s="49">
        <f>IF(OR(A919="",D919=""),0,MAX(0,NETWORKDAYS(MAX(D919,DATE(Einstellungen!$C$3,10,1)),MIN(J919,DATE(Einstellungen!$C$3,11,0)),Einstellungen!$F$13:$F$32)))</f>
        <v/>
      </c>
      <c r="V919" s="49">
        <f>IF(OR(A919="",D919=""),0,MAX(0,NETWORKDAYS(MAX(D919,DATE(Einstellungen!$C$3,11,1)),MIN(J919,DATE(Einstellungen!$C$3,12,0)),Einstellungen!$F$13:$F$32)))</f>
        <v/>
      </c>
      <c r="W919" s="49">
        <f>IF(OR(A919="",D919=""),0,MAX(0,NETWORKDAYS(MAX(D919,DATE(Einstellungen!$C$3,12,1)),MIN(J919,DATE(Einstellungen!$C$3,13,0)),Einstellungen!$F$13:$F$32)))</f>
        <v/>
      </c>
      <c r="X919" s="50">
        <f>L919*K919</f>
        <v/>
      </c>
      <c r="Y919" s="50">
        <f>M919*K919</f>
        <v/>
      </c>
      <c r="Z919" s="50">
        <f>N919*K919</f>
        <v/>
      </c>
      <c r="AA919" s="50">
        <f>O919*K919</f>
        <v/>
      </c>
      <c r="AB919" s="50">
        <f>P919*K919</f>
        <v/>
      </c>
      <c r="AC919" s="50">
        <f>Q919*K919</f>
        <v/>
      </c>
      <c r="AD919" s="50">
        <f>R919*K919</f>
        <v/>
      </c>
      <c r="AE919" s="50">
        <f>S919*K919</f>
        <v/>
      </c>
      <c r="AF919" s="50">
        <f>T919*K919</f>
        <v/>
      </c>
      <c r="AG919" s="50">
        <f>U919*K919</f>
        <v/>
      </c>
      <c r="AH919" s="50">
        <f>V919*K919</f>
        <v/>
      </c>
      <c r="AI919" s="50">
        <f>W919*K919</f>
        <v/>
      </c>
    </row>
    <row r="920">
      <c r="A920" s="25" t="n"/>
      <c r="B920" s="45">
        <f>IF(A920="","",IFERROR(INDEX(Mitarbeiter!$B$6:$B$205,MATCH($A920,Mitarbeiter!$A$6:$A$205,0)),"?"))</f>
        <v/>
      </c>
      <c r="C920" s="46" t="n"/>
      <c r="D920" s="26" t="n"/>
      <c r="E920" s="26" t="n"/>
      <c r="F920" s="24">
        <f>IF(A920="","",SUM(L920:W920))</f>
        <v/>
      </c>
      <c r="G920" s="36">
        <f>IF(A920="","",SUM(X920:AI920))</f>
        <v/>
      </c>
      <c r="H920" s="8">
        <f>IF(A920="","",IF(ISNA(MATCH(A920,Mitarbeiter!$A$6:$A$205,0)),"Pers.-Nr. unbekannt",IF(D920="","Von fehlt",IF(AND(C920&lt;&gt;Einstellungen!$C$4,C920&lt;&gt;Einstellungen!$C$5),"Objekt fehlt",IF(J920&lt;D920,"Bis vor Von",IF(D920&lt;INDEX(Mitarbeiter!$C$6:$C$205,MATCH($A920,Mitarbeiter!$A$6:$A$205,0)),"vor Eintritt",IF(AND(INDEX(Mitarbeiter!$D$6:$D$205,MATCH($A920,Mitarbeiter!$A$6:$A$205,0))&lt;&gt;"",D920&gt;INDEX(Mitarbeiter!$D$6:$D$205,MATCH($A920,Mitarbeiter!$A$6:$A$205,0))),"nach Austritt",IF(E920="","offen","ok"))))))))</f>
        <v/>
      </c>
      <c r="J920" s="47">
        <f>IF(A920="","",IF(E920="",Einstellungen!$C$9,E920))</f>
        <v/>
      </c>
      <c r="K920" s="48">
        <f>IF(A920="",0,IFERROR(INDEX(Mitarbeiter!$F$6:$F$205,MATCH($A920,Mitarbeiter!$A$6:$A$205,0)),0))</f>
        <v/>
      </c>
      <c r="L920" s="49">
        <f>IF(OR(A920="",D920=""),0,MAX(0,NETWORKDAYS(MAX(D920,DATE(Einstellungen!$C$3,1,1)),MIN(J920,DATE(Einstellungen!$C$3,2,0)),Einstellungen!$F$13:$F$32)))</f>
        <v/>
      </c>
      <c r="M920" s="49">
        <f>IF(OR(A920="",D920=""),0,MAX(0,NETWORKDAYS(MAX(D920,DATE(Einstellungen!$C$3,2,1)),MIN(J920,DATE(Einstellungen!$C$3,3,0)),Einstellungen!$F$13:$F$32)))</f>
        <v/>
      </c>
      <c r="N920" s="49">
        <f>IF(OR(A920="",D920=""),0,MAX(0,NETWORKDAYS(MAX(D920,DATE(Einstellungen!$C$3,3,1)),MIN(J920,DATE(Einstellungen!$C$3,4,0)),Einstellungen!$F$13:$F$32)))</f>
        <v/>
      </c>
      <c r="O920" s="49">
        <f>IF(OR(A920="",D920=""),0,MAX(0,NETWORKDAYS(MAX(D920,DATE(Einstellungen!$C$3,4,1)),MIN(J920,DATE(Einstellungen!$C$3,5,0)),Einstellungen!$F$13:$F$32)))</f>
        <v/>
      </c>
      <c r="P920" s="49">
        <f>IF(OR(A920="",D920=""),0,MAX(0,NETWORKDAYS(MAX(D920,DATE(Einstellungen!$C$3,5,1)),MIN(J920,DATE(Einstellungen!$C$3,6,0)),Einstellungen!$F$13:$F$32)))</f>
        <v/>
      </c>
      <c r="Q920" s="49">
        <f>IF(OR(A920="",D920=""),0,MAX(0,NETWORKDAYS(MAX(D920,DATE(Einstellungen!$C$3,6,1)),MIN(J920,DATE(Einstellungen!$C$3,7,0)),Einstellungen!$F$13:$F$32)))</f>
        <v/>
      </c>
      <c r="R920" s="49">
        <f>IF(OR(A920="",D920=""),0,MAX(0,NETWORKDAYS(MAX(D920,DATE(Einstellungen!$C$3,7,1)),MIN(J920,DATE(Einstellungen!$C$3,8,0)),Einstellungen!$F$13:$F$32)))</f>
        <v/>
      </c>
      <c r="S920" s="49">
        <f>IF(OR(A920="",D920=""),0,MAX(0,NETWORKDAYS(MAX(D920,DATE(Einstellungen!$C$3,8,1)),MIN(J920,DATE(Einstellungen!$C$3,9,0)),Einstellungen!$F$13:$F$32)))</f>
        <v/>
      </c>
      <c r="T920" s="49">
        <f>IF(OR(A920="",D920=""),0,MAX(0,NETWORKDAYS(MAX(D920,DATE(Einstellungen!$C$3,9,1)),MIN(J920,DATE(Einstellungen!$C$3,10,0)),Einstellungen!$F$13:$F$32)))</f>
        <v/>
      </c>
      <c r="U920" s="49">
        <f>IF(OR(A920="",D920=""),0,MAX(0,NETWORKDAYS(MAX(D920,DATE(Einstellungen!$C$3,10,1)),MIN(J920,DATE(Einstellungen!$C$3,11,0)),Einstellungen!$F$13:$F$32)))</f>
        <v/>
      </c>
      <c r="V920" s="49">
        <f>IF(OR(A920="",D920=""),0,MAX(0,NETWORKDAYS(MAX(D920,DATE(Einstellungen!$C$3,11,1)),MIN(J920,DATE(Einstellungen!$C$3,12,0)),Einstellungen!$F$13:$F$32)))</f>
        <v/>
      </c>
      <c r="W920" s="49">
        <f>IF(OR(A920="",D920=""),0,MAX(0,NETWORKDAYS(MAX(D920,DATE(Einstellungen!$C$3,12,1)),MIN(J920,DATE(Einstellungen!$C$3,13,0)),Einstellungen!$F$13:$F$32)))</f>
        <v/>
      </c>
      <c r="X920" s="50">
        <f>L920*K920</f>
        <v/>
      </c>
      <c r="Y920" s="50">
        <f>M920*K920</f>
        <v/>
      </c>
      <c r="Z920" s="50">
        <f>N920*K920</f>
        <v/>
      </c>
      <c r="AA920" s="50">
        <f>O920*K920</f>
        <v/>
      </c>
      <c r="AB920" s="50">
        <f>P920*K920</f>
        <v/>
      </c>
      <c r="AC920" s="50">
        <f>Q920*K920</f>
        <v/>
      </c>
      <c r="AD920" s="50">
        <f>R920*K920</f>
        <v/>
      </c>
      <c r="AE920" s="50">
        <f>S920*K920</f>
        <v/>
      </c>
      <c r="AF920" s="50">
        <f>T920*K920</f>
        <v/>
      </c>
      <c r="AG920" s="50">
        <f>U920*K920</f>
        <v/>
      </c>
      <c r="AH920" s="50">
        <f>V920*K920</f>
        <v/>
      </c>
      <c r="AI920" s="50">
        <f>W920*K920</f>
        <v/>
      </c>
    </row>
    <row r="921">
      <c r="A921" s="25" t="n"/>
      <c r="B921" s="45">
        <f>IF(A921="","",IFERROR(INDEX(Mitarbeiter!$B$6:$B$205,MATCH($A921,Mitarbeiter!$A$6:$A$205,0)),"?"))</f>
        <v/>
      </c>
      <c r="C921" s="46" t="n"/>
      <c r="D921" s="26" t="n"/>
      <c r="E921" s="26" t="n"/>
      <c r="F921" s="24">
        <f>IF(A921="","",SUM(L921:W921))</f>
        <v/>
      </c>
      <c r="G921" s="36">
        <f>IF(A921="","",SUM(X921:AI921))</f>
        <v/>
      </c>
      <c r="H921" s="8">
        <f>IF(A921="","",IF(ISNA(MATCH(A921,Mitarbeiter!$A$6:$A$205,0)),"Pers.-Nr. unbekannt",IF(D921="","Von fehlt",IF(AND(C921&lt;&gt;Einstellungen!$C$4,C921&lt;&gt;Einstellungen!$C$5),"Objekt fehlt",IF(J921&lt;D921,"Bis vor Von",IF(D921&lt;INDEX(Mitarbeiter!$C$6:$C$205,MATCH($A921,Mitarbeiter!$A$6:$A$205,0)),"vor Eintritt",IF(AND(INDEX(Mitarbeiter!$D$6:$D$205,MATCH($A921,Mitarbeiter!$A$6:$A$205,0))&lt;&gt;"",D921&gt;INDEX(Mitarbeiter!$D$6:$D$205,MATCH($A921,Mitarbeiter!$A$6:$A$205,0))),"nach Austritt",IF(E921="","offen","ok"))))))))</f>
        <v/>
      </c>
      <c r="J921" s="47">
        <f>IF(A921="","",IF(E921="",Einstellungen!$C$9,E921))</f>
        <v/>
      </c>
      <c r="K921" s="48">
        <f>IF(A921="",0,IFERROR(INDEX(Mitarbeiter!$F$6:$F$205,MATCH($A921,Mitarbeiter!$A$6:$A$205,0)),0))</f>
        <v/>
      </c>
      <c r="L921" s="49">
        <f>IF(OR(A921="",D921=""),0,MAX(0,NETWORKDAYS(MAX(D921,DATE(Einstellungen!$C$3,1,1)),MIN(J921,DATE(Einstellungen!$C$3,2,0)),Einstellungen!$F$13:$F$32)))</f>
        <v/>
      </c>
      <c r="M921" s="49">
        <f>IF(OR(A921="",D921=""),0,MAX(0,NETWORKDAYS(MAX(D921,DATE(Einstellungen!$C$3,2,1)),MIN(J921,DATE(Einstellungen!$C$3,3,0)),Einstellungen!$F$13:$F$32)))</f>
        <v/>
      </c>
      <c r="N921" s="49">
        <f>IF(OR(A921="",D921=""),0,MAX(0,NETWORKDAYS(MAX(D921,DATE(Einstellungen!$C$3,3,1)),MIN(J921,DATE(Einstellungen!$C$3,4,0)),Einstellungen!$F$13:$F$32)))</f>
        <v/>
      </c>
      <c r="O921" s="49">
        <f>IF(OR(A921="",D921=""),0,MAX(0,NETWORKDAYS(MAX(D921,DATE(Einstellungen!$C$3,4,1)),MIN(J921,DATE(Einstellungen!$C$3,5,0)),Einstellungen!$F$13:$F$32)))</f>
        <v/>
      </c>
      <c r="P921" s="49">
        <f>IF(OR(A921="",D921=""),0,MAX(0,NETWORKDAYS(MAX(D921,DATE(Einstellungen!$C$3,5,1)),MIN(J921,DATE(Einstellungen!$C$3,6,0)),Einstellungen!$F$13:$F$32)))</f>
        <v/>
      </c>
      <c r="Q921" s="49">
        <f>IF(OR(A921="",D921=""),0,MAX(0,NETWORKDAYS(MAX(D921,DATE(Einstellungen!$C$3,6,1)),MIN(J921,DATE(Einstellungen!$C$3,7,0)),Einstellungen!$F$13:$F$32)))</f>
        <v/>
      </c>
      <c r="R921" s="49">
        <f>IF(OR(A921="",D921=""),0,MAX(0,NETWORKDAYS(MAX(D921,DATE(Einstellungen!$C$3,7,1)),MIN(J921,DATE(Einstellungen!$C$3,8,0)),Einstellungen!$F$13:$F$32)))</f>
        <v/>
      </c>
      <c r="S921" s="49">
        <f>IF(OR(A921="",D921=""),0,MAX(0,NETWORKDAYS(MAX(D921,DATE(Einstellungen!$C$3,8,1)),MIN(J921,DATE(Einstellungen!$C$3,9,0)),Einstellungen!$F$13:$F$32)))</f>
        <v/>
      </c>
      <c r="T921" s="49">
        <f>IF(OR(A921="",D921=""),0,MAX(0,NETWORKDAYS(MAX(D921,DATE(Einstellungen!$C$3,9,1)),MIN(J921,DATE(Einstellungen!$C$3,10,0)),Einstellungen!$F$13:$F$32)))</f>
        <v/>
      </c>
      <c r="U921" s="49">
        <f>IF(OR(A921="",D921=""),0,MAX(0,NETWORKDAYS(MAX(D921,DATE(Einstellungen!$C$3,10,1)),MIN(J921,DATE(Einstellungen!$C$3,11,0)),Einstellungen!$F$13:$F$32)))</f>
        <v/>
      </c>
      <c r="V921" s="49">
        <f>IF(OR(A921="",D921=""),0,MAX(0,NETWORKDAYS(MAX(D921,DATE(Einstellungen!$C$3,11,1)),MIN(J921,DATE(Einstellungen!$C$3,12,0)),Einstellungen!$F$13:$F$32)))</f>
        <v/>
      </c>
      <c r="W921" s="49">
        <f>IF(OR(A921="",D921=""),0,MAX(0,NETWORKDAYS(MAX(D921,DATE(Einstellungen!$C$3,12,1)),MIN(J921,DATE(Einstellungen!$C$3,13,0)),Einstellungen!$F$13:$F$32)))</f>
        <v/>
      </c>
      <c r="X921" s="50">
        <f>L921*K921</f>
        <v/>
      </c>
      <c r="Y921" s="50">
        <f>M921*K921</f>
        <v/>
      </c>
      <c r="Z921" s="50">
        <f>N921*K921</f>
        <v/>
      </c>
      <c r="AA921" s="50">
        <f>O921*K921</f>
        <v/>
      </c>
      <c r="AB921" s="50">
        <f>P921*K921</f>
        <v/>
      </c>
      <c r="AC921" s="50">
        <f>Q921*K921</f>
        <v/>
      </c>
      <c r="AD921" s="50">
        <f>R921*K921</f>
        <v/>
      </c>
      <c r="AE921" s="50">
        <f>S921*K921</f>
        <v/>
      </c>
      <c r="AF921" s="50">
        <f>T921*K921</f>
        <v/>
      </c>
      <c r="AG921" s="50">
        <f>U921*K921</f>
        <v/>
      </c>
      <c r="AH921" s="50">
        <f>V921*K921</f>
        <v/>
      </c>
      <c r="AI921" s="50">
        <f>W921*K921</f>
        <v/>
      </c>
    </row>
    <row r="922">
      <c r="A922" s="25" t="n"/>
      <c r="B922" s="45">
        <f>IF(A922="","",IFERROR(INDEX(Mitarbeiter!$B$6:$B$205,MATCH($A922,Mitarbeiter!$A$6:$A$205,0)),"?"))</f>
        <v/>
      </c>
      <c r="C922" s="46" t="n"/>
      <c r="D922" s="26" t="n"/>
      <c r="E922" s="26" t="n"/>
      <c r="F922" s="24">
        <f>IF(A922="","",SUM(L922:W922))</f>
        <v/>
      </c>
      <c r="G922" s="36">
        <f>IF(A922="","",SUM(X922:AI922))</f>
        <v/>
      </c>
      <c r="H922" s="8">
        <f>IF(A922="","",IF(ISNA(MATCH(A922,Mitarbeiter!$A$6:$A$205,0)),"Pers.-Nr. unbekannt",IF(D922="","Von fehlt",IF(AND(C922&lt;&gt;Einstellungen!$C$4,C922&lt;&gt;Einstellungen!$C$5),"Objekt fehlt",IF(J922&lt;D922,"Bis vor Von",IF(D922&lt;INDEX(Mitarbeiter!$C$6:$C$205,MATCH($A922,Mitarbeiter!$A$6:$A$205,0)),"vor Eintritt",IF(AND(INDEX(Mitarbeiter!$D$6:$D$205,MATCH($A922,Mitarbeiter!$A$6:$A$205,0))&lt;&gt;"",D922&gt;INDEX(Mitarbeiter!$D$6:$D$205,MATCH($A922,Mitarbeiter!$A$6:$A$205,0))),"nach Austritt",IF(E922="","offen","ok"))))))))</f>
        <v/>
      </c>
      <c r="J922" s="47">
        <f>IF(A922="","",IF(E922="",Einstellungen!$C$9,E922))</f>
        <v/>
      </c>
      <c r="K922" s="48">
        <f>IF(A922="",0,IFERROR(INDEX(Mitarbeiter!$F$6:$F$205,MATCH($A922,Mitarbeiter!$A$6:$A$205,0)),0))</f>
        <v/>
      </c>
      <c r="L922" s="49">
        <f>IF(OR(A922="",D922=""),0,MAX(0,NETWORKDAYS(MAX(D922,DATE(Einstellungen!$C$3,1,1)),MIN(J922,DATE(Einstellungen!$C$3,2,0)),Einstellungen!$F$13:$F$32)))</f>
        <v/>
      </c>
      <c r="M922" s="49">
        <f>IF(OR(A922="",D922=""),0,MAX(0,NETWORKDAYS(MAX(D922,DATE(Einstellungen!$C$3,2,1)),MIN(J922,DATE(Einstellungen!$C$3,3,0)),Einstellungen!$F$13:$F$32)))</f>
        <v/>
      </c>
      <c r="N922" s="49">
        <f>IF(OR(A922="",D922=""),0,MAX(0,NETWORKDAYS(MAX(D922,DATE(Einstellungen!$C$3,3,1)),MIN(J922,DATE(Einstellungen!$C$3,4,0)),Einstellungen!$F$13:$F$32)))</f>
        <v/>
      </c>
      <c r="O922" s="49">
        <f>IF(OR(A922="",D922=""),0,MAX(0,NETWORKDAYS(MAX(D922,DATE(Einstellungen!$C$3,4,1)),MIN(J922,DATE(Einstellungen!$C$3,5,0)),Einstellungen!$F$13:$F$32)))</f>
        <v/>
      </c>
      <c r="P922" s="49">
        <f>IF(OR(A922="",D922=""),0,MAX(0,NETWORKDAYS(MAX(D922,DATE(Einstellungen!$C$3,5,1)),MIN(J922,DATE(Einstellungen!$C$3,6,0)),Einstellungen!$F$13:$F$32)))</f>
        <v/>
      </c>
      <c r="Q922" s="49">
        <f>IF(OR(A922="",D922=""),0,MAX(0,NETWORKDAYS(MAX(D922,DATE(Einstellungen!$C$3,6,1)),MIN(J922,DATE(Einstellungen!$C$3,7,0)),Einstellungen!$F$13:$F$32)))</f>
        <v/>
      </c>
      <c r="R922" s="49">
        <f>IF(OR(A922="",D922=""),0,MAX(0,NETWORKDAYS(MAX(D922,DATE(Einstellungen!$C$3,7,1)),MIN(J922,DATE(Einstellungen!$C$3,8,0)),Einstellungen!$F$13:$F$32)))</f>
        <v/>
      </c>
      <c r="S922" s="49">
        <f>IF(OR(A922="",D922=""),0,MAX(0,NETWORKDAYS(MAX(D922,DATE(Einstellungen!$C$3,8,1)),MIN(J922,DATE(Einstellungen!$C$3,9,0)),Einstellungen!$F$13:$F$32)))</f>
        <v/>
      </c>
      <c r="T922" s="49">
        <f>IF(OR(A922="",D922=""),0,MAX(0,NETWORKDAYS(MAX(D922,DATE(Einstellungen!$C$3,9,1)),MIN(J922,DATE(Einstellungen!$C$3,10,0)),Einstellungen!$F$13:$F$32)))</f>
        <v/>
      </c>
      <c r="U922" s="49">
        <f>IF(OR(A922="",D922=""),0,MAX(0,NETWORKDAYS(MAX(D922,DATE(Einstellungen!$C$3,10,1)),MIN(J922,DATE(Einstellungen!$C$3,11,0)),Einstellungen!$F$13:$F$32)))</f>
        <v/>
      </c>
      <c r="V922" s="49">
        <f>IF(OR(A922="",D922=""),0,MAX(0,NETWORKDAYS(MAX(D922,DATE(Einstellungen!$C$3,11,1)),MIN(J922,DATE(Einstellungen!$C$3,12,0)),Einstellungen!$F$13:$F$32)))</f>
        <v/>
      </c>
      <c r="W922" s="49">
        <f>IF(OR(A922="",D922=""),0,MAX(0,NETWORKDAYS(MAX(D922,DATE(Einstellungen!$C$3,12,1)),MIN(J922,DATE(Einstellungen!$C$3,13,0)),Einstellungen!$F$13:$F$32)))</f>
        <v/>
      </c>
      <c r="X922" s="50">
        <f>L922*K922</f>
        <v/>
      </c>
      <c r="Y922" s="50">
        <f>M922*K922</f>
        <v/>
      </c>
      <c r="Z922" s="50">
        <f>N922*K922</f>
        <v/>
      </c>
      <c r="AA922" s="50">
        <f>O922*K922</f>
        <v/>
      </c>
      <c r="AB922" s="50">
        <f>P922*K922</f>
        <v/>
      </c>
      <c r="AC922" s="50">
        <f>Q922*K922</f>
        <v/>
      </c>
      <c r="AD922" s="50">
        <f>R922*K922</f>
        <v/>
      </c>
      <c r="AE922" s="50">
        <f>S922*K922</f>
        <v/>
      </c>
      <c r="AF922" s="50">
        <f>T922*K922</f>
        <v/>
      </c>
      <c r="AG922" s="50">
        <f>U922*K922</f>
        <v/>
      </c>
      <c r="AH922" s="50">
        <f>V922*K922</f>
        <v/>
      </c>
      <c r="AI922" s="50">
        <f>W922*K922</f>
        <v/>
      </c>
    </row>
    <row r="923">
      <c r="A923" s="25" t="n"/>
      <c r="B923" s="45">
        <f>IF(A923="","",IFERROR(INDEX(Mitarbeiter!$B$6:$B$205,MATCH($A923,Mitarbeiter!$A$6:$A$205,0)),"?"))</f>
        <v/>
      </c>
      <c r="C923" s="46" t="n"/>
      <c r="D923" s="26" t="n"/>
      <c r="E923" s="26" t="n"/>
      <c r="F923" s="24">
        <f>IF(A923="","",SUM(L923:W923))</f>
        <v/>
      </c>
      <c r="G923" s="36">
        <f>IF(A923="","",SUM(X923:AI923))</f>
        <v/>
      </c>
      <c r="H923" s="8">
        <f>IF(A923="","",IF(ISNA(MATCH(A923,Mitarbeiter!$A$6:$A$205,0)),"Pers.-Nr. unbekannt",IF(D923="","Von fehlt",IF(AND(C923&lt;&gt;Einstellungen!$C$4,C923&lt;&gt;Einstellungen!$C$5),"Objekt fehlt",IF(J923&lt;D923,"Bis vor Von",IF(D923&lt;INDEX(Mitarbeiter!$C$6:$C$205,MATCH($A923,Mitarbeiter!$A$6:$A$205,0)),"vor Eintritt",IF(AND(INDEX(Mitarbeiter!$D$6:$D$205,MATCH($A923,Mitarbeiter!$A$6:$A$205,0))&lt;&gt;"",D923&gt;INDEX(Mitarbeiter!$D$6:$D$205,MATCH($A923,Mitarbeiter!$A$6:$A$205,0))),"nach Austritt",IF(E923="","offen","ok"))))))))</f>
        <v/>
      </c>
      <c r="J923" s="47">
        <f>IF(A923="","",IF(E923="",Einstellungen!$C$9,E923))</f>
        <v/>
      </c>
      <c r="K923" s="48">
        <f>IF(A923="",0,IFERROR(INDEX(Mitarbeiter!$F$6:$F$205,MATCH($A923,Mitarbeiter!$A$6:$A$205,0)),0))</f>
        <v/>
      </c>
      <c r="L923" s="49">
        <f>IF(OR(A923="",D923=""),0,MAX(0,NETWORKDAYS(MAX(D923,DATE(Einstellungen!$C$3,1,1)),MIN(J923,DATE(Einstellungen!$C$3,2,0)),Einstellungen!$F$13:$F$32)))</f>
        <v/>
      </c>
      <c r="M923" s="49">
        <f>IF(OR(A923="",D923=""),0,MAX(0,NETWORKDAYS(MAX(D923,DATE(Einstellungen!$C$3,2,1)),MIN(J923,DATE(Einstellungen!$C$3,3,0)),Einstellungen!$F$13:$F$32)))</f>
        <v/>
      </c>
      <c r="N923" s="49">
        <f>IF(OR(A923="",D923=""),0,MAX(0,NETWORKDAYS(MAX(D923,DATE(Einstellungen!$C$3,3,1)),MIN(J923,DATE(Einstellungen!$C$3,4,0)),Einstellungen!$F$13:$F$32)))</f>
        <v/>
      </c>
      <c r="O923" s="49">
        <f>IF(OR(A923="",D923=""),0,MAX(0,NETWORKDAYS(MAX(D923,DATE(Einstellungen!$C$3,4,1)),MIN(J923,DATE(Einstellungen!$C$3,5,0)),Einstellungen!$F$13:$F$32)))</f>
        <v/>
      </c>
      <c r="P923" s="49">
        <f>IF(OR(A923="",D923=""),0,MAX(0,NETWORKDAYS(MAX(D923,DATE(Einstellungen!$C$3,5,1)),MIN(J923,DATE(Einstellungen!$C$3,6,0)),Einstellungen!$F$13:$F$32)))</f>
        <v/>
      </c>
      <c r="Q923" s="49">
        <f>IF(OR(A923="",D923=""),0,MAX(0,NETWORKDAYS(MAX(D923,DATE(Einstellungen!$C$3,6,1)),MIN(J923,DATE(Einstellungen!$C$3,7,0)),Einstellungen!$F$13:$F$32)))</f>
        <v/>
      </c>
      <c r="R923" s="49">
        <f>IF(OR(A923="",D923=""),0,MAX(0,NETWORKDAYS(MAX(D923,DATE(Einstellungen!$C$3,7,1)),MIN(J923,DATE(Einstellungen!$C$3,8,0)),Einstellungen!$F$13:$F$32)))</f>
        <v/>
      </c>
      <c r="S923" s="49">
        <f>IF(OR(A923="",D923=""),0,MAX(0,NETWORKDAYS(MAX(D923,DATE(Einstellungen!$C$3,8,1)),MIN(J923,DATE(Einstellungen!$C$3,9,0)),Einstellungen!$F$13:$F$32)))</f>
        <v/>
      </c>
      <c r="T923" s="49">
        <f>IF(OR(A923="",D923=""),0,MAX(0,NETWORKDAYS(MAX(D923,DATE(Einstellungen!$C$3,9,1)),MIN(J923,DATE(Einstellungen!$C$3,10,0)),Einstellungen!$F$13:$F$32)))</f>
        <v/>
      </c>
      <c r="U923" s="49">
        <f>IF(OR(A923="",D923=""),0,MAX(0,NETWORKDAYS(MAX(D923,DATE(Einstellungen!$C$3,10,1)),MIN(J923,DATE(Einstellungen!$C$3,11,0)),Einstellungen!$F$13:$F$32)))</f>
        <v/>
      </c>
      <c r="V923" s="49">
        <f>IF(OR(A923="",D923=""),0,MAX(0,NETWORKDAYS(MAX(D923,DATE(Einstellungen!$C$3,11,1)),MIN(J923,DATE(Einstellungen!$C$3,12,0)),Einstellungen!$F$13:$F$32)))</f>
        <v/>
      </c>
      <c r="W923" s="49">
        <f>IF(OR(A923="",D923=""),0,MAX(0,NETWORKDAYS(MAX(D923,DATE(Einstellungen!$C$3,12,1)),MIN(J923,DATE(Einstellungen!$C$3,13,0)),Einstellungen!$F$13:$F$32)))</f>
        <v/>
      </c>
      <c r="X923" s="50">
        <f>L923*K923</f>
        <v/>
      </c>
      <c r="Y923" s="50">
        <f>M923*K923</f>
        <v/>
      </c>
      <c r="Z923" s="50">
        <f>N923*K923</f>
        <v/>
      </c>
      <c r="AA923" s="50">
        <f>O923*K923</f>
        <v/>
      </c>
      <c r="AB923" s="50">
        <f>P923*K923</f>
        <v/>
      </c>
      <c r="AC923" s="50">
        <f>Q923*K923</f>
        <v/>
      </c>
      <c r="AD923" s="50">
        <f>R923*K923</f>
        <v/>
      </c>
      <c r="AE923" s="50">
        <f>S923*K923</f>
        <v/>
      </c>
      <c r="AF923" s="50">
        <f>T923*K923</f>
        <v/>
      </c>
      <c r="AG923" s="50">
        <f>U923*K923</f>
        <v/>
      </c>
      <c r="AH923" s="50">
        <f>V923*K923</f>
        <v/>
      </c>
      <c r="AI923" s="50">
        <f>W923*K923</f>
        <v/>
      </c>
    </row>
    <row r="924">
      <c r="A924" s="25" t="n"/>
      <c r="B924" s="45">
        <f>IF(A924="","",IFERROR(INDEX(Mitarbeiter!$B$6:$B$205,MATCH($A924,Mitarbeiter!$A$6:$A$205,0)),"?"))</f>
        <v/>
      </c>
      <c r="C924" s="46" t="n"/>
      <c r="D924" s="26" t="n"/>
      <c r="E924" s="26" t="n"/>
      <c r="F924" s="24">
        <f>IF(A924="","",SUM(L924:W924))</f>
        <v/>
      </c>
      <c r="G924" s="36">
        <f>IF(A924="","",SUM(X924:AI924))</f>
        <v/>
      </c>
      <c r="H924" s="8">
        <f>IF(A924="","",IF(ISNA(MATCH(A924,Mitarbeiter!$A$6:$A$205,0)),"Pers.-Nr. unbekannt",IF(D924="","Von fehlt",IF(AND(C924&lt;&gt;Einstellungen!$C$4,C924&lt;&gt;Einstellungen!$C$5),"Objekt fehlt",IF(J924&lt;D924,"Bis vor Von",IF(D924&lt;INDEX(Mitarbeiter!$C$6:$C$205,MATCH($A924,Mitarbeiter!$A$6:$A$205,0)),"vor Eintritt",IF(AND(INDEX(Mitarbeiter!$D$6:$D$205,MATCH($A924,Mitarbeiter!$A$6:$A$205,0))&lt;&gt;"",D924&gt;INDEX(Mitarbeiter!$D$6:$D$205,MATCH($A924,Mitarbeiter!$A$6:$A$205,0))),"nach Austritt",IF(E924="","offen","ok"))))))))</f>
        <v/>
      </c>
      <c r="J924" s="47">
        <f>IF(A924="","",IF(E924="",Einstellungen!$C$9,E924))</f>
        <v/>
      </c>
      <c r="K924" s="48">
        <f>IF(A924="",0,IFERROR(INDEX(Mitarbeiter!$F$6:$F$205,MATCH($A924,Mitarbeiter!$A$6:$A$205,0)),0))</f>
        <v/>
      </c>
      <c r="L924" s="49">
        <f>IF(OR(A924="",D924=""),0,MAX(0,NETWORKDAYS(MAX(D924,DATE(Einstellungen!$C$3,1,1)),MIN(J924,DATE(Einstellungen!$C$3,2,0)),Einstellungen!$F$13:$F$32)))</f>
        <v/>
      </c>
      <c r="M924" s="49">
        <f>IF(OR(A924="",D924=""),0,MAX(0,NETWORKDAYS(MAX(D924,DATE(Einstellungen!$C$3,2,1)),MIN(J924,DATE(Einstellungen!$C$3,3,0)),Einstellungen!$F$13:$F$32)))</f>
        <v/>
      </c>
      <c r="N924" s="49">
        <f>IF(OR(A924="",D924=""),0,MAX(0,NETWORKDAYS(MAX(D924,DATE(Einstellungen!$C$3,3,1)),MIN(J924,DATE(Einstellungen!$C$3,4,0)),Einstellungen!$F$13:$F$32)))</f>
        <v/>
      </c>
      <c r="O924" s="49">
        <f>IF(OR(A924="",D924=""),0,MAX(0,NETWORKDAYS(MAX(D924,DATE(Einstellungen!$C$3,4,1)),MIN(J924,DATE(Einstellungen!$C$3,5,0)),Einstellungen!$F$13:$F$32)))</f>
        <v/>
      </c>
      <c r="P924" s="49">
        <f>IF(OR(A924="",D924=""),0,MAX(0,NETWORKDAYS(MAX(D924,DATE(Einstellungen!$C$3,5,1)),MIN(J924,DATE(Einstellungen!$C$3,6,0)),Einstellungen!$F$13:$F$32)))</f>
        <v/>
      </c>
      <c r="Q924" s="49">
        <f>IF(OR(A924="",D924=""),0,MAX(0,NETWORKDAYS(MAX(D924,DATE(Einstellungen!$C$3,6,1)),MIN(J924,DATE(Einstellungen!$C$3,7,0)),Einstellungen!$F$13:$F$32)))</f>
        <v/>
      </c>
      <c r="R924" s="49">
        <f>IF(OR(A924="",D924=""),0,MAX(0,NETWORKDAYS(MAX(D924,DATE(Einstellungen!$C$3,7,1)),MIN(J924,DATE(Einstellungen!$C$3,8,0)),Einstellungen!$F$13:$F$32)))</f>
        <v/>
      </c>
      <c r="S924" s="49">
        <f>IF(OR(A924="",D924=""),0,MAX(0,NETWORKDAYS(MAX(D924,DATE(Einstellungen!$C$3,8,1)),MIN(J924,DATE(Einstellungen!$C$3,9,0)),Einstellungen!$F$13:$F$32)))</f>
        <v/>
      </c>
      <c r="T924" s="49">
        <f>IF(OR(A924="",D924=""),0,MAX(0,NETWORKDAYS(MAX(D924,DATE(Einstellungen!$C$3,9,1)),MIN(J924,DATE(Einstellungen!$C$3,10,0)),Einstellungen!$F$13:$F$32)))</f>
        <v/>
      </c>
      <c r="U924" s="49">
        <f>IF(OR(A924="",D924=""),0,MAX(0,NETWORKDAYS(MAX(D924,DATE(Einstellungen!$C$3,10,1)),MIN(J924,DATE(Einstellungen!$C$3,11,0)),Einstellungen!$F$13:$F$32)))</f>
        <v/>
      </c>
      <c r="V924" s="49">
        <f>IF(OR(A924="",D924=""),0,MAX(0,NETWORKDAYS(MAX(D924,DATE(Einstellungen!$C$3,11,1)),MIN(J924,DATE(Einstellungen!$C$3,12,0)),Einstellungen!$F$13:$F$32)))</f>
        <v/>
      </c>
      <c r="W924" s="49">
        <f>IF(OR(A924="",D924=""),0,MAX(0,NETWORKDAYS(MAX(D924,DATE(Einstellungen!$C$3,12,1)),MIN(J924,DATE(Einstellungen!$C$3,13,0)),Einstellungen!$F$13:$F$32)))</f>
        <v/>
      </c>
      <c r="X924" s="50">
        <f>L924*K924</f>
        <v/>
      </c>
      <c r="Y924" s="50">
        <f>M924*K924</f>
        <v/>
      </c>
      <c r="Z924" s="50">
        <f>N924*K924</f>
        <v/>
      </c>
      <c r="AA924" s="50">
        <f>O924*K924</f>
        <v/>
      </c>
      <c r="AB924" s="50">
        <f>P924*K924</f>
        <v/>
      </c>
      <c r="AC924" s="50">
        <f>Q924*K924</f>
        <v/>
      </c>
      <c r="AD924" s="50">
        <f>R924*K924</f>
        <v/>
      </c>
      <c r="AE924" s="50">
        <f>S924*K924</f>
        <v/>
      </c>
      <c r="AF924" s="50">
        <f>T924*K924</f>
        <v/>
      </c>
      <c r="AG924" s="50">
        <f>U924*K924</f>
        <v/>
      </c>
      <c r="AH924" s="50">
        <f>V924*K924</f>
        <v/>
      </c>
      <c r="AI924" s="50">
        <f>W924*K924</f>
        <v/>
      </c>
    </row>
    <row r="925">
      <c r="A925" s="25" t="n"/>
      <c r="B925" s="45">
        <f>IF(A925="","",IFERROR(INDEX(Mitarbeiter!$B$6:$B$205,MATCH($A925,Mitarbeiter!$A$6:$A$205,0)),"?"))</f>
        <v/>
      </c>
      <c r="C925" s="46" t="n"/>
      <c r="D925" s="26" t="n"/>
      <c r="E925" s="26" t="n"/>
      <c r="F925" s="24">
        <f>IF(A925="","",SUM(L925:W925))</f>
        <v/>
      </c>
      <c r="G925" s="36">
        <f>IF(A925="","",SUM(X925:AI925))</f>
        <v/>
      </c>
      <c r="H925" s="8">
        <f>IF(A925="","",IF(ISNA(MATCH(A925,Mitarbeiter!$A$6:$A$205,0)),"Pers.-Nr. unbekannt",IF(D925="","Von fehlt",IF(AND(C925&lt;&gt;Einstellungen!$C$4,C925&lt;&gt;Einstellungen!$C$5),"Objekt fehlt",IF(J925&lt;D925,"Bis vor Von",IF(D925&lt;INDEX(Mitarbeiter!$C$6:$C$205,MATCH($A925,Mitarbeiter!$A$6:$A$205,0)),"vor Eintritt",IF(AND(INDEX(Mitarbeiter!$D$6:$D$205,MATCH($A925,Mitarbeiter!$A$6:$A$205,0))&lt;&gt;"",D925&gt;INDEX(Mitarbeiter!$D$6:$D$205,MATCH($A925,Mitarbeiter!$A$6:$A$205,0))),"nach Austritt",IF(E925="","offen","ok"))))))))</f>
        <v/>
      </c>
      <c r="J925" s="47">
        <f>IF(A925="","",IF(E925="",Einstellungen!$C$9,E925))</f>
        <v/>
      </c>
      <c r="K925" s="48">
        <f>IF(A925="",0,IFERROR(INDEX(Mitarbeiter!$F$6:$F$205,MATCH($A925,Mitarbeiter!$A$6:$A$205,0)),0))</f>
        <v/>
      </c>
      <c r="L925" s="49">
        <f>IF(OR(A925="",D925=""),0,MAX(0,NETWORKDAYS(MAX(D925,DATE(Einstellungen!$C$3,1,1)),MIN(J925,DATE(Einstellungen!$C$3,2,0)),Einstellungen!$F$13:$F$32)))</f>
        <v/>
      </c>
      <c r="M925" s="49">
        <f>IF(OR(A925="",D925=""),0,MAX(0,NETWORKDAYS(MAX(D925,DATE(Einstellungen!$C$3,2,1)),MIN(J925,DATE(Einstellungen!$C$3,3,0)),Einstellungen!$F$13:$F$32)))</f>
        <v/>
      </c>
      <c r="N925" s="49">
        <f>IF(OR(A925="",D925=""),0,MAX(0,NETWORKDAYS(MAX(D925,DATE(Einstellungen!$C$3,3,1)),MIN(J925,DATE(Einstellungen!$C$3,4,0)),Einstellungen!$F$13:$F$32)))</f>
        <v/>
      </c>
      <c r="O925" s="49">
        <f>IF(OR(A925="",D925=""),0,MAX(0,NETWORKDAYS(MAX(D925,DATE(Einstellungen!$C$3,4,1)),MIN(J925,DATE(Einstellungen!$C$3,5,0)),Einstellungen!$F$13:$F$32)))</f>
        <v/>
      </c>
      <c r="P925" s="49">
        <f>IF(OR(A925="",D925=""),0,MAX(0,NETWORKDAYS(MAX(D925,DATE(Einstellungen!$C$3,5,1)),MIN(J925,DATE(Einstellungen!$C$3,6,0)),Einstellungen!$F$13:$F$32)))</f>
        <v/>
      </c>
      <c r="Q925" s="49">
        <f>IF(OR(A925="",D925=""),0,MAX(0,NETWORKDAYS(MAX(D925,DATE(Einstellungen!$C$3,6,1)),MIN(J925,DATE(Einstellungen!$C$3,7,0)),Einstellungen!$F$13:$F$32)))</f>
        <v/>
      </c>
      <c r="R925" s="49">
        <f>IF(OR(A925="",D925=""),0,MAX(0,NETWORKDAYS(MAX(D925,DATE(Einstellungen!$C$3,7,1)),MIN(J925,DATE(Einstellungen!$C$3,8,0)),Einstellungen!$F$13:$F$32)))</f>
        <v/>
      </c>
      <c r="S925" s="49">
        <f>IF(OR(A925="",D925=""),0,MAX(0,NETWORKDAYS(MAX(D925,DATE(Einstellungen!$C$3,8,1)),MIN(J925,DATE(Einstellungen!$C$3,9,0)),Einstellungen!$F$13:$F$32)))</f>
        <v/>
      </c>
      <c r="T925" s="49">
        <f>IF(OR(A925="",D925=""),0,MAX(0,NETWORKDAYS(MAX(D925,DATE(Einstellungen!$C$3,9,1)),MIN(J925,DATE(Einstellungen!$C$3,10,0)),Einstellungen!$F$13:$F$32)))</f>
        <v/>
      </c>
      <c r="U925" s="49">
        <f>IF(OR(A925="",D925=""),0,MAX(0,NETWORKDAYS(MAX(D925,DATE(Einstellungen!$C$3,10,1)),MIN(J925,DATE(Einstellungen!$C$3,11,0)),Einstellungen!$F$13:$F$32)))</f>
        <v/>
      </c>
      <c r="V925" s="49">
        <f>IF(OR(A925="",D925=""),0,MAX(0,NETWORKDAYS(MAX(D925,DATE(Einstellungen!$C$3,11,1)),MIN(J925,DATE(Einstellungen!$C$3,12,0)),Einstellungen!$F$13:$F$32)))</f>
        <v/>
      </c>
      <c r="W925" s="49">
        <f>IF(OR(A925="",D925=""),0,MAX(0,NETWORKDAYS(MAX(D925,DATE(Einstellungen!$C$3,12,1)),MIN(J925,DATE(Einstellungen!$C$3,13,0)),Einstellungen!$F$13:$F$32)))</f>
        <v/>
      </c>
      <c r="X925" s="50">
        <f>L925*K925</f>
        <v/>
      </c>
      <c r="Y925" s="50">
        <f>M925*K925</f>
        <v/>
      </c>
      <c r="Z925" s="50">
        <f>N925*K925</f>
        <v/>
      </c>
      <c r="AA925" s="50">
        <f>O925*K925</f>
        <v/>
      </c>
      <c r="AB925" s="50">
        <f>P925*K925</f>
        <v/>
      </c>
      <c r="AC925" s="50">
        <f>Q925*K925</f>
        <v/>
      </c>
      <c r="AD925" s="50">
        <f>R925*K925</f>
        <v/>
      </c>
      <c r="AE925" s="50">
        <f>S925*K925</f>
        <v/>
      </c>
      <c r="AF925" s="50">
        <f>T925*K925</f>
        <v/>
      </c>
      <c r="AG925" s="50">
        <f>U925*K925</f>
        <v/>
      </c>
      <c r="AH925" s="50">
        <f>V925*K925</f>
        <v/>
      </c>
      <c r="AI925" s="50">
        <f>W925*K925</f>
        <v/>
      </c>
    </row>
    <row r="926">
      <c r="A926" s="25" t="n"/>
      <c r="B926" s="45">
        <f>IF(A926="","",IFERROR(INDEX(Mitarbeiter!$B$6:$B$205,MATCH($A926,Mitarbeiter!$A$6:$A$205,0)),"?"))</f>
        <v/>
      </c>
      <c r="C926" s="46" t="n"/>
      <c r="D926" s="26" t="n"/>
      <c r="E926" s="26" t="n"/>
      <c r="F926" s="24">
        <f>IF(A926="","",SUM(L926:W926))</f>
        <v/>
      </c>
      <c r="G926" s="36">
        <f>IF(A926="","",SUM(X926:AI926))</f>
        <v/>
      </c>
      <c r="H926" s="8">
        <f>IF(A926="","",IF(ISNA(MATCH(A926,Mitarbeiter!$A$6:$A$205,0)),"Pers.-Nr. unbekannt",IF(D926="","Von fehlt",IF(AND(C926&lt;&gt;Einstellungen!$C$4,C926&lt;&gt;Einstellungen!$C$5),"Objekt fehlt",IF(J926&lt;D926,"Bis vor Von",IF(D926&lt;INDEX(Mitarbeiter!$C$6:$C$205,MATCH($A926,Mitarbeiter!$A$6:$A$205,0)),"vor Eintritt",IF(AND(INDEX(Mitarbeiter!$D$6:$D$205,MATCH($A926,Mitarbeiter!$A$6:$A$205,0))&lt;&gt;"",D926&gt;INDEX(Mitarbeiter!$D$6:$D$205,MATCH($A926,Mitarbeiter!$A$6:$A$205,0))),"nach Austritt",IF(E926="","offen","ok"))))))))</f>
        <v/>
      </c>
      <c r="J926" s="47">
        <f>IF(A926="","",IF(E926="",Einstellungen!$C$9,E926))</f>
        <v/>
      </c>
      <c r="K926" s="48">
        <f>IF(A926="",0,IFERROR(INDEX(Mitarbeiter!$F$6:$F$205,MATCH($A926,Mitarbeiter!$A$6:$A$205,0)),0))</f>
        <v/>
      </c>
      <c r="L926" s="49">
        <f>IF(OR(A926="",D926=""),0,MAX(0,NETWORKDAYS(MAX(D926,DATE(Einstellungen!$C$3,1,1)),MIN(J926,DATE(Einstellungen!$C$3,2,0)),Einstellungen!$F$13:$F$32)))</f>
        <v/>
      </c>
      <c r="M926" s="49">
        <f>IF(OR(A926="",D926=""),0,MAX(0,NETWORKDAYS(MAX(D926,DATE(Einstellungen!$C$3,2,1)),MIN(J926,DATE(Einstellungen!$C$3,3,0)),Einstellungen!$F$13:$F$32)))</f>
        <v/>
      </c>
      <c r="N926" s="49">
        <f>IF(OR(A926="",D926=""),0,MAX(0,NETWORKDAYS(MAX(D926,DATE(Einstellungen!$C$3,3,1)),MIN(J926,DATE(Einstellungen!$C$3,4,0)),Einstellungen!$F$13:$F$32)))</f>
        <v/>
      </c>
      <c r="O926" s="49">
        <f>IF(OR(A926="",D926=""),0,MAX(0,NETWORKDAYS(MAX(D926,DATE(Einstellungen!$C$3,4,1)),MIN(J926,DATE(Einstellungen!$C$3,5,0)),Einstellungen!$F$13:$F$32)))</f>
        <v/>
      </c>
      <c r="P926" s="49">
        <f>IF(OR(A926="",D926=""),0,MAX(0,NETWORKDAYS(MAX(D926,DATE(Einstellungen!$C$3,5,1)),MIN(J926,DATE(Einstellungen!$C$3,6,0)),Einstellungen!$F$13:$F$32)))</f>
        <v/>
      </c>
      <c r="Q926" s="49">
        <f>IF(OR(A926="",D926=""),0,MAX(0,NETWORKDAYS(MAX(D926,DATE(Einstellungen!$C$3,6,1)),MIN(J926,DATE(Einstellungen!$C$3,7,0)),Einstellungen!$F$13:$F$32)))</f>
        <v/>
      </c>
      <c r="R926" s="49">
        <f>IF(OR(A926="",D926=""),0,MAX(0,NETWORKDAYS(MAX(D926,DATE(Einstellungen!$C$3,7,1)),MIN(J926,DATE(Einstellungen!$C$3,8,0)),Einstellungen!$F$13:$F$32)))</f>
        <v/>
      </c>
      <c r="S926" s="49">
        <f>IF(OR(A926="",D926=""),0,MAX(0,NETWORKDAYS(MAX(D926,DATE(Einstellungen!$C$3,8,1)),MIN(J926,DATE(Einstellungen!$C$3,9,0)),Einstellungen!$F$13:$F$32)))</f>
        <v/>
      </c>
      <c r="T926" s="49">
        <f>IF(OR(A926="",D926=""),0,MAX(0,NETWORKDAYS(MAX(D926,DATE(Einstellungen!$C$3,9,1)),MIN(J926,DATE(Einstellungen!$C$3,10,0)),Einstellungen!$F$13:$F$32)))</f>
        <v/>
      </c>
      <c r="U926" s="49">
        <f>IF(OR(A926="",D926=""),0,MAX(0,NETWORKDAYS(MAX(D926,DATE(Einstellungen!$C$3,10,1)),MIN(J926,DATE(Einstellungen!$C$3,11,0)),Einstellungen!$F$13:$F$32)))</f>
        <v/>
      </c>
      <c r="V926" s="49">
        <f>IF(OR(A926="",D926=""),0,MAX(0,NETWORKDAYS(MAX(D926,DATE(Einstellungen!$C$3,11,1)),MIN(J926,DATE(Einstellungen!$C$3,12,0)),Einstellungen!$F$13:$F$32)))</f>
        <v/>
      </c>
      <c r="W926" s="49">
        <f>IF(OR(A926="",D926=""),0,MAX(0,NETWORKDAYS(MAX(D926,DATE(Einstellungen!$C$3,12,1)),MIN(J926,DATE(Einstellungen!$C$3,13,0)),Einstellungen!$F$13:$F$32)))</f>
        <v/>
      </c>
      <c r="X926" s="50">
        <f>L926*K926</f>
        <v/>
      </c>
      <c r="Y926" s="50">
        <f>M926*K926</f>
        <v/>
      </c>
      <c r="Z926" s="50">
        <f>N926*K926</f>
        <v/>
      </c>
      <c r="AA926" s="50">
        <f>O926*K926</f>
        <v/>
      </c>
      <c r="AB926" s="50">
        <f>P926*K926</f>
        <v/>
      </c>
      <c r="AC926" s="50">
        <f>Q926*K926</f>
        <v/>
      </c>
      <c r="AD926" s="50">
        <f>R926*K926</f>
        <v/>
      </c>
      <c r="AE926" s="50">
        <f>S926*K926</f>
        <v/>
      </c>
      <c r="AF926" s="50">
        <f>T926*K926</f>
        <v/>
      </c>
      <c r="AG926" s="50">
        <f>U926*K926</f>
        <v/>
      </c>
      <c r="AH926" s="50">
        <f>V926*K926</f>
        <v/>
      </c>
      <c r="AI926" s="50">
        <f>W926*K926</f>
        <v/>
      </c>
    </row>
    <row r="927">
      <c r="A927" s="25" t="n"/>
      <c r="B927" s="45">
        <f>IF(A927="","",IFERROR(INDEX(Mitarbeiter!$B$6:$B$205,MATCH($A927,Mitarbeiter!$A$6:$A$205,0)),"?"))</f>
        <v/>
      </c>
      <c r="C927" s="46" t="n"/>
      <c r="D927" s="26" t="n"/>
      <c r="E927" s="26" t="n"/>
      <c r="F927" s="24">
        <f>IF(A927="","",SUM(L927:W927))</f>
        <v/>
      </c>
      <c r="G927" s="36">
        <f>IF(A927="","",SUM(X927:AI927))</f>
        <v/>
      </c>
      <c r="H927" s="8">
        <f>IF(A927="","",IF(ISNA(MATCH(A927,Mitarbeiter!$A$6:$A$205,0)),"Pers.-Nr. unbekannt",IF(D927="","Von fehlt",IF(AND(C927&lt;&gt;Einstellungen!$C$4,C927&lt;&gt;Einstellungen!$C$5),"Objekt fehlt",IF(J927&lt;D927,"Bis vor Von",IF(D927&lt;INDEX(Mitarbeiter!$C$6:$C$205,MATCH($A927,Mitarbeiter!$A$6:$A$205,0)),"vor Eintritt",IF(AND(INDEX(Mitarbeiter!$D$6:$D$205,MATCH($A927,Mitarbeiter!$A$6:$A$205,0))&lt;&gt;"",D927&gt;INDEX(Mitarbeiter!$D$6:$D$205,MATCH($A927,Mitarbeiter!$A$6:$A$205,0))),"nach Austritt",IF(E927="","offen","ok"))))))))</f>
        <v/>
      </c>
      <c r="J927" s="47">
        <f>IF(A927="","",IF(E927="",Einstellungen!$C$9,E927))</f>
        <v/>
      </c>
      <c r="K927" s="48">
        <f>IF(A927="",0,IFERROR(INDEX(Mitarbeiter!$F$6:$F$205,MATCH($A927,Mitarbeiter!$A$6:$A$205,0)),0))</f>
        <v/>
      </c>
      <c r="L927" s="49">
        <f>IF(OR(A927="",D927=""),0,MAX(0,NETWORKDAYS(MAX(D927,DATE(Einstellungen!$C$3,1,1)),MIN(J927,DATE(Einstellungen!$C$3,2,0)),Einstellungen!$F$13:$F$32)))</f>
        <v/>
      </c>
      <c r="M927" s="49">
        <f>IF(OR(A927="",D927=""),0,MAX(0,NETWORKDAYS(MAX(D927,DATE(Einstellungen!$C$3,2,1)),MIN(J927,DATE(Einstellungen!$C$3,3,0)),Einstellungen!$F$13:$F$32)))</f>
        <v/>
      </c>
      <c r="N927" s="49">
        <f>IF(OR(A927="",D927=""),0,MAX(0,NETWORKDAYS(MAX(D927,DATE(Einstellungen!$C$3,3,1)),MIN(J927,DATE(Einstellungen!$C$3,4,0)),Einstellungen!$F$13:$F$32)))</f>
        <v/>
      </c>
      <c r="O927" s="49">
        <f>IF(OR(A927="",D927=""),0,MAX(0,NETWORKDAYS(MAX(D927,DATE(Einstellungen!$C$3,4,1)),MIN(J927,DATE(Einstellungen!$C$3,5,0)),Einstellungen!$F$13:$F$32)))</f>
        <v/>
      </c>
      <c r="P927" s="49">
        <f>IF(OR(A927="",D927=""),0,MAX(0,NETWORKDAYS(MAX(D927,DATE(Einstellungen!$C$3,5,1)),MIN(J927,DATE(Einstellungen!$C$3,6,0)),Einstellungen!$F$13:$F$32)))</f>
        <v/>
      </c>
      <c r="Q927" s="49">
        <f>IF(OR(A927="",D927=""),0,MAX(0,NETWORKDAYS(MAX(D927,DATE(Einstellungen!$C$3,6,1)),MIN(J927,DATE(Einstellungen!$C$3,7,0)),Einstellungen!$F$13:$F$32)))</f>
        <v/>
      </c>
      <c r="R927" s="49">
        <f>IF(OR(A927="",D927=""),0,MAX(0,NETWORKDAYS(MAX(D927,DATE(Einstellungen!$C$3,7,1)),MIN(J927,DATE(Einstellungen!$C$3,8,0)),Einstellungen!$F$13:$F$32)))</f>
        <v/>
      </c>
      <c r="S927" s="49">
        <f>IF(OR(A927="",D927=""),0,MAX(0,NETWORKDAYS(MAX(D927,DATE(Einstellungen!$C$3,8,1)),MIN(J927,DATE(Einstellungen!$C$3,9,0)),Einstellungen!$F$13:$F$32)))</f>
        <v/>
      </c>
      <c r="T927" s="49">
        <f>IF(OR(A927="",D927=""),0,MAX(0,NETWORKDAYS(MAX(D927,DATE(Einstellungen!$C$3,9,1)),MIN(J927,DATE(Einstellungen!$C$3,10,0)),Einstellungen!$F$13:$F$32)))</f>
        <v/>
      </c>
      <c r="U927" s="49">
        <f>IF(OR(A927="",D927=""),0,MAX(0,NETWORKDAYS(MAX(D927,DATE(Einstellungen!$C$3,10,1)),MIN(J927,DATE(Einstellungen!$C$3,11,0)),Einstellungen!$F$13:$F$32)))</f>
        <v/>
      </c>
      <c r="V927" s="49">
        <f>IF(OR(A927="",D927=""),0,MAX(0,NETWORKDAYS(MAX(D927,DATE(Einstellungen!$C$3,11,1)),MIN(J927,DATE(Einstellungen!$C$3,12,0)),Einstellungen!$F$13:$F$32)))</f>
        <v/>
      </c>
      <c r="W927" s="49">
        <f>IF(OR(A927="",D927=""),0,MAX(0,NETWORKDAYS(MAX(D927,DATE(Einstellungen!$C$3,12,1)),MIN(J927,DATE(Einstellungen!$C$3,13,0)),Einstellungen!$F$13:$F$32)))</f>
        <v/>
      </c>
      <c r="X927" s="50">
        <f>L927*K927</f>
        <v/>
      </c>
      <c r="Y927" s="50">
        <f>M927*K927</f>
        <v/>
      </c>
      <c r="Z927" s="50">
        <f>N927*K927</f>
        <v/>
      </c>
      <c r="AA927" s="50">
        <f>O927*K927</f>
        <v/>
      </c>
      <c r="AB927" s="50">
        <f>P927*K927</f>
        <v/>
      </c>
      <c r="AC927" s="50">
        <f>Q927*K927</f>
        <v/>
      </c>
      <c r="AD927" s="50">
        <f>R927*K927</f>
        <v/>
      </c>
      <c r="AE927" s="50">
        <f>S927*K927</f>
        <v/>
      </c>
      <c r="AF927" s="50">
        <f>T927*K927</f>
        <v/>
      </c>
      <c r="AG927" s="50">
        <f>U927*K927</f>
        <v/>
      </c>
      <c r="AH927" s="50">
        <f>V927*K927</f>
        <v/>
      </c>
      <c r="AI927" s="50">
        <f>W927*K927</f>
        <v/>
      </c>
    </row>
    <row r="928">
      <c r="A928" s="25" t="n"/>
      <c r="B928" s="45">
        <f>IF(A928="","",IFERROR(INDEX(Mitarbeiter!$B$6:$B$205,MATCH($A928,Mitarbeiter!$A$6:$A$205,0)),"?"))</f>
        <v/>
      </c>
      <c r="C928" s="46" t="n"/>
      <c r="D928" s="26" t="n"/>
      <c r="E928" s="26" t="n"/>
      <c r="F928" s="24">
        <f>IF(A928="","",SUM(L928:W928))</f>
        <v/>
      </c>
      <c r="G928" s="36">
        <f>IF(A928="","",SUM(X928:AI928))</f>
        <v/>
      </c>
      <c r="H928" s="8">
        <f>IF(A928="","",IF(ISNA(MATCH(A928,Mitarbeiter!$A$6:$A$205,0)),"Pers.-Nr. unbekannt",IF(D928="","Von fehlt",IF(AND(C928&lt;&gt;Einstellungen!$C$4,C928&lt;&gt;Einstellungen!$C$5),"Objekt fehlt",IF(J928&lt;D928,"Bis vor Von",IF(D928&lt;INDEX(Mitarbeiter!$C$6:$C$205,MATCH($A928,Mitarbeiter!$A$6:$A$205,0)),"vor Eintritt",IF(AND(INDEX(Mitarbeiter!$D$6:$D$205,MATCH($A928,Mitarbeiter!$A$6:$A$205,0))&lt;&gt;"",D928&gt;INDEX(Mitarbeiter!$D$6:$D$205,MATCH($A928,Mitarbeiter!$A$6:$A$205,0))),"nach Austritt",IF(E928="","offen","ok"))))))))</f>
        <v/>
      </c>
      <c r="J928" s="47">
        <f>IF(A928="","",IF(E928="",Einstellungen!$C$9,E928))</f>
        <v/>
      </c>
      <c r="K928" s="48">
        <f>IF(A928="",0,IFERROR(INDEX(Mitarbeiter!$F$6:$F$205,MATCH($A928,Mitarbeiter!$A$6:$A$205,0)),0))</f>
        <v/>
      </c>
      <c r="L928" s="49">
        <f>IF(OR(A928="",D928=""),0,MAX(0,NETWORKDAYS(MAX(D928,DATE(Einstellungen!$C$3,1,1)),MIN(J928,DATE(Einstellungen!$C$3,2,0)),Einstellungen!$F$13:$F$32)))</f>
        <v/>
      </c>
      <c r="M928" s="49">
        <f>IF(OR(A928="",D928=""),0,MAX(0,NETWORKDAYS(MAX(D928,DATE(Einstellungen!$C$3,2,1)),MIN(J928,DATE(Einstellungen!$C$3,3,0)),Einstellungen!$F$13:$F$32)))</f>
        <v/>
      </c>
      <c r="N928" s="49">
        <f>IF(OR(A928="",D928=""),0,MAX(0,NETWORKDAYS(MAX(D928,DATE(Einstellungen!$C$3,3,1)),MIN(J928,DATE(Einstellungen!$C$3,4,0)),Einstellungen!$F$13:$F$32)))</f>
        <v/>
      </c>
      <c r="O928" s="49">
        <f>IF(OR(A928="",D928=""),0,MAX(0,NETWORKDAYS(MAX(D928,DATE(Einstellungen!$C$3,4,1)),MIN(J928,DATE(Einstellungen!$C$3,5,0)),Einstellungen!$F$13:$F$32)))</f>
        <v/>
      </c>
      <c r="P928" s="49">
        <f>IF(OR(A928="",D928=""),0,MAX(0,NETWORKDAYS(MAX(D928,DATE(Einstellungen!$C$3,5,1)),MIN(J928,DATE(Einstellungen!$C$3,6,0)),Einstellungen!$F$13:$F$32)))</f>
        <v/>
      </c>
      <c r="Q928" s="49">
        <f>IF(OR(A928="",D928=""),0,MAX(0,NETWORKDAYS(MAX(D928,DATE(Einstellungen!$C$3,6,1)),MIN(J928,DATE(Einstellungen!$C$3,7,0)),Einstellungen!$F$13:$F$32)))</f>
        <v/>
      </c>
      <c r="R928" s="49">
        <f>IF(OR(A928="",D928=""),0,MAX(0,NETWORKDAYS(MAX(D928,DATE(Einstellungen!$C$3,7,1)),MIN(J928,DATE(Einstellungen!$C$3,8,0)),Einstellungen!$F$13:$F$32)))</f>
        <v/>
      </c>
      <c r="S928" s="49">
        <f>IF(OR(A928="",D928=""),0,MAX(0,NETWORKDAYS(MAX(D928,DATE(Einstellungen!$C$3,8,1)),MIN(J928,DATE(Einstellungen!$C$3,9,0)),Einstellungen!$F$13:$F$32)))</f>
        <v/>
      </c>
      <c r="T928" s="49">
        <f>IF(OR(A928="",D928=""),0,MAX(0,NETWORKDAYS(MAX(D928,DATE(Einstellungen!$C$3,9,1)),MIN(J928,DATE(Einstellungen!$C$3,10,0)),Einstellungen!$F$13:$F$32)))</f>
        <v/>
      </c>
      <c r="U928" s="49">
        <f>IF(OR(A928="",D928=""),0,MAX(0,NETWORKDAYS(MAX(D928,DATE(Einstellungen!$C$3,10,1)),MIN(J928,DATE(Einstellungen!$C$3,11,0)),Einstellungen!$F$13:$F$32)))</f>
        <v/>
      </c>
      <c r="V928" s="49">
        <f>IF(OR(A928="",D928=""),0,MAX(0,NETWORKDAYS(MAX(D928,DATE(Einstellungen!$C$3,11,1)),MIN(J928,DATE(Einstellungen!$C$3,12,0)),Einstellungen!$F$13:$F$32)))</f>
        <v/>
      </c>
      <c r="W928" s="49">
        <f>IF(OR(A928="",D928=""),0,MAX(0,NETWORKDAYS(MAX(D928,DATE(Einstellungen!$C$3,12,1)),MIN(J928,DATE(Einstellungen!$C$3,13,0)),Einstellungen!$F$13:$F$32)))</f>
        <v/>
      </c>
      <c r="X928" s="50">
        <f>L928*K928</f>
        <v/>
      </c>
      <c r="Y928" s="50">
        <f>M928*K928</f>
        <v/>
      </c>
      <c r="Z928" s="50">
        <f>N928*K928</f>
        <v/>
      </c>
      <c r="AA928" s="50">
        <f>O928*K928</f>
        <v/>
      </c>
      <c r="AB928" s="50">
        <f>P928*K928</f>
        <v/>
      </c>
      <c r="AC928" s="50">
        <f>Q928*K928</f>
        <v/>
      </c>
      <c r="AD928" s="50">
        <f>R928*K928</f>
        <v/>
      </c>
      <c r="AE928" s="50">
        <f>S928*K928</f>
        <v/>
      </c>
      <c r="AF928" s="50">
        <f>T928*K928</f>
        <v/>
      </c>
      <c r="AG928" s="50">
        <f>U928*K928</f>
        <v/>
      </c>
      <c r="AH928" s="50">
        <f>V928*K928</f>
        <v/>
      </c>
      <c r="AI928" s="50">
        <f>W928*K928</f>
        <v/>
      </c>
    </row>
    <row r="929">
      <c r="A929" s="25" t="n"/>
      <c r="B929" s="45">
        <f>IF(A929="","",IFERROR(INDEX(Mitarbeiter!$B$6:$B$205,MATCH($A929,Mitarbeiter!$A$6:$A$205,0)),"?"))</f>
        <v/>
      </c>
      <c r="C929" s="46" t="n"/>
      <c r="D929" s="26" t="n"/>
      <c r="E929" s="26" t="n"/>
      <c r="F929" s="24">
        <f>IF(A929="","",SUM(L929:W929))</f>
        <v/>
      </c>
      <c r="G929" s="36">
        <f>IF(A929="","",SUM(X929:AI929))</f>
        <v/>
      </c>
      <c r="H929" s="8">
        <f>IF(A929="","",IF(ISNA(MATCH(A929,Mitarbeiter!$A$6:$A$205,0)),"Pers.-Nr. unbekannt",IF(D929="","Von fehlt",IF(AND(C929&lt;&gt;Einstellungen!$C$4,C929&lt;&gt;Einstellungen!$C$5),"Objekt fehlt",IF(J929&lt;D929,"Bis vor Von",IF(D929&lt;INDEX(Mitarbeiter!$C$6:$C$205,MATCH($A929,Mitarbeiter!$A$6:$A$205,0)),"vor Eintritt",IF(AND(INDEX(Mitarbeiter!$D$6:$D$205,MATCH($A929,Mitarbeiter!$A$6:$A$205,0))&lt;&gt;"",D929&gt;INDEX(Mitarbeiter!$D$6:$D$205,MATCH($A929,Mitarbeiter!$A$6:$A$205,0))),"nach Austritt",IF(E929="","offen","ok"))))))))</f>
        <v/>
      </c>
      <c r="J929" s="47">
        <f>IF(A929="","",IF(E929="",Einstellungen!$C$9,E929))</f>
        <v/>
      </c>
      <c r="K929" s="48">
        <f>IF(A929="",0,IFERROR(INDEX(Mitarbeiter!$F$6:$F$205,MATCH($A929,Mitarbeiter!$A$6:$A$205,0)),0))</f>
        <v/>
      </c>
      <c r="L929" s="49">
        <f>IF(OR(A929="",D929=""),0,MAX(0,NETWORKDAYS(MAX(D929,DATE(Einstellungen!$C$3,1,1)),MIN(J929,DATE(Einstellungen!$C$3,2,0)),Einstellungen!$F$13:$F$32)))</f>
        <v/>
      </c>
      <c r="M929" s="49">
        <f>IF(OR(A929="",D929=""),0,MAX(0,NETWORKDAYS(MAX(D929,DATE(Einstellungen!$C$3,2,1)),MIN(J929,DATE(Einstellungen!$C$3,3,0)),Einstellungen!$F$13:$F$32)))</f>
        <v/>
      </c>
      <c r="N929" s="49">
        <f>IF(OR(A929="",D929=""),0,MAX(0,NETWORKDAYS(MAX(D929,DATE(Einstellungen!$C$3,3,1)),MIN(J929,DATE(Einstellungen!$C$3,4,0)),Einstellungen!$F$13:$F$32)))</f>
        <v/>
      </c>
      <c r="O929" s="49">
        <f>IF(OR(A929="",D929=""),0,MAX(0,NETWORKDAYS(MAX(D929,DATE(Einstellungen!$C$3,4,1)),MIN(J929,DATE(Einstellungen!$C$3,5,0)),Einstellungen!$F$13:$F$32)))</f>
        <v/>
      </c>
      <c r="P929" s="49">
        <f>IF(OR(A929="",D929=""),0,MAX(0,NETWORKDAYS(MAX(D929,DATE(Einstellungen!$C$3,5,1)),MIN(J929,DATE(Einstellungen!$C$3,6,0)),Einstellungen!$F$13:$F$32)))</f>
        <v/>
      </c>
      <c r="Q929" s="49">
        <f>IF(OR(A929="",D929=""),0,MAX(0,NETWORKDAYS(MAX(D929,DATE(Einstellungen!$C$3,6,1)),MIN(J929,DATE(Einstellungen!$C$3,7,0)),Einstellungen!$F$13:$F$32)))</f>
        <v/>
      </c>
      <c r="R929" s="49">
        <f>IF(OR(A929="",D929=""),0,MAX(0,NETWORKDAYS(MAX(D929,DATE(Einstellungen!$C$3,7,1)),MIN(J929,DATE(Einstellungen!$C$3,8,0)),Einstellungen!$F$13:$F$32)))</f>
        <v/>
      </c>
      <c r="S929" s="49">
        <f>IF(OR(A929="",D929=""),0,MAX(0,NETWORKDAYS(MAX(D929,DATE(Einstellungen!$C$3,8,1)),MIN(J929,DATE(Einstellungen!$C$3,9,0)),Einstellungen!$F$13:$F$32)))</f>
        <v/>
      </c>
      <c r="T929" s="49">
        <f>IF(OR(A929="",D929=""),0,MAX(0,NETWORKDAYS(MAX(D929,DATE(Einstellungen!$C$3,9,1)),MIN(J929,DATE(Einstellungen!$C$3,10,0)),Einstellungen!$F$13:$F$32)))</f>
        <v/>
      </c>
      <c r="U929" s="49">
        <f>IF(OR(A929="",D929=""),0,MAX(0,NETWORKDAYS(MAX(D929,DATE(Einstellungen!$C$3,10,1)),MIN(J929,DATE(Einstellungen!$C$3,11,0)),Einstellungen!$F$13:$F$32)))</f>
        <v/>
      </c>
      <c r="V929" s="49">
        <f>IF(OR(A929="",D929=""),0,MAX(0,NETWORKDAYS(MAX(D929,DATE(Einstellungen!$C$3,11,1)),MIN(J929,DATE(Einstellungen!$C$3,12,0)),Einstellungen!$F$13:$F$32)))</f>
        <v/>
      </c>
      <c r="W929" s="49">
        <f>IF(OR(A929="",D929=""),0,MAX(0,NETWORKDAYS(MAX(D929,DATE(Einstellungen!$C$3,12,1)),MIN(J929,DATE(Einstellungen!$C$3,13,0)),Einstellungen!$F$13:$F$32)))</f>
        <v/>
      </c>
      <c r="X929" s="50">
        <f>L929*K929</f>
        <v/>
      </c>
      <c r="Y929" s="50">
        <f>M929*K929</f>
        <v/>
      </c>
      <c r="Z929" s="50">
        <f>N929*K929</f>
        <v/>
      </c>
      <c r="AA929" s="50">
        <f>O929*K929</f>
        <v/>
      </c>
      <c r="AB929" s="50">
        <f>P929*K929</f>
        <v/>
      </c>
      <c r="AC929" s="50">
        <f>Q929*K929</f>
        <v/>
      </c>
      <c r="AD929" s="50">
        <f>R929*K929</f>
        <v/>
      </c>
      <c r="AE929" s="50">
        <f>S929*K929</f>
        <v/>
      </c>
      <c r="AF929" s="50">
        <f>T929*K929</f>
        <v/>
      </c>
      <c r="AG929" s="50">
        <f>U929*K929</f>
        <v/>
      </c>
      <c r="AH929" s="50">
        <f>V929*K929</f>
        <v/>
      </c>
      <c r="AI929" s="50">
        <f>W929*K929</f>
        <v/>
      </c>
    </row>
    <row r="930">
      <c r="A930" s="25" t="n"/>
      <c r="B930" s="45">
        <f>IF(A930="","",IFERROR(INDEX(Mitarbeiter!$B$6:$B$205,MATCH($A930,Mitarbeiter!$A$6:$A$205,0)),"?"))</f>
        <v/>
      </c>
      <c r="C930" s="46" t="n"/>
      <c r="D930" s="26" t="n"/>
      <c r="E930" s="26" t="n"/>
      <c r="F930" s="24">
        <f>IF(A930="","",SUM(L930:W930))</f>
        <v/>
      </c>
      <c r="G930" s="36">
        <f>IF(A930="","",SUM(X930:AI930))</f>
        <v/>
      </c>
      <c r="H930" s="8">
        <f>IF(A930="","",IF(ISNA(MATCH(A930,Mitarbeiter!$A$6:$A$205,0)),"Pers.-Nr. unbekannt",IF(D930="","Von fehlt",IF(AND(C930&lt;&gt;Einstellungen!$C$4,C930&lt;&gt;Einstellungen!$C$5),"Objekt fehlt",IF(J930&lt;D930,"Bis vor Von",IF(D930&lt;INDEX(Mitarbeiter!$C$6:$C$205,MATCH($A930,Mitarbeiter!$A$6:$A$205,0)),"vor Eintritt",IF(AND(INDEX(Mitarbeiter!$D$6:$D$205,MATCH($A930,Mitarbeiter!$A$6:$A$205,0))&lt;&gt;"",D930&gt;INDEX(Mitarbeiter!$D$6:$D$205,MATCH($A930,Mitarbeiter!$A$6:$A$205,0))),"nach Austritt",IF(E930="","offen","ok"))))))))</f>
        <v/>
      </c>
      <c r="J930" s="47">
        <f>IF(A930="","",IF(E930="",Einstellungen!$C$9,E930))</f>
        <v/>
      </c>
      <c r="K930" s="48">
        <f>IF(A930="",0,IFERROR(INDEX(Mitarbeiter!$F$6:$F$205,MATCH($A930,Mitarbeiter!$A$6:$A$205,0)),0))</f>
        <v/>
      </c>
      <c r="L930" s="49">
        <f>IF(OR(A930="",D930=""),0,MAX(0,NETWORKDAYS(MAX(D930,DATE(Einstellungen!$C$3,1,1)),MIN(J930,DATE(Einstellungen!$C$3,2,0)),Einstellungen!$F$13:$F$32)))</f>
        <v/>
      </c>
      <c r="M930" s="49">
        <f>IF(OR(A930="",D930=""),0,MAX(0,NETWORKDAYS(MAX(D930,DATE(Einstellungen!$C$3,2,1)),MIN(J930,DATE(Einstellungen!$C$3,3,0)),Einstellungen!$F$13:$F$32)))</f>
        <v/>
      </c>
      <c r="N930" s="49">
        <f>IF(OR(A930="",D930=""),0,MAX(0,NETWORKDAYS(MAX(D930,DATE(Einstellungen!$C$3,3,1)),MIN(J930,DATE(Einstellungen!$C$3,4,0)),Einstellungen!$F$13:$F$32)))</f>
        <v/>
      </c>
      <c r="O930" s="49">
        <f>IF(OR(A930="",D930=""),0,MAX(0,NETWORKDAYS(MAX(D930,DATE(Einstellungen!$C$3,4,1)),MIN(J930,DATE(Einstellungen!$C$3,5,0)),Einstellungen!$F$13:$F$32)))</f>
        <v/>
      </c>
      <c r="P930" s="49">
        <f>IF(OR(A930="",D930=""),0,MAX(0,NETWORKDAYS(MAX(D930,DATE(Einstellungen!$C$3,5,1)),MIN(J930,DATE(Einstellungen!$C$3,6,0)),Einstellungen!$F$13:$F$32)))</f>
        <v/>
      </c>
      <c r="Q930" s="49">
        <f>IF(OR(A930="",D930=""),0,MAX(0,NETWORKDAYS(MAX(D930,DATE(Einstellungen!$C$3,6,1)),MIN(J930,DATE(Einstellungen!$C$3,7,0)),Einstellungen!$F$13:$F$32)))</f>
        <v/>
      </c>
      <c r="R930" s="49">
        <f>IF(OR(A930="",D930=""),0,MAX(0,NETWORKDAYS(MAX(D930,DATE(Einstellungen!$C$3,7,1)),MIN(J930,DATE(Einstellungen!$C$3,8,0)),Einstellungen!$F$13:$F$32)))</f>
        <v/>
      </c>
      <c r="S930" s="49">
        <f>IF(OR(A930="",D930=""),0,MAX(0,NETWORKDAYS(MAX(D930,DATE(Einstellungen!$C$3,8,1)),MIN(J930,DATE(Einstellungen!$C$3,9,0)),Einstellungen!$F$13:$F$32)))</f>
        <v/>
      </c>
      <c r="T930" s="49">
        <f>IF(OR(A930="",D930=""),0,MAX(0,NETWORKDAYS(MAX(D930,DATE(Einstellungen!$C$3,9,1)),MIN(J930,DATE(Einstellungen!$C$3,10,0)),Einstellungen!$F$13:$F$32)))</f>
        <v/>
      </c>
      <c r="U930" s="49">
        <f>IF(OR(A930="",D930=""),0,MAX(0,NETWORKDAYS(MAX(D930,DATE(Einstellungen!$C$3,10,1)),MIN(J930,DATE(Einstellungen!$C$3,11,0)),Einstellungen!$F$13:$F$32)))</f>
        <v/>
      </c>
      <c r="V930" s="49">
        <f>IF(OR(A930="",D930=""),0,MAX(0,NETWORKDAYS(MAX(D930,DATE(Einstellungen!$C$3,11,1)),MIN(J930,DATE(Einstellungen!$C$3,12,0)),Einstellungen!$F$13:$F$32)))</f>
        <v/>
      </c>
      <c r="W930" s="49">
        <f>IF(OR(A930="",D930=""),0,MAX(0,NETWORKDAYS(MAX(D930,DATE(Einstellungen!$C$3,12,1)),MIN(J930,DATE(Einstellungen!$C$3,13,0)),Einstellungen!$F$13:$F$32)))</f>
        <v/>
      </c>
      <c r="X930" s="50">
        <f>L930*K930</f>
        <v/>
      </c>
      <c r="Y930" s="50">
        <f>M930*K930</f>
        <v/>
      </c>
      <c r="Z930" s="50">
        <f>N930*K930</f>
        <v/>
      </c>
      <c r="AA930" s="50">
        <f>O930*K930</f>
        <v/>
      </c>
      <c r="AB930" s="50">
        <f>P930*K930</f>
        <v/>
      </c>
      <c r="AC930" s="50">
        <f>Q930*K930</f>
        <v/>
      </c>
      <c r="AD930" s="50">
        <f>R930*K930</f>
        <v/>
      </c>
      <c r="AE930" s="50">
        <f>S930*K930</f>
        <v/>
      </c>
      <c r="AF930" s="50">
        <f>T930*K930</f>
        <v/>
      </c>
      <c r="AG930" s="50">
        <f>U930*K930</f>
        <v/>
      </c>
      <c r="AH930" s="50">
        <f>V930*K930</f>
        <v/>
      </c>
      <c r="AI930" s="50">
        <f>W930*K930</f>
        <v/>
      </c>
    </row>
    <row r="931">
      <c r="A931" s="25" t="n"/>
      <c r="B931" s="45">
        <f>IF(A931="","",IFERROR(INDEX(Mitarbeiter!$B$6:$B$205,MATCH($A931,Mitarbeiter!$A$6:$A$205,0)),"?"))</f>
        <v/>
      </c>
      <c r="C931" s="46" t="n"/>
      <c r="D931" s="26" t="n"/>
      <c r="E931" s="26" t="n"/>
      <c r="F931" s="24">
        <f>IF(A931="","",SUM(L931:W931))</f>
        <v/>
      </c>
      <c r="G931" s="36">
        <f>IF(A931="","",SUM(X931:AI931))</f>
        <v/>
      </c>
      <c r="H931" s="8">
        <f>IF(A931="","",IF(ISNA(MATCH(A931,Mitarbeiter!$A$6:$A$205,0)),"Pers.-Nr. unbekannt",IF(D931="","Von fehlt",IF(AND(C931&lt;&gt;Einstellungen!$C$4,C931&lt;&gt;Einstellungen!$C$5),"Objekt fehlt",IF(J931&lt;D931,"Bis vor Von",IF(D931&lt;INDEX(Mitarbeiter!$C$6:$C$205,MATCH($A931,Mitarbeiter!$A$6:$A$205,0)),"vor Eintritt",IF(AND(INDEX(Mitarbeiter!$D$6:$D$205,MATCH($A931,Mitarbeiter!$A$6:$A$205,0))&lt;&gt;"",D931&gt;INDEX(Mitarbeiter!$D$6:$D$205,MATCH($A931,Mitarbeiter!$A$6:$A$205,0))),"nach Austritt",IF(E931="","offen","ok"))))))))</f>
        <v/>
      </c>
      <c r="J931" s="47">
        <f>IF(A931="","",IF(E931="",Einstellungen!$C$9,E931))</f>
        <v/>
      </c>
      <c r="K931" s="48">
        <f>IF(A931="",0,IFERROR(INDEX(Mitarbeiter!$F$6:$F$205,MATCH($A931,Mitarbeiter!$A$6:$A$205,0)),0))</f>
        <v/>
      </c>
      <c r="L931" s="49">
        <f>IF(OR(A931="",D931=""),0,MAX(0,NETWORKDAYS(MAX(D931,DATE(Einstellungen!$C$3,1,1)),MIN(J931,DATE(Einstellungen!$C$3,2,0)),Einstellungen!$F$13:$F$32)))</f>
        <v/>
      </c>
      <c r="M931" s="49">
        <f>IF(OR(A931="",D931=""),0,MAX(0,NETWORKDAYS(MAX(D931,DATE(Einstellungen!$C$3,2,1)),MIN(J931,DATE(Einstellungen!$C$3,3,0)),Einstellungen!$F$13:$F$32)))</f>
        <v/>
      </c>
      <c r="N931" s="49">
        <f>IF(OR(A931="",D931=""),0,MAX(0,NETWORKDAYS(MAX(D931,DATE(Einstellungen!$C$3,3,1)),MIN(J931,DATE(Einstellungen!$C$3,4,0)),Einstellungen!$F$13:$F$32)))</f>
        <v/>
      </c>
      <c r="O931" s="49">
        <f>IF(OR(A931="",D931=""),0,MAX(0,NETWORKDAYS(MAX(D931,DATE(Einstellungen!$C$3,4,1)),MIN(J931,DATE(Einstellungen!$C$3,5,0)),Einstellungen!$F$13:$F$32)))</f>
        <v/>
      </c>
      <c r="P931" s="49">
        <f>IF(OR(A931="",D931=""),0,MAX(0,NETWORKDAYS(MAX(D931,DATE(Einstellungen!$C$3,5,1)),MIN(J931,DATE(Einstellungen!$C$3,6,0)),Einstellungen!$F$13:$F$32)))</f>
        <v/>
      </c>
      <c r="Q931" s="49">
        <f>IF(OR(A931="",D931=""),0,MAX(0,NETWORKDAYS(MAX(D931,DATE(Einstellungen!$C$3,6,1)),MIN(J931,DATE(Einstellungen!$C$3,7,0)),Einstellungen!$F$13:$F$32)))</f>
        <v/>
      </c>
      <c r="R931" s="49">
        <f>IF(OR(A931="",D931=""),0,MAX(0,NETWORKDAYS(MAX(D931,DATE(Einstellungen!$C$3,7,1)),MIN(J931,DATE(Einstellungen!$C$3,8,0)),Einstellungen!$F$13:$F$32)))</f>
        <v/>
      </c>
      <c r="S931" s="49">
        <f>IF(OR(A931="",D931=""),0,MAX(0,NETWORKDAYS(MAX(D931,DATE(Einstellungen!$C$3,8,1)),MIN(J931,DATE(Einstellungen!$C$3,9,0)),Einstellungen!$F$13:$F$32)))</f>
        <v/>
      </c>
      <c r="T931" s="49">
        <f>IF(OR(A931="",D931=""),0,MAX(0,NETWORKDAYS(MAX(D931,DATE(Einstellungen!$C$3,9,1)),MIN(J931,DATE(Einstellungen!$C$3,10,0)),Einstellungen!$F$13:$F$32)))</f>
        <v/>
      </c>
      <c r="U931" s="49">
        <f>IF(OR(A931="",D931=""),0,MAX(0,NETWORKDAYS(MAX(D931,DATE(Einstellungen!$C$3,10,1)),MIN(J931,DATE(Einstellungen!$C$3,11,0)),Einstellungen!$F$13:$F$32)))</f>
        <v/>
      </c>
      <c r="V931" s="49">
        <f>IF(OR(A931="",D931=""),0,MAX(0,NETWORKDAYS(MAX(D931,DATE(Einstellungen!$C$3,11,1)),MIN(J931,DATE(Einstellungen!$C$3,12,0)),Einstellungen!$F$13:$F$32)))</f>
        <v/>
      </c>
      <c r="W931" s="49">
        <f>IF(OR(A931="",D931=""),0,MAX(0,NETWORKDAYS(MAX(D931,DATE(Einstellungen!$C$3,12,1)),MIN(J931,DATE(Einstellungen!$C$3,13,0)),Einstellungen!$F$13:$F$32)))</f>
        <v/>
      </c>
      <c r="X931" s="50">
        <f>L931*K931</f>
        <v/>
      </c>
      <c r="Y931" s="50">
        <f>M931*K931</f>
        <v/>
      </c>
      <c r="Z931" s="50">
        <f>N931*K931</f>
        <v/>
      </c>
      <c r="AA931" s="50">
        <f>O931*K931</f>
        <v/>
      </c>
      <c r="AB931" s="50">
        <f>P931*K931</f>
        <v/>
      </c>
      <c r="AC931" s="50">
        <f>Q931*K931</f>
        <v/>
      </c>
      <c r="AD931" s="50">
        <f>R931*K931</f>
        <v/>
      </c>
      <c r="AE931" s="50">
        <f>S931*K931</f>
        <v/>
      </c>
      <c r="AF931" s="50">
        <f>T931*K931</f>
        <v/>
      </c>
      <c r="AG931" s="50">
        <f>U931*K931</f>
        <v/>
      </c>
      <c r="AH931" s="50">
        <f>V931*K931</f>
        <v/>
      </c>
      <c r="AI931" s="50">
        <f>W931*K931</f>
        <v/>
      </c>
    </row>
    <row r="932">
      <c r="A932" s="25" t="n"/>
      <c r="B932" s="45">
        <f>IF(A932="","",IFERROR(INDEX(Mitarbeiter!$B$6:$B$205,MATCH($A932,Mitarbeiter!$A$6:$A$205,0)),"?"))</f>
        <v/>
      </c>
      <c r="C932" s="46" t="n"/>
      <c r="D932" s="26" t="n"/>
      <c r="E932" s="26" t="n"/>
      <c r="F932" s="24">
        <f>IF(A932="","",SUM(L932:W932))</f>
        <v/>
      </c>
      <c r="G932" s="36">
        <f>IF(A932="","",SUM(X932:AI932))</f>
        <v/>
      </c>
      <c r="H932" s="8">
        <f>IF(A932="","",IF(ISNA(MATCH(A932,Mitarbeiter!$A$6:$A$205,0)),"Pers.-Nr. unbekannt",IF(D932="","Von fehlt",IF(AND(C932&lt;&gt;Einstellungen!$C$4,C932&lt;&gt;Einstellungen!$C$5),"Objekt fehlt",IF(J932&lt;D932,"Bis vor Von",IF(D932&lt;INDEX(Mitarbeiter!$C$6:$C$205,MATCH($A932,Mitarbeiter!$A$6:$A$205,0)),"vor Eintritt",IF(AND(INDEX(Mitarbeiter!$D$6:$D$205,MATCH($A932,Mitarbeiter!$A$6:$A$205,0))&lt;&gt;"",D932&gt;INDEX(Mitarbeiter!$D$6:$D$205,MATCH($A932,Mitarbeiter!$A$6:$A$205,0))),"nach Austritt",IF(E932="","offen","ok"))))))))</f>
        <v/>
      </c>
      <c r="J932" s="47">
        <f>IF(A932="","",IF(E932="",Einstellungen!$C$9,E932))</f>
        <v/>
      </c>
      <c r="K932" s="48">
        <f>IF(A932="",0,IFERROR(INDEX(Mitarbeiter!$F$6:$F$205,MATCH($A932,Mitarbeiter!$A$6:$A$205,0)),0))</f>
        <v/>
      </c>
      <c r="L932" s="49">
        <f>IF(OR(A932="",D932=""),0,MAX(0,NETWORKDAYS(MAX(D932,DATE(Einstellungen!$C$3,1,1)),MIN(J932,DATE(Einstellungen!$C$3,2,0)),Einstellungen!$F$13:$F$32)))</f>
        <v/>
      </c>
      <c r="M932" s="49">
        <f>IF(OR(A932="",D932=""),0,MAX(0,NETWORKDAYS(MAX(D932,DATE(Einstellungen!$C$3,2,1)),MIN(J932,DATE(Einstellungen!$C$3,3,0)),Einstellungen!$F$13:$F$32)))</f>
        <v/>
      </c>
      <c r="N932" s="49">
        <f>IF(OR(A932="",D932=""),0,MAX(0,NETWORKDAYS(MAX(D932,DATE(Einstellungen!$C$3,3,1)),MIN(J932,DATE(Einstellungen!$C$3,4,0)),Einstellungen!$F$13:$F$32)))</f>
        <v/>
      </c>
      <c r="O932" s="49">
        <f>IF(OR(A932="",D932=""),0,MAX(0,NETWORKDAYS(MAX(D932,DATE(Einstellungen!$C$3,4,1)),MIN(J932,DATE(Einstellungen!$C$3,5,0)),Einstellungen!$F$13:$F$32)))</f>
        <v/>
      </c>
      <c r="P932" s="49">
        <f>IF(OR(A932="",D932=""),0,MAX(0,NETWORKDAYS(MAX(D932,DATE(Einstellungen!$C$3,5,1)),MIN(J932,DATE(Einstellungen!$C$3,6,0)),Einstellungen!$F$13:$F$32)))</f>
        <v/>
      </c>
      <c r="Q932" s="49">
        <f>IF(OR(A932="",D932=""),0,MAX(0,NETWORKDAYS(MAX(D932,DATE(Einstellungen!$C$3,6,1)),MIN(J932,DATE(Einstellungen!$C$3,7,0)),Einstellungen!$F$13:$F$32)))</f>
        <v/>
      </c>
      <c r="R932" s="49">
        <f>IF(OR(A932="",D932=""),0,MAX(0,NETWORKDAYS(MAX(D932,DATE(Einstellungen!$C$3,7,1)),MIN(J932,DATE(Einstellungen!$C$3,8,0)),Einstellungen!$F$13:$F$32)))</f>
        <v/>
      </c>
      <c r="S932" s="49">
        <f>IF(OR(A932="",D932=""),0,MAX(0,NETWORKDAYS(MAX(D932,DATE(Einstellungen!$C$3,8,1)),MIN(J932,DATE(Einstellungen!$C$3,9,0)),Einstellungen!$F$13:$F$32)))</f>
        <v/>
      </c>
      <c r="T932" s="49">
        <f>IF(OR(A932="",D932=""),0,MAX(0,NETWORKDAYS(MAX(D932,DATE(Einstellungen!$C$3,9,1)),MIN(J932,DATE(Einstellungen!$C$3,10,0)),Einstellungen!$F$13:$F$32)))</f>
        <v/>
      </c>
      <c r="U932" s="49">
        <f>IF(OR(A932="",D932=""),0,MAX(0,NETWORKDAYS(MAX(D932,DATE(Einstellungen!$C$3,10,1)),MIN(J932,DATE(Einstellungen!$C$3,11,0)),Einstellungen!$F$13:$F$32)))</f>
        <v/>
      </c>
      <c r="V932" s="49">
        <f>IF(OR(A932="",D932=""),0,MAX(0,NETWORKDAYS(MAX(D932,DATE(Einstellungen!$C$3,11,1)),MIN(J932,DATE(Einstellungen!$C$3,12,0)),Einstellungen!$F$13:$F$32)))</f>
        <v/>
      </c>
      <c r="W932" s="49">
        <f>IF(OR(A932="",D932=""),0,MAX(0,NETWORKDAYS(MAX(D932,DATE(Einstellungen!$C$3,12,1)),MIN(J932,DATE(Einstellungen!$C$3,13,0)),Einstellungen!$F$13:$F$32)))</f>
        <v/>
      </c>
      <c r="X932" s="50">
        <f>L932*K932</f>
        <v/>
      </c>
      <c r="Y932" s="50">
        <f>M932*K932</f>
        <v/>
      </c>
      <c r="Z932" s="50">
        <f>N932*K932</f>
        <v/>
      </c>
      <c r="AA932" s="50">
        <f>O932*K932</f>
        <v/>
      </c>
      <c r="AB932" s="50">
        <f>P932*K932</f>
        <v/>
      </c>
      <c r="AC932" s="50">
        <f>Q932*K932</f>
        <v/>
      </c>
      <c r="AD932" s="50">
        <f>R932*K932</f>
        <v/>
      </c>
      <c r="AE932" s="50">
        <f>S932*K932</f>
        <v/>
      </c>
      <c r="AF932" s="50">
        <f>T932*K932</f>
        <v/>
      </c>
      <c r="AG932" s="50">
        <f>U932*K932</f>
        <v/>
      </c>
      <c r="AH932" s="50">
        <f>V932*K932</f>
        <v/>
      </c>
      <c r="AI932" s="50">
        <f>W932*K932</f>
        <v/>
      </c>
    </row>
    <row r="933">
      <c r="A933" s="25" t="n"/>
      <c r="B933" s="45">
        <f>IF(A933="","",IFERROR(INDEX(Mitarbeiter!$B$6:$B$205,MATCH($A933,Mitarbeiter!$A$6:$A$205,0)),"?"))</f>
        <v/>
      </c>
      <c r="C933" s="46" t="n"/>
      <c r="D933" s="26" t="n"/>
      <c r="E933" s="26" t="n"/>
      <c r="F933" s="24">
        <f>IF(A933="","",SUM(L933:W933))</f>
        <v/>
      </c>
      <c r="G933" s="36">
        <f>IF(A933="","",SUM(X933:AI933))</f>
        <v/>
      </c>
      <c r="H933" s="8">
        <f>IF(A933="","",IF(ISNA(MATCH(A933,Mitarbeiter!$A$6:$A$205,0)),"Pers.-Nr. unbekannt",IF(D933="","Von fehlt",IF(AND(C933&lt;&gt;Einstellungen!$C$4,C933&lt;&gt;Einstellungen!$C$5),"Objekt fehlt",IF(J933&lt;D933,"Bis vor Von",IF(D933&lt;INDEX(Mitarbeiter!$C$6:$C$205,MATCH($A933,Mitarbeiter!$A$6:$A$205,0)),"vor Eintritt",IF(AND(INDEX(Mitarbeiter!$D$6:$D$205,MATCH($A933,Mitarbeiter!$A$6:$A$205,0))&lt;&gt;"",D933&gt;INDEX(Mitarbeiter!$D$6:$D$205,MATCH($A933,Mitarbeiter!$A$6:$A$205,0))),"nach Austritt",IF(E933="","offen","ok"))))))))</f>
        <v/>
      </c>
      <c r="J933" s="47">
        <f>IF(A933="","",IF(E933="",Einstellungen!$C$9,E933))</f>
        <v/>
      </c>
      <c r="K933" s="48">
        <f>IF(A933="",0,IFERROR(INDEX(Mitarbeiter!$F$6:$F$205,MATCH($A933,Mitarbeiter!$A$6:$A$205,0)),0))</f>
        <v/>
      </c>
      <c r="L933" s="49">
        <f>IF(OR(A933="",D933=""),0,MAX(0,NETWORKDAYS(MAX(D933,DATE(Einstellungen!$C$3,1,1)),MIN(J933,DATE(Einstellungen!$C$3,2,0)),Einstellungen!$F$13:$F$32)))</f>
        <v/>
      </c>
      <c r="M933" s="49">
        <f>IF(OR(A933="",D933=""),0,MAX(0,NETWORKDAYS(MAX(D933,DATE(Einstellungen!$C$3,2,1)),MIN(J933,DATE(Einstellungen!$C$3,3,0)),Einstellungen!$F$13:$F$32)))</f>
        <v/>
      </c>
      <c r="N933" s="49">
        <f>IF(OR(A933="",D933=""),0,MAX(0,NETWORKDAYS(MAX(D933,DATE(Einstellungen!$C$3,3,1)),MIN(J933,DATE(Einstellungen!$C$3,4,0)),Einstellungen!$F$13:$F$32)))</f>
        <v/>
      </c>
      <c r="O933" s="49">
        <f>IF(OR(A933="",D933=""),0,MAX(0,NETWORKDAYS(MAX(D933,DATE(Einstellungen!$C$3,4,1)),MIN(J933,DATE(Einstellungen!$C$3,5,0)),Einstellungen!$F$13:$F$32)))</f>
        <v/>
      </c>
      <c r="P933" s="49">
        <f>IF(OR(A933="",D933=""),0,MAX(0,NETWORKDAYS(MAX(D933,DATE(Einstellungen!$C$3,5,1)),MIN(J933,DATE(Einstellungen!$C$3,6,0)),Einstellungen!$F$13:$F$32)))</f>
        <v/>
      </c>
      <c r="Q933" s="49">
        <f>IF(OR(A933="",D933=""),0,MAX(0,NETWORKDAYS(MAX(D933,DATE(Einstellungen!$C$3,6,1)),MIN(J933,DATE(Einstellungen!$C$3,7,0)),Einstellungen!$F$13:$F$32)))</f>
        <v/>
      </c>
      <c r="R933" s="49">
        <f>IF(OR(A933="",D933=""),0,MAX(0,NETWORKDAYS(MAX(D933,DATE(Einstellungen!$C$3,7,1)),MIN(J933,DATE(Einstellungen!$C$3,8,0)),Einstellungen!$F$13:$F$32)))</f>
        <v/>
      </c>
      <c r="S933" s="49">
        <f>IF(OR(A933="",D933=""),0,MAX(0,NETWORKDAYS(MAX(D933,DATE(Einstellungen!$C$3,8,1)),MIN(J933,DATE(Einstellungen!$C$3,9,0)),Einstellungen!$F$13:$F$32)))</f>
        <v/>
      </c>
      <c r="T933" s="49">
        <f>IF(OR(A933="",D933=""),0,MAX(0,NETWORKDAYS(MAX(D933,DATE(Einstellungen!$C$3,9,1)),MIN(J933,DATE(Einstellungen!$C$3,10,0)),Einstellungen!$F$13:$F$32)))</f>
        <v/>
      </c>
      <c r="U933" s="49">
        <f>IF(OR(A933="",D933=""),0,MAX(0,NETWORKDAYS(MAX(D933,DATE(Einstellungen!$C$3,10,1)),MIN(J933,DATE(Einstellungen!$C$3,11,0)),Einstellungen!$F$13:$F$32)))</f>
        <v/>
      </c>
      <c r="V933" s="49">
        <f>IF(OR(A933="",D933=""),0,MAX(0,NETWORKDAYS(MAX(D933,DATE(Einstellungen!$C$3,11,1)),MIN(J933,DATE(Einstellungen!$C$3,12,0)),Einstellungen!$F$13:$F$32)))</f>
        <v/>
      </c>
      <c r="W933" s="49">
        <f>IF(OR(A933="",D933=""),0,MAX(0,NETWORKDAYS(MAX(D933,DATE(Einstellungen!$C$3,12,1)),MIN(J933,DATE(Einstellungen!$C$3,13,0)),Einstellungen!$F$13:$F$32)))</f>
        <v/>
      </c>
      <c r="X933" s="50">
        <f>L933*K933</f>
        <v/>
      </c>
      <c r="Y933" s="50">
        <f>M933*K933</f>
        <v/>
      </c>
      <c r="Z933" s="50">
        <f>N933*K933</f>
        <v/>
      </c>
      <c r="AA933" s="50">
        <f>O933*K933</f>
        <v/>
      </c>
      <c r="AB933" s="50">
        <f>P933*K933</f>
        <v/>
      </c>
      <c r="AC933" s="50">
        <f>Q933*K933</f>
        <v/>
      </c>
      <c r="AD933" s="50">
        <f>R933*K933</f>
        <v/>
      </c>
      <c r="AE933" s="50">
        <f>S933*K933</f>
        <v/>
      </c>
      <c r="AF933" s="50">
        <f>T933*K933</f>
        <v/>
      </c>
      <c r="AG933" s="50">
        <f>U933*K933</f>
        <v/>
      </c>
      <c r="AH933" s="50">
        <f>V933*K933</f>
        <v/>
      </c>
      <c r="AI933" s="50">
        <f>W933*K933</f>
        <v/>
      </c>
    </row>
    <row r="934">
      <c r="A934" s="25" t="n"/>
      <c r="B934" s="45">
        <f>IF(A934="","",IFERROR(INDEX(Mitarbeiter!$B$6:$B$205,MATCH($A934,Mitarbeiter!$A$6:$A$205,0)),"?"))</f>
        <v/>
      </c>
      <c r="C934" s="46" t="n"/>
      <c r="D934" s="26" t="n"/>
      <c r="E934" s="26" t="n"/>
      <c r="F934" s="24">
        <f>IF(A934="","",SUM(L934:W934))</f>
        <v/>
      </c>
      <c r="G934" s="36">
        <f>IF(A934="","",SUM(X934:AI934))</f>
        <v/>
      </c>
      <c r="H934" s="8">
        <f>IF(A934="","",IF(ISNA(MATCH(A934,Mitarbeiter!$A$6:$A$205,0)),"Pers.-Nr. unbekannt",IF(D934="","Von fehlt",IF(AND(C934&lt;&gt;Einstellungen!$C$4,C934&lt;&gt;Einstellungen!$C$5),"Objekt fehlt",IF(J934&lt;D934,"Bis vor Von",IF(D934&lt;INDEX(Mitarbeiter!$C$6:$C$205,MATCH($A934,Mitarbeiter!$A$6:$A$205,0)),"vor Eintritt",IF(AND(INDEX(Mitarbeiter!$D$6:$D$205,MATCH($A934,Mitarbeiter!$A$6:$A$205,0))&lt;&gt;"",D934&gt;INDEX(Mitarbeiter!$D$6:$D$205,MATCH($A934,Mitarbeiter!$A$6:$A$205,0))),"nach Austritt",IF(E934="","offen","ok"))))))))</f>
        <v/>
      </c>
      <c r="J934" s="47">
        <f>IF(A934="","",IF(E934="",Einstellungen!$C$9,E934))</f>
        <v/>
      </c>
      <c r="K934" s="48">
        <f>IF(A934="",0,IFERROR(INDEX(Mitarbeiter!$F$6:$F$205,MATCH($A934,Mitarbeiter!$A$6:$A$205,0)),0))</f>
        <v/>
      </c>
      <c r="L934" s="49">
        <f>IF(OR(A934="",D934=""),0,MAX(0,NETWORKDAYS(MAX(D934,DATE(Einstellungen!$C$3,1,1)),MIN(J934,DATE(Einstellungen!$C$3,2,0)),Einstellungen!$F$13:$F$32)))</f>
        <v/>
      </c>
      <c r="M934" s="49">
        <f>IF(OR(A934="",D934=""),0,MAX(0,NETWORKDAYS(MAX(D934,DATE(Einstellungen!$C$3,2,1)),MIN(J934,DATE(Einstellungen!$C$3,3,0)),Einstellungen!$F$13:$F$32)))</f>
        <v/>
      </c>
      <c r="N934" s="49">
        <f>IF(OR(A934="",D934=""),0,MAX(0,NETWORKDAYS(MAX(D934,DATE(Einstellungen!$C$3,3,1)),MIN(J934,DATE(Einstellungen!$C$3,4,0)),Einstellungen!$F$13:$F$32)))</f>
        <v/>
      </c>
      <c r="O934" s="49">
        <f>IF(OR(A934="",D934=""),0,MAX(0,NETWORKDAYS(MAX(D934,DATE(Einstellungen!$C$3,4,1)),MIN(J934,DATE(Einstellungen!$C$3,5,0)),Einstellungen!$F$13:$F$32)))</f>
        <v/>
      </c>
      <c r="P934" s="49">
        <f>IF(OR(A934="",D934=""),0,MAX(0,NETWORKDAYS(MAX(D934,DATE(Einstellungen!$C$3,5,1)),MIN(J934,DATE(Einstellungen!$C$3,6,0)),Einstellungen!$F$13:$F$32)))</f>
        <v/>
      </c>
      <c r="Q934" s="49">
        <f>IF(OR(A934="",D934=""),0,MAX(0,NETWORKDAYS(MAX(D934,DATE(Einstellungen!$C$3,6,1)),MIN(J934,DATE(Einstellungen!$C$3,7,0)),Einstellungen!$F$13:$F$32)))</f>
        <v/>
      </c>
      <c r="R934" s="49">
        <f>IF(OR(A934="",D934=""),0,MAX(0,NETWORKDAYS(MAX(D934,DATE(Einstellungen!$C$3,7,1)),MIN(J934,DATE(Einstellungen!$C$3,8,0)),Einstellungen!$F$13:$F$32)))</f>
        <v/>
      </c>
      <c r="S934" s="49">
        <f>IF(OR(A934="",D934=""),0,MAX(0,NETWORKDAYS(MAX(D934,DATE(Einstellungen!$C$3,8,1)),MIN(J934,DATE(Einstellungen!$C$3,9,0)),Einstellungen!$F$13:$F$32)))</f>
        <v/>
      </c>
      <c r="T934" s="49">
        <f>IF(OR(A934="",D934=""),0,MAX(0,NETWORKDAYS(MAX(D934,DATE(Einstellungen!$C$3,9,1)),MIN(J934,DATE(Einstellungen!$C$3,10,0)),Einstellungen!$F$13:$F$32)))</f>
        <v/>
      </c>
      <c r="U934" s="49">
        <f>IF(OR(A934="",D934=""),0,MAX(0,NETWORKDAYS(MAX(D934,DATE(Einstellungen!$C$3,10,1)),MIN(J934,DATE(Einstellungen!$C$3,11,0)),Einstellungen!$F$13:$F$32)))</f>
        <v/>
      </c>
      <c r="V934" s="49">
        <f>IF(OR(A934="",D934=""),0,MAX(0,NETWORKDAYS(MAX(D934,DATE(Einstellungen!$C$3,11,1)),MIN(J934,DATE(Einstellungen!$C$3,12,0)),Einstellungen!$F$13:$F$32)))</f>
        <v/>
      </c>
      <c r="W934" s="49">
        <f>IF(OR(A934="",D934=""),0,MAX(0,NETWORKDAYS(MAX(D934,DATE(Einstellungen!$C$3,12,1)),MIN(J934,DATE(Einstellungen!$C$3,13,0)),Einstellungen!$F$13:$F$32)))</f>
        <v/>
      </c>
      <c r="X934" s="50">
        <f>L934*K934</f>
        <v/>
      </c>
      <c r="Y934" s="50">
        <f>M934*K934</f>
        <v/>
      </c>
      <c r="Z934" s="50">
        <f>N934*K934</f>
        <v/>
      </c>
      <c r="AA934" s="50">
        <f>O934*K934</f>
        <v/>
      </c>
      <c r="AB934" s="50">
        <f>P934*K934</f>
        <v/>
      </c>
      <c r="AC934" s="50">
        <f>Q934*K934</f>
        <v/>
      </c>
      <c r="AD934" s="50">
        <f>R934*K934</f>
        <v/>
      </c>
      <c r="AE934" s="50">
        <f>S934*K934</f>
        <v/>
      </c>
      <c r="AF934" s="50">
        <f>T934*K934</f>
        <v/>
      </c>
      <c r="AG934" s="50">
        <f>U934*K934</f>
        <v/>
      </c>
      <c r="AH934" s="50">
        <f>V934*K934</f>
        <v/>
      </c>
      <c r="AI934" s="50">
        <f>W934*K934</f>
        <v/>
      </c>
    </row>
    <row r="935">
      <c r="A935" s="25" t="n"/>
      <c r="B935" s="45">
        <f>IF(A935="","",IFERROR(INDEX(Mitarbeiter!$B$6:$B$205,MATCH($A935,Mitarbeiter!$A$6:$A$205,0)),"?"))</f>
        <v/>
      </c>
      <c r="C935" s="46" t="n"/>
      <c r="D935" s="26" t="n"/>
      <c r="E935" s="26" t="n"/>
      <c r="F935" s="24">
        <f>IF(A935="","",SUM(L935:W935))</f>
        <v/>
      </c>
      <c r="G935" s="36">
        <f>IF(A935="","",SUM(X935:AI935))</f>
        <v/>
      </c>
      <c r="H935" s="8">
        <f>IF(A935="","",IF(ISNA(MATCH(A935,Mitarbeiter!$A$6:$A$205,0)),"Pers.-Nr. unbekannt",IF(D935="","Von fehlt",IF(AND(C935&lt;&gt;Einstellungen!$C$4,C935&lt;&gt;Einstellungen!$C$5),"Objekt fehlt",IF(J935&lt;D935,"Bis vor Von",IF(D935&lt;INDEX(Mitarbeiter!$C$6:$C$205,MATCH($A935,Mitarbeiter!$A$6:$A$205,0)),"vor Eintritt",IF(AND(INDEX(Mitarbeiter!$D$6:$D$205,MATCH($A935,Mitarbeiter!$A$6:$A$205,0))&lt;&gt;"",D935&gt;INDEX(Mitarbeiter!$D$6:$D$205,MATCH($A935,Mitarbeiter!$A$6:$A$205,0))),"nach Austritt",IF(E935="","offen","ok"))))))))</f>
        <v/>
      </c>
      <c r="J935" s="47">
        <f>IF(A935="","",IF(E935="",Einstellungen!$C$9,E935))</f>
        <v/>
      </c>
      <c r="K935" s="48">
        <f>IF(A935="",0,IFERROR(INDEX(Mitarbeiter!$F$6:$F$205,MATCH($A935,Mitarbeiter!$A$6:$A$205,0)),0))</f>
        <v/>
      </c>
      <c r="L935" s="49">
        <f>IF(OR(A935="",D935=""),0,MAX(0,NETWORKDAYS(MAX(D935,DATE(Einstellungen!$C$3,1,1)),MIN(J935,DATE(Einstellungen!$C$3,2,0)),Einstellungen!$F$13:$F$32)))</f>
        <v/>
      </c>
      <c r="M935" s="49">
        <f>IF(OR(A935="",D935=""),0,MAX(0,NETWORKDAYS(MAX(D935,DATE(Einstellungen!$C$3,2,1)),MIN(J935,DATE(Einstellungen!$C$3,3,0)),Einstellungen!$F$13:$F$32)))</f>
        <v/>
      </c>
      <c r="N935" s="49">
        <f>IF(OR(A935="",D935=""),0,MAX(0,NETWORKDAYS(MAX(D935,DATE(Einstellungen!$C$3,3,1)),MIN(J935,DATE(Einstellungen!$C$3,4,0)),Einstellungen!$F$13:$F$32)))</f>
        <v/>
      </c>
      <c r="O935" s="49">
        <f>IF(OR(A935="",D935=""),0,MAX(0,NETWORKDAYS(MAX(D935,DATE(Einstellungen!$C$3,4,1)),MIN(J935,DATE(Einstellungen!$C$3,5,0)),Einstellungen!$F$13:$F$32)))</f>
        <v/>
      </c>
      <c r="P935" s="49">
        <f>IF(OR(A935="",D935=""),0,MAX(0,NETWORKDAYS(MAX(D935,DATE(Einstellungen!$C$3,5,1)),MIN(J935,DATE(Einstellungen!$C$3,6,0)),Einstellungen!$F$13:$F$32)))</f>
        <v/>
      </c>
      <c r="Q935" s="49">
        <f>IF(OR(A935="",D935=""),0,MAX(0,NETWORKDAYS(MAX(D935,DATE(Einstellungen!$C$3,6,1)),MIN(J935,DATE(Einstellungen!$C$3,7,0)),Einstellungen!$F$13:$F$32)))</f>
        <v/>
      </c>
      <c r="R935" s="49">
        <f>IF(OR(A935="",D935=""),0,MAX(0,NETWORKDAYS(MAX(D935,DATE(Einstellungen!$C$3,7,1)),MIN(J935,DATE(Einstellungen!$C$3,8,0)),Einstellungen!$F$13:$F$32)))</f>
        <v/>
      </c>
      <c r="S935" s="49">
        <f>IF(OR(A935="",D935=""),0,MAX(0,NETWORKDAYS(MAX(D935,DATE(Einstellungen!$C$3,8,1)),MIN(J935,DATE(Einstellungen!$C$3,9,0)),Einstellungen!$F$13:$F$32)))</f>
        <v/>
      </c>
      <c r="T935" s="49">
        <f>IF(OR(A935="",D935=""),0,MAX(0,NETWORKDAYS(MAX(D935,DATE(Einstellungen!$C$3,9,1)),MIN(J935,DATE(Einstellungen!$C$3,10,0)),Einstellungen!$F$13:$F$32)))</f>
        <v/>
      </c>
      <c r="U935" s="49">
        <f>IF(OR(A935="",D935=""),0,MAX(0,NETWORKDAYS(MAX(D935,DATE(Einstellungen!$C$3,10,1)),MIN(J935,DATE(Einstellungen!$C$3,11,0)),Einstellungen!$F$13:$F$32)))</f>
        <v/>
      </c>
      <c r="V935" s="49">
        <f>IF(OR(A935="",D935=""),0,MAX(0,NETWORKDAYS(MAX(D935,DATE(Einstellungen!$C$3,11,1)),MIN(J935,DATE(Einstellungen!$C$3,12,0)),Einstellungen!$F$13:$F$32)))</f>
        <v/>
      </c>
      <c r="W935" s="49">
        <f>IF(OR(A935="",D935=""),0,MAX(0,NETWORKDAYS(MAX(D935,DATE(Einstellungen!$C$3,12,1)),MIN(J935,DATE(Einstellungen!$C$3,13,0)),Einstellungen!$F$13:$F$32)))</f>
        <v/>
      </c>
      <c r="X935" s="50">
        <f>L935*K935</f>
        <v/>
      </c>
      <c r="Y935" s="50">
        <f>M935*K935</f>
        <v/>
      </c>
      <c r="Z935" s="50">
        <f>N935*K935</f>
        <v/>
      </c>
      <c r="AA935" s="50">
        <f>O935*K935</f>
        <v/>
      </c>
      <c r="AB935" s="50">
        <f>P935*K935</f>
        <v/>
      </c>
      <c r="AC935" s="50">
        <f>Q935*K935</f>
        <v/>
      </c>
      <c r="AD935" s="50">
        <f>R935*K935</f>
        <v/>
      </c>
      <c r="AE935" s="50">
        <f>S935*K935</f>
        <v/>
      </c>
      <c r="AF935" s="50">
        <f>T935*K935</f>
        <v/>
      </c>
      <c r="AG935" s="50">
        <f>U935*K935</f>
        <v/>
      </c>
      <c r="AH935" s="50">
        <f>V935*K935</f>
        <v/>
      </c>
      <c r="AI935" s="50">
        <f>W935*K935</f>
        <v/>
      </c>
    </row>
    <row r="936">
      <c r="A936" s="25" t="n"/>
      <c r="B936" s="45">
        <f>IF(A936="","",IFERROR(INDEX(Mitarbeiter!$B$6:$B$205,MATCH($A936,Mitarbeiter!$A$6:$A$205,0)),"?"))</f>
        <v/>
      </c>
      <c r="C936" s="46" t="n"/>
      <c r="D936" s="26" t="n"/>
      <c r="E936" s="26" t="n"/>
      <c r="F936" s="24">
        <f>IF(A936="","",SUM(L936:W936))</f>
        <v/>
      </c>
      <c r="G936" s="36">
        <f>IF(A936="","",SUM(X936:AI936))</f>
        <v/>
      </c>
      <c r="H936" s="8">
        <f>IF(A936="","",IF(ISNA(MATCH(A936,Mitarbeiter!$A$6:$A$205,0)),"Pers.-Nr. unbekannt",IF(D936="","Von fehlt",IF(AND(C936&lt;&gt;Einstellungen!$C$4,C936&lt;&gt;Einstellungen!$C$5),"Objekt fehlt",IF(J936&lt;D936,"Bis vor Von",IF(D936&lt;INDEX(Mitarbeiter!$C$6:$C$205,MATCH($A936,Mitarbeiter!$A$6:$A$205,0)),"vor Eintritt",IF(AND(INDEX(Mitarbeiter!$D$6:$D$205,MATCH($A936,Mitarbeiter!$A$6:$A$205,0))&lt;&gt;"",D936&gt;INDEX(Mitarbeiter!$D$6:$D$205,MATCH($A936,Mitarbeiter!$A$6:$A$205,0))),"nach Austritt",IF(E936="","offen","ok"))))))))</f>
        <v/>
      </c>
      <c r="J936" s="47">
        <f>IF(A936="","",IF(E936="",Einstellungen!$C$9,E936))</f>
        <v/>
      </c>
      <c r="K936" s="48">
        <f>IF(A936="",0,IFERROR(INDEX(Mitarbeiter!$F$6:$F$205,MATCH($A936,Mitarbeiter!$A$6:$A$205,0)),0))</f>
        <v/>
      </c>
      <c r="L936" s="49">
        <f>IF(OR(A936="",D936=""),0,MAX(0,NETWORKDAYS(MAX(D936,DATE(Einstellungen!$C$3,1,1)),MIN(J936,DATE(Einstellungen!$C$3,2,0)),Einstellungen!$F$13:$F$32)))</f>
        <v/>
      </c>
      <c r="M936" s="49">
        <f>IF(OR(A936="",D936=""),0,MAX(0,NETWORKDAYS(MAX(D936,DATE(Einstellungen!$C$3,2,1)),MIN(J936,DATE(Einstellungen!$C$3,3,0)),Einstellungen!$F$13:$F$32)))</f>
        <v/>
      </c>
      <c r="N936" s="49">
        <f>IF(OR(A936="",D936=""),0,MAX(0,NETWORKDAYS(MAX(D936,DATE(Einstellungen!$C$3,3,1)),MIN(J936,DATE(Einstellungen!$C$3,4,0)),Einstellungen!$F$13:$F$32)))</f>
        <v/>
      </c>
      <c r="O936" s="49">
        <f>IF(OR(A936="",D936=""),0,MAX(0,NETWORKDAYS(MAX(D936,DATE(Einstellungen!$C$3,4,1)),MIN(J936,DATE(Einstellungen!$C$3,5,0)),Einstellungen!$F$13:$F$32)))</f>
        <v/>
      </c>
      <c r="P936" s="49">
        <f>IF(OR(A936="",D936=""),0,MAX(0,NETWORKDAYS(MAX(D936,DATE(Einstellungen!$C$3,5,1)),MIN(J936,DATE(Einstellungen!$C$3,6,0)),Einstellungen!$F$13:$F$32)))</f>
        <v/>
      </c>
      <c r="Q936" s="49">
        <f>IF(OR(A936="",D936=""),0,MAX(0,NETWORKDAYS(MAX(D936,DATE(Einstellungen!$C$3,6,1)),MIN(J936,DATE(Einstellungen!$C$3,7,0)),Einstellungen!$F$13:$F$32)))</f>
        <v/>
      </c>
      <c r="R936" s="49">
        <f>IF(OR(A936="",D936=""),0,MAX(0,NETWORKDAYS(MAX(D936,DATE(Einstellungen!$C$3,7,1)),MIN(J936,DATE(Einstellungen!$C$3,8,0)),Einstellungen!$F$13:$F$32)))</f>
        <v/>
      </c>
      <c r="S936" s="49">
        <f>IF(OR(A936="",D936=""),0,MAX(0,NETWORKDAYS(MAX(D936,DATE(Einstellungen!$C$3,8,1)),MIN(J936,DATE(Einstellungen!$C$3,9,0)),Einstellungen!$F$13:$F$32)))</f>
        <v/>
      </c>
      <c r="T936" s="49">
        <f>IF(OR(A936="",D936=""),0,MAX(0,NETWORKDAYS(MAX(D936,DATE(Einstellungen!$C$3,9,1)),MIN(J936,DATE(Einstellungen!$C$3,10,0)),Einstellungen!$F$13:$F$32)))</f>
        <v/>
      </c>
      <c r="U936" s="49">
        <f>IF(OR(A936="",D936=""),0,MAX(0,NETWORKDAYS(MAX(D936,DATE(Einstellungen!$C$3,10,1)),MIN(J936,DATE(Einstellungen!$C$3,11,0)),Einstellungen!$F$13:$F$32)))</f>
        <v/>
      </c>
      <c r="V936" s="49">
        <f>IF(OR(A936="",D936=""),0,MAX(0,NETWORKDAYS(MAX(D936,DATE(Einstellungen!$C$3,11,1)),MIN(J936,DATE(Einstellungen!$C$3,12,0)),Einstellungen!$F$13:$F$32)))</f>
        <v/>
      </c>
      <c r="W936" s="49">
        <f>IF(OR(A936="",D936=""),0,MAX(0,NETWORKDAYS(MAX(D936,DATE(Einstellungen!$C$3,12,1)),MIN(J936,DATE(Einstellungen!$C$3,13,0)),Einstellungen!$F$13:$F$32)))</f>
        <v/>
      </c>
      <c r="X936" s="50">
        <f>L936*K936</f>
        <v/>
      </c>
      <c r="Y936" s="50">
        <f>M936*K936</f>
        <v/>
      </c>
      <c r="Z936" s="50">
        <f>N936*K936</f>
        <v/>
      </c>
      <c r="AA936" s="50">
        <f>O936*K936</f>
        <v/>
      </c>
      <c r="AB936" s="50">
        <f>P936*K936</f>
        <v/>
      </c>
      <c r="AC936" s="50">
        <f>Q936*K936</f>
        <v/>
      </c>
      <c r="AD936" s="50">
        <f>R936*K936</f>
        <v/>
      </c>
      <c r="AE936" s="50">
        <f>S936*K936</f>
        <v/>
      </c>
      <c r="AF936" s="50">
        <f>T936*K936</f>
        <v/>
      </c>
      <c r="AG936" s="50">
        <f>U936*K936</f>
        <v/>
      </c>
      <c r="AH936" s="50">
        <f>V936*K936</f>
        <v/>
      </c>
      <c r="AI936" s="50">
        <f>W936*K936</f>
        <v/>
      </c>
    </row>
    <row r="937">
      <c r="A937" s="25" t="n"/>
      <c r="B937" s="45">
        <f>IF(A937="","",IFERROR(INDEX(Mitarbeiter!$B$6:$B$205,MATCH($A937,Mitarbeiter!$A$6:$A$205,0)),"?"))</f>
        <v/>
      </c>
      <c r="C937" s="46" t="n"/>
      <c r="D937" s="26" t="n"/>
      <c r="E937" s="26" t="n"/>
      <c r="F937" s="24">
        <f>IF(A937="","",SUM(L937:W937))</f>
        <v/>
      </c>
      <c r="G937" s="36">
        <f>IF(A937="","",SUM(X937:AI937))</f>
        <v/>
      </c>
      <c r="H937" s="8">
        <f>IF(A937="","",IF(ISNA(MATCH(A937,Mitarbeiter!$A$6:$A$205,0)),"Pers.-Nr. unbekannt",IF(D937="","Von fehlt",IF(AND(C937&lt;&gt;Einstellungen!$C$4,C937&lt;&gt;Einstellungen!$C$5),"Objekt fehlt",IF(J937&lt;D937,"Bis vor Von",IF(D937&lt;INDEX(Mitarbeiter!$C$6:$C$205,MATCH($A937,Mitarbeiter!$A$6:$A$205,0)),"vor Eintritt",IF(AND(INDEX(Mitarbeiter!$D$6:$D$205,MATCH($A937,Mitarbeiter!$A$6:$A$205,0))&lt;&gt;"",D937&gt;INDEX(Mitarbeiter!$D$6:$D$205,MATCH($A937,Mitarbeiter!$A$6:$A$205,0))),"nach Austritt",IF(E937="","offen","ok"))))))))</f>
        <v/>
      </c>
      <c r="J937" s="47">
        <f>IF(A937="","",IF(E937="",Einstellungen!$C$9,E937))</f>
        <v/>
      </c>
      <c r="K937" s="48">
        <f>IF(A937="",0,IFERROR(INDEX(Mitarbeiter!$F$6:$F$205,MATCH($A937,Mitarbeiter!$A$6:$A$205,0)),0))</f>
        <v/>
      </c>
      <c r="L937" s="49">
        <f>IF(OR(A937="",D937=""),0,MAX(0,NETWORKDAYS(MAX(D937,DATE(Einstellungen!$C$3,1,1)),MIN(J937,DATE(Einstellungen!$C$3,2,0)),Einstellungen!$F$13:$F$32)))</f>
        <v/>
      </c>
      <c r="M937" s="49">
        <f>IF(OR(A937="",D937=""),0,MAX(0,NETWORKDAYS(MAX(D937,DATE(Einstellungen!$C$3,2,1)),MIN(J937,DATE(Einstellungen!$C$3,3,0)),Einstellungen!$F$13:$F$32)))</f>
        <v/>
      </c>
      <c r="N937" s="49">
        <f>IF(OR(A937="",D937=""),0,MAX(0,NETWORKDAYS(MAX(D937,DATE(Einstellungen!$C$3,3,1)),MIN(J937,DATE(Einstellungen!$C$3,4,0)),Einstellungen!$F$13:$F$32)))</f>
        <v/>
      </c>
      <c r="O937" s="49">
        <f>IF(OR(A937="",D937=""),0,MAX(0,NETWORKDAYS(MAX(D937,DATE(Einstellungen!$C$3,4,1)),MIN(J937,DATE(Einstellungen!$C$3,5,0)),Einstellungen!$F$13:$F$32)))</f>
        <v/>
      </c>
      <c r="P937" s="49">
        <f>IF(OR(A937="",D937=""),0,MAX(0,NETWORKDAYS(MAX(D937,DATE(Einstellungen!$C$3,5,1)),MIN(J937,DATE(Einstellungen!$C$3,6,0)),Einstellungen!$F$13:$F$32)))</f>
        <v/>
      </c>
      <c r="Q937" s="49">
        <f>IF(OR(A937="",D937=""),0,MAX(0,NETWORKDAYS(MAX(D937,DATE(Einstellungen!$C$3,6,1)),MIN(J937,DATE(Einstellungen!$C$3,7,0)),Einstellungen!$F$13:$F$32)))</f>
        <v/>
      </c>
      <c r="R937" s="49">
        <f>IF(OR(A937="",D937=""),0,MAX(0,NETWORKDAYS(MAX(D937,DATE(Einstellungen!$C$3,7,1)),MIN(J937,DATE(Einstellungen!$C$3,8,0)),Einstellungen!$F$13:$F$32)))</f>
        <v/>
      </c>
      <c r="S937" s="49">
        <f>IF(OR(A937="",D937=""),0,MAX(0,NETWORKDAYS(MAX(D937,DATE(Einstellungen!$C$3,8,1)),MIN(J937,DATE(Einstellungen!$C$3,9,0)),Einstellungen!$F$13:$F$32)))</f>
        <v/>
      </c>
      <c r="T937" s="49">
        <f>IF(OR(A937="",D937=""),0,MAX(0,NETWORKDAYS(MAX(D937,DATE(Einstellungen!$C$3,9,1)),MIN(J937,DATE(Einstellungen!$C$3,10,0)),Einstellungen!$F$13:$F$32)))</f>
        <v/>
      </c>
      <c r="U937" s="49">
        <f>IF(OR(A937="",D937=""),0,MAX(0,NETWORKDAYS(MAX(D937,DATE(Einstellungen!$C$3,10,1)),MIN(J937,DATE(Einstellungen!$C$3,11,0)),Einstellungen!$F$13:$F$32)))</f>
        <v/>
      </c>
      <c r="V937" s="49">
        <f>IF(OR(A937="",D937=""),0,MAX(0,NETWORKDAYS(MAX(D937,DATE(Einstellungen!$C$3,11,1)),MIN(J937,DATE(Einstellungen!$C$3,12,0)),Einstellungen!$F$13:$F$32)))</f>
        <v/>
      </c>
      <c r="W937" s="49">
        <f>IF(OR(A937="",D937=""),0,MAX(0,NETWORKDAYS(MAX(D937,DATE(Einstellungen!$C$3,12,1)),MIN(J937,DATE(Einstellungen!$C$3,13,0)),Einstellungen!$F$13:$F$32)))</f>
        <v/>
      </c>
      <c r="X937" s="50">
        <f>L937*K937</f>
        <v/>
      </c>
      <c r="Y937" s="50">
        <f>M937*K937</f>
        <v/>
      </c>
      <c r="Z937" s="50">
        <f>N937*K937</f>
        <v/>
      </c>
      <c r="AA937" s="50">
        <f>O937*K937</f>
        <v/>
      </c>
      <c r="AB937" s="50">
        <f>P937*K937</f>
        <v/>
      </c>
      <c r="AC937" s="50">
        <f>Q937*K937</f>
        <v/>
      </c>
      <c r="AD937" s="50">
        <f>R937*K937</f>
        <v/>
      </c>
      <c r="AE937" s="50">
        <f>S937*K937</f>
        <v/>
      </c>
      <c r="AF937" s="50">
        <f>T937*K937</f>
        <v/>
      </c>
      <c r="AG937" s="50">
        <f>U937*K937</f>
        <v/>
      </c>
      <c r="AH937" s="50">
        <f>V937*K937</f>
        <v/>
      </c>
      <c r="AI937" s="50">
        <f>W937*K937</f>
        <v/>
      </c>
    </row>
    <row r="938">
      <c r="A938" s="25" t="n"/>
      <c r="B938" s="45">
        <f>IF(A938="","",IFERROR(INDEX(Mitarbeiter!$B$6:$B$205,MATCH($A938,Mitarbeiter!$A$6:$A$205,0)),"?"))</f>
        <v/>
      </c>
      <c r="C938" s="46" t="n"/>
      <c r="D938" s="26" t="n"/>
      <c r="E938" s="26" t="n"/>
      <c r="F938" s="24">
        <f>IF(A938="","",SUM(L938:W938))</f>
        <v/>
      </c>
      <c r="G938" s="36">
        <f>IF(A938="","",SUM(X938:AI938))</f>
        <v/>
      </c>
      <c r="H938" s="8">
        <f>IF(A938="","",IF(ISNA(MATCH(A938,Mitarbeiter!$A$6:$A$205,0)),"Pers.-Nr. unbekannt",IF(D938="","Von fehlt",IF(AND(C938&lt;&gt;Einstellungen!$C$4,C938&lt;&gt;Einstellungen!$C$5),"Objekt fehlt",IF(J938&lt;D938,"Bis vor Von",IF(D938&lt;INDEX(Mitarbeiter!$C$6:$C$205,MATCH($A938,Mitarbeiter!$A$6:$A$205,0)),"vor Eintritt",IF(AND(INDEX(Mitarbeiter!$D$6:$D$205,MATCH($A938,Mitarbeiter!$A$6:$A$205,0))&lt;&gt;"",D938&gt;INDEX(Mitarbeiter!$D$6:$D$205,MATCH($A938,Mitarbeiter!$A$6:$A$205,0))),"nach Austritt",IF(E938="","offen","ok"))))))))</f>
        <v/>
      </c>
      <c r="J938" s="47">
        <f>IF(A938="","",IF(E938="",Einstellungen!$C$9,E938))</f>
        <v/>
      </c>
      <c r="K938" s="48">
        <f>IF(A938="",0,IFERROR(INDEX(Mitarbeiter!$F$6:$F$205,MATCH($A938,Mitarbeiter!$A$6:$A$205,0)),0))</f>
        <v/>
      </c>
      <c r="L938" s="49">
        <f>IF(OR(A938="",D938=""),0,MAX(0,NETWORKDAYS(MAX(D938,DATE(Einstellungen!$C$3,1,1)),MIN(J938,DATE(Einstellungen!$C$3,2,0)),Einstellungen!$F$13:$F$32)))</f>
        <v/>
      </c>
      <c r="M938" s="49">
        <f>IF(OR(A938="",D938=""),0,MAX(0,NETWORKDAYS(MAX(D938,DATE(Einstellungen!$C$3,2,1)),MIN(J938,DATE(Einstellungen!$C$3,3,0)),Einstellungen!$F$13:$F$32)))</f>
        <v/>
      </c>
      <c r="N938" s="49">
        <f>IF(OR(A938="",D938=""),0,MAX(0,NETWORKDAYS(MAX(D938,DATE(Einstellungen!$C$3,3,1)),MIN(J938,DATE(Einstellungen!$C$3,4,0)),Einstellungen!$F$13:$F$32)))</f>
        <v/>
      </c>
      <c r="O938" s="49">
        <f>IF(OR(A938="",D938=""),0,MAX(0,NETWORKDAYS(MAX(D938,DATE(Einstellungen!$C$3,4,1)),MIN(J938,DATE(Einstellungen!$C$3,5,0)),Einstellungen!$F$13:$F$32)))</f>
        <v/>
      </c>
      <c r="P938" s="49">
        <f>IF(OR(A938="",D938=""),0,MAX(0,NETWORKDAYS(MAX(D938,DATE(Einstellungen!$C$3,5,1)),MIN(J938,DATE(Einstellungen!$C$3,6,0)),Einstellungen!$F$13:$F$32)))</f>
        <v/>
      </c>
      <c r="Q938" s="49">
        <f>IF(OR(A938="",D938=""),0,MAX(0,NETWORKDAYS(MAX(D938,DATE(Einstellungen!$C$3,6,1)),MIN(J938,DATE(Einstellungen!$C$3,7,0)),Einstellungen!$F$13:$F$32)))</f>
        <v/>
      </c>
      <c r="R938" s="49">
        <f>IF(OR(A938="",D938=""),0,MAX(0,NETWORKDAYS(MAX(D938,DATE(Einstellungen!$C$3,7,1)),MIN(J938,DATE(Einstellungen!$C$3,8,0)),Einstellungen!$F$13:$F$32)))</f>
        <v/>
      </c>
      <c r="S938" s="49">
        <f>IF(OR(A938="",D938=""),0,MAX(0,NETWORKDAYS(MAX(D938,DATE(Einstellungen!$C$3,8,1)),MIN(J938,DATE(Einstellungen!$C$3,9,0)),Einstellungen!$F$13:$F$32)))</f>
        <v/>
      </c>
      <c r="T938" s="49">
        <f>IF(OR(A938="",D938=""),0,MAX(0,NETWORKDAYS(MAX(D938,DATE(Einstellungen!$C$3,9,1)),MIN(J938,DATE(Einstellungen!$C$3,10,0)),Einstellungen!$F$13:$F$32)))</f>
        <v/>
      </c>
      <c r="U938" s="49">
        <f>IF(OR(A938="",D938=""),0,MAX(0,NETWORKDAYS(MAX(D938,DATE(Einstellungen!$C$3,10,1)),MIN(J938,DATE(Einstellungen!$C$3,11,0)),Einstellungen!$F$13:$F$32)))</f>
        <v/>
      </c>
      <c r="V938" s="49">
        <f>IF(OR(A938="",D938=""),0,MAX(0,NETWORKDAYS(MAX(D938,DATE(Einstellungen!$C$3,11,1)),MIN(J938,DATE(Einstellungen!$C$3,12,0)),Einstellungen!$F$13:$F$32)))</f>
        <v/>
      </c>
      <c r="W938" s="49">
        <f>IF(OR(A938="",D938=""),0,MAX(0,NETWORKDAYS(MAX(D938,DATE(Einstellungen!$C$3,12,1)),MIN(J938,DATE(Einstellungen!$C$3,13,0)),Einstellungen!$F$13:$F$32)))</f>
        <v/>
      </c>
      <c r="X938" s="50">
        <f>L938*K938</f>
        <v/>
      </c>
      <c r="Y938" s="50">
        <f>M938*K938</f>
        <v/>
      </c>
      <c r="Z938" s="50">
        <f>N938*K938</f>
        <v/>
      </c>
      <c r="AA938" s="50">
        <f>O938*K938</f>
        <v/>
      </c>
      <c r="AB938" s="50">
        <f>P938*K938</f>
        <v/>
      </c>
      <c r="AC938" s="50">
        <f>Q938*K938</f>
        <v/>
      </c>
      <c r="AD938" s="50">
        <f>R938*K938</f>
        <v/>
      </c>
      <c r="AE938" s="50">
        <f>S938*K938</f>
        <v/>
      </c>
      <c r="AF938" s="50">
        <f>T938*K938</f>
        <v/>
      </c>
      <c r="AG938" s="50">
        <f>U938*K938</f>
        <v/>
      </c>
      <c r="AH938" s="50">
        <f>V938*K938</f>
        <v/>
      </c>
      <c r="AI938" s="50">
        <f>W938*K938</f>
        <v/>
      </c>
    </row>
    <row r="939">
      <c r="A939" s="25" t="n"/>
      <c r="B939" s="45">
        <f>IF(A939="","",IFERROR(INDEX(Mitarbeiter!$B$6:$B$205,MATCH($A939,Mitarbeiter!$A$6:$A$205,0)),"?"))</f>
        <v/>
      </c>
      <c r="C939" s="46" t="n"/>
      <c r="D939" s="26" t="n"/>
      <c r="E939" s="26" t="n"/>
      <c r="F939" s="24">
        <f>IF(A939="","",SUM(L939:W939))</f>
        <v/>
      </c>
      <c r="G939" s="36">
        <f>IF(A939="","",SUM(X939:AI939))</f>
        <v/>
      </c>
      <c r="H939" s="8">
        <f>IF(A939="","",IF(ISNA(MATCH(A939,Mitarbeiter!$A$6:$A$205,0)),"Pers.-Nr. unbekannt",IF(D939="","Von fehlt",IF(AND(C939&lt;&gt;Einstellungen!$C$4,C939&lt;&gt;Einstellungen!$C$5),"Objekt fehlt",IF(J939&lt;D939,"Bis vor Von",IF(D939&lt;INDEX(Mitarbeiter!$C$6:$C$205,MATCH($A939,Mitarbeiter!$A$6:$A$205,0)),"vor Eintritt",IF(AND(INDEX(Mitarbeiter!$D$6:$D$205,MATCH($A939,Mitarbeiter!$A$6:$A$205,0))&lt;&gt;"",D939&gt;INDEX(Mitarbeiter!$D$6:$D$205,MATCH($A939,Mitarbeiter!$A$6:$A$205,0))),"nach Austritt",IF(E939="","offen","ok"))))))))</f>
        <v/>
      </c>
      <c r="J939" s="47">
        <f>IF(A939="","",IF(E939="",Einstellungen!$C$9,E939))</f>
        <v/>
      </c>
      <c r="K939" s="48">
        <f>IF(A939="",0,IFERROR(INDEX(Mitarbeiter!$F$6:$F$205,MATCH($A939,Mitarbeiter!$A$6:$A$205,0)),0))</f>
        <v/>
      </c>
      <c r="L939" s="49">
        <f>IF(OR(A939="",D939=""),0,MAX(0,NETWORKDAYS(MAX(D939,DATE(Einstellungen!$C$3,1,1)),MIN(J939,DATE(Einstellungen!$C$3,2,0)),Einstellungen!$F$13:$F$32)))</f>
        <v/>
      </c>
      <c r="M939" s="49">
        <f>IF(OR(A939="",D939=""),0,MAX(0,NETWORKDAYS(MAX(D939,DATE(Einstellungen!$C$3,2,1)),MIN(J939,DATE(Einstellungen!$C$3,3,0)),Einstellungen!$F$13:$F$32)))</f>
        <v/>
      </c>
      <c r="N939" s="49">
        <f>IF(OR(A939="",D939=""),0,MAX(0,NETWORKDAYS(MAX(D939,DATE(Einstellungen!$C$3,3,1)),MIN(J939,DATE(Einstellungen!$C$3,4,0)),Einstellungen!$F$13:$F$32)))</f>
        <v/>
      </c>
      <c r="O939" s="49">
        <f>IF(OR(A939="",D939=""),0,MAX(0,NETWORKDAYS(MAX(D939,DATE(Einstellungen!$C$3,4,1)),MIN(J939,DATE(Einstellungen!$C$3,5,0)),Einstellungen!$F$13:$F$32)))</f>
        <v/>
      </c>
      <c r="P939" s="49">
        <f>IF(OR(A939="",D939=""),0,MAX(0,NETWORKDAYS(MAX(D939,DATE(Einstellungen!$C$3,5,1)),MIN(J939,DATE(Einstellungen!$C$3,6,0)),Einstellungen!$F$13:$F$32)))</f>
        <v/>
      </c>
      <c r="Q939" s="49">
        <f>IF(OR(A939="",D939=""),0,MAX(0,NETWORKDAYS(MAX(D939,DATE(Einstellungen!$C$3,6,1)),MIN(J939,DATE(Einstellungen!$C$3,7,0)),Einstellungen!$F$13:$F$32)))</f>
        <v/>
      </c>
      <c r="R939" s="49">
        <f>IF(OR(A939="",D939=""),0,MAX(0,NETWORKDAYS(MAX(D939,DATE(Einstellungen!$C$3,7,1)),MIN(J939,DATE(Einstellungen!$C$3,8,0)),Einstellungen!$F$13:$F$32)))</f>
        <v/>
      </c>
      <c r="S939" s="49">
        <f>IF(OR(A939="",D939=""),0,MAX(0,NETWORKDAYS(MAX(D939,DATE(Einstellungen!$C$3,8,1)),MIN(J939,DATE(Einstellungen!$C$3,9,0)),Einstellungen!$F$13:$F$32)))</f>
        <v/>
      </c>
      <c r="T939" s="49">
        <f>IF(OR(A939="",D939=""),0,MAX(0,NETWORKDAYS(MAX(D939,DATE(Einstellungen!$C$3,9,1)),MIN(J939,DATE(Einstellungen!$C$3,10,0)),Einstellungen!$F$13:$F$32)))</f>
        <v/>
      </c>
      <c r="U939" s="49">
        <f>IF(OR(A939="",D939=""),0,MAX(0,NETWORKDAYS(MAX(D939,DATE(Einstellungen!$C$3,10,1)),MIN(J939,DATE(Einstellungen!$C$3,11,0)),Einstellungen!$F$13:$F$32)))</f>
        <v/>
      </c>
      <c r="V939" s="49">
        <f>IF(OR(A939="",D939=""),0,MAX(0,NETWORKDAYS(MAX(D939,DATE(Einstellungen!$C$3,11,1)),MIN(J939,DATE(Einstellungen!$C$3,12,0)),Einstellungen!$F$13:$F$32)))</f>
        <v/>
      </c>
      <c r="W939" s="49">
        <f>IF(OR(A939="",D939=""),0,MAX(0,NETWORKDAYS(MAX(D939,DATE(Einstellungen!$C$3,12,1)),MIN(J939,DATE(Einstellungen!$C$3,13,0)),Einstellungen!$F$13:$F$32)))</f>
        <v/>
      </c>
      <c r="X939" s="50">
        <f>L939*K939</f>
        <v/>
      </c>
      <c r="Y939" s="50">
        <f>M939*K939</f>
        <v/>
      </c>
      <c r="Z939" s="50">
        <f>N939*K939</f>
        <v/>
      </c>
      <c r="AA939" s="50">
        <f>O939*K939</f>
        <v/>
      </c>
      <c r="AB939" s="50">
        <f>P939*K939</f>
        <v/>
      </c>
      <c r="AC939" s="50">
        <f>Q939*K939</f>
        <v/>
      </c>
      <c r="AD939" s="50">
        <f>R939*K939</f>
        <v/>
      </c>
      <c r="AE939" s="50">
        <f>S939*K939</f>
        <v/>
      </c>
      <c r="AF939" s="50">
        <f>T939*K939</f>
        <v/>
      </c>
      <c r="AG939" s="50">
        <f>U939*K939</f>
        <v/>
      </c>
      <c r="AH939" s="50">
        <f>V939*K939</f>
        <v/>
      </c>
      <c r="AI939" s="50">
        <f>W939*K939</f>
        <v/>
      </c>
    </row>
    <row r="940">
      <c r="A940" s="25" t="n"/>
      <c r="B940" s="45">
        <f>IF(A940="","",IFERROR(INDEX(Mitarbeiter!$B$6:$B$205,MATCH($A940,Mitarbeiter!$A$6:$A$205,0)),"?"))</f>
        <v/>
      </c>
      <c r="C940" s="46" t="n"/>
      <c r="D940" s="26" t="n"/>
      <c r="E940" s="26" t="n"/>
      <c r="F940" s="24">
        <f>IF(A940="","",SUM(L940:W940))</f>
        <v/>
      </c>
      <c r="G940" s="36">
        <f>IF(A940="","",SUM(X940:AI940))</f>
        <v/>
      </c>
      <c r="H940" s="8">
        <f>IF(A940="","",IF(ISNA(MATCH(A940,Mitarbeiter!$A$6:$A$205,0)),"Pers.-Nr. unbekannt",IF(D940="","Von fehlt",IF(AND(C940&lt;&gt;Einstellungen!$C$4,C940&lt;&gt;Einstellungen!$C$5),"Objekt fehlt",IF(J940&lt;D940,"Bis vor Von",IF(D940&lt;INDEX(Mitarbeiter!$C$6:$C$205,MATCH($A940,Mitarbeiter!$A$6:$A$205,0)),"vor Eintritt",IF(AND(INDEX(Mitarbeiter!$D$6:$D$205,MATCH($A940,Mitarbeiter!$A$6:$A$205,0))&lt;&gt;"",D940&gt;INDEX(Mitarbeiter!$D$6:$D$205,MATCH($A940,Mitarbeiter!$A$6:$A$205,0))),"nach Austritt",IF(E940="","offen","ok"))))))))</f>
        <v/>
      </c>
      <c r="J940" s="47">
        <f>IF(A940="","",IF(E940="",Einstellungen!$C$9,E940))</f>
        <v/>
      </c>
      <c r="K940" s="48">
        <f>IF(A940="",0,IFERROR(INDEX(Mitarbeiter!$F$6:$F$205,MATCH($A940,Mitarbeiter!$A$6:$A$205,0)),0))</f>
        <v/>
      </c>
      <c r="L940" s="49">
        <f>IF(OR(A940="",D940=""),0,MAX(0,NETWORKDAYS(MAX(D940,DATE(Einstellungen!$C$3,1,1)),MIN(J940,DATE(Einstellungen!$C$3,2,0)),Einstellungen!$F$13:$F$32)))</f>
        <v/>
      </c>
      <c r="M940" s="49">
        <f>IF(OR(A940="",D940=""),0,MAX(0,NETWORKDAYS(MAX(D940,DATE(Einstellungen!$C$3,2,1)),MIN(J940,DATE(Einstellungen!$C$3,3,0)),Einstellungen!$F$13:$F$32)))</f>
        <v/>
      </c>
      <c r="N940" s="49">
        <f>IF(OR(A940="",D940=""),0,MAX(0,NETWORKDAYS(MAX(D940,DATE(Einstellungen!$C$3,3,1)),MIN(J940,DATE(Einstellungen!$C$3,4,0)),Einstellungen!$F$13:$F$32)))</f>
        <v/>
      </c>
      <c r="O940" s="49">
        <f>IF(OR(A940="",D940=""),0,MAX(0,NETWORKDAYS(MAX(D940,DATE(Einstellungen!$C$3,4,1)),MIN(J940,DATE(Einstellungen!$C$3,5,0)),Einstellungen!$F$13:$F$32)))</f>
        <v/>
      </c>
      <c r="P940" s="49">
        <f>IF(OR(A940="",D940=""),0,MAX(0,NETWORKDAYS(MAX(D940,DATE(Einstellungen!$C$3,5,1)),MIN(J940,DATE(Einstellungen!$C$3,6,0)),Einstellungen!$F$13:$F$32)))</f>
        <v/>
      </c>
      <c r="Q940" s="49">
        <f>IF(OR(A940="",D940=""),0,MAX(0,NETWORKDAYS(MAX(D940,DATE(Einstellungen!$C$3,6,1)),MIN(J940,DATE(Einstellungen!$C$3,7,0)),Einstellungen!$F$13:$F$32)))</f>
        <v/>
      </c>
      <c r="R940" s="49">
        <f>IF(OR(A940="",D940=""),0,MAX(0,NETWORKDAYS(MAX(D940,DATE(Einstellungen!$C$3,7,1)),MIN(J940,DATE(Einstellungen!$C$3,8,0)),Einstellungen!$F$13:$F$32)))</f>
        <v/>
      </c>
      <c r="S940" s="49">
        <f>IF(OR(A940="",D940=""),0,MAX(0,NETWORKDAYS(MAX(D940,DATE(Einstellungen!$C$3,8,1)),MIN(J940,DATE(Einstellungen!$C$3,9,0)),Einstellungen!$F$13:$F$32)))</f>
        <v/>
      </c>
      <c r="T940" s="49">
        <f>IF(OR(A940="",D940=""),0,MAX(0,NETWORKDAYS(MAX(D940,DATE(Einstellungen!$C$3,9,1)),MIN(J940,DATE(Einstellungen!$C$3,10,0)),Einstellungen!$F$13:$F$32)))</f>
        <v/>
      </c>
      <c r="U940" s="49">
        <f>IF(OR(A940="",D940=""),0,MAX(0,NETWORKDAYS(MAX(D940,DATE(Einstellungen!$C$3,10,1)),MIN(J940,DATE(Einstellungen!$C$3,11,0)),Einstellungen!$F$13:$F$32)))</f>
        <v/>
      </c>
      <c r="V940" s="49">
        <f>IF(OR(A940="",D940=""),0,MAX(0,NETWORKDAYS(MAX(D940,DATE(Einstellungen!$C$3,11,1)),MIN(J940,DATE(Einstellungen!$C$3,12,0)),Einstellungen!$F$13:$F$32)))</f>
        <v/>
      </c>
      <c r="W940" s="49">
        <f>IF(OR(A940="",D940=""),0,MAX(0,NETWORKDAYS(MAX(D940,DATE(Einstellungen!$C$3,12,1)),MIN(J940,DATE(Einstellungen!$C$3,13,0)),Einstellungen!$F$13:$F$32)))</f>
        <v/>
      </c>
      <c r="X940" s="50">
        <f>L940*K940</f>
        <v/>
      </c>
      <c r="Y940" s="50">
        <f>M940*K940</f>
        <v/>
      </c>
      <c r="Z940" s="50">
        <f>N940*K940</f>
        <v/>
      </c>
      <c r="AA940" s="50">
        <f>O940*K940</f>
        <v/>
      </c>
      <c r="AB940" s="50">
        <f>P940*K940</f>
        <v/>
      </c>
      <c r="AC940" s="50">
        <f>Q940*K940</f>
        <v/>
      </c>
      <c r="AD940" s="50">
        <f>R940*K940</f>
        <v/>
      </c>
      <c r="AE940" s="50">
        <f>S940*K940</f>
        <v/>
      </c>
      <c r="AF940" s="50">
        <f>T940*K940</f>
        <v/>
      </c>
      <c r="AG940" s="50">
        <f>U940*K940</f>
        <v/>
      </c>
      <c r="AH940" s="50">
        <f>V940*K940</f>
        <v/>
      </c>
      <c r="AI940" s="50">
        <f>W940*K940</f>
        <v/>
      </c>
    </row>
    <row r="941">
      <c r="A941" s="25" t="n"/>
      <c r="B941" s="45">
        <f>IF(A941="","",IFERROR(INDEX(Mitarbeiter!$B$6:$B$205,MATCH($A941,Mitarbeiter!$A$6:$A$205,0)),"?"))</f>
        <v/>
      </c>
      <c r="C941" s="46" t="n"/>
      <c r="D941" s="26" t="n"/>
      <c r="E941" s="26" t="n"/>
      <c r="F941" s="24">
        <f>IF(A941="","",SUM(L941:W941))</f>
        <v/>
      </c>
      <c r="G941" s="36">
        <f>IF(A941="","",SUM(X941:AI941))</f>
        <v/>
      </c>
      <c r="H941" s="8">
        <f>IF(A941="","",IF(ISNA(MATCH(A941,Mitarbeiter!$A$6:$A$205,0)),"Pers.-Nr. unbekannt",IF(D941="","Von fehlt",IF(AND(C941&lt;&gt;Einstellungen!$C$4,C941&lt;&gt;Einstellungen!$C$5),"Objekt fehlt",IF(J941&lt;D941,"Bis vor Von",IF(D941&lt;INDEX(Mitarbeiter!$C$6:$C$205,MATCH($A941,Mitarbeiter!$A$6:$A$205,0)),"vor Eintritt",IF(AND(INDEX(Mitarbeiter!$D$6:$D$205,MATCH($A941,Mitarbeiter!$A$6:$A$205,0))&lt;&gt;"",D941&gt;INDEX(Mitarbeiter!$D$6:$D$205,MATCH($A941,Mitarbeiter!$A$6:$A$205,0))),"nach Austritt",IF(E941="","offen","ok"))))))))</f>
        <v/>
      </c>
      <c r="J941" s="47">
        <f>IF(A941="","",IF(E941="",Einstellungen!$C$9,E941))</f>
        <v/>
      </c>
      <c r="K941" s="48">
        <f>IF(A941="",0,IFERROR(INDEX(Mitarbeiter!$F$6:$F$205,MATCH($A941,Mitarbeiter!$A$6:$A$205,0)),0))</f>
        <v/>
      </c>
      <c r="L941" s="49">
        <f>IF(OR(A941="",D941=""),0,MAX(0,NETWORKDAYS(MAX(D941,DATE(Einstellungen!$C$3,1,1)),MIN(J941,DATE(Einstellungen!$C$3,2,0)),Einstellungen!$F$13:$F$32)))</f>
        <v/>
      </c>
      <c r="M941" s="49">
        <f>IF(OR(A941="",D941=""),0,MAX(0,NETWORKDAYS(MAX(D941,DATE(Einstellungen!$C$3,2,1)),MIN(J941,DATE(Einstellungen!$C$3,3,0)),Einstellungen!$F$13:$F$32)))</f>
        <v/>
      </c>
      <c r="N941" s="49">
        <f>IF(OR(A941="",D941=""),0,MAX(0,NETWORKDAYS(MAX(D941,DATE(Einstellungen!$C$3,3,1)),MIN(J941,DATE(Einstellungen!$C$3,4,0)),Einstellungen!$F$13:$F$32)))</f>
        <v/>
      </c>
      <c r="O941" s="49">
        <f>IF(OR(A941="",D941=""),0,MAX(0,NETWORKDAYS(MAX(D941,DATE(Einstellungen!$C$3,4,1)),MIN(J941,DATE(Einstellungen!$C$3,5,0)),Einstellungen!$F$13:$F$32)))</f>
        <v/>
      </c>
      <c r="P941" s="49">
        <f>IF(OR(A941="",D941=""),0,MAX(0,NETWORKDAYS(MAX(D941,DATE(Einstellungen!$C$3,5,1)),MIN(J941,DATE(Einstellungen!$C$3,6,0)),Einstellungen!$F$13:$F$32)))</f>
        <v/>
      </c>
      <c r="Q941" s="49">
        <f>IF(OR(A941="",D941=""),0,MAX(0,NETWORKDAYS(MAX(D941,DATE(Einstellungen!$C$3,6,1)),MIN(J941,DATE(Einstellungen!$C$3,7,0)),Einstellungen!$F$13:$F$32)))</f>
        <v/>
      </c>
      <c r="R941" s="49">
        <f>IF(OR(A941="",D941=""),0,MAX(0,NETWORKDAYS(MAX(D941,DATE(Einstellungen!$C$3,7,1)),MIN(J941,DATE(Einstellungen!$C$3,8,0)),Einstellungen!$F$13:$F$32)))</f>
        <v/>
      </c>
      <c r="S941" s="49">
        <f>IF(OR(A941="",D941=""),0,MAX(0,NETWORKDAYS(MAX(D941,DATE(Einstellungen!$C$3,8,1)),MIN(J941,DATE(Einstellungen!$C$3,9,0)),Einstellungen!$F$13:$F$32)))</f>
        <v/>
      </c>
      <c r="T941" s="49">
        <f>IF(OR(A941="",D941=""),0,MAX(0,NETWORKDAYS(MAX(D941,DATE(Einstellungen!$C$3,9,1)),MIN(J941,DATE(Einstellungen!$C$3,10,0)),Einstellungen!$F$13:$F$32)))</f>
        <v/>
      </c>
      <c r="U941" s="49">
        <f>IF(OR(A941="",D941=""),0,MAX(0,NETWORKDAYS(MAX(D941,DATE(Einstellungen!$C$3,10,1)),MIN(J941,DATE(Einstellungen!$C$3,11,0)),Einstellungen!$F$13:$F$32)))</f>
        <v/>
      </c>
      <c r="V941" s="49">
        <f>IF(OR(A941="",D941=""),0,MAX(0,NETWORKDAYS(MAX(D941,DATE(Einstellungen!$C$3,11,1)),MIN(J941,DATE(Einstellungen!$C$3,12,0)),Einstellungen!$F$13:$F$32)))</f>
        <v/>
      </c>
      <c r="W941" s="49">
        <f>IF(OR(A941="",D941=""),0,MAX(0,NETWORKDAYS(MAX(D941,DATE(Einstellungen!$C$3,12,1)),MIN(J941,DATE(Einstellungen!$C$3,13,0)),Einstellungen!$F$13:$F$32)))</f>
        <v/>
      </c>
      <c r="X941" s="50">
        <f>L941*K941</f>
        <v/>
      </c>
      <c r="Y941" s="50">
        <f>M941*K941</f>
        <v/>
      </c>
      <c r="Z941" s="50">
        <f>N941*K941</f>
        <v/>
      </c>
      <c r="AA941" s="50">
        <f>O941*K941</f>
        <v/>
      </c>
      <c r="AB941" s="50">
        <f>P941*K941</f>
        <v/>
      </c>
      <c r="AC941" s="50">
        <f>Q941*K941</f>
        <v/>
      </c>
      <c r="AD941" s="50">
        <f>R941*K941</f>
        <v/>
      </c>
      <c r="AE941" s="50">
        <f>S941*K941</f>
        <v/>
      </c>
      <c r="AF941" s="50">
        <f>T941*K941</f>
        <v/>
      </c>
      <c r="AG941" s="50">
        <f>U941*K941</f>
        <v/>
      </c>
      <c r="AH941" s="50">
        <f>V941*K941</f>
        <v/>
      </c>
      <c r="AI941" s="50">
        <f>W941*K941</f>
        <v/>
      </c>
    </row>
    <row r="942">
      <c r="A942" s="25" t="n"/>
      <c r="B942" s="45">
        <f>IF(A942="","",IFERROR(INDEX(Mitarbeiter!$B$6:$B$205,MATCH($A942,Mitarbeiter!$A$6:$A$205,0)),"?"))</f>
        <v/>
      </c>
      <c r="C942" s="46" t="n"/>
      <c r="D942" s="26" t="n"/>
      <c r="E942" s="26" t="n"/>
      <c r="F942" s="24">
        <f>IF(A942="","",SUM(L942:W942))</f>
        <v/>
      </c>
      <c r="G942" s="36">
        <f>IF(A942="","",SUM(X942:AI942))</f>
        <v/>
      </c>
      <c r="H942" s="8">
        <f>IF(A942="","",IF(ISNA(MATCH(A942,Mitarbeiter!$A$6:$A$205,0)),"Pers.-Nr. unbekannt",IF(D942="","Von fehlt",IF(AND(C942&lt;&gt;Einstellungen!$C$4,C942&lt;&gt;Einstellungen!$C$5),"Objekt fehlt",IF(J942&lt;D942,"Bis vor Von",IF(D942&lt;INDEX(Mitarbeiter!$C$6:$C$205,MATCH($A942,Mitarbeiter!$A$6:$A$205,0)),"vor Eintritt",IF(AND(INDEX(Mitarbeiter!$D$6:$D$205,MATCH($A942,Mitarbeiter!$A$6:$A$205,0))&lt;&gt;"",D942&gt;INDEX(Mitarbeiter!$D$6:$D$205,MATCH($A942,Mitarbeiter!$A$6:$A$205,0))),"nach Austritt",IF(E942="","offen","ok"))))))))</f>
        <v/>
      </c>
      <c r="J942" s="47">
        <f>IF(A942="","",IF(E942="",Einstellungen!$C$9,E942))</f>
        <v/>
      </c>
      <c r="K942" s="48">
        <f>IF(A942="",0,IFERROR(INDEX(Mitarbeiter!$F$6:$F$205,MATCH($A942,Mitarbeiter!$A$6:$A$205,0)),0))</f>
        <v/>
      </c>
      <c r="L942" s="49">
        <f>IF(OR(A942="",D942=""),0,MAX(0,NETWORKDAYS(MAX(D942,DATE(Einstellungen!$C$3,1,1)),MIN(J942,DATE(Einstellungen!$C$3,2,0)),Einstellungen!$F$13:$F$32)))</f>
        <v/>
      </c>
      <c r="M942" s="49">
        <f>IF(OR(A942="",D942=""),0,MAX(0,NETWORKDAYS(MAX(D942,DATE(Einstellungen!$C$3,2,1)),MIN(J942,DATE(Einstellungen!$C$3,3,0)),Einstellungen!$F$13:$F$32)))</f>
        <v/>
      </c>
      <c r="N942" s="49">
        <f>IF(OR(A942="",D942=""),0,MAX(0,NETWORKDAYS(MAX(D942,DATE(Einstellungen!$C$3,3,1)),MIN(J942,DATE(Einstellungen!$C$3,4,0)),Einstellungen!$F$13:$F$32)))</f>
        <v/>
      </c>
      <c r="O942" s="49">
        <f>IF(OR(A942="",D942=""),0,MAX(0,NETWORKDAYS(MAX(D942,DATE(Einstellungen!$C$3,4,1)),MIN(J942,DATE(Einstellungen!$C$3,5,0)),Einstellungen!$F$13:$F$32)))</f>
        <v/>
      </c>
      <c r="P942" s="49">
        <f>IF(OR(A942="",D942=""),0,MAX(0,NETWORKDAYS(MAX(D942,DATE(Einstellungen!$C$3,5,1)),MIN(J942,DATE(Einstellungen!$C$3,6,0)),Einstellungen!$F$13:$F$32)))</f>
        <v/>
      </c>
      <c r="Q942" s="49">
        <f>IF(OR(A942="",D942=""),0,MAX(0,NETWORKDAYS(MAX(D942,DATE(Einstellungen!$C$3,6,1)),MIN(J942,DATE(Einstellungen!$C$3,7,0)),Einstellungen!$F$13:$F$32)))</f>
        <v/>
      </c>
      <c r="R942" s="49">
        <f>IF(OR(A942="",D942=""),0,MAX(0,NETWORKDAYS(MAX(D942,DATE(Einstellungen!$C$3,7,1)),MIN(J942,DATE(Einstellungen!$C$3,8,0)),Einstellungen!$F$13:$F$32)))</f>
        <v/>
      </c>
      <c r="S942" s="49">
        <f>IF(OR(A942="",D942=""),0,MAX(0,NETWORKDAYS(MAX(D942,DATE(Einstellungen!$C$3,8,1)),MIN(J942,DATE(Einstellungen!$C$3,9,0)),Einstellungen!$F$13:$F$32)))</f>
        <v/>
      </c>
      <c r="T942" s="49">
        <f>IF(OR(A942="",D942=""),0,MAX(0,NETWORKDAYS(MAX(D942,DATE(Einstellungen!$C$3,9,1)),MIN(J942,DATE(Einstellungen!$C$3,10,0)),Einstellungen!$F$13:$F$32)))</f>
        <v/>
      </c>
      <c r="U942" s="49">
        <f>IF(OR(A942="",D942=""),0,MAX(0,NETWORKDAYS(MAX(D942,DATE(Einstellungen!$C$3,10,1)),MIN(J942,DATE(Einstellungen!$C$3,11,0)),Einstellungen!$F$13:$F$32)))</f>
        <v/>
      </c>
      <c r="V942" s="49">
        <f>IF(OR(A942="",D942=""),0,MAX(0,NETWORKDAYS(MAX(D942,DATE(Einstellungen!$C$3,11,1)),MIN(J942,DATE(Einstellungen!$C$3,12,0)),Einstellungen!$F$13:$F$32)))</f>
        <v/>
      </c>
      <c r="W942" s="49">
        <f>IF(OR(A942="",D942=""),0,MAX(0,NETWORKDAYS(MAX(D942,DATE(Einstellungen!$C$3,12,1)),MIN(J942,DATE(Einstellungen!$C$3,13,0)),Einstellungen!$F$13:$F$32)))</f>
        <v/>
      </c>
      <c r="X942" s="50">
        <f>L942*K942</f>
        <v/>
      </c>
      <c r="Y942" s="50">
        <f>M942*K942</f>
        <v/>
      </c>
      <c r="Z942" s="50">
        <f>N942*K942</f>
        <v/>
      </c>
      <c r="AA942" s="50">
        <f>O942*K942</f>
        <v/>
      </c>
      <c r="AB942" s="50">
        <f>P942*K942</f>
        <v/>
      </c>
      <c r="AC942" s="50">
        <f>Q942*K942</f>
        <v/>
      </c>
      <c r="AD942" s="50">
        <f>R942*K942</f>
        <v/>
      </c>
      <c r="AE942" s="50">
        <f>S942*K942</f>
        <v/>
      </c>
      <c r="AF942" s="50">
        <f>T942*K942</f>
        <v/>
      </c>
      <c r="AG942" s="50">
        <f>U942*K942</f>
        <v/>
      </c>
      <c r="AH942" s="50">
        <f>V942*K942</f>
        <v/>
      </c>
      <c r="AI942" s="50">
        <f>W942*K942</f>
        <v/>
      </c>
    </row>
    <row r="943">
      <c r="A943" s="25" t="n"/>
      <c r="B943" s="45">
        <f>IF(A943="","",IFERROR(INDEX(Mitarbeiter!$B$6:$B$205,MATCH($A943,Mitarbeiter!$A$6:$A$205,0)),"?"))</f>
        <v/>
      </c>
      <c r="C943" s="46" t="n"/>
      <c r="D943" s="26" t="n"/>
      <c r="E943" s="26" t="n"/>
      <c r="F943" s="24">
        <f>IF(A943="","",SUM(L943:W943))</f>
        <v/>
      </c>
      <c r="G943" s="36">
        <f>IF(A943="","",SUM(X943:AI943))</f>
        <v/>
      </c>
      <c r="H943" s="8">
        <f>IF(A943="","",IF(ISNA(MATCH(A943,Mitarbeiter!$A$6:$A$205,0)),"Pers.-Nr. unbekannt",IF(D943="","Von fehlt",IF(AND(C943&lt;&gt;Einstellungen!$C$4,C943&lt;&gt;Einstellungen!$C$5),"Objekt fehlt",IF(J943&lt;D943,"Bis vor Von",IF(D943&lt;INDEX(Mitarbeiter!$C$6:$C$205,MATCH($A943,Mitarbeiter!$A$6:$A$205,0)),"vor Eintritt",IF(AND(INDEX(Mitarbeiter!$D$6:$D$205,MATCH($A943,Mitarbeiter!$A$6:$A$205,0))&lt;&gt;"",D943&gt;INDEX(Mitarbeiter!$D$6:$D$205,MATCH($A943,Mitarbeiter!$A$6:$A$205,0))),"nach Austritt",IF(E943="","offen","ok"))))))))</f>
        <v/>
      </c>
      <c r="J943" s="47">
        <f>IF(A943="","",IF(E943="",Einstellungen!$C$9,E943))</f>
        <v/>
      </c>
      <c r="K943" s="48">
        <f>IF(A943="",0,IFERROR(INDEX(Mitarbeiter!$F$6:$F$205,MATCH($A943,Mitarbeiter!$A$6:$A$205,0)),0))</f>
        <v/>
      </c>
      <c r="L943" s="49">
        <f>IF(OR(A943="",D943=""),0,MAX(0,NETWORKDAYS(MAX(D943,DATE(Einstellungen!$C$3,1,1)),MIN(J943,DATE(Einstellungen!$C$3,2,0)),Einstellungen!$F$13:$F$32)))</f>
        <v/>
      </c>
      <c r="M943" s="49">
        <f>IF(OR(A943="",D943=""),0,MAX(0,NETWORKDAYS(MAX(D943,DATE(Einstellungen!$C$3,2,1)),MIN(J943,DATE(Einstellungen!$C$3,3,0)),Einstellungen!$F$13:$F$32)))</f>
        <v/>
      </c>
      <c r="N943" s="49">
        <f>IF(OR(A943="",D943=""),0,MAX(0,NETWORKDAYS(MAX(D943,DATE(Einstellungen!$C$3,3,1)),MIN(J943,DATE(Einstellungen!$C$3,4,0)),Einstellungen!$F$13:$F$32)))</f>
        <v/>
      </c>
      <c r="O943" s="49">
        <f>IF(OR(A943="",D943=""),0,MAX(0,NETWORKDAYS(MAX(D943,DATE(Einstellungen!$C$3,4,1)),MIN(J943,DATE(Einstellungen!$C$3,5,0)),Einstellungen!$F$13:$F$32)))</f>
        <v/>
      </c>
      <c r="P943" s="49">
        <f>IF(OR(A943="",D943=""),0,MAX(0,NETWORKDAYS(MAX(D943,DATE(Einstellungen!$C$3,5,1)),MIN(J943,DATE(Einstellungen!$C$3,6,0)),Einstellungen!$F$13:$F$32)))</f>
        <v/>
      </c>
      <c r="Q943" s="49">
        <f>IF(OR(A943="",D943=""),0,MAX(0,NETWORKDAYS(MAX(D943,DATE(Einstellungen!$C$3,6,1)),MIN(J943,DATE(Einstellungen!$C$3,7,0)),Einstellungen!$F$13:$F$32)))</f>
        <v/>
      </c>
      <c r="R943" s="49">
        <f>IF(OR(A943="",D943=""),0,MAX(0,NETWORKDAYS(MAX(D943,DATE(Einstellungen!$C$3,7,1)),MIN(J943,DATE(Einstellungen!$C$3,8,0)),Einstellungen!$F$13:$F$32)))</f>
        <v/>
      </c>
      <c r="S943" s="49">
        <f>IF(OR(A943="",D943=""),0,MAX(0,NETWORKDAYS(MAX(D943,DATE(Einstellungen!$C$3,8,1)),MIN(J943,DATE(Einstellungen!$C$3,9,0)),Einstellungen!$F$13:$F$32)))</f>
        <v/>
      </c>
      <c r="T943" s="49">
        <f>IF(OR(A943="",D943=""),0,MAX(0,NETWORKDAYS(MAX(D943,DATE(Einstellungen!$C$3,9,1)),MIN(J943,DATE(Einstellungen!$C$3,10,0)),Einstellungen!$F$13:$F$32)))</f>
        <v/>
      </c>
      <c r="U943" s="49">
        <f>IF(OR(A943="",D943=""),0,MAX(0,NETWORKDAYS(MAX(D943,DATE(Einstellungen!$C$3,10,1)),MIN(J943,DATE(Einstellungen!$C$3,11,0)),Einstellungen!$F$13:$F$32)))</f>
        <v/>
      </c>
      <c r="V943" s="49">
        <f>IF(OR(A943="",D943=""),0,MAX(0,NETWORKDAYS(MAX(D943,DATE(Einstellungen!$C$3,11,1)),MIN(J943,DATE(Einstellungen!$C$3,12,0)),Einstellungen!$F$13:$F$32)))</f>
        <v/>
      </c>
      <c r="W943" s="49">
        <f>IF(OR(A943="",D943=""),0,MAX(0,NETWORKDAYS(MAX(D943,DATE(Einstellungen!$C$3,12,1)),MIN(J943,DATE(Einstellungen!$C$3,13,0)),Einstellungen!$F$13:$F$32)))</f>
        <v/>
      </c>
      <c r="X943" s="50">
        <f>L943*K943</f>
        <v/>
      </c>
      <c r="Y943" s="50">
        <f>M943*K943</f>
        <v/>
      </c>
      <c r="Z943" s="50">
        <f>N943*K943</f>
        <v/>
      </c>
      <c r="AA943" s="50">
        <f>O943*K943</f>
        <v/>
      </c>
      <c r="AB943" s="50">
        <f>P943*K943</f>
        <v/>
      </c>
      <c r="AC943" s="50">
        <f>Q943*K943</f>
        <v/>
      </c>
      <c r="AD943" s="50">
        <f>R943*K943</f>
        <v/>
      </c>
      <c r="AE943" s="50">
        <f>S943*K943</f>
        <v/>
      </c>
      <c r="AF943" s="50">
        <f>T943*K943</f>
        <v/>
      </c>
      <c r="AG943" s="50">
        <f>U943*K943</f>
        <v/>
      </c>
      <c r="AH943" s="50">
        <f>V943*K943</f>
        <v/>
      </c>
      <c r="AI943" s="50">
        <f>W943*K943</f>
        <v/>
      </c>
    </row>
    <row r="944">
      <c r="A944" s="25" t="n"/>
      <c r="B944" s="45">
        <f>IF(A944="","",IFERROR(INDEX(Mitarbeiter!$B$6:$B$205,MATCH($A944,Mitarbeiter!$A$6:$A$205,0)),"?"))</f>
        <v/>
      </c>
      <c r="C944" s="46" t="n"/>
      <c r="D944" s="26" t="n"/>
      <c r="E944" s="26" t="n"/>
      <c r="F944" s="24">
        <f>IF(A944="","",SUM(L944:W944))</f>
        <v/>
      </c>
      <c r="G944" s="36">
        <f>IF(A944="","",SUM(X944:AI944))</f>
        <v/>
      </c>
      <c r="H944" s="8">
        <f>IF(A944="","",IF(ISNA(MATCH(A944,Mitarbeiter!$A$6:$A$205,0)),"Pers.-Nr. unbekannt",IF(D944="","Von fehlt",IF(AND(C944&lt;&gt;Einstellungen!$C$4,C944&lt;&gt;Einstellungen!$C$5),"Objekt fehlt",IF(J944&lt;D944,"Bis vor Von",IF(D944&lt;INDEX(Mitarbeiter!$C$6:$C$205,MATCH($A944,Mitarbeiter!$A$6:$A$205,0)),"vor Eintritt",IF(AND(INDEX(Mitarbeiter!$D$6:$D$205,MATCH($A944,Mitarbeiter!$A$6:$A$205,0))&lt;&gt;"",D944&gt;INDEX(Mitarbeiter!$D$6:$D$205,MATCH($A944,Mitarbeiter!$A$6:$A$205,0))),"nach Austritt",IF(E944="","offen","ok"))))))))</f>
        <v/>
      </c>
      <c r="J944" s="47">
        <f>IF(A944="","",IF(E944="",Einstellungen!$C$9,E944))</f>
        <v/>
      </c>
      <c r="K944" s="48">
        <f>IF(A944="",0,IFERROR(INDEX(Mitarbeiter!$F$6:$F$205,MATCH($A944,Mitarbeiter!$A$6:$A$205,0)),0))</f>
        <v/>
      </c>
      <c r="L944" s="49">
        <f>IF(OR(A944="",D944=""),0,MAX(0,NETWORKDAYS(MAX(D944,DATE(Einstellungen!$C$3,1,1)),MIN(J944,DATE(Einstellungen!$C$3,2,0)),Einstellungen!$F$13:$F$32)))</f>
        <v/>
      </c>
      <c r="M944" s="49">
        <f>IF(OR(A944="",D944=""),0,MAX(0,NETWORKDAYS(MAX(D944,DATE(Einstellungen!$C$3,2,1)),MIN(J944,DATE(Einstellungen!$C$3,3,0)),Einstellungen!$F$13:$F$32)))</f>
        <v/>
      </c>
      <c r="N944" s="49">
        <f>IF(OR(A944="",D944=""),0,MAX(0,NETWORKDAYS(MAX(D944,DATE(Einstellungen!$C$3,3,1)),MIN(J944,DATE(Einstellungen!$C$3,4,0)),Einstellungen!$F$13:$F$32)))</f>
        <v/>
      </c>
      <c r="O944" s="49">
        <f>IF(OR(A944="",D944=""),0,MAX(0,NETWORKDAYS(MAX(D944,DATE(Einstellungen!$C$3,4,1)),MIN(J944,DATE(Einstellungen!$C$3,5,0)),Einstellungen!$F$13:$F$32)))</f>
        <v/>
      </c>
      <c r="P944" s="49">
        <f>IF(OR(A944="",D944=""),0,MAX(0,NETWORKDAYS(MAX(D944,DATE(Einstellungen!$C$3,5,1)),MIN(J944,DATE(Einstellungen!$C$3,6,0)),Einstellungen!$F$13:$F$32)))</f>
        <v/>
      </c>
      <c r="Q944" s="49">
        <f>IF(OR(A944="",D944=""),0,MAX(0,NETWORKDAYS(MAX(D944,DATE(Einstellungen!$C$3,6,1)),MIN(J944,DATE(Einstellungen!$C$3,7,0)),Einstellungen!$F$13:$F$32)))</f>
        <v/>
      </c>
      <c r="R944" s="49">
        <f>IF(OR(A944="",D944=""),0,MAX(0,NETWORKDAYS(MAX(D944,DATE(Einstellungen!$C$3,7,1)),MIN(J944,DATE(Einstellungen!$C$3,8,0)),Einstellungen!$F$13:$F$32)))</f>
        <v/>
      </c>
      <c r="S944" s="49">
        <f>IF(OR(A944="",D944=""),0,MAX(0,NETWORKDAYS(MAX(D944,DATE(Einstellungen!$C$3,8,1)),MIN(J944,DATE(Einstellungen!$C$3,9,0)),Einstellungen!$F$13:$F$32)))</f>
        <v/>
      </c>
      <c r="T944" s="49">
        <f>IF(OR(A944="",D944=""),0,MAX(0,NETWORKDAYS(MAX(D944,DATE(Einstellungen!$C$3,9,1)),MIN(J944,DATE(Einstellungen!$C$3,10,0)),Einstellungen!$F$13:$F$32)))</f>
        <v/>
      </c>
      <c r="U944" s="49">
        <f>IF(OR(A944="",D944=""),0,MAX(0,NETWORKDAYS(MAX(D944,DATE(Einstellungen!$C$3,10,1)),MIN(J944,DATE(Einstellungen!$C$3,11,0)),Einstellungen!$F$13:$F$32)))</f>
        <v/>
      </c>
      <c r="V944" s="49">
        <f>IF(OR(A944="",D944=""),0,MAX(0,NETWORKDAYS(MAX(D944,DATE(Einstellungen!$C$3,11,1)),MIN(J944,DATE(Einstellungen!$C$3,12,0)),Einstellungen!$F$13:$F$32)))</f>
        <v/>
      </c>
      <c r="W944" s="49">
        <f>IF(OR(A944="",D944=""),0,MAX(0,NETWORKDAYS(MAX(D944,DATE(Einstellungen!$C$3,12,1)),MIN(J944,DATE(Einstellungen!$C$3,13,0)),Einstellungen!$F$13:$F$32)))</f>
        <v/>
      </c>
      <c r="X944" s="50">
        <f>L944*K944</f>
        <v/>
      </c>
      <c r="Y944" s="50">
        <f>M944*K944</f>
        <v/>
      </c>
      <c r="Z944" s="50">
        <f>N944*K944</f>
        <v/>
      </c>
      <c r="AA944" s="50">
        <f>O944*K944</f>
        <v/>
      </c>
      <c r="AB944" s="50">
        <f>P944*K944</f>
        <v/>
      </c>
      <c r="AC944" s="50">
        <f>Q944*K944</f>
        <v/>
      </c>
      <c r="AD944" s="50">
        <f>R944*K944</f>
        <v/>
      </c>
      <c r="AE944" s="50">
        <f>S944*K944</f>
        <v/>
      </c>
      <c r="AF944" s="50">
        <f>T944*K944</f>
        <v/>
      </c>
      <c r="AG944" s="50">
        <f>U944*K944</f>
        <v/>
      </c>
      <c r="AH944" s="50">
        <f>V944*K944</f>
        <v/>
      </c>
      <c r="AI944" s="50">
        <f>W944*K944</f>
        <v/>
      </c>
    </row>
    <row r="945">
      <c r="A945" s="25" t="n"/>
      <c r="B945" s="45">
        <f>IF(A945="","",IFERROR(INDEX(Mitarbeiter!$B$6:$B$205,MATCH($A945,Mitarbeiter!$A$6:$A$205,0)),"?"))</f>
        <v/>
      </c>
      <c r="C945" s="46" t="n"/>
      <c r="D945" s="26" t="n"/>
      <c r="E945" s="26" t="n"/>
      <c r="F945" s="24">
        <f>IF(A945="","",SUM(L945:W945))</f>
        <v/>
      </c>
      <c r="G945" s="36">
        <f>IF(A945="","",SUM(X945:AI945))</f>
        <v/>
      </c>
      <c r="H945" s="8">
        <f>IF(A945="","",IF(ISNA(MATCH(A945,Mitarbeiter!$A$6:$A$205,0)),"Pers.-Nr. unbekannt",IF(D945="","Von fehlt",IF(AND(C945&lt;&gt;Einstellungen!$C$4,C945&lt;&gt;Einstellungen!$C$5),"Objekt fehlt",IF(J945&lt;D945,"Bis vor Von",IF(D945&lt;INDEX(Mitarbeiter!$C$6:$C$205,MATCH($A945,Mitarbeiter!$A$6:$A$205,0)),"vor Eintritt",IF(AND(INDEX(Mitarbeiter!$D$6:$D$205,MATCH($A945,Mitarbeiter!$A$6:$A$205,0))&lt;&gt;"",D945&gt;INDEX(Mitarbeiter!$D$6:$D$205,MATCH($A945,Mitarbeiter!$A$6:$A$205,0))),"nach Austritt",IF(E945="","offen","ok"))))))))</f>
        <v/>
      </c>
      <c r="J945" s="47">
        <f>IF(A945="","",IF(E945="",Einstellungen!$C$9,E945))</f>
        <v/>
      </c>
      <c r="K945" s="48">
        <f>IF(A945="",0,IFERROR(INDEX(Mitarbeiter!$F$6:$F$205,MATCH($A945,Mitarbeiter!$A$6:$A$205,0)),0))</f>
        <v/>
      </c>
      <c r="L945" s="49">
        <f>IF(OR(A945="",D945=""),0,MAX(0,NETWORKDAYS(MAX(D945,DATE(Einstellungen!$C$3,1,1)),MIN(J945,DATE(Einstellungen!$C$3,2,0)),Einstellungen!$F$13:$F$32)))</f>
        <v/>
      </c>
      <c r="M945" s="49">
        <f>IF(OR(A945="",D945=""),0,MAX(0,NETWORKDAYS(MAX(D945,DATE(Einstellungen!$C$3,2,1)),MIN(J945,DATE(Einstellungen!$C$3,3,0)),Einstellungen!$F$13:$F$32)))</f>
        <v/>
      </c>
      <c r="N945" s="49">
        <f>IF(OR(A945="",D945=""),0,MAX(0,NETWORKDAYS(MAX(D945,DATE(Einstellungen!$C$3,3,1)),MIN(J945,DATE(Einstellungen!$C$3,4,0)),Einstellungen!$F$13:$F$32)))</f>
        <v/>
      </c>
      <c r="O945" s="49">
        <f>IF(OR(A945="",D945=""),0,MAX(0,NETWORKDAYS(MAX(D945,DATE(Einstellungen!$C$3,4,1)),MIN(J945,DATE(Einstellungen!$C$3,5,0)),Einstellungen!$F$13:$F$32)))</f>
        <v/>
      </c>
      <c r="P945" s="49">
        <f>IF(OR(A945="",D945=""),0,MAX(0,NETWORKDAYS(MAX(D945,DATE(Einstellungen!$C$3,5,1)),MIN(J945,DATE(Einstellungen!$C$3,6,0)),Einstellungen!$F$13:$F$32)))</f>
        <v/>
      </c>
      <c r="Q945" s="49">
        <f>IF(OR(A945="",D945=""),0,MAX(0,NETWORKDAYS(MAX(D945,DATE(Einstellungen!$C$3,6,1)),MIN(J945,DATE(Einstellungen!$C$3,7,0)),Einstellungen!$F$13:$F$32)))</f>
        <v/>
      </c>
      <c r="R945" s="49">
        <f>IF(OR(A945="",D945=""),0,MAX(0,NETWORKDAYS(MAX(D945,DATE(Einstellungen!$C$3,7,1)),MIN(J945,DATE(Einstellungen!$C$3,8,0)),Einstellungen!$F$13:$F$32)))</f>
        <v/>
      </c>
      <c r="S945" s="49">
        <f>IF(OR(A945="",D945=""),0,MAX(0,NETWORKDAYS(MAX(D945,DATE(Einstellungen!$C$3,8,1)),MIN(J945,DATE(Einstellungen!$C$3,9,0)),Einstellungen!$F$13:$F$32)))</f>
        <v/>
      </c>
      <c r="T945" s="49">
        <f>IF(OR(A945="",D945=""),0,MAX(0,NETWORKDAYS(MAX(D945,DATE(Einstellungen!$C$3,9,1)),MIN(J945,DATE(Einstellungen!$C$3,10,0)),Einstellungen!$F$13:$F$32)))</f>
        <v/>
      </c>
      <c r="U945" s="49">
        <f>IF(OR(A945="",D945=""),0,MAX(0,NETWORKDAYS(MAX(D945,DATE(Einstellungen!$C$3,10,1)),MIN(J945,DATE(Einstellungen!$C$3,11,0)),Einstellungen!$F$13:$F$32)))</f>
        <v/>
      </c>
      <c r="V945" s="49">
        <f>IF(OR(A945="",D945=""),0,MAX(0,NETWORKDAYS(MAX(D945,DATE(Einstellungen!$C$3,11,1)),MIN(J945,DATE(Einstellungen!$C$3,12,0)),Einstellungen!$F$13:$F$32)))</f>
        <v/>
      </c>
      <c r="W945" s="49">
        <f>IF(OR(A945="",D945=""),0,MAX(0,NETWORKDAYS(MAX(D945,DATE(Einstellungen!$C$3,12,1)),MIN(J945,DATE(Einstellungen!$C$3,13,0)),Einstellungen!$F$13:$F$32)))</f>
        <v/>
      </c>
      <c r="X945" s="50">
        <f>L945*K945</f>
        <v/>
      </c>
      <c r="Y945" s="50">
        <f>M945*K945</f>
        <v/>
      </c>
      <c r="Z945" s="50">
        <f>N945*K945</f>
        <v/>
      </c>
      <c r="AA945" s="50">
        <f>O945*K945</f>
        <v/>
      </c>
      <c r="AB945" s="50">
        <f>P945*K945</f>
        <v/>
      </c>
      <c r="AC945" s="50">
        <f>Q945*K945</f>
        <v/>
      </c>
      <c r="AD945" s="50">
        <f>R945*K945</f>
        <v/>
      </c>
      <c r="AE945" s="50">
        <f>S945*K945</f>
        <v/>
      </c>
      <c r="AF945" s="50">
        <f>T945*K945</f>
        <v/>
      </c>
      <c r="AG945" s="50">
        <f>U945*K945</f>
        <v/>
      </c>
      <c r="AH945" s="50">
        <f>V945*K945</f>
        <v/>
      </c>
      <c r="AI945" s="50">
        <f>W945*K945</f>
        <v/>
      </c>
    </row>
    <row r="946">
      <c r="A946" s="25" t="n"/>
      <c r="B946" s="45">
        <f>IF(A946="","",IFERROR(INDEX(Mitarbeiter!$B$6:$B$205,MATCH($A946,Mitarbeiter!$A$6:$A$205,0)),"?"))</f>
        <v/>
      </c>
      <c r="C946" s="46" t="n"/>
      <c r="D946" s="26" t="n"/>
      <c r="E946" s="26" t="n"/>
      <c r="F946" s="24">
        <f>IF(A946="","",SUM(L946:W946))</f>
        <v/>
      </c>
      <c r="G946" s="36">
        <f>IF(A946="","",SUM(X946:AI946))</f>
        <v/>
      </c>
      <c r="H946" s="8">
        <f>IF(A946="","",IF(ISNA(MATCH(A946,Mitarbeiter!$A$6:$A$205,0)),"Pers.-Nr. unbekannt",IF(D946="","Von fehlt",IF(AND(C946&lt;&gt;Einstellungen!$C$4,C946&lt;&gt;Einstellungen!$C$5),"Objekt fehlt",IF(J946&lt;D946,"Bis vor Von",IF(D946&lt;INDEX(Mitarbeiter!$C$6:$C$205,MATCH($A946,Mitarbeiter!$A$6:$A$205,0)),"vor Eintritt",IF(AND(INDEX(Mitarbeiter!$D$6:$D$205,MATCH($A946,Mitarbeiter!$A$6:$A$205,0))&lt;&gt;"",D946&gt;INDEX(Mitarbeiter!$D$6:$D$205,MATCH($A946,Mitarbeiter!$A$6:$A$205,0))),"nach Austritt",IF(E946="","offen","ok"))))))))</f>
        <v/>
      </c>
      <c r="J946" s="47">
        <f>IF(A946="","",IF(E946="",Einstellungen!$C$9,E946))</f>
        <v/>
      </c>
      <c r="K946" s="48">
        <f>IF(A946="",0,IFERROR(INDEX(Mitarbeiter!$F$6:$F$205,MATCH($A946,Mitarbeiter!$A$6:$A$205,0)),0))</f>
        <v/>
      </c>
      <c r="L946" s="49">
        <f>IF(OR(A946="",D946=""),0,MAX(0,NETWORKDAYS(MAX(D946,DATE(Einstellungen!$C$3,1,1)),MIN(J946,DATE(Einstellungen!$C$3,2,0)),Einstellungen!$F$13:$F$32)))</f>
        <v/>
      </c>
      <c r="M946" s="49">
        <f>IF(OR(A946="",D946=""),0,MAX(0,NETWORKDAYS(MAX(D946,DATE(Einstellungen!$C$3,2,1)),MIN(J946,DATE(Einstellungen!$C$3,3,0)),Einstellungen!$F$13:$F$32)))</f>
        <v/>
      </c>
      <c r="N946" s="49">
        <f>IF(OR(A946="",D946=""),0,MAX(0,NETWORKDAYS(MAX(D946,DATE(Einstellungen!$C$3,3,1)),MIN(J946,DATE(Einstellungen!$C$3,4,0)),Einstellungen!$F$13:$F$32)))</f>
        <v/>
      </c>
      <c r="O946" s="49">
        <f>IF(OR(A946="",D946=""),0,MAX(0,NETWORKDAYS(MAX(D946,DATE(Einstellungen!$C$3,4,1)),MIN(J946,DATE(Einstellungen!$C$3,5,0)),Einstellungen!$F$13:$F$32)))</f>
        <v/>
      </c>
      <c r="P946" s="49">
        <f>IF(OR(A946="",D946=""),0,MAX(0,NETWORKDAYS(MAX(D946,DATE(Einstellungen!$C$3,5,1)),MIN(J946,DATE(Einstellungen!$C$3,6,0)),Einstellungen!$F$13:$F$32)))</f>
        <v/>
      </c>
      <c r="Q946" s="49">
        <f>IF(OR(A946="",D946=""),0,MAX(0,NETWORKDAYS(MAX(D946,DATE(Einstellungen!$C$3,6,1)),MIN(J946,DATE(Einstellungen!$C$3,7,0)),Einstellungen!$F$13:$F$32)))</f>
        <v/>
      </c>
      <c r="R946" s="49">
        <f>IF(OR(A946="",D946=""),0,MAX(0,NETWORKDAYS(MAX(D946,DATE(Einstellungen!$C$3,7,1)),MIN(J946,DATE(Einstellungen!$C$3,8,0)),Einstellungen!$F$13:$F$32)))</f>
        <v/>
      </c>
      <c r="S946" s="49">
        <f>IF(OR(A946="",D946=""),0,MAX(0,NETWORKDAYS(MAX(D946,DATE(Einstellungen!$C$3,8,1)),MIN(J946,DATE(Einstellungen!$C$3,9,0)),Einstellungen!$F$13:$F$32)))</f>
        <v/>
      </c>
      <c r="T946" s="49">
        <f>IF(OR(A946="",D946=""),0,MAX(0,NETWORKDAYS(MAX(D946,DATE(Einstellungen!$C$3,9,1)),MIN(J946,DATE(Einstellungen!$C$3,10,0)),Einstellungen!$F$13:$F$32)))</f>
        <v/>
      </c>
      <c r="U946" s="49">
        <f>IF(OR(A946="",D946=""),0,MAX(0,NETWORKDAYS(MAX(D946,DATE(Einstellungen!$C$3,10,1)),MIN(J946,DATE(Einstellungen!$C$3,11,0)),Einstellungen!$F$13:$F$32)))</f>
        <v/>
      </c>
      <c r="V946" s="49">
        <f>IF(OR(A946="",D946=""),0,MAX(0,NETWORKDAYS(MAX(D946,DATE(Einstellungen!$C$3,11,1)),MIN(J946,DATE(Einstellungen!$C$3,12,0)),Einstellungen!$F$13:$F$32)))</f>
        <v/>
      </c>
      <c r="W946" s="49">
        <f>IF(OR(A946="",D946=""),0,MAX(0,NETWORKDAYS(MAX(D946,DATE(Einstellungen!$C$3,12,1)),MIN(J946,DATE(Einstellungen!$C$3,13,0)),Einstellungen!$F$13:$F$32)))</f>
        <v/>
      </c>
      <c r="X946" s="50">
        <f>L946*K946</f>
        <v/>
      </c>
      <c r="Y946" s="50">
        <f>M946*K946</f>
        <v/>
      </c>
      <c r="Z946" s="50">
        <f>N946*K946</f>
        <v/>
      </c>
      <c r="AA946" s="50">
        <f>O946*K946</f>
        <v/>
      </c>
      <c r="AB946" s="50">
        <f>P946*K946</f>
        <v/>
      </c>
      <c r="AC946" s="50">
        <f>Q946*K946</f>
        <v/>
      </c>
      <c r="AD946" s="50">
        <f>R946*K946</f>
        <v/>
      </c>
      <c r="AE946" s="50">
        <f>S946*K946</f>
        <v/>
      </c>
      <c r="AF946" s="50">
        <f>T946*K946</f>
        <v/>
      </c>
      <c r="AG946" s="50">
        <f>U946*K946</f>
        <v/>
      </c>
      <c r="AH946" s="50">
        <f>V946*K946</f>
        <v/>
      </c>
      <c r="AI946" s="50">
        <f>W946*K946</f>
        <v/>
      </c>
    </row>
    <row r="947">
      <c r="A947" s="25" t="n"/>
      <c r="B947" s="45">
        <f>IF(A947="","",IFERROR(INDEX(Mitarbeiter!$B$6:$B$205,MATCH($A947,Mitarbeiter!$A$6:$A$205,0)),"?"))</f>
        <v/>
      </c>
      <c r="C947" s="46" t="n"/>
      <c r="D947" s="26" t="n"/>
      <c r="E947" s="26" t="n"/>
      <c r="F947" s="24">
        <f>IF(A947="","",SUM(L947:W947))</f>
        <v/>
      </c>
      <c r="G947" s="36">
        <f>IF(A947="","",SUM(X947:AI947))</f>
        <v/>
      </c>
      <c r="H947" s="8">
        <f>IF(A947="","",IF(ISNA(MATCH(A947,Mitarbeiter!$A$6:$A$205,0)),"Pers.-Nr. unbekannt",IF(D947="","Von fehlt",IF(AND(C947&lt;&gt;Einstellungen!$C$4,C947&lt;&gt;Einstellungen!$C$5),"Objekt fehlt",IF(J947&lt;D947,"Bis vor Von",IF(D947&lt;INDEX(Mitarbeiter!$C$6:$C$205,MATCH($A947,Mitarbeiter!$A$6:$A$205,0)),"vor Eintritt",IF(AND(INDEX(Mitarbeiter!$D$6:$D$205,MATCH($A947,Mitarbeiter!$A$6:$A$205,0))&lt;&gt;"",D947&gt;INDEX(Mitarbeiter!$D$6:$D$205,MATCH($A947,Mitarbeiter!$A$6:$A$205,0))),"nach Austritt",IF(E947="","offen","ok"))))))))</f>
        <v/>
      </c>
      <c r="J947" s="47">
        <f>IF(A947="","",IF(E947="",Einstellungen!$C$9,E947))</f>
        <v/>
      </c>
      <c r="K947" s="48">
        <f>IF(A947="",0,IFERROR(INDEX(Mitarbeiter!$F$6:$F$205,MATCH($A947,Mitarbeiter!$A$6:$A$205,0)),0))</f>
        <v/>
      </c>
      <c r="L947" s="49">
        <f>IF(OR(A947="",D947=""),0,MAX(0,NETWORKDAYS(MAX(D947,DATE(Einstellungen!$C$3,1,1)),MIN(J947,DATE(Einstellungen!$C$3,2,0)),Einstellungen!$F$13:$F$32)))</f>
        <v/>
      </c>
      <c r="M947" s="49">
        <f>IF(OR(A947="",D947=""),0,MAX(0,NETWORKDAYS(MAX(D947,DATE(Einstellungen!$C$3,2,1)),MIN(J947,DATE(Einstellungen!$C$3,3,0)),Einstellungen!$F$13:$F$32)))</f>
        <v/>
      </c>
      <c r="N947" s="49">
        <f>IF(OR(A947="",D947=""),0,MAX(0,NETWORKDAYS(MAX(D947,DATE(Einstellungen!$C$3,3,1)),MIN(J947,DATE(Einstellungen!$C$3,4,0)),Einstellungen!$F$13:$F$32)))</f>
        <v/>
      </c>
      <c r="O947" s="49">
        <f>IF(OR(A947="",D947=""),0,MAX(0,NETWORKDAYS(MAX(D947,DATE(Einstellungen!$C$3,4,1)),MIN(J947,DATE(Einstellungen!$C$3,5,0)),Einstellungen!$F$13:$F$32)))</f>
        <v/>
      </c>
      <c r="P947" s="49">
        <f>IF(OR(A947="",D947=""),0,MAX(0,NETWORKDAYS(MAX(D947,DATE(Einstellungen!$C$3,5,1)),MIN(J947,DATE(Einstellungen!$C$3,6,0)),Einstellungen!$F$13:$F$32)))</f>
        <v/>
      </c>
      <c r="Q947" s="49">
        <f>IF(OR(A947="",D947=""),0,MAX(0,NETWORKDAYS(MAX(D947,DATE(Einstellungen!$C$3,6,1)),MIN(J947,DATE(Einstellungen!$C$3,7,0)),Einstellungen!$F$13:$F$32)))</f>
        <v/>
      </c>
      <c r="R947" s="49">
        <f>IF(OR(A947="",D947=""),0,MAX(0,NETWORKDAYS(MAX(D947,DATE(Einstellungen!$C$3,7,1)),MIN(J947,DATE(Einstellungen!$C$3,8,0)),Einstellungen!$F$13:$F$32)))</f>
        <v/>
      </c>
      <c r="S947" s="49">
        <f>IF(OR(A947="",D947=""),0,MAX(0,NETWORKDAYS(MAX(D947,DATE(Einstellungen!$C$3,8,1)),MIN(J947,DATE(Einstellungen!$C$3,9,0)),Einstellungen!$F$13:$F$32)))</f>
        <v/>
      </c>
      <c r="T947" s="49">
        <f>IF(OR(A947="",D947=""),0,MAX(0,NETWORKDAYS(MAX(D947,DATE(Einstellungen!$C$3,9,1)),MIN(J947,DATE(Einstellungen!$C$3,10,0)),Einstellungen!$F$13:$F$32)))</f>
        <v/>
      </c>
      <c r="U947" s="49">
        <f>IF(OR(A947="",D947=""),0,MAX(0,NETWORKDAYS(MAX(D947,DATE(Einstellungen!$C$3,10,1)),MIN(J947,DATE(Einstellungen!$C$3,11,0)),Einstellungen!$F$13:$F$32)))</f>
        <v/>
      </c>
      <c r="V947" s="49">
        <f>IF(OR(A947="",D947=""),0,MAX(0,NETWORKDAYS(MAX(D947,DATE(Einstellungen!$C$3,11,1)),MIN(J947,DATE(Einstellungen!$C$3,12,0)),Einstellungen!$F$13:$F$32)))</f>
        <v/>
      </c>
      <c r="W947" s="49">
        <f>IF(OR(A947="",D947=""),0,MAX(0,NETWORKDAYS(MAX(D947,DATE(Einstellungen!$C$3,12,1)),MIN(J947,DATE(Einstellungen!$C$3,13,0)),Einstellungen!$F$13:$F$32)))</f>
        <v/>
      </c>
      <c r="X947" s="50">
        <f>L947*K947</f>
        <v/>
      </c>
      <c r="Y947" s="50">
        <f>M947*K947</f>
        <v/>
      </c>
      <c r="Z947" s="50">
        <f>N947*K947</f>
        <v/>
      </c>
      <c r="AA947" s="50">
        <f>O947*K947</f>
        <v/>
      </c>
      <c r="AB947" s="50">
        <f>P947*K947</f>
        <v/>
      </c>
      <c r="AC947" s="50">
        <f>Q947*K947</f>
        <v/>
      </c>
      <c r="AD947" s="50">
        <f>R947*K947</f>
        <v/>
      </c>
      <c r="AE947" s="50">
        <f>S947*K947</f>
        <v/>
      </c>
      <c r="AF947" s="50">
        <f>T947*K947</f>
        <v/>
      </c>
      <c r="AG947" s="50">
        <f>U947*K947</f>
        <v/>
      </c>
      <c r="AH947" s="50">
        <f>V947*K947</f>
        <v/>
      </c>
      <c r="AI947" s="50">
        <f>W947*K947</f>
        <v/>
      </c>
    </row>
    <row r="948">
      <c r="A948" s="25" t="n"/>
      <c r="B948" s="45">
        <f>IF(A948="","",IFERROR(INDEX(Mitarbeiter!$B$6:$B$205,MATCH($A948,Mitarbeiter!$A$6:$A$205,0)),"?"))</f>
        <v/>
      </c>
      <c r="C948" s="46" t="n"/>
      <c r="D948" s="26" t="n"/>
      <c r="E948" s="26" t="n"/>
      <c r="F948" s="24">
        <f>IF(A948="","",SUM(L948:W948))</f>
        <v/>
      </c>
      <c r="G948" s="36">
        <f>IF(A948="","",SUM(X948:AI948))</f>
        <v/>
      </c>
      <c r="H948" s="8">
        <f>IF(A948="","",IF(ISNA(MATCH(A948,Mitarbeiter!$A$6:$A$205,0)),"Pers.-Nr. unbekannt",IF(D948="","Von fehlt",IF(AND(C948&lt;&gt;Einstellungen!$C$4,C948&lt;&gt;Einstellungen!$C$5),"Objekt fehlt",IF(J948&lt;D948,"Bis vor Von",IF(D948&lt;INDEX(Mitarbeiter!$C$6:$C$205,MATCH($A948,Mitarbeiter!$A$6:$A$205,0)),"vor Eintritt",IF(AND(INDEX(Mitarbeiter!$D$6:$D$205,MATCH($A948,Mitarbeiter!$A$6:$A$205,0))&lt;&gt;"",D948&gt;INDEX(Mitarbeiter!$D$6:$D$205,MATCH($A948,Mitarbeiter!$A$6:$A$205,0))),"nach Austritt",IF(E948="","offen","ok"))))))))</f>
        <v/>
      </c>
      <c r="J948" s="47">
        <f>IF(A948="","",IF(E948="",Einstellungen!$C$9,E948))</f>
        <v/>
      </c>
      <c r="K948" s="48">
        <f>IF(A948="",0,IFERROR(INDEX(Mitarbeiter!$F$6:$F$205,MATCH($A948,Mitarbeiter!$A$6:$A$205,0)),0))</f>
        <v/>
      </c>
      <c r="L948" s="49">
        <f>IF(OR(A948="",D948=""),0,MAX(0,NETWORKDAYS(MAX(D948,DATE(Einstellungen!$C$3,1,1)),MIN(J948,DATE(Einstellungen!$C$3,2,0)),Einstellungen!$F$13:$F$32)))</f>
        <v/>
      </c>
      <c r="M948" s="49">
        <f>IF(OR(A948="",D948=""),0,MAX(0,NETWORKDAYS(MAX(D948,DATE(Einstellungen!$C$3,2,1)),MIN(J948,DATE(Einstellungen!$C$3,3,0)),Einstellungen!$F$13:$F$32)))</f>
        <v/>
      </c>
      <c r="N948" s="49">
        <f>IF(OR(A948="",D948=""),0,MAX(0,NETWORKDAYS(MAX(D948,DATE(Einstellungen!$C$3,3,1)),MIN(J948,DATE(Einstellungen!$C$3,4,0)),Einstellungen!$F$13:$F$32)))</f>
        <v/>
      </c>
      <c r="O948" s="49">
        <f>IF(OR(A948="",D948=""),0,MAX(0,NETWORKDAYS(MAX(D948,DATE(Einstellungen!$C$3,4,1)),MIN(J948,DATE(Einstellungen!$C$3,5,0)),Einstellungen!$F$13:$F$32)))</f>
        <v/>
      </c>
      <c r="P948" s="49">
        <f>IF(OR(A948="",D948=""),0,MAX(0,NETWORKDAYS(MAX(D948,DATE(Einstellungen!$C$3,5,1)),MIN(J948,DATE(Einstellungen!$C$3,6,0)),Einstellungen!$F$13:$F$32)))</f>
        <v/>
      </c>
      <c r="Q948" s="49">
        <f>IF(OR(A948="",D948=""),0,MAX(0,NETWORKDAYS(MAX(D948,DATE(Einstellungen!$C$3,6,1)),MIN(J948,DATE(Einstellungen!$C$3,7,0)),Einstellungen!$F$13:$F$32)))</f>
        <v/>
      </c>
      <c r="R948" s="49">
        <f>IF(OR(A948="",D948=""),0,MAX(0,NETWORKDAYS(MAX(D948,DATE(Einstellungen!$C$3,7,1)),MIN(J948,DATE(Einstellungen!$C$3,8,0)),Einstellungen!$F$13:$F$32)))</f>
        <v/>
      </c>
      <c r="S948" s="49">
        <f>IF(OR(A948="",D948=""),0,MAX(0,NETWORKDAYS(MAX(D948,DATE(Einstellungen!$C$3,8,1)),MIN(J948,DATE(Einstellungen!$C$3,9,0)),Einstellungen!$F$13:$F$32)))</f>
        <v/>
      </c>
      <c r="T948" s="49">
        <f>IF(OR(A948="",D948=""),0,MAX(0,NETWORKDAYS(MAX(D948,DATE(Einstellungen!$C$3,9,1)),MIN(J948,DATE(Einstellungen!$C$3,10,0)),Einstellungen!$F$13:$F$32)))</f>
        <v/>
      </c>
      <c r="U948" s="49">
        <f>IF(OR(A948="",D948=""),0,MAX(0,NETWORKDAYS(MAX(D948,DATE(Einstellungen!$C$3,10,1)),MIN(J948,DATE(Einstellungen!$C$3,11,0)),Einstellungen!$F$13:$F$32)))</f>
        <v/>
      </c>
      <c r="V948" s="49">
        <f>IF(OR(A948="",D948=""),0,MAX(0,NETWORKDAYS(MAX(D948,DATE(Einstellungen!$C$3,11,1)),MIN(J948,DATE(Einstellungen!$C$3,12,0)),Einstellungen!$F$13:$F$32)))</f>
        <v/>
      </c>
      <c r="W948" s="49">
        <f>IF(OR(A948="",D948=""),0,MAX(0,NETWORKDAYS(MAX(D948,DATE(Einstellungen!$C$3,12,1)),MIN(J948,DATE(Einstellungen!$C$3,13,0)),Einstellungen!$F$13:$F$32)))</f>
        <v/>
      </c>
      <c r="X948" s="50">
        <f>L948*K948</f>
        <v/>
      </c>
      <c r="Y948" s="50">
        <f>M948*K948</f>
        <v/>
      </c>
      <c r="Z948" s="50">
        <f>N948*K948</f>
        <v/>
      </c>
      <c r="AA948" s="50">
        <f>O948*K948</f>
        <v/>
      </c>
      <c r="AB948" s="50">
        <f>P948*K948</f>
        <v/>
      </c>
      <c r="AC948" s="50">
        <f>Q948*K948</f>
        <v/>
      </c>
      <c r="AD948" s="50">
        <f>R948*K948</f>
        <v/>
      </c>
      <c r="AE948" s="50">
        <f>S948*K948</f>
        <v/>
      </c>
      <c r="AF948" s="50">
        <f>T948*K948</f>
        <v/>
      </c>
      <c r="AG948" s="50">
        <f>U948*K948</f>
        <v/>
      </c>
      <c r="AH948" s="50">
        <f>V948*K948</f>
        <v/>
      </c>
      <c r="AI948" s="50">
        <f>W948*K948</f>
        <v/>
      </c>
    </row>
    <row r="949">
      <c r="A949" s="25" t="n"/>
      <c r="B949" s="45">
        <f>IF(A949="","",IFERROR(INDEX(Mitarbeiter!$B$6:$B$205,MATCH($A949,Mitarbeiter!$A$6:$A$205,0)),"?"))</f>
        <v/>
      </c>
      <c r="C949" s="46" t="n"/>
      <c r="D949" s="26" t="n"/>
      <c r="E949" s="26" t="n"/>
      <c r="F949" s="24">
        <f>IF(A949="","",SUM(L949:W949))</f>
        <v/>
      </c>
      <c r="G949" s="36">
        <f>IF(A949="","",SUM(X949:AI949))</f>
        <v/>
      </c>
      <c r="H949" s="8">
        <f>IF(A949="","",IF(ISNA(MATCH(A949,Mitarbeiter!$A$6:$A$205,0)),"Pers.-Nr. unbekannt",IF(D949="","Von fehlt",IF(AND(C949&lt;&gt;Einstellungen!$C$4,C949&lt;&gt;Einstellungen!$C$5),"Objekt fehlt",IF(J949&lt;D949,"Bis vor Von",IF(D949&lt;INDEX(Mitarbeiter!$C$6:$C$205,MATCH($A949,Mitarbeiter!$A$6:$A$205,0)),"vor Eintritt",IF(AND(INDEX(Mitarbeiter!$D$6:$D$205,MATCH($A949,Mitarbeiter!$A$6:$A$205,0))&lt;&gt;"",D949&gt;INDEX(Mitarbeiter!$D$6:$D$205,MATCH($A949,Mitarbeiter!$A$6:$A$205,0))),"nach Austritt",IF(E949="","offen","ok"))))))))</f>
        <v/>
      </c>
      <c r="J949" s="47">
        <f>IF(A949="","",IF(E949="",Einstellungen!$C$9,E949))</f>
        <v/>
      </c>
      <c r="K949" s="48">
        <f>IF(A949="",0,IFERROR(INDEX(Mitarbeiter!$F$6:$F$205,MATCH($A949,Mitarbeiter!$A$6:$A$205,0)),0))</f>
        <v/>
      </c>
      <c r="L949" s="49">
        <f>IF(OR(A949="",D949=""),0,MAX(0,NETWORKDAYS(MAX(D949,DATE(Einstellungen!$C$3,1,1)),MIN(J949,DATE(Einstellungen!$C$3,2,0)),Einstellungen!$F$13:$F$32)))</f>
        <v/>
      </c>
      <c r="M949" s="49">
        <f>IF(OR(A949="",D949=""),0,MAX(0,NETWORKDAYS(MAX(D949,DATE(Einstellungen!$C$3,2,1)),MIN(J949,DATE(Einstellungen!$C$3,3,0)),Einstellungen!$F$13:$F$32)))</f>
        <v/>
      </c>
      <c r="N949" s="49">
        <f>IF(OR(A949="",D949=""),0,MAX(0,NETWORKDAYS(MAX(D949,DATE(Einstellungen!$C$3,3,1)),MIN(J949,DATE(Einstellungen!$C$3,4,0)),Einstellungen!$F$13:$F$32)))</f>
        <v/>
      </c>
      <c r="O949" s="49">
        <f>IF(OR(A949="",D949=""),0,MAX(0,NETWORKDAYS(MAX(D949,DATE(Einstellungen!$C$3,4,1)),MIN(J949,DATE(Einstellungen!$C$3,5,0)),Einstellungen!$F$13:$F$32)))</f>
        <v/>
      </c>
      <c r="P949" s="49">
        <f>IF(OR(A949="",D949=""),0,MAX(0,NETWORKDAYS(MAX(D949,DATE(Einstellungen!$C$3,5,1)),MIN(J949,DATE(Einstellungen!$C$3,6,0)),Einstellungen!$F$13:$F$32)))</f>
        <v/>
      </c>
      <c r="Q949" s="49">
        <f>IF(OR(A949="",D949=""),0,MAX(0,NETWORKDAYS(MAX(D949,DATE(Einstellungen!$C$3,6,1)),MIN(J949,DATE(Einstellungen!$C$3,7,0)),Einstellungen!$F$13:$F$32)))</f>
        <v/>
      </c>
      <c r="R949" s="49">
        <f>IF(OR(A949="",D949=""),0,MAX(0,NETWORKDAYS(MAX(D949,DATE(Einstellungen!$C$3,7,1)),MIN(J949,DATE(Einstellungen!$C$3,8,0)),Einstellungen!$F$13:$F$32)))</f>
        <v/>
      </c>
      <c r="S949" s="49">
        <f>IF(OR(A949="",D949=""),0,MAX(0,NETWORKDAYS(MAX(D949,DATE(Einstellungen!$C$3,8,1)),MIN(J949,DATE(Einstellungen!$C$3,9,0)),Einstellungen!$F$13:$F$32)))</f>
        <v/>
      </c>
      <c r="T949" s="49">
        <f>IF(OR(A949="",D949=""),0,MAX(0,NETWORKDAYS(MAX(D949,DATE(Einstellungen!$C$3,9,1)),MIN(J949,DATE(Einstellungen!$C$3,10,0)),Einstellungen!$F$13:$F$32)))</f>
        <v/>
      </c>
      <c r="U949" s="49">
        <f>IF(OR(A949="",D949=""),0,MAX(0,NETWORKDAYS(MAX(D949,DATE(Einstellungen!$C$3,10,1)),MIN(J949,DATE(Einstellungen!$C$3,11,0)),Einstellungen!$F$13:$F$32)))</f>
        <v/>
      </c>
      <c r="V949" s="49">
        <f>IF(OR(A949="",D949=""),0,MAX(0,NETWORKDAYS(MAX(D949,DATE(Einstellungen!$C$3,11,1)),MIN(J949,DATE(Einstellungen!$C$3,12,0)),Einstellungen!$F$13:$F$32)))</f>
        <v/>
      </c>
      <c r="W949" s="49">
        <f>IF(OR(A949="",D949=""),0,MAX(0,NETWORKDAYS(MAX(D949,DATE(Einstellungen!$C$3,12,1)),MIN(J949,DATE(Einstellungen!$C$3,13,0)),Einstellungen!$F$13:$F$32)))</f>
        <v/>
      </c>
      <c r="X949" s="50">
        <f>L949*K949</f>
        <v/>
      </c>
      <c r="Y949" s="50">
        <f>M949*K949</f>
        <v/>
      </c>
      <c r="Z949" s="50">
        <f>N949*K949</f>
        <v/>
      </c>
      <c r="AA949" s="50">
        <f>O949*K949</f>
        <v/>
      </c>
      <c r="AB949" s="50">
        <f>P949*K949</f>
        <v/>
      </c>
      <c r="AC949" s="50">
        <f>Q949*K949</f>
        <v/>
      </c>
      <c r="AD949" s="50">
        <f>R949*K949</f>
        <v/>
      </c>
      <c r="AE949" s="50">
        <f>S949*K949</f>
        <v/>
      </c>
      <c r="AF949" s="50">
        <f>T949*K949</f>
        <v/>
      </c>
      <c r="AG949" s="50">
        <f>U949*K949</f>
        <v/>
      </c>
      <c r="AH949" s="50">
        <f>V949*K949</f>
        <v/>
      </c>
      <c r="AI949" s="50">
        <f>W949*K949</f>
        <v/>
      </c>
    </row>
    <row r="950">
      <c r="A950" s="25" t="n"/>
      <c r="B950" s="45">
        <f>IF(A950="","",IFERROR(INDEX(Mitarbeiter!$B$6:$B$205,MATCH($A950,Mitarbeiter!$A$6:$A$205,0)),"?"))</f>
        <v/>
      </c>
      <c r="C950" s="46" t="n"/>
      <c r="D950" s="26" t="n"/>
      <c r="E950" s="26" t="n"/>
      <c r="F950" s="24">
        <f>IF(A950="","",SUM(L950:W950))</f>
        <v/>
      </c>
      <c r="G950" s="36">
        <f>IF(A950="","",SUM(X950:AI950))</f>
        <v/>
      </c>
      <c r="H950" s="8">
        <f>IF(A950="","",IF(ISNA(MATCH(A950,Mitarbeiter!$A$6:$A$205,0)),"Pers.-Nr. unbekannt",IF(D950="","Von fehlt",IF(AND(C950&lt;&gt;Einstellungen!$C$4,C950&lt;&gt;Einstellungen!$C$5),"Objekt fehlt",IF(J950&lt;D950,"Bis vor Von",IF(D950&lt;INDEX(Mitarbeiter!$C$6:$C$205,MATCH($A950,Mitarbeiter!$A$6:$A$205,0)),"vor Eintritt",IF(AND(INDEX(Mitarbeiter!$D$6:$D$205,MATCH($A950,Mitarbeiter!$A$6:$A$205,0))&lt;&gt;"",D950&gt;INDEX(Mitarbeiter!$D$6:$D$205,MATCH($A950,Mitarbeiter!$A$6:$A$205,0))),"nach Austritt",IF(E950="","offen","ok"))))))))</f>
        <v/>
      </c>
      <c r="J950" s="47">
        <f>IF(A950="","",IF(E950="",Einstellungen!$C$9,E950))</f>
        <v/>
      </c>
      <c r="K950" s="48">
        <f>IF(A950="",0,IFERROR(INDEX(Mitarbeiter!$F$6:$F$205,MATCH($A950,Mitarbeiter!$A$6:$A$205,0)),0))</f>
        <v/>
      </c>
      <c r="L950" s="49">
        <f>IF(OR(A950="",D950=""),0,MAX(0,NETWORKDAYS(MAX(D950,DATE(Einstellungen!$C$3,1,1)),MIN(J950,DATE(Einstellungen!$C$3,2,0)),Einstellungen!$F$13:$F$32)))</f>
        <v/>
      </c>
      <c r="M950" s="49">
        <f>IF(OR(A950="",D950=""),0,MAX(0,NETWORKDAYS(MAX(D950,DATE(Einstellungen!$C$3,2,1)),MIN(J950,DATE(Einstellungen!$C$3,3,0)),Einstellungen!$F$13:$F$32)))</f>
        <v/>
      </c>
      <c r="N950" s="49">
        <f>IF(OR(A950="",D950=""),0,MAX(0,NETWORKDAYS(MAX(D950,DATE(Einstellungen!$C$3,3,1)),MIN(J950,DATE(Einstellungen!$C$3,4,0)),Einstellungen!$F$13:$F$32)))</f>
        <v/>
      </c>
      <c r="O950" s="49">
        <f>IF(OR(A950="",D950=""),0,MAX(0,NETWORKDAYS(MAX(D950,DATE(Einstellungen!$C$3,4,1)),MIN(J950,DATE(Einstellungen!$C$3,5,0)),Einstellungen!$F$13:$F$32)))</f>
        <v/>
      </c>
      <c r="P950" s="49">
        <f>IF(OR(A950="",D950=""),0,MAX(0,NETWORKDAYS(MAX(D950,DATE(Einstellungen!$C$3,5,1)),MIN(J950,DATE(Einstellungen!$C$3,6,0)),Einstellungen!$F$13:$F$32)))</f>
        <v/>
      </c>
      <c r="Q950" s="49">
        <f>IF(OR(A950="",D950=""),0,MAX(0,NETWORKDAYS(MAX(D950,DATE(Einstellungen!$C$3,6,1)),MIN(J950,DATE(Einstellungen!$C$3,7,0)),Einstellungen!$F$13:$F$32)))</f>
        <v/>
      </c>
      <c r="R950" s="49">
        <f>IF(OR(A950="",D950=""),0,MAX(0,NETWORKDAYS(MAX(D950,DATE(Einstellungen!$C$3,7,1)),MIN(J950,DATE(Einstellungen!$C$3,8,0)),Einstellungen!$F$13:$F$32)))</f>
        <v/>
      </c>
      <c r="S950" s="49">
        <f>IF(OR(A950="",D950=""),0,MAX(0,NETWORKDAYS(MAX(D950,DATE(Einstellungen!$C$3,8,1)),MIN(J950,DATE(Einstellungen!$C$3,9,0)),Einstellungen!$F$13:$F$32)))</f>
        <v/>
      </c>
      <c r="T950" s="49">
        <f>IF(OR(A950="",D950=""),0,MAX(0,NETWORKDAYS(MAX(D950,DATE(Einstellungen!$C$3,9,1)),MIN(J950,DATE(Einstellungen!$C$3,10,0)),Einstellungen!$F$13:$F$32)))</f>
        <v/>
      </c>
      <c r="U950" s="49">
        <f>IF(OR(A950="",D950=""),0,MAX(0,NETWORKDAYS(MAX(D950,DATE(Einstellungen!$C$3,10,1)),MIN(J950,DATE(Einstellungen!$C$3,11,0)),Einstellungen!$F$13:$F$32)))</f>
        <v/>
      </c>
      <c r="V950" s="49">
        <f>IF(OR(A950="",D950=""),0,MAX(0,NETWORKDAYS(MAX(D950,DATE(Einstellungen!$C$3,11,1)),MIN(J950,DATE(Einstellungen!$C$3,12,0)),Einstellungen!$F$13:$F$32)))</f>
        <v/>
      </c>
      <c r="W950" s="49">
        <f>IF(OR(A950="",D950=""),0,MAX(0,NETWORKDAYS(MAX(D950,DATE(Einstellungen!$C$3,12,1)),MIN(J950,DATE(Einstellungen!$C$3,13,0)),Einstellungen!$F$13:$F$32)))</f>
        <v/>
      </c>
      <c r="X950" s="50">
        <f>L950*K950</f>
        <v/>
      </c>
      <c r="Y950" s="50">
        <f>M950*K950</f>
        <v/>
      </c>
      <c r="Z950" s="50">
        <f>N950*K950</f>
        <v/>
      </c>
      <c r="AA950" s="50">
        <f>O950*K950</f>
        <v/>
      </c>
      <c r="AB950" s="50">
        <f>P950*K950</f>
        <v/>
      </c>
      <c r="AC950" s="50">
        <f>Q950*K950</f>
        <v/>
      </c>
      <c r="AD950" s="50">
        <f>R950*K950</f>
        <v/>
      </c>
      <c r="AE950" s="50">
        <f>S950*K950</f>
        <v/>
      </c>
      <c r="AF950" s="50">
        <f>T950*K950</f>
        <v/>
      </c>
      <c r="AG950" s="50">
        <f>U950*K950</f>
        <v/>
      </c>
      <c r="AH950" s="50">
        <f>V950*K950</f>
        <v/>
      </c>
      <c r="AI950" s="50">
        <f>W950*K950</f>
        <v/>
      </c>
    </row>
    <row r="951">
      <c r="A951" s="25" t="n"/>
      <c r="B951" s="45">
        <f>IF(A951="","",IFERROR(INDEX(Mitarbeiter!$B$6:$B$205,MATCH($A951,Mitarbeiter!$A$6:$A$205,0)),"?"))</f>
        <v/>
      </c>
      <c r="C951" s="46" t="n"/>
      <c r="D951" s="26" t="n"/>
      <c r="E951" s="26" t="n"/>
      <c r="F951" s="24">
        <f>IF(A951="","",SUM(L951:W951))</f>
        <v/>
      </c>
      <c r="G951" s="36">
        <f>IF(A951="","",SUM(X951:AI951))</f>
        <v/>
      </c>
      <c r="H951" s="8">
        <f>IF(A951="","",IF(ISNA(MATCH(A951,Mitarbeiter!$A$6:$A$205,0)),"Pers.-Nr. unbekannt",IF(D951="","Von fehlt",IF(AND(C951&lt;&gt;Einstellungen!$C$4,C951&lt;&gt;Einstellungen!$C$5),"Objekt fehlt",IF(J951&lt;D951,"Bis vor Von",IF(D951&lt;INDEX(Mitarbeiter!$C$6:$C$205,MATCH($A951,Mitarbeiter!$A$6:$A$205,0)),"vor Eintritt",IF(AND(INDEX(Mitarbeiter!$D$6:$D$205,MATCH($A951,Mitarbeiter!$A$6:$A$205,0))&lt;&gt;"",D951&gt;INDEX(Mitarbeiter!$D$6:$D$205,MATCH($A951,Mitarbeiter!$A$6:$A$205,0))),"nach Austritt",IF(E951="","offen","ok"))))))))</f>
        <v/>
      </c>
      <c r="J951" s="47">
        <f>IF(A951="","",IF(E951="",Einstellungen!$C$9,E951))</f>
        <v/>
      </c>
      <c r="K951" s="48">
        <f>IF(A951="",0,IFERROR(INDEX(Mitarbeiter!$F$6:$F$205,MATCH($A951,Mitarbeiter!$A$6:$A$205,0)),0))</f>
        <v/>
      </c>
      <c r="L951" s="49">
        <f>IF(OR(A951="",D951=""),0,MAX(0,NETWORKDAYS(MAX(D951,DATE(Einstellungen!$C$3,1,1)),MIN(J951,DATE(Einstellungen!$C$3,2,0)),Einstellungen!$F$13:$F$32)))</f>
        <v/>
      </c>
      <c r="M951" s="49">
        <f>IF(OR(A951="",D951=""),0,MAX(0,NETWORKDAYS(MAX(D951,DATE(Einstellungen!$C$3,2,1)),MIN(J951,DATE(Einstellungen!$C$3,3,0)),Einstellungen!$F$13:$F$32)))</f>
        <v/>
      </c>
      <c r="N951" s="49">
        <f>IF(OR(A951="",D951=""),0,MAX(0,NETWORKDAYS(MAX(D951,DATE(Einstellungen!$C$3,3,1)),MIN(J951,DATE(Einstellungen!$C$3,4,0)),Einstellungen!$F$13:$F$32)))</f>
        <v/>
      </c>
      <c r="O951" s="49">
        <f>IF(OR(A951="",D951=""),0,MAX(0,NETWORKDAYS(MAX(D951,DATE(Einstellungen!$C$3,4,1)),MIN(J951,DATE(Einstellungen!$C$3,5,0)),Einstellungen!$F$13:$F$32)))</f>
        <v/>
      </c>
      <c r="P951" s="49">
        <f>IF(OR(A951="",D951=""),0,MAX(0,NETWORKDAYS(MAX(D951,DATE(Einstellungen!$C$3,5,1)),MIN(J951,DATE(Einstellungen!$C$3,6,0)),Einstellungen!$F$13:$F$32)))</f>
        <v/>
      </c>
      <c r="Q951" s="49">
        <f>IF(OR(A951="",D951=""),0,MAX(0,NETWORKDAYS(MAX(D951,DATE(Einstellungen!$C$3,6,1)),MIN(J951,DATE(Einstellungen!$C$3,7,0)),Einstellungen!$F$13:$F$32)))</f>
        <v/>
      </c>
      <c r="R951" s="49">
        <f>IF(OR(A951="",D951=""),0,MAX(0,NETWORKDAYS(MAX(D951,DATE(Einstellungen!$C$3,7,1)),MIN(J951,DATE(Einstellungen!$C$3,8,0)),Einstellungen!$F$13:$F$32)))</f>
        <v/>
      </c>
      <c r="S951" s="49">
        <f>IF(OR(A951="",D951=""),0,MAX(0,NETWORKDAYS(MAX(D951,DATE(Einstellungen!$C$3,8,1)),MIN(J951,DATE(Einstellungen!$C$3,9,0)),Einstellungen!$F$13:$F$32)))</f>
        <v/>
      </c>
      <c r="T951" s="49">
        <f>IF(OR(A951="",D951=""),0,MAX(0,NETWORKDAYS(MAX(D951,DATE(Einstellungen!$C$3,9,1)),MIN(J951,DATE(Einstellungen!$C$3,10,0)),Einstellungen!$F$13:$F$32)))</f>
        <v/>
      </c>
      <c r="U951" s="49">
        <f>IF(OR(A951="",D951=""),0,MAX(0,NETWORKDAYS(MAX(D951,DATE(Einstellungen!$C$3,10,1)),MIN(J951,DATE(Einstellungen!$C$3,11,0)),Einstellungen!$F$13:$F$32)))</f>
        <v/>
      </c>
      <c r="V951" s="49">
        <f>IF(OR(A951="",D951=""),0,MAX(0,NETWORKDAYS(MAX(D951,DATE(Einstellungen!$C$3,11,1)),MIN(J951,DATE(Einstellungen!$C$3,12,0)),Einstellungen!$F$13:$F$32)))</f>
        <v/>
      </c>
      <c r="W951" s="49">
        <f>IF(OR(A951="",D951=""),0,MAX(0,NETWORKDAYS(MAX(D951,DATE(Einstellungen!$C$3,12,1)),MIN(J951,DATE(Einstellungen!$C$3,13,0)),Einstellungen!$F$13:$F$32)))</f>
        <v/>
      </c>
      <c r="X951" s="50">
        <f>L951*K951</f>
        <v/>
      </c>
      <c r="Y951" s="50">
        <f>M951*K951</f>
        <v/>
      </c>
      <c r="Z951" s="50">
        <f>N951*K951</f>
        <v/>
      </c>
      <c r="AA951" s="50">
        <f>O951*K951</f>
        <v/>
      </c>
      <c r="AB951" s="50">
        <f>P951*K951</f>
        <v/>
      </c>
      <c r="AC951" s="50">
        <f>Q951*K951</f>
        <v/>
      </c>
      <c r="AD951" s="50">
        <f>R951*K951</f>
        <v/>
      </c>
      <c r="AE951" s="50">
        <f>S951*K951</f>
        <v/>
      </c>
      <c r="AF951" s="50">
        <f>T951*K951</f>
        <v/>
      </c>
      <c r="AG951" s="50">
        <f>U951*K951</f>
        <v/>
      </c>
      <c r="AH951" s="50">
        <f>V951*K951</f>
        <v/>
      </c>
      <c r="AI951" s="50">
        <f>W951*K951</f>
        <v/>
      </c>
    </row>
    <row r="952">
      <c r="A952" s="25" t="n"/>
      <c r="B952" s="45">
        <f>IF(A952="","",IFERROR(INDEX(Mitarbeiter!$B$6:$B$205,MATCH($A952,Mitarbeiter!$A$6:$A$205,0)),"?"))</f>
        <v/>
      </c>
      <c r="C952" s="46" t="n"/>
      <c r="D952" s="26" t="n"/>
      <c r="E952" s="26" t="n"/>
      <c r="F952" s="24">
        <f>IF(A952="","",SUM(L952:W952))</f>
        <v/>
      </c>
      <c r="G952" s="36">
        <f>IF(A952="","",SUM(X952:AI952))</f>
        <v/>
      </c>
      <c r="H952" s="8">
        <f>IF(A952="","",IF(ISNA(MATCH(A952,Mitarbeiter!$A$6:$A$205,0)),"Pers.-Nr. unbekannt",IF(D952="","Von fehlt",IF(AND(C952&lt;&gt;Einstellungen!$C$4,C952&lt;&gt;Einstellungen!$C$5),"Objekt fehlt",IF(J952&lt;D952,"Bis vor Von",IF(D952&lt;INDEX(Mitarbeiter!$C$6:$C$205,MATCH($A952,Mitarbeiter!$A$6:$A$205,0)),"vor Eintritt",IF(AND(INDEX(Mitarbeiter!$D$6:$D$205,MATCH($A952,Mitarbeiter!$A$6:$A$205,0))&lt;&gt;"",D952&gt;INDEX(Mitarbeiter!$D$6:$D$205,MATCH($A952,Mitarbeiter!$A$6:$A$205,0))),"nach Austritt",IF(E952="","offen","ok"))))))))</f>
        <v/>
      </c>
      <c r="J952" s="47">
        <f>IF(A952="","",IF(E952="",Einstellungen!$C$9,E952))</f>
        <v/>
      </c>
      <c r="K952" s="48">
        <f>IF(A952="",0,IFERROR(INDEX(Mitarbeiter!$F$6:$F$205,MATCH($A952,Mitarbeiter!$A$6:$A$205,0)),0))</f>
        <v/>
      </c>
      <c r="L952" s="49">
        <f>IF(OR(A952="",D952=""),0,MAX(0,NETWORKDAYS(MAX(D952,DATE(Einstellungen!$C$3,1,1)),MIN(J952,DATE(Einstellungen!$C$3,2,0)),Einstellungen!$F$13:$F$32)))</f>
        <v/>
      </c>
      <c r="M952" s="49">
        <f>IF(OR(A952="",D952=""),0,MAX(0,NETWORKDAYS(MAX(D952,DATE(Einstellungen!$C$3,2,1)),MIN(J952,DATE(Einstellungen!$C$3,3,0)),Einstellungen!$F$13:$F$32)))</f>
        <v/>
      </c>
      <c r="N952" s="49">
        <f>IF(OR(A952="",D952=""),0,MAX(0,NETWORKDAYS(MAX(D952,DATE(Einstellungen!$C$3,3,1)),MIN(J952,DATE(Einstellungen!$C$3,4,0)),Einstellungen!$F$13:$F$32)))</f>
        <v/>
      </c>
      <c r="O952" s="49">
        <f>IF(OR(A952="",D952=""),0,MAX(0,NETWORKDAYS(MAX(D952,DATE(Einstellungen!$C$3,4,1)),MIN(J952,DATE(Einstellungen!$C$3,5,0)),Einstellungen!$F$13:$F$32)))</f>
        <v/>
      </c>
      <c r="P952" s="49">
        <f>IF(OR(A952="",D952=""),0,MAX(0,NETWORKDAYS(MAX(D952,DATE(Einstellungen!$C$3,5,1)),MIN(J952,DATE(Einstellungen!$C$3,6,0)),Einstellungen!$F$13:$F$32)))</f>
        <v/>
      </c>
      <c r="Q952" s="49">
        <f>IF(OR(A952="",D952=""),0,MAX(0,NETWORKDAYS(MAX(D952,DATE(Einstellungen!$C$3,6,1)),MIN(J952,DATE(Einstellungen!$C$3,7,0)),Einstellungen!$F$13:$F$32)))</f>
        <v/>
      </c>
      <c r="R952" s="49">
        <f>IF(OR(A952="",D952=""),0,MAX(0,NETWORKDAYS(MAX(D952,DATE(Einstellungen!$C$3,7,1)),MIN(J952,DATE(Einstellungen!$C$3,8,0)),Einstellungen!$F$13:$F$32)))</f>
        <v/>
      </c>
      <c r="S952" s="49">
        <f>IF(OR(A952="",D952=""),0,MAX(0,NETWORKDAYS(MAX(D952,DATE(Einstellungen!$C$3,8,1)),MIN(J952,DATE(Einstellungen!$C$3,9,0)),Einstellungen!$F$13:$F$32)))</f>
        <v/>
      </c>
      <c r="T952" s="49">
        <f>IF(OR(A952="",D952=""),0,MAX(0,NETWORKDAYS(MAX(D952,DATE(Einstellungen!$C$3,9,1)),MIN(J952,DATE(Einstellungen!$C$3,10,0)),Einstellungen!$F$13:$F$32)))</f>
        <v/>
      </c>
      <c r="U952" s="49">
        <f>IF(OR(A952="",D952=""),0,MAX(0,NETWORKDAYS(MAX(D952,DATE(Einstellungen!$C$3,10,1)),MIN(J952,DATE(Einstellungen!$C$3,11,0)),Einstellungen!$F$13:$F$32)))</f>
        <v/>
      </c>
      <c r="V952" s="49">
        <f>IF(OR(A952="",D952=""),0,MAX(0,NETWORKDAYS(MAX(D952,DATE(Einstellungen!$C$3,11,1)),MIN(J952,DATE(Einstellungen!$C$3,12,0)),Einstellungen!$F$13:$F$32)))</f>
        <v/>
      </c>
      <c r="W952" s="49">
        <f>IF(OR(A952="",D952=""),0,MAX(0,NETWORKDAYS(MAX(D952,DATE(Einstellungen!$C$3,12,1)),MIN(J952,DATE(Einstellungen!$C$3,13,0)),Einstellungen!$F$13:$F$32)))</f>
        <v/>
      </c>
      <c r="X952" s="50">
        <f>L952*K952</f>
        <v/>
      </c>
      <c r="Y952" s="50">
        <f>M952*K952</f>
        <v/>
      </c>
      <c r="Z952" s="50">
        <f>N952*K952</f>
        <v/>
      </c>
      <c r="AA952" s="50">
        <f>O952*K952</f>
        <v/>
      </c>
      <c r="AB952" s="50">
        <f>P952*K952</f>
        <v/>
      </c>
      <c r="AC952" s="50">
        <f>Q952*K952</f>
        <v/>
      </c>
      <c r="AD952" s="50">
        <f>R952*K952</f>
        <v/>
      </c>
      <c r="AE952" s="50">
        <f>S952*K952</f>
        <v/>
      </c>
      <c r="AF952" s="50">
        <f>T952*K952</f>
        <v/>
      </c>
      <c r="AG952" s="50">
        <f>U952*K952</f>
        <v/>
      </c>
      <c r="AH952" s="50">
        <f>V952*K952</f>
        <v/>
      </c>
      <c r="AI952" s="50">
        <f>W952*K952</f>
        <v/>
      </c>
    </row>
    <row r="953">
      <c r="A953" s="25" t="n"/>
      <c r="B953" s="45">
        <f>IF(A953="","",IFERROR(INDEX(Mitarbeiter!$B$6:$B$205,MATCH($A953,Mitarbeiter!$A$6:$A$205,0)),"?"))</f>
        <v/>
      </c>
      <c r="C953" s="46" t="n"/>
      <c r="D953" s="26" t="n"/>
      <c r="E953" s="26" t="n"/>
      <c r="F953" s="24">
        <f>IF(A953="","",SUM(L953:W953))</f>
        <v/>
      </c>
      <c r="G953" s="36">
        <f>IF(A953="","",SUM(X953:AI953))</f>
        <v/>
      </c>
      <c r="H953" s="8">
        <f>IF(A953="","",IF(ISNA(MATCH(A953,Mitarbeiter!$A$6:$A$205,0)),"Pers.-Nr. unbekannt",IF(D953="","Von fehlt",IF(AND(C953&lt;&gt;Einstellungen!$C$4,C953&lt;&gt;Einstellungen!$C$5),"Objekt fehlt",IF(J953&lt;D953,"Bis vor Von",IF(D953&lt;INDEX(Mitarbeiter!$C$6:$C$205,MATCH($A953,Mitarbeiter!$A$6:$A$205,0)),"vor Eintritt",IF(AND(INDEX(Mitarbeiter!$D$6:$D$205,MATCH($A953,Mitarbeiter!$A$6:$A$205,0))&lt;&gt;"",D953&gt;INDEX(Mitarbeiter!$D$6:$D$205,MATCH($A953,Mitarbeiter!$A$6:$A$205,0))),"nach Austritt",IF(E953="","offen","ok"))))))))</f>
        <v/>
      </c>
      <c r="J953" s="47">
        <f>IF(A953="","",IF(E953="",Einstellungen!$C$9,E953))</f>
        <v/>
      </c>
      <c r="K953" s="48">
        <f>IF(A953="",0,IFERROR(INDEX(Mitarbeiter!$F$6:$F$205,MATCH($A953,Mitarbeiter!$A$6:$A$205,0)),0))</f>
        <v/>
      </c>
      <c r="L953" s="49">
        <f>IF(OR(A953="",D953=""),0,MAX(0,NETWORKDAYS(MAX(D953,DATE(Einstellungen!$C$3,1,1)),MIN(J953,DATE(Einstellungen!$C$3,2,0)),Einstellungen!$F$13:$F$32)))</f>
        <v/>
      </c>
      <c r="M953" s="49">
        <f>IF(OR(A953="",D953=""),0,MAX(0,NETWORKDAYS(MAX(D953,DATE(Einstellungen!$C$3,2,1)),MIN(J953,DATE(Einstellungen!$C$3,3,0)),Einstellungen!$F$13:$F$32)))</f>
        <v/>
      </c>
      <c r="N953" s="49">
        <f>IF(OR(A953="",D953=""),0,MAX(0,NETWORKDAYS(MAX(D953,DATE(Einstellungen!$C$3,3,1)),MIN(J953,DATE(Einstellungen!$C$3,4,0)),Einstellungen!$F$13:$F$32)))</f>
        <v/>
      </c>
      <c r="O953" s="49">
        <f>IF(OR(A953="",D953=""),0,MAX(0,NETWORKDAYS(MAX(D953,DATE(Einstellungen!$C$3,4,1)),MIN(J953,DATE(Einstellungen!$C$3,5,0)),Einstellungen!$F$13:$F$32)))</f>
        <v/>
      </c>
      <c r="P953" s="49">
        <f>IF(OR(A953="",D953=""),0,MAX(0,NETWORKDAYS(MAX(D953,DATE(Einstellungen!$C$3,5,1)),MIN(J953,DATE(Einstellungen!$C$3,6,0)),Einstellungen!$F$13:$F$32)))</f>
        <v/>
      </c>
      <c r="Q953" s="49">
        <f>IF(OR(A953="",D953=""),0,MAX(0,NETWORKDAYS(MAX(D953,DATE(Einstellungen!$C$3,6,1)),MIN(J953,DATE(Einstellungen!$C$3,7,0)),Einstellungen!$F$13:$F$32)))</f>
        <v/>
      </c>
      <c r="R953" s="49">
        <f>IF(OR(A953="",D953=""),0,MAX(0,NETWORKDAYS(MAX(D953,DATE(Einstellungen!$C$3,7,1)),MIN(J953,DATE(Einstellungen!$C$3,8,0)),Einstellungen!$F$13:$F$32)))</f>
        <v/>
      </c>
      <c r="S953" s="49">
        <f>IF(OR(A953="",D953=""),0,MAX(0,NETWORKDAYS(MAX(D953,DATE(Einstellungen!$C$3,8,1)),MIN(J953,DATE(Einstellungen!$C$3,9,0)),Einstellungen!$F$13:$F$32)))</f>
        <v/>
      </c>
      <c r="T953" s="49">
        <f>IF(OR(A953="",D953=""),0,MAX(0,NETWORKDAYS(MAX(D953,DATE(Einstellungen!$C$3,9,1)),MIN(J953,DATE(Einstellungen!$C$3,10,0)),Einstellungen!$F$13:$F$32)))</f>
        <v/>
      </c>
      <c r="U953" s="49">
        <f>IF(OR(A953="",D953=""),0,MAX(0,NETWORKDAYS(MAX(D953,DATE(Einstellungen!$C$3,10,1)),MIN(J953,DATE(Einstellungen!$C$3,11,0)),Einstellungen!$F$13:$F$32)))</f>
        <v/>
      </c>
      <c r="V953" s="49">
        <f>IF(OR(A953="",D953=""),0,MAX(0,NETWORKDAYS(MAX(D953,DATE(Einstellungen!$C$3,11,1)),MIN(J953,DATE(Einstellungen!$C$3,12,0)),Einstellungen!$F$13:$F$32)))</f>
        <v/>
      </c>
      <c r="W953" s="49">
        <f>IF(OR(A953="",D953=""),0,MAX(0,NETWORKDAYS(MAX(D953,DATE(Einstellungen!$C$3,12,1)),MIN(J953,DATE(Einstellungen!$C$3,13,0)),Einstellungen!$F$13:$F$32)))</f>
        <v/>
      </c>
      <c r="X953" s="50">
        <f>L953*K953</f>
        <v/>
      </c>
      <c r="Y953" s="50">
        <f>M953*K953</f>
        <v/>
      </c>
      <c r="Z953" s="50">
        <f>N953*K953</f>
        <v/>
      </c>
      <c r="AA953" s="50">
        <f>O953*K953</f>
        <v/>
      </c>
      <c r="AB953" s="50">
        <f>P953*K953</f>
        <v/>
      </c>
      <c r="AC953" s="50">
        <f>Q953*K953</f>
        <v/>
      </c>
      <c r="AD953" s="50">
        <f>R953*K953</f>
        <v/>
      </c>
      <c r="AE953" s="50">
        <f>S953*K953</f>
        <v/>
      </c>
      <c r="AF953" s="50">
        <f>T953*K953</f>
        <v/>
      </c>
      <c r="AG953" s="50">
        <f>U953*K953</f>
        <v/>
      </c>
      <c r="AH953" s="50">
        <f>V953*K953</f>
        <v/>
      </c>
      <c r="AI953" s="50">
        <f>W953*K953</f>
        <v/>
      </c>
    </row>
    <row r="954">
      <c r="A954" s="25" t="n"/>
      <c r="B954" s="45">
        <f>IF(A954="","",IFERROR(INDEX(Mitarbeiter!$B$6:$B$205,MATCH($A954,Mitarbeiter!$A$6:$A$205,0)),"?"))</f>
        <v/>
      </c>
      <c r="C954" s="46" t="n"/>
      <c r="D954" s="26" t="n"/>
      <c r="E954" s="26" t="n"/>
      <c r="F954" s="24">
        <f>IF(A954="","",SUM(L954:W954))</f>
        <v/>
      </c>
      <c r="G954" s="36">
        <f>IF(A954="","",SUM(X954:AI954))</f>
        <v/>
      </c>
      <c r="H954" s="8">
        <f>IF(A954="","",IF(ISNA(MATCH(A954,Mitarbeiter!$A$6:$A$205,0)),"Pers.-Nr. unbekannt",IF(D954="","Von fehlt",IF(AND(C954&lt;&gt;Einstellungen!$C$4,C954&lt;&gt;Einstellungen!$C$5),"Objekt fehlt",IF(J954&lt;D954,"Bis vor Von",IF(D954&lt;INDEX(Mitarbeiter!$C$6:$C$205,MATCH($A954,Mitarbeiter!$A$6:$A$205,0)),"vor Eintritt",IF(AND(INDEX(Mitarbeiter!$D$6:$D$205,MATCH($A954,Mitarbeiter!$A$6:$A$205,0))&lt;&gt;"",D954&gt;INDEX(Mitarbeiter!$D$6:$D$205,MATCH($A954,Mitarbeiter!$A$6:$A$205,0))),"nach Austritt",IF(E954="","offen","ok"))))))))</f>
        <v/>
      </c>
      <c r="J954" s="47">
        <f>IF(A954="","",IF(E954="",Einstellungen!$C$9,E954))</f>
        <v/>
      </c>
      <c r="K954" s="48">
        <f>IF(A954="",0,IFERROR(INDEX(Mitarbeiter!$F$6:$F$205,MATCH($A954,Mitarbeiter!$A$6:$A$205,0)),0))</f>
        <v/>
      </c>
      <c r="L954" s="49">
        <f>IF(OR(A954="",D954=""),0,MAX(0,NETWORKDAYS(MAX(D954,DATE(Einstellungen!$C$3,1,1)),MIN(J954,DATE(Einstellungen!$C$3,2,0)),Einstellungen!$F$13:$F$32)))</f>
        <v/>
      </c>
      <c r="M954" s="49">
        <f>IF(OR(A954="",D954=""),0,MAX(0,NETWORKDAYS(MAX(D954,DATE(Einstellungen!$C$3,2,1)),MIN(J954,DATE(Einstellungen!$C$3,3,0)),Einstellungen!$F$13:$F$32)))</f>
        <v/>
      </c>
      <c r="N954" s="49">
        <f>IF(OR(A954="",D954=""),0,MAX(0,NETWORKDAYS(MAX(D954,DATE(Einstellungen!$C$3,3,1)),MIN(J954,DATE(Einstellungen!$C$3,4,0)),Einstellungen!$F$13:$F$32)))</f>
        <v/>
      </c>
      <c r="O954" s="49">
        <f>IF(OR(A954="",D954=""),0,MAX(0,NETWORKDAYS(MAX(D954,DATE(Einstellungen!$C$3,4,1)),MIN(J954,DATE(Einstellungen!$C$3,5,0)),Einstellungen!$F$13:$F$32)))</f>
        <v/>
      </c>
      <c r="P954" s="49">
        <f>IF(OR(A954="",D954=""),0,MAX(0,NETWORKDAYS(MAX(D954,DATE(Einstellungen!$C$3,5,1)),MIN(J954,DATE(Einstellungen!$C$3,6,0)),Einstellungen!$F$13:$F$32)))</f>
        <v/>
      </c>
      <c r="Q954" s="49">
        <f>IF(OR(A954="",D954=""),0,MAX(0,NETWORKDAYS(MAX(D954,DATE(Einstellungen!$C$3,6,1)),MIN(J954,DATE(Einstellungen!$C$3,7,0)),Einstellungen!$F$13:$F$32)))</f>
        <v/>
      </c>
      <c r="R954" s="49">
        <f>IF(OR(A954="",D954=""),0,MAX(0,NETWORKDAYS(MAX(D954,DATE(Einstellungen!$C$3,7,1)),MIN(J954,DATE(Einstellungen!$C$3,8,0)),Einstellungen!$F$13:$F$32)))</f>
        <v/>
      </c>
      <c r="S954" s="49">
        <f>IF(OR(A954="",D954=""),0,MAX(0,NETWORKDAYS(MAX(D954,DATE(Einstellungen!$C$3,8,1)),MIN(J954,DATE(Einstellungen!$C$3,9,0)),Einstellungen!$F$13:$F$32)))</f>
        <v/>
      </c>
      <c r="T954" s="49">
        <f>IF(OR(A954="",D954=""),0,MAX(0,NETWORKDAYS(MAX(D954,DATE(Einstellungen!$C$3,9,1)),MIN(J954,DATE(Einstellungen!$C$3,10,0)),Einstellungen!$F$13:$F$32)))</f>
        <v/>
      </c>
      <c r="U954" s="49">
        <f>IF(OR(A954="",D954=""),0,MAX(0,NETWORKDAYS(MAX(D954,DATE(Einstellungen!$C$3,10,1)),MIN(J954,DATE(Einstellungen!$C$3,11,0)),Einstellungen!$F$13:$F$32)))</f>
        <v/>
      </c>
      <c r="V954" s="49">
        <f>IF(OR(A954="",D954=""),0,MAX(0,NETWORKDAYS(MAX(D954,DATE(Einstellungen!$C$3,11,1)),MIN(J954,DATE(Einstellungen!$C$3,12,0)),Einstellungen!$F$13:$F$32)))</f>
        <v/>
      </c>
      <c r="W954" s="49">
        <f>IF(OR(A954="",D954=""),0,MAX(0,NETWORKDAYS(MAX(D954,DATE(Einstellungen!$C$3,12,1)),MIN(J954,DATE(Einstellungen!$C$3,13,0)),Einstellungen!$F$13:$F$32)))</f>
        <v/>
      </c>
      <c r="X954" s="50">
        <f>L954*K954</f>
        <v/>
      </c>
      <c r="Y954" s="50">
        <f>M954*K954</f>
        <v/>
      </c>
      <c r="Z954" s="50">
        <f>N954*K954</f>
        <v/>
      </c>
      <c r="AA954" s="50">
        <f>O954*K954</f>
        <v/>
      </c>
      <c r="AB954" s="50">
        <f>P954*K954</f>
        <v/>
      </c>
      <c r="AC954" s="50">
        <f>Q954*K954</f>
        <v/>
      </c>
      <c r="AD954" s="50">
        <f>R954*K954</f>
        <v/>
      </c>
      <c r="AE954" s="50">
        <f>S954*K954</f>
        <v/>
      </c>
      <c r="AF954" s="50">
        <f>T954*K954</f>
        <v/>
      </c>
      <c r="AG954" s="50">
        <f>U954*K954</f>
        <v/>
      </c>
      <c r="AH954" s="50">
        <f>V954*K954</f>
        <v/>
      </c>
      <c r="AI954" s="50">
        <f>W954*K954</f>
        <v/>
      </c>
    </row>
    <row r="955">
      <c r="A955" s="25" t="n"/>
      <c r="B955" s="45">
        <f>IF(A955="","",IFERROR(INDEX(Mitarbeiter!$B$6:$B$205,MATCH($A955,Mitarbeiter!$A$6:$A$205,0)),"?"))</f>
        <v/>
      </c>
      <c r="C955" s="46" t="n"/>
      <c r="D955" s="26" t="n"/>
      <c r="E955" s="26" t="n"/>
      <c r="F955" s="24">
        <f>IF(A955="","",SUM(L955:W955))</f>
        <v/>
      </c>
      <c r="G955" s="36">
        <f>IF(A955="","",SUM(X955:AI955))</f>
        <v/>
      </c>
      <c r="H955" s="8">
        <f>IF(A955="","",IF(ISNA(MATCH(A955,Mitarbeiter!$A$6:$A$205,0)),"Pers.-Nr. unbekannt",IF(D955="","Von fehlt",IF(AND(C955&lt;&gt;Einstellungen!$C$4,C955&lt;&gt;Einstellungen!$C$5),"Objekt fehlt",IF(J955&lt;D955,"Bis vor Von",IF(D955&lt;INDEX(Mitarbeiter!$C$6:$C$205,MATCH($A955,Mitarbeiter!$A$6:$A$205,0)),"vor Eintritt",IF(AND(INDEX(Mitarbeiter!$D$6:$D$205,MATCH($A955,Mitarbeiter!$A$6:$A$205,0))&lt;&gt;"",D955&gt;INDEX(Mitarbeiter!$D$6:$D$205,MATCH($A955,Mitarbeiter!$A$6:$A$205,0))),"nach Austritt",IF(E955="","offen","ok"))))))))</f>
        <v/>
      </c>
      <c r="J955" s="47">
        <f>IF(A955="","",IF(E955="",Einstellungen!$C$9,E955))</f>
        <v/>
      </c>
      <c r="K955" s="48">
        <f>IF(A955="",0,IFERROR(INDEX(Mitarbeiter!$F$6:$F$205,MATCH($A955,Mitarbeiter!$A$6:$A$205,0)),0))</f>
        <v/>
      </c>
      <c r="L955" s="49">
        <f>IF(OR(A955="",D955=""),0,MAX(0,NETWORKDAYS(MAX(D955,DATE(Einstellungen!$C$3,1,1)),MIN(J955,DATE(Einstellungen!$C$3,2,0)),Einstellungen!$F$13:$F$32)))</f>
        <v/>
      </c>
      <c r="M955" s="49">
        <f>IF(OR(A955="",D955=""),0,MAX(0,NETWORKDAYS(MAX(D955,DATE(Einstellungen!$C$3,2,1)),MIN(J955,DATE(Einstellungen!$C$3,3,0)),Einstellungen!$F$13:$F$32)))</f>
        <v/>
      </c>
      <c r="N955" s="49">
        <f>IF(OR(A955="",D955=""),0,MAX(0,NETWORKDAYS(MAX(D955,DATE(Einstellungen!$C$3,3,1)),MIN(J955,DATE(Einstellungen!$C$3,4,0)),Einstellungen!$F$13:$F$32)))</f>
        <v/>
      </c>
      <c r="O955" s="49">
        <f>IF(OR(A955="",D955=""),0,MAX(0,NETWORKDAYS(MAX(D955,DATE(Einstellungen!$C$3,4,1)),MIN(J955,DATE(Einstellungen!$C$3,5,0)),Einstellungen!$F$13:$F$32)))</f>
        <v/>
      </c>
      <c r="P955" s="49">
        <f>IF(OR(A955="",D955=""),0,MAX(0,NETWORKDAYS(MAX(D955,DATE(Einstellungen!$C$3,5,1)),MIN(J955,DATE(Einstellungen!$C$3,6,0)),Einstellungen!$F$13:$F$32)))</f>
        <v/>
      </c>
      <c r="Q955" s="49">
        <f>IF(OR(A955="",D955=""),0,MAX(0,NETWORKDAYS(MAX(D955,DATE(Einstellungen!$C$3,6,1)),MIN(J955,DATE(Einstellungen!$C$3,7,0)),Einstellungen!$F$13:$F$32)))</f>
        <v/>
      </c>
      <c r="R955" s="49">
        <f>IF(OR(A955="",D955=""),0,MAX(0,NETWORKDAYS(MAX(D955,DATE(Einstellungen!$C$3,7,1)),MIN(J955,DATE(Einstellungen!$C$3,8,0)),Einstellungen!$F$13:$F$32)))</f>
        <v/>
      </c>
      <c r="S955" s="49">
        <f>IF(OR(A955="",D955=""),0,MAX(0,NETWORKDAYS(MAX(D955,DATE(Einstellungen!$C$3,8,1)),MIN(J955,DATE(Einstellungen!$C$3,9,0)),Einstellungen!$F$13:$F$32)))</f>
        <v/>
      </c>
      <c r="T955" s="49">
        <f>IF(OR(A955="",D955=""),0,MAX(0,NETWORKDAYS(MAX(D955,DATE(Einstellungen!$C$3,9,1)),MIN(J955,DATE(Einstellungen!$C$3,10,0)),Einstellungen!$F$13:$F$32)))</f>
        <v/>
      </c>
      <c r="U955" s="49">
        <f>IF(OR(A955="",D955=""),0,MAX(0,NETWORKDAYS(MAX(D955,DATE(Einstellungen!$C$3,10,1)),MIN(J955,DATE(Einstellungen!$C$3,11,0)),Einstellungen!$F$13:$F$32)))</f>
        <v/>
      </c>
      <c r="V955" s="49">
        <f>IF(OR(A955="",D955=""),0,MAX(0,NETWORKDAYS(MAX(D955,DATE(Einstellungen!$C$3,11,1)),MIN(J955,DATE(Einstellungen!$C$3,12,0)),Einstellungen!$F$13:$F$32)))</f>
        <v/>
      </c>
      <c r="W955" s="49">
        <f>IF(OR(A955="",D955=""),0,MAX(0,NETWORKDAYS(MAX(D955,DATE(Einstellungen!$C$3,12,1)),MIN(J955,DATE(Einstellungen!$C$3,13,0)),Einstellungen!$F$13:$F$32)))</f>
        <v/>
      </c>
      <c r="X955" s="50">
        <f>L955*K955</f>
        <v/>
      </c>
      <c r="Y955" s="50">
        <f>M955*K955</f>
        <v/>
      </c>
      <c r="Z955" s="50">
        <f>N955*K955</f>
        <v/>
      </c>
      <c r="AA955" s="50">
        <f>O955*K955</f>
        <v/>
      </c>
      <c r="AB955" s="50">
        <f>P955*K955</f>
        <v/>
      </c>
      <c r="AC955" s="50">
        <f>Q955*K955</f>
        <v/>
      </c>
      <c r="AD955" s="50">
        <f>R955*K955</f>
        <v/>
      </c>
      <c r="AE955" s="50">
        <f>S955*K955</f>
        <v/>
      </c>
      <c r="AF955" s="50">
        <f>T955*K955</f>
        <v/>
      </c>
      <c r="AG955" s="50">
        <f>U955*K955</f>
        <v/>
      </c>
      <c r="AH955" s="50">
        <f>V955*K955</f>
        <v/>
      </c>
      <c r="AI955" s="50">
        <f>W955*K955</f>
        <v/>
      </c>
    </row>
    <row r="956">
      <c r="A956" s="25" t="n"/>
      <c r="B956" s="45">
        <f>IF(A956="","",IFERROR(INDEX(Mitarbeiter!$B$6:$B$205,MATCH($A956,Mitarbeiter!$A$6:$A$205,0)),"?"))</f>
        <v/>
      </c>
      <c r="C956" s="46" t="n"/>
      <c r="D956" s="26" t="n"/>
      <c r="E956" s="26" t="n"/>
      <c r="F956" s="24">
        <f>IF(A956="","",SUM(L956:W956))</f>
        <v/>
      </c>
      <c r="G956" s="36">
        <f>IF(A956="","",SUM(X956:AI956))</f>
        <v/>
      </c>
      <c r="H956" s="8">
        <f>IF(A956="","",IF(ISNA(MATCH(A956,Mitarbeiter!$A$6:$A$205,0)),"Pers.-Nr. unbekannt",IF(D956="","Von fehlt",IF(AND(C956&lt;&gt;Einstellungen!$C$4,C956&lt;&gt;Einstellungen!$C$5),"Objekt fehlt",IF(J956&lt;D956,"Bis vor Von",IF(D956&lt;INDEX(Mitarbeiter!$C$6:$C$205,MATCH($A956,Mitarbeiter!$A$6:$A$205,0)),"vor Eintritt",IF(AND(INDEX(Mitarbeiter!$D$6:$D$205,MATCH($A956,Mitarbeiter!$A$6:$A$205,0))&lt;&gt;"",D956&gt;INDEX(Mitarbeiter!$D$6:$D$205,MATCH($A956,Mitarbeiter!$A$6:$A$205,0))),"nach Austritt",IF(E956="","offen","ok"))))))))</f>
        <v/>
      </c>
      <c r="J956" s="47">
        <f>IF(A956="","",IF(E956="",Einstellungen!$C$9,E956))</f>
        <v/>
      </c>
      <c r="K956" s="48">
        <f>IF(A956="",0,IFERROR(INDEX(Mitarbeiter!$F$6:$F$205,MATCH($A956,Mitarbeiter!$A$6:$A$205,0)),0))</f>
        <v/>
      </c>
      <c r="L956" s="49">
        <f>IF(OR(A956="",D956=""),0,MAX(0,NETWORKDAYS(MAX(D956,DATE(Einstellungen!$C$3,1,1)),MIN(J956,DATE(Einstellungen!$C$3,2,0)),Einstellungen!$F$13:$F$32)))</f>
        <v/>
      </c>
      <c r="M956" s="49">
        <f>IF(OR(A956="",D956=""),0,MAX(0,NETWORKDAYS(MAX(D956,DATE(Einstellungen!$C$3,2,1)),MIN(J956,DATE(Einstellungen!$C$3,3,0)),Einstellungen!$F$13:$F$32)))</f>
        <v/>
      </c>
      <c r="N956" s="49">
        <f>IF(OR(A956="",D956=""),0,MAX(0,NETWORKDAYS(MAX(D956,DATE(Einstellungen!$C$3,3,1)),MIN(J956,DATE(Einstellungen!$C$3,4,0)),Einstellungen!$F$13:$F$32)))</f>
        <v/>
      </c>
      <c r="O956" s="49">
        <f>IF(OR(A956="",D956=""),0,MAX(0,NETWORKDAYS(MAX(D956,DATE(Einstellungen!$C$3,4,1)),MIN(J956,DATE(Einstellungen!$C$3,5,0)),Einstellungen!$F$13:$F$32)))</f>
        <v/>
      </c>
      <c r="P956" s="49">
        <f>IF(OR(A956="",D956=""),0,MAX(0,NETWORKDAYS(MAX(D956,DATE(Einstellungen!$C$3,5,1)),MIN(J956,DATE(Einstellungen!$C$3,6,0)),Einstellungen!$F$13:$F$32)))</f>
        <v/>
      </c>
      <c r="Q956" s="49">
        <f>IF(OR(A956="",D956=""),0,MAX(0,NETWORKDAYS(MAX(D956,DATE(Einstellungen!$C$3,6,1)),MIN(J956,DATE(Einstellungen!$C$3,7,0)),Einstellungen!$F$13:$F$32)))</f>
        <v/>
      </c>
      <c r="R956" s="49">
        <f>IF(OR(A956="",D956=""),0,MAX(0,NETWORKDAYS(MAX(D956,DATE(Einstellungen!$C$3,7,1)),MIN(J956,DATE(Einstellungen!$C$3,8,0)),Einstellungen!$F$13:$F$32)))</f>
        <v/>
      </c>
      <c r="S956" s="49">
        <f>IF(OR(A956="",D956=""),0,MAX(0,NETWORKDAYS(MAX(D956,DATE(Einstellungen!$C$3,8,1)),MIN(J956,DATE(Einstellungen!$C$3,9,0)),Einstellungen!$F$13:$F$32)))</f>
        <v/>
      </c>
      <c r="T956" s="49">
        <f>IF(OR(A956="",D956=""),0,MAX(0,NETWORKDAYS(MAX(D956,DATE(Einstellungen!$C$3,9,1)),MIN(J956,DATE(Einstellungen!$C$3,10,0)),Einstellungen!$F$13:$F$32)))</f>
        <v/>
      </c>
      <c r="U956" s="49">
        <f>IF(OR(A956="",D956=""),0,MAX(0,NETWORKDAYS(MAX(D956,DATE(Einstellungen!$C$3,10,1)),MIN(J956,DATE(Einstellungen!$C$3,11,0)),Einstellungen!$F$13:$F$32)))</f>
        <v/>
      </c>
      <c r="V956" s="49">
        <f>IF(OR(A956="",D956=""),0,MAX(0,NETWORKDAYS(MAX(D956,DATE(Einstellungen!$C$3,11,1)),MIN(J956,DATE(Einstellungen!$C$3,12,0)),Einstellungen!$F$13:$F$32)))</f>
        <v/>
      </c>
      <c r="W956" s="49">
        <f>IF(OR(A956="",D956=""),0,MAX(0,NETWORKDAYS(MAX(D956,DATE(Einstellungen!$C$3,12,1)),MIN(J956,DATE(Einstellungen!$C$3,13,0)),Einstellungen!$F$13:$F$32)))</f>
        <v/>
      </c>
      <c r="X956" s="50">
        <f>L956*K956</f>
        <v/>
      </c>
      <c r="Y956" s="50">
        <f>M956*K956</f>
        <v/>
      </c>
      <c r="Z956" s="50">
        <f>N956*K956</f>
        <v/>
      </c>
      <c r="AA956" s="50">
        <f>O956*K956</f>
        <v/>
      </c>
      <c r="AB956" s="50">
        <f>P956*K956</f>
        <v/>
      </c>
      <c r="AC956" s="50">
        <f>Q956*K956</f>
        <v/>
      </c>
      <c r="AD956" s="50">
        <f>R956*K956</f>
        <v/>
      </c>
      <c r="AE956" s="50">
        <f>S956*K956</f>
        <v/>
      </c>
      <c r="AF956" s="50">
        <f>T956*K956</f>
        <v/>
      </c>
      <c r="AG956" s="50">
        <f>U956*K956</f>
        <v/>
      </c>
      <c r="AH956" s="50">
        <f>V956*K956</f>
        <v/>
      </c>
      <c r="AI956" s="50">
        <f>W956*K956</f>
        <v/>
      </c>
    </row>
    <row r="957">
      <c r="A957" s="25" t="n"/>
      <c r="B957" s="45">
        <f>IF(A957="","",IFERROR(INDEX(Mitarbeiter!$B$6:$B$205,MATCH($A957,Mitarbeiter!$A$6:$A$205,0)),"?"))</f>
        <v/>
      </c>
      <c r="C957" s="46" t="n"/>
      <c r="D957" s="26" t="n"/>
      <c r="E957" s="26" t="n"/>
      <c r="F957" s="24">
        <f>IF(A957="","",SUM(L957:W957))</f>
        <v/>
      </c>
      <c r="G957" s="36">
        <f>IF(A957="","",SUM(X957:AI957))</f>
        <v/>
      </c>
      <c r="H957" s="8">
        <f>IF(A957="","",IF(ISNA(MATCH(A957,Mitarbeiter!$A$6:$A$205,0)),"Pers.-Nr. unbekannt",IF(D957="","Von fehlt",IF(AND(C957&lt;&gt;Einstellungen!$C$4,C957&lt;&gt;Einstellungen!$C$5),"Objekt fehlt",IF(J957&lt;D957,"Bis vor Von",IF(D957&lt;INDEX(Mitarbeiter!$C$6:$C$205,MATCH($A957,Mitarbeiter!$A$6:$A$205,0)),"vor Eintritt",IF(AND(INDEX(Mitarbeiter!$D$6:$D$205,MATCH($A957,Mitarbeiter!$A$6:$A$205,0))&lt;&gt;"",D957&gt;INDEX(Mitarbeiter!$D$6:$D$205,MATCH($A957,Mitarbeiter!$A$6:$A$205,0))),"nach Austritt",IF(E957="","offen","ok"))))))))</f>
        <v/>
      </c>
      <c r="J957" s="47">
        <f>IF(A957="","",IF(E957="",Einstellungen!$C$9,E957))</f>
        <v/>
      </c>
      <c r="K957" s="48">
        <f>IF(A957="",0,IFERROR(INDEX(Mitarbeiter!$F$6:$F$205,MATCH($A957,Mitarbeiter!$A$6:$A$205,0)),0))</f>
        <v/>
      </c>
      <c r="L957" s="49">
        <f>IF(OR(A957="",D957=""),0,MAX(0,NETWORKDAYS(MAX(D957,DATE(Einstellungen!$C$3,1,1)),MIN(J957,DATE(Einstellungen!$C$3,2,0)),Einstellungen!$F$13:$F$32)))</f>
        <v/>
      </c>
      <c r="M957" s="49">
        <f>IF(OR(A957="",D957=""),0,MAX(0,NETWORKDAYS(MAX(D957,DATE(Einstellungen!$C$3,2,1)),MIN(J957,DATE(Einstellungen!$C$3,3,0)),Einstellungen!$F$13:$F$32)))</f>
        <v/>
      </c>
      <c r="N957" s="49">
        <f>IF(OR(A957="",D957=""),0,MAX(0,NETWORKDAYS(MAX(D957,DATE(Einstellungen!$C$3,3,1)),MIN(J957,DATE(Einstellungen!$C$3,4,0)),Einstellungen!$F$13:$F$32)))</f>
        <v/>
      </c>
      <c r="O957" s="49">
        <f>IF(OR(A957="",D957=""),0,MAX(0,NETWORKDAYS(MAX(D957,DATE(Einstellungen!$C$3,4,1)),MIN(J957,DATE(Einstellungen!$C$3,5,0)),Einstellungen!$F$13:$F$32)))</f>
        <v/>
      </c>
      <c r="P957" s="49">
        <f>IF(OR(A957="",D957=""),0,MAX(0,NETWORKDAYS(MAX(D957,DATE(Einstellungen!$C$3,5,1)),MIN(J957,DATE(Einstellungen!$C$3,6,0)),Einstellungen!$F$13:$F$32)))</f>
        <v/>
      </c>
      <c r="Q957" s="49">
        <f>IF(OR(A957="",D957=""),0,MAX(0,NETWORKDAYS(MAX(D957,DATE(Einstellungen!$C$3,6,1)),MIN(J957,DATE(Einstellungen!$C$3,7,0)),Einstellungen!$F$13:$F$32)))</f>
        <v/>
      </c>
      <c r="R957" s="49">
        <f>IF(OR(A957="",D957=""),0,MAX(0,NETWORKDAYS(MAX(D957,DATE(Einstellungen!$C$3,7,1)),MIN(J957,DATE(Einstellungen!$C$3,8,0)),Einstellungen!$F$13:$F$32)))</f>
        <v/>
      </c>
      <c r="S957" s="49">
        <f>IF(OR(A957="",D957=""),0,MAX(0,NETWORKDAYS(MAX(D957,DATE(Einstellungen!$C$3,8,1)),MIN(J957,DATE(Einstellungen!$C$3,9,0)),Einstellungen!$F$13:$F$32)))</f>
        <v/>
      </c>
      <c r="T957" s="49">
        <f>IF(OR(A957="",D957=""),0,MAX(0,NETWORKDAYS(MAX(D957,DATE(Einstellungen!$C$3,9,1)),MIN(J957,DATE(Einstellungen!$C$3,10,0)),Einstellungen!$F$13:$F$32)))</f>
        <v/>
      </c>
      <c r="U957" s="49">
        <f>IF(OR(A957="",D957=""),0,MAX(0,NETWORKDAYS(MAX(D957,DATE(Einstellungen!$C$3,10,1)),MIN(J957,DATE(Einstellungen!$C$3,11,0)),Einstellungen!$F$13:$F$32)))</f>
        <v/>
      </c>
      <c r="V957" s="49">
        <f>IF(OR(A957="",D957=""),0,MAX(0,NETWORKDAYS(MAX(D957,DATE(Einstellungen!$C$3,11,1)),MIN(J957,DATE(Einstellungen!$C$3,12,0)),Einstellungen!$F$13:$F$32)))</f>
        <v/>
      </c>
      <c r="W957" s="49">
        <f>IF(OR(A957="",D957=""),0,MAX(0,NETWORKDAYS(MAX(D957,DATE(Einstellungen!$C$3,12,1)),MIN(J957,DATE(Einstellungen!$C$3,13,0)),Einstellungen!$F$13:$F$32)))</f>
        <v/>
      </c>
      <c r="X957" s="50">
        <f>L957*K957</f>
        <v/>
      </c>
      <c r="Y957" s="50">
        <f>M957*K957</f>
        <v/>
      </c>
      <c r="Z957" s="50">
        <f>N957*K957</f>
        <v/>
      </c>
      <c r="AA957" s="50">
        <f>O957*K957</f>
        <v/>
      </c>
      <c r="AB957" s="50">
        <f>P957*K957</f>
        <v/>
      </c>
      <c r="AC957" s="50">
        <f>Q957*K957</f>
        <v/>
      </c>
      <c r="AD957" s="50">
        <f>R957*K957</f>
        <v/>
      </c>
      <c r="AE957" s="50">
        <f>S957*K957</f>
        <v/>
      </c>
      <c r="AF957" s="50">
        <f>T957*K957</f>
        <v/>
      </c>
      <c r="AG957" s="50">
        <f>U957*K957</f>
        <v/>
      </c>
      <c r="AH957" s="50">
        <f>V957*K957</f>
        <v/>
      </c>
      <c r="AI957" s="50">
        <f>W957*K957</f>
        <v/>
      </c>
    </row>
    <row r="958">
      <c r="A958" s="25" t="n"/>
      <c r="B958" s="45">
        <f>IF(A958="","",IFERROR(INDEX(Mitarbeiter!$B$6:$B$205,MATCH($A958,Mitarbeiter!$A$6:$A$205,0)),"?"))</f>
        <v/>
      </c>
      <c r="C958" s="46" t="n"/>
      <c r="D958" s="26" t="n"/>
      <c r="E958" s="26" t="n"/>
      <c r="F958" s="24">
        <f>IF(A958="","",SUM(L958:W958))</f>
        <v/>
      </c>
      <c r="G958" s="36">
        <f>IF(A958="","",SUM(X958:AI958))</f>
        <v/>
      </c>
      <c r="H958" s="8">
        <f>IF(A958="","",IF(ISNA(MATCH(A958,Mitarbeiter!$A$6:$A$205,0)),"Pers.-Nr. unbekannt",IF(D958="","Von fehlt",IF(AND(C958&lt;&gt;Einstellungen!$C$4,C958&lt;&gt;Einstellungen!$C$5),"Objekt fehlt",IF(J958&lt;D958,"Bis vor Von",IF(D958&lt;INDEX(Mitarbeiter!$C$6:$C$205,MATCH($A958,Mitarbeiter!$A$6:$A$205,0)),"vor Eintritt",IF(AND(INDEX(Mitarbeiter!$D$6:$D$205,MATCH($A958,Mitarbeiter!$A$6:$A$205,0))&lt;&gt;"",D958&gt;INDEX(Mitarbeiter!$D$6:$D$205,MATCH($A958,Mitarbeiter!$A$6:$A$205,0))),"nach Austritt",IF(E958="","offen","ok"))))))))</f>
        <v/>
      </c>
      <c r="J958" s="47">
        <f>IF(A958="","",IF(E958="",Einstellungen!$C$9,E958))</f>
        <v/>
      </c>
      <c r="K958" s="48">
        <f>IF(A958="",0,IFERROR(INDEX(Mitarbeiter!$F$6:$F$205,MATCH($A958,Mitarbeiter!$A$6:$A$205,0)),0))</f>
        <v/>
      </c>
      <c r="L958" s="49">
        <f>IF(OR(A958="",D958=""),0,MAX(0,NETWORKDAYS(MAX(D958,DATE(Einstellungen!$C$3,1,1)),MIN(J958,DATE(Einstellungen!$C$3,2,0)),Einstellungen!$F$13:$F$32)))</f>
        <v/>
      </c>
      <c r="M958" s="49">
        <f>IF(OR(A958="",D958=""),0,MAX(0,NETWORKDAYS(MAX(D958,DATE(Einstellungen!$C$3,2,1)),MIN(J958,DATE(Einstellungen!$C$3,3,0)),Einstellungen!$F$13:$F$32)))</f>
        <v/>
      </c>
      <c r="N958" s="49">
        <f>IF(OR(A958="",D958=""),0,MAX(0,NETWORKDAYS(MAX(D958,DATE(Einstellungen!$C$3,3,1)),MIN(J958,DATE(Einstellungen!$C$3,4,0)),Einstellungen!$F$13:$F$32)))</f>
        <v/>
      </c>
      <c r="O958" s="49">
        <f>IF(OR(A958="",D958=""),0,MAX(0,NETWORKDAYS(MAX(D958,DATE(Einstellungen!$C$3,4,1)),MIN(J958,DATE(Einstellungen!$C$3,5,0)),Einstellungen!$F$13:$F$32)))</f>
        <v/>
      </c>
      <c r="P958" s="49">
        <f>IF(OR(A958="",D958=""),0,MAX(0,NETWORKDAYS(MAX(D958,DATE(Einstellungen!$C$3,5,1)),MIN(J958,DATE(Einstellungen!$C$3,6,0)),Einstellungen!$F$13:$F$32)))</f>
        <v/>
      </c>
      <c r="Q958" s="49">
        <f>IF(OR(A958="",D958=""),0,MAX(0,NETWORKDAYS(MAX(D958,DATE(Einstellungen!$C$3,6,1)),MIN(J958,DATE(Einstellungen!$C$3,7,0)),Einstellungen!$F$13:$F$32)))</f>
        <v/>
      </c>
      <c r="R958" s="49">
        <f>IF(OR(A958="",D958=""),0,MAX(0,NETWORKDAYS(MAX(D958,DATE(Einstellungen!$C$3,7,1)),MIN(J958,DATE(Einstellungen!$C$3,8,0)),Einstellungen!$F$13:$F$32)))</f>
        <v/>
      </c>
      <c r="S958" s="49">
        <f>IF(OR(A958="",D958=""),0,MAX(0,NETWORKDAYS(MAX(D958,DATE(Einstellungen!$C$3,8,1)),MIN(J958,DATE(Einstellungen!$C$3,9,0)),Einstellungen!$F$13:$F$32)))</f>
        <v/>
      </c>
      <c r="T958" s="49">
        <f>IF(OR(A958="",D958=""),0,MAX(0,NETWORKDAYS(MAX(D958,DATE(Einstellungen!$C$3,9,1)),MIN(J958,DATE(Einstellungen!$C$3,10,0)),Einstellungen!$F$13:$F$32)))</f>
        <v/>
      </c>
      <c r="U958" s="49">
        <f>IF(OR(A958="",D958=""),0,MAX(0,NETWORKDAYS(MAX(D958,DATE(Einstellungen!$C$3,10,1)),MIN(J958,DATE(Einstellungen!$C$3,11,0)),Einstellungen!$F$13:$F$32)))</f>
        <v/>
      </c>
      <c r="V958" s="49">
        <f>IF(OR(A958="",D958=""),0,MAX(0,NETWORKDAYS(MAX(D958,DATE(Einstellungen!$C$3,11,1)),MIN(J958,DATE(Einstellungen!$C$3,12,0)),Einstellungen!$F$13:$F$32)))</f>
        <v/>
      </c>
      <c r="W958" s="49">
        <f>IF(OR(A958="",D958=""),0,MAX(0,NETWORKDAYS(MAX(D958,DATE(Einstellungen!$C$3,12,1)),MIN(J958,DATE(Einstellungen!$C$3,13,0)),Einstellungen!$F$13:$F$32)))</f>
        <v/>
      </c>
      <c r="X958" s="50">
        <f>L958*K958</f>
        <v/>
      </c>
      <c r="Y958" s="50">
        <f>M958*K958</f>
        <v/>
      </c>
      <c r="Z958" s="50">
        <f>N958*K958</f>
        <v/>
      </c>
      <c r="AA958" s="50">
        <f>O958*K958</f>
        <v/>
      </c>
      <c r="AB958" s="50">
        <f>P958*K958</f>
        <v/>
      </c>
      <c r="AC958" s="50">
        <f>Q958*K958</f>
        <v/>
      </c>
      <c r="AD958" s="50">
        <f>R958*K958</f>
        <v/>
      </c>
      <c r="AE958" s="50">
        <f>S958*K958</f>
        <v/>
      </c>
      <c r="AF958" s="50">
        <f>T958*K958</f>
        <v/>
      </c>
      <c r="AG958" s="50">
        <f>U958*K958</f>
        <v/>
      </c>
      <c r="AH958" s="50">
        <f>V958*K958</f>
        <v/>
      </c>
      <c r="AI958" s="50">
        <f>W958*K958</f>
        <v/>
      </c>
    </row>
    <row r="959">
      <c r="A959" s="25" t="n"/>
      <c r="B959" s="45">
        <f>IF(A959="","",IFERROR(INDEX(Mitarbeiter!$B$6:$B$205,MATCH($A959,Mitarbeiter!$A$6:$A$205,0)),"?"))</f>
        <v/>
      </c>
      <c r="C959" s="46" t="n"/>
      <c r="D959" s="26" t="n"/>
      <c r="E959" s="26" t="n"/>
      <c r="F959" s="24">
        <f>IF(A959="","",SUM(L959:W959))</f>
        <v/>
      </c>
      <c r="G959" s="36">
        <f>IF(A959="","",SUM(X959:AI959))</f>
        <v/>
      </c>
      <c r="H959" s="8">
        <f>IF(A959="","",IF(ISNA(MATCH(A959,Mitarbeiter!$A$6:$A$205,0)),"Pers.-Nr. unbekannt",IF(D959="","Von fehlt",IF(AND(C959&lt;&gt;Einstellungen!$C$4,C959&lt;&gt;Einstellungen!$C$5),"Objekt fehlt",IF(J959&lt;D959,"Bis vor Von",IF(D959&lt;INDEX(Mitarbeiter!$C$6:$C$205,MATCH($A959,Mitarbeiter!$A$6:$A$205,0)),"vor Eintritt",IF(AND(INDEX(Mitarbeiter!$D$6:$D$205,MATCH($A959,Mitarbeiter!$A$6:$A$205,0))&lt;&gt;"",D959&gt;INDEX(Mitarbeiter!$D$6:$D$205,MATCH($A959,Mitarbeiter!$A$6:$A$205,0))),"nach Austritt",IF(E959="","offen","ok"))))))))</f>
        <v/>
      </c>
      <c r="J959" s="47">
        <f>IF(A959="","",IF(E959="",Einstellungen!$C$9,E959))</f>
        <v/>
      </c>
      <c r="K959" s="48">
        <f>IF(A959="",0,IFERROR(INDEX(Mitarbeiter!$F$6:$F$205,MATCH($A959,Mitarbeiter!$A$6:$A$205,0)),0))</f>
        <v/>
      </c>
      <c r="L959" s="49">
        <f>IF(OR(A959="",D959=""),0,MAX(0,NETWORKDAYS(MAX(D959,DATE(Einstellungen!$C$3,1,1)),MIN(J959,DATE(Einstellungen!$C$3,2,0)),Einstellungen!$F$13:$F$32)))</f>
        <v/>
      </c>
      <c r="M959" s="49">
        <f>IF(OR(A959="",D959=""),0,MAX(0,NETWORKDAYS(MAX(D959,DATE(Einstellungen!$C$3,2,1)),MIN(J959,DATE(Einstellungen!$C$3,3,0)),Einstellungen!$F$13:$F$32)))</f>
        <v/>
      </c>
      <c r="N959" s="49">
        <f>IF(OR(A959="",D959=""),0,MAX(0,NETWORKDAYS(MAX(D959,DATE(Einstellungen!$C$3,3,1)),MIN(J959,DATE(Einstellungen!$C$3,4,0)),Einstellungen!$F$13:$F$32)))</f>
        <v/>
      </c>
      <c r="O959" s="49">
        <f>IF(OR(A959="",D959=""),0,MAX(0,NETWORKDAYS(MAX(D959,DATE(Einstellungen!$C$3,4,1)),MIN(J959,DATE(Einstellungen!$C$3,5,0)),Einstellungen!$F$13:$F$32)))</f>
        <v/>
      </c>
      <c r="P959" s="49">
        <f>IF(OR(A959="",D959=""),0,MAX(0,NETWORKDAYS(MAX(D959,DATE(Einstellungen!$C$3,5,1)),MIN(J959,DATE(Einstellungen!$C$3,6,0)),Einstellungen!$F$13:$F$32)))</f>
        <v/>
      </c>
      <c r="Q959" s="49">
        <f>IF(OR(A959="",D959=""),0,MAX(0,NETWORKDAYS(MAX(D959,DATE(Einstellungen!$C$3,6,1)),MIN(J959,DATE(Einstellungen!$C$3,7,0)),Einstellungen!$F$13:$F$32)))</f>
        <v/>
      </c>
      <c r="R959" s="49">
        <f>IF(OR(A959="",D959=""),0,MAX(0,NETWORKDAYS(MAX(D959,DATE(Einstellungen!$C$3,7,1)),MIN(J959,DATE(Einstellungen!$C$3,8,0)),Einstellungen!$F$13:$F$32)))</f>
        <v/>
      </c>
      <c r="S959" s="49">
        <f>IF(OR(A959="",D959=""),0,MAX(0,NETWORKDAYS(MAX(D959,DATE(Einstellungen!$C$3,8,1)),MIN(J959,DATE(Einstellungen!$C$3,9,0)),Einstellungen!$F$13:$F$32)))</f>
        <v/>
      </c>
      <c r="T959" s="49">
        <f>IF(OR(A959="",D959=""),0,MAX(0,NETWORKDAYS(MAX(D959,DATE(Einstellungen!$C$3,9,1)),MIN(J959,DATE(Einstellungen!$C$3,10,0)),Einstellungen!$F$13:$F$32)))</f>
        <v/>
      </c>
      <c r="U959" s="49">
        <f>IF(OR(A959="",D959=""),0,MAX(0,NETWORKDAYS(MAX(D959,DATE(Einstellungen!$C$3,10,1)),MIN(J959,DATE(Einstellungen!$C$3,11,0)),Einstellungen!$F$13:$F$32)))</f>
        <v/>
      </c>
      <c r="V959" s="49">
        <f>IF(OR(A959="",D959=""),0,MAX(0,NETWORKDAYS(MAX(D959,DATE(Einstellungen!$C$3,11,1)),MIN(J959,DATE(Einstellungen!$C$3,12,0)),Einstellungen!$F$13:$F$32)))</f>
        <v/>
      </c>
      <c r="W959" s="49">
        <f>IF(OR(A959="",D959=""),0,MAX(0,NETWORKDAYS(MAX(D959,DATE(Einstellungen!$C$3,12,1)),MIN(J959,DATE(Einstellungen!$C$3,13,0)),Einstellungen!$F$13:$F$32)))</f>
        <v/>
      </c>
      <c r="X959" s="50">
        <f>L959*K959</f>
        <v/>
      </c>
      <c r="Y959" s="50">
        <f>M959*K959</f>
        <v/>
      </c>
      <c r="Z959" s="50">
        <f>N959*K959</f>
        <v/>
      </c>
      <c r="AA959" s="50">
        <f>O959*K959</f>
        <v/>
      </c>
      <c r="AB959" s="50">
        <f>P959*K959</f>
        <v/>
      </c>
      <c r="AC959" s="50">
        <f>Q959*K959</f>
        <v/>
      </c>
      <c r="AD959" s="50">
        <f>R959*K959</f>
        <v/>
      </c>
      <c r="AE959" s="50">
        <f>S959*K959</f>
        <v/>
      </c>
      <c r="AF959" s="50">
        <f>T959*K959</f>
        <v/>
      </c>
      <c r="AG959" s="50">
        <f>U959*K959</f>
        <v/>
      </c>
      <c r="AH959" s="50">
        <f>V959*K959</f>
        <v/>
      </c>
      <c r="AI959" s="50">
        <f>W959*K959</f>
        <v/>
      </c>
    </row>
    <row r="960">
      <c r="A960" s="25" t="n"/>
      <c r="B960" s="45">
        <f>IF(A960="","",IFERROR(INDEX(Mitarbeiter!$B$6:$B$205,MATCH($A960,Mitarbeiter!$A$6:$A$205,0)),"?"))</f>
        <v/>
      </c>
      <c r="C960" s="46" t="n"/>
      <c r="D960" s="26" t="n"/>
      <c r="E960" s="26" t="n"/>
      <c r="F960" s="24">
        <f>IF(A960="","",SUM(L960:W960))</f>
        <v/>
      </c>
      <c r="G960" s="36">
        <f>IF(A960="","",SUM(X960:AI960))</f>
        <v/>
      </c>
      <c r="H960" s="8">
        <f>IF(A960="","",IF(ISNA(MATCH(A960,Mitarbeiter!$A$6:$A$205,0)),"Pers.-Nr. unbekannt",IF(D960="","Von fehlt",IF(AND(C960&lt;&gt;Einstellungen!$C$4,C960&lt;&gt;Einstellungen!$C$5),"Objekt fehlt",IF(J960&lt;D960,"Bis vor Von",IF(D960&lt;INDEX(Mitarbeiter!$C$6:$C$205,MATCH($A960,Mitarbeiter!$A$6:$A$205,0)),"vor Eintritt",IF(AND(INDEX(Mitarbeiter!$D$6:$D$205,MATCH($A960,Mitarbeiter!$A$6:$A$205,0))&lt;&gt;"",D960&gt;INDEX(Mitarbeiter!$D$6:$D$205,MATCH($A960,Mitarbeiter!$A$6:$A$205,0))),"nach Austritt",IF(E960="","offen","ok"))))))))</f>
        <v/>
      </c>
      <c r="J960" s="47">
        <f>IF(A960="","",IF(E960="",Einstellungen!$C$9,E960))</f>
        <v/>
      </c>
      <c r="K960" s="48">
        <f>IF(A960="",0,IFERROR(INDEX(Mitarbeiter!$F$6:$F$205,MATCH($A960,Mitarbeiter!$A$6:$A$205,0)),0))</f>
        <v/>
      </c>
      <c r="L960" s="49">
        <f>IF(OR(A960="",D960=""),0,MAX(0,NETWORKDAYS(MAX(D960,DATE(Einstellungen!$C$3,1,1)),MIN(J960,DATE(Einstellungen!$C$3,2,0)),Einstellungen!$F$13:$F$32)))</f>
        <v/>
      </c>
      <c r="M960" s="49">
        <f>IF(OR(A960="",D960=""),0,MAX(0,NETWORKDAYS(MAX(D960,DATE(Einstellungen!$C$3,2,1)),MIN(J960,DATE(Einstellungen!$C$3,3,0)),Einstellungen!$F$13:$F$32)))</f>
        <v/>
      </c>
      <c r="N960" s="49">
        <f>IF(OR(A960="",D960=""),0,MAX(0,NETWORKDAYS(MAX(D960,DATE(Einstellungen!$C$3,3,1)),MIN(J960,DATE(Einstellungen!$C$3,4,0)),Einstellungen!$F$13:$F$32)))</f>
        <v/>
      </c>
      <c r="O960" s="49">
        <f>IF(OR(A960="",D960=""),0,MAX(0,NETWORKDAYS(MAX(D960,DATE(Einstellungen!$C$3,4,1)),MIN(J960,DATE(Einstellungen!$C$3,5,0)),Einstellungen!$F$13:$F$32)))</f>
        <v/>
      </c>
      <c r="P960" s="49">
        <f>IF(OR(A960="",D960=""),0,MAX(0,NETWORKDAYS(MAX(D960,DATE(Einstellungen!$C$3,5,1)),MIN(J960,DATE(Einstellungen!$C$3,6,0)),Einstellungen!$F$13:$F$32)))</f>
        <v/>
      </c>
      <c r="Q960" s="49">
        <f>IF(OR(A960="",D960=""),0,MAX(0,NETWORKDAYS(MAX(D960,DATE(Einstellungen!$C$3,6,1)),MIN(J960,DATE(Einstellungen!$C$3,7,0)),Einstellungen!$F$13:$F$32)))</f>
        <v/>
      </c>
      <c r="R960" s="49">
        <f>IF(OR(A960="",D960=""),0,MAX(0,NETWORKDAYS(MAX(D960,DATE(Einstellungen!$C$3,7,1)),MIN(J960,DATE(Einstellungen!$C$3,8,0)),Einstellungen!$F$13:$F$32)))</f>
        <v/>
      </c>
      <c r="S960" s="49">
        <f>IF(OR(A960="",D960=""),0,MAX(0,NETWORKDAYS(MAX(D960,DATE(Einstellungen!$C$3,8,1)),MIN(J960,DATE(Einstellungen!$C$3,9,0)),Einstellungen!$F$13:$F$32)))</f>
        <v/>
      </c>
      <c r="T960" s="49">
        <f>IF(OR(A960="",D960=""),0,MAX(0,NETWORKDAYS(MAX(D960,DATE(Einstellungen!$C$3,9,1)),MIN(J960,DATE(Einstellungen!$C$3,10,0)),Einstellungen!$F$13:$F$32)))</f>
        <v/>
      </c>
      <c r="U960" s="49">
        <f>IF(OR(A960="",D960=""),0,MAX(0,NETWORKDAYS(MAX(D960,DATE(Einstellungen!$C$3,10,1)),MIN(J960,DATE(Einstellungen!$C$3,11,0)),Einstellungen!$F$13:$F$32)))</f>
        <v/>
      </c>
      <c r="V960" s="49">
        <f>IF(OR(A960="",D960=""),0,MAX(0,NETWORKDAYS(MAX(D960,DATE(Einstellungen!$C$3,11,1)),MIN(J960,DATE(Einstellungen!$C$3,12,0)),Einstellungen!$F$13:$F$32)))</f>
        <v/>
      </c>
      <c r="W960" s="49">
        <f>IF(OR(A960="",D960=""),0,MAX(0,NETWORKDAYS(MAX(D960,DATE(Einstellungen!$C$3,12,1)),MIN(J960,DATE(Einstellungen!$C$3,13,0)),Einstellungen!$F$13:$F$32)))</f>
        <v/>
      </c>
      <c r="X960" s="50">
        <f>L960*K960</f>
        <v/>
      </c>
      <c r="Y960" s="50">
        <f>M960*K960</f>
        <v/>
      </c>
      <c r="Z960" s="50">
        <f>N960*K960</f>
        <v/>
      </c>
      <c r="AA960" s="50">
        <f>O960*K960</f>
        <v/>
      </c>
      <c r="AB960" s="50">
        <f>P960*K960</f>
        <v/>
      </c>
      <c r="AC960" s="50">
        <f>Q960*K960</f>
        <v/>
      </c>
      <c r="AD960" s="50">
        <f>R960*K960</f>
        <v/>
      </c>
      <c r="AE960" s="50">
        <f>S960*K960</f>
        <v/>
      </c>
      <c r="AF960" s="50">
        <f>T960*K960</f>
        <v/>
      </c>
      <c r="AG960" s="50">
        <f>U960*K960</f>
        <v/>
      </c>
      <c r="AH960" s="50">
        <f>V960*K960</f>
        <v/>
      </c>
      <c r="AI960" s="50">
        <f>W960*K960</f>
        <v/>
      </c>
    </row>
    <row r="961">
      <c r="A961" s="25" t="n"/>
      <c r="B961" s="45">
        <f>IF(A961="","",IFERROR(INDEX(Mitarbeiter!$B$6:$B$205,MATCH($A961,Mitarbeiter!$A$6:$A$205,0)),"?"))</f>
        <v/>
      </c>
      <c r="C961" s="46" t="n"/>
      <c r="D961" s="26" t="n"/>
      <c r="E961" s="26" t="n"/>
      <c r="F961" s="24">
        <f>IF(A961="","",SUM(L961:W961))</f>
        <v/>
      </c>
      <c r="G961" s="36">
        <f>IF(A961="","",SUM(X961:AI961))</f>
        <v/>
      </c>
      <c r="H961" s="8">
        <f>IF(A961="","",IF(ISNA(MATCH(A961,Mitarbeiter!$A$6:$A$205,0)),"Pers.-Nr. unbekannt",IF(D961="","Von fehlt",IF(AND(C961&lt;&gt;Einstellungen!$C$4,C961&lt;&gt;Einstellungen!$C$5),"Objekt fehlt",IF(J961&lt;D961,"Bis vor Von",IF(D961&lt;INDEX(Mitarbeiter!$C$6:$C$205,MATCH($A961,Mitarbeiter!$A$6:$A$205,0)),"vor Eintritt",IF(AND(INDEX(Mitarbeiter!$D$6:$D$205,MATCH($A961,Mitarbeiter!$A$6:$A$205,0))&lt;&gt;"",D961&gt;INDEX(Mitarbeiter!$D$6:$D$205,MATCH($A961,Mitarbeiter!$A$6:$A$205,0))),"nach Austritt",IF(E961="","offen","ok"))))))))</f>
        <v/>
      </c>
      <c r="J961" s="47">
        <f>IF(A961="","",IF(E961="",Einstellungen!$C$9,E961))</f>
        <v/>
      </c>
      <c r="K961" s="48">
        <f>IF(A961="",0,IFERROR(INDEX(Mitarbeiter!$F$6:$F$205,MATCH($A961,Mitarbeiter!$A$6:$A$205,0)),0))</f>
        <v/>
      </c>
      <c r="L961" s="49">
        <f>IF(OR(A961="",D961=""),0,MAX(0,NETWORKDAYS(MAX(D961,DATE(Einstellungen!$C$3,1,1)),MIN(J961,DATE(Einstellungen!$C$3,2,0)),Einstellungen!$F$13:$F$32)))</f>
        <v/>
      </c>
      <c r="M961" s="49">
        <f>IF(OR(A961="",D961=""),0,MAX(0,NETWORKDAYS(MAX(D961,DATE(Einstellungen!$C$3,2,1)),MIN(J961,DATE(Einstellungen!$C$3,3,0)),Einstellungen!$F$13:$F$32)))</f>
        <v/>
      </c>
      <c r="N961" s="49">
        <f>IF(OR(A961="",D961=""),0,MAX(0,NETWORKDAYS(MAX(D961,DATE(Einstellungen!$C$3,3,1)),MIN(J961,DATE(Einstellungen!$C$3,4,0)),Einstellungen!$F$13:$F$32)))</f>
        <v/>
      </c>
      <c r="O961" s="49">
        <f>IF(OR(A961="",D961=""),0,MAX(0,NETWORKDAYS(MAX(D961,DATE(Einstellungen!$C$3,4,1)),MIN(J961,DATE(Einstellungen!$C$3,5,0)),Einstellungen!$F$13:$F$32)))</f>
        <v/>
      </c>
      <c r="P961" s="49">
        <f>IF(OR(A961="",D961=""),0,MAX(0,NETWORKDAYS(MAX(D961,DATE(Einstellungen!$C$3,5,1)),MIN(J961,DATE(Einstellungen!$C$3,6,0)),Einstellungen!$F$13:$F$32)))</f>
        <v/>
      </c>
      <c r="Q961" s="49">
        <f>IF(OR(A961="",D961=""),0,MAX(0,NETWORKDAYS(MAX(D961,DATE(Einstellungen!$C$3,6,1)),MIN(J961,DATE(Einstellungen!$C$3,7,0)),Einstellungen!$F$13:$F$32)))</f>
        <v/>
      </c>
      <c r="R961" s="49">
        <f>IF(OR(A961="",D961=""),0,MAX(0,NETWORKDAYS(MAX(D961,DATE(Einstellungen!$C$3,7,1)),MIN(J961,DATE(Einstellungen!$C$3,8,0)),Einstellungen!$F$13:$F$32)))</f>
        <v/>
      </c>
      <c r="S961" s="49">
        <f>IF(OR(A961="",D961=""),0,MAX(0,NETWORKDAYS(MAX(D961,DATE(Einstellungen!$C$3,8,1)),MIN(J961,DATE(Einstellungen!$C$3,9,0)),Einstellungen!$F$13:$F$32)))</f>
        <v/>
      </c>
      <c r="T961" s="49">
        <f>IF(OR(A961="",D961=""),0,MAX(0,NETWORKDAYS(MAX(D961,DATE(Einstellungen!$C$3,9,1)),MIN(J961,DATE(Einstellungen!$C$3,10,0)),Einstellungen!$F$13:$F$32)))</f>
        <v/>
      </c>
      <c r="U961" s="49">
        <f>IF(OR(A961="",D961=""),0,MAX(0,NETWORKDAYS(MAX(D961,DATE(Einstellungen!$C$3,10,1)),MIN(J961,DATE(Einstellungen!$C$3,11,0)),Einstellungen!$F$13:$F$32)))</f>
        <v/>
      </c>
      <c r="V961" s="49">
        <f>IF(OR(A961="",D961=""),0,MAX(0,NETWORKDAYS(MAX(D961,DATE(Einstellungen!$C$3,11,1)),MIN(J961,DATE(Einstellungen!$C$3,12,0)),Einstellungen!$F$13:$F$32)))</f>
        <v/>
      </c>
      <c r="W961" s="49">
        <f>IF(OR(A961="",D961=""),0,MAX(0,NETWORKDAYS(MAX(D961,DATE(Einstellungen!$C$3,12,1)),MIN(J961,DATE(Einstellungen!$C$3,13,0)),Einstellungen!$F$13:$F$32)))</f>
        <v/>
      </c>
      <c r="X961" s="50">
        <f>L961*K961</f>
        <v/>
      </c>
      <c r="Y961" s="50">
        <f>M961*K961</f>
        <v/>
      </c>
      <c r="Z961" s="50">
        <f>N961*K961</f>
        <v/>
      </c>
      <c r="AA961" s="50">
        <f>O961*K961</f>
        <v/>
      </c>
      <c r="AB961" s="50">
        <f>P961*K961</f>
        <v/>
      </c>
      <c r="AC961" s="50">
        <f>Q961*K961</f>
        <v/>
      </c>
      <c r="AD961" s="50">
        <f>R961*K961</f>
        <v/>
      </c>
      <c r="AE961" s="50">
        <f>S961*K961</f>
        <v/>
      </c>
      <c r="AF961" s="50">
        <f>T961*K961</f>
        <v/>
      </c>
      <c r="AG961" s="50">
        <f>U961*K961</f>
        <v/>
      </c>
      <c r="AH961" s="50">
        <f>V961*K961</f>
        <v/>
      </c>
      <c r="AI961" s="50">
        <f>W961*K961</f>
        <v/>
      </c>
    </row>
    <row r="962">
      <c r="A962" s="25" t="n"/>
      <c r="B962" s="45">
        <f>IF(A962="","",IFERROR(INDEX(Mitarbeiter!$B$6:$B$205,MATCH($A962,Mitarbeiter!$A$6:$A$205,0)),"?"))</f>
        <v/>
      </c>
      <c r="C962" s="46" t="n"/>
      <c r="D962" s="26" t="n"/>
      <c r="E962" s="26" t="n"/>
      <c r="F962" s="24">
        <f>IF(A962="","",SUM(L962:W962))</f>
        <v/>
      </c>
      <c r="G962" s="36">
        <f>IF(A962="","",SUM(X962:AI962))</f>
        <v/>
      </c>
      <c r="H962" s="8">
        <f>IF(A962="","",IF(ISNA(MATCH(A962,Mitarbeiter!$A$6:$A$205,0)),"Pers.-Nr. unbekannt",IF(D962="","Von fehlt",IF(AND(C962&lt;&gt;Einstellungen!$C$4,C962&lt;&gt;Einstellungen!$C$5),"Objekt fehlt",IF(J962&lt;D962,"Bis vor Von",IF(D962&lt;INDEX(Mitarbeiter!$C$6:$C$205,MATCH($A962,Mitarbeiter!$A$6:$A$205,0)),"vor Eintritt",IF(AND(INDEX(Mitarbeiter!$D$6:$D$205,MATCH($A962,Mitarbeiter!$A$6:$A$205,0))&lt;&gt;"",D962&gt;INDEX(Mitarbeiter!$D$6:$D$205,MATCH($A962,Mitarbeiter!$A$6:$A$205,0))),"nach Austritt",IF(E962="","offen","ok"))))))))</f>
        <v/>
      </c>
      <c r="J962" s="47">
        <f>IF(A962="","",IF(E962="",Einstellungen!$C$9,E962))</f>
        <v/>
      </c>
      <c r="K962" s="48">
        <f>IF(A962="",0,IFERROR(INDEX(Mitarbeiter!$F$6:$F$205,MATCH($A962,Mitarbeiter!$A$6:$A$205,0)),0))</f>
        <v/>
      </c>
      <c r="L962" s="49">
        <f>IF(OR(A962="",D962=""),0,MAX(0,NETWORKDAYS(MAX(D962,DATE(Einstellungen!$C$3,1,1)),MIN(J962,DATE(Einstellungen!$C$3,2,0)),Einstellungen!$F$13:$F$32)))</f>
        <v/>
      </c>
      <c r="M962" s="49">
        <f>IF(OR(A962="",D962=""),0,MAX(0,NETWORKDAYS(MAX(D962,DATE(Einstellungen!$C$3,2,1)),MIN(J962,DATE(Einstellungen!$C$3,3,0)),Einstellungen!$F$13:$F$32)))</f>
        <v/>
      </c>
      <c r="N962" s="49">
        <f>IF(OR(A962="",D962=""),0,MAX(0,NETWORKDAYS(MAX(D962,DATE(Einstellungen!$C$3,3,1)),MIN(J962,DATE(Einstellungen!$C$3,4,0)),Einstellungen!$F$13:$F$32)))</f>
        <v/>
      </c>
      <c r="O962" s="49">
        <f>IF(OR(A962="",D962=""),0,MAX(0,NETWORKDAYS(MAX(D962,DATE(Einstellungen!$C$3,4,1)),MIN(J962,DATE(Einstellungen!$C$3,5,0)),Einstellungen!$F$13:$F$32)))</f>
        <v/>
      </c>
      <c r="P962" s="49">
        <f>IF(OR(A962="",D962=""),0,MAX(0,NETWORKDAYS(MAX(D962,DATE(Einstellungen!$C$3,5,1)),MIN(J962,DATE(Einstellungen!$C$3,6,0)),Einstellungen!$F$13:$F$32)))</f>
        <v/>
      </c>
      <c r="Q962" s="49">
        <f>IF(OR(A962="",D962=""),0,MAX(0,NETWORKDAYS(MAX(D962,DATE(Einstellungen!$C$3,6,1)),MIN(J962,DATE(Einstellungen!$C$3,7,0)),Einstellungen!$F$13:$F$32)))</f>
        <v/>
      </c>
      <c r="R962" s="49">
        <f>IF(OR(A962="",D962=""),0,MAX(0,NETWORKDAYS(MAX(D962,DATE(Einstellungen!$C$3,7,1)),MIN(J962,DATE(Einstellungen!$C$3,8,0)),Einstellungen!$F$13:$F$32)))</f>
        <v/>
      </c>
      <c r="S962" s="49">
        <f>IF(OR(A962="",D962=""),0,MAX(0,NETWORKDAYS(MAX(D962,DATE(Einstellungen!$C$3,8,1)),MIN(J962,DATE(Einstellungen!$C$3,9,0)),Einstellungen!$F$13:$F$32)))</f>
        <v/>
      </c>
      <c r="T962" s="49">
        <f>IF(OR(A962="",D962=""),0,MAX(0,NETWORKDAYS(MAX(D962,DATE(Einstellungen!$C$3,9,1)),MIN(J962,DATE(Einstellungen!$C$3,10,0)),Einstellungen!$F$13:$F$32)))</f>
        <v/>
      </c>
      <c r="U962" s="49">
        <f>IF(OR(A962="",D962=""),0,MAX(0,NETWORKDAYS(MAX(D962,DATE(Einstellungen!$C$3,10,1)),MIN(J962,DATE(Einstellungen!$C$3,11,0)),Einstellungen!$F$13:$F$32)))</f>
        <v/>
      </c>
      <c r="V962" s="49">
        <f>IF(OR(A962="",D962=""),0,MAX(0,NETWORKDAYS(MAX(D962,DATE(Einstellungen!$C$3,11,1)),MIN(J962,DATE(Einstellungen!$C$3,12,0)),Einstellungen!$F$13:$F$32)))</f>
        <v/>
      </c>
      <c r="W962" s="49">
        <f>IF(OR(A962="",D962=""),0,MAX(0,NETWORKDAYS(MAX(D962,DATE(Einstellungen!$C$3,12,1)),MIN(J962,DATE(Einstellungen!$C$3,13,0)),Einstellungen!$F$13:$F$32)))</f>
        <v/>
      </c>
      <c r="X962" s="50">
        <f>L962*K962</f>
        <v/>
      </c>
      <c r="Y962" s="50">
        <f>M962*K962</f>
        <v/>
      </c>
      <c r="Z962" s="50">
        <f>N962*K962</f>
        <v/>
      </c>
      <c r="AA962" s="50">
        <f>O962*K962</f>
        <v/>
      </c>
      <c r="AB962" s="50">
        <f>P962*K962</f>
        <v/>
      </c>
      <c r="AC962" s="50">
        <f>Q962*K962</f>
        <v/>
      </c>
      <c r="AD962" s="50">
        <f>R962*K962</f>
        <v/>
      </c>
      <c r="AE962" s="50">
        <f>S962*K962</f>
        <v/>
      </c>
      <c r="AF962" s="50">
        <f>T962*K962</f>
        <v/>
      </c>
      <c r="AG962" s="50">
        <f>U962*K962</f>
        <v/>
      </c>
      <c r="AH962" s="50">
        <f>V962*K962</f>
        <v/>
      </c>
      <c r="AI962" s="50">
        <f>W962*K962</f>
        <v/>
      </c>
    </row>
    <row r="963">
      <c r="A963" s="25" t="n"/>
      <c r="B963" s="45">
        <f>IF(A963="","",IFERROR(INDEX(Mitarbeiter!$B$6:$B$205,MATCH($A963,Mitarbeiter!$A$6:$A$205,0)),"?"))</f>
        <v/>
      </c>
      <c r="C963" s="46" t="n"/>
      <c r="D963" s="26" t="n"/>
      <c r="E963" s="26" t="n"/>
      <c r="F963" s="24">
        <f>IF(A963="","",SUM(L963:W963))</f>
        <v/>
      </c>
      <c r="G963" s="36">
        <f>IF(A963="","",SUM(X963:AI963))</f>
        <v/>
      </c>
      <c r="H963" s="8">
        <f>IF(A963="","",IF(ISNA(MATCH(A963,Mitarbeiter!$A$6:$A$205,0)),"Pers.-Nr. unbekannt",IF(D963="","Von fehlt",IF(AND(C963&lt;&gt;Einstellungen!$C$4,C963&lt;&gt;Einstellungen!$C$5),"Objekt fehlt",IF(J963&lt;D963,"Bis vor Von",IF(D963&lt;INDEX(Mitarbeiter!$C$6:$C$205,MATCH($A963,Mitarbeiter!$A$6:$A$205,0)),"vor Eintritt",IF(AND(INDEX(Mitarbeiter!$D$6:$D$205,MATCH($A963,Mitarbeiter!$A$6:$A$205,0))&lt;&gt;"",D963&gt;INDEX(Mitarbeiter!$D$6:$D$205,MATCH($A963,Mitarbeiter!$A$6:$A$205,0))),"nach Austritt",IF(E963="","offen","ok"))))))))</f>
        <v/>
      </c>
      <c r="J963" s="47">
        <f>IF(A963="","",IF(E963="",Einstellungen!$C$9,E963))</f>
        <v/>
      </c>
      <c r="K963" s="48">
        <f>IF(A963="",0,IFERROR(INDEX(Mitarbeiter!$F$6:$F$205,MATCH($A963,Mitarbeiter!$A$6:$A$205,0)),0))</f>
        <v/>
      </c>
      <c r="L963" s="49">
        <f>IF(OR(A963="",D963=""),0,MAX(0,NETWORKDAYS(MAX(D963,DATE(Einstellungen!$C$3,1,1)),MIN(J963,DATE(Einstellungen!$C$3,2,0)),Einstellungen!$F$13:$F$32)))</f>
        <v/>
      </c>
      <c r="M963" s="49">
        <f>IF(OR(A963="",D963=""),0,MAX(0,NETWORKDAYS(MAX(D963,DATE(Einstellungen!$C$3,2,1)),MIN(J963,DATE(Einstellungen!$C$3,3,0)),Einstellungen!$F$13:$F$32)))</f>
        <v/>
      </c>
      <c r="N963" s="49">
        <f>IF(OR(A963="",D963=""),0,MAX(0,NETWORKDAYS(MAX(D963,DATE(Einstellungen!$C$3,3,1)),MIN(J963,DATE(Einstellungen!$C$3,4,0)),Einstellungen!$F$13:$F$32)))</f>
        <v/>
      </c>
      <c r="O963" s="49">
        <f>IF(OR(A963="",D963=""),0,MAX(0,NETWORKDAYS(MAX(D963,DATE(Einstellungen!$C$3,4,1)),MIN(J963,DATE(Einstellungen!$C$3,5,0)),Einstellungen!$F$13:$F$32)))</f>
        <v/>
      </c>
      <c r="P963" s="49">
        <f>IF(OR(A963="",D963=""),0,MAX(0,NETWORKDAYS(MAX(D963,DATE(Einstellungen!$C$3,5,1)),MIN(J963,DATE(Einstellungen!$C$3,6,0)),Einstellungen!$F$13:$F$32)))</f>
        <v/>
      </c>
      <c r="Q963" s="49">
        <f>IF(OR(A963="",D963=""),0,MAX(0,NETWORKDAYS(MAX(D963,DATE(Einstellungen!$C$3,6,1)),MIN(J963,DATE(Einstellungen!$C$3,7,0)),Einstellungen!$F$13:$F$32)))</f>
        <v/>
      </c>
      <c r="R963" s="49">
        <f>IF(OR(A963="",D963=""),0,MAX(0,NETWORKDAYS(MAX(D963,DATE(Einstellungen!$C$3,7,1)),MIN(J963,DATE(Einstellungen!$C$3,8,0)),Einstellungen!$F$13:$F$32)))</f>
        <v/>
      </c>
      <c r="S963" s="49">
        <f>IF(OR(A963="",D963=""),0,MAX(0,NETWORKDAYS(MAX(D963,DATE(Einstellungen!$C$3,8,1)),MIN(J963,DATE(Einstellungen!$C$3,9,0)),Einstellungen!$F$13:$F$32)))</f>
        <v/>
      </c>
      <c r="T963" s="49">
        <f>IF(OR(A963="",D963=""),0,MAX(0,NETWORKDAYS(MAX(D963,DATE(Einstellungen!$C$3,9,1)),MIN(J963,DATE(Einstellungen!$C$3,10,0)),Einstellungen!$F$13:$F$32)))</f>
        <v/>
      </c>
      <c r="U963" s="49">
        <f>IF(OR(A963="",D963=""),0,MAX(0,NETWORKDAYS(MAX(D963,DATE(Einstellungen!$C$3,10,1)),MIN(J963,DATE(Einstellungen!$C$3,11,0)),Einstellungen!$F$13:$F$32)))</f>
        <v/>
      </c>
      <c r="V963" s="49">
        <f>IF(OR(A963="",D963=""),0,MAX(0,NETWORKDAYS(MAX(D963,DATE(Einstellungen!$C$3,11,1)),MIN(J963,DATE(Einstellungen!$C$3,12,0)),Einstellungen!$F$13:$F$32)))</f>
        <v/>
      </c>
      <c r="W963" s="49">
        <f>IF(OR(A963="",D963=""),0,MAX(0,NETWORKDAYS(MAX(D963,DATE(Einstellungen!$C$3,12,1)),MIN(J963,DATE(Einstellungen!$C$3,13,0)),Einstellungen!$F$13:$F$32)))</f>
        <v/>
      </c>
      <c r="X963" s="50">
        <f>L963*K963</f>
        <v/>
      </c>
      <c r="Y963" s="50">
        <f>M963*K963</f>
        <v/>
      </c>
      <c r="Z963" s="50">
        <f>N963*K963</f>
        <v/>
      </c>
      <c r="AA963" s="50">
        <f>O963*K963</f>
        <v/>
      </c>
      <c r="AB963" s="50">
        <f>P963*K963</f>
        <v/>
      </c>
      <c r="AC963" s="50">
        <f>Q963*K963</f>
        <v/>
      </c>
      <c r="AD963" s="50">
        <f>R963*K963</f>
        <v/>
      </c>
      <c r="AE963" s="50">
        <f>S963*K963</f>
        <v/>
      </c>
      <c r="AF963" s="50">
        <f>T963*K963</f>
        <v/>
      </c>
      <c r="AG963" s="50">
        <f>U963*K963</f>
        <v/>
      </c>
      <c r="AH963" s="50">
        <f>V963*K963</f>
        <v/>
      </c>
      <c r="AI963" s="50">
        <f>W963*K963</f>
        <v/>
      </c>
    </row>
    <row r="964">
      <c r="A964" s="25" t="n"/>
      <c r="B964" s="45">
        <f>IF(A964="","",IFERROR(INDEX(Mitarbeiter!$B$6:$B$205,MATCH($A964,Mitarbeiter!$A$6:$A$205,0)),"?"))</f>
        <v/>
      </c>
      <c r="C964" s="46" t="n"/>
      <c r="D964" s="26" t="n"/>
      <c r="E964" s="26" t="n"/>
      <c r="F964" s="24">
        <f>IF(A964="","",SUM(L964:W964))</f>
        <v/>
      </c>
      <c r="G964" s="36">
        <f>IF(A964="","",SUM(X964:AI964))</f>
        <v/>
      </c>
      <c r="H964" s="8">
        <f>IF(A964="","",IF(ISNA(MATCH(A964,Mitarbeiter!$A$6:$A$205,0)),"Pers.-Nr. unbekannt",IF(D964="","Von fehlt",IF(AND(C964&lt;&gt;Einstellungen!$C$4,C964&lt;&gt;Einstellungen!$C$5),"Objekt fehlt",IF(J964&lt;D964,"Bis vor Von",IF(D964&lt;INDEX(Mitarbeiter!$C$6:$C$205,MATCH($A964,Mitarbeiter!$A$6:$A$205,0)),"vor Eintritt",IF(AND(INDEX(Mitarbeiter!$D$6:$D$205,MATCH($A964,Mitarbeiter!$A$6:$A$205,0))&lt;&gt;"",D964&gt;INDEX(Mitarbeiter!$D$6:$D$205,MATCH($A964,Mitarbeiter!$A$6:$A$205,0))),"nach Austritt",IF(E964="","offen","ok"))))))))</f>
        <v/>
      </c>
      <c r="J964" s="47">
        <f>IF(A964="","",IF(E964="",Einstellungen!$C$9,E964))</f>
        <v/>
      </c>
      <c r="K964" s="48">
        <f>IF(A964="",0,IFERROR(INDEX(Mitarbeiter!$F$6:$F$205,MATCH($A964,Mitarbeiter!$A$6:$A$205,0)),0))</f>
        <v/>
      </c>
      <c r="L964" s="49">
        <f>IF(OR(A964="",D964=""),0,MAX(0,NETWORKDAYS(MAX(D964,DATE(Einstellungen!$C$3,1,1)),MIN(J964,DATE(Einstellungen!$C$3,2,0)),Einstellungen!$F$13:$F$32)))</f>
        <v/>
      </c>
      <c r="M964" s="49">
        <f>IF(OR(A964="",D964=""),0,MAX(0,NETWORKDAYS(MAX(D964,DATE(Einstellungen!$C$3,2,1)),MIN(J964,DATE(Einstellungen!$C$3,3,0)),Einstellungen!$F$13:$F$32)))</f>
        <v/>
      </c>
      <c r="N964" s="49">
        <f>IF(OR(A964="",D964=""),0,MAX(0,NETWORKDAYS(MAX(D964,DATE(Einstellungen!$C$3,3,1)),MIN(J964,DATE(Einstellungen!$C$3,4,0)),Einstellungen!$F$13:$F$32)))</f>
        <v/>
      </c>
      <c r="O964" s="49">
        <f>IF(OR(A964="",D964=""),0,MAX(0,NETWORKDAYS(MAX(D964,DATE(Einstellungen!$C$3,4,1)),MIN(J964,DATE(Einstellungen!$C$3,5,0)),Einstellungen!$F$13:$F$32)))</f>
        <v/>
      </c>
      <c r="P964" s="49">
        <f>IF(OR(A964="",D964=""),0,MAX(0,NETWORKDAYS(MAX(D964,DATE(Einstellungen!$C$3,5,1)),MIN(J964,DATE(Einstellungen!$C$3,6,0)),Einstellungen!$F$13:$F$32)))</f>
        <v/>
      </c>
      <c r="Q964" s="49">
        <f>IF(OR(A964="",D964=""),0,MAX(0,NETWORKDAYS(MAX(D964,DATE(Einstellungen!$C$3,6,1)),MIN(J964,DATE(Einstellungen!$C$3,7,0)),Einstellungen!$F$13:$F$32)))</f>
        <v/>
      </c>
      <c r="R964" s="49">
        <f>IF(OR(A964="",D964=""),0,MAX(0,NETWORKDAYS(MAX(D964,DATE(Einstellungen!$C$3,7,1)),MIN(J964,DATE(Einstellungen!$C$3,8,0)),Einstellungen!$F$13:$F$32)))</f>
        <v/>
      </c>
      <c r="S964" s="49">
        <f>IF(OR(A964="",D964=""),0,MAX(0,NETWORKDAYS(MAX(D964,DATE(Einstellungen!$C$3,8,1)),MIN(J964,DATE(Einstellungen!$C$3,9,0)),Einstellungen!$F$13:$F$32)))</f>
        <v/>
      </c>
      <c r="T964" s="49">
        <f>IF(OR(A964="",D964=""),0,MAX(0,NETWORKDAYS(MAX(D964,DATE(Einstellungen!$C$3,9,1)),MIN(J964,DATE(Einstellungen!$C$3,10,0)),Einstellungen!$F$13:$F$32)))</f>
        <v/>
      </c>
      <c r="U964" s="49">
        <f>IF(OR(A964="",D964=""),0,MAX(0,NETWORKDAYS(MAX(D964,DATE(Einstellungen!$C$3,10,1)),MIN(J964,DATE(Einstellungen!$C$3,11,0)),Einstellungen!$F$13:$F$32)))</f>
        <v/>
      </c>
      <c r="V964" s="49">
        <f>IF(OR(A964="",D964=""),0,MAX(0,NETWORKDAYS(MAX(D964,DATE(Einstellungen!$C$3,11,1)),MIN(J964,DATE(Einstellungen!$C$3,12,0)),Einstellungen!$F$13:$F$32)))</f>
        <v/>
      </c>
      <c r="W964" s="49">
        <f>IF(OR(A964="",D964=""),0,MAX(0,NETWORKDAYS(MAX(D964,DATE(Einstellungen!$C$3,12,1)),MIN(J964,DATE(Einstellungen!$C$3,13,0)),Einstellungen!$F$13:$F$32)))</f>
        <v/>
      </c>
      <c r="X964" s="50">
        <f>L964*K964</f>
        <v/>
      </c>
      <c r="Y964" s="50">
        <f>M964*K964</f>
        <v/>
      </c>
      <c r="Z964" s="50">
        <f>N964*K964</f>
        <v/>
      </c>
      <c r="AA964" s="50">
        <f>O964*K964</f>
        <v/>
      </c>
      <c r="AB964" s="50">
        <f>P964*K964</f>
        <v/>
      </c>
      <c r="AC964" s="50">
        <f>Q964*K964</f>
        <v/>
      </c>
      <c r="AD964" s="50">
        <f>R964*K964</f>
        <v/>
      </c>
      <c r="AE964" s="50">
        <f>S964*K964</f>
        <v/>
      </c>
      <c r="AF964" s="50">
        <f>T964*K964</f>
        <v/>
      </c>
      <c r="AG964" s="50">
        <f>U964*K964</f>
        <v/>
      </c>
      <c r="AH964" s="50">
        <f>V964*K964</f>
        <v/>
      </c>
      <c r="AI964" s="50">
        <f>W964*K964</f>
        <v/>
      </c>
    </row>
    <row r="965">
      <c r="A965" s="25" t="n"/>
      <c r="B965" s="45">
        <f>IF(A965="","",IFERROR(INDEX(Mitarbeiter!$B$6:$B$205,MATCH($A965,Mitarbeiter!$A$6:$A$205,0)),"?"))</f>
        <v/>
      </c>
      <c r="C965" s="46" t="n"/>
      <c r="D965" s="26" t="n"/>
      <c r="E965" s="26" t="n"/>
      <c r="F965" s="24">
        <f>IF(A965="","",SUM(L965:W965))</f>
        <v/>
      </c>
      <c r="G965" s="36">
        <f>IF(A965="","",SUM(X965:AI965))</f>
        <v/>
      </c>
      <c r="H965" s="8">
        <f>IF(A965="","",IF(ISNA(MATCH(A965,Mitarbeiter!$A$6:$A$205,0)),"Pers.-Nr. unbekannt",IF(D965="","Von fehlt",IF(AND(C965&lt;&gt;Einstellungen!$C$4,C965&lt;&gt;Einstellungen!$C$5),"Objekt fehlt",IF(J965&lt;D965,"Bis vor Von",IF(D965&lt;INDEX(Mitarbeiter!$C$6:$C$205,MATCH($A965,Mitarbeiter!$A$6:$A$205,0)),"vor Eintritt",IF(AND(INDEX(Mitarbeiter!$D$6:$D$205,MATCH($A965,Mitarbeiter!$A$6:$A$205,0))&lt;&gt;"",D965&gt;INDEX(Mitarbeiter!$D$6:$D$205,MATCH($A965,Mitarbeiter!$A$6:$A$205,0))),"nach Austritt",IF(E965="","offen","ok"))))))))</f>
        <v/>
      </c>
      <c r="J965" s="47">
        <f>IF(A965="","",IF(E965="",Einstellungen!$C$9,E965))</f>
        <v/>
      </c>
      <c r="K965" s="48">
        <f>IF(A965="",0,IFERROR(INDEX(Mitarbeiter!$F$6:$F$205,MATCH($A965,Mitarbeiter!$A$6:$A$205,0)),0))</f>
        <v/>
      </c>
      <c r="L965" s="49">
        <f>IF(OR(A965="",D965=""),0,MAX(0,NETWORKDAYS(MAX(D965,DATE(Einstellungen!$C$3,1,1)),MIN(J965,DATE(Einstellungen!$C$3,2,0)),Einstellungen!$F$13:$F$32)))</f>
        <v/>
      </c>
      <c r="M965" s="49">
        <f>IF(OR(A965="",D965=""),0,MAX(0,NETWORKDAYS(MAX(D965,DATE(Einstellungen!$C$3,2,1)),MIN(J965,DATE(Einstellungen!$C$3,3,0)),Einstellungen!$F$13:$F$32)))</f>
        <v/>
      </c>
      <c r="N965" s="49">
        <f>IF(OR(A965="",D965=""),0,MAX(0,NETWORKDAYS(MAX(D965,DATE(Einstellungen!$C$3,3,1)),MIN(J965,DATE(Einstellungen!$C$3,4,0)),Einstellungen!$F$13:$F$32)))</f>
        <v/>
      </c>
      <c r="O965" s="49">
        <f>IF(OR(A965="",D965=""),0,MAX(0,NETWORKDAYS(MAX(D965,DATE(Einstellungen!$C$3,4,1)),MIN(J965,DATE(Einstellungen!$C$3,5,0)),Einstellungen!$F$13:$F$32)))</f>
        <v/>
      </c>
      <c r="P965" s="49">
        <f>IF(OR(A965="",D965=""),0,MAX(0,NETWORKDAYS(MAX(D965,DATE(Einstellungen!$C$3,5,1)),MIN(J965,DATE(Einstellungen!$C$3,6,0)),Einstellungen!$F$13:$F$32)))</f>
        <v/>
      </c>
      <c r="Q965" s="49">
        <f>IF(OR(A965="",D965=""),0,MAX(0,NETWORKDAYS(MAX(D965,DATE(Einstellungen!$C$3,6,1)),MIN(J965,DATE(Einstellungen!$C$3,7,0)),Einstellungen!$F$13:$F$32)))</f>
        <v/>
      </c>
      <c r="R965" s="49">
        <f>IF(OR(A965="",D965=""),0,MAX(0,NETWORKDAYS(MAX(D965,DATE(Einstellungen!$C$3,7,1)),MIN(J965,DATE(Einstellungen!$C$3,8,0)),Einstellungen!$F$13:$F$32)))</f>
        <v/>
      </c>
      <c r="S965" s="49">
        <f>IF(OR(A965="",D965=""),0,MAX(0,NETWORKDAYS(MAX(D965,DATE(Einstellungen!$C$3,8,1)),MIN(J965,DATE(Einstellungen!$C$3,9,0)),Einstellungen!$F$13:$F$32)))</f>
        <v/>
      </c>
      <c r="T965" s="49">
        <f>IF(OR(A965="",D965=""),0,MAX(0,NETWORKDAYS(MAX(D965,DATE(Einstellungen!$C$3,9,1)),MIN(J965,DATE(Einstellungen!$C$3,10,0)),Einstellungen!$F$13:$F$32)))</f>
        <v/>
      </c>
      <c r="U965" s="49">
        <f>IF(OR(A965="",D965=""),0,MAX(0,NETWORKDAYS(MAX(D965,DATE(Einstellungen!$C$3,10,1)),MIN(J965,DATE(Einstellungen!$C$3,11,0)),Einstellungen!$F$13:$F$32)))</f>
        <v/>
      </c>
      <c r="V965" s="49">
        <f>IF(OR(A965="",D965=""),0,MAX(0,NETWORKDAYS(MAX(D965,DATE(Einstellungen!$C$3,11,1)),MIN(J965,DATE(Einstellungen!$C$3,12,0)),Einstellungen!$F$13:$F$32)))</f>
        <v/>
      </c>
      <c r="W965" s="49">
        <f>IF(OR(A965="",D965=""),0,MAX(0,NETWORKDAYS(MAX(D965,DATE(Einstellungen!$C$3,12,1)),MIN(J965,DATE(Einstellungen!$C$3,13,0)),Einstellungen!$F$13:$F$32)))</f>
        <v/>
      </c>
      <c r="X965" s="50">
        <f>L965*K965</f>
        <v/>
      </c>
      <c r="Y965" s="50">
        <f>M965*K965</f>
        <v/>
      </c>
      <c r="Z965" s="50">
        <f>N965*K965</f>
        <v/>
      </c>
      <c r="AA965" s="50">
        <f>O965*K965</f>
        <v/>
      </c>
      <c r="AB965" s="50">
        <f>P965*K965</f>
        <v/>
      </c>
      <c r="AC965" s="50">
        <f>Q965*K965</f>
        <v/>
      </c>
      <c r="AD965" s="50">
        <f>R965*K965</f>
        <v/>
      </c>
      <c r="AE965" s="50">
        <f>S965*K965</f>
        <v/>
      </c>
      <c r="AF965" s="50">
        <f>T965*K965</f>
        <v/>
      </c>
      <c r="AG965" s="50">
        <f>U965*K965</f>
        <v/>
      </c>
      <c r="AH965" s="50">
        <f>V965*K965</f>
        <v/>
      </c>
      <c r="AI965" s="50">
        <f>W965*K965</f>
        <v/>
      </c>
    </row>
    <row r="966">
      <c r="A966" s="25" t="n"/>
      <c r="B966" s="45">
        <f>IF(A966="","",IFERROR(INDEX(Mitarbeiter!$B$6:$B$205,MATCH($A966,Mitarbeiter!$A$6:$A$205,0)),"?"))</f>
        <v/>
      </c>
      <c r="C966" s="46" t="n"/>
      <c r="D966" s="26" t="n"/>
      <c r="E966" s="26" t="n"/>
      <c r="F966" s="24">
        <f>IF(A966="","",SUM(L966:W966))</f>
        <v/>
      </c>
      <c r="G966" s="36">
        <f>IF(A966="","",SUM(X966:AI966))</f>
        <v/>
      </c>
      <c r="H966" s="8">
        <f>IF(A966="","",IF(ISNA(MATCH(A966,Mitarbeiter!$A$6:$A$205,0)),"Pers.-Nr. unbekannt",IF(D966="","Von fehlt",IF(AND(C966&lt;&gt;Einstellungen!$C$4,C966&lt;&gt;Einstellungen!$C$5),"Objekt fehlt",IF(J966&lt;D966,"Bis vor Von",IF(D966&lt;INDEX(Mitarbeiter!$C$6:$C$205,MATCH($A966,Mitarbeiter!$A$6:$A$205,0)),"vor Eintritt",IF(AND(INDEX(Mitarbeiter!$D$6:$D$205,MATCH($A966,Mitarbeiter!$A$6:$A$205,0))&lt;&gt;"",D966&gt;INDEX(Mitarbeiter!$D$6:$D$205,MATCH($A966,Mitarbeiter!$A$6:$A$205,0))),"nach Austritt",IF(E966="","offen","ok"))))))))</f>
        <v/>
      </c>
      <c r="J966" s="47">
        <f>IF(A966="","",IF(E966="",Einstellungen!$C$9,E966))</f>
        <v/>
      </c>
      <c r="K966" s="48">
        <f>IF(A966="",0,IFERROR(INDEX(Mitarbeiter!$F$6:$F$205,MATCH($A966,Mitarbeiter!$A$6:$A$205,0)),0))</f>
        <v/>
      </c>
      <c r="L966" s="49">
        <f>IF(OR(A966="",D966=""),0,MAX(0,NETWORKDAYS(MAX(D966,DATE(Einstellungen!$C$3,1,1)),MIN(J966,DATE(Einstellungen!$C$3,2,0)),Einstellungen!$F$13:$F$32)))</f>
        <v/>
      </c>
      <c r="M966" s="49">
        <f>IF(OR(A966="",D966=""),0,MAX(0,NETWORKDAYS(MAX(D966,DATE(Einstellungen!$C$3,2,1)),MIN(J966,DATE(Einstellungen!$C$3,3,0)),Einstellungen!$F$13:$F$32)))</f>
        <v/>
      </c>
      <c r="N966" s="49">
        <f>IF(OR(A966="",D966=""),0,MAX(0,NETWORKDAYS(MAX(D966,DATE(Einstellungen!$C$3,3,1)),MIN(J966,DATE(Einstellungen!$C$3,4,0)),Einstellungen!$F$13:$F$32)))</f>
        <v/>
      </c>
      <c r="O966" s="49">
        <f>IF(OR(A966="",D966=""),0,MAX(0,NETWORKDAYS(MAX(D966,DATE(Einstellungen!$C$3,4,1)),MIN(J966,DATE(Einstellungen!$C$3,5,0)),Einstellungen!$F$13:$F$32)))</f>
        <v/>
      </c>
      <c r="P966" s="49">
        <f>IF(OR(A966="",D966=""),0,MAX(0,NETWORKDAYS(MAX(D966,DATE(Einstellungen!$C$3,5,1)),MIN(J966,DATE(Einstellungen!$C$3,6,0)),Einstellungen!$F$13:$F$32)))</f>
        <v/>
      </c>
      <c r="Q966" s="49">
        <f>IF(OR(A966="",D966=""),0,MAX(0,NETWORKDAYS(MAX(D966,DATE(Einstellungen!$C$3,6,1)),MIN(J966,DATE(Einstellungen!$C$3,7,0)),Einstellungen!$F$13:$F$32)))</f>
        <v/>
      </c>
      <c r="R966" s="49">
        <f>IF(OR(A966="",D966=""),0,MAX(0,NETWORKDAYS(MAX(D966,DATE(Einstellungen!$C$3,7,1)),MIN(J966,DATE(Einstellungen!$C$3,8,0)),Einstellungen!$F$13:$F$32)))</f>
        <v/>
      </c>
      <c r="S966" s="49">
        <f>IF(OR(A966="",D966=""),0,MAX(0,NETWORKDAYS(MAX(D966,DATE(Einstellungen!$C$3,8,1)),MIN(J966,DATE(Einstellungen!$C$3,9,0)),Einstellungen!$F$13:$F$32)))</f>
        <v/>
      </c>
      <c r="T966" s="49">
        <f>IF(OR(A966="",D966=""),0,MAX(0,NETWORKDAYS(MAX(D966,DATE(Einstellungen!$C$3,9,1)),MIN(J966,DATE(Einstellungen!$C$3,10,0)),Einstellungen!$F$13:$F$32)))</f>
        <v/>
      </c>
      <c r="U966" s="49">
        <f>IF(OR(A966="",D966=""),0,MAX(0,NETWORKDAYS(MAX(D966,DATE(Einstellungen!$C$3,10,1)),MIN(J966,DATE(Einstellungen!$C$3,11,0)),Einstellungen!$F$13:$F$32)))</f>
        <v/>
      </c>
      <c r="V966" s="49">
        <f>IF(OR(A966="",D966=""),0,MAX(0,NETWORKDAYS(MAX(D966,DATE(Einstellungen!$C$3,11,1)),MIN(J966,DATE(Einstellungen!$C$3,12,0)),Einstellungen!$F$13:$F$32)))</f>
        <v/>
      </c>
      <c r="W966" s="49">
        <f>IF(OR(A966="",D966=""),0,MAX(0,NETWORKDAYS(MAX(D966,DATE(Einstellungen!$C$3,12,1)),MIN(J966,DATE(Einstellungen!$C$3,13,0)),Einstellungen!$F$13:$F$32)))</f>
        <v/>
      </c>
      <c r="X966" s="50">
        <f>L966*K966</f>
        <v/>
      </c>
      <c r="Y966" s="50">
        <f>M966*K966</f>
        <v/>
      </c>
      <c r="Z966" s="50">
        <f>N966*K966</f>
        <v/>
      </c>
      <c r="AA966" s="50">
        <f>O966*K966</f>
        <v/>
      </c>
      <c r="AB966" s="50">
        <f>P966*K966</f>
        <v/>
      </c>
      <c r="AC966" s="50">
        <f>Q966*K966</f>
        <v/>
      </c>
      <c r="AD966" s="50">
        <f>R966*K966</f>
        <v/>
      </c>
      <c r="AE966" s="50">
        <f>S966*K966</f>
        <v/>
      </c>
      <c r="AF966" s="50">
        <f>T966*K966</f>
        <v/>
      </c>
      <c r="AG966" s="50">
        <f>U966*K966</f>
        <v/>
      </c>
      <c r="AH966" s="50">
        <f>V966*K966</f>
        <v/>
      </c>
      <c r="AI966" s="50">
        <f>W966*K966</f>
        <v/>
      </c>
    </row>
    <row r="967">
      <c r="A967" s="25" t="n"/>
      <c r="B967" s="45">
        <f>IF(A967="","",IFERROR(INDEX(Mitarbeiter!$B$6:$B$205,MATCH($A967,Mitarbeiter!$A$6:$A$205,0)),"?"))</f>
        <v/>
      </c>
      <c r="C967" s="46" t="n"/>
      <c r="D967" s="26" t="n"/>
      <c r="E967" s="26" t="n"/>
      <c r="F967" s="24">
        <f>IF(A967="","",SUM(L967:W967))</f>
        <v/>
      </c>
      <c r="G967" s="36">
        <f>IF(A967="","",SUM(X967:AI967))</f>
        <v/>
      </c>
      <c r="H967" s="8">
        <f>IF(A967="","",IF(ISNA(MATCH(A967,Mitarbeiter!$A$6:$A$205,0)),"Pers.-Nr. unbekannt",IF(D967="","Von fehlt",IF(AND(C967&lt;&gt;Einstellungen!$C$4,C967&lt;&gt;Einstellungen!$C$5),"Objekt fehlt",IF(J967&lt;D967,"Bis vor Von",IF(D967&lt;INDEX(Mitarbeiter!$C$6:$C$205,MATCH($A967,Mitarbeiter!$A$6:$A$205,0)),"vor Eintritt",IF(AND(INDEX(Mitarbeiter!$D$6:$D$205,MATCH($A967,Mitarbeiter!$A$6:$A$205,0))&lt;&gt;"",D967&gt;INDEX(Mitarbeiter!$D$6:$D$205,MATCH($A967,Mitarbeiter!$A$6:$A$205,0))),"nach Austritt",IF(E967="","offen","ok"))))))))</f>
        <v/>
      </c>
      <c r="J967" s="47">
        <f>IF(A967="","",IF(E967="",Einstellungen!$C$9,E967))</f>
        <v/>
      </c>
      <c r="K967" s="48">
        <f>IF(A967="",0,IFERROR(INDEX(Mitarbeiter!$F$6:$F$205,MATCH($A967,Mitarbeiter!$A$6:$A$205,0)),0))</f>
        <v/>
      </c>
      <c r="L967" s="49">
        <f>IF(OR(A967="",D967=""),0,MAX(0,NETWORKDAYS(MAX(D967,DATE(Einstellungen!$C$3,1,1)),MIN(J967,DATE(Einstellungen!$C$3,2,0)),Einstellungen!$F$13:$F$32)))</f>
        <v/>
      </c>
      <c r="M967" s="49">
        <f>IF(OR(A967="",D967=""),0,MAX(0,NETWORKDAYS(MAX(D967,DATE(Einstellungen!$C$3,2,1)),MIN(J967,DATE(Einstellungen!$C$3,3,0)),Einstellungen!$F$13:$F$32)))</f>
        <v/>
      </c>
      <c r="N967" s="49">
        <f>IF(OR(A967="",D967=""),0,MAX(0,NETWORKDAYS(MAX(D967,DATE(Einstellungen!$C$3,3,1)),MIN(J967,DATE(Einstellungen!$C$3,4,0)),Einstellungen!$F$13:$F$32)))</f>
        <v/>
      </c>
      <c r="O967" s="49">
        <f>IF(OR(A967="",D967=""),0,MAX(0,NETWORKDAYS(MAX(D967,DATE(Einstellungen!$C$3,4,1)),MIN(J967,DATE(Einstellungen!$C$3,5,0)),Einstellungen!$F$13:$F$32)))</f>
        <v/>
      </c>
      <c r="P967" s="49">
        <f>IF(OR(A967="",D967=""),0,MAX(0,NETWORKDAYS(MAX(D967,DATE(Einstellungen!$C$3,5,1)),MIN(J967,DATE(Einstellungen!$C$3,6,0)),Einstellungen!$F$13:$F$32)))</f>
        <v/>
      </c>
      <c r="Q967" s="49">
        <f>IF(OR(A967="",D967=""),0,MAX(0,NETWORKDAYS(MAX(D967,DATE(Einstellungen!$C$3,6,1)),MIN(J967,DATE(Einstellungen!$C$3,7,0)),Einstellungen!$F$13:$F$32)))</f>
        <v/>
      </c>
      <c r="R967" s="49">
        <f>IF(OR(A967="",D967=""),0,MAX(0,NETWORKDAYS(MAX(D967,DATE(Einstellungen!$C$3,7,1)),MIN(J967,DATE(Einstellungen!$C$3,8,0)),Einstellungen!$F$13:$F$32)))</f>
        <v/>
      </c>
      <c r="S967" s="49">
        <f>IF(OR(A967="",D967=""),0,MAX(0,NETWORKDAYS(MAX(D967,DATE(Einstellungen!$C$3,8,1)),MIN(J967,DATE(Einstellungen!$C$3,9,0)),Einstellungen!$F$13:$F$32)))</f>
        <v/>
      </c>
      <c r="T967" s="49">
        <f>IF(OR(A967="",D967=""),0,MAX(0,NETWORKDAYS(MAX(D967,DATE(Einstellungen!$C$3,9,1)),MIN(J967,DATE(Einstellungen!$C$3,10,0)),Einstellungen!$F$13:$F$32)))</f>
        <v/>
      </c>
      <c r="U967" s="49">
        <f>IF(OR(A967="",D967=""),0,MAX(0,NETWORKDAYS(MAX(D967,DATE(Einstellungen!$C$3,10,1)),MIN(J967,DATE(Einstellungen!$C$3,11,0)),Einstellungen!$F$13:$F$32)))</f>
        <v/>
      </c>
      <c r="V967" s="49">
        <f>IF(OR(A967="",D967=""),0,MAX(0,NETWORKDAYS(MAX(D967,DATE(Einstellungen!$C$3,11,1)),MIN(J967,DATE(Einstellungen!$C$3,12,0)),Einstellungen!$F$13:$F$32)))</f>
        <v/>
      </c>
      <c r="W967" s="49">
        <f>IF(OR(A967="",D967=""),0,MAX(0,NETWORKDAYS(MAX(D967,DATE(Einstellungen!$C$3,12,1)),MIN(J967,DATE(Einstellungen!$C$3,13,0)),Einstellungen!$F$13:$F$32)))</f>
        <v/>
      </c>
      <c r="X967" s="50">
        <f>L967*K967</f>
        <v/>
      </c>
      <c r="Y967" s="50">
        <f>M967*K967</f>
        <v/>
      </c>
      <c r="Z967" s="50">
        <f>N967*K967</f>
        <v/>
      </c>
      <c r="AA967" s="50">
        <f>O967*K967</f>
        <v/>
      </c>
      <c r="AB967" s="50">
        <f>P967*K967</f>
        <v/>
      </c>
      <c r="AC967" s="50">
        <f>Q967*K967</f>
        <v/>
      </c>
      <c r="AD967" s="50">
        <f>R967*K967</f>
        <v/>
      </c>
      <c r="AE967" s="50">
        <f>S967*K967</f>
        <v/>
      </c>
      <c r="AF967" s="50">
        <f>T967*K967</f>
        <v/>
      </c>
      <c r="AG967" s="50">
        <f>U967*K967</f>
        <v/>
      </c>
      <c r="AH967" s="50">
        <f>V967*K967</f>
        <v/>
      </c>
      <c r="AI967" s="50">
        <f>W967*K967</f>
        <v/>
      </c>
    </row>
    <row r="968">
      <c r="A968" s="25" t="n"/>
      <c r="B968" s="45">
        <f>IF(A968="","",IFERROR(INDEX(Mitarbeiter!$B$6:$B$205,MATCH($A968,Mitarbeiter!$A$6:$A$205,0)),"?"))</f>
        <v/>
      </c>
      <c r="C968" s="46" t="n"/>
      <c r="D968" s="26" t="n"/>
      <c r="E968" s="26" t="n"/>
      <c r="F968" s="24">
        <f>IF(A968="","",SUM(L968:W968))</f>
        <v/>
      </c>
      <c r="G968" s="36">
        <f>IF(A968="","",SUM(X968:AI968))</f>
        <v/>
      </c>
      <c r="H968" s="8">
        <f>IF(A968="","",IF(ISNA(MATCH(A968,Mitarbeiter!$A$6:$A$205,0)),"Pers.-Nr. unbekannt",IF(D968="","Von fehlt",IF(AND(C968&lt;&gt;Einstellungen!$C$4,C968&lt;&gt;Einstellungen!$C$5),"Objekt fehlt",IF(J968&lt;D968,"Bis vor Von",IF(D968&lt;INDEX(Mitarbeiter!$C$6:$C$205,MATCH($A968,Mitarbeiter!$A$6:$A$205,0)),"vor Eintritt",IF(AND(INDEX(Mitarbeiter!$D$6:$D$205,MATCH($A968,Mitarbeiter!$A$6:$A$205,0))&lt;&gt;"",D968&gt;INDEX(Mitarbeiter!$D$6:$D$205,MATCH($A968,Mitarbeiter!$A$6:$A$205,0))),"nach Austritt",IF(E968="","offen","ok"))))))))</f>
        <v/>
      </c>
      <c r="J968" s="47">
        <f>IF(A968="","",IF(E968="",Einstellungen!$C$9,E968))</f>
        <v/>
      </c>
      <c r="K968" s="48">
        <f>IF(A968="",0,IFERROR(INDEX(Mitarbeiter!$F$6:$F$205,MATCH($A968,Mitarbeiter!$A$6:$A$205,0)),0))</f>
        <v/>
      </c>
      <c r="L968" s="49">
        <f>IF(OR(A968="",D968=""),0,MAX(0,NETWORKDAYS(MAX(D968,DATE(Einstellungen!$C$3,1,1)),MIN(J968,DATE(Einstellungen!$C$3,2,0)),Einstellungen!$F$13:$F$32)))</f>
        <v/>
      </c>
      <c r="M968" s="49">
        <f>IF(OR(A968="",D968=""),0,MAX(0,NETWORKDAYS(MAX(D968,DATE(Einstellungen!$C$3,2,1)),MIN(J968,DATE(Einstellungen!$C$3,3,0)),Einstellungen!$F$13:$F$32)))</f>
        <v/>
      </c>
      <c r="N968" s="49">
        <f>IF(OR(A968="",D968=""),0,MAX(0,NETWORKDAYS(MAX(D968,DATE(Einstellungen!$C$3,3,1)),MIN(J968,DATE(Einstellungen!$C$3,4,0)),Einstellungen!$F$13:$F$32)))</f>
        <v/>
      </c>
      <c r="O968" s="49">
        <f>IF(OR(A968="",D968=""),0,MAX(0,NETWORKDAYS(MAX(D968,DATE(Einstellungen!$C$3,4,1)),MIN(J968,DATE(Einstellungen!$C$3,5,0)),Einstellungen!$F$13:$F$32)))</f>
        <v/>
      </c>
      <c r="P968" s="49">
        <f>IF(OR(A968="",D968=""),0,MAX(0,NETWORKDAYS(MAX(D968,DATE(Einstellungen!$C$3,5,1)),MIN(J968,DATE(Einstellungen!$C$3,6,0)),Einstellungen!$F$13:$F$32)))</f>
        <v/>
      </c>
      <c r="Q968" s="49">
        <f>IF(OR(A968="",D968=""),0,MAX(0,NETWORKDAYS(MAX(D968,DATE(Einstellungen!$C$3,6,1)),MIN(J968,DATE(Einstellungen!$C$3,7,0)),Einstellungen!$F$13:$F$32)))</f>
        <v/>
      </c>
      <c r="R968" s="49">
        <f>IF(OR(A968="",D968=""),0,MAX(0,NETWORKDAYS(MAX(D968,DATE(Einstellungen!$C$3,7,1)),MIN(J968,DATE(Einstellungen!$C$3,8,0)),Einstellungen!$F$13:$F$32)))</f>
        <v/>
      </c>
      <c r="S968" s="49">
        <f>IF(OR(A968="",D968=""),0,MAX(0,NETWORKDAYS(MAX(D968,DATE(Einstellungen!$C$3,8,1)),MIN(J968,DATE(Einstellungen!$C$3,9,0)),Einstellungen!$F$13:$F$32)))</f>
        <v/>
      </c>
      <c r="T968" s="49">
        <f>IF(OR(A968="",D968=""),0,MAX(0,NETWORKDAYS(MAX(D968,DATE(Einstellungen!$C$3,9,1)),MIN(J968,DATE(Einstellungen!$C$3,10,0)),Einstellungen!$F$13:$F$32)))</f>
        <v/>
      </c>
      <c r="U968" s="49">
        <f>IF(OR(A968="",D968=""),0,MAX(0,NETWORKDAYS(MAX(D968,DATE(Einstellungen!$C$3,10,1)),MIN(J968,DATE(Einstellungen!$C$3,11,0)),Einstellungen!$F$13:$F$32)))</f>
        <v/>
      </c>
      <c r="V968" s="49">
        <f>IF(OR(A968="",D968=""),0,MAX(0,NETWORKDAYS(MAX(D968,DATE(Einstellungen!$C$3,11,1)),MIN(J968,DATE(Einstellungen!$C$3,12,0)),Einstellungen!$F$13:$F$32)))</f>
        <v/>
      </c>
      <c r="W968" s="49">
        <f>IF(OR(A968="",D968=""),0,MAX(0,NETWORKDAYS(MAX(D968,DATE(Einstellungen!$C$3,12,1)),MIN(J968,DATE(Einstellungen!$C$3,13,0)),Einstellungen!$F$13:$F$32)))</f>
        <v/>
      </c>
      <c r="X968" s="50">
        <f>L968*K968</f>
        <v/>
      </c>
      <c r="Y968" s="50">
        <f>M968*K968</f>
        <v/>
      </c>
      <c r="Z968" s="50">
        <f>N968*K968</f>
        <v/>
      </c>
      <c r="AA968" s="50">
        <f>O968*K968</f>
        <v/>
      </c>
      <c r="AB968" s="50">
        <f>P968*K968</f>
        <v/>
      </c>
      <c r="AC968" s="50">
        <f>Q968*K968</f>
        <v/>
      </c>
      <c r="AD968" s="50">
        <f>R968*K968</f>
        <v/>
      </c>
      <c r="AE968" s="50">
        <f>S968*K968</f>
        <v/>
      </c>
      <c r="AF968" s="50">
        <f>T968*K968</f>
        <v/>
      </c>
      <c r="AG968" s="50">
        <f>U968*K968</f>
        <v/>
      </c>
      <c r="AH968" s="50">
        <f>V968*K968</f>
        <v/>
      </c>
      <c r="AI968" s="50">
        <f>W968*K968</f>
        <v/>
      </c>
    </row>
    <row r="969">
      <c r="A969" s="25" t="n"/>
      <c r="B969" s="45">
        <f>IF(A969="","",IFERROR(INDEX(Mitarbeiter!$B$6:$B$205,MATCH($A969,Mitarbeiter!$A$6:$A$205,0)),"?"))</f>
        <v/>
      </c>
      <c r="C969" s="46" t="n"/>
      <c r="D969" s="26" t="n"/>
      <c r="E969" s="26" t="n"/>
      <c r="F969" s="24">
        <f>IF(A969="","",SUM(L969:W969))</f>
        <v/>
      </c>
      <c r="G969" s="36">
        <f>IF(A969="","",SUM(X969:AI969))</f>
        <v/>
      </c>
      <c r="H969" s="8">
        <f>IF(A969="","",IF(ISNA(MATCH(A969,Mitarbeiter!$A$6:$A$205,0)),"Pers.-Nr. unbekannt",IF(D969="","Von fehlt",IF(AND(C969&lt;&gt;Einstellungen!$C$4,C969&lt;&gt;Einstellungen!$C$5),"Objekt fehlt",IF(J969&lt;D969,"Bis vor Von",IF(D969&lt;INDEX(Mitarbeiter!$C$6:$C$205,MATCH($A969,Mitarbeiter!$A$6:$A$205,0)),"vor Eintritt",IF(AND(INDEX(Mitarbeiter!$D$6:$D$205,MATCH($A969,Mitarbeiter!$A$6:$A$205,0))&lt;&gt;"",D969&gt;INDEX(Mitarbeiter!$D$6:$D$205,MATCH($A969,Mitarbeiter!$A$6:$A$205,0))),"nach Austritt",IF(E969="","offen","ok"))))))))</f>
        <v/>
      </c>
      <c r="J969" s="47">
        <f>IF(A969="","",IF(E969="",Einstellungen!$C$9,E969))</f>
        <v/>
      </c>
      <c r="K969" s="48">
        <f>IF(A969="",0,IFERROR(INDEX(Mitarbeiter!$F$6:$F$205,MATCH($A969,Mitarbeiter!$A$6:$A$205,0)),0))</f>
        <v/>
      </c>
      <c r="L969" s="49">
        <f>IF(OR(A969="",D969=""),0,MAX(0,NETWORKDAYS(MAX(D969,DATE(Einstellungen!$C$3,1,1)),MIN(J969,DATE(Einstellungen!$C$3,2,0)),Einstellungen!$F$13:$F$32)))</f>
        <v/>
      </c>
      <c r="M969" s="49">
        <f>IF(OR(A969="",D969=""),0,MAX(0,NETWORKDAYS(MAX(D969,DATE(Einstellungen!$C$3,2,1)),MIN(J969,DATE(Einstellungen!$C$3,3,0)),Einstellungen!$F$13:$F$32)))</f>
        <v/>
      </c>
      <c r="N969" s="49">
        <f>IF(OR(A969="",D969=""),0,MAX(0,NETWORKDAYS(MAX(D969,DATE(Einstellungen!$C$3,3,1)),MIN(J969,DATE(Einstellungen!$C$3,4,0)),Einstellungen!$F$13:$F$32)))</f>
        <v/>
      </c>
      <c r="O969" s="49">
        <f>IF(OR(A969="",D969=""),0,MAX(0,NETWORKDAYS(MAX(D969,DATE(Einstellungen!$C$3,4,1)),MIN(J969,DATE(Einstellungen!$C$3,5,0)),Einstellungen!$F$13:$F$32)))</f>
        <v/>
      </c>
      <c r="P969" s="49">
        <f>IF(OR(A969="",D969=""),0,MAX(0,NETWORKDAYS(MAX(D969,DATE(Einstellungen!$C$3,5,1)),MIN(J969,DATE(Einstellungen!$C$3,6,0)),Einstellungen!$F$13:$F$32)))</f>
        <v/>
      </c>
      <c r="Q969" s="49">
        <f>IF(OR(A969="",D969=""),0,MAX(0,NETWORKDAYS(MAX(D969,DATE(Einstellungen!$C$3,6,1)),MIN(J969,DATE(Einstellungen!$C$3,7,0)),Einstellungen!$F$13:$F$32)))</f>
        <v/>
      </c>
      <c r="R969" s="49">
        <f>IF(OR(A969="",D969=""),0,MAX(0,NETWORKDAYS(MAX(D969,DATE(Einstellungen!$C$3,7,1)),MIN(J969,DATE(Einstellungen!$C$3,8,0)),Einstellungen!$F$13:$F$32)))</f>
        <v/>
      </c>
      <c r="S969" s="49">
        <f>IF(OR(A969="",D969=""),0,MAX(0,NETWORKDAYS(MAX(D969,DATE(Einstellungen!$C$3,8,1)),MIN(J969,DATE(Einstellungen!$C$3,9,0)),Einstellungen!$F$13:$F$32)))</f>
        <v/>
      </c>
      <c r="T969" s="49">
        <f>IF(OR(A969="",D969=""),0,MAX(0,NETWORKDAYS(MAX(D969,DATE(Einstellungen!$C$3,9,1)),MIN(J969,DATE(Einstellungen!$C$3,10,0)),Einstellungen!$F$13:$F$32)))</f>
        <v/>
      </c>
      <c r="U969" s="49">
        <f>IF(OR(A969="",D969=""),0,MAX(0,NETWORKDAYS(MAX(D969,DATE(Einstellungen!$C$3,10,1)),MIN(J969,DATE(Einstellungen!$C$3,11,0)),Einstellungen!$F$13:$F$32)))</f>
        <v/>
      </c>
      <c r="V969" s="49">
        <f>IF(OR(A969="",D969=""),0,MAX(0,NETWORKDAYS(MAX(D969,DATE(Einstellungen!$C$3,11,1)),MIN(J969,DATE(Einstellungen!$C$3,12,0)),Einstellungen!$F$13:$F$32)))</f>
        <v/>
      </c>
      <c r="W969" s="49">
        <f>IF(OR(A969="",D969=""),0,MAX(0,NETWORKDAYS(MAX(D969,DATE(Einstellungen!$C$3,12,1)),MIN(J969,DATE(Einstellungen!$C$3,13,0)),Einstellungen!$F$13:$F$32)))</f>
        <v/>
      </c>
      <c r="X969" s="50">
        <f>L969*K969</f>
        <v/>
      </c>
      <c r="Y969" s="50">
        <f>M969*K969</f>
        <v/>
      </c>
      <c r="Z969" s="50">
        <f>N969*K969</f>
        <v/>
      </c>
      <c r="AA969" s="50">
        <f>O969*K969</f>
        <v/>
      </c>
      <c r="AB969" s="50">
        <f>P969*K969</f>
        <v/>
      </c>
      <c r="AC969" s="50">
        <f>Q969*K969</f>
        <v/>
      </c>
      <c r="AD969" s="50">
        <f>R969*K969</f>
        <v/>
      </c>
      <c r="AE969" s="50">
        <f>S969*K969</f>
        <v/>
      </c>
      <c r="AF969" s="50">
        <f>T969*K969</f>
        <v/>
      </c>
      <c r="AG969" s="50">
        <f>U969*K969</f>
        <v/>
      </c>
      <c r="AH969" s="50">
        <f>V969*K969</f>
        <v/>
      </c>
      <c r="AI969" s="50">
        <f>W969*K969</f>
        <v/>
      </c>
    </row>
    <row r="970">
      <c r="A970" s="25" t="n"/>
      <c r="B970" s="45">
        <f>IF(A970="","",IFERROR(INDEX(Mitarbeiter!$B$6:$B$205,MATCH($A970,Mitarbeiter!$A$6:$A$205,0)),"?"))</f>
        <v/>
      </c>
      <c r="C970" s="46" t="n"/>
      <c r="D970" s="26" t="n"/>
      <c r="E970" s="26" t="n"/>
      <c r="F970" s="24">
        <f>IF(A970="","",SUM(L970:W970))</f>
        <v/>
      </c>
      <c r="G970" s="36">
        <f>IF(A970="","",SUM(X970:AI970))</f>
        <v/>
      </c>
      <c r="H970" s="8">
        <f>IF(A970="","",IF(ISNA(MATCH(A970,Mitarbeiter!$A$6:$A$205,0)),"Pers.-Nr. unbekannt",IF(D970="","Von fehlt",IF(AND(C970&lt;&gt;Einstellungen!$C$4,C970&lt;&gt;Einstellungen!$C$5),"Objekt fehlt",IF(J970&lt;D970,"Bis vor Von",IF(D970&lt;INDEX(Mitarbeiter!$C$6:$C$205,MATCH($A970,Mitarbeiter!$A$6:$A$205,0)),"vor Eintritt",IF(AND(INDEX(Mitarbeiter!$D$6:$D$205,MATCH($A970,Mitarbeiter!$A$6:$A$205,0))&lt;&gt;"",D970&gt;INDEX(Mitarbeiter!$D$6:$D$205,MATCH($A970,Mitarbeiter!$A$6:$A$205,0))),"nach Austritt",IF(E970="","offen","ok"))))))))</f>
        <v/>
      </c>
      <c r="J970" s="47">
        <f>IF(A970="","",IF(E970="",Einstellungen!$C$9,E970))</f>
        <v/>
      </c>
      <c r="K970" s="48">
        <f>IF(A970="",0,IFERROR(INDEX(Mitarbeiter!$F$6:$F$205,MATCH($A970,Mitarbeiter!$A$6:$A$205,0)),0))</f>
        <v/>
      </c>
      <c r="L970" s="49">
        <f>IF(OR(A970="",D970=""),0,MAX(0,NETWORKDAYS(MAX(D970,DATE(Einstellungen!$C$3,1,1)),MIN(J970,DATE(Einstellungen!$C$3,2,0)),Einstellungen!$F$13:$F$32)))</f>
        <v/>
      </c>
      <c r="M970" s="49">
        <f>IF(OR(A970="",D970=""),0,MAX(0,NETWORKDAYS(MAX(D970,DATE(Einstellungen!$C$3,2,1)),MIN(J970,DATE(Einstellungen!$C$3,3,0)),Einstellungen!$F$13:$F$32)))</f>
        <v/>
      </c>
      <c r="N970" s="49">
        <f>IF(OR(A970="",D970=""),0,MAX(0,NETWORKDAYS(MAX(D970,DATE(Einstellungen!$C$3,3,1)),MIN(J970,DATE(Einstellungen!$C$3,4,0)),Einstellungen!$F$13:$F$32)))</f>
        <v/>
      </c>
      <c r="O970" s="49">
        <f>IF(OR(A970="",D970=""),0,MAX(0,NETWORKDAYS(MAX(D970,DATE(Einstellungen!$C$3,4,1)),MIN(J970,DATE(Einstellungen!$C$3,5,0)),Einstellungen!$F$13:$F$32)))</f>
        <v/>
      </c>
      <c r="P970" s="49">
        <f>IF(OR(A970="",D970=""),0,MAX(0,NETWORKDAYS(MAX(D970,DATE(Einstellungen!$C$3,5,1)),MIN(J970,DATE(Einstellungen!$C$3,6,0)),Einstellungen!$F$13:$F$32)))</f>
        <v/>
      </c>
      <c r="Q970" s="49">
        <f>IF(OR(A970="",D970=""),0,MAX(0,NETWORKDAYS(MAX(D970,DATE(Einstellungen!$C$3,6,1)),MIN(J970,DATE(Einstellungen!$C$3,7,0)),Einstellungen!$F$13:$F$32)))</f>
        <v/>
      </c>
      <c r="R970" s="49">
        <f>IF(OR(A970="",D970=""),0,MAX(0,NETWORKDAYS(MAX(D970,DATE(Einstellungen!$C$3,7,1)),MIN(J970,DATE(Einstellungen!$C$3,8,0)),Einstellungen!$F$13:$F$32)))</f>
        <v/>
      </c>
      <c r="S970" s="49">
        <f>IF(OR(A970="",D970=""),0,MAX(0,NETWORKDAYS(MAX(D970,DATE(Einstellungen!$C$3,8,1)),MIN(J970,DATE(Einstellungen!$C$3,9,0)),Einstellungen!$F$13:$F$32)))</f>
        <v/>
      </c>
      <c r="T970" s="49">
        <f>IF(OR(A970="",D970=""),0,MAX(0,NETWORKDAYS(MAX(D970,DATE(Einstellungen!$C$3,9,1)),MIN(J970,DATE(Einstellungen!$C$3,10,0)),Einstellungen!$F$13:$F$32)))</f>
        <v/>
      </c>
      <c r="U970" s="49">
        <f>IF(OR(A970="",D970=""),0,MAX(0,NETWORKDAYS(MAX(D970,DATE(Einstellungen!$C$3,10,1)),MIN(J970,DATE(Einstellungen!$C$3,11,0)),Einstellungen!$F$13:$F$32)))</f>
        <v/>
      </c>
      <c r="V970" s="49">
        <f>IF(OR(A970="",D970=""),0,MAX(0,NETWORKDAYS(MAX(D970,DATE(Einstellungen!$C$3,11,1)),MIN(J970,DATE(Einstellungen!$C$3,12,0)),Einstellungen!$F$13:$F$32)))</f>
        <v/>
      </c>
      <c r="W970" s="49">
        <f>IF(OR(A970="",D970=""),0,MAX(0,NETWORKDAYS(MAX(D970,DATE(Einstellungen!$C$3,12,1)),MIN(J970,DATE(Einstellungen!$C$3,13,0)),Einstellungen!$F$13:$F$32)))</f>
        <v/>
      </c>
      <c r="X970" s="50">
        <f>L970*K970</f>
        <v/>
      </c>
      <c r="Y970" s="50">
        <f>M970*K970</f>
        <v/>
      </c>
      <c r="Z970" s="50">
        <f>N970*K970</f>
        <v/>
      </c>
      <c r="AA970" s="50">
        <f>O970*K970</f>
        <v/>
      </c>
      <c r="AB970" s="50">
        <f>P970*K970</f>
        <v/>
      </c>
      <c r="AC970" s="50">
        <f>Q970*K970</f>
        <v/>
      </c>
      <c r="AD970" s="50">
        <f>R970*K970</f>
        <v/>
      </c>
      <c r="AE970" s="50">
        <f>S970*K970</f>
        <v/>
      </c>
      <c r="AF970" s="50">
        <f>T970*K970</f>
        <v/>
      </c>
      <c r="AG970" s="50">
        <f>U970*K970</f>
        <v/>
      </c>
      <c r="AH970" s="50">
        <f>V970*K970</f>
        <v/>
      </c>
      <c r="AI970" s="50">
        <f>W970*K970</f>
        <v/>
      </c>
    </row>
    <row r="971">
      <c r="A971" s="25" t="n"/>
      <c r="B971" s="45">
        <f>IF(A971="","",IFERROR(INDEX(Mitarbeiter!$B$6:$B$205,MATCH($A971,Mitarbeiter!$A$6:$A$205,0)),"?"))</f>
        <v/>
      </c>
      <c r="C971" s="46" t="n"/>
      <c r="D971" s="26" t="n"/>
      <c r="E971" s="26" t="n"/>
      <c r="F971" s="24">
        <f>IF(A971="","",SUM(L971:W971))</f>
        <v/>
      </c>
      <c r="G971" s="36">
        <f>IF(A971="","",SUM(X971:AI971))</f>
        <v/>
      </c>
      <c r="H971" s="8">
        <f>IF(A971="","",IF(ISNA(MATCH(A971,Mitarbeiter!$A$6:$A$205,0)),"Pers.-Nr. unbekannt",IF(D971="","Von fehlt",IF(AND(C971&lt;&gt;Einstellungen!$C$4,C971&lt;&gt;Einstellungen!$C$5),"Objekt fehlt",IF(J971&lt;D971,"Bis vor Von",IF(D971&lt;INDEX(Mitarbeiter!$C$6:$C$205,MATCH($A971,Mitarbeiter!$A$6:$A$205,0)),"vor Eintritt",IF(AND(INDEX(Mitarbeiter!$D$6:$D$205,MATCH($A971,Mitarbeiter!$A$6:$A$205,0))&lt;&gt;"",D971&gt;INDEX(Mitarbeiter!$D$6:$D$205,MATCH($A971,Mitarbeiter!$A$6:$A$205,0))),"nach Austritt",IF(E971="","offen","ok"))))))))</f>
        <v/>
      </c>
      <c r="J971" s="47">
        <f>IF(A971="","",IF(E971="",Einstellungen!$C$9,E971))</f>
        <v/>
      </c>
      <c r="K971" s="48">
        <f>IF(A971="",0,IFERROR(INDEX(Mitarbeiter!$F$6:$F$205,MATCH($A971,Mitarbeiter!$A$6:$A$205,0)),0))</f>
        <v/>
      </c>
      <c r="L971" s="49">
        <f>IF(OR(A971="",D971=""),0,MAX(0,NETWORKDAYS(MAX(D971,DATE(Einstellungen!$C$3,1,1)),MIN(J971,DATE(Einstellungen!$C$3,2,0)),Einstellungen!$F$13:$F$32)))</f>
        <v/>
      </c>
      <c r="M971" s="49">
        <f>IF(OR(A971="",D971=""),0,MAX(0,NETWORKDAYS(MAX(D971,DATE(Einstellungen!$C$3,2,1)),MIN(J971,DATE(Einstellungen!$C$3,3,0)),Einstellungen!$F$13:$F$32)))</f>
        <v/>
      </c>
      <c r="N971" s="49">
        <f>IF(OR(A971="",D971=""),0,MAX(0,NETWORKDAYS(MAX(D971,DATE(Einstellungen!$C$3,3,1)),MIN(J971,DATE(Einstellungen!$C$3,4,0)),Einstellungen!$F$13:$F$32)))</f>
        <v/>
      </c>
      <c r="O971" s="49">
        <f>IF(OR(A971="",D971=""),0,MAX(0,NETWORKDAYS(MAX(D971,DATE(Einstellungen!$C$3,4,1)),MIN(J971,DATE(Einstellungen!$C$3,5,0)),Einstellungen!$F$13:$F$32)))</f>
        <v/>
      </c>
      <c r="P971" s="49">
        <f>IF(OR(A971="",D971=""),0,MAX(0,NETWORKDAYS(MAX(D971,DATE(Einstellungen!$C$3,5,1)),MIN(J971,DATE(Einstellungen!$C$3,6,0)),Einstellungen!$F$13:$F$32)))</f>
        <v/>
      </c>
      <c r="Q971" s="49">
        <f>IF(OR(A971="",D971=""),0,MAX(0,NETWORKDAYS(MAX(D971,DATE(Einstellungen!$C$3,6,1)),MIN(J971,DATE(Einstellungen!$C$3,7,0)),Einstellungen!$F$13:$F$32)))</f>
        <v/>
      </c>
      <c r="R971" s="49">
        <f>IF(OR(A971="",D971=""),0,MAX(0,NETWORKDAYS(MAX(D971,DATE(Einstellungen!$C$3,7,1)),MIN(J971,DATE(Einstellungen!$C$3,8,0)),Einstellungen!$F$13:$F$32)))</f>
        <v/>
      </c>
      <c r="S971" s="49">
        <f>IF(OR(A971="",D971=""),0,MAX(0,NETWORKDAYS(MAX(D971,DATE(Einstellungen!$C$3,8,1)),MIN(J971,DATE(Einstellungen!$C$3,9,0)),Einstellungen!$F$13:$F$32)))</f>
        <v/>
      </c>
      <c r="T971" s="49">
        <f>IF(OR(A971="",D971=""),0,MAX(0,NETWORKDAYS(MAX(D971,DATE(Einstellungen!$C$3,9,1)),MIN(J971,DATE(Einstellungen!$C$3,10,0)),Einstellungen!$F$13:$F$32)))</f>
        <v/>
      </c>
      <c r="U971" s="49">
        <f>IF(OR(A971="",D971=""),0,MAX(0,NETWORKDAYS(MAX(D971,DATE(Einstellungen!$C$3,10,1)),MIN(J971,DATE(Einstellungen!$C$3,11,0)),Einstellungen!$F$13:$F$32)))</f>
        <v/>
      </c>
      <c r="V971" s="49">
        <f>IF(OR(A971="",D971=""),0,MAX(0,NETWORKDAYS(MAX(D971,DATE(Einstellungen!$C$3,11,1)),MIN(J971,DATE(Einstellungen!$C$3,12,0)),Einstellungen!$F$13:$F$32)))</f>
        <v/>
      </c>
      <c r="W971" s="49">
        <f>IF(OR(A971="",D971=""),0,MAX(0,NETWORKDAYS(MAX(D971,DATE(Einstellungen!$C$3,12,1)),MIN(J971,DATE(Einstellungen!$C$3,13,0)),Einstellungen!$F$13:$F$32)))</f>
        <v/>
      </c>
      <c r="X971" s="50">
        <f>L971*K971</f>
        <v/>
      </c>
      <c r="Y971" s="50">
        <f>M971*K971</f>
        <v/>
      </c>
      <c r="Z971" s="50">
        <f>N971*K971</f>
        <v/>
      </c>
      <c r="AA971" s="50">
        <f>O971*K971</f>
        <v/>
      </c>
      <c r="AB971" s="50">
        <f>P971*K971</f>
        <v/>
      </c>
      <c r="AC971" s="50">
        <f>Q971*K971</f>
        <v/>
      </c>
      <c r="AD971" s="50">
        <f>R971*K971</f>
        <v/>
      </c>
      <c r="AE971" s="50">
        <f>S971*K971</f>
        <v/>
      </c>
      <c r="AF971" s="50">
        <f>T971*K971</f>
        <v/>
      </c>
      <c r="AG971" s="50">
        <f>U971*K971</f>
        <v/>
      </c>
      <c r="AH971" s="50">
        <f>V971*K971</f>
        <v/>
      </c>
      <c r="AI971" s="50">
        <f>W971*K971</f>
        <v/>
      </c>
    </row>
    <row r="972">
      <c r="A972" s="25" t="n"/>
      <c r="B972" s="45">
        <f>IF(A972="","",IFERROR(INDEX(Mitarbeiter!$B$6:$B$205,MATCH($A972,Mitarbeiter!$A$6:$A$205,0)),"?"))</f>
        <v/>
      </c>
      <c r="C972" s="46" t="n"/>
      <c r="D972" s="26" t="n"/>
      <c r="E972" s="26" t="n"/>
      <c r="F972" s="24">
        <f>IF(A972="","",SUM(L972:W972))</f>
        <v/>
      </c>
      <c r="G972" s="36">
        <f>IF(A972="","",SUM(X972:AI972))</f>
        <v/>
      </c>
      <c r="H972" s="8">
        <f>IF(A972="","",IF(ISNA(MATCH(A972,Mitarbeiter!$A$6:$A$205,0)),"Pers.-Nr. unbekannt",IF(D972="","Von fehlt",IF(AND(C972&lt;&gt;Einstellungen!$C$4,C972&lt;&gt;Einstellungen!$C$5),"Objekt fehlt",IF(J972&lt;D972,"Bis vor Von",IF(D972&lt;INDEX(Mitarbeiter!$C$6:$C$205,MATCH($A972,Mitarbeiter!$A$6:$A$205,0)),"vor Eintritt",IF(AND(INDEX(Mitarbeiter!$D$6:$D$205,MATCH($A972,Mitarbeiter!$A$6:$A$205,0))&lt;&gt;"",D972&gt;INDEX(Mitarbeiter!$D$6:$D$205,MATCH($A972,Mitarbeiter!$A$6:$A$205,0))),"nach Austritt",IF(E972="","offen","ok"))))))))</f>
        <v/>
      </c>
      <c r="J972" s="47">
        <f>IF(A972="","",IF(E972="",Einstellungen!$C$9,E972))</f>
        <v/>
      </c>
      <c r="K972" s="48">
        <f>IF(A972="",0,IFERROR(INDEX(Mitarbeiter!$F$6:$F$205,MATCH($A972,Mitarbeiter!$A$6:$A$205,0)),0))</f>
        <v/>
      </c>
      <c r="L972" s="49">
        <f>IF(OR(A972="",D972=""),0,MAX(0,NETWORKDAYS(MAX(D972,DATE(Einstellungen!$C$3,1,1)),MIN(J972,DATE(Einstellungen!$C$3,2,0)),Einstellungen!$F$13:$F$32)))</f>
        <v/>
      </c>
      <c r="M972" s="49">
        <f>IF(OR(A972="",D972=""),0,MAX(0,NETWORKDAYS(MAX(D972,DATE(Einstellungen!$C$3,2,1)),MIN(J972,DATE(Einstellungen!$C$3,3,0)),Einstellungen!$F$13:$F$32)))</f>
        <v/>
      </c>
      <c r="N972" s="49">
        <f>IF(OR(A972="",D972=""),0,MAX(0,NETWORKDAYS(MAX(D972,DATE(Einstellungen!$C$3,3,1)),MIN(J972,DATE(Einstellungen!$C$3,4,0)),Einstellungen!$F$13:$F$32)))</f>
        <v/>
      </c>
      <c r="O972" s="49">
        <f>IF(OR(A972="",D972=""),0,MAX(0,NETWORKDAYS(MAX(D972,DATE(Einstellungen!$C$3,4,1)),MIN(J972,DATE(Einstellungen!$C$3,5,0)),Einstellungen!$F$13:$F$32)))</f>
        <v/>
      </c>
      <c r="P972" s="49">
        <f>IF(OR(A972="",D972=""),0,MAX(0,NETWORKDAYS(MAX(D972,DATE(Einstellungen!$C$3,5,1)),MIN(J972,DATE(Einstellungen!$C$3,6,0)),Einstellungen!$F$13:$F$32)))</f>
        <v/>
      </c>
      <c r="Q972" s="49">
        <f>IF(OR(A972="",D972=""),0,MAX(0,NETWORKDAYS(MAX(D972,DATE(Einstellungen!$C$3,6,1)),MIN(J972,DATE(Einstellungen!$C$3,7,0)),Einstellungen!$F$13:$F$32)))</f>
        <v/>
      </c>
      <c r="R972" s="49">
        <f>IF(OR(A972="",D972=""),0,MAX(0,NETWORKDAYS(MAX(D972,DATE(Einstellungen!$C$3,7,1)),MIN(J972,DATE(Einstellungen!$C$3,8,0)),Einstellungen!$F$13:$F$32)))</f>
        <v/>
      </c>
      <c r="S972" s="49">
        <f>IF(OR(A972="",D972=""),0,MAX(0,NETWORKDAYS(MAX(D972,DATE(Einstellungen!$C$3,8,1)),MIN(J972,DATE(Einstellungen!$C$3,9,0)),Einstellungen!$F$13:$F$32)))</f>
        <v/>
      </c>
      <c r="T972" s="49">
        <f>IF(OR(A972="",D972=""),0,MAX(0,NETWORKDAYS(MAX(D972,DATE(Einstellungen!$C$3,9,1)),MIN(J972,DATE(Einstellungen!$C$3,10,0)),Einstellungen!$F$13:$F$32)))</f>
        <v/>
      </c>
      <c r="U972" s="49">
        <f>IF(OR(A972="",D972=""),0,MAX(0,NETWORKDAYS(MAX(D972,DATE(Einstellungen!$C$3,10,1)),MIN(J972,DATE(Einstellungen!$C$3,11,0)),Einstellungen!$F$13:$F$32)))</f>
        <v/>
      </c>
      <c r="V972" s="49">
        <f>IF(OR(A972="",D972=""),0,MAX(0,NETWORKDAYS(MAX(D972,DATE(Einstellungen!$C$3,11,1)),MIN(J972,DATE(Einstellungen!$C$3,12,0)),Einstellungen!$F$13:$F$32)))</f>
        <v/>
      </c>
      <c r="W972" s="49">
        <f>IF(OR(A972="",D972=""),0,MAX(0,NETWORKDAYS(MAX(D972,DATE(Einstellungen!$C$3,12,1)),MIN(J972,DATE(Einstellungen!$C$3,13,0)),Einstellungen!$F$13:$F$32)))</f>
        <v/>
      </c>
      <c r="X972" s="50">
        <f>L972*K972</f>
        <v/>
      </c>
      <c r="Y972" s="50">
        <f>M972*K972</f>
        <v/>
      </c>
      <c r="Z972" s="50">
        <f>N972*K972</f>
        <v/>
      </c>
      <c r="AA972" s="50">
        <f>O972*K972</f>
        <v/>
      </c>
      <c r="AB972" s="50">
        <f>P972*K972</f>
        <v/>
      </c>
      <c r="AC972" s="50">
        <f>Q972*K972</f>
        <v/>
      </c>
      <c r="AD972" s="50">
        <f>R972*K972</f>
        <v/>
      </c>
      <c r="AE972" s="50">
        <f>S972*K972</f>
        <v/>
      </c>
      <c r="AF972" s="50">
        <f>T972*K972</f>
        <v/>
      </c>
      <c r="AG972" s="50">
        <f>U972*K972</f>
        <v/>
      </c>
      <c r="AH972" s="50">
        <f>V972*K972</f>
        <v/>
      </c>
      <c r="AI972" s="50">
        <f>W972*K972</f>
        <v/>
      </c>
    </row>
    <row r="973">
      <c r="A973" s="25" t="n"/>
      <c r="B973" s="45">
        <f>IF(A973="","",IFERROR(INDEX(Mitarbeiter!$B$6:$B$205,MATCH($A973,Mitarbeiter!$A$6:$A$205,0)),"?"))</f>
        <v/>
      </c>
      <c r="C973" s="46" t="n"/>
      <c r="D973" s="26" t="n"/>
      <c r="E973" s="26" t="n"/>
      <c r="F973" s="24">
        <f>IF(A973="","",SUM(L973:W973))</f>
        <v/>
      </c>
      <c r="G973" s="36">
        <f>IF(A973="","",SUM(X973:AI973))</f>
        <v/>
      </c>
      <c r="H973" s="8">
        <f>IF(A973="","",IF(ISNA(MATCH(A973,Mitarbeiter!$A$6:$A$205,0)),"Pers.-Nr. unbekannt",IF(D973="","Von fehlt",IF(AND(C973&lt;&gt;Einstellungen!$C$4,C973&lt;&gt;Einstellungen!$C$5),"Objekt fehlt",IF(J973&lt;D973,"Bis vor Von",IF(D973&lt;INDEX(Mitarbeiter!$C$6:$C$205,MATCH($A973,Mitarbeiter!$A$6:$A$205,0)),"vor Eintritt",IF(AND(INDEX(Mitarbeiter!$D$6:$D$205,MATCH($A973,Mitarbeiter!$A$6:$A$205,0))&lt;&gt;"",D973&gt;INDEX(Mitarbeiter!$D$6:$D$205,MATCH($A973,Mitarbeiter!$A$6:$A$205,0))),"nach Austritt",IF(E973="","offen","ok"))))))))</f>
        <v/>
      </c>
      <c r="J973" s="47">
        <f>IF(A973="","",IF(E973="",Einstellungen!$C$9,E973))</f>
        <v/>
      </c>
      <c r="K973" s="48">
        <f>IF(A973="",0,IFERROR(INDEX(Mitarbeiter!$F$6:$F$205,MATCH($A973,Mitarbeiter!$A$6:$A$205,0)),0))</f>
        <v/>
      </c>
      <c r="L973" s="49">
        <f>IF(OR(A973="",D973=""),0,MAX(0,NETWORKDAYS(MAX(D973,DATE(Einstellungen!$C$3,1,1)),MIN(J973,DATE(Einstellungen!$C$3,2,0)),Einstellungen!$F$13:$F$32)))</f>
        <v/>
      </c>
      <c r="M973" s="49">
        <f>IF(OR(A973="",D973=""),0,MAX(0,NETWORKDAYS(MAX(D973,DATE(Einstellungen!$C$3,2,1)),MIN(J973,DATE(Einstellungen!$C$3,3,0)),Einstellungen!$F$13:$F$32)))</f>
        <v/>
      </c>
      <c r="N973" s="49">
        <f>IF(OR(A973="",D973=""),0,MAX(0,NETWORKDAYS(MAX(D973,DATE(Einstellungen!$C$3,3,1)),MIN(J973,DATE(Einstellungen!$C$3,4,0)),Einstellungen!$F$13:$F$32)))</f>
        <v/>
      </c>
      <c r="O973" s="49">
        <f>IF(OR(A973="",D973=""),0,MAX(0,NETWORKDAYS(MAX(D973,DATE(Einstellungen!$C$3,4,1)),MIN(J973,DATE(Einstellungen!$C$3,5,0)),Einstellungen!$F$13:$F$32)))</f>
        <v/>
      </c>
      <c r="P973" s="49">
        <f>IF(OR(A973="",D973=""),0,MAX(0,NETWORKDAYS(MAX(D973,DATE(Einstellungen!$C$3,5,1)),MIN(J973,DATE(Einstellungen!$C$3,6,0)),Einstellungen!$F$13:$F$32)))</f>
        <v/>
      </c>
      <c r="Q973" s="49">
        <f>IF(OR(A973="",D973=""),0,MAX(0,NETWORKDAYS(MAX(D973,DATE(Einstellungen!$C$3,6,1)),MIN(J973,DATE(Einstellungen!$C$3,7,0)),Einstellungen!$F$13:$F$32)))</f>
        <v/>
      </c>
      <c r="R973" s="49">
        <f>IF(OR(A973="",D973=""),0,MAX(0,NETWORKDAYS(MAX(D973,DATE(Einstellungen!$C$3,7,1)),MIN(J973,DATE(Einstellungen!$C$3,8,0)),Einstellungen!$F$13:$F$32)))</f>
        <v/>
      </c>
      <c r="S973" s="49">
        <f>IF(OR(A973="",D973=""),0,MAX(0,NETWORKDAYS(MAX(D973,DATE(Einstellungen!$C$3,8,1)),MIN(J973,DATE(Einstellungen!$C$3,9,0)),Einstellungen!$F$13:$F$32)))</f>
        <v/>
      </c>
      <c r="T973" s="49">
        <f>IF(OR(A973="",D973=""),0,MAX(0,NETWORKDAYS(MAX(D973,DATE(Einstellungen!$C$3,9,1)),MIN(J973,DATE(Einstellungen!$C$3,10,0)),Einstellungen!$F$13:$F$32)))</f>
        <v/>
      </c>
      <c r="U973" s="49">
        <f>IF(OR(A973="",D973=""),0,MAX(0,NETWORKDAYS(MAX(D973,DATE(Einstellungen!$C$3,10,1)),MIN(J973,DATE(Einstellungen!$C$3,11,0)),Einstellungen!$F$13:$F$32)))</f>
        <v/>
      </c>
      <c r="V973" s="49">
        <f>IF(OR(A973="",D973=""),0,MAX(0,NETWORKDAYS(MAX(D973,DATE(Einstellungen!$C$3,11,1)),MIN(J973,DATE(Einstellungen!$C$3,12,0)),Einstellungen!$F$13:$F$32)))</f>
        <v/>
      </c>
      <c r="W973" s="49">
        <f>IF(OR(A973="",D973=""),0,MAX(0,NETWORKDAYS(MAX(D973,DATE(Einstellungen!$C$3,12,1)),MIN(J973,DATE(Einstellungen!$C$3,13,0)),Einstellungen!$F$13:$F$32)))</f>
        <v/>
      </c>
      <c r="X973" s="50">
        <f>L973*K973</f>
        <v/>
      </c>
      <c r="Y973" s="50">
        <f>M973*K973</f>
        <v/>
      </c>
      <c r="Z973" s="50">
        <f>N973*K973</f>
        <v/>
      </c>
      <c r="AA973" s="50">
        <f>O973*K973</f>
        <v/>
      </c>
      <c r="AB973" s="50">
        <f>P973*K973</f>
        <v/>
      </c>
      <c r="AC973" s="50">
        <f>Q973*K973</f>
        <v/>
      </c>
      <c r="AD973" s="50">
        <f>R973*K973</f>
        <v/>
      </c>
      <c r="AE973" s="50">
        <f>S973*K973</f>
        <v/>
      </c>
      <c r="AF973" s="50">
        <f>T973*K973</f>
        <v/>
      </c>
      <c r="AG973" s="50">
        <f>U973*K973</f>
        <v/>
      </c>
      <c r="AH973" s="50">
        <f>V973*K973</f>
        <v/>
      </c>
      <c r="AI973" s="50">
        <f>W973*K973</f>
        <v/>
      </c>
    </row>
    <row r="974">
      <c r="A974" s="25" t="n"/>
      <c r="B974" s="45">
        <f>IF(A974="","",IFERROR(INDEX(Mitarbeiter!$B$6:$B$205,MATCH($A974,Mitarbeiter!$A$6:$A$205,0)),"?"))</f>
        <v/>
      </c>
      <c r="C974" s="46" t="n"/>
      <c r="D974" s="26" t="n"/>
      <c r="E974" s="26" t="n"/>
      <c r="F974" s="24">
        <f>IF(A974="","",SUM(L974:W974))</f>
        <v/>
      </c>
      <c r="G974" s="36">
        <f>IF(A974="","",SUM(X974:AI974))</f>
        <v/>
      </c>
      <c r="H974" s="8">
        <f>IF(A974="","",IF(ISNA(MATCH(A974,Mitarbeiter!$A$6:$A$205,0)),"Pers.-Nr. unbekannt",IF(D974="","Von fehlt",IF(AND(C974&lt;&gt;Einstellungen!$C$4,C974&lt;&gt;Einstellungen!$C$5),"Objekt fehlt",IF(J974&lt;D974,"Bis vor Von",IF(D974&lt;INDEX(Mitarbeiter!$C$6:$C$205,MATCH($A974,Mitarbeiter!$A$6:$A$205,0)),"vor Eintritt",IF(AND(INDEX(Mitarbeiter!$D$6:$D$205,MATCH($A974,Mitarbeiter!$A$6:$A$205,0))&lt;&gt;"",D974&gt;INDEX(Mitarbeiter!$D$6:$D$205,MATCH($A974,Mitarbeiter!$A$6:$A$205,0))),"nach Austritt",IF(E974="","offen","ok"))))))))</f>
        <v/>
      </c>
      <c r="J974" s="47">
        <f>IF(A974="","",IF(E974="",Einstellungen!$C$9,E974))</f>
        <v/>
      </c>
      <c r="K974" s="48">
        <f>IF(A974="",0,IFERROR(INDEX(Mitarbeiter!$F$6:$F$205,MATCH($A974,Mitarbeiter!$A$6:$A$205,0)),0))</f>
        <v/>
      </c>
      <c r="L974" s="49">
        <f>IF(OR(A974="",D974=""),0,MAX(0,NETWORKDAYS(MAX(D974,DATE(Einstellungen!$C$3,1,1)),MIN(J974,DATE(Einstellungen!$C$3,2,0)),Einstellungen!$F$13:$F$32)))</f>
        <v/>
      </c>
      <c r="M974" s="49">
        <f>IF(OR(A974="",D974=""),0,MAX(0,NETWORKDAYS(MAX(D974,DATE(Einstellungen!$C$3,2,1)),MIN(J974,DATE(Einstellungen!$C$3,3,0)),Einstellungen!$F$13:$F$32)))</f>
        <v/>
      </c>
      <c r="N974" s="49">
        <f>IF(OR(A974="",D974=""),0,MAX(0,NETWORKDAYS(MAX(D974,DATE(Einstellungen!$C$3,3,1)),MIN(J974,DATE(Einstellungen!$C$3,4,0)),Einstellungen!$F$13:$F$32)))</f>
        <v/>
      </c>
      <c r="O974" s="49">
        <f>IF(OR(A974="",D974=""),0,MAX(0,NETWORKDAYS(MAX(D974,DATE(Einstellungen!$C$3,4,1)),MIN(J974,DATE(Einstellungen!$C$3,5,0)),Einstellungen!$F$13:$F$32)))</f>
        <v/>
      </c>
      <c r="P974" s="49">
        <f>IF(OR(A974="",D974=""),0,MAX(0,NETWORKDAYS(MAX(D974,DATE(Einstellungen!$C$3,5,1)),MIN(J974,DATE(Einstellungen!$C$3,6,0)),Einstellungen!$F$13:$F$32)))</f>
        <v/>
      </c>
      <c r="Q974" s="49">
        <f>IF(OR(A974="",D974=""),0,MAX(0,NETWORKDAYS(MAX(D974,DATE(Einstellungen!$C$3,6,1)),MIN(J974,DATE(Einstellungen!$C$3,7,0)),Einstellungen!$F$13:$F$32)))</f>
        <v/>
      </c>
      <c r="R974" s="49">
        <f>IF(OR(A974="",D974=""),0,MAX(0,NETWORKDAYS(MAX(D974,DATE(Einstellungen!$C$3,7,1)),MIN(J974,DATE(Einstellungen!$C$3,8,0)),Einstellungen!$F$13:$F$32)))</f>
        <v/>
      </c>
      <c r="S974" s="49">
        <f>IF(OR(A974="",D974=""),0,MAX(0,NETWORKDAYS(MAX(D974,DATE(Einstellungen!$C$3,8,1)),MIN(J974,DATE(Einstellungen!$C$3,9,0)),Einstellungen!$F$13:$F$32)))</f>
        <v/>
      </c>
      <c r="T974" s="49">
        <f>IF(OR(A974="",D974=""),0,MAX(0,NETWORKDAYS(MAX(D974,DATE(Einstellungen!$C$3,9,1)),MIN(J974,DATE(Einstellungen!$C$3,10,0)),Einstellungen!$F$13:$F$32)))</f>
        <v/>
      </c>
      <c r="U974" s="49">
        <f>IF(OR(A974="",D974=""),0,MAX(0,NETWORKDAYS(MAX(D974,DATE(Einstellungen!$C$3,10,1)),MIN(J974,DATE(Einstellungen!$C$3,11,0)),Einstellungen!$F$13:$F$32)))</f>
        <v/>
      </c>
      <c r="V974" s="49">
        <f>IF(OR(A974="",D974=""),0,MAX(0,NETWORKDAYS(MAX(D974,DATE(Einstellungen!$C$3,11,1)),MIN(J974,DATE(Einstellungen!$C$3,12,0)),Einstellungen!$F$13:$F$32)))</f>
        <v/>
      </c>
      <c r="W974" s="49">
        <f>IF(OR(A974="",D974=""),0,MAX(0,NETWORKDAYS(MAX(D974,DATE(Einstellungen!$C$3,12,1)),MIN(J974,DATE(Einstellungen!$C$3,13,0)),Einstellungen!$F$13:$F$32)))</f>
        <v/>
      </c>
      <c r="X974" s="50">
        <f>L974*K974</f>
        <v/>
      </c>
      <c r="Y974" s="50">
        <f>M974*K974</f>
        <v/>
      </c>
      <c r="Z974" s="50">
        <f>N974*K974</f>
        <v/>
      </c>
      <c r="AA974" s="50">
        <f>O974*K974</f>
        <v/>
      </c>
      <c r="AB974" s="50">
        <f>P974*K974</f>
        <v/>
      </c>
      <c r="AC974" s="50">
        <f>Q974*K974</f>
        <v/>
      </c>
      <c r="AD974" s="50">
        <f>R974*K974</f>
        <v/>
      </c>
      <c r="AE974" s="50">
        <f>S974*K974</f>
        <v/>
      </c>
      <c r="AF974" s="50">
        <f>T974*K974</f>
        <v/>
      </c>
      <c r="AG974" s="50">
        <f>U974*K974</f>
        <v/>
      </c>
      <c r="AH974" s="50">
        <f>V974*K974</f>
        <v/>
      </c>
      <c r="AI974" s="50">
        <f>W974*K974</f>
        <v/>
      </c>
    </row>
    <row r="975">
      <c r="A975" s="25" t="n"/>
      <c r="B975" s="45">
        <f>IF(A975="","",IFERROR(INDEX(Mitarbeiter!$B$6:$B$205,MATCH($A975,Mitarbeiter!$A$6:$A$205,0)),"?"))</f>
        <v/>
      </c>
      <c r="C975" s="46" t="n"/>
      <c r="D975" s="26" t="n"/>
      <c r="E975" s="26" t="n"/>
      <c r="F975" s="24">
        <f>IF(A975="","",SUM(L975:W975))</f>
        <v/>
      </c>
      <c r="G975" s="36">
        <f>IF(A975="","",SUM(X975:AI975))</f>
        <v/>
      </c>
      <c r="H975" s="8">
        <f>IF(A975="","",IF(ISNA(MATCH(A975,Mitarbeiter!$A$6:$A$205,0)),"Pers.-Nr. unbekannt",IF(D975="","Von fehlt",IF(AND(C975&lt;&gt;Einstellungen!$C$4,C975&lt;&gt;Einstellungen!$C$5),"Objekt fehlt",IF(J975&lt;D975,"Bis vor Von",IF(D975&lt;INDEX(Mitarbeiter!$C$6:$C$205,MATCH($A975,Mitarbeiter!$A$6:$A$205,0)),"vor Eintritt",IF(AND(INDEX(Mitarbeiter!$D$6:$D$205,MATCH($A975,Mitarbeiter!$A$6:$A$205,0))&lt;&gt;"",D975&gt;INDEX(Mitarbeiter!$D$6:$D$205,MATCH($A975,Mitarbeiter!$A$6:$A$205,0))),"nach Austritt",IF(E975="","offen","ok"))))))))</f>
        <v/>
      </c>
      <c r="J975" s="47">
        <f>IF(A975="","",IF(E975="",Einstellungen!$C$9,E975))</f>
        <v/>
      </c>
      <c r="K975" s="48">
        <f>IF(A975="",0,IFERROR(INDEX(Mitarbeiter!$F$6:$F$205,MATCH($A975,Mitarbeiter!$A$6:$A$205,0)),0))</f>
        <v/>
      </c>
      <c r="L975" s="49">
        <f>IF(OR(A975="",D975=""),0,MAX(0,NETWORKDAYS(MAX(D975,DATE(Einstellungen!$C$3,1,1)),MIN(J975,DATE(Einstellungen!$C$3,2,0)),Einstellungen!$F$13:$F$32)))</f>
        <v/>
      </c>
      <c r="M975" s="49">
        <f>IF(OR(A975="",D975=""),0,MAX(0,NETWORKDAYS(MAX(D975,DATE(Einstellungen!$C$3,2,1)),MIN(J975,DATE(Einstellungen!$C$3,3,0)),Einstellungen!$F$13:$F$32)))</f>
        <v/>
      </c>
      <c r="N975" s="49">
        <f>IF(OR(A975="",D975=""),0,MAX(0,NETWORKDAYS(MAX(D975,DATE(Einstellungen!$C$3,3,1)),MIN(J975,DATE(Einstellungen!$C$3,4,0)),Einstellungen!$F$13:$F$32)))</f>
        <v/>
      </c>
      <c r="O975" s="49">
        <f>IF(OR(A975="",D975=""),0,MAX(0,NETWORKDAYS(MAX(D975,DATE(Einstellungen!$C$3,4,1)),MIN(J975,DATE(Einstellungen!$C$3,5,0)),Einstellungen!$F$13:$F$32)))</f>
        <v/>
      </c>
      <c r="P975" s="49">
        <f>IF(OR(A975="",D975=""),0,MAX(0,NETWORKDAYS(MAX(D975,DATE(Einstellungen!$C$3,5,1)),MIN(J975,DATE(Einstellungen!$C$3,6,0)),Einstellungen!$F$13:$F$32)))</f>
        <v/>
      </c>
      <c r="Q975" s="49">
        <f>IF(OR(A975="",D975=""),0,MAX(0,NETWORKDAYS(MAX(D975,DATE(Einstellungen!$C$3,6,1)),MIN(J975,DATE(Einstellungen!$C$3,7,0)),Einstellungen!$F$13:$F$32)))</f>
        <v/>
      </c>
      <c r="R975" s="49">
        <f>IF(OR(A975="",D975=""),0,MAX(0,NETWORKDAYS(MAX(D975,DATE(Einstellungen!$C$3,7,1)),MIN(J975,DATE(Einstellungen!$C$3,8,0)),Einstellungen!$F$13:$F$32)))</f>
        <v/>
      </c>
      <c r="S975" s="49">
        <f>IF(OR(A975="",D975=""),0,MAX(0,NETWORKDAYS(MAX(D975,DATE(Einstellungen!$C$3,8,1)),MIN(J975,DATE(Einstellungen!$C$3,9,0)),Einstellungen!$F$13:$F$32)))</f>
        <v/>
      </c>
      <c r="T975" s="49">
        <f>IF(OR(A975="",D975=""),0,MAX(0,NETWORKDAYS(MAX(D975,DATE(Einstellungen!$C$3,9,1)),MIN(J975,DATE(Einstellungen!$C$3,10,0)),Einstellungen!$F$13:$F$32)))</f>
        <v/>
      </c>
      <c r="U975" s="49">
        <f>IF(OR(A975="",D975=""),0,MAX(0,NETWORKDAYS(MAX(D975,DATE(Einstellungen!$C$3,10,1)),MIN(J975,DATE(Einstellungen!$C$3,11,0)),Einstellungen!$F$13:$F$32)))</f>
        <v/>
      </c>
      <c r="V975" s="49">
        <f>IF(OR(A975="",D975=""),0,MAX(0,NETWORKDAYS(MAX(D975,DATE(Einstellungen!$C$3,11,1)),MIN(J975,DATE(Einstellungen!$C$3,12,0)),Einstellungen!$F$13:$F$32)))</f>
        <v/>
      </c>
      <c r="W975" s="49">
        <f>IF(OR(A975="",D975=""),0,MAX(0,NETWORKDAYS(MAX(D975,DATE(Einstellungen!$C$3,12,1)),MIN(J975,DATE(Einstellungen!$C$3,13,0)),Einstellungen!$F$13:$F$32)))</f>
        <v/>
      </c>
      <c r="X975" s="50">
        <f>L975*K975</f>
        <v/>
      </c>
      <c r="Y975" s="50">
        <f>M975*K975</f>
        <v/>
      </c>
      <c r="Z975" s="50">
        <f>N975*K975</f>
        <v/>
      </c>
      <c r="AA975" s="50">
        <f>O975*K975</f>
        <v/>
      </c>
      <c r="AB975" s="50">
        <f>P975*K975</f>
        <v/>
      </c>
      <c r="AC975" s="50">
        <f>Q975*K975</f>
        <v/>
      </c>
      <c r="AD975" s="50">
        <f>R975*K975</f>
        <v/>
      </c>
      <c r="AE975" s="50">
        <f>S975*K975</f>
        <v/>
      </c>
      <c r="AF975" s="50">
        <f>T975*K975</f>
        <v/>
      </c>
      <c r="AG975" s="50">
        <f>U975*K975</f>
        <v/>
      </c>
      <c r="AH975" s="50">
        <f>V975*K975</f>
        <v/>
      </c>
      <c r="AI975" s="50">
        <f>W975*K975</f>
        <v/>
      </c>
    </row>
    <row r="976">
      <c r="A976" s="25" t="n"/>
      <c r="B976" s="45">
        <f>IF(A976="","",IFERROR(INDEX(Mitarbeiter!$B$6:$B$205,MATCH($A976,Mitarbeiter!$A$6:$A$205,0)),"?"))</f>
        <v/>
      </c>
      <c r="C976" s="46" t="n"/>
      <c r="D976" s="26" t="n"/>
      <c r="E976" s="26" t="n"/>
      <c r="F976" s="24">
        <f>IF(A976="","",SUM(L976:W976))</f>
        <v/>
      </c>
      <c r="G976" s="36">
        <f>IF(A976="","",SUM(X976:AI976))</f>
        <v/>
      </c>
      <c r="H976" s="8">
        <f>IF(A976="","",IF(ISNA(MATCH(A976,Mitarbeiter!$A$6:$A$205,0)),"Pers.-Nr. unbekannt",IF(D976="","Von fehlt",IF(AND(C976&lt;&gt;Einstellungen!$C$4,C976&lt;&gt;Einstellungen!$C$5),"Objekt fehlt",IF(J976&lt;D976,"Bis vor Von",IF(D976&lt;INDEX(Mitarbeiter!$C$6:$C$205,MATCH($A976,Mitarbeiter!$A$6:$A$205,0)),"vor Eintritt",IF(AND(INDEX(Mitarbeiter!$D$6:$D$205,MATCH($A976,Mitarbeiter!$A$6:$A$205,0))&lt;&gt;"",D976&gt;INDEX(Mitarbeiter!$D$6:$D$205,MATCH($A976,Mitarbeiter!$A$6:$A$205,0))),"nach Austritt",IF(E976="","offen","ok"))))))))</f>
        <v/>
      </c>
      <c r="J976" s="47">
        <f>IF(A976="","",IF(E976="",Einstellungen!$C$9,E976))</f>
        <v/>
      </c>
      <c r="K976" s="48">
        <f>IF(A976="",0,IFERROR(INDEX(Mitarbeiter!$F$6:$F$205,MATCH($A976,Mitarbeiter!$A$6:$A$205,0)),0))</f>
        <v/>
      </c>
      <c r="L976" s="49">
        <f>IF(OR(A976="",D976=""),0,MAX(0,NETWORKDAYS(MAX(D976,DATE(Einstellungen!$C$3,1,1)),MIN(J976,DATE(Einstellungen!$C$3,2,0)),Einstellungen!$F$13:$F$32)))</f>
        <v/>
      </c>
      <c r="M976" s="49">
        <f>IF(OR(A976="",D976=""),0,MAX(0,NETWORKDAYS(MAX(D976,DATE(Einstellungen!$C$3,2,1)),MIN(J976,DATE(Einstellungen!$C$3,3,0)),Einstellungen!$F$13:$F$32)))</f>
        <v/>
      </c>
      <c r="N976" s="49">
        <f>IF(OR(A976="",D976=""),0,MAX(0,NETWORKDAYS(MAX(D976,DATE(Einstellungen!$C$3,3,1)),MIN(J976,DATE(Einstellungen!$C$3,4,0)),Einstellungen!$F$13:$F$32)))</f>
        <v/>
      </c>
      <c r="O976" s="49">
        <f>IF(OR(A976="",D976=""),0,MAX(0,NETWORKDAYS(MAX(D976,DATE(Einstellungen!$C$3,4,1)),MIN(J976,DATE(Einstellungen!$C$3,5,0)),Einstellungen!$F$13:$F$32)))</f>
        <v/>
      </c>
      <c r="P976" s="49">
        <f>IF(OR(A976="",D976=""),0,MAX(0,NETWORKDAYS(MAX(D976,DATE(Einstellungen!$C$3,5,1)),MIN(J976,DATE(Einstellungen!$C$3,6,0)),Einstellungen!$F$13:$F$32)))</f>
        <v/>
      </c>
      <c r="Q976" s="49">
        <f>IF(OR(A976="",D976=""),0,MAX(0,NETWORKDAYS(MAX(D976,DATE(Einstellungen!$C$3,6,1)),MIN(J976,DATE(Einstellungen!$C$3,7,0)),Einstellungen!$F$13:$F$32)))</f>
        <v/>
      </c>
      <c r="R976" s="49">
        <f>IF(OR(A976="",D976=""),0,MAX(0,NETWORKDAYS(MAX(D976,DATE(Einstellungen!$C$3,7,1)),MIN(J976,DATE(Einstellungen!$C$3,8,0)),Einstellungen!$F$13:$F$32)))</f>
        <v/>
      </c>
      <c r="S976" s="49">
        <f>IF(OR(A976="",D976=""),0,MAX(0,NETWORKDAYS(MAX(D976,DATE(Einstellungen!$C$3,8,1)),MIN(J976,DATE(Einstellungen!$C$3,9,0)),Einstellungen!$F$13:$F$32)))</f>
        <v/>
      </c>
      <c r="T976" s="49">
        <f>IF(OR(A976="",D976=""),0,MAX(0,NETWORKDAYS(MAX(D976,DATE(Einstellungen!$C$3,9,1)),MIN(J976,DATE(Einstellungen!$C$3,10,0)),Einstellungen!$F$13:$F$32)))</f>
        <v/>
      </c>
      <c r="U976" s="49">
        <f>IF(OR(A976="",D976=""),0,MAX(0,NETWORKDAYS(MAX(D976,DATE(Einstellungen!$C$3,10,1)),MIN(J976,DATE(Einstellungen!$C$3,11,0)),Einstellungen!$F$13:$F$32)))</f>
        <v/>
      </c>
      <c r="V976" s="49">
        <f>IF(OR(A976="",D976=""),0,MAX(0,NETWORKDAYS(MAX(D976,DATE(Einstellungen!$C$3,11,1)),MIN(J976,DATE(Einstellungen!$C$3,12,0)),Einstellungen!$F$13:$F$32)))</f>
        <v/>
      </c>
      <c r="W976" s="49">
        <f>IF(OR(A976="",D976=""),0,MAX(0,NETWORKDAYS(MAX(D976,DATE(Einstellungen!$C$3,12,1)),MIN(J976,DATE(Einstellungen!$C$3,13,0)),Einstellungen!$F$13:$F$32)))</f>
        <v/>
      </c>
      <c r="X976" s="50">
        <f>L976*K976</f>
        <v/>
      </c>
      <c r="Y976" s="50">
        <f>M976*K976</f>
        <v/>
      </c>
      <c r="Z976" s="50">
        <f>N976*K976</f>
        <v/>
      </c>
      <c r="AA976" s="50">
        <f>O976*K976</f>
        <v/>
      </c>
      <c r="AB976" s="50">
        <f>P976*K976</f>
        <v/>
      </c>
      <c r="AC976" s="50">
        <f>Q976*K976</f>
        <v/>
      </c>
      <c r="AD976" s="50">
        <f>R976*K976</f>
        <v/>
      </c>
      <c r="AE976" s="50">
        <f>S976*K976</f>
        <v/>
      </c>
      <c r="AF976" s="50">
        <f>T976*K976</f>
        <v/>
      </c>
      <c r="AG976" s="50">
        <f>U976*K976</f>
        <v/>
      </c>
      <c r="AH976" s="50">
        <f>V976*K976</f>
        <v/>
      </c>
      <c r="AI976" s="50">
        <f>W976*K976</f>
        <v/>
      </c>
    </row>
    <row r="977">
      <c r="A977" s="25" t="n"/>
      <c r="B977" s="45">
        <f>IF(A977="","",IFERROR(INDEX(Mitarbeiter!$B$6:$B$205,MATCH($A977,Mitarbeiter!$A$6:$A$205,0)),"?"))</f>
        <v/>
      </c>
      <c r="C977" s="46" t="n"/>
      <c r="D977" s="26" t="n"/>
      <c r="E977" s="26" t="n"/>
      <c r="F977" s="24">
        <f>IF(A977="","",SUM(L977:W977))</f>
        <v/>
      </c>
      <c r="G977" s="36">
        <f>IF(A977="","",SUM(X977:AI977))</f>
        <v/>
      </c>
      <c r="H977" s="8">
        <f>IF(A977="","",IF(ISNA(MATCH(A977,Mitarbeiter!$A$6:$A$205,0)),"Pers.-Nr. unbekannt",IF(D977="","Von fehlt",IF(AND(C977&lt;&gt;Einstellungen!$C$4,C977&lt;&gt;Einstellungen!$C$5),"Objekt fehlt",IF(J977&lt;D977,"Bis vor Von",IF(D977&lt;INDEX(Mitarbeiter!$C$6:$C$205,MATCH($A977,Mitarbeiter!$A$6:$A$205,0)),"vor Eintritt",IF(AND(INDEX(Mitarbeiter!$D$6:$D$205,MATCH($A977,Mitarbeiter!$A$6:$A$205,0))&lt;&gt;"",D977&gt;INDEX(Mitarbeiter!$D$6:$D$205,MATCH($A977,Mitarbeiter!$A$6:$A$205,0))),"nach Austritt",IF(E977="","offen","ok"))))))))</f>
        <v/>
      </c>
      <c r="J977" s="47">
        <f>IF(A977="","",IF(E977="",Einstellungen!$C$9,E977))</f>
        <v/>
      </c>
      <c r="K977" s="48">
        <f>IF(A977="",0,IFERROR(INDEX(Mitarbeiter!$F$6:$F$205,MATCH($A977,Mitarbeiter!$A$6:$A$205,0)),0))</f>
        <v/>
      </c>
      <c r="L977" s="49">
        <f>IF(OR(A977="",D977=""),0,MAX(0,NETWORKDAYS(MAX(D977,DATE(Einstellungen!$C$3,1,1)),MIN(J977,DATE(Einstellungen!$C$3,2,0)),Einstellungen!$F$13:$F$32)))</f>
        <v/>
      </c>
      <c r="M977" s="49">
        <f>IF(OR(A977="",D977=""),0,MAX(0,NETWORKDAYS(MAX(D977,DATE(Einstellungen!$C$3,2,1)),MIN(J977,DATE(Einstellungen!$C$3,3,0)),Einstellungen!$F$13:$F$32)))</f>
        <v/>
      </c>
      <c r="N977" s="49">
        <f>IF(OR(A977="",D977=""),0,MAX(0,NETWORKDAYS(MAX(D977,DATE(Einstellungen!$C$3,3,1)),MIN(J977,DATE(Einstellungen!$C$3,4,0)),Einstellungen!$F$13:$F$32)))</f>
        <v/>
      </c>
      <c r="O977" s="49">
        <f>IF(OR(A977="",D977=""),0,MAX(0,NETWORKDAYS(MAX(D977,DATE(Einstellungen!$C$3,4,1)),MIN(J977,DATE(Einstellungen!$C$3,5,0)),Einstellungen!$F$13:$F$32)))</f>
        <v/>
      </c>
      <c r="P977" s="49">
        <f>IF(OR(A977="",D977=""),0,MAX(0,NETWORKDAYS(MAX(D977,DATE(Einstellungen!$C$3,5,1)),MIN(J977,DATE(Einstellungen!$C$3,6,0)),Einstellungen!$F$13:$F$32)))</f>
        <v/>
      </c>
      <c r="Q977" s="49">
        <f>IF(OR(A977="",D977=""),0,MAX(0,NETWORKDAYS(MAX(D977,DATE(Einstellungen!$C$3,6,1)),MIN(J977,DATE(Einstellungen!$C$3,7,0)),Einstellungen!$F$13:$F$32)))</f>
        <v/>
      </c>
      <c r="R977" s="49">
        <f>IF(OR(A977="",D977=""),0,MAX(0,NETWORKDAYS(MAX(D977,DATE(Einstellungen!$C$3,7,1)),MIN(J977,DATE(Einstellungen!$C$3,8,0)),Einstellungen!$F$13:$F$32)))</f>
        <v/>
      </c>
      <c r="S977" s="49">
        <f>IF(OR(A977="",D977=""),0,MAX(0,NETWORKDAYS(MAX(D977,DATE(Einstellungen!$C$3,8,1)),MIN(J977,DATE(Einstellungen!$C$3,9,0)),Einstellungen!$F$13:$F$32)))</f>
        <v/>
      </c>
      <c r="T977" s="49">
        <f>IF(OR(A977="",D977=""),0,MAX(0,NETWORKDAYS(MAX(D977,DATE(Einstellungen!$C$3,9,1)),MIN(J977,DATE(Einstellungen!$C$3,10,0)),Einstellungen!$F$13:$F$32)))</f>
        <v/>
      </c>
      <c r="U977" s="49">
        <f>IF(OR(A977="",D977=""),0,MAX(0,NETWORKDAYS(MAX(D977,DATE(Einstellungen!$C$3,10,1)),MIN(J977,DATE(Einstellungen!$C$3,11,0)),Einstellungen!$F$13:$F$32)))</f>
        <v/>
      </c>
      <c r="V977" s="49">
        <f>IF(OR(A977="",D977=""),0,MAX(0,NETWORKDAYS(MAX(D977,DATE(Einstellungen!$C$3,11,1)),MIN(J977,DATE(Einstellungen!$C$3,12,0)),Einstellungen!$F$13:$F$32)))</f>
        <v/>
      </c>
      <c r="W977" s="49">
        <f>IF(OR(A977="",D977=""),0,MAX(0,NETWORKDAYS(MAX(D977,DATE(Einstellungen!$C$3,12,1)),MIN(J977,DATE(Einstellungen!$C$3,13,0)),Einstellungen!$F$13:$F$32)))</f>
        <v/>
      </c>
      <c r="X977" s="50">
        <f>L977*K977</f>
        <v/>
      </c>
      <c r="Y977" s="50">
        <f>M977*K977</f>
        <v/>
      </c>
      <c r="Z977" s="50">
        <f>N977*K977</f>
        <v/>
      </c>
      <c r="AA977" s="50">
        <f>O977*K977</f>
        <v/>
      </c>
      <c r="AB977" s="50">
        <f>P977*K977</f>
        <v/>
      </c>
      <c r="AC977" s="50">
        <f>Q977*K977</f>
        <v/>
      </c>
      <c r="AD977" s="50">
        <f>R977*K977</f>
        <v/>
      </c>
      <c r="AE977" s="50">
        <f>S977*K977</f>
        <v/>
      </c>
      <c r="AF977" s="50">
        <f>T977*K977</f>
        <v/>
      </c>
      <c r="AG977" s="50">
        <f>U977*K977</f>
        <v/>
      </c>
      <c r="AH977" s="50">
        <f>V977*K977</f>
        <v/>
      </c>
      <c r="AI977" s="50">
        <f>W977*K977</f>
        <v/>
      </c>
    </row>
    <row r="978">
      <c r="A978" s="25" t="n"/>
      <c r="B978" s="45">
        <f>IF(A978="","",IFERROR(INDEX(Mitarbeiter!$B$6:$B$205,MATCH($A978,Mitarbeiter!$A$6:$A$205,0)),"?"))</f>
        <v/>
      </c>
      <c r="C978" s="46" t="n"/>
      <c r="D978" s="26" t="n"/>
      <c r="E978" s="26" t="n"/>
      <c r="F978" s="24">
        <f>IF(A978="","",SUM(L978:W978))</f>
        <v/>
      </c>
      <c r="G978" s="36">
        <f>IF(A978="","",SUM(X978:AI978))</f>
        <v/>
      </c>
      <c r="H978" s="8">
        <f>IF(A978="","",IF(ISNA(MATCH(A978,Mitarbeiter!$A$6:$A$205,0)),"Pers.-Nr. unbekannt",IF(D978="","Von fehlt",IF(AND(C978&lt;&gt;Einstellungen!$C$4,C978&lt;&gt;Einstellungen!$C$5),"Objekt fehlt",IF(J978&lt;D978,"Bis vor Von",IF(D978&lt;INDEX(Mitarbeiter!$C$6:$C$205,MATCH($A978,Mitarbeiter!$A$6:$A$205,0)),"vor Eintritt",IF(AND(INDEX(Mitarbeiter!$D$6:$D$205,MATCH($A978,Mitarbeiter!$A$6:$A$205,0))&lt;&gt;"",D978&gt;INDEX(Mitarbeiter!$D$6:$D$205,MATCH($A978,Mitarbeiter!$A$6:$A$205,0))),"nach Austritt",IF(E978="","offen","ok"))))))))</f>
        <v/>
      </c>
      <c r="J978" s="47">
        <f>IF(A978="","",IF(E978="",Einstellungen!$C$9,E978))</f>
        <v/>
      </c>
      <c r="K978" s="48">
        <f>IF(A978="",0,IFERROR(INDEX(Mitarbeiter!$F$6:$F$205,MATCH($A978,Mitarbeiter!$A$6:$A$205,0)),0))</f>
        <v/>
      </c>
      <c r="L978" s="49">
        <f>IF(OR(A978="",D978=""),0,MAX(0,NETWORKDAYS(MAX(D978,DATE(Einstellungen!$C$3,1,1)),MIN(J978,DATE(Einstellungen!$C$3,2,0)),Einstellungen!$F$13:$F$32)))</f>
        <v/>
      </c>
      <c r="M978" s="49">
        <f>IF(OR(A978="",D978=""),0,MAX(0,NETWORKDAYS(MAX(D978,DATE(Einstellungen!$C$3,2,1)),MIN(J978,DATE(Einstellungen!$C$3,3,0)),Einstellungen!$F$13:$F$32)))</f>
        <v/>
      </c>
      <c r="N978" s="49">
        <f>IF(OR(A978="",D978=""),0,MAX(0,NETWORKDAYS(MAX(D978,DATE(Einstellungen!$C$3,3,1)),MIN(J978,DATE(Einstellungen!$C$3,4,0)),Einstellungen!$F$13:$F$32)))</f>
        <v/>
      </c>
      <c r="O978" s="49">
        <f>IF(OR(A978="",D978=""),0,MAX(0,NETWORKDAYS(MAX(D978,DATE(Einstellungen!$C$3,4,1)),MIN(J978,DATE(Einstellungen!$C$3,5,0)),Einstellungen!$F$13:$F$32)))</f>
        <v/>
      </c>
      <c r="P978" s="49">
        <f>IF(OR(A978="",D978=""),0,MAX(0,NETWORKDAYS(MAX(D978,DATE(Einstellungen!$C$3,5,1)),MIN(J978,DATE(Einstellungen!$C$3,6,0)),Einstellungen!$F$13:$F$32)))</f>
        <v/>
      </c>
      <c r="Q978" s="49">
        <f>IF(OR(A978="",D978=""),0,MAX(0,NETWORKDAYS(MAX(D978,DATE(Einstellungen!$C$3,6,1)),MIN(J978,DATE(Einstellungen!$C$3,7,0)),Einstellungen!$F$13:$F$32)))</f>
        <v/>
      </c>
      <c r="R978" s="49">
        <f>IF(OR(A978="",D978=""),0,MAX(0,NETWORKDAYS(MAX(D978,DATE(Einstellungen!$C$3,7,1)),MIN(J978,DATE(Einstellungen!$C$3,8,0)),Einstellungen!$F$13:$F$32)))</f>
        <v/>
      </c>
      <c r="S978" s="49">
        <f>IF(OR(A978="",D978=""),0,MAX(0,NETWORKDAYS(MAX(D978,DATE(Einstellungen!$C$3,8,1)),MIN(J978,DATE(Einstellungen!$C$3,9,0)),Einstellungen!$F$13:$F$32)))</f>
        <v/>
      </c>
      <c r="T978" s="49">
        <f>IF(OR(A978="",D978=""),0,MAX(0,NETWORKDAYS(MAX(D978,DATE(Einstellungen!$C$3,9,1)),MIN(J978,DATE(Einstellungen!$C$3,10,0)),Einstellungen!$F$13:$F$32)))</f>
        <v/>
      </c>
      <c r="U978" s="49">
        <f>IF(OR(A978="",D978=""),0,MAX(0,NETWORKDAYS(MAX(D978,DATE(Einstellungen!$C$3,10,1)),MIN(J978,DATE(Einstellungen!$C$3,11,0)),Einstellungen!$F$13:$F$32)))</f>
        <v/>
      </c>
      <c r="V978" s="49">
        <f>IF(OR(A978="",D978=""),0,MAX(0,NETWORKDAYS(MAX(D978,DATE(Einstellungen!$C$3,11,1)),MIN(J978,DATE(Einstellungen!$C$3,12,0)),Einstellungen!$F$13:$F$32)))</f>
        <v/>
      </c>
      <c r="W978" s="49">
        <f>IF(OR(A978="",D978=""),0,MAX(0,NETWORKDAYS(MAX(D978,DATE(Einstellungen!$C$3,12,1)),MIN(J978,DATE(Einstellungen!$C$3,13,0)),Einstellungen!$F$13:$F$32)))</f>
        <v/>
      </c>
      <c r="X978" s="50">
        <f>L978*K978</f>
        <v/>
      </c>
      <c r="Y978" s="50">
        <f>M978*K978</f>
        <v/>
      </c>
      <c r="Z978" s="50">
        <f>N978*K978</f>
        <v/>
      </c>
      <c r="AA978" s="50">
        <f>O978*K978</f>
        <v/>
      </c>
      <c r="AB978" s="50">
        <f>P978*K978</f>
        <v/>
      </c>
      <c r="AC978" s="50">
        <f>Q978*K978</f>
        <v/>
      </c>
      <c r="AD978" s="50">
        <f>R978*K978</f>
        <v/>
      </c>
      <c r="AE978" s="50">
        <f>S978*K978</f>
        <v/>
      </c>
      <c r="AF978" s="50">
        <f>T978*K978</f>
        <v/>
      </c>
      <c r="AG978" s="50">
        <f>U978*K978</f>
        <v/>
      </c>
      <c r="AH978" s="50">
        <f>V978*K978</f>
        <v/>
      </c>
      <c r="AI978" s="50">
        <f>W978*K978</f>
        <v/>
      </c>
    </row>
    <row r="979">
      <c r="A979" s="25" t="n"/>
      <c r="B979" s="45">
        <f>IF(A979="","",IFERROR(INDEX(Mitarbeiter!$B$6:$B$205,MATCH($A979,Mitarbeiter!$A$6:$A$205,0)),"?"))</f>
        <v/>
      </c>
      <c r="C979" s="46" t="n"/>
      <c r="D979" s="26" t="n"/>
      <c r="E979" s="26" t="n"/>
      <c r="F979" s="24">
        <f>IF(A979="","",SUM(L979:W979))</f>
        <v/>
      </c>
      <c r="G979" s="36">
        <f>IF(A979="","",SUM(X979:AI979))</f>
        <v/>
      </c>
      <c r="H979" s="8">
        <f>IF(A979="","",IF(ISNA(MATCH(A979,Mitarbeiter!$A$6:$A$205,0)),"Pers.-Nr. unbekannt",IF(D979="","Von fehlt",IF(AND(C979&lt;&gt;Einstellungen!$C$4,C979&lt;&gt;Einstellungen!$C$5),"Objekt fehlt",IF(J979&lt;D979,"Bis vor Von",IF(D979&lt;INDEX(Mitarbeiter!$C$6:$C$205,MATCH($A979,Mitarbeiter!$A$6:$A$205,0)),"vor Eintritt",IF(AND(INDEX(Mitarbeiter!$D$6:$D$205,MATCH($A979,Mitarbeiter!$A$6:$A$205,0))&lt;&gt;"",D979&gt;INDEX(Mitarbeiter!$D$6:$D$205,MATCH($A979,Mitarbeiter!$A$6:$A$205,0))),"nach Austritt",IF(E979="","offen","ok"))))))))</f>
        <v/>
      </c>
      <c r="J979" s="47">
        <f>IF(A979="","",IF(E979="",Einstellungen!$C$9,E979))</f>
        <v/>
      </c>
      <c r="K979" s="48">
        <f>IF(A979="",0,IFERROR(INDEX(Mitarbeiter!$F$6:$F$205,MATCH($A979,Mitarbeiter!$A$6:$A$205,0)),0))</f>
        <v/>
      </c>
      <c r="L979" s="49">
        <f>IF(OR(A979="",D979=""),0,MAX(0,NETWORKDAYS(MAX(D979,DATE(Einstellungen!$C$3,1,1)),MIN(J979,DATE(Einstellungen!$C$3,2,0)),Einstellungen!$F$13:$F$32)))</f>
        <v/>
      </c>
      <c r="M979" s="49">
        <f>IF(OR(A979="",D979=""),0,MAX(0,NETWORKDAYS(MAX(D979,DATE(Einstellungen!$C$3,2,1)),MIN(J979,DATE(Einstellungen!$C$3,3,0)),Einstellungen!$F$13:$F$32)))</f>
        <v/>
      </c>
      <c r="N979" s="49">
        <f>IF(OR(A979="",D979=""),0,MAX(0,NETWORKDAYS(MAX(D979,DATE(Einstellungen!$C$3,3,1)),MIN(J979,DATE(Einstellungen!$C$3,4,0)),Einstellungen!$F$13:$F$32)))</f>
        <v/>
      </c>
      <c r="O979" s="49">
        <f>IF(OR(A979="",D979=""),0,MAX(0,NETWORKDAYS(MAX(D979,DATE(Einstellungen!$C$3,4,1)),MIN(J979,DATE(Einstellungen!$C$3,5,0)),Einstellungen!$F$13:$F$32)))</f>
        <v/>
      </c>
      <c r="P979" s="49">
        <f>IF(OR(A979="",D979=""),0,MAX(0,NETWORKDAYS(MAX(D979,DATE(Einstellungen!$C$3,5,1)),MIN(J979,DATE(Einstellungen!$C$3,6,0)),Einstellungen!$F$13:$F$32)))</f>
        <v/>
      </c>
      <c r="Q979" s="49">
        <f>IF(OR(A979="",D979=""),0,MAX(0,NETWORKDAYS(MAX(D979,DATE(Einstellungen!$C$3,6,1)),MIN(J979,DATE(Einstellungen!$C$3,7,0)),Einstellungen!$F$13:$F$32)))</f>
        <v/>
      </c>
      <c r="R979" s="49">
        <f>IF(OR(A979="",D979=""),0,MAX(0,NETWORKDAYS(MAX(D979,DATE(Einstellungen!$C$3,7,1)),MIN(J979,DATE(Einstellungen!$C$3,8,0)),Einstellungen!$F$13:$F$32)))</f>
        <v/>
      </c>
      <c r="S979" s="49">
        <f>IF(OR(A979="",D979=""),0,MAX(0,NETWORKDAYS(MAX(D979,DATE(Einstellungen!$C$3,8,1)),MIN(J979,DATE(Einstellungen!$C$3,9,0)),Einstellungen!$F$13:$F$32)))</f>
        <v/>
      </c>
      <c r="T979" s="49">
        <f>IF(OR(A979="",D979=""),0,MAX(0,NETWORKDAYS(MAX(D979,DATE(Einstellungen!$C$3,9,1)),MIN(J979,DATE(Einstellungen!$C$3,10,0)),Einstellungen!$F$13:$F$32)))</f>
        <v/>
      </c>
      <c r="U979" s="49">
        <f>IF(OR(A979="",D979=""),0,MAX(0,NETWORKDAYS(MAX(D979,DATE(Einstellungen!$C$3,10,1)),MIN(J979,DATE(Einstellungen!$C$3,11,0)),Einstellungen!$F$13:$F$32)))</f>
        <v/>
      </c>
      <c r="V979" s="49">
        <f>IF(OR(A979="",D979=""),0,MAX(0,NETWORKDAYS(MAX(D979,DATE(Einstellungen!$C$3,11,1)),MIN(J979,DATE(Einstellungen!$C$3,12,0)),Einstellungen!$F$13:$F$32)))</f>
        <v/>
      </c>
      <c r="W979" s="49">
        <f>IF(OR(A979="",D979=""),0,MAX(0,NETWORKDAYS(MAX(D979,DATE(Einstellungen!$C$3,12,1)),MIN(J979,DATE(Einstellungen!$C$3,13,0)),Einstellungen!$F$13:$F$32)))</f>
        <v/>
      </c>
      <c r="X979" s="50">
        <f>L979*K979</f>
        <v/>
      </c>
      <c r="Y979" s="50">
        <f>M979*K979</f>
        <v/>
      </c>
      <c r="Z979" s="50">
        <f>N979*K979</f>
        <v/>
      </c>
      <c r="AA979" s="50">
        <f>O979*K979</f>
        <v/>
      </c>
      <c r="AB979" s="50">
        <f>P979*K979</f>
        <v/>
      </c>
      <c r="AC979" s="50">
        <f>Q979*K979</f>
        <v/>
      </c>
      <c r="AD979" s="50">
        <f>R979*K979</f>
        <v/>
      </c>
      <c r="AE979" s="50">
        <f>S979*K979</f>
        <v/>
      </c>
      <c r="AF979" s="50">
        <f>T979*K979</f>
        <v/>
      </c>
      <c r="AG979" s="50">
        <f>U979*K979</f>
        <v/>
      </c>
      <c r="AH979" s="50">
        <f>V979*K979</f>
        <v/>
      </c>
      <c r="AI979" s="50">
        <f>W979*K979</f>
        <v/>
      </c>
    </row>
    <row r="980">
      <c r="A980" s="25" t="n"/>
      <c r="B980" s="45">
        <f>IF(A980="","",IFERROR(INDEX(Mitarbeiter!$B$6:$B$205,MATCH($A980,Mitarbeiter!$A$6:$A$205,0)),"?"))</f>
        <v/>
      </c>
      <c r="C980" s="46" t="n"/>
      <c r="D980" s="26" t="n"/>
      <c r="E980" s="26" t="n"/>
      <c r="F980" s="24">
        <f>IF(A980="","",SUM(L980:W980))</f>
        <v/>
      </c>
      <c r="G980" s="36">
        <f>IF(A980="","",SUM(X980:AI980))</f>
        <v/>
      </c>
      <c r="H980" s="8">
        <f>IF(A980="","",IF(ISNA(MATCH(A980,Mitarbeiter!$A$6:$A$205,0)),"Pers.-Nr. unbekannt",IF(D980="","Von fehlt",IF(AND(C980&lt;&gt;Einstellungen!$C$4,C980&lt;&gt;Einstellungen!$C$5),"Objekt fehlt",IF(J980&lt;D980,"Bis vor Von",IF(D980&lt;INDEX(Mitarbeiter!$C$6:$C$205,MATCH($A980,Mitarbeiter!$A$6:$A$205,0)),"vor Eintritt",IF(AND(INDEX(Mitarbeiter!$D$6:$D$205,MATCH($A980,Mitarbeiter!$A$6:$A$205,0))&lt;&gt;"",D980&gt;INDEX(Mitarbeiter!$D$6:$D$205,MATCH($A980,Mitarbeiter!$A$6:$A$205,0))),"nach Austritt",IF(E980="","offen","ok"))))))))</f>
        <v/>
      </c>
      <c r="J980" s="47">
        <f>IF(A980="","",IF(E980="",Einstellungen!$C$9,E980))</f>
        <v/>
      </c>
      <c r="K980" s="48">
        <f>IF(A980="",0,IFERROR(INDEX(Mitarbeiter!$F$6:$F$205,MATCH($A980,Mitarbeiter!$A$6:$A$205,0)),0))</f>
        <v/>
      </c>
      <c r="L980" s="49">
        <f>IF(OR(A980="",D980=""),0,MAX(0,NETWORKDAYS(MAX(D980,DATE(Einstellungen!$C$3,1,1)),MIN(J980,DATE(Einstellungen!$C$3,2,0)),Einstellungen!$F$13:$F$32)))</f>
        <v/>
      </c>
      <c r="M980" s="49">
        <f>IF(OR(A980="",D980=""),0,MAX(0,NETWORKDAYS(MAX(D980,DATE(Einstellungen!$C$3,2,1)),MIN(J980,DATE(Einstellungen!$C$3,3,0)),Einstellungen!$F$13:$F$32)))</f>
        <v/>
      </c>
      <c r="N980" s="49">
        <f>IF(OR(A980="",D980=""),0,MAX(0,NETWORKDAYS(MAX(D980,DATE(Einstellungen!$C$3,3,1)),MIN(J980,DATE(Einstellungen!$C$3,4,0)),Einstellungen!$F$13:$F$32)))</f>
        <v/>
      </c>
      <c r="O980" s="49">
        <f>IF(OR(A980="",D980=""),0,MAX(0,NETWORKDAYS(MAX(D980,DATE(Einstellungen!$C$3,4,1)),MIN(J980,DATE(Einstellungen!$C$3,5,0)),Einstellungen!$F$13:$F$32)))</f>
        <v/>
      </c>
      <c r="P980" s="49">
        <f>IF(OR(A980="",D980=""),0,MAX(0,NETWORKDAYS(MAX(D980,DATE(Einstellungen!$C$3,5,1)),MIN(J980,DATE(Einstellungen!$C$3,6,0)),Einstellungen!$F$13:$F$32)))</f>
        <v/>
      </c>
      <c r="Q980" s="49">
        <f>IF(OR(A980="",D980=""),0,MAX(0,NETWORKDAYS(MAX(D980,DATE(Einstellungen!$C$3,6,1)),MIN(J980,DATE(Einstellungen!$C$3,7,0)),Einstellungen!$F$13:$F$32)))</f>
        <v/>
      </c>
      <c r="R980" s="49">
        <f>IF(OR(A980="",D980=""),0,MAX(0,NETWORKDAYS(MAX(D980,DATE(Einstellungen!$C$3,7,1)),MIN(J980,DATE(Einstellungen!$C$3,8,0)),Einstellungen!$F$13:$F$32)))</f>
        <v/>
      </c>
      <c r="S980" s="49">
        <f>IF(OR(A980="",D980=""),0,MAX(0,NETWORKDAYS(MAX(D980,DATE(Einstellungen!$C$3,8,1)),MIN(J980,DATE(Einstellungen!$C$3,9,0)),Einstellungen!$F$13:$F$32)))</f>
        <v/>
      </c>
      <c r="T980" s="49">
        <f>IF(OR(A980="",D980=""),0,MAX(0,NETWORKDAYS(MAX(D980,DATE(Einstellungen!$C$3,9,1)),MIN(J980,DATE(Einstellungen!$C$3,10,0)),Einstellungen!$F$13:$F$32)))</f>
        <v/>
      </c>
      <c r="U980" s="49">
        <f>IF(OR(A980="",D980=""),0,MAX(0,NETWORKDAYS(MAX(D980,DATE(Einstellungen!$C$3,10,1)),MIN(J980,DATE(Einstellungen!$C$3,11,0)),Einstellungen!$F$13:$F$32)))</f>
        <v/>
      </c>
      <c r="V980" s="49">
        <f>IF(OR(A980="",D980=""),0,MAX(0,NETWORKDAYS(MAX(D980,DATE(Einstellungen!$C$3,11,1)),MIN(J980,DATE(Einstellungen!$C$3,12,0)),Einstellungen!$F$13:$F$32)))</f>
        <v/>
      </c>
      <c r="W980" s="49">
        <f>IF(OR(A980="",D980=""),0,MAX(0,NETWORKDAYS(MAX(D980,DATE(Einstellungen!$C$3,12,1)),MIN(J980,DATE(Einstellungen!$C$3,13,0)),Einstellungen!$F$13:$F$32)))</f>
        <v/>
      </c>
      <c r="X980" s="50">
        <f>L980*K980</f>
        <v/>
      </c>
      <c r="Y980" s="50">
        <f>M980*K980</f>
        <v/>
      </c>
      <c r="Z980" s="50">
        <f>N980*K980</f>
        <v/>
      </c>
      <c r="AA980" s="50">
        <f>O980*K980</f>
        <v/>
      </c>
      <c r="AB980" s="50">
        <f>P980*K980</f>
        <v/>
      </c>
      <c r="AC980" s="50">
        <f>Q980*K980</f>
        <v/>
      </c>
      <c r="AD980" s="50">
        <f>R980*K980</f>
        <v/>
      </c>
      <c r="AE980" s="50">
        <f>S980*K980</f>
        <v/>
      </c>
      <c r="AF980" s="50">
        <f>T980*K980</f>
        <v/>
      </c>
      <c r="AG980" s="50">
        <f>U980*K980</f>
        <v/>
      </c>
      <c r="AH980" s="50">
        <f>V980*K980</f>
        <v/>
      </c>
      <c r="AI980" s="50">
        <f>W980*K980</f>
        <v/>
      </c>
    </row>
    <row r="981">
      <c r="A981" s="25" t="n"/>
      <c r="B981" s="45">
        <f>IF(A981="","",IFERROR(INDEX(Mitarbeiter!$B$6:$B$205,MATCH($A981,Mitarbeiter!$A$6:$A$205,0)),"?"))</f>
        <v/>
      </c>
      <c r="C981" s="46" t="n"/>
      <c r="D981" s="26" t="n"/>
      <c r="E981" s="26" t="n"/>
      <c r="F981" s="24">
        <f>IF(A981="","",SUM(L981:W981))</f>
        <v/>
      </c>
      <c r="G981" s="36">
        <f>IF(A981="","",SUM(X981:AI981))</f>
        <v/>
      </c>
      <c r="H981" s="8">
        <f>IF(A981="","",IF(ISNA(MATCH(A981,Mitarbeiter!$A$6:$A$205,0)),"Pers.-Nr. unbekannt",IF(D981="","Von fehlt",IF(AND(C981&lt;&gt;Einstellungen!$C$4,C981&lt;&gt;Einstellungen!$C$5),"Objekt fehlt",IF(J981&lt;D981,"Bis vor Von",IF(D981&lt;INDEX(Mitarbeiter!$C$6:$C$205,MATCH($A981,Mitarbeiter!$A$6:$A$205,0)),"vor Eintritt",IF(AND(INDEX(Mitarbeiter!$D$6:$D$205,MATCH($A981,Mitarbeiter!$A$6:$A$205,0))&lt;&gt;"",D981&gt;INDEX(Mitarbeiter!$D$6:$D$205,MATCH($A981,Mitarbeiter!$A$6:$A$205,0))),"nach Austritt",IF(E981="","offen","ok"))))))))</f>
        <v/>
      </c>
      <c r="J981" s="47">
        <f>IF(A981="","",IF(E981="",Einstellungen!$C$9,E981))</f>
        <v/>
      </c>
      <c r="K981" s="48">
        <f>IF(A981="",0,IFERROR(INDEX(Mitarbeiter!$F$6:$F$205,MATCH($A981,Mitarbeiter!$A$6:$A$205,0)),0))</f>
        <v/>
      </c>
      <c r="L981" s="49">
        <f>IF(OR(A981="",D981=""),0,MAX(0,NETWORKDAYS(MAX(D981,DATE(Einstellungen!$C$3,1,1)),MIN(J981,DATE(Einstellungen!$C$3,2,0)),Einstellungen!$F$13:$F$32)))</f>
        <v/>
      </c>
      <c r="M981" s="49">
        <f>IF(OR(A981="",D981=""),0,MAX(0,NETWORKDAYS(MAX(D981,DATE(Einstellungen!$C$3,2,1)),MIN(J981,DATE(Einstellungen!$C$3,3,0)),Einstellungen!$F$13:$F$32)))</f>
        <v/>
      </c>
      <c r="N981" s="49">
        <f>IF(OR(A981="",D981=""),0,MAX(0,NETWORKDAYS(MAX(D981,DATE(Einstellungen!$C$3,3,1)),MIN(J981,DATE(Einstellungen!$C$3,4,0)),Einstellungen!$F$13:$F$32)))</f>
        <v/>
      </c>
      <c r="O981" s="49">
        <f>IF(OR(A981="",D981=""),0,MAX(0,NETWORKDAYS(MAX(D981,DATE(Einstellungen!$C$3,4,1)),MIN(J981,DATE(Einstellungen!$C$3,5,0)),Einstellungen!$F$13:$F$32)))</f>
        <v/>
      </c>
      <c r="P981" s="49">
        <f>IF(OR(A981="",D981=""),0,MAX(0,NETWORKDAYS(MAX(D981,DATE(Einstellungen!$C$3,5,1)),MIN(J981,DATE(Einstellungen!$C$3,6,0)),Einstellungen!$F$13:$F$32)))</f>
        <v/>
      </c>
      <c r="Q981" s="49">
        <f>IF(OR(A981="",D981=""),0,MAX(0,NETWORKDAYS(MAX(D981,DATE(Einstellungen!$C$3,6,1)),MIN(J981,DATE(Einstellungen!$C$3,7,0)),Einstellungen!$F$13:$F$32)))</f>
        <v/>
      </c>
      <c r="R981" s="49">
        <f>IF(OR(A981="",D981=""),0,MAX(0,NETWORKDAYS(MAX(D981,DATE(Einstellungen!$C$3,7,1)),MIN(J981,DATE(Einstellungen!$C$3,8,0)),Einstellungen!$F$13:$F$32)))</f>
        <v/>
      </c>
      <c r="S981" s="49">
        <f>IF(OR(A981="",D981=""),0,MAX(0,NETWORKDAYS(MAX(D981,DATE(Einstellungen!$C$3,8,1)),MIN(J981,DATE(Einstellungen!$C$3,9,0)),Einstellungen!$F$13:$F$32)))</f>
        <v/>
      </c>
      <c r="T981" s="49">
        <f>IF(OR(A981="",D981=""),0,MAX(0,NETWORKDAYS(MAX(D981,DATE(Einstellungen!$C$3,9,1)),MIN(J981,DATE(Einstellungen!$C$3,10,0)),Einstellungen!$F$13:$F$32)))</f>
        <v/>
      </c>
      <c r="U981" s="49">
        <f>IF(OR(A981="",D981=""),0,MAX(0,NETWORKDAYS(MAX(D981,DATE(Einstellungen!$C$3,10,1)),MIN(J981,DATE(Einstellungen!$C$3,11,0)),Einstellungen!$F$13:$F$32)))</f>
        <v/>
      </c>
      <c r="V981" s="49">
        <f>IF(OR(A981="",D981=""),0,MAX(0,NETWORKDAYS(MAX(D981,DATE(Einstellungen!$C$3,11,1)),MIN(J981,DATE(Einstellungen!$C$3,12,0)),Einstellungen!$F$13:$F$32)))</f>
        <v/>
      </c>
      <c r="W981" s="49">
        <f>IF(OR(A981="",D981=""),0,MAX(0,NETWORKDAYS(MAX(D981,DATE(Einstellungen!$C$3,12,1)),MIN(J981,DATE(Einstellungen!$C$3,13,0)),Einstellungen!$F$13:$F$32)))</f>
        <v/>
      </c>
      <c r="X981" s="50">
        <f>L981*K981</f>
        <v/>
      </c>
      <c r="Y981" s="50">
        <f>M981*K981</f>
        <v/>
      </c>
      <c r="Z981" s="50">
        <f>N981*K981</f>
        <v/>
      </c>
      <c r="AA981" s="50">
        <f>O981*K981</f>
        <v/>
      </c>
      <c r="AB981" s="50">
        <f>P981*K981</f>
        <v/>
      </c>
      <c r="AC981" s="50">
        <f>Q981*K981</f>
        <v/>
      </c>
      <c r="AD981" s="50">
        <f>R981*K981</f>
        <v/>
      </c>
      <c r="AE981" s="50">
        <f>S981*K981</f>
        <v/>
      </c>
      <c r="AF981" s="50">
        <f>T981*K981</f>
        <v/>
      </c>
      <c r="AG981" s="50">
        <f>U981*K981</f>
        <v/>
      </c>
      <c r="AH981" s="50">
        <f>V981*K981</f>
        <v/>
      </c>
      <c r="AI981" s="50">
        <f>W981*K981</f>
        <v/>
      </c>
    </row>
    <row r="982">
      <c r="A982" s="25" t="n"/>
      <c r="B982" s="45">
        <f>IF(A982="","",IFERROR(INDEX(Mitarbeiter!$B$6:$B$205,MATCH($A982,Mitarbeiter!$A$6:$A$205,0)),"?"))</f>
        <v/>
      </c>
      <c r="C982" s="46" t="n"/>
      <c r="D982" s="26" t="n"/>
      <c r="E982" s="26" t="n"/>
      <c r="F982" s="24">
        <f>IF(A982="","",SUM(L982:W982))</f>
        <v/>
      </c>
      <c r="G982" s="36">
        <f>IF(A982="","",SUM(X982:AI982))</f>
        <v/>
      </c>
      <c r="H982" s="8">
        <f>IF(A982="","",IF(ISNA(MATCH(A982,Mitarbeiter!$A$6:$A$205,0)),"Pers.-Nr. unbekannt",IF(D982="","Von fehlt",IF(AND(C982&lt;&gt;Einstellungen!$C$4,C982&lt;&gt;Einstellungen!$C$5),"Objekt fehlt",IF(J982&lt;D982,"Bis vor Von",IF(D982&lt;INDEX(Mitarbeiter!$C$6:$C$205,MATCH($A982,Mitarbeiter!$A$6:$A$205,0)),"vor Eintritt",IF(AND(INDEX(Mitarbeiter!$D$6:$D$205,MATCH($A982,Mitarbeiter!$A$6:$A$205,0))&lt;&gt;"",D982&gt;INDEX(Mitarbeiter!$D$6:$D$205,MATCH($A982,Mitarbeiter!$A$6:$A$205,0))),"nach Austritt",IF(E982="","offen","ok"))))))))</f>
        <v/>
      </c>
      <c r="J982" s="47">
        <f>IF(A982="","",IF(E982="",Einstellungen!$C$9,E982))</f>
        <v/>
      </c>
      <c r="K982" s="48">
        <f>IF(A982="",0,IFERROR(INDEX(Mitarbeiter!$F$6:$F$205,MATCH($A982,Mitarbeiter!$A$6:$A$205,0)),0))</f>
        <v/>
      </c>
      <c r="L982" s="49">
        <f>IF(OR(A982="",D982=""),0,MAX(0,NETWORKDAYS(MAX(D982,DATE(Einstellungen!$C$3,1,1)),MIN(J982,DATE(Einstellungen!$C$3,2,0)),Einstellungen!$F$13:$F$32)))</f>
        <v/>
      </c>
      <c r="M982" s="49">
        <f>IF(OR(A982="",D982=""),0,MAX(0,NETWORKDAYS(MAX(D982,DATE(Einstellungen!$C$3,2,1)),MIN(J982,DATE(Einstellungen!$C$3,3,0)),Einstellungen!$F$13:$F$32)))</f>
        <v/>
      </c>
      <c r="N982" s="49">
        <f>IF(OR(A982="",D982=""),0,MAX(0,NETWORKDAYS(MAX(D982,DATE(Einstellungen!$C$3,3,1)),MIN(J982,DATE(Einstellungen!$C$3,4,0)),Einstellungen!$F$13:$F$32)))</f>
        <v/>
      </c>
      <c r="O982" s="49">
        <f>IF(OR(A982="",D982=""),0,MAX(0,NETWORKDAYS(MAX(D982,DATE(Einstellungen!$C$3,4,1)),MIN(J982,DATE(Einstellungen!$C$3,5,0)),Einstellungen!$F$13:$F$32)))</f>
        <v/>
      </c>
      <c r="P982" s="49">
        <f>IF(OR(A982="",D982=""),0,MAX(0,NETWORKDAYS(MAX(D982,DATE(Einstellungen!$C$3,5,1)),MIN(J982,DATE(Einstellungen!$C$3,6,0)),Einstellungen!$F$13:$F$32)))</f>
        <v/>
      </c>
      <c r="Q982" s="49">
        <f>IF(OR(A982="",D982=""),0,MAX(0,NETWORKDAYS(MAX(D982,DATE(Einstellungen!$C$3,6,1)),MIN(J982,DATE(Einstellungen!$C$3,7,0)),Einstellungen!$F$13:$F$32)))</f>
        <v/>
      </c>
      <c r="R982" s="49">
        <f>IF(OR(A982="",D982=""),0,MAX(0,NETWORKDAYS(MAX(D982,DATE(Einstellungen!$C$3,7,1)),MIN(J982,DATE(Einstellungen!$C$3,8,0)),Einstellungen!$F$13:$F$32)))</f>
        <v/>
      </c>
      <c r="S982" s="49">
        <f>IF(OR(A982="",D982=""),0,MAX(0,NETWORKDAYS(MAX(D982,DATE(Einstellungen!$C$3,8,1)),MIN(J982,DATE(Einstellungen!$C$3,9,0)),Einstellungen!$F$13:$F$32)))</f>
        <v/>
      </c>
      <c r="T982" s="49">
        <f>IF(OR(A982="",D982=""),0,MAX(0,NETWORKDAYS(MAX(D982,DATE(Einstellungen!$C$3,9,1)),MIN(J982,DATE(Einstellungen!$C$3,10,0)),Einstellungen!$F$13:$F$32)))</f>
        <v/>
      </c>
      <c r="U982" s="49">
        <f>IF(OR(A982="",D982=""),0,MAX(0,NETWORKDAYS(MAX(D982,DATE(Einstellungen!$C$3,10,1)),MIN(J982,DATE(Einstellungen!$C$3,11,0)),Einstellungen!$F$13:$F$32)))</f>
        <v/>
      </c>
      <c r="V982" s="49">
        <f>IF(OR(A982="",D982=""),0,MAX(0,NETWORKDAYS(MAX(D982,DATE(Einstellungen!$C$3,11,1)),MIN(J982,DATE(Einstellungen!$C$3,12,0)),Einstellungen!$F$13:$F$32)))</f>
        <v/>
      </c>
      <c r="W982" s="49">
        <f>IF(OR(A982="",D982=""),0,MAX(0,NETWORKDAYS(MAX(D982,DATE(Einstellungen!$C$3,12,1)),MIN(J982,DATE(Einstellungen!$C$3,13,0)),Einstellungen!$F$13:$F$32)))</f>
        <v/>
      </c>
      <c r="X982" s="50">
        <f>L982*K982</f>
        <v/>
      </c>
      <c r="Y982" s="50">
        <f>M982*K982</f>
        <v/>
      </c>
      <c r="Z982" s="50">
        <f>N982*K982</f>
        <v/>
      </c>
      <c r="AA982" s="50">
        <f>O982*K982</f>
        <v/>
      </c>
      <c r="AB982" s="50">
        <f>P982*K982</f>
        <v/>
      </c>
      <c r="AC982" s="50">
        <f>Q982*K982</f>
        <v/>
      </c>
      <c r="AD982" s="50">
        <f>R982*K982</f>
        <v/>
      </c>
      <c r="AE982" s="50">
        <f>S982*K982</f>
        <v/>
      </c>
      <c r="AF982" s="50">
        <f>T982*K982</f>
        <v/>
      </c>
      <c r="AG982" s="50">
        <f>U982*K982</f>
        <v/>
      </c>
      <c r="AH982" s="50">
        <f>V982*K982</f>
        <v/>
      </c>
      <c r="AI982" s="50">
        <f>W982*K982</f>
        <v/>
      </c>
    </row>
    <row r="983">
      <c r="A983" s="25" t="n"/>
      <c r="B983" s="45">
        <f>IF(A983="","",IFERROR(INDEX(Mitarbeiter!$B$6:$B$205,MATCH($A983,Mitarbeiter!$A$6:$A$205,0)),"?"))</f>
        <v/>
      </c>
      <c r="C983" s="46" t="n"/>
      <c r="D983" s="26" t="n"/>
      <c r="E983" s="26" t="n"/>
      <c r="F983" s="24">
        <f>IF(A983="","",SUM(L983:W983))</f>
        <v/>
      </c>
      <c r="G983" s="36">
        <f>IF(A983="","",SUM(X983:AI983))</f>
        <v/>
      </c>
      <c r="H983" s="8">
        <f>IF(A983="","",IF(ISNA(MATCH(A983,Mitarbeiter!$A$6:$A$205,0)),"Pers.-Nr. unbekannt",IF(D983="","Von fehlt",IF(AND(C983&lt;&gt;Einstellungen!$C$4,C983&lt;&gt;Einstellungen!$C$5),"Objekt fehlt",IF(J983&lt;D983,"Bis vor Von",IF(D983&lt;INDEX(Mitarbeiter!$C$6:$C$205,MATCH($A983,Mitarbeiter!$A$6:$A$205,0)),"vor Eintritt",IF(AND(INDEX(Mitarbeiter!$D$6:$D$205,MATCH($A983,Mitarbeiter!$A$6:$A$205,0))&lt;&gt;"",D983&gt;INDEX(Mitarbeiter!$D$6:$D$205,MATCH($A983,Mitarbeiter!$A$6:$A$205,0))),"nach Austritt",IF(E983="","offen","ok"))))))))</f>
        <v/>
      </c>
      <c r="J983" s="47">
        <f>IF(A983="","",IF(E983="",Einstellungen!$C$9,E983))</f>
        <v/>
      </c>
      <c r="K983" s="48">
        <f>IF(A983="",0,IFERROR(INDEX(Mitarbeiter!$F$6:$F$205,MATCH($A983,Mitarbeiter!$A$6:$A$205,0)),0))</f>
        <v/>
      </c>
      <c r="L983" s="49">
        <f>IF(OR(A983="",D983=""),0,MAX(0,NETWORKDAYS(MAX(D983,DATE(Einstellungen!$C$3,1,1)),MIN(J983,DATE(Einstellungen!$C$3,2,0)),Einstellungen!$F$13:$F$32)))</f>
        <v/>
      </c>
      <c r="M983" s="49">
        <f>IF(OR(A983="",D983=""),0,MAX(0,NETWORKDAYS(MAX(D983,DATE(Einstellungen!$C$3,2,1)),MIN(J983,DATE(Einstellungen!$C$3,3,0)),Einstellungen!$F$13:$F$32)))</f>
        <v/>
      </c>
      <c r="N983" s="49">
        <f>IF(OR(A983="",D983=""),0,MAX(0,NETWORKDAYS(MAX(D983,DATE(Einstellungen!$C$3,3,1)),MIN(J983,DATE(Einstellungen!$C$3,4,0)),Einstellungen!$F$13:$F$32)))</f>
        <v/>
      </c>
      <c r="O983" s="49">
        <f>IF(OR(A983="",D983=""),0,MAX(0,NETWORKDAYS(MAX(D983,DATE(Einstellungen!$C$3,4,1)),MIN(J983,DATE(Einstellungen!$C$3,5,0)),Einstellungen!$F$13:$F$32)))</f>
        <v/>
      </c>
      <c r="P983" s="49">
        <f>IF(OR(A983="",D983=""),0,MAX(0,NETWORKDAYS(MAX(D983,DATE(Einstellungen!$C$3,5,1)),MIN(J983,DATE(Einstellungen!$C$3,6,0)),Einstellungen!$F$13:$F$32)))</f>
        <v/>
      </c>
      <c r="Q983" s="49">
        <f>IF(OR(A983="",D983=""),0,MAX(0,NETWORKDAYS(MAX(D983,DATE(Einstellungen!$C$3,6,1)),MIN(J983,DATE(Einstellungen!$C$3,7,0)),Einstellungen!$F$13:$F$32)))</f>
        <v/>
      </c>
      <c r="R983" s="49">
        <f>IF(OR(A983="",D983=""),0,MAX(0,NETWORKDAYS(MAX(D983,DATE(Einstellungen!$C$3,7,1)),MIN(J983,DATE(Einstellungen!$C$3,8,0)),Einstellungen!$F$13:$F$32)))</f>
        <v/>
      </c>
      <c r="S983" s="49">
        <f>IF(OR(A983="",D983=""),0,MAX(0,NETWORKDAYS(MAX(D983,DATE(Einstellungen!$C$3,8,1)),MIN(J983,DATE(Einstellungen!$C$3,9,0)),Einstellungen!$F$13:$F$32)))</f>
        <v/>
      </c>
      <c r="T983" s="49">
        <f>IF(OR(A983="",D983=""),0,MAX(0,NETWORKDAYS(MAX(D983,DATE(Einstellungen!$C$3,9,1)),MIN(J983,DATE(Einstellungen!$C$3,10,0)),Einstellungen!$F$13:$F$32)))</f>
        <v/>
      </c>
      <c r="U983" s="49">
        <f>IF(OR(A983="",D983=""),0,MAX(0,NETWORKDAYS(MAX(D983,DATE(Einstellungen!$C$3,10,1)),MIN(J983,DATE(Einstellungen!$C$3,11,0)),Einstellungen!$F$13:$F$32)))</f>
        <v/>
      </c>
      <c r="V983" s="49">
        <f>IF(OR(A983="",D983=""),0,MAX(0,NETWORKDAYS(MAX(D983,DATE(Einstellungen!$C$3,11,1)),MIN(J983,DATE(Einstellungen!$C$3,12,0)),Einstellungen!$F$13:$F$32)))</f>
        <v/>
      </c>
      <c r="W983" s="49">
        <f>IF(OR(A983="",D983=""),0,MAX(0,NETWORKDAYS(MAX(D983,DATE(Einstellungen!$C$3,12,1)),MIN(J983,DATE(Einstellungen!$C$3,13,0)),Einstellungen!$F$13:$F$32)))</f>
        <v/>
      </c>
      <c r="X983" s="50">
        <f>L983*K983</f>
        <v/>
      </c>
      <c r="Y983" s="50">
        <f>M983*K983</f>
        <v/>
      </c>
      <c r="Z983" s="50">
        <f>N983*K983</f>
        <v/>
      </c>
      <c r="AA983" s="50">
        <f>O983*K983</f>
        <v/>
      </c>
      <c r="AB983" s="50">
        <f>P983*K983</f>
        <v/>
      </c>
      <c r="AC983" s="50">
        <f>Q983*K983</f>
        <v/>
      </c>
      <c r="AD983" s="50">
        <f>R983*K983</f>
        <v/>
      </c>
      <c r="AE983" s="50">
        <f>S983*K983</f>
        <v/>
      </c>
      <c r="AF983" s="50">
        <f>T983*K983</f>
        <v/>
      </c>
      <c r="AG983" s="50">
        <f>U983*K983</f>
        <v/>
      </c>
      <c r="AH983" s="50">
        <f>V983*K983</f>
        <v/>
      </c>
      <c r="AI983" s="50">
        <f>W983*K983</f>
        <v/>
      </c>
    </row>
    <row r="984">
      <c r="A984" s="25" t="n"/>
      <c r="B984" s="45">
        <f>IF(A984="","",IFERROR(INDEX(Mitarbeiter!$B$6:$B$205,MATCH($A984,Mitarbeiter!$A$6:$A$205,0)),"?"))</f>
        <v/>
      </c>
      <c r="C984" s="46" t="n"/>
      <c r="D984" s="26" t="n"/>
      <c r="E984" s="26" t="n"/>
      <c r="F984" s="24">
        <f>IF(A984="","",SUM(L984:W984))</f>
        <v/>
      </c>
      <c r="G984" s="36">
        <f>IF(A984="","",SUM(X984:AI984))</f>
        <v/>
      </c>
      <c r="H984" s="8">
        <f>IF(A984="","",IF(ISNA(MATCH(A984,Mitarbeiter!$A$6:$A$205,0)),"Pers.-Nr. unbekannt",IF(D984="","Von fehlt",IF(AND(C984&lt;&gt;Einstellungen!$C$4,C984&lt;&gt;Einstellungen!$C$5),"Objekt fehlt",IF(J984&lt;D984,"Bis vor Von",IF(D984&lt;INDEX(Mitarbeiter!$C$6:$C$205,MATCH($A984,Mitarbeiter!$A$6:$A$205,0)),"vor Eintritt",IF(AND(INDEX(Mitarbeiter!$D$6:$D$205,MATCH($A984,Mitarbeiter!$A$6:$A$205,0))&lt;&gt;"",D984&gt;INDEX(Mitarbeiter!$D$6:$D$205,MATCH($A984,Mitarbeiter!$A$6:$A$205,0))),"nach Austritt",IF(E984="","offen","ok"))))))))</f>
        <v/>
      </c>
      <c r="J984" s="47">
        <f>IF(A984="","",IF(E984="",Einstellungen!$C$9,E984))</f>
        <v/>
      </c>
      <c r="K984" s="48">
        <f>IF(A984="",0,IFERROR(INDEX(Mitarbeiter!$F$6:$F$205,MATCH($A984,Mitarbeiter!$A$6:$A$205,0)),0))</f>
        <v/>
      </c>
      <c r="L984" s="49">
        <f>IF(OR(A984="",D984=""),0,MAX(0,NETWORKDAYS(MAX(D984,DATE(Einstellungen!$C$3,1,1)),MIN(J984,DATE(Einstellungen!$C$3,2,0)),Einstellungen!$F$13:$F$32)))</f>
        <v/>
      </c>
      <c r="M984" s="49">
        <f>IF(OR(A984="",D984=""),0,MAX(0,NETWORKDAYS(MAX(D984,DATE(Einstellungen!$C$3,2,1)),MIN(J984,DATE(Einstellungen!$C$3,3,0)),Einstellungen!$F$13:$F$32)))</f>
        <v/>
      </c>
      <c r="N984" s="49">
        <f>IF(OR(A984="",D984=""),0,MAX(0,NETWORKDAYS(MAX(D984,DATE(Einstellungen!$C$3,3,1)),MIN(J984,DATE(Einstellungen!$C$3,4,0)),Einstellungen!$F$13:$F$32)))</f>
        <v/>
      </c>
      <c r="O984" s="49">
        <f>IF(OR(A984="",D984=""),0,MAX(0,NETWORKDAYS(MAX(D984,DATE(Einstellungen!$C$3,4,1)),MIN(J984,DATE(Einstellungen!$C$3,5,0)),Einstellungen!$F$13:$F$32)))</f>
        <v/>
      </c>
      <c r="P984" s="49">
        <f>IF(OR(A984="",D984=""),0,MAX(0,NETWORKDAYS(MAX(D984,DATE(Einstellungen!$C$3,5,1)),MIN(J984,DATE(Einstellungen!$C$3,6,0)),Einstellungen!$F$13:$F$32)))</f>
        <v/>
      </c>
      <c r="Q984" s="49">
        <f>IF(OR(A984="",D984=""),0,MAX(0,NETWORKDAYS(MAX(D984,DATE(Einstellungen!$C$3,6,1)),MIN(J984,DATE(Einstellungen!$C$3,7,0)),Einstellungen!$F$13:$F$32)))</f>
        <v/>
      </c>
      <c r="R984" s="49">
        <f>IF(OR(A984="",D984=""),0,MAX(0,NETWORKDAYS(MAX(D984,DATE(Einstellungen!$C$3,7,1)),MIN(J984,DATE(Einstellungen!$C$3,8,0)),Einstellungen!$F$13:$F$32)))</f>
        <v/>
      </c>
      <c r="S984" s="49">
        <f>IF(OR(A984="",D984=""),0,MAX(0,NETWORKDAYS(MAX(D984,DATE(Einstellungen!$C$3,8,1)),MIN(J984,DATE(Einstellungen!$C$3,9,0)),Einstellungen!$F$13:$F$32)))</f>
        <v/>
      </c>
      <c r="T984" s="49">
        <f>IF(OR(A984="",D984=""),0,MAX(0,NETWORKDAYS(MAX(D984,DATE(Einstellungen!$C$3,9,1)),MIN(J984,DATE(Einstellungen!$C$3,10,0)),Einstellungen!$F$13:$F$32)))</f>
        <v/>
      </c>
      <c r="U984" s="49">
        <f>IF(OR(A984="",D984=""),0,MAX(0,NETWORKDAYS(MAX(D984,DATE(Einstellungen!$C$3,10,1)),MIN(J984,DATE(Einstellungen!$C$3,11,0)),Einstellungen!$F$13:$F$32)))</f>
        <v/>
      </c>
      <c r="V984" s="49">
        <f>IF(OR(A984="",D984=""),0,MAX(0,NETWORKDAYS(MAX(D984,DATE(Einstellungen!$C$3,11,1)),MIN(J984,DATE(Einstellungen!$C$3,12,0)),Einstellungen!$F$13:$F$32)))</f>
        <v/>
      </c>
      <c r="W984" s="49">
        <f>IF(OR(A984="",D984=""),0,MAX(0,NETWORKDAYS(MAX(D984,DATE(Einstellungen!$C$3,12,1)),MIN(J984,DATE(Einstellungen!$C$3,13,0)),Einstellungen!$F$13:$F$32)))</f>
        <v/>
      </c>
      <c r="X984" s="50">
        <f>L984*K984</f>
        <v/>
      </c>
      <c r="Y984" s="50">
        <f>M984*K984</f>
        <v/>
      </c>
      <c r="Z984" s="50">
        <f>N984*K984</f>
        <v/>
      </c>
      <c r="AA984" s="50">
        <f>O984*K984</f>
        <v/>
      </c>
      <c r="AB984" s="50">
        <f>P984*K984</f>
        <v/>
      </c>
      <c r="AC984" s="50">
        <f>Q984*K984</f>
        <v/>
      </c>
      <c r="AD984" s="50">
        <f>R984*K984</f>
        <v/>
      </c>
      <c r="AE984" s="50">
        <f>S984*K984</f>
        <v/>
      </c>
      <c r="AF984" s="50">
        <f>T984*K984</f>
        <v/>
      </c>
      <c r="AG984" s="50">
        <f>U984*K984</f>
        <v/>
      </c>
      <c r="AH984" s="50">
        <f>V984*K984</f>
        <v/>
      </c>
      <c r="AI984" s="50">
        <f>W984*K984</f>
        <v/>
      </c>
    </row>
    <row r="985">
      <c r="A985" s="25" t="n"/>
      <c r="B985" s="45">
        <f>IF(A985="","",IFERROR(INDEX(Mitarbeiter!$B$6:$B$205,MATCH($A985,Mitarbeiter!$A$6:$A$205,0)),"?"))</f>
        <v/>
      </c>
      <c r="C985" s="46" t="n"/>
      <c r="D985" s="26" t="n"/>
      <c r="E985" s="26" t="n"/>
      <c r="F985" s="24">
        <f>IF(A985="","",SUM(L985:W985))</f>
        <v/>
      </c>
      <c r="G985" s="36">
        <f>IF(A985="","",SUM(X985:AI985))</f>
        <v/>
      </c>
      <c r="H985" s="8">
        <f>IF(A985="","",IF(ISNA(MATCH(A985,Mitarbeiter!$A$6:$A$205,0)),"Pers.-Nr. unbekannt",IF(D985="","Von fehlt",IF(AND(C985&lt;&gt;Einstellungen!$C$4,C985&lt;&gt;Einstellungen!$C$5),"Objekt fehlt",IF(J985&lt;D985,"Bis vor Von",IF(D985&lt;INDEX(Mitarbeiter!$C$6:$C$205,MATCH($A985,Mitarbeiter!$A$6:$A$205,0)),"vor Eintritt",IF(AND(INDEX(Mitarbeiter!$D$6:$D$205,MATCH($A985,Mitarbeiter!$A$6:$A$205,0))&lt;&gt;"",D985&gt;INDEX(Mitarbeiter!$D$6:$D$205,MATCH($A985,Mitarbeiter!$A$6:$A$205,0))),"nach Austritt",IF(E985="","offen","ok"))))))))</f>
        <v/>
      </c>
      <c r="J985" s="47">
        <f>IF(A985="","",IF(E985="",Einstellungen!$C$9,E985))</f>
        <v/>
      </c>
      <c r="K985" s="48">
        <f>IF(A985="",0,IFERROR(INDEX(Mitarbeiter!$F$6:$F$205,MATCH($A985,Mitarbeiter!$A$6:$A$205,0)),0))</f>
        <v/>
      </c>
      <c r="L985" s="49">
        <f>IF(OR(A985="",D985=""),0,MAX(0,NETWORKDAYS(MAX(D985,DATE(Einstellungen!$C$3,1,1)),MIN(J985,DATE(Einstellungen!$C$3,2,0)),Einstellungen!$F$13:$F$32)))</f>
        <v/>
      </c>
      <c r="M985" s="49">
        <f>IF(OR(A985="",D985=""),0,MAX(0,NETWORKDAYS(MAX(D985,DATE(Einstellungen!$C$3,2,1)),MIN(J985,DATE(Einstellungen!$C$3,3,0)),Einstellungen!$F$13:$F$32)))</f>
        <v/>
      </c>
      <c r="N985" s="49">
        <f>IF(OR(A985="",D985=""),0,MAX(0,NETWORKDAYS(MAX(D985,DATE(Einstellungen!$C$3,3,1)),MIN(J985,DATE(Einstellungen!$C$3,4,0)),Einstellungen!$F$13:$F$32)))</f>
        <v/>
      </c>
      <c r="O985" s="49">
        <f>IF(OR(A985="",D985=""),0,MAX(0,NETWORKDAYS(MAX(D985,DATE(Einstellungen!$C$3,4,1)),MIN(J985,DATE(Einstellungen!$C$3,5,0)),Einstellungen!$F$13:$F$32)))</f>
        <v/>
      </c>
      <c r="P985" s="49">
        <f>IF(OR(A985="",D985=""),0,MAX(0,NETWORKDAYS(MAX(D985,DATE(Einstellungen!$C$3,5,1)),MIN(J985,DATE(Einstellungen!$C$3,6,0)),Einstellungen!$F$13:$F$32)))</f>
        <v/>
      </c>
      <c r="Q985" s="49">
        <f>IF(OR(A985="",D985=""),0,MAX(0,NETWORKDAYS(MAX(D985,DATE(Einstellungen!$C$3,6,1)),MIN(J985,DATE(Einstellungen!$C$3,7,0)),Einstellungen!$F$13:$F$32)))</f>
        <v/>
      </c>
      <c r="R985" s="49">
        <f>IF(OR(A985="",D985=""),0,MAX(0,NETWORKDAYS(MAX(D985,DATE(Einstellungen!$C$3,7,1)),MIN(J985,DATE(Einstellungen!$C$3,8,0)),Einstellungen!$F$13:$F$32)))</f>
        <v/>
      </c>
      <c r="S985" s="49">
        <f>IF(OR(A985="",D985=""),0,MAX(0,NETWORKDAYS(MAX(D985,DATE(Einstellungen!$C$3,8,1)),MIN(J985,DATE(Einstellungen!$C$3,9,0)),Einstellungen!$F$13:$F$32)))</f>
        <v/>
      </c>
      <c r="T985" s="49">
        <f>IF(OR(A985="",D985=""),0,MAX(0,NETWORKDAYS(MAX(D985,DATE(Einstellungen!$C$3,9,1)),MIN(J985,DATE(Einstellungen!$C$3,10,0)),Einstellungen!$F$13:$F$32)))</f>
        <v/>
      </c>
      <c r="U985" s="49">
        <f>IF(OR(A985="",D985=""),0,MAX(0,NETWORKDAYS(MAX(D985,DATE(Einstellungen!$C$3,10,1)),MIN(J985,DATE(Einstellungen!$C$3,11,0)),Einstellungen!$F$13:$F$32)))</f>
        <v/>
      </c>
      <c r="V985" s="49">
        <f>IF(OR(A985="",D985=""),0,MAX(0,NETWORKDAYS(MAX(D985,DATE(Einstellungen!$C$3,11,1)),MIN(J985,DATE(Einstellungen!$C$3,12,0)),Einstellungen!$F$13:$F$32)))</f>
        <v/>
      </c>
      <c r="W985" s="49">
        <f>IF(OR(A985="",D985=""),0,MAX(0,NETWORKDAYS(MAX(D985,DATE(Einstellungen!$C$3,12,1)),MIN(J985,DATE(Einstellungen!$C$3,13,0)),Einstellungen!$F$13:$F$32)))</f>
        <v/>
      </c>
      <c r="X985" s="50">
        <f>L985*K985</f>
        <v/>
      </c>
      <c r="Y985" s="50">
        <f>M985*K985</f>
        <v/>
      </c>
      <c r="Z985" s="50">
        <f>N985*K985</f>
        <v/>
      </c>
      <c r="AA985" s="50">
        <f>O985*K985</f>
        <v/>
      </c>
      <c r="AB985" s="50">
        <f>P985*K985</f>
        <v/>
      </c>
      <c r="AC985" s="50">
        <f>Q985*K985</f>
        <v/>
      </c>
      <c r="AD985" s="50">
        <f>R985*K985</f>
        <v/>
      </c>
      <c r="AE985" s="50">
        <f>S985*K985</f>
        <v/>
      </c>
      <c r="AF985" s="50">
        <f>T985*K985</f>
        <v/>
      </c>
      <c r="AG985" s="50">
        <f>U985*K985</f>
        <v/>
      </c>
      <c r="AH985" s="50">
        <f>V985*K985</f>
        <v/>
      </c>
      <c r="AI985" s="50">
        <f>W985*K985</f>
        <v/>
      </c>
    </row>
    <row r="986">
      <c r="A986" s="25" t="n"/>
      <c r="B986" s="45">
        <f>IF(A986="","",IFERROR(INDEX(Mitarbeiter!$B$6:$B$205,MATCH($A986,Mitarbeiter!$A$6:$A$205,0)),"?"))</f>
        <v/>
      </c>
      <c r="C986" s="46" t="n"/>
      <c r="D986" s="26" t="n"/>
      <c r="E986" s="26" t="n"/>
      <c r="F986" s="24">
        <f>IF(A986="","",SUM(L986:W986))</f>
        <v/>
      </c>
      <c r="G986" s="36">
        <f>IF(A986="","",SUM(X986:AI986))</f>
        <v/>
      </c>
      <c r="H986" s="8">
        <f>IF(A986="","",IF(ISNA(MATCH(A986,Mitarbeiter!$A$6:$A$205,0)),"Pers.-Nr. unbekannt",IF(D986="","Von fehlt",IF(AND(C986&lt;&gt;Einstellungen!$C$4,C986&lt;&gt;Einstellungen!$C$5),"Objekt fehlt",IF(J986&lt;D986,"Bis vor Von",IF(D986&lt;INDEX(Mitarbeiter!$C$6:$C$205,MATCH($A986,Mitarbeiter!$A$6:$A$205,0)),"vor Eintritt",IF(AND(INDEX(Mitarbeiter!$D$6:$D$205,MATCH($A986,Mitarbeiter!$A$6:$A$205,0))&lt;&gt;"",D986&gt;INDEX(Mitarbeiter!$D$6:$D$205,MATCH($A986,Mitarbeiter!$A$6:$A$205,0))),"nach Austritt",IF(E986="","offen","ok"))))))))</f>
        <v/>
      </c>
      <c r="J986" s="47">
        <f>IF(A986="","",IF(E986="",Einstellungen!$C$9,E986))</f>
        <v/>
      </c>
      <c r="K986" s="48">
        <f>IF(A986="",0,IFERROR(INDEX(Mitarbeiter!$F$6:$F$205,MATCH($A986,Mitarbeiter!$A$6:$A$205,0)),0))</f>
        <v/>
      </c>
      <c r="L986" s="49">
        <f>IF(OR(A986="",D986=""),0,MAX(0,NETWORKDAYS(MAX(D986,DATE(Einstellungen!$C$3,1,1)),MIN(J986,DATE(Einstellungen!$C$3,2,0)),Einstellungen!$F$13:$F$32)))</f>
        <v/>
      </c>
      <c r="M986" s="49">
        <f>IF(OR(A986="",D986=""),0,MAX(0,NETWORKDAYS(MAX(D986,DATE(Einstellungen!$C$3,2,1)),MIN(J986,DATE(Einstellungen!$C$3,3,0)),Einstellungen!$F$13:$F$32)))</f>
        <v/>
      </c>
      <c r="N986" s="49">
        <f>IF(OR(A986="",D986=""),0,MAX(0,NETWORKDAYS(MAX(D986,DATE(Einstellungen!$C$3,3,1)),MIN(J986,DATE(Einstellungen!$C$3,4,0)),Einstellungen!$F$13:$F$32)))</f>
        <v/>
      </c>
      <c r="O986" s="49">
        <f>IF(OR(A986="",D986=""),0,MAX(0,NETWORKDAYS(MAX(D986,DATE(Einstellungen!$C$3,4,1)),MIN(J986,DATE(Einstellungen!$C$3,5,0)),Einstellungen!$F$13:$F$32)))</f>
        <v/>
      </c>
      <c r="P986" s="49">
        <f>IF(OR(A986="",D986=""),0,MAX(0,NETWORKDAYS(MAX(D986,DATE(Einstellungen!$C$3,5,1)),MIN(J986,DATE(Einstellungen!$C$3,6,0)),Einstellungen!$F$13:$F$32)))</f>
        <v/>
      </c>
      <c r="Q986" s="49">
        <f>IF(OR(A986="",D986=""),0,MAX(0,NETWORKDAYS(MAX(D986,DATE(Einstellungen!$C$3,6,1)),MIN(J986,DATE(Einstellungen!$C$3,7,0)),Einstellungen!$F$13:$F$32)))</f>
        <v/>
      </c>
      <c r="R986" s="49">
        <f>IF(OR(A986="",D986=""),0,MAX(0,NETWORKDAYS(MAX(D986,DATE(Einstellungen!$C$3,7,1)),MIN(J986,DATE(Einstellungen!$C$3,8,0)),Einstellungen!$F$13:$F$32)))</f>
        <v/>
      </c>
      <c r="S986" s="49">
        <f>IF(OR(A986="",D986=""),0,MAX(0,NETWORKDAYS(MAX(D986,DATE(Einstellungen!$C$3,8,1)),MIN(J986,DATE(Einstellungen!$C$3,9,0)),Einstellungen!$F$13:$F$32)))</f>
        <v/>
      </c>
      <c r="T986" s="49">
        <f>IF(OR(A986="",D986=""),0,MAX(0,NETWORKDAYS(MAX(D986,DATE(Einstellungen!$C$3,9,1)),MIN(J986,DATE(Einstellungen!$C$3,10,0)),Einstellungen!$F$13:$F$32)))</f>
        <v/>
      </c>
      <c r="U986" s="49">
        <f>IF(OR(A986="",D986=""),0,MAX(0,NETWORKDAYS(MAX(D986,DATE(Einstellungen!$C$3,10,1)),MIN(J986,DATE(Einstellungen!$C$3,11,0)),Einstellungen!$F$13:$F$32)))</f>
        <v/>
      </c>
      <c r="V986" s="49">
        <f>IF(OR(A986="",D986=""),0,MAX(0,NETWORKDAYS(MAX(D986,DATE(Einstellungen!$C$3,11,1)),MIN(J986,DATE(Einstellungen!$C$3,12,0)),Einstellungen!$F$13:$F$32)))</f>
        <v/>
      </c>
      <c r="W986" s="49">
        <f>IF(OR(A986="",D986=""),0,MAX(0,NETWORKDAYS(MAX(D986,DATE(Einstellungen!$C$3,12,1)),MIN(J986,DATE(Einstellungen!$C$3,13,0)),Einstellungen!$F$13:$F$32)))</f>
        <v/>
      </c>
      <c r="X986" s="50">
        <f>L986*K986</f>
        <v/>
      </c>
      <c r="Y986" s="50">
        <f>M986*K986</f>
        <v/>
      </c>
      <c r="Z986" s="50">
        <f>N986*K986</f>
        <v/>
      </c>
      <c r="AA986" s="50">
        <f>O986*K986</f>
        <v/>
      </c>
      <c r="AB986" s="50">
        <f>P986*K986</f>
        <v/>
      </c>
      <c r="AC986" s="50">
        <f>Q986*K986</f>
        <v/>
      </c>
      <c r="AD986" s="50">
        <f>R986*K986</f>
        <v/>
      </c>
      <c r="AE986" s="50">
        <f>S986*K986</f>
        <v/>
      </c>
      <c r="AF986" s="50">
        <f>T986*K986</f>
        <v/>
      </c>
      <c r="AG986" s="50">
        <f>U986*K986</f>
        <v/>
      </c>
      <c r="AH986" s="50">
        <f>V986*K986</f>
        <v/>
      </c>
      <c r="AI986" s="50">
        <f>W986*K986</f>
        <v/>
      </c>
    </row>
    <row r="987">
      <c r="A987" s="25" t="n"/>
      <c r="B987" s="45">
        <f>IF(A987="","",IFERROR(INDEX(Mitarbeiter!$B$6:$B$205,MATCH($A987,Mitarbeiter!$A$6:$A$205,0)),"?"))</f>
        <v/>
      </c>
      <c r="C987" s="46" t="n"/>
      <c r="D987" s="26" t="n"/>
      <c r="E987" s="26" t="n"/>
      <c r="F987" s="24">
        <f>IF(A987="","",SUM(L987:W987))</f>
        <v/>
      </c>
      <c r="G987" s="36">
        <f>IF(A987="","",SUM(X987:AI987))</f>
        <v/>
      </c>
      <c r="H987" s="8">
        <f>IF(A987="","",IF(ISNA(MATCH(A987,Mitarbeiter!$A$6:$A$205,0)),"Pers.-Nr. unbekannt",IF(D987="","Von fehlt",IF(AND(C987&lt;&gt;Einstellungen!$C$4,C987&lt;&gt;Einstellungen!$C$5),"Objekt fehlt",IF(J987&lt;D987,"Bis vor Von",IF(D987&lt;INDEX(Mitarbeiter!$C$6:$C$205,MATCH($A987,Mitarbeiter!$A$6:$A$205,0)),"vor Eintritt",IF(AND(INDEX(Mitarbeiter!$D$6:$D$205,MATCH($A987,Mitarbeiter!$A$6:$A$205,0))&lt;&gt;"",D987&gt;INDEX(Mitarbeiter!$D$6:$D$205,MATCH($A987,Mitarbeiter!$A$6:$A$205,0))),"nach Austritt",IF(E987="","offen","ok"))))))))</f>
        <v/>
      </c>
      <c r="J987" s="47">
        <f>IF(A987="","",IF(E987="",Einstellungen!$C$9,E987))</f>
        <v/>
      </c>
      <c r="K987" s="48">
        <f>IF(A987="",0,IFERROR(INDEX(Mitarbeiter!$F$6:$F$205,MATCH($A987,Mitarbeiter!$A$6:$A$205,0)),0))</f>
        <v/>
      </c>
      <c r="L987" s="49">
        <f>IF(OR(A987="",D987=""),0,MAX(0,NETWORKDAYS(MAX(D987,DATE(Einstellungen!$C$3,1,1)),MIN(J987,DATE(Einstellungen!$C$3,2,0)),Einstellungen!$F$13:$F$32)))</f>
        <v/>
      </c>
      <c r="M987" s="49">
        <f>IF(OR(A987="",D987=""),0,MAX(0,NETWORKDAYS(MAX(D987,DATE(Einstellungen!$C$3,2,1)),MIN(J987,DATE(Einstellungen!$C$3,3,0)),Einstellungen!$F$13:$F$32)))</f>
        <v/>
      </c>
      <c r="N987" s="49">
        <f>IF(OR(A987="",D987=""),0,MAX(0,NETWORKDAYS(MAX(D987,DATE(Einstellungen!$C$3,3,1)),MIN(J987,DATE(Einstellungen!$C$3,4,0)),Einstellungen!$F$13:$F$32)))</f>
        <v/>
      </c>
      <c r="O987" s="49">
        <f>IF(OR(A987="",D987=""),0,MAX(0,NETWORKDAYS(MAX(D987,DATE(Einstellungen!$C$3,4,1)),MIN(J987,DATE(Einstellungen!$C$3,5,0)),Einstellungen!$F$13:$F$32)))</f>
        <v/>
      </c>
      <c r="P987" s="49">
        <f>IF(OR(A987="",D987=""),0,MAX(0,NETWORKDAYS(MAX(D987,DATE(Einstellungen!$C$3,5,1)),MIN(J987,DATE(Einstellungen!$C$3,6,0)),Einstellungen!$F$13:$F$32)))</f>
        <v/>
      </c>
      <c r="Q987" s="49">
        <f>IF(OR(A987="",D987=""),0,MAX(0,NETWORKDAYS(MAX(D987,DATE(Einstellungen!$C$3,6,1)),MIN(J987,DATE(Einstellungen!$C$3,7,0)),Einstellungen!$F$13:$F$32)))</f>
        <v/>
      </c>
      <c r="R987" s="49">
        <f>IF(OR(A987="",D987=""),0,MAX(0,NETWORKDAYS(MAX(D987,DATE(Einstellungen!$C$3,7,1)),MIN(J987,DATE(Einstellungen!$C$3,8,0)),Einstellungen!$F$13:$F$32)))</f>
        <v/>
      </c>
      <c r="S987" s="49">
        <f>IF(OR(A987="",D987=""),0,MAX(0,NETWORKDAYS(MAX(D987,DATE(Einstellungen!$C$3,8,1)),MIN(J987,DATE(Einstellungen!$C$3,9,0)),Einstellungen!$F$13:$F$32)))</f>
        <v/>
      </c>
      <c r="T987" s="49">
        <f>IF(OR(A987="",D987=""),0,MAX(0,NETWORKDAYS(MAX(D987,DATE(Einstellungen!$C$3,9,1)),MIN(J987,DATE(Einstellungen!$C$3,10,0)),Einstellungen!$F$13:$F$32)))</f>
        <v/>
      </c>
      <c r="U987" s="49">
        <f>IF(OR(A987="",D987=""),0,MAX(0,NETWORKDAYS(MAX(D987,DATE(Einstellungen!$C$3,10,1)),MIN(J987,DATE(Einstellungen!$C$3,11,0)),Einstellungen!$F$13:$F$32)))</f>
        <v/>
      </c>
      <c r="V987" s="49">
        <f>IF(OR(A987="",D987=""),0,MAX(0,NETWORKDAYS(MAX(D987,DATE(Einstellungen!$C$3,11,1)),MIN(J987,DATE(Einstellungen!$C$3,12,0)),Einstellungen!$F$13:$F$32)))</f>
        <v/>
      </c>
      <c r="W987" s="49">
        <f>IF(OR(A987="",D987=""),0,MAX(0,NETWORKDAYS(MAX(D987,DATE(Einstellungen!$C$3,12,1)),MIN(J987,DATE(Einstellungen!$C$3,13,0)),Einstellungen!$F$13:$F$32)))</f>
        <v/>
      </c>
      <c r="X987" s="50">
        <f>L987*K987</f>
        <v/>
      </c>
      <c r="Y987" s="50">
        <f>M987*K987</f>
        <v/>
      </c>
      <c r="Z987" s="50">
        <f>N987*K987</f>
        <v/>
      </c>
      <c r="AA987" s="50">
        <f>O987*K987</f>
        <v/>
      </c>
      <c r="AB987" s="50">
        <f>P987*K987</f>
        <v/>
      </c>
      <c r="AC987" s="50">
        <f>Q987*K987</f>
        <v/>
      </c>
      <c r="AD987" s="50">
        <f>R987*K987</f>
        <v/>
      </c>
      <c r="AE987" s="50">
        <f>S987*K987</f>
        <v/>
      </c>
      <c r="AF987" s="50">
        <f>T987*K987</f>
        <v/>
      </c>
      <c r="AG987" s="50">
        <f>U987*K987</f>
        <v/>
      </c>
      <c r="AH987" s="50">
        <f>V987*K987</f>
        <v/>
      </c>
      <c r="AI987" s="50">
        <f>W987*K987</f>
        <v/>
      </c>
    </row>
    <row r="988">
      <c r="A988" s="25" t="n"/>
      <c r="B988" s="45">
        <f>IF(A988="","",IFERROR(INDEX(Mitarbeiter!$B$6:$B$205,MATCH($A988,Mitarbeiter!$A$6:$A$205,0)),"?"))</f>
        <v/>
      </c>
      <c r="C988" s="46" t="n"/>
      <c r="D988" s="26" t="n"/>
      <c r="E988" s="26" t="n"/>
      <c r="F988" s="24">
        <f>IF(A988="","",SUM(L988:W988))</f>
        <v/>
      </c>
      <c r="G988" s="36">
        <f>IF(A988="","",SUM(X988:AI988))</f>
        <v/>
      </c>
      <c r="H988" s="8">
        <f>IF(A988="","",IF(ISNA(MATCH(A988,Mitarbeiter!$A$6:$A$205,0)),"Pers.-Nr. unbekannt",IF(D988="","Von fehlt",IF(AND(C988&lt;&gt;Einstellungen!$C$4,C988&lt;&gt;Einstellungen!$C$5),"Objekt fehlt",IF(J988&lt;D988,"Bis vor Von",IF(D988&lt;INDEX(Mitarbeiter!$C$6:$C$205,MATCH($A988,Mitarbeiter!$A$6:$A$205,0)),"vor Eintritt",IF(AND(INDEX(Mitarbeiter!$D$6:$D$205,MATCH($A988,Mitarbeiter!$A$6:$A$205,0))&lt;&gt;"",D988&gt;INDEX(Mitarbeiter!$D$6:$D$205,MATCH($A988,Mitarbeiter!$A$6:$A$205,0))),"nach Austritt",IF(E988="","offen","ok"))))))))</f>
        <v/>
      </c>
      <c r="J988" s="47">
        <f>IF(A988="","",IF(E988="",Einstellungen!$C$9,E988))</f>
        <v/>
      </c>
      <c r="K988" s="48">
        <f>IF(A988="",0,IFERROR(INDEX(Mitarbeiter!$F$6:$F$205,MATCH($A988,Mitarbeiter!$A$6:$A$205,0)),0))</f>
        <v/>
      </c>
      <c r="L988" s="49">
        <f>IF(OR(A988="",D988=""),0,MAX(0,NETWORKDAYS(MAX(D988,DATE(Einstellungen!$C$3,1,1)),MIN(J988,DATE(Einstellungen!$C$3,2,0)),Einstellungen!$F$13:$F$32)))</f>
        <v/>
      </c>
      <c r="M988" s="49">
        <f>IF(OR(A988="",D988=""),0,MAX(0,NETWORKDAYS(MAX(D988,DATE(Einstellungen!$C$3,2,1)),MIN(J988,DATE(Einstellungen!$C$3,3,0)),Einstellungen!$F$13:$F$32)))</f>
        <v/>
      </c>
      <c r="N988" s="49">
        <f>IF(OR(A988="",D988=""),0,MAX(0,NETWORKDAYS(MAX(D988,DATE(Einstellungen!$C$3,3,1)),MIN(J988,DATE(Einstellungen!$C$3,4,0)),Einstellungen!$F$13:$F$32)))</f>
        <v/>
      </c>
      <c r="O988" s="49">
        <f>IF(OR(A988="",D988=""),0,MAX(0,NETWORKDAYS(MAX(D988,DATE(Einstellungen!$C$3,4,1)),MIN(J988,DATE(Einstellungen!$C$3,5,0)),Einstellungen!$F$13:$F$32)))</f>
        <v/>
      </c>
      <c r="P988" s="49">
        <f>IF(OR(A988="",D988=""),0,MAX(0,NETWORKDAYS(MAX(D988,DATE(Einstellungen!$C$3,5,1)),MIN(J988,DATE(Einstellungen!$C$3,6,0)),Einstellungen!$F$13:$F$32)))</f>
        <v/>
      </c>
      <c r="Q988" s="49">
        <f>IF(OR(A988="",D988=""),0,MAX(0,NETWORKDAYS(MAX(D988,DATE(Einstellungen!$C$3,6,1)),MIN(J988,DATE(Einstellungen!$C$3,7,0)),Einstellungen!$F$13:$F$32)))</f>
        <v/>
      </c>
      <c r="R988" s="49">
        <f>IF(OR(A988="",D988=""),0,MAX(0,NETWORKDAYS(MAX(D988,DATE(Einstellungen!$C$3,7,1)),MIN(J988,DATE(Einstellungen!$C$3,8,0)),Einstellungen!$F$13:$F$32)))</f>
        <v/>
      </c>
      <c r="S988" s="49">
        <f>IF(OR(A988="",D988=""),0,MAX(0,NETWORKDAYS(MAX(D988,DATE(Einstellungen!$C$3,8,1)),MIN(J988,DATE(Einstellungen!$C$3,9,0)),Einstellungen!$F$13:$F$32)))</f>
        <v/>
      </c>
      <c r="T988" s="49">
        <f>IF(OR(A988="",D988=""),0,MAX(0,NETWORKDAYS(MAX(D988,DATE(Einstellungen!$C$3,9,1)),MIN(J988,DATE(Einstellungen!$C$3,10,0)),Einstellungen!$F$13:$F$32)))</f>
        <v/>
      </c>
      <c r="U988" s="49">
        <f>IF(OR(A988="",D988=""),0,MAX(0,NETWORKDAYS(MAX(D988,DATE(Einstellungen!$C$3,10,1)),MIN(J988,DATE(Einstellungen!$C$3,11,0)),Einstellungen!$F$13:$F$32)))</f>
        <v/>
      </c>
      <c r="V988" s="49">
        <f>IF(OR(A988="",D988=""),0,MAX(0,NETWORKDAYS(MAX(D988,DATE(Einstellungen!$C$3,11,1)),MIN(J988,DATE(Einstellungen!$C$3,12,0)),Einstellungen!$F$13:$F$32)))</f>
        <v/>
      </c>
      <c r="W988" s="49">
        <f>IF(OR(A988="",D988=""),0,MAX(0,NETWORKDAYS(MAX(D988,DATE(Einstellungen!$C$3,12,1)),MIN(J988,DATE(Einstellungen!$C$3,13,0)),Einstellungen!$F$13:$F$32)))</f>
        <v/>
      </c>
      <c r="X988" s="50">
        <f>L988*K988</f>
        <v/>
      </c>
      <c r="Y988" s="50">
        <f>M988*K988</f>
        <v/>
      </c>
      <c r="Z988" s="50">
        <f>N988*K988</f>
        <v/>
      </c>
      <c r="AA988" s="50">
        <f>O988*K988</f>
        <v/>
      </c>
      <c r="AB988" s="50">
        <f>P988*K988</f>
        <v/>
      </c>
      <c r="AC988" s="50">
        <f>Q988*K988</f>
        <v/>
      </c>
      <c r="AD988" s="50">
        <f>R988*K988</f>
        <v/>
      </c>
      <c r="AE988" s="50">
        <f>S988*K988</f>
        <v/>
      </c>
      <c r="AF988" s="50">
        <f>T988*K988</f>
        <v/>
      </c>
      <c r="AG988" s="50">
        <f>U988*K988</f>
        <v/>
      </c>
      <c r="AH988" s="50">
        <f>V988*K988</f>
        <v/>
      </c>
      <c r="AI988" s="50">
        <f>W988*K988</f>
        <v/>
      </c>
    </row>
    <row r="989">
      <c r="A989" s="25" t="n"/>
      <c r="B989" s="45">
        <f>IF(A989="","",IFERROR(INDEX(Mitarbeiter!$B$6:$B$205,MATCH($A989,Mitarbeiter!$A$6:$A$205,0)),"?"))</f>
        <v/>
      </c>
      <c r="C989" s="46" t="n"/>
      <c r="D989" s="26" t="n"/>
      <c r="E989" s="26" t="n"/>
      <c r="F989" s="24">
        <f>IF(A989="","",SUM(L989:W989))</f>
        <v/>
      </c>
      <c r="G989" s="36">
        <f>IF(A989="","",SUM(X989:AI989))</f>
        <v/>
      </c>
      <c r="H989" s="8">
        <f>IF(A989="","",IF(ISNA(MATCH(A989,Mitarbeiter!$A$6:$A$205,0)),"Pers.-Nr. unbekannt",IF(D989="","Von fehlt",IF(AND(C989&lt;&gt;Einstellungen!$C$4,C989&lt;&gt;Einstellungen!$C$5),"Objekt fehlt",IF(J989&lt;D989,"Bis vor Von",IF(D989&lt;INDEX(Mitarbeiter!$C$6:$C$205,MATCH($A989,Mitarbeiter!$A$6:$A$205,0)),"vor Eintritt",IF(AND(INDEX(Mitarbeiter!$D$6:$D$205,MATCH($A989,Mitarbeiter!$A$6:$A$205,0))&lt;&gt;"",D989&gt;INDEX(Mitarbeiter!$D$6:$D$205,MATCH($A989,Mitarbeiter!$A$6:$A$205,0))),"nach Austritt",IF(E989="","offen","ok"))))))))</f>
        <v/>
      </c>
      <c r="J989" s="47">
        <f>IF(A989="","",IF(E989="",Einstellungen!$C$9,E989))</f>
        <v/>
      </c>
      <c r="K989" s="48">
        <f>IF(A989="",0,IFERROR(INDEX(Mitarbeiter!$F$6:$F$205,MATCH($A989,Mitarbeiter!$A$6:$A$205,0)),0))</f>
        <v/>
      </c>
      <c r="L989" s="49">
        <f>IF(OR(A989="",D989=""),0,MAX(0,NETWORKDAYS(MAX(D989,DATE(Einstellungen!$C$3,1,1)),MIN(J989,DATE(Einstellungen!$C$3,2,0)),Einstellungen!$F$13:$F$32)))</f>
        <v/>
      </c>
      <c r="M989" s="49">
        <f>IF(OR(A989="",D989=""),0,MAX(0,NETWORKDAYS(MAX(D989,DATE(Einstellungen!$C$3,2,1)),MIN(J989,DATE(Einstellungen!$C$3,3,0)),Einstellungen!$F$13:$F$32)))</f>
        <v/>
      </c>
      <c r="N989" s="49">
        <f>IF(OR(A989="",D989=""),0,MAX(0,NETWORKDAYS(MAX(D989,DATE(Einstellungen!$C$3,3,1)),MIN(J989,DATE(Einstellungen!$C$3,4,0)),Einstellungen!$F$13:$F$32)))</f>
        <v/>
      </c>
      <c r="O989" s="49">
        <f>IF(OR(A989="",D989=""),0,MAX(0,NETWORKDAYS(MAX(D989,DATE(Einstellungen!$C$3,4,1)),MIN(J989,DATE(Einstellungen!$C$3,5,0)),Einstellungen!$F$13:$F$32)))</f>
        <v/>
      </c>
      <c r="P989" s="49">
        <f>IF(OR(A989="",D989=""),0,MAX(0,NETWORKDAYS(MAX(D989,DATE(Einstellungen!$C$3,5,1)),MIN(J989,DATE(Einstellungen!$C$3,6,0)),Einstellungen!$F$13:$F$32)))</f>
        <v/>
      </c>
      <c r="Q989" s="49">
        <f>IF(OR(A989="",D989=""),0,MAX(0,NETWORKDAYS(MAX(D989,DATE(Einstellungen!$C$3,6,1)),MIN(J989,DATE(Einstellungen!$C$3,7,0)),Einstellungen!$F$13:$F$32)))</f>
        <v/>
      </c>
      <c r="R989" s="49">
        <f>IF(OR(A989="",D989=""),0,MAX(0,NETWORKDAYS(MAX(D989,DATE(Einstellungen!$C$3,7,1)),MIN(J989,DATE(Einstellungen!$C$3,8,0)),Einstellungen!$F$13:$F$32)))</f>
        <v/>
      </c>
      <c r="S989" s="49">
        <f>IF(OR(A989="",D989=""),0,MAX(0,NETWORKDAYS(MAX(D989,DATE(Einstellungen!$C$3,8,1)),MIN(J989,DATE(Einstellungen!$C$3,9,0)),Einstellungen!$F$13:$F$32)))</f>
        <v/>
      </c>
      <c r="T989" s="49">
        <f>IF(OR(A989="",D989=""),0,MAX(0,NETWORKDAYS(MAX(D989,DATE(Einstellungen!$C$3,9,1)),MIN(J989,DATE(Einstellungen!$C$3,10,0)),Einstellungen!$F$13:$F$32)))</f>
        <v/>
      </c>
      <c r="U989" s="49">
        <f>IF(OR(A989="",D989=""),0,MAX(0,NETWORKDAYS(MAX(D989,DATE(Einstellungen!$C$3,10,1)),MIN(J989,DATE(Einstellungen!$C$3,11,0)),Einstellungen!$F$13:$F$32)))</f>
        <v/>
      </c>
      <c r="V989" s="49">
        <f>IF(OR(A989="",D989=""),0,MAX(0,NETWORKDAYS(MAX(D989,DATE(Einstellungen!$C$3,11,1)),MIN(J989,DATE(Einstellungen!$C$3,12,0)),Einstellungen!$F$13:$F$32)))</f>
        <v/>
      </c>
      <c r="W989" s="49">
        <f>IF(OR(A989="",D989=""),0,MAX(0,NETWORKDAYS(MAX(D989,DATE(Einstellungen!$C$3,12,1)),MIN(J989,DATE(Einstellungen!$C$3,13,0)),Einstellungen!$F$13:$F$32)))</f>
        <v/>
      </c>
      <c r="X989" s="50">
        <f>L989*K989</f>
        <v/>
      </c>
      <c r="Y989" s="50">
        <f>M989*K989</f>
        <v/>
      </c>
      <c r="Z989" s="50">
        <f>N989*K989</f>
        <v/>
      </c>
      <c r="AA989" s="50">
        <f>O989*K989</f>
        <v/>
      </c>
      <c r="AB989" s="50">
        <f>P989*K989</f>
        <v/>
      </c>
      <c r="AC989" s="50">
        <f>Q989*K989</f>
        <v/>
      </c>
      <c r="AD989" s="50">
        <f>R989*K989</f>
        <v/>
      </c>
      <c r="AE989" s="50">
        <f>S989*K989</f>
        <v/>
      </c>
      <c r="AF989" s="50">
        <f>T989*K989</f>
        <v/>
      </c>
      <c r="AG989" s="50">
        <f>U989*K989</f>
        <v/>
      </c>
      <c r="AH989" s="50">
        <f>V989*K989</f>
        <v/>
      </c>
      <c r="AI989" s="50">
        <f>W989*K989</f>
        <v/>
      </c>
    </row>
    <row r="990">
      <c r="A990" s="25" t="n"/>
      <c r="B990" s="45">
        <f>IF(A990="","",IFERROR(INDEX(Mitarbeiter!$B$6:$B$205,MATCH($A990,Mitarbeiter!$A$6:$A$205,0)),"?"))</f>
        <v/>
      </c>
      <c r="C990" s="46" t="n"/>
      <c r="D990" s="26" t="n"/>
      <c r="E990" s="26" t="n"/>
      <c r="F990" s="24">
        <f>IF(A990="","",SUM(L990:W990))</f>
        <v/>
      </c>
      <c r="G990" s="36">
        <f>IF(A990="","",SUM(X990:AI990))</f>
        <v/>
      </c>
      <c r="H990" s="8">
        <f>IF(A990="","",IF(ISNA(MATCH(A990,Mitarbeiter!$A$6:$A$205,0)),"Pers.-Nr. unbekannt",IF(D990="","Von fehlt",IF(AND(C990&lt;&gt;Einstellungen!$C$4,C990&lt;&gt;Einstellungen!$C$5),"Objekt fehlt",IF(J990&lt;D990,"Bis vor Von",IF(D990&lt;INDEX(Mitarbeiter!$C$6:$C$205,MATCH($A990,Mitarbeiter!$A$6:$A$205,0)),"vor Eintritt",IF(AND(INDEX(Mitarbeiter!$D$6:$D$205,MATCH($A990,Mitarbeiter!$A$6:$A$205,0))&lt;&gt;"",D990&gt;INDEX(Mitarbeiter!$D$6:$D$205,MATCH($A990,Mitarbeiter!$A$6:$A$205,0))),"nach Austritt",IF(E990="","offen","ok"))))))))</f>
        <v/>
      </c>
      <c r="J990" s="47">
        <f>IF(A990="","",IF(E990="",Einstellungen!$C$9,E990))</f>
        <v/>
      </c>
      <c r="K990" s="48">
        <f>IF(A990="",0,IFERROR(INDEX(Mitarbeiter!$F$6:$F$205,MATCH($A990,Mitarbeiter!$A$6:$A$205,0)),0))</f>
        <v/>
      </c>
      <c r="L990" s="49">
        <f>IF(OR(A990="",D990=""),0,MAX(0,NETWORKDAYS(MAX(D990,DATE(Einstellungen!$C$3,1,1)),MIN(J990,DATE(Einstellungen!$C$3,2,0)),Einstellungen!$F$13:$F$32)))</f>
        <v/>
      </c>
      <c r="M990" s="49">
        <f>IF(OR(A990="",D990=""),0,MAX(0,NETWORKDAYS(MAX(D990,DATE(Einstellungen!$C$3,2,1)),MIN(J990,DATE(Einstellungen!$C$3,3,0)),Einstellungen!$F$13:$F$32)))</f>
        <v/>
      </c>
      <c r="N990" s="49">
        <f>IF(OR(A990="",D990=""),0,MAX(0,NETWORKDAYS(MAX(D990,DATE(Einstellungen!$C$3,3,1)),MIN(J990,DATE(Einstellungen!$C$3,4,0)),Einstellungen!$F$13:$F$32)))</f>
        <v/>
      </c>
      <c r="O990" s="49">
        <f>IF(OR(A990="",D990=""),0,MAX(0,NETWORKDAYS(MAX(D990,DATE(Einstellungen!$C$3,4,1)),MIN(J990,DATE(Einstellungen!$C$3,5,0)),Einstellungen!$F$13:$F$32)))</f>
        <v/>
      </c>
      <c r="P990" s="49">
        <f>IF(OR(A990="",D990=""),0,MAX(0,NETWORKDAYS(MAX(D990,DATE(Einstellungen!$C$3,5,1)),MIN(J990,DATE(Einstellungen!$C$3,6,0)),Einstellungen!$F$13:$F$32)))</f>
        <v/>
      </c>
      <c r="Q990" s="49">
        <f>IF(OR(A990="",D990=""),0,MAX(0,NETWORKDAYS(MAX(D990,DATE(Einstellungen!$C$3,6,1)),MIN(J990,DATE(Einstellungen!$C$3,7,0)),Einstellungen!$F$13:$F$32)))</f>
        <v/>
      </c>
      <c r="R990" s="49">
        <f>IF(OR(A990="",D990=""),0,MAX(0,NETWORKDAYS(MAX(D990,DATE(Einstellungen!$C$3,7,1)),MIN(J990,DATE(Einstellungen!$C$3,8,0)),Einstellungen!$F$13:$F$32)))</f>
        <v/>
      </c>
      <c r="S990" s="49">
        <f>IF(OR(A990="",D990=""),0,MAX(0,NETWORKDAYS(MAX(D990,DATE(Einstellungen!$C$3,8,1)),MIN(J990,DATE(Einstellungen!$C$3,9,0)),Einstellungen!$F$13:$F$32)))</f>
        <v/>
      </c>
      <c r="T990" s="49">
        <f>IF(OR(A990="",D990=""),0,MAX(0,NETWORKDAYS(MAX(D990,DATE(Einstellungen!$C$3,9,1)),MIN(J990,DATE(Einstellungen!$C$3,10,0)),Einstellungen!$F$13:$F$32)))</f>
        <v/>
      </c>
      <c r="U990" s="49">
        <f>IF(OR(A990="",D990=""),0,MAX(0,NETWORKDAYS(MAX(D990,DATE(Einstellungen!$C$3,10,1)),MIN(J990,DATE(Einstellungen!$C$3,11,0)),Einstellungen!$F$13:$F$32)))</f>
        <v/>
      </c>
      <c r="V990" s="49">
        <f>IF(OR(A990="",D990=""),0,MAX(0,NETWORKDAYS(MAX(D990,DATE(Einstellungen!$C$3,11,1)),MIN(J990,DATE(Einstellungen!$C$3,12,0)),Einstellungen!$F$13:$F$32)))</f>
        <v/>
      </c>
      <c r="W990" s="49">
        <f>IF(OR(A990="",D990=""),0,MAX(0,NETWORKDAYS(MAX(D990,DATE(Einstellungen!$C$3,12,1)),MIN(J990,DATE(Einstellungen!$C$3,13,0)),Einstellungen!$F$13:$F$32)))</f>
        <v/>
      </c>
      <c r="X990" s="50">
        <f>L990*K990</f>
        <v/>
      </c>
      <c r="Y990" s="50">
        <f>M990*K990</f>
        <v/>
      </c>
      <c r="Z990" s="50">
        <f>N990*K990</f>
        <v/>
      </c>
      <c r="AA990" s="50">
        <f>O990*K990</f>
        <v/>
      </c>
      <c r="AB990" s="50">
        <f>P990*K990</f>
        <v/>
      </c>
      <c r="AC990" s="50">
        <f>Q990*K990</f>
        <v/>
      </c>
      <c r="AD990" s="50">
        <f>R990*K990</f>
        <v/>
      </c>
      <c r="AE990" s="50">
        <f>S990*K990</f>
        <v/>
      </c>
      <c r="AF990" s="50">
        <f>T990*K990</f>
        <v/>
      </c>
      <c r="AG990" s="50">
        <f>U990*K990</f>
        <v/>
      </c>
      <c r="AH990" s="50">
        <f>V990*K990</f>
        <v/>
      </c>
      <c r="AI990" s="50">
        <f>W990*K990</f>
        <v/>
      </c>
    </row>
    <row r="991">
      <c r="A991" s="25" t="n"/>
      <c r="B991" s="45">
        <f>IF(A991="","",IFERROR(INDEX(Mitarbeiter!$B$6:$B$205,MATCH($A991,Mitarbeiter!$A$6:$A$205,0)),"?"))</f>
        <v/>
      </c>
      <c r="C991" s="46" t="n"/>
      <c r="D991" s="26" t="n"/>
      <c r="E991" s="26" t="n"/>
      <c r="F991" s="24">
        <f>IF(A991="","",SUM(L991:W991))</f>
        <v/>
      </c>
      <c r="G991" s="36">
        <f>IF(A991="","",SUM(X991:AI991))</f>
        <v/>
      </c>
      <c r="H991" s="8">
        <f>IF(A991="","",IF(ISNA(MATCH(A991,Mitarbeiter!$A$6:$A$205,0)),"Pers.-Nr. unbekannt",IF(D991="","Von fehlt",IF(AND(C991&lt;&gt;Einstellungen!$C$4,C991&lt;&gt;Einstellungen!$C$5),"Objekt fehlt",IF(J991&lt;D991,"Bis vor Von",IF(D991&lt;INDEX(Mitarbeiter!$C$6:$C$205,MATCH($A991,Mitarbeiter!$A$6:$A$205,0)),"vor Eintritt",IF(AND(INDEX(Mitarbeiter!$D$6:$D$205,MATCH($A991,Mitarbeiter!$A$6:$A$205,0))&lt;&gt;"",D991&gt;INDEX(Mitarbeiter!$D$6:$D$205,MATCH($A991,Mitarbeiter!$A$6:$A$205,0))),"nach Austritt",IF(E991="","offen","ok"))))))))</f>
        <v/>
      </c>
      <c r="J991" s="47">
        <f>IF(A991="","",IF(E991="",Einstellungen!$C$9,E991))</f>
        <v/>
      </c>
      <c r="K991" s="48">
        <f>IF(A991="",0,IFERROR(INDEX(Mitarbeiter!$F$6:$F$205,MATCH($A991,Mitarbeiter!$A$6:$A$205,0)),0))</f>
        <v/>
      </c>
      <c r="L991" s="49">
        <f>IF(OR(A991="",D991=""),0,MAX(0,NETWORKDAYS(MAX(D991,DATE(Einstellungen!$C$3,1,1)),MIN(J991,DATE(Einstellungen!$C$3,2,0)),Einstellungen!$F$13:$F$32)))</f>
        <v/>
      </c>
      <c r="M991" s="49">
        <f>IF(OR(A991="",D991=""),0,MAX(0,NETWORKDAYS(MAX(D991,DATE(Einstellungen!$C$3,2,1)),MIN(J991,DATE(Einstellungen!$C$3,3,0)),Einstellungen!$F$13:$F$32)))</f>
        <v/>
      </c>
      <c r="N991" s="49">
        <f>IF(OR(A991="",D991=""),0,MAX(0,NETWORKDAYS(MAX(D991,DATE(Einstellungen!$C$3,3,1)),MIN(J991,DATE(Einstellungen!$C$3,4,0)),Einstellungen!$F$13:$F$32)))</f>
        <v/>
      </c>
      <c r="O991" s="49">
        <f>IF(OR(A991="",D991=""),0,MAX(0,NETWORKDAYS(MAX(D991,DATE(Einstellungen!$C$3,4,1)),MIN(J991,DATE(Einstellungen!$C$3,5,0)),Einstellungen!$F$13:$F$32)))</f>
        <v/>
      </c>
      <c r="P991" s="49">
        <f>IF(OR(A991="",D991=""),0,MAX(0,NETWORKDAYS(MAX(D991,DATE(Einstellungen!$C$3,5,1)),MIN(J991,DATE(Einstellungen!$C$3,6,0)),Einstellungen!$F$13:$F$32)))</f>
        <v/>
      </c>
      <c r="Q991" s="49">
        <f>IF(OR(A991="",D991=""),0,MAX(0,NETWORKDAYS(MAX(D991,DATE(Einstellungen!$C$3,6,1)),MIN(J991,DATE(Einstellungen!$C$3,7,0)),Einstellungen!$F$13:$F$32)))</f>
        <v/>
      </c>
      <c r="R991" s="49">
        <f>IF(OR(A991="",D991=""),0,MAX(0,NETWORKDAYS(MAX(D991,DATE(Einstellungen!$C$3,7,1)),MIN(J991,DATE(Einstellungen!$C$3,8,0)),Einstellungen!$F$13:$F$32)))</f>
        <v/>
      </c>
      <c r="S991" s="49">
        <f>IF(OR(A991="",D991=""),0,MAX(0,NETWORKDAYS(MAX(D991,DATE(Einstellungen!$C$3,8,1)),MIN(J991,DATE(Einstellungen!$C$3,9,0)),Einstellungen!$F$13:$F$32)))</f>
        <v/>
      </c>
      <c r="T991" s="49">
        <f>IF(OR(A991="",D991=""),0,MAX(0,NETWORKDAYS(MAX(D991,DATE(Einstellungen!$C$3,9,1)),MIN(J991,DATE(Einstellungen!$C$3,10,0)),Einstellungen!$F$13:$F$32)))</f>
        <v/>
      </c>
      <c r="U991" s="49">
        <f>IF(OR(A991="",D991=""),0,MAX(0,NETWORKDAYS(MAX(D991,DATE(Einstellungen!$C$3,10,1)),MIN(J991,DATE(Einstellungen!$C$3,11,0)),Einstellungen!$F$13:$F$32)))</f>
        <v/>
      </c>
      <c r="V991" s="49">
        <f>IF(OR(A991="",D991=""),0,MAX(0,NETWORKDAYS(MAX(D991,DATE(Einstellungen!$C$3,11,1)),MIN(J991,DATE(Einstellungen!$C$3,12,0)),Einstellungen!$F$13:$F$32)))</f>
        <v/>
      </c>
      <c r="W991" s="49">
        <f>IF(OR(A991="",D991=""),0,MAX(0,NETWORKDAYS(MAX(D991,DATE(Einstellungen!$C$3,12,1)),MIN(J991,DATE(Einstellungen!$C$3,13,0)),Einstellungen!$F$13:$F$32)))</f>
        <v/>
      </c>
      <c r="X991" s="50">
        <f>L991*K991</f>
        <v/>
      </c>
      <c r="Y991" s="50">
        <f>M991*K991</f>
        <v/>
      </c>
      <c r="Z991" s="50">
        <f>N991*K991</f>
        <v/>
      </c>
      <c r="AA991" s="50">
        <f>O991*K991</f>
        <v/>
      </c>
      <c r="AB991" s="50">
        <f>P991*K991</f>
        <v/>
      </c>
      <c r="AC991" s="50">
        <f>Q991*K991</f>
        <v/>
      </c>
      <c r="AD991" s="50">
        <f>R991*K991</f>
        <v/>
      </c>
      <c r="AE991" s="50">
        <f>S991*K991</f>
        <v/>
      </c>
      <c r="AF991" s="50">
        <f>T991*K991</f>
        <v/>
      </c>
      <c r="AG991" s="50">
        <f>U991*K991</f>
        <v/>
      </c>
      <c r="AH991" s="50">
        <f>V991*K991</f>
        <v/>
      </c>
      <c r="AI991" s="50">
        <f>W991*K991</f>
        <v/>
      </c>
    </row>
    <row r="992">
      <c r="A992" s="25" t="n"/>
      <c r="B992" s="45">
        <f>IF(A992="","",IFERROR(INDEX(Mitarbeiter!$B$6:$B$205,MATCH($A992,Mitarbeiter!$A$6:$A$205,0)),"?"))</f>
        <v/>
      </c>
      <c r="C992" s="46" t="n"/>
      <c r="D992" s="26" t="n"/>
      <c r="E992" s="26" t="n"/>
      <c r="F992" s="24">
        <f>IF(A992="","",SUM(L992:W992))</f>
        <v/>
      </c>
      <c r="G992" s="36">
        <f>IF(A992="","",SUM(X992:AI992))</f>
        <v/>
      </c>
      <c r="H992" s="8">
        <f>IF(A992="","",IF(ISNA(MATCH(A992,Mitarbeiter!$A$6:$A$205,0)),"Pers.-Nr. unbekannt",IF(D992="","Von fehlt",IF(AND(C992&lt;&gt;Einstellungen!$C$4,C992&lt;&gt;Einstellungen!$C$5),"Objekt fehlt",IF(J992&lt;D992,"Bis vor Von",IF(D992&lt;INDEX(Mitarbeiter!$C$6:$C$205,MATCH($A992,Mitarbeiter!$A$6:$A$205,0)),"vor Eintritt",IF(AND(INDEX(Mitarbeiter!$D$6:$D$205,MATCH($A992,Mitarbeiter!$A$6:$A$205,0))&lt;&gt;"",D992&gt;INDEX(Mitarbeiter!$D$6:$D$205,MATCH($A992,Mitarbeiter!$A$6:$A$205,0))),"nach Austritt",IF(E992="","offen","ok"))))))))</f>
        <v/>
      </c>
      <c r="J992" s="47">
        <f>IF(A992="","",IF(E992="",Einstellungen!$C$9,E992))</f>
        <v/>
      </c>
      <c r="K992" s="48">
        <f>IF(A992="",0,IFERROR(INDEX(Mitarbeiter!$F$6:$F$205,MATCH($A992,Mitarbeiter!$A$6:$A$205,0)),0))</f>
        <v/>
      </c>
      <c r="L992" s="49">
        <f>IF(OR(A992="",D992=""),0,MAX(0,NETWORKDAYS(MAX(D992,DATE(Einstellungen!$C$3,1,1)),MIN(J992,DATE(Einstellungen!$C$3,2,0)),Einstellungen!$F$13:$F$32)))</f>
        <v/>
      </c>
      <c r="M992" s="49">
        <f>IF(OR(A992="",D992=""),0,MAX(0,NETWORKDAYS(MAX(D992,DATE(Einstellungen!$C$3,2,1)),MIN(J992,DATE(Einstellungen!$C$3,3,0)),Einstellungen!$F$13:$F$32)))</f>
        <v/>
      </c>
      <c r="N992" s="49">
        <f>IF(OR(A992="",D992=""),0,MAX(0,NETWORKDAYS(MAX(D992,DATE(Einstellungen!$C$3,3,1)),MIN(J992,DATE(Einstellungen!$C$3,4,0)),Einstellungen!$F$13:$F$32)))</f>
        <v/>
      </c>
      <c r="O992" s="49">
        <f>IF(OR(A992="",D992=""),0,MAX(0,NETWORKDAYS(MAX(D992,DATE(Einstellungen!$C$3,4,1)),MIN(J992,DATE(Einstellungen!$C$3,5,0)),Einstellungen!$F$13:$F$32)))</f>
        <v/>
      </c>
      <c r="P992" s="49">
        <f>IF(OR(A992="",D992=""),0,MAX(0,NETWORKDAYS(MAX(D992,DATE(Einstellungen!$C$3,5,1)),MIN(J992,DATE(Einstellungen!$C$3,6,0)),Einstellungen!$F$13:$F$32)))</f>
        <v/>
      </c>
      <c r="Q992" s="49">
        <f>IF(OR(A992="",D992=""),0,MAX(0,NETWORKDAYS(MAX(D992,DATE(Einstellungen!$C$3,6,1)),MIN(J992,DATE(Einstellungen!$C$3,7,0)),Einstellungen!$F$13:$F$32)))</f>
        <v/>
      </c>
      <c r="R992" s="49">
        <f>IF(OR(A992="",D992=""),0,MAX(0,NETWORKDAYS(MAX(D992,DATE(Einstellungen!$C$3,7,1)),MIN(J992,DATE(Einstellungen!$C$3,8,0)),Einstellungen!$F$13:$F$32)))</f>
        <v/>
      </c>
      <c r="S992" s="49">
        <f>IF(OR(A992="",D992=""),0,MAX(0,NETWORKDAYS(MAX(D992,DATE(Einstellungen!$C$3,8,1)),MIN(J992,DATE(Einstellungen!$C$3,9,0)),Einstellungen!$F$13:$F$32)))</f>
        <v/>
      </c>
      <c r="T992" s="49">
        <f>IF(OR(A992="",D992=""),0,MAX(0,NETWORKDAYS(MAX(D992,DATE(Einstellungen!$C$3,9,1)),MIN(J992,DATE(Einstellungen!$C$3,10,0)),Einstellungen!$F$13:$F$32)))</f>
        <v/>
      </c>
      <c r="U992" s="49">
        <f>IF(OR(A992="",D992=""),0,MAX(0,NETWORKDAYS(MAX(D992,DATE(Einstellungen!$C$3,10,1)),MIN(J992,DATE(Einstellungen!$C$3,11,0)),Einstellungen!$F$13:$F$32)))</f>
        <v/>
      </c>
      <c r="V992" s="49">
        <f>IF(OR(A992="",D992=""),0,MAX(0,NETWORKDAYS(MAX(D992,DATE(Einstellungen!$C$3,11,1)),MIN(J992,DATE(Einstellungen!$C$3,12,0)),Einstellungen!$F$13:$F$32)))</f>
        <v/>
      </c>
      <c r="W992" s="49">
        <f>IF(OR(A992="",D992=""),0,MAX(0,NETWORKDAYS(MAX(D992,DATE(Einstellungen!$C$3,12,1)),MIN(J992,DATE(Einstellungen!$C$3,13,0)),Einstellungen!$F$13:$F$32)))</f>
        <v/>
      </c>
      <c r="X992" s="50">
        <f>L992*K992</f>
        <v/>
      </c>
      <c r="Y992" s="50">
        <f>M992*K992</f>
        <v/>
      </c>
      <c r="Z992" s="50">
        <f>N992*K992</f>
        <v/>
      </c>
      <c r="AA992" s="50">
        <f>O992*K992</f>
        <v/>
      </c>
      <c r="AB992" s="50">
        <f>P992*K992</f>
        <v/>
      </c>
      <c r="AC992" s="50">
        <f>Q992*K992</f>
        <v/>
      </c>
      <c r="AD992" s="50">
        <f>R992*K992</f>
        <v/>
      </c>
      <c r="AE992" s="50">
        <f>S992*K992</f>
        <v/>
      </c>
      <c r="AF992" s="50">
        <f>T992*K992</f>
        <v/>
      </c>
      <c r="AG992" s="50">
        <f>U992*K992</f>
        <v/>
      </c>
      <c r="AH992" s="50">
        <f>V992*K992</f>
        <v/>
      </c>
      <c r="AI992" s="50">
        <f>W992*K992</f>
        <v/>
      </c>
    </row>
    <row r="993">
      <c r="A993" s="25" t="n"/>
      <c r="B993" s="45">
        <f>IF(A993="","",IFERROR(INDEX(Mitarbeiter!$B$6:$B$205,MATCH($A993,Mitarbeiter!$A$6:$A$205,0)),"?"))</f>
        <v/>
      </c>
      <c r="C993" s="46" t="n"/>
      <c r="D993" s="26" t="n"/>
      <c r="E993" s="26" t="n"/>
      <c r="F993" s="24">
        <f>IF(A993="","",SUM(L993:W993))</f>
        <v/>
      </c>
      <c r="G993" s="36">
        <f>IF(A993="","",SUM(X993:AI993))</f>
        <v/>
      </c>
      <c r="H993" s="8">
        <f>IF(A993="","",IF(ISNA(MATCH(A993,Mitarbeiter!$A$6:$A$205,0)),"Pers.-Nr. unbekannt",IF(D993="","Von fehlt",IF(AND(C993&lt;&gt;Einstellungen!$C$4,C993&lt;&gt;Einstellungen!$C$5),"Objekt fehlt",IF(J993&lt;D993,"Bis vor Von",IF(D993&lt;INDEX(Mitarbeiter!$C$6:$C$205,MATCH($A993,Mitarbeiter!$A$6:$A$205,0)),"vor Eintritt",IF(AND(INDEX(Mitarbeiter!$D$6:$D$205,MATCH($A993,Mitarbeiter!$A$6:$A$205,0))&lt;&gt;"",D993&gt;INDEX(Mitarbeiter!$D$6:$D$205,MATCH($A993,Mitarbeiter!$A$6:$A$205,0))),"nach Austritt",IF(E993="","offen","ok"))))))))</f>
        <v/>
      </c>
      <c r="J993" s="47">
        <f>IF(A993="","",IF(E993="",Einstellungen!$C$9,E993))</f>
        <v/>
      </c>
      <c r="K993" s="48">
        <f>IF(A993="",0,IFERROR(INDEX(Mitarbeiter!$F$6:$F$205,MATCH($A993,Mitarbeiter!$A$6:$A$205,0)),0))</f>
        <v/>
      </c>
      <c r="L993" s="49">
        <f>IF(OR(A993="",D993=""),0,MAX(0,NETWORKDAYS(MAX(D993,DATE(Einstellungen!$C$3,1,1)),MIN(J993,DATE(Einstellungen!$C$3,2,0)),Einstellungen!$F$13:$F$32)))</f>
        <v/>
      </c>
      <c r="M993" s="49">
        <f>IF(OR(A993="",D993=""),0,MAX(0,NETWORKDAYS(MAX(D993,DATE(Einstellungen!$C$3,2,1)),MIN(J993,DATE(Einstellungen!$C$3,3,0)),Einstellungen!$F$13:$F$32)))</f>
        <v/>
      </c>
      <c r="N993" s="49">
        <f>IF(OR(A993="",D993=""),0,MAX(0,NETWORKDAYS(MAX(D993,DATE(Einstellungen!$C$3,3,1)),MIN(J993,DATE(Einstellungen!$C$3,4,0)),Einstellungen!$F$13:$F$32)))</f>
        <v/>
      </c>
      <c r="O993" s="49">
        <f>IF(OR(A993="",D993=""),0,MAX(0,NETWORKDAYS(MAX(D993,DATE(Einstellungen!$C$3,4,1)),MIN(J993,DATE(Einstellungen!$C$3,5,0)),Einstellungen!$F$13:$F$32)))</f>
        <v/>
      </c>
      <c r="P993" s="49">
        <f>IF(OR(A993="",D993=""),0,MAX(0,NETWORKDAYS(MAX(D993,DATE(Einstellungen!$C$3,5,1)),MIN(J993,DATE(Einstellungen!$C$3,6,0)),Einstellungen!$F$13:$F$32)))</f>
        <v/>
      </c>
      <c r="Q993" s="49">
        <f>IF(OR(A993="",D993=""),0,MAX(0,NETWORKDAYS(MAX(D993,DATE(Einstellungen!$C$3,6,1)),MIN(J993,DATE(Einstellungen!$C$3,7,0)),Einstellungen!$F$13:$F$32)))</f>
        <v/>
      </c>
      <c r="R993" s="49">
        <f>IF(OR(A993="",D993=""),0,MAX(0,NETWORKDAYS(MAX(D993,DATE(Einstellungen!$C$3,7,1)),MIN(J993,DATE(Einstellungen!$C$3,8,0)),Einstellungen!$F$13:$F$32)))</f>
        <v/>
      </c>
      <c r="S993" s="49">
        <f>IF(OR(A993="",D993=""),0,MAX(0,NETWORKDAYS(MAX(D993,DATE(Einstellungen!$C$3,8,1)),MIN(J993,DATE(Einstellungen!$C$3,9,0)),Einstellungen!$F$13:$F$32)))</f>
        <v/>
      </c>
      <c r="T993" s="49">
        <f>IF(OR(A993="",D993=""),0,MAX(0,NETWORKDAYS(MAX(D993,DATE(Einstellungen!$C$3,9,1)),MIN(J993,DATE(Einstellungen!$C$3,10,0)),Einstellungen!$F$13:$F$32)))</f>
        <v/>
      </c>
      <c r="U993" s="49">
        <f>IF(OR(A993="",D993=""),0,MAX(0,NETWORKDAYS(MAX(D993,DATE(Einstellungen!$C$3,10,1)),MIN(J993,DATE(Einstellungen!$C$3,11,0)),Einstellungen!$F$13:$F$32)))</f>
        <v/>
      </c>
      <c r="V993" s="49">
        <f>IF(OR(A993="",D993=""),0,MAX(0,NETWORKDAYS(MAX(D993,DATE(Einstellungen!$C$3,11,1)),MIN(J993,DATE(Einstellungen!$C$3,12,0)),Einstellungen!$F$13:$F$32)))</f>
        <v/>
      </c>
      <c r="W993" s="49">
        <f>IF(OR(A993="",D993=""),0,MAX(0,NETWORKDAYS(MAX(D993,DATE(Einstellungen!$C$3,12,1)),MIN(J993,DATE(Einstellungen!$C$3,13,0)),Einstellungen!$F$13:$F$32)))</f>
        <v/>
      </c>
      <c r="X993" s="50">
        <f>L993*K993</f>
        <v/>
      </c>
      <c r="Y993" s="50">
        <f>M993*K993</f>
        <v/>
      </c>
      <c r="Z993" s="50">
        <f>N993*K993</f>
        <v/>
      </c>
      <c r="AA993" s="50">
        <f>O993*K993</f>
        <v/>
      </c>
      <c r="AB993" s="50">
        <f>P993*K993</f>
        <v/>
      </c>
      <c r="AC993" s="50">
        <f>Q993*K993</f>
        <v/>
      </c>
      <c r="AD993" s="50">
        <f>R993*K993</f>
        <v/>
      </c>
      <c r="AE993" s="50">
        <f>S993*K993</f>
        <v/>
      </c>
      <c r="AF993" s="50">
        <f>T993*K993</f>
        <v/>
      </c>
      <c r="AG993" s="50">
        <f>U993*K993</f>
        <v/>
      </c>
      <c r="AH993" s="50">
        <f>V993*K993</f>
        <v/>
      </c>
      <c r="AI993" s="50">
        <f>W993*K993</f>
        <v/>
      </c>
    </row>
    <row r="994">
      <c r="A994" s="25" t="n"/>
      <c r="B994" s="45">
        <f>IF(A994="","",IFERROR(INDEX(Mitarbeiter!$B$6:$B$205,MATCH($A994,Mitarbeiter!$A$6:$A$205,0)),"?"))</f>
        <v/>
      </c>
      <c r="C994" s="46" t="n"/>
      <c r="D994" s="26" t="n"/>
      <c r="E994" s="26" t="n"/>
      <c r="F994" s="24">
        <f>IF(A994="","",SUM(L994:W994))</f>
        <v/>
      </c>
      <c r="G994" s="36">
        <f>IF(A994="","",SUM(X994:AI994))</f>
        <v/>
      </c>
      <c r="H994" s="8">
        <f>IF(A994="","",IF(ISNA(MATCH(A994,Mitarbeiter!$A$6:$A$205,0)),"Pers.-Nr. unbekannt",IF(D994="","Von fehlt",IF(AND(C994&lt;&gt;Einstellungen!$C$4,C994&lt;&gt;Einstellungen!$C$5),"Objekt fehlt",IF(J994&lt;D994,"Bis vor Von",IF(D994&lt;INDEX(Mitarbeiter!$C$6:$C$205,MATCH($A994,Mitarbeiter!$A$6:$A$205,0)),"vor Eintritt",IF(AND(INDEX(Mitarbeiter!$D$6:$D$205,MATCH($A994,Mitarbeiter!$A$6:$A$205,0))&lt;&gt;"",D994&gt;INDEX(Mitarbeiter!$D$6:$D$205,MATCH($A994,Mitarbeiter!$A$6:$A$205,0))),"nach Austritt",IF(E994="","offen","ok"))))))))</f>
        <v/>
      </c>
      <c r="J994" s="47">
        <f>IF(A994="","",IF(E994="",Einstellungen!$C$9,E994))</f>
        <v/>
      </c>
      <c r="K994" s="48">
        <f>IF(A994="",0,IFERROR(INDEX(Mitarbeiter!$F$6:$F$205,MATCH($A994,Mitarbeiter!$A$6:$A$205,0)),0))</f>
        <v/>
      </c>
      <c r="L994" s="49">
        <f>IF(OR(A994="",D994=""),0,MAX(0,NETWORKDAYS(MAX(D994,DATE(Einstellungen!$C$3,1,1)),MIN(J994,DATE(Einstellungen!$C$3,2,0)),Einstellungen!$F$13:$F$32)))</f>
        <v/>
      </c>
      <c r="M994" s="49">
        <f>IF(OR(A994="",D994=""),0,MAX(0,NETWORKDAYS(MAX(D994,DATE(Einstellungen!$C$3,2,1)),MIN(J994,DATE(Einstellungen!$C$3,3,0)),Einstellungen!$F$13:$F$32)))</f>
        <v/>
      </c>
      <c r="N994" s="49">
        <f>IF(OR(A994="",D994=""),0,MAX(0,NETWORKDAYS(MAX(D994,DATE(Einstellungen!$C$3,3,1)),MIN(J994,DATE(Einstellungen!$C$3,4,0)),Einstellungen!$F$13:$F$32)))</f>
        <v/>
      </c>
      <c r="O994" s="49">
        <f>IF(OR(A994="",D994=""),0,MAX(0,NETWORKDAYS(MAX(D994,DATE(Einstellungen!$C$3,4,1)),MIN(J994,DATE(Einstellungen!$C$3,5,0)),Einstellungen!$F$13:$F$32)))</f>
        <v/>
      </c>
      <c r="P994" s="49">
        <f>IF(OR(A994="",D994=""),0,MAX(0,NETWORKDAYS(MAX(D994,DATE(Einstellungen!$C$3,5,1)),MIN(J994,DATE(Einstellungen!$C$3,6,0)),Einstellungen!$F$13:$F$32)))</f>
        <v/>
      </c>
      <c r="Q994" s="49">
        <f>IF(OR(A994="",D994=""),0,MAX(0,NETWORKDAYS(MAX(D994,DATE(Einstellungen!$C$3,6,1)),MIN(J994,DATE(Einstellungen!$C$3,7,0)),Einstellungen!$F$13:$F$32)))</f>
        <v/>
      </c>
      <c r="R994" s="49">
        <f>IF(OR(A994="",D994=""),0,MAX(0,NETWORKDAYS(MAX(D994,DATE(Einstellungen!$C$3,7,1)),MIN(J994,DATE(Einstellungen!$C$3,8,0)),Einstellungen!$F$13:$F$32)))</f>
        <v/>
      </c>
      <c r="S994" s="49">
        <f>IF(OR(A994="",D994=""),0,MAX(0,NETWORKDAYS(MAX(D994,DATE(Einstellungen!$C$3,8,1)),MIN(J994,DATE(Einstellungen!$C$3,9,0)),Einstellungen!$F$13:$F$32)))</f>
        <v/>
      </c>
      <c r="T994" s="49">
        <f>IF(OR(A994="",D994=""),0,MAX(0,NETWORKDAYS(MAX(D994,DATE(Einstellungen!$C$3,9,1)),MIN(J994,DATE(Einstellungen!$C$3,10,0)),Einstellungen!$F$13:$F$32)))</f>
        <v/>
      </c>
      <c r="U994" s="49">
        <f>IF(OR(A994="",D994=""),0,MAX(0,NETWORKDAYS(MAX(D994,DATE(Einstellungen!$C$3,10,1)),MIN(J994,DATE(Einstellungen!$C$3,11,0)),Einstellungen!$F$13:$F$32)))</f>
        <v/>
      </c>
      <c r="V994" s="49">
        <f>IF(OR(A994="",D994=""),0,MAX(0,NETWORKDAYS(MAX(D994,DATE(Einstellungen!$C$3,11,1)),MIN(J994,DATE(Einstellungen!$C$3,12,0)),Einstellungen!$F$13:$F$32)))</f>
        <v/>
      </c>
      <c r="W994" s="49">
        <f>IF(OR(A994="",D994=""),0,MAX(0,NETWORKDAYS(MAX(D994,DATE(Einstellungen!$C$3,12,1)),MIN(J994,DATE(Einstellungen!$C$3,13,0)),Einstellungen!$F$13:$F$32)))</f>
        <v/>
      </c>
      <c r="X994" s="50">
        <f>L994*K994</f>
        <v/>
      </c>
      <c r="Y994" s="50">
        <f>M994*K994</f>
        <v/>
      </c>
      <c r="Z994" s="50">
        <f>N994*K994</f>
        <v/>
      </c>
      <c r="AA994" s="50">
        <f>O994*K994</f>
        <v/>
      </c>
      <c r="AB994" s="50">
        <f>P994*K994</f>
        <v/>
      </c>
      <c r="AC994" s="50">
        <f>Q994*K994</f>
        <v/>
      </c>
      <c r="AD994" s="50">
        <f>R994*K994</f>
        <v/>
      </c>
      <c r="AE994" s="50">
        <f>S994*K994</f>
        <v/>
      </c>
      <c r="AF994" s="50">
        <f>T994*K994</f>
        <v/>
      </c>
      <c r="AG994" s="50">
        <f>U994*K994</f>
        <v/>
      </c>
      <c r="AH994" s="50">
        <f>V994*K994</f>
        <v/>
      </c>
      <c r="AI994" s="50">
        <f>W994*K994</f>
        <v/>
      </c>
    </row>
    <row r="995">
      <c r="A995" s="25" t="n"/>
      <c r="B995" s="45">
        <f>IF(A995="","",IFERROR(INDEX(Mitarbeiter!$B$6:$B$205,MATCH($A995,Mitarbeiter!$A$6:$A$205,0)),"?"))</f>
        <v/>
      </c>
      <c r="C995" s="46" t="n"/>
      <c r="D995" s="26" t="n"/>
      <c r="E995" s="26" t="n"/>
      <c r="F995" s="24">
        <f>IF(A995="","",SUM(L995:W995))</f>
        <v/>
      </c>
      <c r="G995" s="36">
        <f>IF(A995="","",SUM(X995:AI995))</f>
        <v/>
      </c>
      <c r="H995" s="8">
        <f>IF(A995="","",IF(ISNA(MATCH(A995,Mitarbeiter!$A$6:$A$205,0)),"Pers.-Nr. unbekannt",IF(D995="","Von fehlt",IF(AND(C995&lt;&gt;Einstellungen!$C$4,C995&lt;&gt;Einstellungen!$C$5),"Objekt fehlt",IF(J995&lt;D995,"Bis vor Von",IF(D995&lt;INDEX(Mitarbeiter!$C$6:$C$205,MATCH($A995,Mitarbeiter!$A$6:$A$205,0)),"vor Eintritt",IF(AND(INDEX(Mitarbeiter!$D$6:$D$205,MATCH($A995,Mitarbeiter!$A$6:$A$205,0))&lt;&gt;"",D995&gt;INDEX(Mitarbeiter!$D$6:$D$205,MATCH($A995,Mitarbeiter!$A$6:$A$205,0))),"nach Austritt",IF(E995="","offen","ok"))))))))</f>
        <v/>
      </c>
      <c r="J995" s="47">
        <f>IF(A995="","",IF(E995="",Einstellungen!$C$9,E995))</f>
        <v/>
      </c>
      <c r="K995" s="48">
        <f>IF(A995="",0,IFERROR(INDEX(Mitarbeiter!$F$6:$F$205,MATCH($A995,Mitarbeiter!$A$6:$A$205,0)),0))</f>
        <v/>
      </c>
      <c r="L995" s="49">
        <f>IF(OR(A995="",D995=""),0,MAX(0,NETWORKDAYS(MAX(D995,DATE(Einstellungen!$C$3,1,1)),MIN(J995,DATE(Einstellungen!$C$3,2,0)),Einstellungen!$F$13:$F$32)))</f>
        <v/>
      </c>
      <c r="M995" s="49">
        <f>IF(OR(A995="",D995=""),0,MAX(0,NETWORKDAYS(MAX(D995,DATE(Einstellungen!$C$3,2,1)),MIN(J995,DATE(Einstellungen!$C$3,3,0)),Einstellungen!$F$13:$F$32)))</f>
        <v/>
      </c>
      <c r="N995" s="49">
        <f>IF(OR(A995="",D995=""),0,MAX(0,NETWORKDAYS(MAX(D995,DATE(Einstellungen!$C$3,3,1)),MIN(J995,DATE(Einstellungen!$C$3,4,0)),Einstellungen!$F$13:$F$32)))</f>
        <v/>
      </c>
      <c r="O995" s="49">
        <f>IF(OR(A995="",D995=""),0,MAX(0,NETWORKDAYS(MAX(D995,DATE(Einstellungen!$C$3,4,1)),MIN(J995,DATE(Einstellungen!$C$3,5,0)),Einstellungen!$F$13:$F$32)))</f>
        <v/>
      </c>
      <c r="P995" s="49">
        <f>IF(OR(A995="",D995=""),0,MAX(0,NETWORKDAYS(MAX(D995,DATE(Einstellungen!$C$3,5,1)),MIN(J995,DATE(Einstellungen!$C$3,6,0)),Einstellungen!$F$13:$F$32)))</f>
        <v/>
      </c>
      <c r="Q995" s="49">
        <f>IF(OR(A995="",D995=""),0,MAX(0,NETWORKDAYS(MAX(D995,DATE(Einstellungen!$C$3,6,1)),MIN(J995,DATE(Einstellungen!$C$3,7,0)),Einstellungen!$F$13:$F$32)))</f>
        <v/>
      </c>
      <c r="R995" s="49">
        <f>IF(OR(A995="",D995=""),0,MAX(0,NETWORKDAYS(MAX(D995,DATE(Einstellungen!$C$3,7,1)),MIN(J995,DATE(Einstellungen!$C$3,8,0)),Einstellungen!$F$13:$F$32)))</f>
        <v/>
      </c>
      <c r="S995" s="49">
        <f>IF(OR(A995="",D995=""),0,MAX(0,NETWORKDAYS(MAX(D995,DATE(Einstellungen!$C$3,8,1)),MIN(J995,DATE(Einstellungen!$C$3,9,0)),Einstellungen!$F$13:$F$32)))</f>
        <v/>
      </c>
      <c r="T995" s="49">
        <f>IF(OR(A995="",D995=""),0,MAX(0,NETWORKDAYS(MAX(D995,DATE(Einstellungen!$C$3,9,1)),MIN(J995,DATE(Einstellungen!$C$3,10,0)),Einstellungen!$F$13:$F$32)))</f>
        <v/>
      </c>
      <c r="U995" s="49">
        <f>IF(OR(A995="",D995=""),0,MAX(0,NETWORKDAYS(MAX(D995,DATE(Einstellungen!$C$3,10,1)),MIN(J995,DATE(Einstellungen!$C$3,11,0)),Einstellungen!$F$13:$F$32)))</f>
        <v/>
      </c>
      <c r="V995" s="49">
        <f>IF(OR(A995="",D995=""),0,MAX(0,NETWORKDAYS(MAX(D995,DATE(Einstellungen!$C$3,11,1)),MIN(J995,DATE(Einstellungen!$C$3,12,0)),Einstellungen!$F$13:$F$32)))</f>
        <v/>
      </c>
      <c r="W995" s="49">
        <f>IF(OR(A995="",D995=""),0,MAX(0,NETWORKDAYS(MAX(D995,DATE(Einstellungen!$C$3,12,1)),MIN(J995,DATE(Einstellungen!$C$3,13,0)),Einstellungen!$F$13:$F$32)))</f>
        <v/>
      </c>
      <c r="X995" s="50">
        <f>L995*K995</f>
        <v/>
      </c>
      <c r="Y995" s="50">
        <f>M995*K995</f>
        <v/>
      </c>
      <c r="Z995" s="50">
        <f>N995*K995</f>
        <v/>
      </c>
      <c r="AA995" s="50">
        <f>O995*K995</f>
        <v/>
      </c>
      <c r="AB995" s="50">
        <f>P995*K995</f>
        <v/>
      </c>
      <c r="AC995" s="50">
        <f>Q995*K995</f>
        <v/>
      </c>
      <c r="AD995" s="50">
        <f>R995*K995</f>
        <v/>
      </c>
      <c r="AE995" s="50">
        <f>S995*K995</f>
        <v/>
      </c>
      <c r="AF995" s="50">
        <f>T995*K995</f>
        <v/>
      </c>
      <c r="AG995" s="50">
        <f>U995*K995</f>
        <v/>
      </c>
      <c r="AH995" s="50">
        <f>V995*K995</f>
        <v/>
      </c>
      <c r="AI995" s="50">
        <f>W995*K995</f>
        <v/>
      </c>
    </row>
    <row r="996">
      <c r="A996" s="25" t="n"/>
      <c r="B996" s="45">
        <f>IF(A996="","",IFERROR(INDEX(Mitarbeiter!$B$6:$B$205,MATCH($A996,Mitarbeiter!$A$6:$A$205,0)),"?"))</f>
        <v/>
      </c>
      <c r="C996" s="46" t="n"/>
      <c r="D996" s="26" t="n"/>
      <c r="E996" s="26" t="n"/>
      <c r="F996" s="24">
        <f>IF(A996="","",SUM(L996:W996))</f>
        <v/>
      </c>
      <c r="G996" s="36">
        <f>IF(A996="","",SUM(X996:AI996))</f>
        <v/>
      </c>
      <c r="H996" s="8">
        <f>IF(A996="","",IF(ISNA(MATCH(A996,Mitarbeiter!$A$6:$A$205,0)),"Pers.-Nr. unbekannt",IF(D996="","Von fehlt",IF(AND(C996&lt;&gt;Einstellungen!$C$4,C996&lt;&gt;Einstellungen!$C$5),"Objekt fehlt",IF(J996&lt;D996,"Bis vor Von",IF(D996&lt;INDEX(Mitarbeiter!$C$6:$C$205,MATCH($A996,Mitarbeiter!$A$6:$A$205,0)),"vor Eintritt",IF(AND(INDEX(Mitarbeiter!$D$6:$D$205,MATCH($A996,Mitarbeiter!$A$6:$A$205,0))&lt;&gt;"",D996&gt;INDEX(Mitarbeiter!$D$6:$D$205,MATCH($A996,Mitarbeiter!$A$6:$A$205,0))),"nach Austritt",IF(E996="","offen","ok"))))))))</f>
        <v/>
      </c>
      <c r="J996" s="47">
        <f>IF(A996="","",IF(E996="",Einstellungen!$C$9,E996))</f>
        <v/>
      </c>
      <c r="K996" s="48">
        <f>IF(A996="",0,IFERROR(INDEX(Mitarbeiter!$F$6:$F$205,MATCH($A996,Mitarbeiter!$A$6:$A$205,0)),0))</f>
        <v/>
      </c>
      <c r="L996" s="49">
        <f>IF(OR(A996="",D996=""),0,MAX(0,NETWORKDAYS(MAX(D996,DATE(Einstellungen!$C$3,1,1)),MIN(J996,DATE(Einstellungen!$C$3,2,0)),Einstellungen!$F$13:$F$32)))</f>
        <v/>
      </c>
      <c r="M996" s="49">
        <f>IF(OR(A996="",D996=""),0,MAX(0,NETWORKDAYS(MAX(D996,DATE(Einstellungen!$C$3,2,1)),MIN(J996,DATE(Einstellungen!$C$3,3,0)),Einstellungen!$F$13:$F$32)))</f>
        <v/>
      </c>
      <c r="N996" s="49">
        <f>IF(OR(A996="",D996=""),0,MAX(0,NETWORKDAYS(MAX(D996,DATE(Einstellungen!$C$3,3,1)),MIN(J996,DATE(Einstellungen!$C$3,4,0)),Einstellungen!$F$13:$F$32)))</f>
        <v/>
      </c>
      <c r="O996" s="49">
        <f>IF(OR(A996="",D996=""),0,MAX(0,NETWORKDAYS(MAX(D996,DATE(Einstellungen!$C$3,4,1)),MIN(J996,DATE(Einstellungen!$C$3,5,0)),Einstellungen!$F$13:$F$32)))</f>
        <v/>
      </c>
      <c r="P996" s="49">
        <f>IF(OR(A996="",D996=""),0,MAX(0,NETWORKDAYS(MAX(D996,DATE(Einstellungen!$C$3,5,1)),MIN(J996,DATE(Einstellungen!$C$3,6,0)),Einstellungen!$F$13:$F$32)))</f>
        <v/>
      </c>
      <c r="Q996" s="49">
        <f>IF(OR(A996="",D996=""),0,MAX(0,NETWORKDAYS(MAX(D996,DATE(Einstellungen!$C$3,6,1)),MIN(J996,DATE(Einstellungen!$C$3,7,0)),Einstellungen!$F$13:$F$32)))</f>
        <v/>
      </c>
      <c r="R996" s="49">
        <f>IF(OR(A996="",D996=""),0,MAX(0,NETWORKDAYS(MAX(D996,DATE(Einstellungen!$C$3,7,1)),MIN(J996,DATE(Einstellungen!$C$3,8,0)),Einstellungen!$F$13:$F$32)))</f>
        <v/>
      </c>
      <c r="S996" s="49">
        <f>IF(OR(A996="",D996=""),0,MAX(0,NETWORKDAYS(MAX(D996,DATE(Einstellungen!$C$3,8,1)),MIN(J996,DATE(Einstellungen!$C$3,9,0)),Einstellungen!$F$13:$F$32)))</f>
        <v/>
      </c>
      <c r="T996" s="49">
        <f>IF(OR(A996="",D996=""),0,MAX(0,NETWORKDAYS(MAX(D996,DATE(Einstellungen!$C$3,9,1)),MIN(J996,DATE(Einstellungen!$C$3,10,0)),Einstellungen!$F$13:$F$32)))</f>
        <v/>
      </c>
      <c r="U996" s="49">
        <f>IF(OR(A996="",D996=""),0,MAX(0,NETWORKDAYS(MAX(D996,DATE(Einstellungen!$C$3,10,1)),MIN(J996,DATE(Einstellungen!$C$3,11,0)),Einstellungen!$F$13:$F$32)))</f>
        <v/>
      </c>
      <c r="V996" s="49">
        <f>IF(OR(A996="",D996=""),0,MAX(0,NETWORKDAYS(MAX(D996,DATE(Einstellungen!$C$3,11,1)),MIN(J996,DATE(Einstellungen!$C$3,12,0)),Einstellungen!$F$13:$F$32)))</f>
        <v/>
      </c>
      <c r="W996" s="49">
        <f>IF(OR(A996="",D996=""),0,MAX(0,NETWORKDAYS(MAX(D996,DATE(Einstellungen!$C$3,12,1)),MIN(J996,DATE(Einstellungen!$C$3,13,0)),Einstellungen!$F$13:$F$32)))</f>
        <v/>
      </c>
      <c r="X996" s="50">
        <f>L996*K996</f>
        <v/>
      </c>
      <c r="Y996" s="50">
        <f>M996*K996</f>
        <v/>
      </c>
      <c r="Z996" s="50">
        <f>N996*K996</f>
        <v/>
      </c>
      <c r="AA996" s="50">
        <f>O996*K996</f>
        <v/>
      </c>
      <c r="AB996" s="50">
        <f>P996*K996</f>
        <v/>
      </c>
      <c r="AC996" s="50">
        <f>Q996*K996</f>
        <v/>
      </c>
      <c r="AD996" s="50">
        <f>R996*K996</f>
        <v/>
      </c>
      <c r="AE996" s="50">
        <f>S996*K996</f>
        <v/>
      </c>
      <c r="AF996" s="50">
        <f>T996*K996</f>
        <v/>
      </c>
      <c r="AG996" s="50">
        <f>U996*K996</f>
        <v/>
      </c>
      <c r="AH996" s="50">
        <f>V996*K996</f>
        <v/>
      </c>
      <c r="AI996" s="50">
        <f>W996*K996</f>
        <v/>
      </c>
    </row>
    <row r="997">
      <c r="A997" s="25" t="n"/>
      <c r="B997" s="45">
        <f>IF(A997="","",IFERROR(INDEX(Mitarbeiter!$B$6:$B$205,MATCH($A997,Mitarbeiter!$A$6:$A$205,0)),"?"))</f>
        <v/>
      </c>
      <c r="C997" s="46" t="n"/>
      <c r="D997" s="26" t="n"/>
      <c r="E997" s="26" t="n"/>
      <c r="F997" s="24">
        <f>IF(A997="","",SUM(L997:W997))</f>
        <v/>
      </c>
      <c r="G997" s="36">
        <f>IF(A997="","",SUM(X997:AI997))</f>
        <v/>
      </c>
      <c r="H997" s="8">
        <f>IF(A997="","",IF(ISNA(MATCH(A997,Mitarbeiter!$A$6:$A$205,0)),"Pers.-Nr. unbekannt",IF(D997="","Von fehlt",IF(AND(C997&lt;&gt;Einstellungen!$C$4,C997&lt;&gt;Einstellungen!$C$5),"Objekt fehlt",IF(J997&lt;D997,"Bis vor Von",IF(D997&lt;INDEX(Mitarbeiter!$C$6:$C$205,MATCH($A997,Mitarbeiter!$A$6:$A$205,0)),"vor Eintritt",IF(AND(INDEX(Mitarbeiter!$D$6:$D$205,MATCH($A997,Mitarbeiter!$A$6:$A$205,0))&lt;&gt;"",D997&gt;INDEX(Mitarbeiter!$D$6:$D$205,MATCH($A997,Mitarbeiter!$A$6:$A$205,0))),"nach Austritt",IF(E997="","offen","ok"))))))))</f>
        <v/>
      </c>
      <c r="J997" s="47">
        <f>IF(A997="","",IF(E997="",Einstellungen!$C$9,E997))</f>
        <v/>
      </c>
      <c r="K997" s="48">
        <f>IF(A997="",0,IFERROR(INDEX(Mitarbeiter!$F$6:$F$205,MATCH($A997,Mitarbeiter!$A$6:$A$205,0)),0))</f>
        <v/>
      </c>
      <c r="L997" s="49">
        <f>IF(OR(A997="",D997=""),0,MAX(0,NETWORKDAYS(MAX(D997,DATE(Einstellungen!$C$3,1,1)),MIN(J997,DATE(Einstellungen!$C$3,2,0)),Einstellungen!$F$13:$F$32)))</f>
        <v/>
      </c>
      <c r="M997" s="49">
        <f>IF(OR(A997="",D997=""),0,MAX(0,NETWORKDAYS(MAX(D997,DATE(Einstellungen!$C$3,2,1)),MIN(J997,DATE(Einstellungen!$C$3,3,0)),Einstellungen!$F$13:$F$32)))</f>
        <v/>
      </c>
      <c r="N997" s="49">
        <f>IF(OR(A997="",D997=""),0,MAX(0,NETWORKDAYS(MAX(D997,DATE(Einstellungen!$C$3,3,1)),MIN(J997,DATE(Einstellungen!$C$3,4,0)),Einstellungen!$F$13:$F$32)))</f>
        <v/>
      </c>
      <c r="O997" s="49">
        <f>IF(OR(A997="",D997=""),0,MAX(0,NETWORKDAYS(MAX(D997,DATE(Einstellungen!$C$3,4,1)),MIN(J997,DATE(Einstellungen!$C$3,5,0)),Einstellungen!$F$13:$F$32)))</f>
        <v/>
      </c>
      <c r="P997" s="49">
        <f>IF(OR(A997="",D997=""),0,MAX(0,NETWORKDAYS(MAX(D997,DATE(Einstellungen!$C$3,5,1)),MIN(J997,DATE(Einstellungen!$C$3,6,0)),Einstellungen!$F$13:$F$32)))</f>
        <v/>
      </c>
      <c r="Q997" s="49">
        <f>IF(OR(A997="",D997=""),0,MAX(0,NETWORKDAYS(MAX(D997,DATE(Einstellungen!$C$3,6,1)),MIN(J997,DATE(Einstellungen!$C$3,7,0)),Einstellungen!$F$13:$F$32)))</f>
        <v/>
      </c>
      <c r="R997" s="49">
        <f>IF(OR(A997="",D997=""),0,MAX(0,NETWORKDAYS(MAX(D997,DATE(Einstellungen!$C$3,7,1)),MIN(J997,DATE(Einstellungen!$C$3,8,0)),Einstellungen!$F$13:$F$32)))</f>
        <v/>
      </c>
      <c r="S997" s="49">
        <f>IF(OR(A997="",D997=""),0,MAX(0,NETWORKDAYS(MAX(D997,DATE(Einstellungen!$C$3,8,1)),MIN(J997,DATE(Einstellungen!$C$3,9,0)),Einstellungen!$F$13:$F$32)))</f>
        <v/>
      </c>
      <c r="T997" s="49">
        <f>IF(OR(A997="",D997=""),0,MAX(0,NETWORKDAYS(MAX(D997,DATE(Einstellungen!$C$3,9,1)),MIN(J997,DATE(Einstellungen!$C$3,10,0)),Einstellungen!$F$13:$F$32)))</f>
        <v/>
      </c>
      <c r="U997" s="49">
        <f>IF(OR(A997="",D997=""),0,MAX(0,NETWORKDAYS(MAX(D997,DATE(Einstellungen!$C$3,10,1)),MIN(J997,DATE(Einstellungen!$C$3,11,0)),Einstellungen!$F$13:$F$32)))</f>
        <v/>
      </c>
      <c r="V997" s="49">
        <f>IF(OR(A997="",D997=""),0,MAX(0,NETWORKDAYS(MAX(D997,DATE(Einstellungen!$C$3,11,1)),MIN(J997,DATE(Einstellungen!$C$3,12,0)),Einstellungen!$F$13:$F$32)))</f>
        <v/>
      </c>
      <c r="W997" s="49">
        <f>IF(OR(A997="",D997=""),0,MAX(0,NETWORKDAYS(MAX(D997,DATE(Einstellungen!$C$3,12,1)),MIN(J997,DATE(Einstellungen!$C$3,13,0)),Einstellungen!$F$13:$F$32)))</f>
        <v/>
      </c>
      <c r="X997" s="50">
        <f>L997*K997</f>
        <v/>
      </c>
      <c r="Y997" s="50">
        <f>M997*K997</f>
        <v/>
      </c>
      <c r="Z997" s="50">
        <f>N997*K997</f>
        <v/>
      </c>
      <c r="AA997" s="50">
        <f>O997*K997</f>
        <v/>
      </c>
      <c r="AB997" s="50">
        <f>P997*K997</f>
        <v/>
      </c>
      <c r="AC997" s="50">
        <f>Q997*K997</f>
        <v/>
      </c>
      <c r="AD997" s="50">
        <f>R997*K997</f>
        <v/>
      </c>
      <c r="AE997" s="50">
        <f>S997*K997</f>
        <v/>
      </c>
      <c r="AF997" s="50">
        <f>T997*K997</f>
        <v/>
      </c>
      <c r="AG997" s="50">
        <f>U997*K997</f>
        <v/>
      </c>
      <c r="AH997" s="50">
        <f>V997*K997</f>
        <v/>
      </c>
      <c r="AI997" s="50">
        <f>W997*K997</f>
        <v/>
      </c>
    </row>
    <row r="998">
      <c r="A998" s="25" t="n"/>
      <c r="B998" s="45">
        <f>IF(A998="","",IFERROR(INDEX(Mitarbeiter!$B$6:$B$205,MATCH($A998,Mitarbeiter!$A$6:$A$205,0)),"?"))</f>
        <v/>
      </c>
      <c r="C998" s="46" t="n"/>
      <c r="D998" s="26" t="n"/>
      <c r="E998" s="26" t="n"/>
      <c r="F998" s="24">
        <f>IF(A998="","",SUM(L998:W998))</f>
        <v/>
      </c>
      <c r="G998" s="36">
        <f>IF(A998="","",SUM(X998:AI998))</f>
        <v/>
      </c>
      <c r="H998" s="8">
        <f>IF(A998="","",IF(ISNA(MATCH(A998,Mitarbeiter!$A$6:$A$205,0)),"Pers.-Nr. unbekannt",IF(D998="","Von fehlt",IF(AND(C998&lt;&gt;Einstellungen!$C$4,C998&lt;&gt;Einstellungen!$C$5),"Objekt fehlt",IF(J998&lt;D998,"Bis vor Von",IF(D998&lt;INDEX(Mitarbeiter!$C$6:$C$205,MATCH($A998,Mitarbeiter!$A$6:$A$205,0)),"vor Eintritt",IF(AND(INDEX(Mitarbeiter!$D$6:$D$205,MATCH($A998,Mitarbeiter!$A$6:$A$205,0))&lt;&gt;"",D998&gt;INDEX(Mitarbeiter!$D$6:$D$205,MATCH($A998,Mitarbeiter!$A$6:$A$205,0))),"nach Austritt",IF(E998="","offen","ok"))))))))</f>
        <v/>
      </c>
      <c r="J998" s="47">
        <f>IF(A998="","",IF(E998="",Einstellungen!$C$9,E998))</f>
        <v/>
      </c>
      <c r="K998" s="48">
        <f>IF(A998="",0,IFERROR(INDEX(Mitarbeiter!$F$6:$F$205,MATCH($A998,Mitarbeiter!$A$6:$A$205,0)),0))</f>
        <v/>
      </c>
      <c r="L998" s="49">
        <f>IF(OR(A998="",D998=""),0,MAX(0,NETWORKDAYS(MAX(D998,DATE(Einstellungen!$C$3,1,1)),MIN(J998,DATE(Einstellungen!$C$3,2,0)),Einstellungen!$F$13:$F$32)))</f>
        <v/>
      </c>
      <c r="M998" s="49">
        <f>IF(OR(A998="",D998=""),0,MAX(0,NETWORKDAYS(MAX(D998,DATE(Einstellungen!$C$3,2,1)),MIN(J998,DATE(Einstellungen!$C$3,3,0)),Einstellungen!$F$13:$F$32)))</f>
        <v/>
      </c>
      <c r="N998" s="49">
        <f>IF(OR(A998="",D998=""),0,MAX(0,NETWORKDAYS(MAX(D998,DATE(Einstellungen!$C$3,3,1)),MIN(J998,DATE(Einstellungen!$C$3,4,0)),Einstellungen!$F$13:$F$32)))</f>
        <v/>
      </c>
      <c r="O998" s="49">
        <f>IF(OR(A998="",D998=""),0,MAX(0,NETWORKDAYS(MAX(D998,DATE(Einstellungen!$C$3,4,1)),MIN(J998,DATE(Einstellungen!$C$3,5,0)),Einstellungen!$F$13:$F$32)))</f>
        <v/>
      </c>
      <c r="P998" s="49">
        <f>IF(OR(A998="",D998=""),0,MAX(0,NETWORKDAYS(MAX(D998,DATE(Einstellungen!$C$3,5,1)),MIN(J998,DATE(Einstellungen!$C$3,6,0)),Einstellungen!$F$13:$F$32)))</f>
        <v/>
      </c>
      <c r="Q998" s="49">
        <f>IF(OR(A998="",D998=""),0,MAX(0,NETWORKDAYS(MAX(D998,DATE(Einstellungen!$C$3,6,1)),MIN(J998,DATE(Einstellungen!$C$3,7,0)),Einstellungen!$F$13:$F$32)))</f>
        <v/>
      </c>
      <c r="R998" s="49">
        <f>IF(OR(A998="",D998=""),0,MAX(0,NETWORKDAYS(MAX(D998,DATE(Einstellungen!$C$3,7,1)),MIN(J998,DATE(Einstellungen!$C$3,8,0)),Einstellungen!$F$13:$F$32)))</f>
        <v/>
      </c>
      <c r="S998" s="49">
        <f>IF(OR(A998="",D998=""),0,MAX(0,NETWORKDAYS(MAX(D998,DATE(Einstellungen!$C$3,8,1)),MIN(J998,DATE(Einstellungen!$C$3,9,0)),Einstellungen!$F$13:$F$32)))</f>
        <v/>
      </c>
      <c r="T998" s="49">
        <f>IF(OR(A998="",D998=""),0,MAX(0,NETWORKDAYS(MAX(D998,DATE(Einstellungen!$C$3,9,1)),MIN(J998,DATE(Einstellungen!$C$3,10,0)),Einstellungen!$F$13:$F$32)))</f>
        <v/>
      </c>
      <c r="U998" s="49">
        <f>IF(OR(A998="",D998=""),0,MAX(0,NETWORKDAYS(MAX(D998,DATE(Einstellungen!$C$3,10,1)),MIN(J998,DATE(Einstellungen!$C$3,11,0)),Einstellungen!$F$13:$F$32)))</f>
        <v/>
      </c>
      <c r="V998" s="49">
        <f>IF(OR(A998="",D998=""),0,MAX(0,NETWORKDAYS(MAX(D998,DATE(Einstellungen!$C$3,11,1)),MIN(J998,DATE(Einstellungen!$C$3,12,0)),Einstellungen!$F$13:$F$32)))</f>
        <v/>
      </c>
      <c r="W998" s="49">
        <f>IF(OR(A998="",D998=""),0,MAX(0,NETWORKDAYS(MAX(D998,DATE(Einstellungen!$C$3,12,1)),MIN(J998,DATE(Einstellungen!$C$3,13,0)),Einstellungen!$F$13:$F$32)))</f>
        <v/>
      </c>
      <c r="X998" s="50">
        <f>L998*K998</f>
        <v/>
      </c>
      <c r="Y998" s="50">
        <f>M998*K998</f>
        <v/>
      </c>
      <c r="Z998" s="50">
        <f>N998*K998</f>
        <v/>
      </c>
      <c r="AA998" s="50">
        <f>O998*K998</f>
        <v/>
      </c>
      <c r="AB998" s="50">
        <f>P998*K998</f>
        <v/>
      </c>
      <c r="AC998" s="50">
        <f>Q998*K998</f>
        <v/>
      </c>
      <c r="AD998" s="50">
        <f>R998*K998</f>
        <v/>
      </c>
      <c r="AE998" s="50">
        <f>S998*K998</f>
        <v/>
      </c>
      <c r="AF998" s="50">
        <f>T998*K998</f>
        <v/>
      </c>
      <c r="AG998" s="50">
        <f>U998*K998</f>
        <v/>
      </c>
      <c r="AH998" s="50">
        <f>V998*K998</f>
        <v/>
      </c>
      <c r="AI998" s="50">
        <f>W998*K998</f>
        <v/>
      </c>
    </row>
    <row r="999">
      <c r="A999" s="25" t="n"/>
      <c r="B999" s="45">
        <f>IF(A999="","",IFERROR(INDEX(Mitarbeiter!$B$6:$B$205,MATCH($A999,Mitarbeiter!$A$6:$A$205,0)),"?"))</f>
        <v/>
      </c>
      <c r="C999" s="46" t="n"/>
      <c r="D999" s="26" t="n"/>
      <c r="E999" s="26" t="n"/>
      <c r="F999" s="24">
        <f>IF(A999="","",SUM(L999:W999))</f>
        <v/>
      </c>
      <c r="G999" s="36">
        <f>IF(A999="","",SUM(X999:AI999))</f>
        <v/>
      </c>
      <c r="H999" s="8">
        <f>IF(A999="","",IF(ISNA(MATCH(A999,Mitarbeiter!$A$6:$A$205,0)),"Pers.-Nr. unbekannt",IF(D999="","Von fehlt",IF(AND(C999&lt;&gt;Einstellungen!$C$4,C999&lt;&gt;Einstellungen!$C$5),"Objekt fehlt",IF(J999&lt;D999,"Bis vor Von",IF(D999&lt;INDEX(Mitarbeiter!$C$6:$C$205,MATCH($A999,Mitarbeiter!$A$6:$A$205,0)),"vor Eintritt",IF(AND(INDEX(Mitarbeiter!$D$6:$D$205,MATCH($A999,Mitarbeiter!$A$6:$A$205,0))&lt;&gt;"",D999&gt;INDEX(Mitarbeiter!$D$6:$D$205,MATCH($A999,Mitarbeiter!$A$6:$A$205,0))),"nach Austritt",IF(E999="","offen","ok"))))))))</f>
        <v/>
      </c>
      <c r="J999" s="47">
        <f>IF(A999="","",IF(E999="",Einstellungen!$C$9,E999))</f>
        <v/>
      </c>
      <c r="K999" s="48">
        <f>IF(A999="",0,IFERROR(INDEX(Mitarbeiter!$F$6:$F$205,MATCH($A999,Mitarbeiter!$A$6:$A$205,0)),0))</f>
        <v/>
      </c>
      <c r="L999" s="49">
        <f>IF(OR(A999="",D999=""),0,MAX(0,NETWORKDAYS(MAX(D999,DATE(Einstellungen!$C$3,1,1)),MIN(J999,DATE(Einstellungen!$C$3,2,0)),Einstellungen!$F$13:$F$32)))</f>
        <v/>
      </c>
      <c r="M999" s="49">
        <f>IF(OR(A999="",D999=""),0,MAX(0,NETWORKDAYS(MAX(D999,DATE(Einstellungen!$C$3,2,1)),MIN(J999,DATE(Einstellungen!$C$3,3,0)),Einstellungen!$F$13:$F$32)))</f>
        <v/>
      </c>
      <c r="N999" s="49">
        <f>IF(OR(A999="",D999=""),0,MAX(0,NETWORKDAYS(MAX(D999,DATE(Einstellungen!$C$3,3,1)),MIN(J999,DATE(Einstellungen!$C$3,4,0)),Einstellungen!$F$13:$F$32)))</f>
        <v/>
      </c>
      <c r="O999" s="49">
        <f>IF(OR(A999="",D999=""),0,MAX(0,NETWORKDAYS(MAX(D999,DATE(Einstellungen!$C$3,4,1)),MIN(J999,DATE(Einstellungen!$C$3,5,0)),Einstellungen!$F$13:$F$32)))</f>
        <v/>
      </c>
      <c r="P999" s="49">
        <f>IF(OR(A999="",D999=""),0,MAX(0,NETWORKDAYS(MAX(D999,DATE(Einstellungen!$C$3,5,1)),MIN(J999,DATE(Einstellungen!$C$3,6,0)),Einstellungen!$F$13:$F$32)))</f>
        <v/>
      </c>
      <c r="Q999" s="49">
        <f>IF(OR(A999="",D999=""),0,MAX(0,NETWORKDAYS(MAX(D999,DATE(Einstellungen!$C$3,6,1)),MIN(J999,DATE(Einstellungen!$C$3,7,0)),Einstellungen!$F$13:$F$32)))</f>
        <v/>
      </c>
      <c r="R999" s="49">
        <f>IF(OR(A999="",D999=""),0,MAX(0,NETWORKDAYS(MAX(D999,DATE(Einstellungen!$C$3,7,1)),MIN(J999,DATE(Einstellungen!$C$3,8,0)),Einstellungen!$F$13:$F$32)))</f>
        <v/>
      </c>
      <c r="S999" s="49">
        <f>IF(OR(A999="",D999=""),0,MAX(0,NETWORKDAYS(MAX(D999,DATE(Einstellungen!$C$3,8,1)),MIN(J999,DATE(Einstellungen!$C$3,9,0)),Einstellungen!$F$13:$F$32)))</f>
        <v/>
      </c>
      <c r="T999" s="49">
        <f>IF(OR(A999="",D999=""),0,MAX(0,NETWORKDAYS(MAX(D999,DATE(Einstellungen!$C$3,9,1)),MIN(J999,DATE(Einstellungen!$C$3,10,0)),Einstellungen!$F$13:$F$32)))</f>
        <v/>
      </c>
      <c r="U999" s="49">
        <f>IF(OR(A999="",D999=""),0,MAX(0,NETWORKDAYS(MAX(D999,DATE(Einstellungen!$C$3,10,1)),MIN(J999,DATE(Einstellungen!$C$3,11,0)),Einstellungen!$F$13:$F$32)))</f>
        <v/>
      </c>
      <c r="V999" s="49">
        <f>IF(OR(A999="",D999=""),0,MAX(0,NETWORKDAYS(MAX(D999,DATE(Einstellungen!$C$3,11,1)),MIN(J999,DATE(Einstellungen!$C$3,12,0)),Einstellungen!$F$13:$F$32)))</f>
        <v/>
      </c>
      <c r="W999" s="49">
        <f>IF(OR(A999="",D999=""),0,MAX(0,NETWORKDAYS(MAX(D999,DATE(Einstellungen!$C$3,12,1)),MIN(J999,DATE(Einstellungen!$C$3,13,0)),Einstellungen!$F$13:$F$32)))</f>
        <v/>
      </c>
      <c r="X999" s="50">
        <f>L999*K999</f>
        <v/>
      </c>
      <c r="Y999" s="50">
        <f>M999*K999</f>
        <v/>
      </c>
      <c r="Z999" s="50">
        <f>N999*K999</f>
        <v/>
      </c>
      <c r="AA999" s="50">
        <f>O999*K999</f>
        <v/>
      </c>
      <c r="AB999" s="50">
        <f>P999*K999</f>
        <v/>
      </c>
      <c r="AC999" s="50">
        <f>Q999*K999</f>
        <v/>
      </c>
      <c r="AD999" s="50">
        <f>R999*K999</f>
        <v/>
      </c>
      <c r="AE999" s="50">
        <f>S999*K999</f>
        <v/>
      </c>
      <c r="AF999" s="50">
        <f>T999*K999</f>
        <v/>
      </c>
      <c r="AG999" s="50">
        <f>U999*K999</f>
        <v/>
      </c>
      <c r="AH999" s="50">
        <f>V999*K999</f>
        <v/>
      </c>
      <c r="AI999" s="50">
        <f>W999*K999</f>
        <v/>
      </c>
    </row>
    <row r="1000">
      <c r="A1000" s="25" t="n"/>
      <c r="B1000" s="45">
        <f>IF(A1000="","",IFERROR(INDEX(Mitarbeiter!$B$6:$B$205,MATCH($A1000,Mitarbeiter!$A$6:$A$205,0)),"?"))</f>
        <v/>
      </c>
      <c r="C1000" s="46" t="n"/>
      <c r="D1000" s="26" t="n"/>
      <c r="E1000" s="26" t="n"/>
      <c r="F1000" s="24">
        <f>IF(A1000="","",SUM(L1000:W1000))</f>
        <v/>
      </c>
      <c r="G1000" s="36">
        <f>IF(A1000="","",SUM(X1000:AI1000))</f>
        <v/>
      </c>
      <c r="H1000" s="8">
        <f>IF(A1000="","",IF(ISNA(MATCH(A1000,Mitarbeiter!$A$6:$A$205,0)),"Pers.-Nr. unbekannt",IF(D1000="","Von fehlt",IF(AND(C1000&lt;&gt;Einstellungen!$C$4,C1000&lt;&gt;Einstellungen!$C$5),"Objekt fehlt",IF(J1000&lt;D1000,"Bis vor Von",IF(D1000&lt;INDEX(Mitarbeiter!$C$6:$C$205,MATCH($A1000,Mitarbeiter!$A$6:$A$205,0)),"vor Eintritt",IF(AND(INDEX(Mitarbeiter!$D$6:$D$205,MATCH($A1000,Mitarbeiter!$A$6:$A$205,0))&lt;&gt;"",D1000&gt;INDEX(Mitarbeiter!$D$6:$D$205,MATCH($A1000,Mitarbeiter!$A$6:$A$205,0))),"nach Austritt",IF(E1000="","offen","ok"))))))))</f>
        <v/>
      </c>
      <c r="J1000" s="47">
        <f>IF(A1000="","",IF(E1000="",Einstellungen!$C$9,E1000))</f>
        <v/>
      </c>
      <c r="K1000" s="48">
        <f>IF(A1000="",0,IFERROR(INDEX(Mitarbeiter!$F$6:$F$205,MATCH($A1000,Mitarbeiter!$A$6:$A$205,0)),0))</f>
        <v/>
      </c>
      <c r="L1000" s="49">
        <f>IF(OR(A1000="",D1000=""),0,MAX(0,NETWORKDAYS(MAX(D1000,DATE(Einstellungen!$C$3,1,1)),MIN(J1000,DATE(Einstellungen!$C$3,2,0)),Einstellungen!$F$13:$F$32)))</f>
        <v/>
      </c>
      <c r="M1000" s="49">
        <f>IF(OR(A1000="",D1000=""),0,MAX(0,NETWORKDAYS(MAX(D1000,DATE(Einstellungen!$C$3,2,1)),MIN(J1000,DATE(Einstellungen!$C$3,3,0)),Einstellungen!$F$13:$F$32)))</f>
        <v/>
      </c>
      <c r="N1000" s="49">
        <f>IF(OR(A1000="",D1000=""),0,MAX(0,NETWORKDAYS(MAX(D1000,DATE(Einstellungen!$C$3,3,1)),MIN(J1000,DATE(Einstellungen!$C$3,4,0)),Einstellungen!$F$13:$F$32)))</f>
        <v/>
      </c>
      <c r="O1000" s="49">
        <f>IF(OR(A1000="",D1000=""),0,MAX(0,NETWORKDAYS(MAX(D1000,DATE(Einstellungen!$C$3,4,1)),MIN(J1000,DATE(Einstellungen!$C$3,5,0)),Einstellungen!$F$13:$F$32)))</f>
        <v/>
      </c>
      <c r="P1000" s="49">
        <f>IF(OR(A1000="",D1000=""),0,MAX(0,NETWORKDAYS(MAX(D1000,DATE(Einstellungen!$C$3,5,1)),MIN(J1000,DATE(Einstellungen!$C$3,6,0)),Einstellungen!$F$13:$F$32)))</f>
        <v/>
      </c>
      <c r="Q1000" s="49">
        <f>IF(OR(A1000="",D1000=""),0,MAX(0,NETWORKDAYS(MAX(D1000,DATE(Einstellungen!$C$3,6,1)),MIN(J1000,DATE(Einstellungen!$C$3,7,0)),Einstellungen!$F$13:$F$32)))</f>
        <v/>
      </c>
      <c r="R1000" s="49">
        <f>IF(OR(A1000="",D1000=""),0,MAX(0,NETWORKDAYS(MAX(D1000,DATE(Einstellungen!$C$3,7,1)),MIN(J1000,DATE(Einstellungen!$C$3,8,0)),Einstellungen!$F$13:$F$32)))</f>
        <v/>
      </c>
      <c r="S1000" s="49">
        <f>IF(OR(A1000="",D1000=""),0,MAX(0,NETWORKDAYS(MAX(D1000,DATE(Einstellungen!$C$3,8,1)),MIN(J1000,DATE(Einstellungen!$C$3,9,0)),Einstellungen!$F$13:$F$32)))</f>
        <v/>
      </c>
      <c r="T1000" s="49">
        <f>IF(OR(A1000="",D1000=""),0,MAX(0,NETWORKDAYS(MAX(D1000,DATE(Einstellungen!$C$3,9,1)),MIN(J1000,DATE(Einstellungen!$C$3,10,0)),Einstellungen!$F$13:$F$32)))</f>
        <v/>
      </c>
      <c r="U1000" s="49">
        <f>IF(OR(A1000="",D1000=""),0,MAX(0,NETWORKDAYS(MAX(D1000,DATE(Einstellungen!$C$3,10,1)),MIN(J1000,DATE(Einstellungen!$C$3,11,0)),Einstellungen!$F$13:$F$32)))</f>
        <v/>
      </c>
      <c r="V1000" s="49">
        <f>IF(OR(A1000="",D1000=""),0,MAX(0,NETWORKDAYS(MAX(D1000,DATE(Einstellungen!$C$3,11,1)),MIN(J1000,DATE(Einstellungen!$C$3,12,0)),Einstellungen!$F$13:$F$32)))</f>
        <v/>
      </c>
      <c r="W1000" s="49">
        <f>IF(OR(A1000="",D1000=""),0,MAX(0,NETWORKDAYS(MAX(D1000,DATE(Einstellungen!$C$3,12,1)),MIN(J1000,DATE(Einstellungen!$C$3,13,0)),Einstellungen!$F$13:$F$32)))</f>
        <v/>
      </c>
      <c r="X1000" s="50">
        <f>L1000*K1000</f>
        <v/>
      </c>
      <c r="Y1000" s="50">
        <f>M1000*K1000</f>
        <v/>
      </c>
      <c r="Z1000" s="50">
        <f>N1000*K1000</f>
        <v/>
      </c>
      <c r="AA1000" s="50">
        <f>O1000*K1000</f>
        <v/>
      </c>
      <c r="AB1000" s="50">
        <f>P1000*K1000</f>
        <v/>
      </c>
      <c r="AC1000" s="50">
        <f>Q1000*K1000</f>
        <v/>
      </c>
      <c r="AD1000" s="50">
        <f>R1000*K1000</f>
        <v/>
      </c>
      <c r="AE1000" s="50">
        <f>S1000*K1000</f>
        <v/>
      </c>
      <c r="AF1000" s="50">
        <f>T1000*K1000</f>
        <v/>
      </c>
      <c r="AG1000" s="50">
        <f>U1000*K1000</f>
        <v/>
      </c>
      <c r="AH1000" s="50">
        <f>V1000*K1000</f>
        <v/>
      </c>
      <c r="AI1000" s="50">
        <f>W1000*K1000</f>
        <v/>
      </c>
    </row>
    <row r="1001">
      <c r="A1001" s="25" t="n"/>
      <c r="B1001" s="45">
        <f>IF(A1001="","",IFERROR(INDEX(Mitarbeiter!$B$6:$B$205,MATCH($A1001,Mitarbeiter!$A$6:$A$205,0)),"?"))</f>
        <v/>
      </c>
      <c r="C1001" s="46" t="n"/>
      <c r="D1001" s="26" t="n"/>
      <c r="E1001" s="26" t="n"/>
      <c r="F1001" s="24">
        <f>IF(A1001="","",SUM(L1001:W1001))</f>
        <v/>
      </c>
      <c r="G1001" s="36">
        <f>IF(A1001="","",SUM(X1001:AI1001))</f>
        <v/>
      </c>
      <c r="H1001" s="8">
        <f>IF(A1001="","",IF(ISNA(MATCH(A1001,Mitarbeiter!$A$6:$A$205,0)),"Pers.-Nr. unbekannt",IF(D1001="","Von fehlt",IF(AND(C1001&lt;&gt;Einstellungen!$C$4,C1001&lt;&gt;Einstellungen!$C$5),"Objekt fehlt",IF(J1001&lt;D1001,"Bis vor Von",IF(D1001&lt;INDEX(Mitarbeiter!$C$6:$C$205,MATCH($A1001,Mitarbeiter!$A$6:$A$205,0)),"vor Eintritt",IF(AND(INDEX(Mitarbeiter!$D$6:$D$205,MATCH($A1001,Mitarbeiter!$A$6:$A$205,0))&lt;&gt;"",D1001&gt;INDEX(Mitarbeiter!$D$6:$D$205,MATCH($A1001,Mitarbeiter!$A$6:$A$205,0))),"nach Austritt",IF(E1001="","offen","ok"))))))))</f>
        <v/>
      </c>
      <c r="J1001" s="47">
        <f>IF(A1001="","",IF(E1001="",Einstellungen!$C$9,E1001))</f>
        <v/>
      </c>
      <c r="K1001" s="48">
        <f>IF(A1001="",0,IFERROR(INDEX(Mitarbeiter!$F$6:$F$205,MATCH($A1001,Mitarbeiter!$A$6:$A$205,0)),0))</f>
        <v/>
      </c>
      <c r="L1001" s="49">
        <f>IF(OR(A1001="",D1001=""),0,MAX(0,NETWORKDAYS(MAX(D1001,DATE(Einstellungen!$C$3,1,1)),MIN(J1001,DATE(Einstellungen!$C$3,2,0)),Einstellungen!$F$13:$F$32)))</f>
        <v/>
      </c>
      <c r="M1001" s="49">
        <f>IF(OR(A1001="",D1001=""),0,MAX(0,NETWORKDAYS(MAX(D1001,DATE(Einstellungen!$C$3,2,1)),MIN(J1001,DATE(Einstellungen!$C$3,3,0)),Einstellungen!$F$13:$F$32)))</f>
        <v/>
      </c>
      <c r="N1001" s="49">
        <f>IF(OR(A1001="",D1001=""),0,MAX(0,NETWORKDAYS(MAX(D1001,DATE(Einstellungen!$C$3,3,1)),MIN(J1001,DATE(Einstellungen!$C$3,4,0)),Einstellungen!$F$13:$F$32)))</f>
        <v/>
      </c>
      <c r="O1001" s="49">
        <f>IF(OR(A1001="",D1001=""),0,MAX(0,NETWORKDAYS(MAX(D1001,DATE(Einstellungen!$C$3,4,1)),MIN(J1001,DATE(Einstellungen!$C$3,5,0)),Einstellungen!$F$13:$F$32)))</f>
        <v/>
      </c>
      <c r="P1001" s="49">
        <f>IF(OR(A1001="",D1001=""),0,MAX(0,NETWORKDAYS(MAX(D1001,DATE(Einstellungen!$C$3,5,1)),MIN(J1001,DATE(Einstellungen!$C$3,6,0)),Einstellungen!$F$13:$F$32)))</f>
        <v/>
      </c>
      <c r="Q1001" s="49">
        <f>IF(OR(A1001="",D1001=""),0,MAX(0,NETWORKDAYS(MAX(D1001,DATE(Einstellungen!$C$3,6,1)),MIN(J1001,DATE(Einstellungen!$C$3,7,0)),Einstellungen!$F$13:$F$32)))</f>
        <v/>
      </c>
      <c r="R1001" s="49">
        <f>IF(OR(A1001="",D1001=""),0,MAX(0,NETWORKDAYS(MAX(D1001,DATE(Einstellungen!$C$3,7,1)),MIN(J1001,DATE(Einstellungen!$C$3,8,0)),Einstellungen!$F$13:$F$32)))</f>
        <v/>
      </c>
      <c r="S1001" s="49">
        <f>IF(OR(A1001="",D1001=""),0,MAX(0,NETWORKDAYS(MAX(D1001,DATE(Einstellungen!$C$3,8,1)),MIN(J1001,DATE(Einstellungen!$C$3,9,0)),Einstellungen!$F$13:$F$32)))</f>
        <v/>
      </c>
      <c r="T1001" s="49">
        <f>IF(OR(A1001="",D1001=""),0,MAX(0,NETWORKDAYS(MAX(D1001,DATE(Einstellungen!$C$3,9,1)),MIN(J1001,DATE(Einstellungen!$C$3,10,0)),Einstellungen!$F$13:$F$32)))</f>
        <v/>
      </c>
      <c r="U1001" s="49">
        <f>IF(OR(A1001="",D1001=""),0,MAX(0,NETWORKDAYS(MAX(D1001,DATE(Einstellungen!$C$3,10,1)),MIN(J1001,DATE(Einstellungen!$C$3,11,0)),Einstellungen!$F$13:$F$32)))</f>
        <v/>
      </c>
      <c r="V1001" s="49">
        <f>IF(OR(A1001="",D1001=""),0,MAX(0,NETWORKDAYS(MAX(D1001,DATE(Einstellungen!$C$3,11,1)),MIN(J1001,DATE(Einstellungen!$C$3,12,0)),Einstellungen!$F$13:$F$32)))</f>
        <v/>
      </c>
      <c r="W1001" s="49">
        <f>IF(OR(A1001="",D1001=""),0,MAX(0,NETWORKDAYS(MAX(D1001,DATE(Einstellungen!$C$3,12,1)),MIN(J1001,DATE(Einstellungen!$C$3,13,0)),Einstellungen!$F$13:$F$32)))</f>
        <v/>
      </c>
      <c r="X1001" s="50">
        <f>L1001*K1001</f>
        <v/>
      </c>
      <c r="Y1001" s="50">
        <f>M1001*K1001</f>
        <v/>
      </c>
      <c r="Z1001" s="50">
        <f>N1001*K1001</f>
        <v/>
      </c>
      <c r="AA1001" s="50">
        <f>O1001*K1001</f>
        <v/>
      </c>
      <c r="AB1001" s="50">
        <f>P1001*K1001</f>
        <v/>
      </c>
      <c r="AC1001" s="50">
        <f>Q1001*K1001</f>
        <v/>
      </c>
      <c r="AD1001" s="50">
        <f>R1001*K1001</f>
        <v/>
      </c>
      <c r="AE1001" s="50">
        <f>S1001*K1001</f>
        <v/>
      </c>
      <c r="AF1001" s="50">
        <f>T1001*K1001</f>
        <v/>
      </c>
      <c r="AG1001" s="50">
        <f>U1001*K1001</f>
        <v/>
      </c>
      <c r="AH1001" s="50">
        <f>V1001*K1001</f>
        <v/>
      </c>
      <c r="AI1001" s="50">
        <f>W1001*K1001</f>
        <v/>
      </c>
    </row>
    <row r="1002">
      <c r="A1002" s="25" t="n"/>
      <c r="B1002" s="45">
        <f>IF(A1002="","",IFERROR(INDEX(Mitarbeiter!$B$6:$B$205,MATCH($A1002,Mitarbeiter!$A$6:$A$205,0)),"?"))</f>
        <v/>
      </c>
      <c r="C1002" s="46" t="n"/>
      <c r="D1002" s="26" t="n"/>
      <c r="E1002" s="26" t="n"/>
      <c r="F1002" s="24">
        <f>IF(A1002="","",SUM(L1002:W1002))</f>
        <v/>
      </c>
      <c r="G1002" s="36">
        <f>IF(A1002="","",SUM(X1002:AI1002))</f>
        <v/>
      </c>
      <c r="H1002" s="8">
        <f>IF(A1002="","",IF(ISNA(MATCH(A1002,Mitarbeiter!$A$6:$A$205,0)),"Pers.-Nr. unbekannt",IF(D1002="","Von fehlt",IF(AND(C1002&lt;&gt;Einstellungen!$C$4,C1002&lt;&gt;Einstellungen!$C$5),"Objekt fehlt",IF(J1002&lt;D1002,"Bis vor Von",IF(D1002&lt;INDEX(Mitarbeiter!$C$6:$C$205,MATCH($A1002,Mitarbeiter!$A$6:$A$205,0)),"vor Eintritt",IF(AND(INDEX(Mitarbeiter!$D$6:$D$205,MATCH($A1002,Mitarbeiter!$A$6:$A$205,0))&lt;&gt;"",D1002&gt;INDEX(Mitarbeiter!$D$6:$D$205,MATCH($A1002,Mitarbeiter!$A$6:$A$205,0))),"nach Austritt",IF(E1002="","offen","ok"))))))))</f>
        <v/>
      </c>
      <c r="J1002" s="47">
        <f>IF(A1002="","",IF(E1002="",Einstellungen!$C$9,E1002))</f>
        <v/>
      </c>
      <c r="K1002" s="48">
        <f>IF(A1002="",0,IFERROR(INDEX(Mitarbeiter!$F$6:$F$205,MATCH($A1002,Mitarbeiter!$A$6:$A$205,0)),0))</f>
        <v/>
      </c>
      <c r="L1002" s="49">
        <f>IF(OR(A1002="",D1002=""),0,MAX(0,NETWORKDAYS(MAX(D1002,DATE(Einstellungen!$C$3,1,1)),MIN(J1002,DATE(Einstellungen!$C$3,2,0)),Einstellungen!$F$13:$F$32)))</f>
        <v/>
      </c>
      <c r="M1002" s="49">
        <f>IF(OR(A1002="",D1002=""),0,MAX(0,NETWORKDAYS(MAX(D1002,DATE(Einstellungen!$C$3,2,1)),MIN(J1002,DATE(Einstellungen!$C$3,3,0)),Einstellungen!$F$13:$F$32)))</f>
        <v/>
      </c>
      <c r="N1002" s="49">
        <f>IF(OR(A1002="",D1002=""),0,MAX(0,NETWORKDAYS(MAX(D1002,DATE(Einstellungen!$C$3,3,1)),MIN(J1002,DATE(Einstellungen!$C$3,4,0)),Einstellungen!$F$13:$F$32)))</f>
        <v/>
      </c>
      <c r="O1002" s="49">
        <f>IF(OR(A1002="",D1002=""),0,MAX(0,NETWORKDAYS(MAX(D1002,DATE(Einstellungen!$C$3,4,1)),MIN(J1002,DATE(Einstellungen!$C$3,5,0)),Einstellungen!$F$13:$F$32)))</f>
        <v/>
      </c>
      <c r="P1002" s="49">
        <f>IF(OR(A1002="",D1002=""),0,MAX(0,NETWORKDAYS(MAX(D1002,DATE(Einstellungen!$C$3,5,1)),MIN(J1002,DATE(Einstellungen!$C$3,6,0)),Einstellungen!$F$13:$F$32)))</f>
        <v/>
      </c>
      <c r="Q1002" s="49">
        <f>IF(OR(A1002="",D1002=""),0,MAX(0,NETWORKDAYS(MAX(D1002,DATE(Einstellungen!$C$3,6,1)),MIN(J1002,DATE(Einstellungen!$C$3,7,0)),Einstellungen!$F$13:$F$32)))</f>
        <v/>
      </c>
      <c r="R1002" s="49">
        <f>IF(OR(A1002="",D1002=""),0,MAX(0,NETWORKDAYS(MAX(D1002,DATE(Einstellungen!$C$3,7,1)),MIN(J1002,DATE(Einstellungen!$C$3,8,0)),Einstellungen!$F$13:$F$32)))</f>
        <v/>
      </c>
      <c r="S1002" s="49">
        <f>IF(OR(A1002="",D1002=""),0,MAX(0,NETWORKDAYS(MAX(D1002,DATE(Einstellungen!$C$3,8,1)),MIN(J1002,DATE(Einstellungen!$C$3,9,0)),Einstellungen!$F$13:$F$32)))</f>
        <v/>
      </c>
      <c r="T1002" s="49">
        <f>IF(OR(A1002="",D1002=""),0,MAX(0,NETWORKDAYS(MAX(D1002,DATE(Einstellungen!$C$3,9,1)),MIN(J1002,DATE(Einstellungen!$C$3,10,0)),Einstellungen!$F$13:$F$32)))</f>
        <v/>
      </c>
      <c r="U1002" s="49">
        <f>IF(OR(A1002="",D1002=""),0,MAX(0,NETWORKDAYS(MAX(D1002,DATE(Einstellungen!$C$3,10,1)),MIN(J1002,DATE(Einstellungen!$C$3,11,0)),Einstellungen!$F$13:$F$32)))</f>
        <v/>
      </c>
      <c r="V1002" s="49">
        <f>IF(OR(A1002="",D1002=""),0,MAX(0,NETWORKDAYS(MAX(D1002,DATE(Einstellungen!$C$3,11,1)),MIN(J1002,DATE(Einstellungen!$C$3,12,0)),Einstellungen!$F$13:$F$32)))</f>
        <v/>
      </c>
      <c r="W1002" s="49">
        <f>IF(OR(A1002="",D1002=""),0,MAX(0,NETWORKDAYS(MAX(D1002,DATE(Einstellungen!$C$3,12,1)),MIN(J1002,DATE(Einstellungen!$C$3,13,0)),Einstellungen!$F$13:$F$32)))</f>
        <v/>
      </c>
      <c r="X1002" s="50">
        <f>L1002*K1002</f>
        <v/>
      </c>
      <c r="Y1002" s="50">
        <f>M1002*K1002</f>
        <v/>
      </c>
      <c r="Z1002" s="50">
        <f>N1002*K1002</f>
        <v/>
      </c>
      <c r="AA1002" s="50">
        <f>O1002*K1002</f>
        <v/>
      </c>
      <c r="AB1002" s="50">
        <f>P1002*K1002</f>
        <v/>
      </c>
      <c r="AC1002" s="50">
        <f>Q1002*K1002</f>
        <v/>
      </c>
      <c r="AD1002" s="50">
        <f>R1002*K1002</f>
        <v/>
      </c>
      <c r="AE1002" s="50">
        <f>S1002*K1002</f>
        <v/>
      </c>
      <c r="AF1002" s="50">
        <f>T1002*K1002</f>
        <v/>
      </c>
      <c r="AG1002" s="50">
        <f>U1002*K1002</f>
        <v/>
      </c>
      <c r="AH1002" s="50">
        <f>V1002*K1002</f>
        <v/>
      </c>
      <c r="AI1002" s="50">
        <f>W1002*K1002</f>
        <v/>
      </c>
    </row>
    <row r="1003">
      <c r="A1003" s="25" t="n"/>
      <c r="B1003" s="45">
        <f>IF(A1003="","",IFERROR(INDEX(Mitarbeiter!$B$6:$B$205,MATCH($A1003,Mitarbeiter!$A$6:$A$205,0)),"?"))</f>
        <v/>
      </c>
      <c r="C1003" s="46" t="n"/>
      <c r="D1003" s="26" t="n"/>
      <c r="E1003" s="26" t="n"/>
      <c r="F1003" s="24">
        <f>IF(A1003="","",SUM(L1003:W1003))</f>
        <v/>
      </c>
      <c r="G1003" s="36">
        <f>IF(A1003="","",SUM(X1003:AI1003))</f>
        <v/>
      </c>
      <c r="H1003" s="8">
        <f>IF(A1003="","",IF(ISNA(MATCH(A1003,Mitarbeiter!$A$6:$A$205,0)),"Pers.-Nr. unbekannt",IF(D1003="","Von fehlt",IF(AND(C1003&lt;&gt;Einstellungen!$C$4,C1003&lt;&gt;Einstellungen!$C$5),"Objekt fehlt",IF(J1003&lt;D1003,"Bis vor Von",IF(D1003&lt;INDEX(Mitarbeiter!$C$6:$C$205,MATCH($A1003,Mitarbeiter!$A$6:$A$205,0)),"vor Eintritt",IF(AND(INDEX(Mitarbeiter!$D$6:$D$205,MATCH($A1003,Mitarbeiter!$A$6:$A$205,0))&lt;&gt;"",D1003&gt;INDEX(Mitarbeiter!$D$6:$D$205,MATCH($A1003,Mitarbeiter!$A$6:$A$205,0))),"nach Austritt",IF(E1003="","offen","ok"))))))))</f>
        <v/>
      </c>
      <c r="J1003" s="47">
        <f>IF(A1003="","",IF(E1003="",Einstellungen!$C$9,E1003))</f>
        <v/>
      </c>
      <c r="K1003" s="48">
        <f>IF(A1003="",0,IFERROR(INDEX(Mitarbeiter!$F$6:$F$205,MATCH($A1003,Mitarbeiter!$A$6:$A$205,0)),0))</f>
        <v/>
      </c>
      <c r="L1003" s="49">
        <f>IF(OR(A1003="",D1003=""),0,MAX(0,NETWORKDAYS(MAX(D1003,DATE(Einstellungen!$C$3,1,1)),MIN(J1003,DATE(Einstellungen!$C$3,2,0)),Einstellungen!$F$13:$F$32)))</f>
        <v/>
      </c>
      <c r="M1003" s="49">
        <f>IF(OR(A1003="",D1003=""),0,MAX(0,NETWORKDAYS(MAX(D1003,DATE(Einstellungen!$C$3,2,1)),MIN(J1003,DATE(Einstellungen!$C$3,3,0)),Einstellungen!$F$13:$F$32)))</f>
        <v/>
      </c>
      <c r="N1003" s="49">
        <f>IF(OR(A1003="",D1003=""),0,MAX(0,NETWORKDAYS(MAX(D1003,DATE(Einstellungen!$C$3,3,1)),MIN(J1003,DATE(Einstellungen!$C$3,4,0)),Einstellungen!$F$13:$F$32)))</f>
        <v/>
      </c>
      <c r="O1003" s="49">
        <f>IF(OR(A1003="",D1003=""),0,MAX(0,NETWORKDAYS(MAX(D1003,DATE(Einstellungen!$C$3,4,1)),MIN(J1003,DATE(Einstellungen!$C$3,5,0)),Einstellungen!$F$13:$F$32)))</f>
        <v/>
      </c>
      <c r="P1003" s="49">
        <f>IF(OR(A1003="",D1003=""),0,MAX(0,NETWORKDAYS(MAX(D1003,DATE(Einstellungen!$C$3,5,1)),MIN(J1003,DATE(Einstellungen!$C$3,6,0)),Einstellungen!$F$13:$F$32)))</f>
        <v/>
      </c>
      <c r="Q1003" s="49">
        <f>IF(OR(A1003="",D1003=""),0,MAX(0,NETWORKDAYS(MAX(D1003,DATE(Einstellungen!$C$3,6,1)),MIN(J1003,DATE(Einstellungen!$C$3,7,0)),Einstellungen!$F$13:$F$32)))</f>
        <v/>
      </c>
      <c r="R1003" s="49">
        <f>IF(OR(A1003="",D1003=""),0,MAX(0,NETWORKDAYS(MAX(D1003,DATE(Einstellungen!$C$3,7,1)),MIN(J1003,DATE(Einstellungen!$C$3,8,0)),Einstellungen!$F$13:$F$32)))</f>
        <v/>
      </c>
      <c r="S1003" s="49">
        <f>IF(OR(A1003="",D1003=""),0,MAX(0,NETWORKDAYS(MAX(D1003,DATE(Einstellungen!$C$3,8,1)),MIN(J1003,DATE(Einstellungen!$C$3,9,0)),Einstellungen!$F$13:$F$32)))</f>
        <v/>
      </c>
      <c r="T1003" s="49">
        <f>IF(OR(A1003="",D1003=""),0,MAX(0,NETWORKDAYS(MAX(D1003,DATE(Einstellungen!$C$3,9,1)),MIN(J1003,DATE(Einstellungen!$C$3,10,0)),Einstellungen!$F$13:$F$32)))</f>
        <v/>
      </c>
      <c r="U1003" s="49">
        <f>IF(OR(A1003="",D1003=""),0,MAX(0,NETWORKDAYS(MAX(D1003,DATE(Einstellungen!$C$3,10,1)),MIN(J1003,DATE(Einstellungen!$C$3,11,0)),Einstellungen!$F$13:$F$32)))</f>
        <v/>
      </c>
      <c r="V1003" s="49">
        <f>IF(OR(A1003="",D1003=""),0,MAX(0,NETWORKDAYS(MAX(D1003,DATE(Einstellungen!$C$3,11,1)),MIN(J1003,DATE(Einstellungen!$C$3,12,0)),Einstellungen!$F$13:$F$32)))</f>
        <v/>
      </c>
      <c r="W1003" s="49">
        <f>IF(OR(A1003="",D1003=""),0,MAX(0,NETWORKDAYS(MAX(D1003,DATE(Einstellungen!$C$3,12,1)),MIN(J1003,DATE(Einstellungen!$C$3,13,0)),Einstellungen!$F$13:$F$32)))</f>
        <v/>
      </c>
      <c r="X1003" s="50">
        <f>L1003*K1003</f>
        <v/>
      </c>
      <c r="Y1003" s="50">
        <f>M1003*K1003</f>
        <v/>
      </c>
      <c r="Z1003" s="50">
        <f>N1003*K1003</f>
        <v/>
      </c>
      <c r="AA1003" s="50">
        <f>O1003*K1003</f>
        <v/>
      </c>
      <c r="AB1003" s="50">
        <f>P1003*K1003</f>
        <v/>
      </c>
      <c r="AC1003" s="50">
        <f>Q1003*K1003</f>
        <v/>
      </c>
      <c r="AD1003" s="50">
        <f>R1003*K1003</f>
        <v/>
      </c>
      <c r="AE1003" s="50">
        <f>S1003*K1003</f>
        <v/>
      </c>
      <c r="AF1003" s="50">
        <f>T1003*K1003</f>
        <v/>
      </c>
      <c r="AG1003" s="50">
        <f>U1003*K1003</f>
        <v/>
      </c>
      <c r="AH1003" s="50">
        <f>V1003*K1003</f>
        <v/>
      </c>
      <c r="AI1003" s="50">
        <f>W1003*K1003</f>
        <v/>
      </c>
    </row>
    <row r="1004">
      <c r="A1004" s="25" t="n"/>
      <c r="B1004" s="45">
        <f>IF(A1004="","",IFERROR(INDEX(Mitarbeiter!$B$6:$B$205,MATCH($A1004,Mitarbeiter!$A$6:$A$205,0)),"?"))</f>
        <v/>
      </c>
      <c r="C1004" s="46" t="n"/>
      <c r="D1004" s="26" t="n"/>
      <c r="E1004" s="26" t="n"/>
      <c r="F1004" s="24">
        <f>IF(A1004="","",SUM(L1004:W1004))</f>
        <v/>
      </c>
      <c r="G1004" s="36">
        <f>IF(A1004="","",SUM(X1004:AI1004))</f>
        <v/>
      </c>
      <c r="H1004" s="8">
        <f>IF(A1004="","",IF(ISNA(MATCH(A1004,Mitarbeiter!$A$6:$A$205,0)),"Pers.-Nr. unbekannt",IF(D1004="","Von fehlt",IF(AND(C1004&lt;&gt;Einstellungen!$C$4,C1004&lt;&gt;Einstellungen!$C$5),"Objekt fehlt",IF(J1004&lt;D1004,"Bis vor Von",IF(D1004&lt;INDEX(Mitarbeiter!$C$6:$C$205,MATCH($A1004,Mitarbeiter!$A$6:$A$205,0)),"vor Eintritt",IF(AND(INDEX(Mitarbeiter!$D$6:$D$205,MATCH($A1004,Mitarbeiter!$A$6:$A$205,0))&lt;&gt;"",D1004&gt;INDEX(Mitarbeiter!$D$6:$D$205,MATCH($A1004,Mitarbeiter!$A$6:$A$205,0))),"nach Austritt",IF(E1004="","offen","ok"))))))))</f>
        <v/>
      </c>
      <c r="J1004" s="47">
        <f>IF(A1004="","",IF(E1004="",Einstellungen!$C$9,E1004))</f>
        <v/>
      </c>
      <c r="K1004" s="48">
        <f>IF(A1004="",0,IFERROR(INDEX(Mitarbeiter!$F$6:$F$205,MATCH($A1004,Mitarbeiter!$A$6:$A$205,0)),0))</f>
        <v/>
      </c>
      <c r="L1004" s="49">
        <f>IF(OR(A1004="",D1004=""),0,MAX(0,NETWORKDAYS(MAX(D1004,DATE(Einstellungen!$C$3,1,1)),MIN(J1004,DATE(Einstellungen!$C$3,2,0)),Einstellungen!$F$13:$F$32)))</f>
        <v/>
      </c>
      <c r="M1004" s="49">
        <f>IF(OR(A1004="",D1004=""),0,MAX(0,NETWORKDAYS(MAX(D1004,DATE(Einstellungen!$C$3,2,1)),MIN(J1004,DATE(Einstellungen!$C$3,3,0)),Einstellungen!$F$13:$F$32)))</f>
        <v/>
      </c>
      <c r="N1004" s="49">
        <f>IF(OR(A1004="",D1004=""),0,MAX(0,NETWORKDAYS(MAX(D1004,DATE(Einstellungen!$C$3,3,1)),MIN(J1004,DATE(Einstellungen!$C$3,4,0)),Einstellungen!$F$13:$F$32)))</f>
        <v/>
      </c>
      <c r="O1004" s="49">
        <f>IF(OR(A1004="",D1004=""),0,MAX(0,NETWORKDAYS(MAX(D1004,DATE(Einstellungen!$C$3,4,1)),MIN(J1004,DATE(Einstellungen!$C$3,5,0)),Einstellungen!$F$13:$F$32)))</f>
        <v/>
      </c>
      <c r="P1004" s="49">
        <f>IF(OR(A1004="",D1004=""),0,MAX(0,NETWORKDAYS(MAX(D1004,DATE(Einstellungen!$C$3,5,1)),MIN(J1004,DATE(Einstellungen!$C$3,6,0)),Einstellungen!$F$13:$F$32)))</f>
        <v/>
      </c>
      <c r="Q1004" s="49">
        <f>IF(OR(A1004="",D1004=""),0,MAX(0,NETWORKDAYS(MAX(D1004,DATE(Einstellungen!$C$3,6,1)),MIN(J1004,DATE(Einstellungen!$C$3,7,0)),Einstellungen!$F$13:$F$32)))</f>
        <v/>
      </c>
      <c r="R1004" s="49">
        <f>IF(OR(A1004="",D1004=""),0,MAX(0,NETWORKDAYS(MAX(D1004,DATE(Einstellungen!$C$3,7,1)),MIN(J1004,DATE(Einstellungen!$C$3,8,0)),Einstellungen!$F$13:$F$32)))</f>
        <v/>
      </c>
      <c r="S1004" s="49">
        <f>IF(OR(A1004="",D1004=""),0,MAX(0,NETWORKDAYS(MAX(D1004,DATE(Einstellungen!$C$3,8,1)),MIN(J1004,DATE(Einstellungen!$C$3,9,0)),Einstellungen!$F$13:$F$32)))</f>
        <v/>
      </c>
      <c r="T1004" s="49">
        <f>IF(OR(A1004="",D1004=""),0,MAX(0,NETWORKDAYS(MAX(D1004,DATE(Einstellungen!$C$3,9,1)),MIN(J1004,DATE(Einstellungen!$C$3,10,0)),Einstellungen!$F$13:$F$32)))</f>
        <v/>
      </c>
      <c r="U1004" s="49">
        <f>IF(OR(A1004="",D1004=""),0,MAX(0,NETWORKDAYS(MAX(D1004,DATE(Einstellungen!$C$3,10,1)),MIN(J1004,DATE(Einstellungen!$C$3,11,0)),Einstellungen!$F$13:$F$32)))</f>
        <v/>
      </c>
      <c r="V1004" s="49">
        <f>IF(OR(A1004="",D1004=""),0,MAX(0,NETWORKDAYS(MAX(D1004,DATE(Einstellungen!$C$3,11,1)),MIN(J1004,DATE(Einstellungen!$C$3,12,0)),Einstellungen!$F$13:$F$32)))</f>
        <v/>
      </c>
      <c r="W1004" s="49">
        <f>IF(OR(A1004="",D1004=""),0,MAX(0,NETWORKDAYS(MAX(D1004,DATE(Einstellungen!$C$3,12,1)),MIN(J1004,DATE(Einstellungen!$C$3,13,0)),Einstellungen!$F$13:$F$32)))</f>
        <v/>
      </c>
      <c r="X1004" s="50">
        <f>L1004*K1004</f>
        <v/>
      </c>
      <c r="Y1004" s="50">
        <f>M1004*K1004</f>
        <v/>
      </c>
      <c r="Z1004" s="50">
        <f>N1004*K1004</f>
        <v/>
      </c>
      <c r="AA1004" s="50">
        <f>O1004*K1004</f>
        <v/>
      </c>
      <c r="AB1004" s="50">
        <f>P1004*K1004</f>
        <v/>
      </c>
      <c r="AC1004" s="50">
        <f>Q1004*K1004</f>
        <v/>
      </c>
      <c r="AD1004" s="50">
        <f>R1004*K1004</f>
        <v/>
      </c>
      <c r="AE1004" s="50">
        <f>S1004*K1004</f>
        <v/>
      </c>
      <c r="AF1004" s="50">
        <f>T1004*K1004</f>
        <v/>
      </c>
      <c r="AG1004" s="50">
        <f>U1004*K1004</f>
        <v/>
      </c>
      <c r="AH1004" s="50">
        <f>V1004*K1004</f>
        <v/>
      </c>
      <c r="AI1004" s="50">
        <f>W1004*K1004</f>
        <v/>
      </c>
    </row>
    <row r="1005">
      <c r="A1005" s="25" t="n"/>
      <c r="B1005" s="45">
        <f>IF(A1005="","",IFERROR(INDEX(Mitarbeiter!$B$6:$B$205,MATCH($A1005,Mitarbeiter!$A$6:$A$205,0)),"?"))</f>
        <v/>
      </c>
      <c r="C1005" s="46" t="n"/>
      <c r="D1005" s="26" t="n"/>
      <c r="E1005" s="26" t="n"/>
      <c r="F1005" s="24">
        <f>IF(A1005="","",SUM(L1005:W1005))</f>
        <v/>
      </c>
      <c r="G1005" s="36">
        <f>IF(A1005="","",SUM(X1005:AI1005))</f>
        <v/>
      </c>
      <c r="H1005" s="8">
        <f>IF(A1005="","",IF(ISNA(MATCH(A1005,Mitarbeiter!$A$6:$A$205,0)),"Pers.-Nr. unbekannt",IF(D1005="","Von fehlt",IF(AND(C1005&lt;&gt;Einstellungen!$C$4,C1005&lt;&gt;Einstellungen!$C$5),"Objekt fehlt",IF(J1005&lt;D1005,"Bis vor Von",IF(D1005&lt;INDEX(Mitarbeiter!$C$6:$C$205,MATCH($A1005,Mitarbeiter!$A$6:$A$205,0)),"vor Eintritt",IF(AND(INDEX(Mitarbeiter!$D$6:$D$205,MATCH($A1005,Mitarbeiter!$A$6:$A$205,0))&lt;&gt;"",D1005&gt;INDEX(Mitarbeiter!$D$6:$D$205,MATCH($A1005,Mitarbeiter!$A$6:$A$205,0))),"nach Austritt",IF(E1005="","offen","ok"))))))))</f>
        <v/>
      </c>
      <c r="J1005" s="47">
        <f>IF(A1005="","",IF(E1005="",Einstellungen!$C$9,E1005))</f>
        <v/>
      </c>
      <c r="K1005" s="48">
        <f>IF(A1005="",0,IFERROR(INDEX(Mitarbeiter!$F$6:$F$205,MATCH($A1005,Mitarbeiter!$A$6:$A$205,0)),0))</f>
        <v/>
      </c>
      <c r="L1005" s="49">
        <f>IF(OR(A1005="",D1005=""),0,MAX(0,NETWORKDAYS(MAX(D1005,DATE(Einstellungen!$C$3,1,1)),MIN(J1005,DATE(Einstellungen!$C$3,2,0)),Einstellungen!$F$13:$F$32)))</f>
        <v/>
      </c>
      <c r="M1005" s="49">
        <f>IF(OR(A1005="",D1005=""),0,MAX(0,NETWORKDAYS(MAX(D1005,DATE(Einstellungen!$C$3,2,1)),MIN(J1005,DATE(Einstellungen!$C$3,3,0)),Einstellungen!$F$13:$F$32)))</f>
        <v/>
      </c>
      <c r="N1005" s="49">
        <f>IF(OR(A1005="",D1005=""),0,MAX(0,NETWORKDAYS(MAX(D1005,DATE(Einstellungen!$C$3,3,1)),MIN(J1005,DATE(Einstellungen!$C$3,4,0)),Einstellungen!$F$13:$F$32)))</f>
        <v/>
      </c>
      <c r="O1005" s="49">
        <f>IF(OR(A1005="",D1005=""),0,MAX(0,NETWORKDAYS(MAX(D1005,DATE(Einstellungen!$C$3,4,1)),MIN(J1005,DATE(Einstellungen!$C$3,5,0)),Einstellungen!$F$13:$F$32)))</f>
        <v/>
      </c>
      <c r="P1005" s="49">
        <f>IF(OR(A1005="",D1005=""),0,MAX(0,NETWORKDAYS(MAX(D1005,DATE(Einstellungen!$C$3,5,1)),MIN(J1005,DATE(Einstellungen!$C$3,6,0)),Einstellungen!$F$13:$F$32)))</f>
        <v/>
      </c>
      <c r="Q1005" s="49">
        <f>IF(OR(A1005="",D1005=""),0,MAX(0,NETWORKDAYS(MAX(D1005,DATE(Einstellungen!$C$3,6,1)),MIN(J1005,DATE(Einstellungen!$C$3,7,0)),Einstellungen!$F$13:$F$32)))</f>
        <v/>
      </c>
      <c r="R1005" s="49">
        <f>IF(OR(A1005="",D1005=""),0,MAX(0,NETWORKDAYS(MAX(D1005,DATE(Einstellungen!$C$3,7,1)),MIN(J1005,DATE(Einstellungen!$C$3,8,0)),Einstellungen!$F$13:$F$32)))</f>
        <v/>
      </c>
      <c r="S1005" s="49">
        <f>IF(OR(A1005="",D1005=""),0,MAX(0,NETWORKDAYS(MAX(D1005,DATE(Einstellungen!$C$3,8,1)),MIN(J1005,DATE(Einstellungen!$C$3,9,0)),Einstellungen!$F$13:$F$32)))</f>
        <v/>
      </c>
      <c r="T1005" s="49">
        <f>IF(OR(A1005="",D1005=""),0,MAX(0,NETWORKDAYS(MAX(D1005,DATE(Einstellungen!$C$3,9,1)),MIN(J1005,DATE(Einstellungen!$C$3,10,0)),Einstellungen!$F$13:$F$32)))</f>
        <v/>
      </c>
      <c r="U1005" s="49">
        <f>IF(OR(A1005="",D1005=""),0,MAX(0,NETWORKDAYS(MAX(D1005,DATE(Einstellungen!$C$3,10,1)),MIN(J1005,DATE(Einstellungen!$C$3,11,0)),Einstellungen!$F$13:$F$32)))</f>
        <v/>
      </c>
      <c r="V1005" s="49">
        <f>IF(OR(A1005="",D1005=""),0,MAX(0,NETWORKDAYS(MAX(D1005,DATE(Einstellungen!$C$3,11,1)),MIN(J1005,DATE(Einstellungen!$C$3,12,0)),Einstellungen!$F$13:$F$32)))</f>
        <v/>
      </c>
      <c r="W1005" s="49">
        <f>IF(OR(A1005="",D1005=""),0,MAX(0,NETWORKDAYS(MAX(D1005,DATE(Einstellungen!$C$3,12,1)),MIN(J1005,DATE(Einstellungen!$C$3,13,0)),Einstellungen!$F$13:$F$32)))</f>
        <v/>
      </c>
      <c r="X1005" s="50">
        <f>L1005*K1005</f>
        <v/>
      </c>
      <c r="Y1005" s="50">
        <f>M1005*K1005</f>
        <v/>
      </c>
      <c r="Z1005" s="50">
        <f>N1005*K1005</f>
        <v/>
      </c>
      <c r="AA1005" s="50">
        <f>O1005*K1005</f>
        <v/>
      </c>
      <c r="AB1005" s="50">
        <f>P1005*K1005</f>
        <v/>
      </c>
      <c r="AC1005" s="50">
        <f>Q1005*K1005</f>
        <v/>
      </c>
      <c r="AD1005" s="50">
        <f>R1005*K1005</f>
        <v/>
      </c>
      <c r="AE1005" s="50">
        <f>S1005*K1005</f>
        <v/>
      </c>
      <c r="AF1005" s="50">
        <f>T1005*K1005</f>
        <v/>
      </c>
      <c r="AG1005" s="50">
        <f>U1005*K1005</f>
        <v/>
      </c>
      <c r="AH1005" s="50">
        <f>V1005*K1005</f>
        <v/>
      </c>
      <c r="AI1005" s="50">
        <f>W1005*K1005</f>
        <v/>
      </c>
    </row>
  </sheetData>
  <mergeCells count="1">
    <mergeCell ref="A2:H2"/>
  </mergeCells>
  <conditionalFormatting sqref="H6:H1005">
    <cfRule type="cellIs" priority="1" operator="equal" dxfId="3">
      <formula>"offen"</formula>
    </cfRule>
    <cfRule type="expression" priority="2" dxfId="4">
      <formula>AND(H6&lt;&gt;"",H6&lt;&gt;"ok",H6&lt;&gt;"offen")</formula>
    </cfRule>
  </conditionalFormatting>
  <dataValidations count="4">
    <dataValidation sqref="A6:A1005" showDropDown="0" showInputMessage="0" showErrorMessage="1" allowBlank="0" error="Pers.-Nr. zuerst im Tab Mitarbeiter anlegen." type="list">
      <formula1>=Mitarbeiter!$A$6:$A$205</formula1>
    </dataValidation>
    <dataValidation sqref="C6:C1005" showDropDown="0" showInputMessage="0" showErrorMessage="1" allowBlank="0" error="Bitte Objekt aus Liste wählen." type="list">
      <formula1>=Einstellungen!$C$4:$C$5</formula1>
    </dataValidation>
    <dataValidation sqref="D6:D1005" showDropDown="0" showInputMessage="0" showErrorMessage="1" allowBlank="0" error="Bitte gültiges Datum" type="date" operator="between">
      <formula1>DATE(2000,1,1)</formula1>
      <formula2>DATE(2100,12,31)</formula2>
    </dataValidation>
    <dataValidation sqref="E6:E1005" showDropDown="0" showInputMessage="0" showErrorMessage="1" allowBlank="0" error="Bitte gültiges Datum" type="date" operator="between">
      <formula1>DATE(2000,1,1)</formula1>
      <formula2>DATE(2100,12,31)</formula2>
    </dataValidation>
  </dataValidations>
  <hyperlinks>
    <hyperlink xmlns:r="http://schemas.openxmlformats.org/officeDocument/2006/relationships" ref="N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</cols>
  <sheetData>
    <row r="1">
      <c r="A1" s="1" t="inlineStr">
        <is>
          <t>Operative Krankenquote je Objekt und Monat</t>
        </is>
      </c>
      <c r="N1" s="12" t="inlineStr">
        <is>
          <t>→ Erklärung</t>
        </is>
      </c>
    </row>
    <row r="2" ht="28" customHeight="1">
      <c r="A2" s="13" t="inlineStr">
        <is>
          <t>Automatisch aus „Stunden Objekte“ und „Krankmeldungen“. Quote = Krankstunden ÷ (Gesamtstunden + Krankstunden); falls Gesamtstunden Krankstunden schon enthalten (Einstellungen = Ja): Krankstunden ÷ Gesamtstunden.</t>
        </is>
      </c>
    </row>
    <row r="4">
      <c r="A4" s="42" t="n"/>
      <c r="B4" s="51">
        <f>Einstellungen!$C$4</f>
        <v/>
      </c>
      <c r="C4" s="52" t="n"/>
      <c r="D4" s="52" t="n"/>
      <c r="E4" s="52" t="n"/>
      <c r="F4" s="52" t="n"/>
      <c r="G4" s="53">
        <f>Einstellungen!$C$5</f>
        <v/>
      </c>
      <c r="H4" s="54" t="n"/>
      <c r="I4" s="54" t="n"/>
      <c r="J4" s="54" t="n"/>
      <c r="K4" s="54" t="n"/>
      <c r="L4" s="44" t="inlineStr">
        <is>
          <t>Gesamt (beide Objekte)</t>
        </is>
      </c>
      <c r="M4" s="55" t="n"/>
      <c r="N4" s="55" t="n"/>
      <c r="O4" s="55" t="n"/>
      <c r="P4" s="55" t="n"/>
    </row>
    <row r="5" ht="30" customHeight="1">
      <c r="A5" s="20" t="inlineStr">
        <is>
          <t>Monat</t>
        </is>
      </c>
      <c r="B5" s="51" t="inlineStr">
        <is>
          <t>Gesamt-
stunden</t>
        </is>
      </c>
      <c r="C5" s="51" t="inlineStr">
        <is>
          <t>Krank-
stunden</t>
        </is>
      </c>
      <c r="D5" s="51" t="inlineStr">
        <is>
          <t>Kranken-
quote</t>
        </is>
      </c>
      <c r="E5" s="51" t="inlineStr">
        <is>
          <t>Krank-
tage</t>
        </is>
      </c>
      <c r="F5" s="51" t="inlineStr">
        <is>
          <t>Kranke
MA</t>
        </is>
      </c>
      <c r="G5" s="53" t="inlineStr">
        <is>
          <t>Gesamt-
stunden</t>
        </is>
      </c>
      <c r="H5" s="53" t="inlineStr">
        <is>
          <t>Krank-
stunden</t>
        </is>
      </c>
      <c r="I5" s="53" t="inlineStr">
        <is>
          <t>Kranken-
quote</t>
        </is>
      </c>
      <c r="J5" s="53" t="inlineStr">
        <is>
          <t>Krank-
tage</t>
        </is>
      </c>
      <c r="K5" s="53" t="inlineStr">
        <is>
          <t>Kranke
MA</t>
        </is>
      </c>
      <c r="L5" s="44" t="inlineStr">
        <is>
          <t>Gesamt-
stunden</t>
        </is>
      </c>
      <c r="M5" s="44" t="inlineStr">
        <is>
          <t>Krank-
stunden</t>
        </is>
      </c>
      <c r="N5" s="44" t="inlineStr">
        <is>
          <t>Kranken-
quote</t>
        </is>
      </c>
      <c r="O5" s="44" t="inlineStr">
        <is>
          <t>Krank-
tage</t>
        </is>
      </c>
      <c r="P5" s="44" t="inlineStr">
        <is>
          <t>Kranke
MA</t>
        </is>
      </c>
    </row>
    <row r="6">
      <c r="A6" s="56" t="inlineStr">
        <is>
          <t>Januar</t>
        </is>
      </c>
      <c r="B6" s="57">
        <f>'Stunden Objekte'!B5</f>
        <v/>
      </c>
      <c r="C6" s="58">
        <f>SUMIFS(Krankmeldungen!$X$6:$X$1005,Krankmeldungen!$C$6:$C$1005,Einstellungen!$C$4)</f>
        <v/>
      </c>
      <c r="D6" s="40">
        <f>IF(Einstellungen!$C$10="Ja",IF(B6&gt;0,C6/B6,0),IF(B6+C6&gt;0,C6/(B6+C6),0))</f>
        <v/>
      </c>
      <c r="E6" s="35">
        <f>SUMIFS(Krankmeldungen!$L$6:$L$1005,Krankmeldungen!$C$6:$C$1005,Einstellungen!$C$4)</f>
        <v/>
      </c>
      <c r="F6" s="35">
        <f>SUMPRODUCT((Mitarbeiter!$A$6:$A$205&lt;&gt;"")*(COUNTIFS(Krankmeldungen!$A$6:$A$1005,Mitarbeiter!$A$6:$A$205,Krankmeldungen!$C$6:$C$1005,Einstellungen!$C$4,Krankmeldungen!$L$6:$L$1005,"&gt;0")&gt;0))</f>
        <v/>
      </c>
      <c r="G6" s="57">
        <f>'Stunden Objekte'!C5</f>
        <v/>
      </c>
      <c r="H6" s="58">
        <f>SUMIFS(Krankmeldungen!$X$6:$X$1005,Krankmeldungen!$C$6:$C$1005,Einstellungen!$C$5)</f>
        <v/>
      </c>
      <c r="I6" s="40">
        <f>IF(Einstellungen!$C$10="Ja",IF(G6&gt;0,H6/G6,0),IF(G6+H6&gt;0,H6/(G6+H6),0))</f>
        <v/>
      </c>
      <c r="J6" s="35">
        <f>SUMIFS(Krankmeldungen!$L$6:$L$1005,Krankmeldungen!$C$6:$C$1005,Einstellungen!$C$5)</f>
        <v/>
      </c>
      <c r="K6" s="35">
        <f>SUMPRODUCT((Mitarbeiter!$A$6:$A$205&lt;&gt;"")*(COUNTIFS(Krankmeldungen!$A$6:$A$1005,Mitarbeiter!$A$6:$A$205,Krankmeldungen!$C$6:$C$1005,Einstellungen!$C$5,Krankmeldungen!$L$6:$L$1005,"&gt;0")&gt;0))</f>
        <v/>
      </c>
      <c r="L6" s="58">
        <f>B6+G6</f>
        <v/>
      </c>
      <c r="M6" s="58">
        <f>C6+H6</f>
        <v/>
      </c>
      <c r="N6" s="40">
        <f>IF(Einstellungen!$C$10="Ja",IF(L6&gt;0,M6/L6,0),IF(L6+M6&gt;0,M6/(L6+M6),0))</f>
        <v/>
      </c>
      <c r="O6" s="35">
        <f>E6+J6</f>
        <v/>
      </c>
      <c r="P6" s="35">
        <f>SUMPRODUCT((Mitarbeiter!$A$6:$A$205&lt;&gt;"")*(COUNTIFS(Krankmeldungen!$A$6:$A$1005,Mitarbeiter!$A$6:$A$205,Krankmeldungen!$L$6:$L$1005,"&gt;0")&gt;0))</f>
        <v/>
      </c>
    </row>
    <row r="7">
      <c r="A7" s="56" t="inlineStr">
        <is>
          <t>Februar</t>
        </is>
      </c>
      <c r="B7" s="57">
        <f>'Stunden Objekte'!B6</f>
        <v/>
      </c>
      <c r="C7" s="58">
        <f>SUMIFS(Krankmeldungen!$Y$6:$Y$1005,Krankmeldungen!$C$6:$C$1005,Einstellungen!$C$4)</f>
        <v/>
      </c>
      <c r="D7" s="40">
        <f>IF(Einstellungen!$C$10="Ja",IF(B7&gt;0,C7/B7,0),IF(B7+C7&gt;0,C7/(B7+C7),0))</f>
        <v/>
      </c>
      <c r="E7" s="35">
        <f>SUMIFS(Krankmeldungen!$M$6:$M$1005,Krankmeldungen!$C$6:$C$1005,Einstellungen!$C$4)</f>
        <v/>
      </c>
      <c r="F7" s="35">
        <f>SUMPRODUCT((Mitarbeiter!$A$6:$A$205&lt;&gt;"")*(COUNTIFS(Krankmeldungen!$A$6:$A$1005,Mitarbeiter!$A$6:$A$205,Krankmeldungen!$C$6:$C$1005,Einstellungen!$C$4,Krankmeldungen!$M$6:$M$1005,"&gt;0")&gt;0))</f>
        <v/>
      </c>
      <c r="G7" s="57">
        <f>'Stunden Objekte'!C6</f>
        <v/>
      </c>
      <c r="H7" s="58">
        <f>SUMIFS(Krankmeldungen!$Y$6:$Y$1005,Krankmeldungen!$C$6:$C$1005,Einstellungen!$C$5)</f>
        <v/>
      </c>
      <c r="I7" s="40">
        <f>IF(Einstellungen!$C$10="Ja",IF(G7&gt;0,H7/G7,0),IF(G7+H7&gt;0,H7/(G7+H7),0))</f>
        <v/>
      </c>
      <c r="J7" s="35">
        <f>SUMIFS(Krankmeldungen!$M$6:$M$1005,Krankmeldungen!$C$6:$C$1005,Einstellungen!$C$5)</f>
        <v/>
      </c>
      <c r="K7" s="35">
        <f>SUMPRODUCT((Mitarbeiter!$A$6:$A$205&lt;&gt;"")*(COUNTIFS(Krankmeldungen!$A$6:$A$1005,Mitarbeiter!$A$6:$A$205,Krankmeldungen!$C$6:$C$1005,Einstellungen!$C$5,Krankmeldungen!$M$6:$M$1005,"&gt;0")&gt;0))</f>
        <v/>
      </c>
      <c r="L7" s="58">
        <f>B7+G7</f>
        <v/>
      </c>
      <c r="M7" s="58">
        <f>C7+H7</f>
        <v/>
      </c>
      <c r="N7" s="40">
        <f>IF(Einstellungen!$C$10="Ja",IF(L7&gt;0,M7/L7,0),IF(L7+M7&gt;0,M7/(L7+M7),0))</f>
        <v/>
      </c>
      <c r="O7" s="35">
        <f>E7+J7</f>
        <v/>
      </c>
      <c r="P7" s="35">
        <f>SUMPRODUCT((Mitarbeiter!$A$6:$A$205&lt;&gt;"")*(COUNTIFS(Krankmeldungen!$A$6:$A$1005,Mitarbeiter!$A$6:$A$205,Krankmeldungen!$M$6:$M$1005,"&gt;0")&gt;0))</f>
        <v/>
      </c>
    </row>
    <row r="8">
      <c r="A8" s="56" t="inlineStr">
        <is>
          <t>März</t>
        </is>
      </c>
      <c r="B8" s="57">
        <f>'Stunden Objekte'!B7</f>
        <v/>
      </c>
      <c r="C8" s="58">
        <f>SUMIFS(Krankmeldungen!$Z$6:$Z$1005,Krankmeldungen!$C$6:$C$1005,Einstellungen!$C$4)</f>
        <v/>
      </c>
      <c r="D8" s="40">
        <f>IF(Einstellungen!$C$10="Ja",IF(B8&gt;0,C8/B8,0),IF(B8+C8&gt;0,C8/(B8+C8),0))</f>
        <v/>
      </c>
      <c r="E8" s="35">
        <f>SUMIFS(Krankmeldungen!$N$6:$N$1005,Krankmeldungen!$C$6:$C$1005,Einstellungen!$C$4)</f>
        <v/>
      </c>
      <c r="F8" s="35">
        <f>SUMPRODUCT((Mitarbeiter!$A$6:$A$205&lt;&gt;"")*(COUNTIFS(Krankmeldungen!$A$6:$A$1005,Mitarbeiter!$A$6:$A$205,Krankmeldungen!$C$6:$C$1005,Einstellungen!$C$4,Krankmeldungen!$N$6:$N$1005,"&gt;0")&gt;0))</f>
        <v/>
      </c>
      <c r="G8" s="57">
        <f>'Stunden Objekte'!C7</f>
        <v/>
      </c>
      <c r="H8" s="58">
        <f>SUMIFS(Krankmeldungen!$Z$6:$Z$1005,Krankmeldungen!$C$6:$C$1005,Einstellungen!$C$5)</f>
        <v/>
      </c>
      <c r="I8" s="40">
        <f>IF(Einstellungen!$C$10="Ja",IF(G8&gt;0,H8/G8,0),IF(G8+H8&gt;0,H8/(G8+H8),0))</f>
        <v/>
      </c>
      <c r="J8" s="35">
        <f>SUMIFS(Krankmeldungen!$N$6:$N$1005,Krankmeldungen!$C$6:$C$1005,Einstellungen!$C$5)</f>
        <v/>
      </c>
      <c r="K8" s="35">
        <f>SUMPRODUCT((Mitarbeiter!$A$6:$A$205&lt;&gt;"")*(COUNTIFS(Krankmeldungen!$A$6:$A$1005,Mitarbeiter!$A$6:$A$205,Krankmeldungen!$C$6:$C$1005,Einstellungen!$C$5,Krankmeldungen!$N$6:$N$1005,"&gt;0")&gt;0))</f>
        <v/>
      </c>
      <c r="L8" s="58">
        <f>B8+G8</f>
        <v/>
      </c>
      <c r="M8" s="58">
        <f>C8+H8</f>
        <v/>
      </c>
      <c r="N8" s="40">
        <f>IF(Einstellungen!$C$10="Ja",IF(L8&gt;0,M8/L8,0),IF(L8+M8&gt;0,M8/(L8+M8),0))</f>
        <v/>
      </c>
      <c r="O8" s="35">
        <f>E8+J8</f>
        <v/>
      </c>
      <c r="P8" s="35">
        <f>SUMPRODUCT((Mitarbeiter!$A$6:$A$205&lt;&gt;"")*(COUNTIFS(Krankmeldungen!$A$6:$A$1005,Mitarbeiter!$A$6:$A$205,Krankmeldungen!$N$6:$N$1005,"&gt;0")&gt;0))</f>
        <v/>
      </c>
    </row>
    <row r="9">
      <c r="A9" s="56" t="inlineStr">
        <is>
          <t>April</t>
        </is>
      </c>
      <c r="B9" s="57">
        <f>'Stunden Objekte'!B8</f>
        <v/>
      </c>
      <c r="C9" s="58">
        <f>SUMIFS(Krankmeldungen!$AA$6:$AA$1005,Krankmeldungen!$C$6:$C$1005,Einstellungen!$C$4)</f>
        <v/>
      </c>
      <c r="D9" s="40">
        <f>IF(Einstellungen!$C$10="Ja",IF(B9&gt;0,C9/B9,0),IF(B9+C9&gt;0,C9/(B9+C9),0))</f>
        <v/>
      </c>
      <c r="E9" s="35">
        <f>SUMIFS(Krankmeldungen!$O$6:$O$1005,Krankmeldungen!$C$6:$C$1005,Einstellungen!$C$4)</f>
        <v/>
      </c>
      <c r="F9" s="35">
        <f>SUMPRODUCT((Mitarbeiter!$A$6:$A$205&lt;&gt;"")*(COUNTIFS(Krankmeldungen!$A$6:$A$1005,Mitarbeiter!$A$6:$A$205,Krankmeldungen!$C$6:$C$1005,Einstellungen!$C$4,Krankmeldungen!$O$6:$O$1005,"&gt;0")&gt;0))</f>
        <v/>
      </c>
      <c r="G9" s="57">
        <f>'Stunden Objekte'!C8</f>
        <v/>
      </c>
      <c r="H9" s="58">
        <f>SUMIFS(Krankmeldungen!$AA$6:$AA$1005,Krankmeldungen!$C$6:$C$1005,Einstellungen!$C$5)</f>
        <v/>
      </c>
      <c r="I9" s="40">
        <f>IF(Einstellungen!$C$10="Ja",IF(G9&gt;0,H9/G9,0),IF(G9+H9&gt;0,H9/(G9+H9),0))</f>
        <v/>
      </c>
      <c r="J9" s="35">
        <f>SUMIFS(Krankmeldungen!$O$6:$O$1005,Krankmeldungen!$C$6:$C$1005,Einstellungen!$C$5)</f>
        <v/>
      </c>
      <c r="K9" s="35">
        <f>SUMPRODUCT((Mitarbeiter!$A$6:$A$205&lt;&gt;"")*(COUNTIFS(Krankmeldungen!$A$6:$A$1005,Mitarbeiter!$A$6:$A$205,Krankmeldungen!$C$6:$C$1005,Einstellungen!$C$5,Krankmeldungen!$O$6:$O$1005,"&gt;0")&gt;0))</f>
        <v/>
      </c>
      <c r="L9" s="58">
        <f>B9+G9</f>
        <v/>
      </c>
      <c r="M9" s="58">
        <f>C9+H9</f>
        <v/>
      </c>
      <c r="N9" s="40">
        <f>IF(Einstellungen!$C$10="Ja",IF(L9&gt;0,M9/L9,0),IF(L9+M9&gt;0,M9/(L9+M9),0))</f>
        <v/>
      </c>
      <c r="O9" s="35">
        <f>E9+J9</f>
        <v/>
      </c>
      <c r="P9" s="35">
        <f>SUMPRODUCT((Mitarbeiter!$A$6:$A$205&lt;&gt;"")*(COUNTIFS(Krankmeldungen!$A$6:$A$1005,Mitarbeiter!$A$6:$A$205,Krankmeldungen!$O$6:$O$1005,"&gt;0")&gt;0))</f>
        <v/>
      </c>
    </row>
    <row r="10">
      <c r="A10" s="56" t="inlineStr">
        <is>
          <t>Mai</t>
        </is>
      </c>
      <c r="B10" s="57">
        <f>'Stunden Objekte'!B9</f>
        <v/>
      </c>
      <c r="C10" s="58">
        <f>SUMIFS(Krankmeldungen!$AB$6:$AB$1005,Krankmeldungen!$C$6:$C$1005,Einstellungen!$C$4)</f>
        <v/>
      </c>
      <c r="D10" s="40">
        <f>IF(Einstellungen!$C$10="Ja",IF(B10&gt;0,C10/B10,0),IF(B10+C10&gt;0,C10/(B10+C10),0))</f>
        <v/>
      </c>
      <c r="E10" s="35">
        <f>SUMIFS(Krankmeldungen!$P$6:$P$1005,Krankmeldungen!$C$6:$C$1005,Einstellungen!$C$4)</f>
        <v/>
      </c>
      <c r="F10" s="35">
        <f>SUMPRODUCT((Mitarbeiter!$A$6:$A$205&lt;&gt;"")*(COUNTIFS(Krankmeldungen!$A$6:$A$1005,Mitarbeiter!$A$6:$A$205,Krankmeldungen!$C$6:$C$1005,Einstellungen!$C$4,Krankmeldungen!$P$6:$P$1005,"&gt;0")&gt;0))</f>
        <v/>
      </c>
      <c r="G10" s="57">
        <f>'Stunden Objekte'!C9</f>
        <v/>
      </c>
      <c r="H10" s="58">
        <f>SUMIFS(Krankmeldungen!$AB$6:$AB$1005,Krankmeldungen!$C$6:$C$1005,Einstellungen!$C$5)</f>
        <v/>
      </c>
      <c r="I10" s="40">
        <f>IF(Einstellungen!$C$10="Ja",IF(G10&gt;0,H10/G10,0),IF(G10+H10&gt;0,H10/(G10+H10),0))</f>
        <v/>
      </c>
      <c r="J10" s="35">
        <f>SUMIFS(Krankmeldungen!$P$6:$P$1005,Krankmeldungen!$C$6:$C$1005,Einstellungen!$C$5)</f>
        <v/>
      </c>
      <c r="K10" s="35">
        <f>SUMPRODUCT((Mitarbeiter!$A$6:$A$205&lt;&gt;"")*(COUNTIFS(Krankmeldungen!$A$6:$A$1005,Mitarbeiter!$A$6:$A$205,Krankmeldungen!$C$6:$C$1005,Einstellungen!$C$5,Krankmeldungen!$P$6:$P$1005,"&gt;0")&gt;0))</f>
        <v/>
      </c>
      <c r="L10" s="58">
        <f>B10+G10</f>
        <v/>
      </c>
      <c r="M10" s="58">
        <f>C10+H10</f>
        <v/>
      </c>
      <c r="N10" s="40">
        <f>IF(Einstellungen!$C$10="Ja",IF(L10&gt;0,M10/L10,0),IF(L10+M10&gt;0,M10/(L10+M10),0))</f>
        <v/>
      </c>
      <c r="O10" s="35">
        <f>E10+J10</f>
        <v/>
      </c>
      <c r="P10" s="35">
        <f>SUMPRODUCT((Mitarbeiter!$A$6:$A$205&lt;&gt;"")*(COUNTIFS(Krankmeldungen!$A$6:$A$1005,Mitarbeiter!$A$6:$A$205,Krankmeldungen!$P$6:$P$1005,"&gt;0")&gt;0))</f>
        <v/>
      </c>
    </row>
    <row r="11">
      <c r="A11" s="56" t="inlineStr">
        <is>
          <t>Juni</t>
        </is>
      </c>
      <c r="B11" s="57">
        <f>'Stunden Objekte'!B10</f>
        <v/>
      </c>
      <c r="C11" s="58">
        <f>SUMIFS(Krankmeldungen!$AC$6:$AC$1005,Krankmeldungen!$C$6:$C$1005,Einstellungen!$C$4)</f>
        <v/>
      </c>
      <c r="D11" s="40">
        <f>IF(Einstellungen!$C$10="Ja",IF(B11&gt;0,C11/B11,0),IF(B11+C11&gt;0,C11/(B11+C11),0))</f>
        <v/>
      </c>
      <c r="E11" s="35">
        <f>SUMIFS(Krankmeldungen!$Q$6:$Q$1005,Krankmeldungen!$C$6:$C$1005,Einstellungen!$C$4)</f>
        <v/>
      </c>
      <c r="F11" s="35">
        <f>SUMPRODUCT((Mitarbeiter!$A$6:$A$205&lt;&gt;"")*(COUNTIFS(Krankmeldungen!$A$6:$A$1005,Mitarbeiter!$A$6:$A$205,Krankmeldungen!$C$6:$C$1005,Einstellungen!$C$4,Krankmeldungen!$Q$6:$Q$1005,"&gt;0")&gt;0))</f>
        <v/>
      </c>
      <c r="G11" s="57">
        <f>'Stunden Objekte'!C10</f>
        <v/>
      </c>
      <c r="H11" s="58">
        <f>SUMIFS(Krankmeldungen!$AC$6:$AC$1005,Krankmeldungen!$C$6:$C$1005,Einstellungen!$C$5)</f>
        <v/>
      </c>
      <c r="I11" s="40">
        <f>IF(Einstellungen!$C$10="Ja",IF(G11&gt;0,H11/G11,0),IF(G11+H11&gt;0,H11/(G11+H11),0))</f>
        <v/>
      </c>
      <c r="J11" s="35">
        <f>SUMIFS(Krankmeldungen!$Q$6:$Q$1005,Krankmeldungen!$C$6:$C$1005,Einstellungen!$C$5)</f>
        <v/>
      </c>
      <c r="K11" s="35">
        <f>SUMPRODUCT((Mitarbeiter!$A$6:$A$205&lt;&gt;"")*(COUNTIFS(Krankmeldungen!$A$6:$A$1005,Mitarbeiter!$A$6:$A$205,Krankmeldungen!$C$6:$C$1005,Einstellungen!$C$5,Krankmeldungen!$Q$6:$Q$1005,"&gt;0")&gt;0))</f>
        <v/>
      </c>
      <c r="L11" s="58">
        <f>B11+G11</f>
        <v/>
      </c>
      <c r="M11" s="58">
        <f>C11+H11</f>
        <v/>
      </c>
      <c r="N11" s="40">
        <f>IF(Einstellungen!$C$10="Ja",IF(L11&gt;0,M11/L11,0),IF(L11+M11&gt;0,M11/(L11+M11),0))</f>
        <v/>
      </c>
      <c r="O11" s="35">
        <f>E11+J11</f>
        <v/>
      </c>
      <c r="P11" s="35">
        <f>SUMPRODUCT((Mitarbeiter!$A$6:$A$205&lt;&gt;"")*(COUNTIFS(Krankmeldungen!$A$6:$A$1005,Mitarbeiter!$A$6:$A$205,Krankmeldungen!$Q$6:$Q$1005,"&gt;0")&gt;0))</f>
        <v/>
      </c>
    </row>
    <row r="12">
      <c r="A12" s="56" t="inlineStr">
        <is>
          <t>Juli</t>
        </is>
      </c>
      <c r="B12" s="57">
        <f>'Stunden Objekte'!B11</f>
        <v/>
      </c>
      <c r="C12" s="58">
        <f>SUMIFS(Krankmeldungen!$AD$6:$AD$1005,Krankmeldungen!$C$6:$C$1005,Einstellungen!$C$4)</f>
        <v/>
      </c>
      <c r="D12" s="40">
        <f>IF(Einstellungen!$C$10="Ja",IF(B12&gt;0,C12/B12,0),IF(B12+C12&gt;0,C12/(B12+C12),0))</f>
        <v/>
      </c>
      <c r="E12" s="35">
        <f>SUMIFS(Krankmeldungen!$R$6:$R$1005,Krankmeldungen!$C$6:$C$1005,Einstellungen!$C$4)</f>
        <v/>
      </c>
      <c r="F12" s="35">
        <f>SUMPRODUCT((Mitarbeiter!$A$6:$A$205&lt;&gt;"")*(COUNTIFS(Krankmeldungen!$A$6:$A$1005,Mitarbeiter!$A$6:$A$205,Krankmeldungen!$C$6:$C$1005,Einstellungen!$C$4,Krankmeldungen!$R$6:$R$1005,"&gt;0")&gt;0))</f>
        <v/>
      </c>
      <c r="G12" s="57">
        <f>'Stunden Objekte'!C11</f>
        <v/>
      </c>
      <c r="H12" s="58">
        <f>SUMIFS(Krankmeldungen!$AD$6:$AD$1005,Krankmeldungen!$C$6:$C$1005,Einstellungen!$C$5)</f>
        <v/>
      </c>
      <c r="I12" s="40">
        <f>IF(Einstellungen!$C$10="Ja",IF(G12&gt;0,H12/G12,0),IF(G12+H12&gt;0,H12/(G12+H12),0))</f>
        <v/>
      </c>
      <c r="J12" s="35">
        <f>SUMIFS(Krankmeldungen!$R$6:$R$1005,Krankmeldungen!$C$6:$C$1005,Einstellungen!$C$5)</f>
        <v/>
      </c>
      <c r="K12" s="35">
        <f>SUMPRODUCT((Mitarbeiter!$A$6:$A$205&lt;&gt;"")*(COUNTIFS(Krankmeldungen!$A$6:$A$1005,Mitarbeiter!$A$6:$A$205,Krankmeldungen!$C$6:$C$1005,Einstellungen!$C$5,Krankmeldungen!$R$6:$R$1005,"&gt;0")&gt;0))</f>
        <v/>
      </c>
      <c r="L12" s="58">
        <f>B12+G12</f>
        <v/>
      </c>
      <c r="M12" s="58">
        <f>C12+H12</f>
        <v/>
      </c>
      <c r="N12" s="40">
        <f>IF(Einstellungen!$C$10="Ja",IF(L12&gt;0,M12/L12,0),IF(L12+M12&gt;0,M12/(L12+M12),0))</f>
        <v/>
      </c>
      <c r="O12" s="35">
        <f>E12+J12</f>
        <v/>
      </c>
      <c r="P12" s="35">
        <f>SUMPRODUCT((Mitarbeiter!$A$6:$A$205&lt;&gt;"")*(COUNTIFS(Krankmeldungen!$A$6:$A$1005,Mitarbeiter!$A$6:$A$205,Krankmeldungen!$R$6:$R$1005,"&gt;0")&gt;0))</f>
        <v/>
      </c>
    </row>
    <row r="13">
      <c r="A13" s="56" t="inlineStr">
        <is>
          <t>August</t>
        </is>
      </c>
      <c r="B13" s="57">
        <f>'Stunden Objekte'!B12</f>
        <v/>
      </c>
      <c r="C13" s="58">
        <f>SUMIFS(Krankmeldungen!$AE$6:$AE$1005,Krankmeldungen!$C$6:$C$1005,Einstellungen!$C$4)</f>
        <v/>
      </c>
      <c r="D13" s="40">
        <f>IF(Einstellungen!$C$10="Ja",IF(B13&gt;0,C13/B13,0),IF(B13+C13&gt;0,C13/(B13+C13),0))</f>
        <v/>
      </c>
      <c r="E13" s="35">
        <f>SUMIFS(Krankmeldungen!$S$6:$S$1005,Krankmeldungen!$C$6:$C$1005,Einstellungen!$C$4)</f>
        <v/>
      </c>
      <c r="F13" s="35">
        <f>SUMPRODUCT((Mitarbeiter!$A$6:$A$205&lt;&gt;"")*(COUNTIFS(Krankmeldungen!$A$6:$A$1005,Mitarbeiter!$A$6:$A$205,Krankmeldungen!$C$6:$C$1005,Einstellungen!$C$4,Krankmeldungen!$S$6:$S$1005,"&gt;0")&gt;0))</f>
        <v/>
      </c>
      <c r="G13" s="57">
        <f>'Stunden Objekte'!C12</f>
        <v/>
      </c>
      <c r="H13" s="58">
        <f>SUMIFS(Krankmeldungen!$AE$6:$AE$1005,Krankmeldungen!$C$6:$C$1005,Einstellungen!$C$5)</f>
        <v/>
      </c>
      <c r="I13" s="40">
        <f>IF(Einstellungen!$C$10="Ja",IF(G13&gt;0,H13/G13,0),IF(G13+H13&gt;0,H13/(G13+H13),0))</f>
        <v/>
      </c>
      <c r="J13" s="35">
        <f>SUMIFS(Krankmeldungen!$S$6:$S$1005,Krankmeldungen!$C$6:$C$1005,Einstellungen!$C$5)</f>
        <v/>
      </c>
      <c r="K13" s="35">
        <f>SUMPRODUCT((Mitarbeiter!$A$6:$A$205&lt;&gt;"")*(COUNTIFS(Krankmeldungen!$A$6:$A$1005,Mitarbeiter!$A$6:$A$205,Krankmeldungen!$C$6:$C$1005,Einstellungen!$C$5,Krankmeldungen!$S$6:$S$1005,"&gt;0")&gt;0))</f>
        <v/>
      </c>
      <c r="L13" s="58">
        <f>B13+G13</f>
        <v/>
      </c>
      <c r="M13" s="58">
        <f>C13+H13</f>
        <v/>
      </c>
      <c r="N13" s="40">
        <f>IF(Einstellungen!$C$10="Ja",IF(L13&gt;0,M13/L13,0),IF(L13+M13&gt;0,M13/(L13+M13),0))</f>
        <v/>
      </c>
      <c r="O13" s="35">
        <f>E13+J13</f>
        <v/>
      </c>
      <c r="P13" s="35">
        <f>SUMPRODUCT((Mitarbeiter!$A$6:$A$205&lt;&gt;"")*(COUNTIFS(Krankmeldungen!$A$6:$A$1005,Mitarbeiter!$A$6:$A$205,Krankmeldungen!$S$6:$S$1005,"&gt;0")&gt;0))</f>
        <v/>
      </c>
    </row>
    <row r="14">
      <c r="A14" s="56" t="inlineStr">
        <is>
          <t>September</t>
        </is>
      </c>
      <c r="B14" s="57">
        <f>'Stunden Objekte'!B13</f>
        <v/>
      </c>
      <c r="C14" s="58">
        <f>SUMIFS(Krankmeldungen!$AF$6:$AF$1005,Krankmeldungen!$C$6:$C$1005,Einstellungen!$C$4)</f>
        <v/>
      </c>
      <c r="D14" s="40">
        <f>IF(Einstellungen!$C$10="Ja",IF(B14&gt;0,C14/B14,0),IF(B14+C14&gt;0,C14/(B14+C14),0))</f>
        <v/>
      </c>
      <c r="E14" s="35">
        <f>SUMIFS(Krankmeldungen!$T$6:$T$1005,Krankmeldungen!$C$6:$C$1005,Einstellungen!$C$4)</f>
        <v/>
      </c>
      <c r="F14" s="35">
        <f>SUMPRODUCT((Mitarbeiter!$A$6:$A$205&lt;&gt;"")*(COUNTIFS(Krankmeldungen!$A$6:$A$1005,Mitarbeiter!$A$6:$A$205,Krankmeldungen!$C$6:$C$1005,Einstellungen!$C$4,Krankmeldungen!$T$6:$T$1005,"&gt;0")&gt;0))</f>
        <v/>
      </c>
      <c r="G14" s="57">
        <f>'Stunden Objekte'!C13</f>
        <v/>
      </c>
      <c r="H14" s="58">
        <f>SUMIFS(Krankmeldungen!$AF$6:$AF$1005,Krankmeldungen!$C$6:$C$1005,Einstellungen!$C$5)</f>
        <v/>
      </c>
      <c r="I14" s="40">
        <f>IF(Einstellungen!$C$10="Ja",IF(G14&gt;0,H14/G14,0),IF(G14+H14&gt;0,H14/(G14+H14),0))</f>
        <v/>
      </c>
      <c r="J14" s="35">
        <f>SUMIFS(Krankmeldungen!$T$6:$T$1005,Krankmeldungen!$C$6:$C$1005,Einstellungen!$C$5)</f>
        <v/>
      </c>
      <c r="K14" s="35">
        <f>SUMPRODUCT((Mitarbeiter!$A$6:$A$205&lt;&gt;"")*(COUNTIFS(Krankmeldungen!$A$6:$A$1005,Mitarbeiter!$A$6:$A$205,Krankmeldungen!$C$6:$C$1005,Einstellungen!$C$5,Krankmeldungen!$T$6:$T$1005,"&gt;0")&gt;0))</f>
        <v/>
      </c>
      <c r="L14" s="58">
        <f>B14+G14</f>
        <v/>
      </c>
      <c r="M14" s="58">
        <f>C14+H14</f>
        <v/>
      </c>
      <c r="N14" s="40">
        <f>IF(Einstellungen!$C$10="Ja",IF(L14&gt;0,M14/L14,0),IF(L14+M14&gt;0,M14/(L14+M14),0))</f>
        <v/>
      </c>
      <c r="O14" s="35">
        <f>E14+J14</f>
        <v/>
      </c>
      <c r="P14" s="35">
        <f>SUMPRODUCT((Mitarbeiter!$A$6:$A$205&lt;&gt;"")*(COUNTIFS(Krankmeldungen!$A$6:$A$1005,Mitarbeiter!$A$6:$A$205,Krankmeldungen!$T$6:$T$1005,"&gt;0")&gt;0))</f>
        <v/>
      </c>
    </row>
    <row r="15">
      <c r="A15" s="56" t="inlineStr">
        <is>
          <t>Oktober</t>
        </is>
      </c>
      <c r="B15" s="57">
        <f>'Stunden Objekte'!B14</f>
        <v/>
      </c>
      <c r="C15" s="58">
        <f>SUMIFS(Krankmeldungen!$AG$6:$AG$1005,Krankmeldungen!$C$6:$C$1005,Einstellungen!$C$4)</f>
        <v/>
      </c>
      <c r="D15" s="40">
        <f>IF(Einstellungen!$C$10="Ja",IF(B15&gt;0,C15/B15,0),IF(B15+C15&gt;0,C15/(B15+C15),0))</f>
        <v/>
      </c>
      <c r="E15" s="35">
        <f>SUMIFS(Krankmeldungen!$U$6:$U$1005,Krankmeldungen!$C$6:$C$1005,Einstellungen!$C$4)</f>
        <v/>
      </c>
      <c r="F15" s="35">
        <f>SUMPRODUCT((Mitarbeiter!$A$6:$A$205&lt;&gt;"")*(COUNTIFS(Krankmeldungen!$A$6:$A$1005,Mitarbeiter!$A$6:$A$205,Krankmeldungen!$C$6:$C$1005,Einstellungen!$C$4,Krankmeldungen!$U$6:$U$1005,"&gt;0")&gt;0))</f>
        <v/>
      </c>
      <c r="G15" s="57">
        <f>'Stunden Objekte'!C14</f>
        <v/>
      </c>
      <c r="H15" s="58">
        <f>SUMIFS(Krankmeldungen!$AG$6:$AG$1005,Krankmeldungen!$C$6:$C$1005,Einstellungen!$C$5)</f>
        <v/>
      </c>
      <c r="I15" s="40">
        <f>IF(Einstellungen!$C$10="Ja",IF(G15&gt;0,H15/G15,0),IF(G15+H15&gt;0,H15/(G15+H15),0))</f>
        <v/>
      </c>
      <c r="J15" s="35">
        <f>SUMIFS(Krankmeldungen!$U$6:$U$1005,Krankmeldungen!$C$6:$C$1005,Einstellungen!$C$5)</f>
        <v/>
      </c>
      <c r="K15" s="35">
        <f>SUMPRODUCT((Mitarbeiter!$A$6:$A$205&lt;&gt;"")*(COUNTIFS(Krankmeldungen!$A$6:$A$1005,Mitarbeiter!$A$6:$A$205,Krankmeldungen!$C$6:$C$1005,Einstellungen!$C$5,Krankmeldungen!$U$6:$U$1005,"&gt;0")&gt;0))</f>
        <v/>
      </c>
      <c r="L15" s="58">
        <f>B15+G15</f>
        <v/>
      </c>
      <c r="M15" s="58">
        <f>C15+H15</f>
        <v/>
      </c>
      <c r="N15" s="40">
        <f>IF(Einstellungen!$C$10="Ja",IF(L15&gt;0,M15/L15,0),IF(L15+M15&gt;0,M15/(L15+M15),0))</f>
        <v/>
      </c>
      <c r="O15" s="35">
        <f>E15+J15</f>
        <v/>
      </c>
      <c r="P15" s="35">
        <f>SUMPRODUCT((Mitarbeiter!$A$6:$A$205&lt;&gt;"")*(COUNTIFS(Krankmeldungen!$A$6:$A$1005,Mitarbeiter!$A$6:$A$205,Krankmeldungen!$U$6:$U$1005,"&gt;0")&gt;0))</f>
        <v/>
      </c>
    </row>
    <row r="16">
      <c r="A16" s="56" t="inlineStr">
        <is>
          <t>November</t>
        </is>
      </c>
      <c r="B16" s="57">
        <f>'Stunden Objekte'!B15</f>
        <v/>
      </c>
      <c r="C16" s="58">
        <f>SUMIFS(Krankmeldungen!$AH$6:$AH$1005,Krankmeldungen!$C$6:$C$1005,Einstellungen!$C$4)</f>
        <v/>
      </c>
      <c r="D16" s="40">
        <f>IF(Einstellungen!$C$10="Ja",IF(B16&gt;0,C16/B16,0),IF(B16+C16&gt;0,C16/(B16+C16),0))</f>
        <v/>
      </c>
      <c r="E16" s="35">
        <f>SUMIFS(Krankmeldungen!$V$6:$V$1005,Krankmeldungen!$C$6:$C$1005,Einstellungen!$C$4)</f>
        <v/>
      </c>
      <c r="F16" s="35">
        <f>SUMPRODUCT((Mitarbeiter!$A$6:$A$205&lt;&gt;"")*(COUNTIFS(Krankmeldungen!$A$6:$A$1005,Mitarbeiter!$A$6:$A$205,Krankmeldungen!$C$6:$C$1005,Einstellungen!$C$4,Krankmeldungen!$V$6:$V$1005,"&gt;0")&gt;0))</f>
        <v/>
      </c>
      <c r="G16" s="57">
        <f>'Stunden Objekte'!C15</f>
        <v/>
      </c>
      <c r="H16" s="58">
        <f>SUMIFS(Krankmeldungen!$AH$6:$AH$1005,Krankmeldungen!$C$6:$C$1005,Einstellungen!$C$5)</f>
        <v/>
      </c>
      <c r="I16" s="40">
        <f>IF(Einstellungen!$C$10="Ja",IF(G16&gt;0,H16/G16,0),IF(G16+H16&gt;0,H16/(G16+H16),0))</f>
        <v/>
      </c>
      <c r="J16" s="35">
        <f>SUMIFS(Krankmeldungen!$V$6:$V$1005,Krankmeldungen!$C$6:$C$1005,Einstellungen!$C$5)</f>
        <v/>
      </c>
      <c r="K16" s="35">
        <f>SUMPRODUCT((Mitarbeiter!$A$6:$A$205&lt;&gt;"")*(COUNTIFS(Krankmeldungen!$A$6:$A$1005,Mitarbeiter!$A$6:$A$205,Krankmeldungen!$C$6:$C$1005,Einstellungen!$C$5,Krankmeldungen!$V$6:$V$1005,"&gt;0")&gt;0))</f>
        <v/>
      </c>
      <c r="L16" s="58">
        <f>B16+G16</f>
        <v/>
      </c>
      <c r="M16" s="58">
        <f>C16+H16</f>
        <v/>
      </c>
      <c r="N16" s="40">
        <f>IF(Einstellungen!$C$10="Ja",IF(L16&gt;0,M16/L16,0),IF(L16+M16&gt;0,M16/(L16+M16),0))</f>
        <v/>
      </c>
      <c r="O16" s="35">
        <f>E16+J16</f>
        <v/>
      </c>
      <c r="P16" s="35">
        <f>SUMPRODUCT((Mitarbeiter!$A$6:$A$205&lt;&gt;"")*(COUNTIFS(Krankmeldungen!$A$6:$A$1005,Mitarbeiter!$A$6:$A$205,Krankmeldungen!$V$6:$V$1005,"&gt;0")&gt;0))</f>
        <v/>
      </c>
    </row>
    <row r="17">
      <c r="A17" s="56" t="inlineStr">
        <is>
          <t>Dezember</t>
        </is>
      </c>
      <c r="B17" s="57">
        <f>'Stunden Objekte'!B16</f>
        <v/>
      </c>
      <c r="C17" s="58">
        <f>SUMIFS(Krankmeldungen!$AI$6:$AI$1005,Krankmeldungen!$C$6:$C$1005,Einstellungen!$C$4)</f>
        <v/>
      </c>
      <c r="D17" s="40">
        <f>IF(Einstellungen!$C$10="Ja",IF(B17&gt;0,C17/B17,0),IF(B17+C17&gt;0,C17/(B17+C17),0))</f>
        <v/>
      </c>
      <c r="E17" s="35">
        <f>SUMIFS(Krankmeldungen!$W$6:$W$1005,Krankmeldungen!$C$6:$C$1005,Einstellungen!$C$4)</f>
        <v/>
      </c>
      <c r="F17" s="35">
        <f>SUMPRODUCT((Mitarbeiter!$A$6:$A$205&lt;&gt;"")*(COUNTIFS(Krankmeldungen!$A$6:$A$1005,Mitarbeiter!$A$6:$A$205,Krankmeldungen!$C$6:$C$1005,Einstellungen!$C$4,Krankmeldungen!$W$6:$W$1005,"&gt;0")&gt;0))</f>
        <v/>
      </c>
      <c r="G17" s="57">
        <f>'Stunden Objekte'!C16</f>
        <v/>
      </c>
      <c r="H17" s="58">
        <f>SUMIFS(Krankmeldungen!$AI$6:$AI$1005,Krankmeldungen!$C$6:$C$1005,Einstellungen!$C$5)</f>
        <v/>
      </c>
      <c r="I17" s="40">
        <f>IF(Einstellungen!$C$10="Ja",IF(G17&gt;0,H17/G17,0),IF(G17+H17&gt;0,H17/(G17+H17),0))</f>
        <v/>
      </c>
      <c r="J17" s="35">
        <f>SUMIFS(Krankmeldungen!$W$6:$W$1005,Krankmeldungen!$C$6:$C$1005,Einstellungen!$C$5)</f>
        <v/>
      </c>
      <c r="K17" s="35">
        <f>SUMPRODUCT((Mitarbeiter!$A$6:$A$205&lt;&gt;"")*(COUNTIFS(Krankmeldungen!$A$6:$A$1005,Mitarbeiter!$A$6:$A$205,Krankmeldungen!$C$6:$C$1005,Einstellungen!$C$5,Krankmeldungen!$W$6:$W$1005,"&gt;0")&gt;0))</f>
        <v/>
      </c>
      <c r="L17" s="58">
        <f>B17+G17</f>
        <v/>
      </c>
      <c r="M17" s="58">
        <f>C17+H17</f>
        <v/>
      </c>
      <c r="N17" s="40">
        <f>IF(Einstellungen!$C$10="Ja",IF(L17&gt;0,M17/L17,0),IF(L17+M17&gt;0,M17/(L17+M17),0))</f>
        <v/>
      </c>
      <c r="O17" s="35">
        <f>E17+J17</f>
        <v/>
      </c>
      <c r="P17" s="35">
        <f>SUMPRODUCT((Mitarbeiter!$A$6:$A$205&lt;&gt;"")*(COUNTIFS(Krankmeldungen!$A$6:$A$1005,Mitarbeiter!$A$6:$A$205,Krankmeldungen!$W$6:$W$1005,"&gt;0")&gt;0))</f>
        <v/>
      </c>
    </row>
    <row r="18">
      <c r="A18" s="20" t="inlineStr">
        <is>
          <t>Jahr</t>
        </is>
      </c>
      <c r="B18" s="36">
        <f>SUM(B6:B17)</f>
        <v/>
      </c>
      <c r="C18" s="36">
        <f>SUM(C6:C17)</f>
        <v/>
      </c>
      <c r="D18" s="59">
        <f>IF(Einstellungen!$C$10="Ja",IF(B18&gt;0,C18/B18,0),IF(B18+C18&gt;0,C18/(B18+C18),0))</f>
        <v/>
      </c>
      <c r="E18" s="24">
        <f>SUM(E6:E17)</f>
        <v/>
      </c>
      <c r="F18" s="24">
        <f>SUMPRODUCT((Mitarbeiter!$A$6:$A$205&lt;&gt;"")*(COUNTIFS(Krankmeldungen!$A$6:$A$1005,Mitarbeiter!$A$6:$A$205,Krankmeldungen!$C$6:$C$1005,Einstellungen!$C$4,Krankmeldungen!$F$6:$F$1005,"&gt;0")&gt;0))</f>
        <v/>
      </c>
      <c r="G18" s="36">
        <f>SUM(G6:G17)</f>
        <v/>
      </c>
      <c r="H18" s="36">
        <f>SUM(H6:H17)</f>
        <v/>
      </c>
      <c r="I18" s="59">
        <f>IF(Einstellungen!$C$10="Ja",IF(G18&gt;0,H18/G18,0),IF(G18+H18&gt;0,H18/(G18+H18),0))</f>
        <v/>
      </c>
      <c r="J18" s="24">
        <f>SUM(J6:J17)</f>
        <v/>
      </c>
      <c r="K18" s="24">
        <f>SUMPRODUCT((Mitarbeiter!$A$6:$A$205&lt;&gt;"")*(COUNTIFS(Krankmeldungen!$A$6:$A$1005,Mitarbeiter!$A$6:$A$205,Krankmeldungen!$C$6:$C$1005,Einstellungen!$C$5,Krankmeldungen!$F$6:$F$1005,"&gt;0")&gt;0))</f>
        <v/>
      </c>
      <c r="L18" s="36">
        <f>SUM(L6:L17)</f>
        <v/>
      </c>
      <c r="M18" s="36">
        <f>SUM(M6:M17)</f>
        <v/>
      </c>
      <c r="N18" s="59">
        <f>IF(Einstellungen!$C$10="Ja",IF(L18&gt;0,M18/L18,0),IF(L18+M18&gt;0,M18/(L18+M18),0))</f>
        <v/>
      </c>
      <c r="O18" s="24">
        <f>SUM(O6:O17)</f>
        <v/>
      </c>
      <c r="P18" s="24">
        <f>SUMPRODUCT((Mitarbeiter!$A$6:$A$205&lt;&gt;"")*(COUNTIFS(Krankmeldungen!$A$6:$A$1005,Mitarbeiter!$A$6:$A$205,Krankmeldungen!$F$6:$F$1005,"&gt;0")&gt;0))</f>
        <v/>
      </c>
    </row>
    <row r="20">
      <c r="A20" s="16" t="inlineStr">
        <is>
          <t>Kranke MA = verschiedene Personen mit Krankmeldung im Objekt/Monat. Gelb/Rot = über Ampel-Schwelle 1/2. Monate ohne Gesamtstunden zeigen „-“.</t>
        </is>
      </c>
    </row>
    <row r="21">
      <c r="A21" s="60" t="inlineStr">
        <is>
          <t>Kumuliert seit Jahresbeginn (Januar bis einschließlich Monat)</t>
        </is>
      </c>
    </row>
    <row r="22">
      <c r="A22" s="42" t="n"/>
      <c r="B22" s="51">
        <f>Einstellungen!$C$4</f>
        <v/>
      </c>
      <c r="C22" s="52" t="n"/>
      <c r="D22" s="52" t="n"/>
      <c r="E22" s="53">
        <f>Einstellungen!$C$5</f>
        <v/>
      </c>
      <c r="F22" s="54" t="n"/>
      <c r="G22" s="54" t="n"/>
      <c r="H22" s="44" t="inlineStr">
        <is>
          <t>Gesamt (beide Objekte)</t>
        </is>
      </c>
      <c r="I22" s="55" t="n"/>
      <c r="J22" s="55" t="n"/>
    </row>
    <row r="23" ht="30" customHeight="1">
      <c r="A23" s="20" t="inlineStr">
        <is>
          <t>bis Monat</t>
        </is>
      </c>
      <c r="B23" s="51" t="inlineStr">
        <is>
          <t>Gesamtstd.
kumuliert</t>
        </is>
      </c>
      <c r="C23" s="51" t="inlineStr">
        <is>
          <t>Krankstd.
kumuliert</t>
        </is>
      </c>
      <c r="D23" s="51" t="inlineStr">
        <is>
          <t>Quote
kumuliert</t>
        </is>
      </c>
      <c r="E23" s="53" t="inlineStr">
        <is>
          <t>Gesamtstd.
kumuliert</t>
        </is>
      </c>
      <c r="F23" s="53" t="inlineStr">
        <is>
          <t>Krankstd.
kumuliert</t>
        </is>
      </c>
      <c r="G23" s="53" t="inlineStr">
        <is>
          <t>Quote
kumuliert</t>
        </is>
      </c>
      <c r="H23" s="44" t="inlineStr">
        <is>
          <t>Gesamtstd.
kumuliert</t>
        </is>
      </c>
      <c r="I23" s="44" t="inlineStr">
        <is>
          <t>Krankstd.
kumuliert</t>
        </is>
      </c>
      <c r="J23" s="44" t="inlineStr">
        <is>
          <t>Quote
kumuliert</t>
        </is>
      </c>
    </row>
    <row r="24">
      <c r="A24" s="56" t="inlineStr">
        <is>
          <t>Januar</t>
        </is>
      </c>
      <c r="B24" s="58">
        <f>SUM(B$6:B6)</f>
        <v/>
      </c>
      <c r="C24" s="58">
        <f>SUM(C$6:C6)</f>
        <v/>
      </c>
      <c r="D24" s="40">
        <f>IF(Einstellungen!$C$10="Ja",IF(B24&gt;0,C24/B24,0),IF(B24+C24&gt;0,C24/(B24+C24),0))</f>
        <v/>
      </c>
      <c r="E24" s="58">
        <f>SUM(G$6:G6)</f>
        <v/>
      </c>
      <c r="F24" s="58">
        <f>SUM(H$6:H6)</f>
        <v/>
      </c>
      <c r="G24" s="40">
        <f>IF(Einstellungen!$C$10="Ja",IF(E24&gt;0,F24/E24,0),IF(E24+F24&gt;0,F24/(E24+F24),0))</f>
        <v/>
      </c>
      <c r="H24" s="58">
        <f>SUM(L$6:L6)</f>
        <v/>
      </c>
      <c r="I24" s="58">
        <f>SUM(M$6:M6)</f>
        <v/>
      </c>
      <c r="J24" s="40">
        <f>IF(Einstellungen!$C$10="Ja",IF(H24&gt;0,I24/H24,0),IF(H24+I24&gt;0,I24/(H24+I24),0))</f>
        <v/>
      </c>
    </row>
    <row r="25">
      <c r="A25" s="56" t="inlineStr">
        <is>
          <t>Februar</t>
        </is>
      </c>
      <c r="B25" s="58">
        <f>SUM(B$6:B7)</f>
        <v/>
      </c>
      <c r="C25" s="58">
        <f>SUM(C$6:C7)</f>
        <v/>
      </c>
      <c r="D25" s="40">
        <f>IF(Einstellungen!$C$10="Ja",IF(B25&gt;0,C25/B25,0),IF(B25+C25&gt;0,C25/(B25+C25),0))</f>
        <v/>
      </c>
      <c r="E25" s="58">
        <f>SUM(G$6:G7)</f>
        <v/>
      </c>
      <c r="F25" s="58">
        <f>SUM(H$6:H7)</f>
        <v/>
      </c>
      <c r="G25" s="40">
        <f>IF(Einstellungen!$C$10="Ja",IF(E25&gt;0,F25/E25,0),IF(E25+F25&gt;0,F25/(E25+F25),0))</f>
        <v/>
      </c>
      <c r="H25" s="58">
        <f>SUM(L$6:L7)</f>
        <v/>
      </c>
      <c r="I25" s="58">
        <f>SUM(M$6:M7)</f>
        <v/>
      </c>
      <c r="J25" s="40">
        <f>IF(Einstellungen!$C$10="Ja",IF(H25&gt;0,I25/H25,0),IF(H25+I25&gt;0,I25/(H25+I25),0))</f>
        <v/>
      </c>
    </row>
    <row r="26">
      <c r="A26" s="56" t="inlineStr">
        <is>
          <t>März</t>
        </is>
      </c>
      <c r="B26" s="58">
        <f>SUM(B$6:B8)</f>
        <v/>
      </c>
      <c r="C26" s="58">
        <f>SUM(C$6:C8)</f>
        <v/>
      </c>
      <c r="D26" s="40">
        <f>IF(Einstellungen!$C$10="Ja",IF(B26&gt;0,C26/B26,0),IF(B26+C26&gt;0,C26/(B26+C26),0))</f>
        <v/>
      </c>
      <c r="E26" s="58">
        <f>SUM(G$6:G8)</f>
        <v/>
      </c>
      <c r="F26" s="58">
        <f>SUM(H$6:H8)</f>
        <v/>
      </c>
      <c r="G26" s="40">
        <f>IF(Einstellungen!$C$10="Ja",IF(E26&gt;0,F26/E26,0),IF(E26+F26&gt;0,F26/(E26+F26),0))</f>
        <v/>
      </c>
      <c r="H26" s="58">
        <f>SUM(L$6:L8)</f>
        <v/>
      </c>
      <c r="I26" s="58">
        <f>SUM(M$6:M8)</f>
        <v/>
      </c>
      <c r="J26" s="40">
        <f>IF(Einstellungen!$C$10="Ja",IF(H26&gt;0,I26/H26,0),IF(H26+I26&gt;0,I26/(H26+I26),0))</f>
        <v/>
      </c>
    </row>
    <row r="27">
      <c r="A27" s="56" t="inlineStr">
        <is>
          <t>April</t>
        </is>
      </c>
      <c r="B27" s="58">
        <f>SUM(B$6:B9)</f>
        <v/>
      </c>
      <c r="C27" s="58">
        <f>SUM(C$6:C9)</f>
        <v/>
      </c>
      <c r="D27" s="40">
        <f>IF(Einstellungen!$C$10="Ja",IF(B27&gt;0,C27/B27,0),IF(B27+C27&gt;0,C27/(B27+C27),0))</f>
        <v/>
      </c>
      <c r="E27" s="58">
        <f>SUM(G$6:G9)</f>
        <v/>
      </c>
      <c r="F27" s="58">
        <f>SUM(H$6:H9)</f>
        <v/>
      </c>
      <c r="G27" s="40">
        <f>IF(Einstellungen!$C$10="Ja",IF(E27&gt;0,F27/E27,0),IF(E27+F27&gt;0,F27/(E27+F27),0))</f>
        <v/>
      </c>
      <c r="H27" s="58">
        <f>SUM(L$6:L9)</f>
        <v/>
      </c>
      <c r="I27" s="58">
        <f>SUM(M$6:M9)</f>
        <v/>
      </c>
      <c r="J27" s="40">
        <f>IF(Einstellungen!$C$10="Ja",IF(H27&gt;0,I27/H27,0),IF(H27+I27&gt;0,I27/(H27+I27),0))</f>
        <v/>
      </c>
    </row>
    <row r="28">
      <c r="A28" s="56" t="inlineStr">
        <is>
          <t>Mai</t>
        </is>
      </c>
      <c r="B28" s="58">
        <f>SUM(B$6:B10)</f>
        <v/>
      </c>
      <c r="C28" s="58">
        <f>SUM(C$6:C10)</f>
        <v/>
      </c>
      <c r="D28" s="40">
        <f>IF(Einstellungen!$C$10="Ja",IF(B28&gt;0,C28/B28,0),IF(B28+C28&gt;0,C28/(B28+C28),0))</f>
        <v/>
      </c>
      <c r="E28" s="58">
        <f>SUM(G$6:G10)</f>
        <v/>
      </c>
      <c r="F28" s="58">
        <f>SUM(H$6:H10)</f>
        <v/>
      </c>
      <c r="G28" s="40">
        <f>IF(Einstellungen!$C$10="Ja",IF(E28&gt;0,F28/E28,0),IF(E28+F28&gt;0,F28/(E28+F28),0))</f>
        <v/>
      </c>
      <c r="H28" s="58">
        <f>SUM(L$6:L10)</f>
        <v/>
      </c>
      <c r="I28" s="58">
        <f>SUM(M$6:M10)</f>
        <v/>
      </c>
      <c r="J28" s="40">
        <f>IF(Einstellungen!$C$10="Ja",IF(H28&gt;0,I28/H28,0),IF(H28+I28&gt;0,I28/(H28+I28),0))</f>
        <v/>
      </c>
    </row>
    <row r="29">
      <c r="A29" s="56" t="inlineStr">
        <is>
          <t>Juni</t>
        </is>
      </c>
      <c r="B29" s="58">
        <f>SUM(B$6:B11)</f>
        <v/>
      </c>
      <c r="C29" s="58">
        <f>SUM(C$6:C11)</f>
        <v/>
      </c>
      <c r="D29" s="40">
        <f>IF(Einstellungen!$C$10="Ja",IF(B29&gt;0,C29/B29,0),IF(B29+C29&gt;0,C29/(B29+C29),0))</f>
        <v/>
      </c>
      <c r="E29" s="58">
        <f>SUM(G$6:G11)</f>
        <v/>
      </c>
      <c r="F29" s="58">
        <f>SUM(H$6:H11)</f>
        <v/>
      </c>
      <c r="G29" s="40">
        <f>IF(Einstellungen!$C$10="Ja",IF(E29&gt;0,F29/E29,0),IF(E29+F29&gt;0,F29/(E29+F29),0))</f>
        <v/>
      </c>
      <c r="H29" s="58">
        <f>SUM(L$6:L11)</f>
        <v/>
      </c>
      <c r="I29" s="58">
        <f>SUM(M$6:M11)</f>
        <v/>
      </c>
      <c r="J29" s="40">
        <f>IF(Einstellungen!$C$10="Ja",IF(H29&gt;0,I29/H29,0),IF(H29+I29&gt;0,I29/(H29+I29),0))</f>
        <v/>
      </c>
    </row>
    <row r="30">
      <c r="A30" s="56" t="inlineStr">
        <is>
          <t>Juli</t>
        </is>
      </c>
      <c r="B30" s="58">
        <f>SUM(B$6:B12)</f>
        <v/>
      </c>
      <c r="C30" s="58">
        <f>SUM(C$6:C12)</f>
        <v/>
      </c>
      <c r="D30" s="40">
        <f>IF(Einstellungen!$C$10="Ja",IF(B30&gt;0,C30/B30,0),IF(B30+C30&gt;0,C30/(B30+C30),0))</f>
        <v/>
      </c>
      <c r="E30" s="58">
        <f>SUM(G$6:G12)</f>
        <v/>
      </c>
      <c r="F30" s="58">
        <f>SUM(H$6:H12)</f>
        <v/>
      </c>
      <c r="G30" s="40">
        <f>IF(Einstellungen!$C$10="Ja",IF(E30&gt;0,F30/E30,0),IF(E30+F30&gt;0,F30/(E30+F30),0))</f>
        <v/>
      </c>
      <c r="H30" s="58">
        <f>SUM(L$6:L12)</f>
        <v/>
      </c>
      <c r="I30" s="58">
        <f>SUM(M$6:M12)</f>
        <v/>
      </c>
      <c r="J30" s="40">
        <f>IF(Einstellungen!$C$10="Ja",IF(H30&gt;0,I30/H30,0),IF(H30+I30&gt;0,I30/(H30+I30),0))</f>
        <v/>
      </c>
    </row>
    <row r="31">
      <c r="A31" s="56" t="inlineStr">
        <is>
          <t>August</t>
        </is>
      </c>
      <c r="B31" s="58">
        <f>SUM(B$6:B13)</f>
        <v/>
      </c>
      <c r="C31" s="58">
        <f>SUM(C$6:C13)</f>
        <v/>
      </c>
      <c r="D31" s="40">
        <f>IF(Einstellungen!$C$10="Ja",IF(B31&gt;0,C31/B31,0),IF(B31+C31&gt;0,C31/(B31+C31),0))</f>
        <v/>
      </c>
      <c r="E31" s="58">
        <f>SUM(G$6:G13)</f>
        <v/>
      </c>
      <c r="F31" s="58">
        <f>SUM(H$6:H13)</f>
        <v/>
      </c>
      <c r="G31" s="40">
        <f>IF(Einstellungen!$C$10="Ja",IF(E31&gt;0,F31/E31,0),IF(E31+F31&gt;0,F31/(E31+F31),0))</f>
        <v/>
      </c>
      <c r="H31" s="58">
        <f>SUM(L$6:L13)</f>
        <v/>
      </c>
      <c r="I31" s="58">
        <f>SUM(M$6:M13)</f>
        <v/>
      </c>
      <c r="J31" s="40">
        <f>IF(Einstellungen!$C$10="Ja",IF(H31&gt;0,I31/H31,0),IF(H31+I31&gt;0,I31/(H31+I31),0))</f>
        <v/>
      </c>
    </row>
    <row r="32">
      <c r="A32" s="56" t="inlineStr">
        <is>
          <t>September</t>
        </is>
      </c>
      <c r="B32" s="58">
        <f>SUM(B$6:B14)</f>
        <v/>
      </c>
      <c r="C32" s="58">
        <f>SUM(C$6:C14)</f>
        <v/>
      </c>
      <c r="D32" s="40">
        <f>IF(Einstellungen!$C$10="Ja",IF(B32&gt;0,C32/B32,0),IF(B32+C32&gt;0,C32/(B32+C32),0))</f>
        <v/>
      </c>
      <c r="E32" s="58">
        <f>SUM(G$6:G14)</f>
        <v/>
      </c>
      <c r="F32" s="58">
        <f>SUM(H$6:H14)</f>
        <v/>
      </c>
      <c r="G32" s="40">
        <f>IF(Einstellungen!$C$10="Ja",IF(E32&gt;0,F32/E32,0),IF(E32+F32&gt;0,F32/(E32+F32),0))</f>
        <v/>
      </c>
      <c r="H32" s="58">
        <f>SUM(L$6:L14)</f>
        <v/>
      </c>
      <c r="I32" s="58">
        <f>SUM(M$6:M14)</f>
        <v/>
      </c>
      <c r="J32" s="40">
        <f>IF(Einstellungen!$C$10="Ja",IF(H32&gt;0,I32/H32,0),IF(H32+I32&gt;0,I32/(H32+I32),0))</f>
        <v/>
      </c>
    </row>
    <row r="33">
      <c r="A33" s="56" t="inlineStr">
        <is>
          <t>Oktober</t>
        </is>
      </c>
      <c r="B33" s="58">
        <f>SUM(B$6:B15)</f>
        <v/>
      </c>
      <c r="C33" s="58">
        <f>SUM(C$6:C15)</f>
        <v/>
      </c>
      <c r="D33" s="40">
        <f>IF(Einstellungen!$C$10="Ja",IF(B33&gt;0,C33/B33,0),IF(B33+C33&gt;0,C33/(B33+C33),0))</f>
        <v/>
      </c>
      <c r="E33" s="58">
        <f>SUM(G$6:G15)</f>
        <v/>
      </c>
      <c r="F33" s="58">
        <f>SUM(H$6:H15)</f>
        <v/>
      </c>
      <c r="G33" s="40">
        <f>IF(Einstellungen!$C$10="Ja",IF(E33&gt;0,F33/E33,0),IF(E33+F33&gt;0,F33/(E33+F33),0))</f>
        <v/>
      </c>
      <c r="H33" s="58">
        <f>SUM(L$6:L15)</f>
        <v/>
      </c>
      <c r="I33" s="58">
        <f>SUM(M$6:M15)</f>
        <v/>
      </c>
      <c r="J33" s="40">
        <f>IF(Einstellungen!$C$10="Ja",IF(H33&gt;0,I33/H33,0),IF(H33+I33&gt;0,I33/(H33+I33),0))</f>
        <v/>
      </c>
    </row>
    <row r="34">
      <c r="A34" s="56" t="inlineStr">
        <is>
          <t>November</t>
        </is>
      </c>
      <c r="B34" s="58">
        <f>SUM(B$6:B16)</f>
        <v/>
      </c>
      <c r="C34" s="58">
        <f>SUM(C$6:C16)</f>
        <v/>
      </c>
      <c r="D34" s="40">
        <f>IF(Einstellungen!$C$10="Ja",IF(B34&gt;0,C34/B34,0),IF(B34+C34&gt;0,C34/(B34+C34),0))</f>
        <v/>
      </c>
      <c r="E34" s="58">
        <f>SUM(G$6:G16)</f>
        <v/>
      </c>
      <c r="F34" s="58">
        <f>SUM(H$6:H16)</f>
        <v/>
      </c>
      <c r="G34" s="40">
        <f>IF(Einstellungen!$C$10="Ja",IF(E34&gt;0,F34/E34,0),IF(E34+F34&gt;0,F34/(E34+F34),0))</f>
        <v/>
      </c>
      <c r="H34" s="58">
        <f>SUM(L$6:L16)</f>
        <v/>
      </c>
      <c r="I34" s="58">
        <f>SUM(M$6:M16)</f>
        <v/>
      </c>
      <c r="J34" s="40">
        <f>IF(Einstellungen!$C$10="Ja",IF(H34&gt;0,I34/H34,0),IF(H34+I34&gt;0,I34/(H34+I34),0))</f>
        <v/>
      </c>
    </row>
    <row r="35">
      <c r="A35" s="56" t="inlineStr">
        <is>
          <t>Dezember</t>
        </is>
      </c>
      <c r="B35" s="58">
        <f>SUM(B$6:B17)</f>
        <v/>
      </c>
      <c r="C35" s="58">
        <f>SUM(C$6:C17)</f>
        <v/>
      </c>
      <c r="D35" s="40">
        <f>IF(Einstellungen!$C$10="Ja",IF(B35&gt;0,C35/B35,0),IF(B35+C35&gt;0,C35/(B35+C35),0))</f>
        <v/>
      </c>
      <c r="E35" s="58">
        <f>SUM(G$6:G17)</f>
        <v/>
      </c>
      <c r="F35" s="58">
        <f>SUM(H$6:H17)</f>
        <v/>
      </c>
      <c r="G35" s="40">
        <f>IF(Einstellungen!$C$10="Ja",IF(E35&gt;0,F35/E35,0),IF(E35+F35&gt;0,F35/(E35+F35),0))</f>
        <v/>
      </c>
      <c r="H35" s="58">
        <f>SUM(L$6:L17)</f>
        <v/>
      </c>
      <c r="I35" s="58">
        <f>SUM(M$6:M17)</f>
        <v/>
      </c>
      <c r="J35" s="40">
        <f>IF(Einstellungen!$C$10="Ja",IF(H35&gt;0,I35/H35,0),IF(H35+I35&gt;0,I35/(H35+I35),0))</f>
        <v/>
      </c>
    </row>
  </sheetData>
  <mergeCells count="7">
    <mergeCell ref="B4:F4"/>
    <mergeCell ref="L4:P4"/>
    <mergeCell ref="E22:G22"/>
    <mergeCell ref="H22:J22"/>
    <mergeCell ref="B22:D22"/>
    <mergeCell ref="G4:K4"/>
    <mergeCell ref="A2:P2"/>
  </mergeCells>
  <conditionalFormatting sqref="D6:D18">
    <cfRule type="cellIs" priority="1" operator="greaterThan" dxfId="2">
      <formula>Einstellungen!$C$8</formula>
    </cfRule>
    <cfRule type="cellIs" priority="2" operator="greaterThan" dxfId="3">
      <formula>Einstellungen!$C$7</formula>
    </cfRule>
  </conditionalFormatting>
  <conditionalFormatting sqref="I6:I18">
    <cfRule type="cellIs" priority="3" operator="greaterThan" dxfId="2">
      <formula>Einstellungen!$C$8</formula>
    </cfRule>
    <cfRule type="cellIs" priority="4" operator="greaterThan" dxfId="3">
      <formula>Einstellungen!$C$7</formula>
    </cfRule>
  </conditionalFormatting>
  <conditionalFormatting sqref="N6:N18">
    <cfRule type="cellIs" priority="5" operator="greaterThan" dxfId="2">
      <formula>Einstellungen!$C$8</formula>
    </cfRule>
    <cfRule type="cellIs" priority="6" operator="greaterThan" dxfId="3">
      <formula>Einstellungen!$C$7</formula>
    </cfRule>
  </conditionalFormatting>
  <hyperlinks>
    <hyperlink xmlns:r="http://schemas.openxmlformats.org/officeDocument/2006/relationships" ref="N1" r:id="rId1"/>
  </hyperlinks>
  <pageMargins left="0.75" right="0.75" top="1" bottom="1" header="0.5" footer="0.5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10" customWidth="1" min="4" max="4"/>
    <col width="9" customWidth="1" min="5" max="5"/>
    <col width="11" customWidth="1" min="6" max="6"/>
    <col width="11" customWidth="1" min="7" max="7"/>
    <col width="7" customWidth="1" min="8" max="8"/>
    <col width="10" customWidth="1" min="9" max="9"/>
    <col width="9" customWidth="1" min="10" max="10"/>
    <col width="6" customWidth="1" min="11" max="11"/>
    <col width="12" customWidth="1" min="12" max="12"/>
    <col width="9" customWidth="1" min="13" max="13"/>
    <col width="3" customWidth="1" min="14" max="14"/>
    <col width="26" customWidth="1" min="15" max="15"/>
    <col width="22" customWidth="1" min="16" max="16"/>
    <col width="10" customWidth="1" min="17" max="17"/>
    <col width="10" customWidth="1" min="18" max="18"/>
  </cols>
  <sheetData>
    <row r="1">
      <c r="A1" s="1" t="inlineStr">
        <is>
          <t>Krankenquote nach Mitarbeitern</t>
        </is>
      </c>
      <c r="N1" s="12" t="inlineStr">
        <is>
          <t>→ Erklärung</t>
        </is>
      </c>
    </row>
    <row r="2" ht="28" customHeight="1">
      <c r="A2" s="13" t="inlineStr">
        <is>
          <t>Quote = Krankstunden ÷ Sollstunden (Arbeitstage im Beschäftigungszeitraum bis Stichtag × Std./Tag), über beide Objekte.</t>
        </is>
      </c>
    </row>
    <row r="4">
      <c r="O4" s="2" t="inlineStr">
        <is>
          <t>Kennzahlen</t>
        </is>
      </c>
      <c r="P4" s="2" t="n"/>
    </row>
    <row r="5" ht="30" customHeight="1">
      <c r="A5" s="20" t="inlineStr">
        <is>
          <t>Pers.-Nr.</t>
        </is>
      </c>
      <c r="B5" s="20" t="inlineStr">
        <is>
          <t>Name</t>
        </is>
      </c>
      <c r="C5" s="20" t="inlineStr">
        <is>
          <t>Status</t>
        </is>
      </c>
      <c r="D5" s="20" t="inlineStr">
        <is>
          <t>Soll-
stunden</t>
        </is>
      </c>
      <c r="E5" s="20" t="inlineStr">
        <is>
          <t>Krank-
stunden</t>
        </is>
      </c>
      <c r="F5" s="20">
        <f>"Krankstd. "&amp;Einstellungen!$C$4</f>
        <v/>
      </c>
      <c r="G5" s="20">
        <f>"Krankstd. "&amp;Einstellungen!$C$5</f>
        <v/>
      </c>
      <c r="H5" s="20" t="inlineStr">
        <is>
          <t>Krank-
tage</t>
        </is>
      </c>
      <c r="I5" s="20" t="inlineStr">
        <is>
          <t>Krank-
meldungen</t>
        </is>
      </c>
      <c r="J5" s="20" t="inlineStr">
        <is>
          <t>Kranken-
quote</t>
        </is>
      </c>
      <c r="K5" s="20" t="inlineStr">
        <is>
          <t>Rang</t>
        </is>
      </c>
      <c r="L5" s="20" t="inlineStr">
        <is>
          <t>Bewertung</t>
        </is>
      </c>
      <c r="M5" s="20" t="inlineStr">
        <is>
          <t>Sortier-
hilfe</t>
        </is>
      </c>
      <c r="O5" s="6" t="inlineStr">
        <is>
          <t>MA mit Sollstunden</t>
        </is>
      </c>
      <c r="P5" s="33">
        <f>COUNT($J$6:$J$205)</f>
        <v/>
      </c>
    </row>
    <row r="6">
      <c r="A6" s="61">
        <f>IF(Mitarbeiter!B6="","",Mitarbeiter!A6)</f>
        <v/>
      </c>
      <c r="B6" s="62">
        <f>IF(Mitarbeiter!B6="","",Mitarbeiter!B6)</f>
        <v/>
      </c>
      <c r="C6" s="7">
        <f>IF(Mitarbeiter!B6="","",Mitarbeiter!G6)</f>
        <v/>
      </c>
      <c r="D6" s="57">
        <f>IF(Mitarbeiter!B6="","",Mitarbeiter!H6)</f>
        <v/>
      </c>
      <c r="E6" s="58">
        <f>IF(B6="","",SUMIFS(Krankmeldungen!$G$6:$G$1005,Krankmeldungen!$A$6:$A$1005,A6))</f>
        <v/>
      </c>
      <c r="F6" s="58">
        <f>IF(B6="","",SUMIFS(Krankmeldungen!$G$6:$G$1005,Krankmeldungen!$A$6:$A$1005,A6,Krankmeldungen!$C$6:$C$1005,Einstellungen!$C$4))</f>
        <v/>
      </c>
      <c r="G6" s="58">
        <f>IF(B6="","",SUMIFS(Krankmeldungen!$G$6:$G$1005,Krankmeldungen!$A$6:$A$1005,A6,Krankmeldungen!$C$6:$C$1005,Einstellungen!$C$5))</f>
        <v/>
      </c>
      <c r="H6" s="35">
        <f>IF(B6="","",SUMIFS(Krankmeldungen!$F$6:$F$1005,Krankmeldungen!$A$6:$A$1005,A6))</f>
        <v/>
      </c>
      <c r="I6" s="35">
        <f>IF(B6="","",COUNTIFS(Krankmeldungen!$A$6:$A$1005,A6,Krankmeldungen!$F$6:$F$1005,"&gt;0"))</f>
        <v/>
      </c>
      <c r="J6" s="40">
        <f>IF(B6="","",IF(N(D6)&gt;0,E6/D6,""))</f>
        <v/>
      </c>
      <c r="K6" s="63">
        <f>IF(J6="","",RANK(J6,$J$6:$J$205,0))</f>
        <v/>
      </c>
      <c r="L6" s="56">
        <f>IF(J6="","",IF(J6&lt;=Einstellungen!$C$7,"unauffällig",IF(J6&lt;=Einstellungen!$C$8,"auffällig","kritisch")))</f>
        <v/>
      </c>
      <c r="M6" s="64">
        <f>IF(J6="",-1,J6+ROW()/1000000000)</f>
        <v/>
      </c>
      <c r="O6" s="6" t="inlineStr">
        <is>
          <t>Ø Krankenquote (gewichtet)</t>
        </is>
      </c>
      <c r="P6" s="40">
        <f>IF(SUM(D6:D205)&gt;0,SUM(E6:E205)/SUM(D6:D205),0)</f>
        <v/>
      </c>
    </row>
    <row r="7">
      <c r="A7" s="61">
        <f>IF(Mitarbeiter!B7="","",Mitarbeiter!A7)</f>
        <v/>
      </c>
      <c r="B7" s="62">
        <f>IF(Mitarbeiter!B7="","",Mitarbeiter!B7)</f>
        <v/>
      </c>
      <c r="C7" s="7">
        <f>IF(Mitarbeiter!B7="","",Mitarbeiter!G7)</f>
        <v/>
      </c>
      <c r="D7" s="57">
        <f>IF(Mitarbeiter!B7="","",Mitarbeiter!H7)</f>
        <v/>
      </c>
      <c r="E7" s="58">
        <f>IF(B7="","",SUMIFS(Krankmeldungen!$G$6:$G$1005,Krankmeldungen!$A$6:$A$1005,A7))</f>
        <v/>
      </c>
      <c r="F7" s="58">
        <f>IF(B7="","",SUMIFS(Krankmeldungen!$G$6:$G$1005,Krankmeldungen!$A$6:$A$1005,A7,Krankmeldungen!$C$6:$C$1005,Einstellungen!$C$4))</f>
        <v/>
      </c>
      <c r="G7" s="58">
        <f>IF(B7="","",SUMIFS(Krankmeldungen!$G$6:$G$1005,Krankmeldungen!$A$6:$A$1005,A7,Krankmeldungen!$C$6:$C$1005,Einstellungen!$C$5))</f>
        <v/>
      </c>
      <c r="H7" s="35">
        <f>IF(B7="","",SUMIFS(Krankmeldungen!$F$6:$F$1005,Krankmeldungen!$A$6:$A$1005,A7))</f>
        <v/>
      </c>
      <c r="I7" s="35">
        <f>IF(B7="","",COUNTIFS(Krankmeldungen!$A$6:$A$1005,A7,Krankmeldungen!$F$6:$F$1005,"&gt;0"))</f>
        <v/>
      </c>
      <c r="J7" s="40">
        <f>IF(B7="","",IF(N(D7)&gt;0,E7/D7,""))</f>
        <v/>
      </c>
      <c r="K7" s="63">
        <f>IF(J7="","",RANK(J7,$J$6:$J$205,0))</f>
        <v/>
      </c>
      <c r="L7" s="56">
        <f>IF(J7="","",IF(J7&lt;=Einstellungen!$C$7,"unauffällig",IF(J7&lt;=Einstellungen!$C$8,"auffällig","kritisch")))</f>
        <v/>
      </c>
      <c r="M7" s="64">
        <f>IF(J7="",-1,J7+ROW()/1000000000)</f>
        <v/>
      </c>
      <c r="O7" s="6" t="inlineStr">
        <is>
          <t>Ø Krankenquote (je MA)</t>
        </is>
      </c>
      <c r="P7" s="40">
        <f>IFERROR(AVERAGE($J$6:$J$205),0)</f>
        <v/>
      </c>
    </row>
    <row r="8">
      <c r="A8" s="61">
        <f>IF(Mitarbeiter!B8="","",Mitarbeiter!A8)</f>
        <v/>
      </c>
      <c r="B8" s="62">
        <f>IF(Mitarbeiter!B8="","",Mitarbeiter!B8)</f>
        <v/>
      </c>
      <c r="C8" s="7">
        <f>IF(Mitarbeiter!B8="","",Mitarbeiter!G8)</f>
        <v/>
      </c>
      <c r="D8" s="57">
        <f>IF(Mitarbeiter!B8="","",Mitarbeiter!H8)</f>
        <v/>
      </c>
      <c r="E8" s="58">
        <f>IF(B8="","",SUMIFS(Krankmeldungen!$G$6:$G$1005,Krankmeldungen!$A$6:$A$1005,A8))</f>
        <v/>
      </c>
      <c r="F8" s="58">
        <f>IF(B8="","",SUMIFS(Krankmeldungen!$G$6:$G$1005,Krankmeldungen!$A$6:$A$1005,A8,Krankmeldungen!$C$6:$C$1005,Einstellungen!$C$4))</f>
        <v/>
      </c>
      <c r="G8" s="58">
        <f>IF(B8="","",SUMIFS(Krankmeldungen!$G$6:$G$1005,Krankmeldungen!$A$6:$A$1005,A8,Krankmeldungen!$C$6:$C$1005,Einstellungen!$C$5))</f>
        <v/>
      </c>
      <c r="H8" s="35">
        <f>IF(B8="","",SUMIFS(Krankmeldungen!$F$6:$F$1005,Krankmeldungen!$A$6:$A$1005,A8))</f>
        <v/>
      </c>
      <c r="I8" s="35">
        <f>IF(B8="","",COUNTIFS(Krankmeldungen!$A$6:$A$1005,A8,Krankmeldungen!$F$6:$F$1005,"&gt;0"))</f>
        <v/>
      </c>
      <c r="J8" s="40">
        <f>IF(B8="","",IF(N(D8)&gt;0,E8/D8,""))</f>
        <v/>
      </c>
      <c r="K8" s="63">
        <f>IF(J8="","",RANK(J8,$J$6:$J$205,0))</f>
        <v/>
      </c>
      <c r="L8" s="56">
        <f>IF(J8="","",IF(J8&lt;=Einstellungen!$C$7,"unauffällig",IF(J8&lt;=Einstellungen!$C$8,"auffällig","kritisch")))</f>
        <v/>
      </c>
      <c r="M8" s="64">
        <f>IF(J8="",-1,J8+ROW()/1000000000)</f>
        <v/>
      </c>
      <c r="O8" s="6" t="inlineStr">
        <is>
          <t>Median</t>
        </is>
      </c>
      <c r="P8" s="40">
        <f>IFERROR(MEDIAN($J$6:$J$205),0)</f>
        <v/>
      </c>
    </row>
    <row r="9">
      <c r="A9" s="61">
        <f>IF(Mitarbeiter!B9="","",Mitarbeiter!A9)</f>
        <v/>
      </c>
      <c r="B9" s="62">
        <f>IF(Mitarbeiter!B9="","",Mitarbeiter!B9)</f>
        <v/>
      </c>
      <c r="C9" s="7">
        <f>IF(Mitarbeiter!B9="","",Mitarbeiter!G9)</f>
        <v/>
      </c>
      <c r="D9" s="57">
        <f>IF(Mitarbeiter!B9="","",Mitarbeiter!H9)</f>
        <v/>
      </c>
      <c r="E9" s="58">
        <f>IF(B9="","",SUMIFS(Krankmeldungen!$G$6:$G$1005,Krankmeldungen!$A$6:$A$1005,A9))</f>
        <v/>
      </c>
      <c r="F9" s="58">
        <f>IF(B9="","",SUMIFS(Krankmeldungen!$G$6:$G$1005,Krankmeldungen!$A$6:$A$1005,A9,Krankmeldungen!$C$6:$C$1005,Einstellungen!$C$4))</f>
        <v/>
      </c>
      <c r="G9" s="58">
        <f>IF(B9="","",SUMIFS(Krankmeldungen!$G$6:$G$1005,Krankmeldungen!$A$6:$A$1005,A9,Krankmeldungen!$C$6:$C$1005,Einstellungen!$C$5))</f>
        <v/>
      </c>
      <c r="H9" s="35">
        <f>IF(B9="","",SUMIFS(Krankmeldungen!$F$6:$F$1005,Krankmeldungen!$A$6:$A$1005,A9))</f>
        <v/>
      </c>
      <c r="I9" s="35">
        <f>IF(B9="","",COUNTIFS(Krankmeldungen!$A$6:$A$1005,A9,Krankmeldungen!$F$6:$F$1005,"&gt;0"))</f>
        <v/>
      </c>
      <c r="J9" s="40">
        <f>IF(B9="","",IF(N(D9)&gt;0,E9/D9,""))</f>
        <v/>
      </c>
      <c r="K9" s="63">
        <f>IF(J9="","",RANK(J9,$J$6:$J$205,0))</f>
        <v/>
      </c>
      <c r="L9" s="56">
        <f>IF(J9="","",IF(J9&lt;=Einstellungen!$C$7,"unauffällig",IF(J9&lt;=Einstellungen!$C$8,"auffällig","kritisch")))</f>
        <v/>
      </c>
      <c r="M9" s="64">
        <f>IF(J9="",-1,J9+ROW()/1000000000)</f>
        <v/>
      </c>
      <c r="O9" s="6" t="inlineStr">
        <is>
          <t>Höchste Quote</t>
        </is>
      </c>
      <c r="P9" s="40">
        <f>IFERROR(MAX($J$6:$J$205),0)</f>
        <v/>
      </c>
    </row>
    <row r="10">
      <c r="A10" s="61">
        <f>IF(Mitarbeiter!B10="","",Mitarbeiter!A10)</f>
        <v/>
      </c>
      <c r="B10" s="62">
        <f>IF(Mitarbeiter!B10="","",Mitarbeiter!B10)</f>
        <v/>
      </c>
      <c r="C10" s="7">
        <f>IF(Mitarbeiter!B10="","",Mitarbeiter!G10)</f>
        <v/>
      </c>
      <c r="D10" s="57">
        <f>IF(Mitarbeiter!B10="","",Mitarbeiter!H10)</f>
        <v/>
      </c>
      <c r="E10" s="58">
        <f>IF(B10="","",SUMIFS(Krankmeldungen!$G$6:$G$1005,Krankmeldungen!$A$6:$A$1005,A10))</f>
        <v/>
      </c>
      <c r="F10" s="58">
        <f>IF(B10="","",SUMIFS(Krankmeldungen!$G$6:$G$1005,Krankmeldungen!$A$6:$A$1005,A10,Krankmeldungen!$C$6:$C$1005,Einstellungen!$C$4))</f>
        <v/>
      </c>
      <c r="G10" s="58">
        <f>IF(B10="","",SUMIFS(Krankmeldungen!$G$6:$G$1005,Krankmeldungen!$A$6:$A$1005,A10,Krankmeldungen!$C$6:$C$1005,Einstellungen!$C$5))</f>
        <v/>
      </c>
      <c r="H10" s="35">
        <f>IF(B10="","",SUMIFS(Krankmeldungen!$F$6:$F$1005,Krankmeldungen!$A$6:$A$1005,A10))</f>
        <v/>
      </c>
      <c r="I10" s="35">
        <f>IF(B10="","",COUNTIFS(Krankmeldungen!$A$6:$A$1005,A10,Krankmeldungen!$F$6:$F$1005,"&gt;0"))</f>
        <v/>
      </c>
      <c r="J10" s="40">
        <f>IF(B10="","",IF(N(D10)&gt;0,E10/D10,""))</f>
        <v/>
      </c>
      <c r="K10" s="63">
        <f>IF(J10="","",RANK(J10,$J$6:$J$205,0))</f>
        <v/>
      </c>
      <c r="L10" s="56">
        <f>IF(J10="","",IF(J10&lt;=Einstellungen!$C$7,"unauffällig",IF(J10&lt;=Einstellungen!$C$8,"auffällig","kritisch")))</f>
        <v/>
      </c>
      <c r="M10" s="64">
        <f>IF(J10="",-1,J10+ROW()/1000000000)</f>
        <v/>
      </c>
      <c r="O10" s="6" t="inlineStr">
        <is>
          <t>MA ohne Krankheitstag</t>
        </is>
      </c>
      <c r="P10" s="33">
        <f>COUNTIFS($J$6:$J$205,0)</f>
        <v/>
      </c>
    </row>
    <row r="11">
      <c r="A11" s="61">
        <f>IF(Mitarbeiter!B11="","",Mitarbeiter!A11)</f>
        <v/>
      </c>
      <c r="B11" s="62">
        <f>IF(Mitarbeiter!B11="","",Mitarbeiter!B11)</f>
        <v/>
      </c>
      <c r="C11" s="7">
        <f>IF(Mitarbeiter!B11="","",Mitarbeiter!G11)</f>
        <v/>
      </c>
      <c r="D11" s="57">
        <f>IF(Mitarbeiter!B11="","",Mitarbeiter!H11)</f>
        <v/>
      </c>
      <c r="E11" s="58">
        <f>IF(B11="","",SUMIFS(Krankmeldungen!$G$6:$G$1005,Krankmeldungen!$A$6:$A$1005,A11))</f>
        <v/>
      </c>
      <c r="F11" s="58">
        <f>IF(B11="","",SUMIFS(Krankmeldungen!$G$6:$G$1005,Krankmeldungen!$A$6:$A$1005,A11,Krankmeldungen!$C$6:$C$1005,Einstellungen!$C$4))</f>
        <v/>
      </c>
      <c r="G11" s="58">
        <f>IF(B11="","",SUMIFS(Krankmeldungen!$G$6:$G$1005,Krankmeldungen!$A$6:$A$1005,A11,Krankmeldungen!$C$6:$C$1005,Einstellungen!$C$5))</f>
        <v/>
      </c>
      <c r="H11" s="35">
        <f>IF(B11="","",SUMIFS(Krankmeldungen!$F$6:$F$1005,Krankmeldungen!$A$6:$A$1005,A11))</f>
        <v/>
      </c>
      <c r="I11" s="35">
        <f>IF(B11="","",COUNTIFS(Krankmeldungen!$A$6:$A$1005,A11,Krankmeldungen!$F$6:$F$1005,"&gt;0"))</f>
        <v/>
      </c>
      <c r="J11" s="40">
        <f>IF(B11="","",IF(N(D11)&gt;0,E11/D11,""))</f>
        <v/>
      </c>
      <c r="K11" s="63">
        <f>IF(J11="","",RANK(J11,$J$6:$J$205,0))</f>
        <v/>
      </c>
      <c r="L11" s="56">
        <f>IF(J11="","",IF(J11&lt;=Einstellungen!$C$7,"unauffällig",IF(J11&lt;=Einstellungen!$C$8,"auffällig","kritisch")))</f>
        <v/>
      </c>
      <c r="M11" s="64">
        <f>IF(J11="",-1,J11+ROW()/1000000000)</f>
        <v/>
      </c>
      <c r="O11" s="6" t="inlineStr">
        <is>
          <t>MA unauffällig</t>
        </is>
      </c>
      <c r="P11" s="33">
        <f>COUNTIF($L$6:$L$205,"unauffällig")</f>
        <v/>
      </c>
    </row>
    <row r="12">
      <c r="A12" s="61">
        <f>IF(Mitarbeiter!B12="","",Mitarbeiter!A12)</f>
        <v/>
      </c>
      <c r="B12" s="62">
        <f>IF(Mitarbeiter!B12="","",Mitarbeiter!B12)</f>
        <v/>
      </c>
      <c r="C12" s="7">
        <f>IF(Mitarbeiter!B12="","",Mitarbeiter!G12)</f>
        <v/>
      </c>
      <c r="D12" s="57">
        <f>IF(Mitarbeiter!B12="","",Mitarbeiter!H12)</f>
        <v/>
      </c>
      <c r="E12" s="58">
        <f>IF(B12="","",SUMIFS(Krankmeldungen!$G$6:$G$1005,Krankmeldungen!$A$6:$A$1005,A12))</f>
        <v/>
      </c>
      <c r="F12" s="58">
        <f>IF(B12="","",SUMIFS(Krankmeldungen!$G$6:$G$1005,Krankmeldungen!$A$6:$A$1005,A12,Krankmeldungen!$C$6:$C$1005,Einstellungen!$C$4))</f>
        <v/>
      </c>
      <c r="G12" s="58">
        <f>IF(B12="","",SUMIFS(Krankmeldungen!$G$6:$G$1005,Krankmeldungen!$A$6:$A$1005,A12,Krankmeldungen!$C$6:$C$1005,Einstellungen!$C$5))</f>
        <v/>
      </c>
      <c r="H12" s="35">
        <f>IF(B12="","",SUMIFS(Krankmeldungen!$F$6:$F$1005,Krankmeldungen!$A$6:$A$1005,A12))</f>
        <v/>
      </c>
      <c r="I12" s="35">
        <f>IF(B12="","",COUNTIFS(Krankmeldungen!$A$6:$A$1005,A12,Krankmeldungen!$F$6:$F$1005,"&gt;0"))</f>
        <v/>
      </c>
      <c r="J12" s="40">
        <f>IF(B12="","",IF(N(D12)&gt;0,E12/D12,""))</f>
        <v/>
      </c>
      <c r="K12" s="63">
        <f>IF(J12="","",RANK(J12,$J$6:$J$205,0))</f>
        <v/>
      </c>
      <c r="L12" s="56">
        <f>IF(J12="","",IF(J12&lt;=Einstellungen!$C$7,"unauffällig",IF(J12&lt;=Einstellungen!$C$8,"auffällig","kritisch")))</f>
        <v/>
      </c>
      <c r="M12" s="64">
        <f>IF(J12="",-1,J12+ROW()/1000000000)</f>
        <v/>
      </c>
      <c r="O12" s="6" t="inlineStr">
        <is>
          <t>MA auffällig</t>
        </is>
      </c>
      <c r="P12" s="33">
        <f>COUNTIF($L$6:$L$205,"auffällig")</f>
        <v/>
      </c>
    </row>
    <row r="13">
      <c r="A13" s="61">
        <f>IF(Mitarbeiter!B13="","",Mitarbeiter!A13)</f>
        <v/>
      </c>
      <c r="B13" s="62">
        <f>IF(Mitarbeiter!B13="","",Mitarbeiter!B13)</f>
        <v/>
      </c>
      <c r="C13" s="7">
        <f>IF(Mitarbeiter!B13="","",Mitarbeiter!G13)</f>
        <v/>
      </c>
      <c r="D13" s="57">
        <f>IF(Mitarbeiter!B13="","",Mitarbeiter!H13)</f>
        <v/>
      </c>
      <c r="E13" s="58">
        <f>IF(B13="","",SUMIFS(Krankmeldungen!$G$6:$G$1005,Krankmeldungen!$A$6:$A$1005,A13))</f>
        <v/>
      </c>
      <c r="F13" s="58">
        <f>IF(B13="","",SUMIFS(Krankmeldungen!$G$6:$G$1005,Krankmeldungen!$A$6:$A$1005,A13,Krankmeldungen!$C$6:$C$1005,Einstellungen!$C$4))</f>
        <v/>
      </c>
      <c r="G13" s="58">
        <f>IF(B13="","",SUMIFS(Krankmeldungen!$G$6:$G$1005,Krankmeldungen!$A$6:$A$1005,A13,Krankmeldungen!$C$6:$C$1005,Einstellungen!$C$5))</f>
        <v/>
      </c>
      <c r="H13" s="35">
        <f>IF(B13="","",SUMIFS(Krankmeldungen!$F$6:$F$1005,Krankmeldungen!$A$6:$A$1005,A13))</f>
        <v/>
      </c>
      <c r="I13" s="35">
        <f>IF(B13="","",COUNTIFS(Krankmeldungen!$A$6:$A$1005,A13,Krankmeldungen!$F$6:$F$1005,"&gt;0"))</f>
        <v/>
      </c>
      <c r="J13" s="40">
        <f>IF(B13="","",IF(N(D13)&gt;0,E13/D13,""))</f>
        <v/>
      </c>
      <c r="K13" s="63">
        <f>IF(J13="","",RANK(J13,$J$6:$J$205,0))</f>
        <v/>
      </c>
      <c r="L13" s="56">
        <f>IF(J13="","",IF(J13&lt;=Einstellungen!$C$7,"unauffällig",IF(J13&lt;=Einstellungen!$C$8,"auffällig","kritisch")))</f>
        <v/>
      </c>
      <c r="M13" s="64">
        <f>IF(J13="",-1,J13+ROW()/1000000000)</f>
        <v/>
      </c>
      <c r="O13" s="6" t="inlineStr">
        <is>
          <t>MA kritisch</t>
        </is>
      </c>
      <c r="P13" s="33">
        <f>COUNTIF($L$6:$L$205,"kritisch")</f>
        <v/>
      </c>
    </row>
    <row r="14">
      <c r="A14" s="61">
        <f>IF(Mitarbeiter!B14="","",Mitarbeiter!A14)</f>
        <v/>
      </c>
      <c r="B14" s="62">
        <f>IF(Mitarbeiter!B14="","",Mitarbeiter!B14)</f>
        <v/>
      </c>
      <c r="C14" s="7">
        <f>IF(Mitarbeiter!B14="","",Mitarbeiter!G14)</f>
        <v/>
      </c>
      <c r="D14" s="57">
        <f>IF(Mitarbeiter!B14="","",Mitarbeiter!H14)</f>
        <v/>
      </c>
      <c r="E14" s="58">
        <f>IF(B14="","",SUMIFS(Krankmeldungen!$G$6:$G$1005,Krankmeldungen!$A$6:$A$1005,A14))</f>
        <v/>
      </c>
      <c r="F14" s="58">
        <f>IF(B14="","",SUMIFS(Krankmeldungen!$G$6:$G$1005,Krankmeldungen!$A$6:$A$1005,A14,Krankmeldungen!$C$6:$C$1005,Einstellungen!$C$4))</f>
        <v/>
      </c>
      <c r="G14" s="58">
        <f>IF(B14="","",SUMIFS(Krankmeldungen!$G$6:$G$1005,Krankmeldungen!$A$6:$A$1005,A14,Krankmeldungen!$C$6:$C$1005,Einstellungen!$C$5))</f>
        <v/>
      </c>
      <c r="H14" s="35">
        <f>IF(B14="","",SUMIFS(Krankmeldungen!$F$6:$F$1005,Krankmeldungen!$A$6:$A$1005,A14))</f>
        <v/>
      </c>
      <c r="I14" s="35">
        <f>IF(B14="","",COUNTIFS(Krankmeldungen!$A$6:$A$1005,A14,Krankmeldungen!$F$6:$F$1005,"&gt;0"))</f>
        <v/>
      </c>
      <c r="J14" s="40">
        <f>IF(B14="","",IF(N(D14)&gt;0,E14/D14,""))</f>
        <v/>
      </c>
      <c r="K14" s="63">
        <f>IF(J14="","",RANK(J14,$J$6:$J$205,0))</f>
        <v/>
      </c>
      <c r="L14" s="56">
        <f>IF(J14="","",IF(J14&lt;=Einstellungen!$C$7,"unauffällig",IF(J14&lt;=Einstellungen!$C$8,"auffällig","kritisch")))</f>
        <v/>
      </c>
      <c r="M14" s="64">
        <f>IF(J14="",-1,J14+ROW()/1000000000)</f>
        <v/>
      </c>
      <c r="O14" s="6" t="inlineStr">
        <is>
          <t>Krankmeldungen gesamt</t>
        </is>
      </c>
      <c r="P14" s="33">
        <f>SUM(I6:I205)</f>
        <v/>
      </c>
    </row>
    <row r="15">
      <c r="A15" s="61">
        <f>IF(Mitarbeiter!B15="","",Mitarbeiter!A15)</f>
        <v/>
      </c>
      <c r="B15" s="62">
        <f>IF(Mitarbeiter!B15="","",Mitarbeiter!B15)</f>
        <v/>
      </c>
      <c r="C15" s="7">
        <f>IF(Mitarbeiter!B15="","",Mitarbeiter!G15)</f>
        <v/>
      </c>
      <c r="D15" s="57">
        <f>IF(Mitarbeiter!B15="","",Mitarbeiter!H15)</f>
        <v/>
      </c>
      <c r="E15" s="58">
        <f>IF(B15="","",SUMIFS(Krankmeldungen!$G$6:$G$1005,Krankmeldungen!$A$6:$A$1005,A15))</f>
        <v/>
      </c>
      <c r="F15" s="58">
        <f>IF(B15="","",SUMIFS(Krankmeldungen!$G$6:$G$1005,Krankmeldungen!$A$6:$A$1005,A15,Krankmeldungen!$C$6:$C$1005,Einstellungen!$C$4))</f>
        <v/>
      </c>
      <c r="G15" s="58">
        <f>IF(B15="","",SUMIFS(Krankmeldungen!$G$6:$G$1005,Krankmeldungen!$A$6:$A$1005,A15,Krankmeldungen!$C$6:$C$1005,Einstellungen!$C$5))</f>
        <v/>
      </c>
      <c r="H15" s="35">
        <f>IF(B15="","",SUMIFS(Krankmeldungen!$F$6:$F$1005,Krankmeldungen!$A$6:$A$1005,A15))</f>
        <v/>
      </c>
      <c r="I15" s="35">
        <f>IF(B15="","",COUNTIFS(Krankmeldungen!$A$6:$A$1005,A15,Krankmeldungen!$F$6:$F$1005,"&gt;0"))</f>
        <v/>
      </c>
      <c r="J15" s="40">
        <f>IF(B15="","",IF(N(D15)&gt;0,E15/D15,""))</f>
        <v/>
      </c>
      <c r="K15" s="63">
        <f>IF(J15="","",RANK(J15,$J$6:$J$205,0))</f>
        <v/>
      </c>
      <c r="L15" s="56">
        <f>IF(J15="","",IF(J15&lt;=Einstellungen!$C$7,"unauffällig",IF(J15&lt;=Einstellungen!$C$8,"auffällig","kritisch")))</f>
        <v/>
      </c>
      <c r="M15" s="64">
        <f>IF(J15="",-1,J15+ROW()/1000000000)</f>
        <v/>
      </c>
      <c r="O15" s="6" t="inlineStr">
        <is>
          <t>Krankstunden gesamt</t>
        </is>
      </c>
      <c r="P15" s="65">
        <f>SUM(E6:E205)</f>
        <v/>
      </c>
    </row>
    <row r="16">
      <c r="A16" s="61">
        <f>IF(Mitarbeiter!B16="","",Mitarbeiter!A16)</f>
        <v/>
      </c>
      <c r="B16" s="62">
        <f>IF(Mitarbeiter!B16="","",Mitarbeiter!B16)</f>
        <v/>
      </c>
      <c r="C16" s="7">
        <f>IF(Mitarbeiter!B16="","",Mitarbeiter!G16)</f>
        <v/>
      </c>
      <c r="D16" s="57">
        <f>IF(Mitarbeiter!B16="","",Mitarbeiter!H16)</f>
        <v/>
      </c>
      <c r="E16" s="58">
        <f>IF(B16="","",SUMIFS(Krankmeldungen!$G$6:$G$1005,Krankmeldungen!$A$6:$A$1005,A16))</f>
        <v/>
      </c>
      <c r="F16" s="58">
        <f>IF(B16="","",SUMIFS(Krankmeldungen!$G$6:$G$1005,Krankmeldungen!$A$6:$A$1005,A16,Krankmeldungen!$C$6:$C$1005,Einstellungen!$C$4))</f>
        <v/>
      </c>
      <c r="G16" s="58">
        <f>IF(B16="","",SUMIFS(Krankmeldungen!$G$6:$G$1005,Krankmeldungen!$A$6:$A$1005,A16,Krankmeldungen!$C$6:$C$1005,Einstellungen!$C$5))</f>
        <v/>
      </c>
      <c r="H16" s="35">
        <f>IF(B16="","",SUMIFS(Krankmeldungen!$F$6:$F$1005,Krankmeldungen!$A$6:$A$1005,A16))</f>
        <v/>
      </c>
      <c r="I16" s="35">
        <f>IF(B16="","",COUNTIFS(Krankmeldungen!$A$6:$A$1005,A16,Krankmeldungen!$F$6:$F$1005,"&gt;0"))</f>
        <v/>
      </c>
      <c r="J16" s="40">
        <f>IF(B16="","",IF(N(D16)&gt;0,E16/D16,""))</f>
        <v/>
      </c>
      <c r="K16" s="63">
        <f>IF(J16="","",RANK(J16,$J$6:$J$205,0))</f>
        <v/>
      </c>
      <c r="L16" s="56">
        <f>IF(J16="","",IF(J16&lt;=Einstellungen!$C$7,"unauffällig",IF(J16&lt;=Einstellungen!$C$8,"auffällig","kritisch")))</f>
        <v/>
      </c>
      <c r="M16" s="64">
        <f>IF(J16="",-1,J16+ROW()/1000000000)</f>
        <v/>
      </c>
      <c r="O16" s="6" t="inlineStr">
        <is>
          <t>Krankheitstage gesamt</t>
        </is>
      </c>
      <c r="P16" s="33">
        <f>SUM(H6:H205)</f>
        <v/>
      </c>
    </row>
    <row r="17">
      <c r="A17" s="61">
        <f>IF(Mitarbeiter!B17="","",Mitarbeiter!A17)</f>
        <v/>
      </c>
      <c r="B17" s="62">
        <f>IF(Mitarbeiter!B17="","",Mitarbeiter!B17)</f>
        <v/>
      </c>
      <c r="C17" s="7">
        <f>IF(Mitarbeiter!B17="","",Mitarbeiter!G17)</f>
        <v/>
      </c>
      <c r="D17" s="57">
        <f>IF(Mitarbeiter!B17="","",Mitarbeiter!H17)</f>
        <v/>
      </c>
      <c r="E17" s="58">
        <f>IF(B17="","",SUMIFS(Krankmeldungen!$G$6:$G$1005,Krankmeldungen!$A$6:$A$1005,A17))</f>
        <v/>
      </c>
      <c r="F17" s="58">
        <f>IF(B17="","",SUMIFS(Krankmeldungen!$G$6:$G$1005,Krankmeldungen!$A$6:$A$1005,A17,Krankmeldungen!$C$6:$C$1005,Einstellungen!$C$4))</f>
        <v/>
      </c>
      <c r="G17" s="58">
        <f>IF(B17="","",SUMIFS(Krankmeldungen!$G$6:$G$1005,Krankmeldungen!$A$6:$A$1005,A17,Krankmeldungen!$C$6:$C$1005,Einstellungen!$C$5))</f>
        <v/>
      </c>
      <c r="H17" s="35">
        <f>IF(B17="","",SUMIFS(Krankmeldungen!$F$6:$F$1005,Krankmeldungen!$A$6:$A$1005,A17))</f>
        <v/>
      </c>
      <c r="I17" s="35">
        <f>IF(B17="","",COUNTIFS(Krankmeldungen!$A$6:$A$1005,A17,Krankmeldungen!$F$6:$F$1005,"&gt;0"))</f>
        <v/>
      </c>
      <c r="J17" s="40">
        <f>IF(B17="","",IF(N(D17)&gt;0,E17/D17,""))</f>
        <v/>
      </c>
      <c r="K17" s="63">
        <f>IF(J17="","",RANK(J17,$J$6:$J$205,0))</f>
        <v/>
      </c>
      <c r="L17" s="56">
        <f>IF(J17="","",IF(J17&lt;=Einstellungen!$C$7,"unauffällig",IF(J17&lt;=Einstellungen!$C$8,"auffällig","kritisch")))</f>
        <v/>
      </c>
      <c r="M17" s="64">
        <f>IF(J17="",-1,J17+ROW()/1000000000)</f>
        <v/>
      </c>
    </row>
    <row r="18">
      <c r="A18" s="61">
        <f>IF(Mitarbeiter!B18="","",Mitarbeiter!A18)</f>
        <v/>
      </c>
      <c r="B18" s="62">
        <f>IF(Mitarbeiter!B18="","",Mitarbeiter!B18)</f>
        <v/>
      </c>
      <c r="C18" s="7">
        <f>IF(Mitarbeiter!B18="","",Mitarbeiter!G18)</f>
        <v/>
      </c>
      <c r="D18" s="57">
        <f>IF(Mitarbeiter!B18="","",Mitarbeiter!H18)</f>
        <v/>
      </c>
      <c r="E18" s="58">
        <f>IF(B18="","",SUMIFS(Krankmeldungen!$G$6:$G$1005,Krankmeldungen!$A$6:$A$1005,A18))</f>
        <v/>
      </c>
      <c r="F18" s="58">
        <f>IF(B18="","",SUMIFS(Krankmeldungen!$G$6:$G$1005,Krankmeldungen!$A$6:$A$1005,A18,Krankmeldungen!$C$6:$C$1005,Einstellungen!$C$4))</f>
        <v/>
      </c>
      <c r="G18" s="58">
        <f>IF(B18="","",SUMIFS(Krankmeldungen!$G$6:$G$1005,Krankmeldungen!$A$6:$A$1005,A18,Krankmeldungen!$C$6:$C$1005,Einstellungen!$C$5))</f>
        <v/>
      </c>
      <c r="H18" s="35">
        <f>IF(B18="","",SUMIFS(Krankmeldungen!$F$6:$F$1005,Krankmeldungen!$A$6:$A$1005,A18))</f>
        <v/>
      </c>
      <c r="I18" s="35">
        <f>IF(B18="","",COUNTIFS(Krankmeldungen!$A$6:$A$1005,A18,Krankmeldungen!$F$6:$F$1005,"&gt;0"))</f>
        <v/>
      </c>
      <c r="J18" s="40">
        <f>IF(B18="","",IF(N(D18)&gt;0,E18/D18,""))</f>
        <v/>
      </c>
      <c r="K18" s="63">
        <f>IF(J18="","",RANK(J18,$J$6:$J$205,0))</f>
        <v/>
      </c>
      <c r="L18" s="56">
        <f>IF(J18="","",IF(J18&lt;=Einstellungen!$C$7,"unauffällig",IF(J18&lt;=Einstellungen!$C$8,"auffällig","kritisch")))</f>
        <v/>
      </c>
      <c r="M18" s="64">
        <f>IF(J18="",-1,J18+ROW()/1000000000)</f>
        <v/>
      </c>
      <c r="O18" s="42" t="inlineStr">
        <is>
          <t>Bewertung</t>
        </is>
      </c>
      <c r="P18" s="20" t="inlineStr">
        <is>
          <t>Anzahl MA</t>
        </is>
      </c>
    </row>
    <row r="19">
      <c r="A19" s="61">
        <f>IF(Mitarbeiter!B19="","",Mitarbeiter!A19)</f>
        <v/>
      </c>
      <c r="B19" s="62">
        <f>IF(Mitarbeiter!B19="","",Mitarbeiter!B19)</f>
        <v/>
      </c>
      <c r="C19" s="7">
        <f>IF(Mitarbeiter!B19="","",Mitarbeiter!G19)</f>
        <v/>
      </c>
      <c r="D19" s="57">
        <f>IF(Mitarbeiter!B19="","",Mitarbeiter!H19)</f>
        <v/>
      </c>
      <c r="E19" s="58">
        <f>IF(B19="","",SUMIFS(Krankmeldungen!$G$6:$G$1005,Krankmeldungen!$A$6:$A$1005,A19))</f>
        <v/>
      </c>
      <c r="F19" s="58">
        <f>IF(B19="","",SUMIFS(Krankmeldungen!$G$6:$G$1005,Krankmeldungen!$A$6:$A$1005,A19,Krankmeldungen!$C$6:$C$1005,Einstellungen!$C$4))</f>
        <v/>
      </c>
      <c r="G19" s="58">
        <f>IF(B19="","",SUMIFS(Krankmeldungen!$G$6:$G$1005,Krankmeldungen!$A$6:$A$1005,A19,Krankmeldungen!$C$6:$C$1005,Einstellungen!$C$5))</f>
        <v/>
      </c>
      <c r="H19" s="35">
        <f>IF(B19="","",SUMIFS(Krankmeldungen!$F$6:$F$1005,Krankmeldungen!$A$6:$A$1005,A19))</f>
        <v/>
      </c>
      <c r="I19" s="35">
        <f>IF(B19="","",COUNTIFS(Krankmeldungen!$A$6:$A$1005,A19,Krankmeldungen!$F$6:$F$1005,"&gt;0"))</f>
        <v/>
      </c>
      <c r="J19" s="40">
        <f>IF(B19="","",IF(N(D19)&gt;0,E19/D19,""))</f>
        <v/>
      </c>
      <c r="K19" s="63">
        <f>IF(J19="","",RANK(J19,$J$6:$J$205,0))</f>
        <v/>
      </c>
      <c r="L19" s="56">
        <f>IF(J19="","",IF(J19&lt;=Einstellungen!$C$7,"unauffällig",IF(J19&lt;=Einstellungen!$C$8,"auffällig","kritisch")))</f>
        <v/>
      </c>
      <c r="M19" s="64">
        <f>IF(J19="",-1,J19+ROW()/1000000000)</f>
        <v/>
      </c>
      <c r="O19" s="6" t="inlineStr">
        <is>
          <t>unauffällig</t>
        </is>
      </c>
      <c r="P19" s="33">
        <f>P11</f>
        <v/>
      </c>
    </row>
    <row r="20">
      <c r="A20" s="61">
        <f>IF(Mitarbeiter!B20="","",Mitarbeiter!A20)</f>
        <v/>
      </c>
      <c r="B20" s="62">
        <f>IF(Mitarbeiter!B20="","",Mitarbeiter!B20)</f>
        <v/>
      </c>
      <c r="C20" s="7">
        <f>IF(Mitarbeiter!B20="","",Mitarbeiter!G20)</f>
        <v/>
      </c>
      <c r="D20" s="57">
        <f>IF(Mitarbeiter!B20="","",Mitarbeiter!H20)</f>
        <v/>
      </c>
      <c r="E20" s="58">
        <f>IF(B20="","",SUMIFS(Krankmeldungen!$G$6:$G$1005,Krankmeldungen!$A$6:$A$1005,A20))</f>
        <v/>
      </c>
      <c r="F20" s="58">
        <f>IF(B20="","",SUMIFS(Krankmeldungen!$G$6:$G$1005,Krankmeldungen!$A$6:$A$1005,A20,Krankmeldungen!$C$6:$C$1005,Einstellungen!$C$4))</f>
        <v/>
      </c>
      <c r="G20" s="58">
        <f>IF(B20="","",SUMIFS(Krankmeldungen!$G$6:$G$1005,Krankmeldungen!$A$6:$A$1005,A20,Krankmeldungen!$C$6:$C$1005,Einstellungen!$C$5))</f>
        <v/>
      </c>
      <c r="H20" s="35">
        <f>IF(B20="","",SUMIFS(Krankmeldungen!$F$6:$F$1005,Krankmeldungen!$A$6:$A$1005,A20))</f>
        <v/>
      </c>
      <c r="I20" s="35">
        <f>IF(B20="","",COUNTIFS(Krankmeldungen!$A$6:$A$1005,A20,Krankmeldungen!$F$6:$F$1005,"&gt;0"))</f>
        <v/>
      </c>
      <c r="J20" s="40">
        <f>IF(B20="","",IF(N(D20)&gt;0,E20/D20,""))</f>
        <v/>
      </c>
      <c r="K20" s="63">
        <f>IF(J20="","",RANK(J20,$J$6:$J$205,0))</f>
        <v/>
      </c>
      <c r="L20" s="56">
        <f>IF(J20="","",IF(J20&lt;=Einstellungen!$C$7,"unauffällig",IF(J20&lt;=Einstellungen!$C$8,"auffällig","kritisch")))</f>
        <v/>
      </c>
      <c r="M20" s="64">
        <f>IF(J20="",-1,J20+ROW()/1000000000)</f>
        <v/>
      </c>
      <c r="O20" s="6" t="inlineStr">
        <is>
          <t>auffällig</t>
        </is>
      </c>
      <c r="P20" s="33">
        <f>P12</f>
        <v/>
      </c>
    </row>
    <row r="21">
      <c r="A21" s="61">
        <f>IF(Mitarbeiter!B21="","",Mitarbeiter!A21)</f>
        <v/>
      </c>
      <c r="B21" s="62">
        <f>IF(Mitarbeiter!B21="","",Mitarbeiter!B21)</f>
        <v/>
      </c>
      <c r="C21" s="7">
        <f>IF(Mitarbeiter!B21="","",Mitarbeiter!G21)</f>
        <v/>
      </c>
      <c r="D21" s="57">
        <f>IF(Mitarbeiter!B21="","",Mitarbeiter!H21)</f>
        <v/>
      </c>
      <c r="E21" s="58">
        <f>IF(B21="","",SUMIFS(Krankmeldungen!$G$6:$G$1005,Krankmeldungen!$A$6:$A$1005,A21))</f>
        <v/>
      </c>
      <c r="F21" s="58">
        <f>IF(B21="","",SUMIFS(Krankmeldungen!$G$6:$G$1005,Krankmeldungen!$A$6:$A$1005,A21,Krankmeldungen!$C$6:$C$1005,Einstellungen!$C$4))</f>
        <v/>
      </c>
      <c r="G21" s="58">
        <f>IF(B21="","",SUMIFS(Krankmeldungen!$G$6:$G$1005,Krankmeldungen!$A$6:$A$1005,A21,Krankmeldungen!$C$6:$C$1005,Einstellungen!$C$5))</f>
        <v/>
      </c>
      <c r="H21" s="35">
        <f>IF(B21="","",SUMIFS(Krankmeldungen!$F$6:$F$1005,Krankmeldungen!$A$6:$A$1005,A21))</f>
        <v/>
      </c>
      <c r="I21" s="35">
        <f>IF(B21="","",COUNTIFS(Krankmeldungen!$A$6:$A$1005,A21,Krankmeldungen!$F$6:$F$1005,"&gt;0"))</f>
        <v/>
      </c>
      <c r="J21" s="40">
        <f>IF(B21="","",IF(N(D21)&gt;0,E21/D21,""))</f>
        <v/>
      </c>
      <c r="K21" s="63">
        <f>IF(J21="","",RANK(J21,$J$6:$J$205,0))</f>
        <v/>
      </c>
      <c r="L21" s="56">
        <f>IF(J21="","",IF(J21&lt;=Einstellungen!$C$7,"unauffällig",IF(J21&lt;=Einstellungen!$C$8,"auffällig","kritisch")))</f>
        <v/>
      </c>
      <c r="M21" s="64">
        <f>IF(J21="",-1,J21+ROW()/1000000000)</f>
        <v/>
      </c>
      <c r="O21" s="6" t="inlineStr">
        <is>
          <t>kritisch</t>
        </is>
      </c>
      <c r="P21" s="33">
        <f>P13</f>
        <v/>
      </c>
    </row>
    <row r="22">
      <c r="A22" s="61">
        <f>IF(Mitarbeiter!B22="","",Mitarbeiter!A22)</f>
        <v/>
      </c>
      <c r="B22" s="62">
        <f>IF(Mitarbeiter!B22="","",Mitarbeiter!B22)</f>
        <v/>
      </c>
      <c r="C22" s="7">
        <f>IF(Mitarbeiter!B22="","",Mitarbeiter!G22)</f>
        <v/>
      </c>
      <c r="D22" s="57">
        <f>IF(Mitarbeiter!B22="","",Mitarbeiter!H22)</f>
        <v/>
      </c>
      <c r="E22" s="58">
        <f>IF(B22="","",SUMIFS(Krankmeldungen!$G$6:$G$1005,Krankmeldungen!$A$6:$A$1005,A22))</f>
        <v/>
      </c>
      <c r="F22" s="58">
        <f>IF(B22="","",SUMIFS(Krankmeldungen!$G$6:$G$1005,Krankmeldungen!$A$6:$A$1005,A22,Krankmeldungen!$C$6:$C$1005,Einstellungen!$C$4))</f>
        <v/>
      </c>
      <c r="G22" s="58">
        <f>IF(B22="","",SUMIFS(Krankmeldungen!$G$6:$G$1005,Krankmeldungen!$A$6:$A$1005,A22,Krankmeldungen!$C$6:$C$1005,Einstellungen!$C$5))</f>
        <v/>
      </c>
      <c r="H22" s="35">
        <f>IF(B22="","",SUMIFS(Krankmeldungen!$F$6:$F$1005,Krankmeldungen!$A$6:$A$1005,A22))</f>
        <v/>
      </c>
      <c r="I22" s="35">
        <f>IF(B22="","",COUNTIFS(Krankmeldungen!$A$6:$A$1005,A22,Krankmeldungen!$F$6:$F$1005,"&gt;0"))</f>
        <v/>
      </c>
      <c r="J22" s="40">
        <f>IF(B22="","",IF(N(D22)&gt;0,E22/D22,""))</f>
        <v/>
      </c>
      <c r="K22" s="63">
        <f>IF(J22="","",RANK(J22,$J$6:$J$205,0))</f>
        <v/>
      </c>
      <c r="L22" s="56">
        <f>IF(J22="","",IF(J22&lt;=Einstellungen!$C$7,"unauffällig",IF(J22&lt;=Einstellungen!$C$8,"auffällig","kritisch")))</f>
        <v/>
      </c>
      <c r="M22" s="64">
        <f>IF(J22="",-1,J22+ROW()/1000000000)</f>
        <v/>
      </c>
    </row>
    <row r="23">
      <c r="A23" s="61">
        <f>IF(Mitarbeiter!B23="","",Mitarbeiter!A23)</f>
        <v/>
      </c>
      <c r="B23" s="62">
        <f>IF(Mitarbeiter!B23="","",Mitarbeiter!B23)</f>
        <v/>
      </c>
      <c r="C23" s="7">
        <f>IF(Mitarbeiter!B23="","",Mitarbeiter!G23)</f>
        <v/>
      </c>
      <c r="D23" s="57">
        <f>IF(Mitarbeiter!B23="","",Mitarbeiter!H23)</f>
        <v/>
      </c>
      <c r="E23" s="58">
        <f>IF(B23="","",SUMIFS(Krankmeldungen!$G$6:$G$1005,Krankmeldungen!$A$6:$A$1005,A23))</f>
        <v/>
      </c>
      <c r="F23" s="58">
        <f>IF(B23="","",SUMIFS(Krankmeldungen!$G$6:$G$1005,Krankmeldungen!$A$6:$A$1005,A23,Krankmeldungen!$C$6:$C$1005,Einstellungen!$C$4))</f>
        <v/>
      </c>
      <c r="G23" s="58">
        <f>IF(B23="","",SUMIFS(Krankmeldungen!$G$6:$G$1005,Krankmeldungen!$A$6:$A$1005,A23,Krankmeldungen!$C$6:$C$1005,Einstellungen!$C$5))</f>
        <v/>
      </c>
      <c r="H23" s="35">
        <f>IF(B23="","",SUMIFS(Krankmeldungen!$F$6:$F$1005,Krankmeldungen!$A$6:$A$1005,A23))</f>
        <v/>
      </c>
      <c r="I23" s="35">
        <f>IF(B23="","",COUNTIFS(Krankmeldungen!$A$6:$A$1005,A23,Krankmeldungen!$F$6:$F$1005,"&gt;0"))</f>
        <v/>
      </c>
      <c r="J23" s="40">
        <f>IF(B23="","",IF(N(D23)&gt;0,E23/D23,""))</f>
        <v/>
      </c>
      <c r="K23" s="63">
        <f>IF(J23="","",RANK(J23,$J$6:$J$205,0))</f>
        <v/>
      </c>
      <c r="L23" s="56">
        <f>IF(J23="","",IF(J23&lt;=Einstellungen!$C$7,"unauffällig",IF(J23&lt;=Einstellungen!$C$8,"auffällig","kritisch")))</f>
        <v/>
      </c>
      <c r="M23" s="64">
        <f>IF(J23="",-1,J23+ROW()/1000000000)</f>
        <v/>
      </c>
    </row>
    <row r="24">
      <c r="A24" s="61">
        <f>IF(Mitarbeiter!B24="","",Mitarbeiter!A24)</f>
        <v/>
      </c>
      <c r="B24" s="62">
        <f>IF(Mitarbeiter!B24="","",Mitarbeiter!B24)</f>
        <v/>
      </c>
      <c r="C24" s="7">
        <f>IF(Mitarbeiter!B24="","",Mitarbeiter!G24)</f>
        <v/>
      </c>
      <c r="D24" s="57">
        <f>IF(Mitarbeiter!B24="","",Mitarbeiter!H24)</f>
        <v/>
      </c>
      <c r="E24" s="58">
        <f>IF(B24="","",SUMIFS(Krankmeldungen!$G$6:$G$1005,Krankmeldungen!$A$6:$A$1005,A24))</f>
        <v/>
      </c>
      <c r="F24" s="58">
        <f>IF(B24="","",SUMIFS(Krankmeldungen!$G$6:$G$1005,Krankmeldungen!$A$6:$A$1005,A24,Krankmeldungen!$C$6:$C$1005,Einstellungen!$C$4))</f>
        <v/>
      </c>
      <c r="G24" s="58">
        <f>IF(B24="","",SUMIFS(Krankmeldungen!$G$6:$G$1005,Krankmeldungen!$A$6:$A$1005,A24,Krankmeldungen!$C$6:$C$1005,Einstellungen!$C$5))</f>
        <v/>
      </c>
      <c r="H24" s="35">
        <f>IF(B24="","",SUMIFS(Krankmeldungen!$F$6:$F$1005,Krankmeldungen!$A$6:$A$1005,A24))</f>
        <v/>
      </c>
      <c r="I24" s="35">
        <f>IF(B24="","",COUNTIFS(Krankmeldungen!$A$6:$A$1005,A24,Krankmeldungen!$F$6:$F$1005,"&gt;0"))</f>
        <v/>
      </c>
      <c r="J24" s="40">
        <f>IF(B24="","",IF(N(D24)&gt;0,E24/D24,""))</f>
        <v/>
      </c>
      <c r="K24" s="63">
        <f>IF(J24="","",RANK(J24,$J$6:$J$205,0))</f>
        <v/>
      </c>
      <c r="L24" s="56">
        <f>IF(J24="","",IF(J24&lt;=Einstellungen!$C$7,"unauffällig",IF(J24&lt;=Einstellungen!$C$8,"auffällig","kritisch")))</f>
        <v/>
      </c>
      <c r="M24" s="64">
        <f>IF(J24="",-1,J24+ROW()/1000000000)</f>
        <v/>
      </c>
      <c r="O24" s="2" t="inlineStr">
        <is>
          <t>Top 10 – höchste Krankenquote</t>
        </is>
      </c>
      <c r="P24" s="2" t="n"/>
      <c r="Q24" s="2" t="n"/>
      <c r="R24" s="2" t="n"/>
    </row>
    <row r="25" ht="18" customHeight="1">
      <c r="A25" s="61">
        <f>IF(Mitarbeiter!B25="","",Mitarbeiter!A25)</f>
        <v/>
      </c>
      <c r="B25" s="62">
        <f>IF(Mitarbeiter!B25="","",Mitarbeiter!B25)</f>
        <v/>
      </c>
      <c r="C25" s="7">
        <f>IF(Mitarbeiter!B25="","",Mitarbeiter!G25)</f>
        <v/>
      </c>
      <c r="D25" s="57">
        <f>IF(Mitarbeiter!B25="","",Mitarbeiter!H25)</f>
        <v/>
      </c>
      <c r="E25" s="58">
        <f>IF(B25="","",SUMIFS(Krankmeldungen!$G$6:$G$1005,Krankmeldungen!$A$6:$A$1005,A25))</f>
        <v/>
      </c>
      <c r="F25" s="58">
        <f>IF(B25="","",SUMIFS(Krankmeldungen!$G$6:$G$1005,Krankmeldungen!$A$6:$A$1005,A25,Krankmeldungen!$C$6:$C$1005,Einstellungen!$C$4))</f>
        <v/>
      </c>
      <c r="G25" s="58">
        <f>IF(B25="","",SUMIFS(Krankmeldungen!$G$6:$G$1005,Krankmeldungen!$A$6:$A$1005,A25,Krankmeldungen!$C$6:$C$1005,Einstellungen!$C$5))</f>
        <v/>
      </c>
      <c r="H25" s="35">
        <f>IF(B25="","",SUMIFS(Krankmeldungen!$F$6:$F$1005,Krankmeldungen!$A$6:$A$1005,A25))</f>
        <v/>
      </c>
      <c r="I25" s="35">
        <f>IF(B25="","",COUNTIFS(Krankmeldungen!$A$6:$A$1005,A25,Krankmeldungen!$F$6:$F$1005,"&gt;0"))</f>
        <v/>
      </c>
      <c r="J25" s="40">
        <f>IF(B25="","",IF(N(D25)&gt;0,E25/D25,""))</f>
        <v/>
      </c>
      <c r="K25" s="63">
        <f>IF(J25="","",RANK(J25,$J$6:$J$205,0))</f>
        <v/>
      </c>
      <c r="L25" s="56">
        <f>IF(J25="","",IF(J25&lt;=Einstellungen!$C$7,"unauffällig",IF(J25&lt;=Einstellungen!$C$8,"auffällig","kritisch")))</f>
        <v/>
      </c>
      <c r="M25" s="64">
        <f>IF(J25="",-1,J25+ROW()/1000000000)</f>
        <v/>
      </c>
      <c r="O25" s="20" t="inlineStr">
        <is>
          <t>Rang</t>
        </is>
      </c>
      <c r="P25" s="20" t="inlineStr">
        <is>
          <t>Name</t>
        </is>
      </c>
      <c r="Q25" s="20" t="inlineStr">
        <is>
          <t>Quote</t>
        </is>
      </c>
      <c r="R25" s="20" t="inlineStr">
        <is>
          <t>Krankstd.</t>
        </is>
      </c>
    </row>
    <row r="26">
      <c r="A26" s="61">
        <f>IF(Mitarbeiter!B26="","",Mitarbeiter!A26)</f>
        <v/>
      </c>
      <c r="B26" s="62">
        <f>IF(Mitarbeiter!B26="","",Mitarbeiter!B26)</f>
        <v/>
      </c>
      <c r="C26" s="7">
        <f>IF(Mitarbeiter!B26="","",Mitarbeiter!G26)</f>
        <v/>
      </c>
      <c r="D26" s="57">
        <f>IF(Mitarbeiter!B26="","",Mitarbeiter!H26)</f>
        <v/>
      </c>
      <c r="E26" s="58">
        <f>IF(B26="","",SUMIFS(Krankmeldungen!$G$6:$G$1005,Krankmeldungen!$A$6:$A$1005,A26))</f>
        <v/>
      </c>
      <c r="F26" s="58">
        <f>IF(B26="","",SUMIFS(Krankmeldungen!$G$6:$G$1005,Krankmeldungen!$A$6:$A$1005,A26,Krankmeldungen!$C$6:$C$1005,Einstellungen!$C$4))</f>
        <v/>
      </c>
      <c r="G26" s="58">
        <f>IF(B26="","",SUMIFS(Krankmeldungen!$G$6:$G$1005,Krankmeldungen!$A$6:$A$1005,A26,Krankmeldungen!$C$6:$C$1005,Einstellungen!$C$5))</f>
        <v/>
      </c>
      <c r="H26" s="35">
        <f>IF(B26="","",SUMIFS(Krankmeldungen!$F$6:$F$1005,Krankmeldungen!$A$6:$A$1005,A26))</f>
        <v/>
      </c>
      <c r="I26" s="35">
        <f>IF(B26="","",COUNTIFS(Krankmeldungen!$A$6:$A$1005,A26,Krankmeldungen!$F$6:$F$1005,"&gt;0"))</f>
        <v/>
      </c>
      <c r="J26" s="40">
        <f>IF(B26="","",IF(N(D26)&gt;0,E26/D26,""))</f>
        <v/>
      </c>
      <c r="K26" s="63">
        <f>IF(J26="","",RANK(J26,$J$6:$J$205,0))</f>
        <v/>
      </c>
      <c r="L26" s="56">
        <f>IF(J26="","",IF(J26&lt;=Einstellungen!$C$7,"unauffällig",IF(J26&lt;=Einstellungen!$C$8,"auffällig","kritisch")))</f>
        <v/>
      </c>
      <c r="M26" s="64">
        <f>IF(J26="",-1,J26+ROW()/1000000000)</f>
        <v/>
      </c>
      <c r="O26" s="56" t="n">
        <v>1</v>
      </c>
      <c r="P26" s="6">
        <f>IFERROR(IF(LARGE($M$6:$M$205,1)&gt;0,INDEX($B$6:$B$205,MATCH(LARGE($M$6:$M$205,1),$M$6:$M$205,0)),""),"")</f>
        <v/>
      </c>
      <c r="Q26" s="40">
        <f>IFERROR(IF(LARGE($M$6:$M$205,1)&gt;0,INDEX($J$6:$J$205,MATCH(LARGE($M$6:$M$205,1),$M$6:$M$205,0)),""),"")</f>
        <v/>
      </c>
      <c r="R26" s="58">
        <f>IFERROR(IF(LARGE($M$6:$M$205,1)&gt;0,INDEX($E$6:$E$205,MATCH(LARGE($M$6:$M$205,1),$M$6:$M$205,0)),""),"")</f>
        <v/>
      </c>
    </row>
    <row r="27">
      <c r="A27" s="61">
        <f>IF(Mitarbeiter!B27="","",Mitarbeiter!A27)</f>
        <v/>
      </c>
      <c r="B27" s="62">
        <f>IF(Mitarbeiter!B27="","",Mitarbeiter!B27)</f>
        <v/>
      </c>
      <c r="C27" s="7">
        <f>IF(Mitarbeiter!B27="","",Mitarbeiter!G27)</f>
        <v/>
      </c>
      <c r="D27" s="57">
        <f>IF(Mitarbeiter!B27="","",Mitarbeiter!H27)</f>
        <v/>
      </c>
      <c r="E27" s="58">
        <f>IF(B27="","",SUMIFS(Krankmeldungen!$G$6:$G$1005,Krankmeldungen!$A$6:$A$1005,A27))</f>
        <v/>
      </c>
      <c r="F27" s="58">
        <f>IF(B27="","",SUMIFS(Krankmeldungen!$G$6:$G$1005,Krankmeldungen!$A$6:$A$1005,A27,Krankmeldungen!$C$6:$C$1005,Einstellungen!$C$4))</f>
        <v/>
      </c>
      <c r="G27" s="58">
        <f>IF(B27="","",SUMIFS(Krankmeldungen!$G$6:$G$1005,Krankmeldungen!$A$6:$A$1005,A27,Krankmeldungen!$C$6:$C$1005,Einstellungen!$C$5))</f>
        <v/>
      </c>
      <c r="H27" s="35">
        <f>IF(B27="","",SUMIFS(Krankmeldungen!$F$6:$F$1005,Krankmeldungen!$A$6:$A$1005,A27))</f>
        <v/>
      </c>
      <c r="I27" s="35">
        <f>IF(B27="","",COUNTIFS(Krankmeldungen!$A$6:$A$1005,A27,Krankmeldungen!$F$6:$F$1005,"&gt;0"))</f>
        <v/>
      </c>
      <c r="J27" s="40">
        <f>IF(B27="","",IF(N(D27)&gt;0,E27/D27,""))</f>
        <v/>
      </c>
      <c r="K27" s="63">
        <f>IF(J27="","",RANK(J27,$J$6:$J$205,0))</f>
        <v/>
      </c>
      <c r="L27" s="56">
        <f>IF(J27="","",IF(J27&lt;=Einstellungen!$C$7,"unauffällig",IF(J27&lt;=Einstellungen!$C$8,"auffällig","kritisch")))</f>
        <v/>
      </c>
      <c r="M27" s="64">
        <f>IF(J27="",-1,J27+ROW()/1000000000)</f>
        <v/>
      </c>
      <c r="O27" s="56" t="n">
        <v>2</v>
      </c>
      <c r="P27" s="6">
        <f>IFERROR(IF(LARGE($M$6:$M$205,2)&gt;0,INDEX($B$6:$B$205,MATCH(LARGE($M$6:$M$205,2),$M$6:$M$205,0)),""),"")</f>
        <v/>
      </c>
      <c r="Q27" s="40">
        <f>IFERROR(IF(LARGE($M$6:$M$205,2)&gt;0,INDEX($J$6:$J$205,MATCH(LARGE($M$6:$M$205,2),$M$6:$M$205,0)),""),"")</f>
        <v/>
      </c>
      <c r="R27" s="58">
        <f>IFERROR(IF(LARGE($M$6:$M$205,2)&gt;0,INDEX($E$6:$E$205,MATCH(LARGE($M$6:$M$205,2),$M$6:$M$205,0)),""),"")</f>
        <v/>
      </c>
    </row>
    <row r="28">
      <c r="A28" s="61">
        <f>IF(Mitarbeiter!B28="","",Mitarbeiter!A28)</f>
        <v/>
      </c>
      <c r="B28" s="62">
        <f>IF(Mitarbeiter!B28="","",Mitarbeiter!B28)</f>
        <v/>
      </c>
      <c r="C28" s="7">
        <f>IF(Mitarbeiter!B28="","",Mitarbeiter!G28)</f>
        <v/>
      </c>
      <c r="D28" s="57">
        <f>IF(Mitarbeiter!B28="","",Mitarbeiter!H28)</f>
        <v/>
      </c>
      <c r="E28" s="58">
        <f>IF(B28="","",SUMIFS(Krankmeldungen!$G$6:$G$1005,Krankmeldungen!$A$6:$A$1005,A28))</f>
        <v/>
      </c>
      <c r="F28" s="58">
        <f>IF(B28="","",SUMIFS(Krankmeldungen!$G$6:$G$1005,Krankmeldungen!$A$6:$A$1005,A28,Krankmeldungen!$C$6:$C$1005,Einstellungen!$C$4))</f>
        <v/>
      </c>
      <c r="G28" s="58">
        <f>IF(B28="","",SUMIFS(Krankmeldungen!$G$6:$G$1005,Krankmeldungen!$A$6:$A$1005,A28,Krankmeldungen!$C$6:$C$1005,Einstellungen!$C$5))</f>
        <v/>
      </c>
      <c r="H28" s="35">
        <f>IF(B28="","",SUMIFS(Krankmeldungen!$F$6:$F$1005,Krankmeldungen!$A$6:$A$1005,A28))</f>
        <v/>
      </c>
      <c r="I28" s="35">
        <f>IF(B28="","",COUNTIFS(Krankmeldungen!$A$6:$A$1005,A28,Krankmeldungen!$F$6:$F$1005,"&gt;0"))</f>
        <v/>
      </c>
      <c r="J28" s="40">
        <f>IF(B28="","",IF(N(D28)&gt;0,E28/D28,""))</f>
        <v/>
      </c>
      <c r="K28" s="63">
        <f>IF(J28="","",RANK(J28,$J$6:$J$205,0))</f>
        <v/>
      </c>
      <c r="L28" s="56">
        <f>IF(J28="","",IF(J28&lt;=Einstellungen!$C$7,"unauffällig",IF(J28&lt;=Einstellungen!$C$8,"auffällig","kritisch")))</f>
        <v/>
      </c>
      <c r="M28" s="64">
        <f>IF(J28="",-1,J28+ROW()/1000000000)</f>
        <v/>
      </c>
      <c r="O28" s="56" t="n">
        <v>3</v>
      </c>
      <c r="P28" s="6">
        <f>IFERROR(IF(LARGE($M$6:$M$205,3)&gt;0,INDEX($B$6:$B$205,MATCH(LARGE($M$6:$M$205,3),$M$6:$M$205,0)),""),"")</f>
        <v/>
      </c>
      <c r="Q28" s="40">
        <f>IFERROR(IF(LARGE($M$6:$M$205,3)&gt;0,INDEX($J$6:$J$205,MATCH(LARGE($M$6:$M$205,3),$M$6:$M$205,0)),""),"")</f>
        <v/>
      </c>
      <c r="R28" s="58">
        <f>IFERROR(IF(LARGE($M$6:$M$205,3)&gt;0,INDEX($E$6:$E$205,MATCH(LARGE($M$6:$M$205,3),$M$6:$M$205,0)),""),"")</f>
        <v/>
      </c>
    </row>
    <row r="29">
      <c r="A29" s="61">
        <f>IF(Mitarbeiter!B29="","",Mitarbeiter!A29)</f>
        <v/>
      </c>
      <c r="B29" s="62">
        <f>IF(Mitarbeiter!B29="","",Mitarbeiter!B29)</f>
        <v/>
      </c>
      <c r="C29" s="7">
        <f>IF(Mitarbeiter!B29="","",Mitarbeiter!G29)</f>
        <v/>
      </c>
      <c r="D29" s="57">
        <f>IF(Mitarbeiter!B29="","",Mitarbeiter!H29)</f>
        <v/>
      </c>
      <c r="E29" s="58">
        <f>IF(B29="","",SUMIFS(Krankmeldungen!$G$6:$G$1005,Krankmeldungen!$A$6:$A$1005,A29))</f>
        <v/>
      </c>
      <c r="F29" s="58">
        <f>IF(B29="","",SUMIFS(Krankmeldungen!$G$6:$G$1005,Krankmeldungen!$A$6:$A$1005,A29,Krankmeldungen!$C$6:$C$1005,Einstellungen!$C$4))</f>
        <v/>
      </c>
      <c r="G29" s="58">
        <f>IF(B29="","",SUMIFS(Krankmeldungen!$G$6:$G$1005,Krankmeldungen!$A$6:$A$1005,A29,Krankmeldungen!$C$6:$C$1005,Einstellungen!$C$5))</f>
        <v/>
      </c>
      <c r="H29" s="35">
        <f>IF(B29="","",SUMIFS(Krankmeldungen!$F$6:$F$1005,Krankmeldungen!$A$6:$A$1005,A29))</f>
        <v/>
      </c>
      <c r="I29" s="35">
        <f>IF(B29="","",COUNTIFS(Krankmeldungen!$A$6:$A$1005,A29,Krankmeldungen!$F$6:$F$1005,"&gt;0"))</f>
        <v/>
      </c>
      <c r="J29" s="40">
        <f>IF(B29="","",IF(N(D29)&gt;0,E29/D29,""))</f>
        <v/>
      </c>
      <c r="K29" s="63">
        <f>IF(J29="","",RANK(J29,$J$6:$J$205,0))</f>
        <v/>
      </c>
      <c r="L29" s="56">
        <f>IF(J29="","",IF(J29&lt;=Einstellungen!$C$7,"unauffällig",IF(J29&lt;=Einstellungen!$C$8,"auffällig","kritisch")))</f>
        <v/>
      </c>
      <c r="M29" s="64">
        <f>IF(J29="",-1,J29+ROW()/1000000000)</f>
        <v/>
      </c>
      <c r="O29" s="56" t="n">
        <v>4</v>
      </c>
      <c r="P29" s="6">
        <f>IFERROR(IF(LARGE($M$6:$M$205,4)&gt;0,INDEX($B$6:$B$205,MATCH(LARGE($M$6:$M$205,4),$M$6:$M$205,0)),""),"")</f>
        <v/>
      </c>
      <c r="Q29" s="40">
        <f>IFERROR(IF(LARGE($M$6:$M$205,4)&gt;0,INDEX($J$6:$J$205,MATCH(LARGE($M$6:$M$205,4),$M$6:$M$205,0)),""),"")</f>
        <v/>
      </c>
      <c r="R29" s="58">
        <f>IFERROR(IF(LARGE($M$6:$M$205,4)&gt;0,INDEX($E$6:$E$205,MATCH(LARGE($M$6:$M$205,4),$M$6:$M$205,0)),""),"")</f>
        <v/>
      </c>
    </row>
    <row r="30">
      <c r="A30" s="61">
        <f>IF(Mitarbeiter!B30="","",Mitarbeiter!A30)</f>
        <v/>
      </c>
      <c r="B30" s="62">
        <f>IF(Mitarbeiter!B30="","",Mitarbeiter!B30)</f>
        <v/>
      </c>
      <c r="C30" s="7">
        <f>IF(Mitarbeiter!B30="","",Mitarbeiter!G30)</f>
        <v/>
      </c>
      <c r="D30" s="57">
        <f>IF(Mitarbeiter!B30="","",Mitarbeiter!H30)</f>
        <v/>
      </c>
      <c r="E30" s="58">
        <f>IF(B30="","",SUMIFS(Krankmeldungen!$G$6:$G$1005,Krankmeldungen!$A$6:$A$1005,A30))</f>
        <v/>
      </c>
      <c r="F30" s="58">
        <f>IF(B30="","",SUMIFS(Krankmeldungen!$G$6:$G$1005,Krankmeldungen!$A$6:$A$1005,A30,Krankmeldungen!$C$6:$C$1005,Einstellungen!$C$4))</f>
        <v/>
      </c>
      <c r="G30" s="58">
        <f>IF(B30="","",SUMIFS(Krankmeldungen!$G$6:$G$1005,Krankmeldungen!$A$6:$A$1005,A30,Krankmeldungen!$C$6:$C$1005,Einstellungen!$C$5))</f>
        <v/>
      </c>
      <c r="H30" s="35">
        <f>IF(B30="","",SUMIFS(Krankmeldungen!$F$6:$F$1005,Krankmeldungen!$A$6:$A$1005,A30))</f>
        <v/>
      </c>
      <c r="I30" s="35">
        <f>IF(B30="","",COUNTIFS(Krankmeldungen!$A$6:$A$1005,A30,Krankmeldungen!$F$6:$F$1005,"&gt;0"))</f>
        <v/>
      </c>
      <c r="J30" s="40">
        <f>IF(B30="","",IF(N(D30)&gt;0,E30/D30,""))</f>
        <v/>
      </c>
      <c r="K30" s="63">
        <f>IF(J30="","",RANK(J30,$J$6:$J$205,0))</f>
        <v/>
      </c>
      <c r="L30" s="56">
        <f>IF(J30="","",IF(J30&lt;=Einstellungen!$C$7,"unauffällig",IF(J30&lt;=Einstellungen!$C$8,"auffällig","kritisch")))</f>
        <v/>
      </c>
      <c r="M30" s="64">
        <f>IF(J30="",-1,J30+ROW()/1000000000)</f>
        <v/>
      </c>
      <c r="O30" s="56" t="n">
        <v>5</v>
      </c>
      <c r="P30" s="6">
        <f>IFERROR(IF(LARGE($M$6:$M$205,5)&gt;0,INDEX($B$6:$B$205,MATCH(LARGE($M$6:$M$205,5),$M$6:$M$205,0)),""),"")</f>
        <v/>
      </c>
      <c r="Q30" s="40">
        <f>IFERROR(IF(LARGE($M$6:$M$205,5)&gt;0,INDEX($J$6:$J$205,MATCH(LARGE($M$6:$M$205,5),$M$6:$M$205,0)),""),"")</f>
        <v/>
      </c>
      <c r="R30" s="58">
        <f>IFERROR(IF(LARGE($M$6:$M$205,5)&gt;0,INDEX($E$6:$E$205,MATCH(LARGE($M$6:$M$205,5),$M$6:$M$205,0)),""),"")</f>
        <v/>
      </c>
    </row>
    <row r="31">
      <c r="A31" s="61">
        <f>IF(Mitarbeiter!B31="","",Mitarbeiter!A31)</f>
        <v/>
      </c>
      <c r="B31" s="62">
        <f>IF(Mitarbeiter!B31="","",Mitarbeiter!B31)</f>
        <v/>
      </c>
      <c r="C31" s="7">
        <f>IF(Mitarbeiter!B31="","",Mitarbeiter!G31)</f>
        <v/>
      </c>
      <c r="D31" s="57">
        <f>IF(Mitarbeiter!B31="","",Mitarbeiter!H31)</f>
        <v/>
      </c>
      <c r="E31" s="58">
        <f>IF(B31="","",SUMIFS(Krankmeldungen!$G$6:$G$1005,Krankmeldungen!$A$6:$A$1005,A31))</f>
        <v/>
      </c>
      <c r="F31" s="58">
        <f>IF(B31="","",SUMIFS(Krankmeldungen!$G$6:$G$1005,Krankmeldungen!$A$6:$A$1005,A31,Krankmeldungen!$C$6:$C$1005,Einstellungen!$C$4))</f>
        <v/>
      </c>
      <c r="G31" s="58">
        <f>IF(B31="","",SUMIFS(Krankmeldungen!$G$6:$G$1005,Krankmeldungen!$A$6:$A$1005,A31,Krankmeldungen!$C$6:$C$1005,Einstellungen!$C$5))</f>
        <v/>
      </c>
      <c r="H31" s="35">
        <f>IF(B31="","",SUMIFS(Krankmeldungen!$F$6:$F$1005,Krankmeldungen!$A$6:$A$1005,A31))</f>
        <v/>
      </c>
      <c r="I31" s="35">
        <f>IF(B31="","",COUNTIFS(Krankmeldungen!$A$6:$A$1005,A31,Krankmeldungen!$F$6:$F$1005,"&gt;0"))</f>
        <v/>
      </c>
      <c r="J31" s="40">
        <f>IF(B31="","",IF(N(D31)&gt;0,E31/D31,""))</f>
        <v/>
      </c>
      <c r="K31" s="63">
        <f>IF(J31="","",RANK(J31,$J$6:$J$205,0))</f>
        <v/>
      </c>
      <c r="L31" s="56">
        <f>IF(J31="","",IF(J31&lt;=Einstellungen!$C$7,"unauffällig",IF(J31&lt;=Einstellungen!$C$8,"auffällig","kritisch")))</f>
        <v/>
      </c>
      <c r="M31" s="64">
        <f>IF(J31="",-1,J31+ROW()/1000000000)</f>
        <v/>
      </c>
      <c r="O31" s="56" t="n">
        <v>6</v>
      </c>
      <c r="P31" s="6">
        <f>IFERROR(IF(LARGE($M$6:$M$205,6)&gt;0,INDEX($B$6:$B$205,MATCH(LARGE($M$6:$M$205,6),$M$6:$M$205,0)),""),"")</f>
        <v/>
      </c>
      <c r="Q31" s="40">
        <f>IFERROR(IF(LARGE($M$6:$M$205,6)&gt;0,INDEX($J$6:$J$205,MATCH(LARGE($M$6:$M$205,6),$M$6:$M$205,0)),""),"")</f>
        <v/>
      </c>
      <c r="R31" s="58">
        <f>IFERROR(IF(LARGE($M$6:$M$205,6)&gt;0,INDEX($E$6:$E$205,MATCH(LARGE($M$6:$M$205,6),$M$6:$M$205,0)),""),"")</f>
        <v/>
      </c>
    </row>
    <row r="32">
      <c r="A32" s="61">
        <f>IF(Mitarbeiter!B32="","",Mitarbeiter!A32)</f>
        <v/>
      </c>
      <c r="B32" s="62">
        <f>IF(Mitarbeiter!B32="","",Mitarbeiter!B32)</f>
        <v/>
      </c>
      <c r="C32" s="7">
        <f>IF(Mitarbeiter!B32="","",Mitarbeiter!G32)</f>
        <v/>
      </c>
      <c r="D32" s="57">
        <f>IF(Mitarbeiter!B32="","",Mitarbeiter!H32)</f>
        <v/>
      </c>
      <c r="E32" s="58">
        <f>IF(B32="","",SUMIFS(Krankmeldungen!$G$6:$G$1005,Krankmeldungen!$A$6:$A$1005,A32))</f>
        <v/>
      </c>
      <c r="F32" s="58">
        <f>IF(B32="","",SUMIFS(Krankmeldungen!$G$6:$G$1005,Krankmeldungen!$A$6:$A$1005,A32,Krankmeldungen!$C$6:$C$1005,Einstellungen!$C$4))</f>
        <v/>
      </c>
      <c r="G32" s="58">
        <f>IF(B32="","",SUMIFS(Krankmeldungen!$G$6:$G$1005,Krankmeldungen!$A$6:$A$1005,A32,Krankmeldungen!$C$6:$C$1005,Einstellungen!$C$5))</f>
        <v/>
      </c>
      <c r="H32" s="35">
        <f>IF(B32="","",SUMIFS(Krankmeldungen!$F$6:$F$1005,Krankmeldungen!$A$6:$A$1005,A32))</f>
        <v/>
      </c>
      <c r="I32" s="35">
        <f>IF(B32="","",COUNTIFS(Krankmeldungen!$A$6:$A$1005,A32,Krankmeldungen!$F$6:$F$1005,"&gt;0"))</f>
        <v/>
      </c>
      <c r="J32" s="40">
        <f>IF(B32="","",IF(N(D32)&gt;0,E32/D32,""))</f>
        <v/>
      </c>
      <c r="K32" s="63">
        <f>IF(J32="","",RANK(J32,$J$6:$J$205,0))</f>
        <v/>
      </c>
      <c r="L32" s="56">
        <f>IF(J32="","",IF(J32&lt;=Einstellungen!$C$7,"unauffällig",IF(J32&lt;=Einstellungen!$C$8,"auffällig","kritisch")))</f>
        <v/>
      </c>
      <c r="M32" s="64">
        <f>IF(J32="",-1,J32+ROW()/1000000000)</f>
        <v/>
      </c>
      <c r="O32" s="56" t="n">
        <v>7</v>
      </c>
      <c r="P32" s="6">
        <f>IFERROR(IF(LARGE($M$6:$M$205,7)&gt;0,INDEX($B$6:$B$205,MATCH(LARGE($M$6:$M$205,7),$M$6:$M$205,0)),""),"")</f>
        <v/>
      </c>
      <c r="Q32" s="40">
        <f>IFERROR(IF(LARGE($M$6:$M$205,7)&gt;0,INDEX($J$6:$J$205,MATCH(LARGE($M$6:$M$205,7),$M$6:$M$205,0)),""),"")</f>
        <v/>
      </c>
      <c r="R32" s="58">
        <f>IFERROR(IF(LARGE($M$6:$M$205,7)&gt;0,INDEX($E$6:$E$205,MATCH(LARGE($M$6:$M$205,7),$M$6:$M$205,0)),""),"")</f>
        <v/>
      </c>
    </row>
    <row r="33">
      <c r="A33" s="61">
        <f>IF(Mitarbeiter!B33="","",Mitarbeiter!A33)</f>
        <v/>
      </c>
      <c r="B33" s="62">
        <f>IF(Mitarbeiter!B33="","",Mitarbeiter!B33)</f>
        <v/>
      </c>
      <c r="C33" s="7">
        <f>IF(Mitarbeiter!B33="","",Mitarbeiter!G33)</f>
        <v/>
      </c>
      <c r="D33" s="57">
        <f>IF(Mitarbeiter!B33="","",Mitarbeiter!H33)</f>
        <v/>
      </c>
      <c r="E33" s="58">
        <f>IF(B33="","",SUMIFS(Krankmeldungen!$G$6:$G$1005,Krankmeldungen!$A$6:$A$1005,A33))</f>
        <v/>
      </c>
      <c r="F33" s="58">
        <f>IF(B33="","",SUMIFS(Krankmeldungen!$G$6:$G$1005,Krankmeldungen!$A$6:$A$1005,A33,Krankmeldungen!$C$6:$C$1005,Einstellungen!$C$4))</f>
        <v/>
      </c>
      <c r="G33" s="58">
        <f>IF(B33="","",SUMIFS(Krankmeldungen!$G$6:$G$1005,Krankmeldungen!$A$6:$A$1005,A33,Krankmeldungen!$C$6:$C$1005,Einstellungen!$C$5))</f>
        <v/>
      </c>
      <c r="H33" s="35">
        <f>IF(B33="","",SUMIFS(Krankmeldungen!$F$6:$F$1005,Krankmeldungen!$A$6:$A$1005,A33))</f>
        <v/>
      </c>
      <c r="I33" s="35">
        <f>IF(B33="","",COUNTIFS(Krankmeldungen!$A$6:$A$1005,A33,Krankmeldungen!$F$6:$F$1005,"&gt;0"))</f>
        <v/>
      </c>
      <c r="J33" s="40">
        <f>IF(B33="","",IF(N(D33)&gt;0,E33/D33,""))</f>
        <v/>
      </c>
      <c r="K33" s="63">
        <f>IF(J33="","",RANK(J33,$J$6:$J$205,0))</f>
        <v/>
      </c>
      <c r="L33" s="56">
        <f>IF(J33="","",IF(J33&lt;=Einstellungen!$C$7,"unauffällig",IF(J33&lt;=Einstellungen!$C$8,"auffällig","kritisch")))</f>
        <v/>
      </c>
      <c r="M33" s="64">
        <f>IF(J33="",-1,J33+ROW()/1000000000)</f>
        <v/>
      </c>
      <c r="O33" s="56" t="n">
        <v>8</v>
      </c>
      <c r="P33" s="6">
        <f>IFERROR(IF(LARGE($M$6:$M$205,8)&gt;0,INDEX($B$6:$B$205,MATCH(LARGE($M$6:$M$205,8),$M$6:$M$205,0)),""),"")</f>
        <v/>
      </c>
      <c r="Q33" s="40">
        <f>IFERROR(IF(LARGE($M$6:$M$205,8)&gt;0,INDEX($J$6:$J$205,MATCH(LARGE($M$6:$M$205,8),$M$6:$M$205,0)),""),"")</f>
        <v/>
      </c>
      <c r="R33" s="58">
        <f>IFERROR(IF(LARGE($M$6:$M$205,8)&gt;0,INDEX($E$6:$E$205,MATCH(LARGE($M$6:$M$205,8),$M$6:$M$205,0)),""),"")</f>
        <v/>
      </c>
    </row>
    <row r="34">
      <c r="A34" s="61">
        <f>IF(Mitarbeiter!B34="","",Mitarbeiter!A34)</f>
        <v/>
      </c>
      <c r="B34" s="62">
        <f>IF(Mitarbeiter!B34="","",Mitarbeiter!B34)</f>
        <v/>
      </c>
      <c r="C34" s="7">
        <f>IF(Mitarbeiter!B34="","",Mitarbeiter!G34)</f>
        <v/>
      </c>
      <c r="D34" s="57">
        <f>IF(Mitarbeiter!B34="","",Mitarbeiter!H34)</f>
        <v/>
      </c>
      <c r="E34" s="58">
        <f>IF(B34="","",SUMIFS(Krankmeldungen!$G$6:$G$1005,Krankmeldungen!$A$6:$A$1005,A34))</f>
        <v/>
      </c>
      <c r="F34" s="58">
        <f>IF(B34="","",SUMIFS(Krankmeldungen!$G$6:$G$1005,Krankmeldungen!$A$6:$A$1005,A34,Krankmeldungen!$C$6:$C$1005,Einstellungen!$C$4))</f>
        <v/>
      </c>
      <c r="G34" s="58">
        <f>IF(B34="","",SUMIFS(Krankmeldungen!$G$6:$G$1005,Krankmeldungen!$A$6:$A$1005,A34,Krankmeldungen!$C$6:$C$1005,Einstellungen!$C$5))</f>
        <v/>
      </c>
      <c r="H34" s="35">
        <f>IF(B34="","",SUMIFS(Krankmeldungen!$F$6:$F$1005,Krankmeldungen!$A$6:$A$1005,A34))</f>
        <v/>
      </c>
      <c r="I34" s="35">
        <f>IF(B34="","",COUNTIFS(Krankmeldungen!$A$6:$A$1005,A34,Krankmeldungen!$F$6:$F$1005,"&gt;0"))</f>
        <v/>
      </c>
      <c r="J34" s="40">
        <f>IF(B34="","",IF(N(D34)&gt;0,E34/D34,""))</f>
        <v/>
      </c>
      <c r="K34" s="63">
        <f>IF(J34="","",RANK(J34,$J$6:$J$205,0))</f>
        <v/>
      </c>
      <c r="L34" s="56">
        <f>IF(J34="","",IF(J34&lt;=Einstellungen!$C$7,"unauffällig",IF(J34&lt;=Einstellungen!$C$8,"auffällig","kritisch")))</f>
        <v/>
      </c>
      <c r="M34" s="64">
        <f>IF(J34="",-1,J34+ROW()/1000000000)</f>
        <v/>
      </c>
      <c r="O34" s="56" t="n">
        <v>9</v>
      </c>
      <c r="P34" s="6">
        <f>IFERROR(IF(LARGE($M$6:$M$205,9)&gt;0,INDEX($B$6:$B$205,MATCH(LARGE($M$6:$M$205,9),$M$6:$M$205,0)),""),"")</f>
        <v/>
      </c>
      <c r="Q34" s="40">
        <f>IFERROR(IF(LARGE($M$6:$M$205,9)&gt;0,INDEX($J$6:$J$205,MATCH(LARGE($M$6:$M$205,9),$M$6:$M$205,0)),""),"")</f>
        <v/>
      </c>
      <c r="R34" s="58">
        <f>IFERROR(IF(LARGE($M$6:$M$205,9)&gt;0,INDEX($E$6:$E$205,MATCH(LARGE($M$6:$M$205,9),$M$6:$M$205,0)),""),"")</f>
        <v/>
      </c>
    </row>
    <row r="35">
      <c r="A35" s="61">
        <f>IF(Mitarbeiter!B35="","",Mitarbeiter!A35)</f>
        <v/>
      </c>
      <c r="B35" s="62">
        <f>IF(Mitarbeiter!B35="","",Mitarbeiter!B35)</f>
        <v/>
      </c>
      <c r="C35" s="7">
        <f>IF(Mitarbeiter!B35="","",Mitarbeiter!G35)</f>
        <v/>
      </c>
      <c r="D35" s="57">
        <f>IF(Mitarbeiter!B35="","",Mitarbeiter!H35)</f>
        <v/>
      </c>
      <c r="E35" s="58">
        <f>IF(B35="","",SUMIFS(Krankmeldungen!$G$6:$G$1005,Krankmeldungen!$A$6:$A$1005,A35))</f>
        <v/>
      </c>
      <c r="F35" s="58">
        <f>IF(B35="","",SUMIFS(Krankmeldungen!$G$6:$G$1005,Krankmeldungen!$A$6:$A$1005,A35,Krankmeldungen!$C$6:$C$1005,Einstellungen!$C$4))</f>
        <v/>
      </c>
      <c r="G35" s="58">
        <f>IF(B35="","",SUMIFS(Krankmeldungen!$G$6:$G$1005,Krankmeldungen!$A$6:$A$1005,A35,Krankmeldungen!$C$6:$C$1005,Einstellungen!$C$5))</f>
        <v/>
      </c>
      <c r="H35" s="35">
        <f>IF(B35="","",SUMIFS(Krankmeldungen!$F$6:$F$1005,Krankmeldungen!$A$6:$A$1005,A35))</f>
        <v/>
      </c>
      <c r="I35" s="35">
        <f>IF(B35="","",COUNTIFS(Krankmeldungen!$A$6:$A$1005,A35,Krankmeldungen!$F$6:$F$1005,"&gt;0"))</f>
        <v/>
      </c>
      <c r="J35" s="40">
        <f>IF(B35="","",IF(N(D35)&gt;0,E35/D35,""))</f>
        <v/>
      </c>
      <c r="K35" s="63">
        <f>IF(J35="","",RANK(J35,$J$6:$J$205,0))</f>
        <v/>
      </c>
      <c r="L35" s="56">
        <f>IF(J35="","",IF(J35&lt;=Einstellungen!$C$7,"unauffällig",IF(J35&lt;=Einstellungen!$C$8,"auffällig","kritisch")))</f>
        <v/>
      </c>
      <c r="M35" s="64">
        <f>IF(J35="",-1,J35+ROW()/1000000000)</f>
        <v/>
      </c>
      <c r="O35" s="56" t="n">
        <v>10</v>
      </c>
      <c r="P35" s="6">
        <f>IFERROR(IF(LARGE($M$6:$M$205,10)&gt;0,INDEX($B$6:$B$205,MATCH(LARGE($M$6:$M$205,10),$M$6:$M$205,0)),""),"")</f>
        <v/>
      </c>
      <c r="Q35" s="40">
        <f>IFERROR(IF(LARGE($M$6:$M$205,10)&gt;0,INDEX($J$6:$J$205,MATCH(LARGE($M$6:$M$205,10),$M$6:$M$205,0)),""),"")</f>
        <v/>
      </c>
      <c r="R35" s="58">
        <f>IFERROR(IF(LARGE($M$6:$M$205,10)&gt;0,INDEX($E$6:$E$205,MATCH(LARGE($M$6:$M$205,10),$M$6:$M$205,0)),""),"")</f>
        <v/>
      </c>
    </row>
    <row r="36">
      <c r="A36" s="61">
        <f>IF(Mitarbeiter!B36="","",Mitarbeiter!A36)</f>
        <v/>
      </c>
      <c r="B36" s="62">
        <f>IF(Mitarbeiter!B36="","",Mitarbeiter!B36)</f>
        <v/>
      </c>
      <c r="C36" s="7">
        <f>IF(Mitarbeiter!B36="","",Mitarbeiter!G36)</f>
        <v/>
      </c>
      <c r="D36" s="57">
        <f>IF(Mitarbeiter!B36="","",Mitarbeiter!H36)</f>
        <v/>
      </c>
      <c r="E36" s="58">
        <f>IF(B36="","",SUMIFS(Krankmeldungen!$G$6:$G$1005,Krankmeldungen!$A$6:$A$1005,A36))</f>
        <v/>
      </c>
      <c r="F36" s="58">
        <f>IF(B36="","",SUMIFS(Krankmeldungen!$G$6:$G$1005,Krankmeldungen!$A$6:$A$1005,A36,Krankmeldungen!$C$6:$C$1005,Einstellungen!$C$4))</f>
        <v/>
      </c>
      <c r="G36" s="58">
        <f>IF(B36="","",SUMIFS(Krankmeldungen!$G$6:$G$1005,Krankmeldungen!$A$6:$A$1005,A36,Krankmeldungen!$C$6:$C$1005,Einstellungen!$C$5))</f>
        <v/>
      </c>
      <c r="H36" s="35">
        <f>IF(B36="","",SUMIFS(Krankmeldungen!$F$6:$F$1005,Krankmeldungen!$A$6:$A$1005,A36))</f>
        <v/>
      </c>
      <c r="I36" s="35">
        <f>IF(B36="","",COUNTIFS(Krankmeldungen!$A$6:$A$1005,A36,Krankmeldungen!$F$6:$F$1005,"&gt;0"))</f>
        <v/>
      </c>
      <c r="J36" s="40">
        <f>IF(B36="","",IF(N(D36)&gt;0,E36/D36,""))</f>
        <v/>
      </c>
      <c r="K36" s="63">
        <f>IF(J36="","",RANK(J36,$J$6:$J$205,0))</f>
        <v/>
      </c>
      <c r="L36" s="56">
        <f>IF(J36="","",IF(J36&lt;=Einstellungen!$C$7,"unauffällig",IF(J36&lt;=Einstellungen!$C$8,"auffällig","kritisch")))</f>
        <v/>
      </c>
      <c r="M36" s="64">
        <f>IF(J36="",-1,J36+ROW()/1000000000)</f>
        <v/>
      </c>
    </row>
    <row r="37">
      <c r="A37" s="61">
        <f>IF(Mitarbeiter!B37="","",Mitarbeiter!A37)</f>
        <v/>
      </c>
      <c r="B37" s="62">
        <f>IF(Mitarbeiter!B37="","",Mitarbeiter!B37)</f>
        <v/>
      </c>
      <c r="C37" s="7">
        <f>IF(Mitarbeiter!B37="","",Mitarbeiter!G37)</f>
        <v/>
      </c>
      <c r="D37" s="57">
        <f>IF(Mitarbeiter!B37="","",Mitarbeiter!H37)</f>
        <v/>
      </c>
      <c r="E37" s="58">
        <f>IF(B37="","",SUMIFS(Krankmeldungen!$G$6:$G$1005,Krankmeldungen!$A$6:$A$1005,A37))</f>
        <v/>
      </c>
      <c r="F37" s="58">
        <f>IF(B37="","",SUMIFS(Krankmeldungen!$G$6:$G$1005,Krankmeldungen!$A$6:$A$1005,A37,Krankmeldungen!$C$6:$C$1005,Einstellungen!$C$4))</f>
        <v/>
      </c>
      <c r="G37" s="58">
        <f>IF(B37="","",SUMIFS(Krankmeldungen!$G$6:$G$1005,Krankmeldungen!$A$6:$A$1005,A37,Krankmeldungen!$C$6:$C$1005,Einstellungen!$C$5))</f>
        <v/>
      </c>
      <c r="H37" s="35">
        <f>IF(B37="","",SUMIFS(Krankmeldungen!$F$6:$F$1005,Krankmeldungen!$A$6:$A$1005,A37))</f>
        <v/>
      </c>
      <c r="I37" s="35">
        <f>IF(B37="","",COUNTIFS(Krankmeldungen!$A$6:$A$1005,A37,Krankmeldungen!$F$6:$F$1005,"&gt;0"))</f>
        <v/>
      </c>
      <c r="J37" s="40">
        <f>IF(B37="","",IF(N(D37)&gt;0,E37/D37,""))</f>
        <v/>
      </c>
      <c r="K37" s="63">
        <f>IF(J37="","",RANK(J37,$J$6:$J$205,0))</f>
        <v/>
      </c>
      <c r="L37" s="56">
        <f>IF(J37="","",IF(J37&lt;=Einstellungen!$C$7,"unauffällig",IF(J37&lt;=Einstellungen!$C$8,"auffällig","kritisch")))</f>
        <v/>
      </c>
      <c r="M37" s="64">
        <f>IF(J37="",-1,J37+ROW()/1000000000)</f>
        <v/>
      </c>
    </row>
    <row r="38">
      <c r="A38" s="61">
        <f>IF(Mitarbeiter!B38="","",Mitarbeiter!A38)</f>
        <v/>
      </c>
      <c r="B38" s="62">
        <f>IF(Mitarbeiter!B38="","",Mitarbeiter!B38)</f>
        <v/>
      </c>
      <c r="C38" s="7">
        <f>IF(Mitarbeiter!B38="","",Mitarbeiter!G38)</f>
        <v/>
      </c>
      <c r="D38" s="57">
        <f>IF(Mitarbeiter!B38="","",Mitarbeiter!H38)</f>
        <v/>
      </c>
      <c r="E38" s="58">
        <f>IF(B38="","",SUMIFS(Krankmeldungen!$G$6:$G$1005,Krankmeldungen!$A$6:$A$1005,A38))</f>
        <v/>
      </c>
      <c r="F38" s="58">
        <f>IF(B38="","",SUMIFS(Krankmeldungen!$G$6:$G$1005,Krankmeldungen!$A$6:$A$1005,A38,Krankmeldungen!$C$6:$C$1005,Einstellungen!$C$4))</f>
        <v/>
      </c>
      <c r="G38" s="58">
        <f>IF(B38="","",SUMIFS(Krankmeldungen!$G$6:$G$1005,Krankmeldungen!$A$6:$A$1005,A38,Krankmeldungen!$C$6:$C$1005,Einstellungen!$C$5))</f>
        <v/>
      </c>
      <c r="H38" s="35">
        <f>IF(B38="","",SUMIFS(Krankmeldungen!$F$6:$F$1005,Krankmeldungen!$A$6:$A$1005,A38))</f>
        <v/>
      </c>
      <c r="I38" s="35">
        <f>IF(B38="","",COUNTIFS(Krankmeldungen!$A$6:$A$1005,A38,Krankmeldungen!$F$6:$F$1005,"&gt;0"))</f>
        <v/>
      </c>
      <c r="J38" s="40">
        <f>IF(B38="","",IF(N(D38)&gt;0,E38/D38,""))</f>
        <v/>
      </c>
      <c r="K38" s="63">
        <f>IF(J38="","",RANK(J38,$J$6:$J$205,0))</f>
        <v/>
      </c>
      <c r="L38" s="56">
        <f>IF(J38="","",IF(J38&lt;=Einstellungen!$C$7,"unauffällig",IF(J38&lt;=Einstellungen!$C$8,"auffällig","kritisch")))</f>
        <v/>
      </c>
      <c r="M38" s="64">
        <f>IF(J38="",-1,J38+ROW()/1000000000)</f>
        <v/>
      </c>
    </row>
    <row r="39">
      <c r="A39" s="61">
        <f>IF(Mitarbeiter!B39="","",Mitarbeiter!A39)</f>
        <v/>
      </c>
      <c r="B39" s="62">
        <f>IF(Mitarbeiter!B39="","",Mitarbeiter!B39)</f>
        <v/>
      </c>
      <c r="C39" s="7">
        <f>IF(Mitarbeiter!B39="","",Mitarbeiter!G39)</f>
        <v/>
      </c>
      <c r="D39" s="57">
        <f>IF(Mitarbeiter!B39="","",Mitarbeiter!H39)</f>
        <v/>
      </c>
      <c r="E39" s="58">
        <f>IF(B39="","",SUMIFS(Krankmeldungen!$G$6:$G$1005,Krankmeldungen!$A$6:$A$1005,A39))</f>
        <v/>
      </c>
      <c r="F39" s="58">
        <f>IF(B39="","",SUMIFS(Krankmeldungen!$G$6:$G$1005,Krankmeldungen!$A$6:$A$1005,A39,Krankmeldungen!$C$6:$C$1005,Einstellungen!$C$4))</f>
        <v/>
      </c>
      <c r="G39" s="58">
        <f>IF(B39="","",SUMIFS(Krankmeldungen!$G$6:$G$1005,Krankmeldungen!$A$6:$A$1005,A39,Krankmeldungen!$C$6:$C$1005,Einstellungen!$C$5))</f>
        <v/>
      </c>
      <c r="H39" s="35">
        <f>IF(B39="","",SUMIFS(Krankmeldungen!$F$6:$F$1005,Krankmeldungen!$A$6:$A$1005,A39))</f>
        <v/>
      </c>
      <c r="I39" s="35">
        <f>IF(B39="","",COUNTIFS(Krankmeldungen!$A$6:$A$1005,A39,Krankmeldungen!$F$6:$F$1005,"&gt;0"))</f>
        <v/>
      </c>
      <c r="J39" s="40">
        <f>IF(B39="","",IF(N(D39)&gt;0,E39/D39,""))</f>
        <v/>
      </c>
      <c r="K39" s="63">
        <f>IF(J39="","",RANK(J39,$J$6:$J$205,0))</f>
        <v/>
      </c>
      <c r="L39" s="56">
        <f>IF(J39="","",IF(J39&lt;=Einstellungen!$C$7,"unauffällig",IF(J39&lt;=Einstellungen!$C$8,"auffällig","kritisch")))</f>
        <v/>
      </c>
      <c r="M39" s="64">
        <f>IF(J39="",-1,J39+ROW()/1000000000)</f>
        <v/>
      </c>
    </row>
    <row r="40">
      <c r="A40" s="61">
        <f>IF(Mitarbeiter!B40="","",Mitarbeiter!A40)</f>
        <v/>
      </c>
      <c r="B40" s="62">
        <f>IF(Mitarbeiter!B40="","",Mitarbeiter!B40)</f>
        <v/>
      </c>
      <c r="C40" s="7">
        <f>IF(Mitarbeiter!B40="","",Mitarbeiter!G40)</f>
        <v/>
      </c>
      <c r="D40" s="57">
        <f>IF(Mitarbeiter!B40="","",Mitarbeiter!H40)</f>
        <v/>
      </c>
      <c r="E40" s="58">
        <f>IF(B40="","",SUMIFS(Krankmeldungen!$G$6:$G$1005,Krankmeldungen!$A$6:$A$1005,A40))</f>
        <v/>
      </c>
      <c r="F40" s="58">
        <f>IF(B40="","",SUMIFS(Krankmeldungen!$G$6:$G$1005,Krankmeldungen!$A$6:$A$1005,A40,Krankmeldungen!$C$6:$C$1005,Einstellungen!$C$4))</f>
        <v/>
      </c>
      <c r="G40" s="58">
        <f>IF(B40="","",SUMIFS(Krankmeldungen!$G$6:$G$1005,Krankmeldungen!$A$6:$A$1005,A40,Krankmeldungen!$C$6:$C$1005,Einstellungen!$C$5))</f>
        <v/>
      </c>
      <c r="H40" s="35">
        <f>IF(B40="","",SUMIFS(Krankmeldungen!$F$6:$F$1005,Krankmeldungen!$A$6:$A$1005,A40))</f>
        <v/>
      </c>
      <c r="I40" s="35">
        <f>IF(B40="","",COUNTIFS(Krankmeldungen!$A$6:$A$1005,A40,Krankmeldungen!$F$6:$F$1005,"&gt;0"))</f>
        <v/>
      </c>
      <c r="J40" s="40">
        <f>IF(B40="","",IF(N(D40)&gt;0,E40/D40,""))</f>
        <v/>
      </c>
      <c r="K40" s="63">
        <f>IF(J40="","",RANK(J40,$J$6:$J$205,0))</f>
        <v/>
      </c>
      <c r="L40" s="56">
        <f>IF(J40="","",IF(J40&lt;=Einstellungen!$C$7,"unauffällig",IF(J40&lt;=Einstellungen!$C$8,"auffällig","kritisch")))</f>
        <v/>
      </c>
      <c r="M40" s="64">
        <f>IF(J40="",-1,J40+ROW()/1000000000)</f>
        <v/>
      </c>
    </row>
    <row r="41">
      <c r="A41" s="61">
        <f>IF(Mitarbeiter!B41="","",Mitarbeiter!A41)</f>
        <v/>
      </c>
      <c r="B41" s="62">
        <f>IF(Mitarbeiter!B41="","",Mitarbeiter!B41)</f>
        <v/>
      </c>
      <c r="C41" s="7">
        <f>IF(Mitarbeiter!B41="","",Mitarbeiter!G41)</f>
        <v/>
      </c>
      <c r="D41" s="57">
        <f>IF(Mitarbeiter!B41="","",Mitarbeiter!H41)</f>
        <v/>
      </c>
      <c r="E41" s="58">
        <f>IF(B41="","",SUMIFS(Krankmeldungen!$G$6:$G$1005,Krankmeldungen!$A$6:$A$1005,A41))</f>
        <v/>
      </c>
      <c r="F41" s="58">
        <f>IF(B41="","",SUMIFS(Krankmeldungen!$G$6:$G$1005,Krankmeldungen!$A$6:$A$1005,A41,Krankmeldungen!$C$6:$C$1005,Einstellungen!$C$4))</f>
        <v/>
      </c>
      <c r="G41" s="58">
        <f>IF(B41="","",SUMIFS(Krankmeldungen!$G$6:$G$1005,Krankmeldungen!$A$6:$A$1005,A41,Krankmeldungen!$C$6:$C$1005,Einstellungen!$C$5))</f>
        <v/>
      </c>
      <c r="H41" s="35">
        <f>IF(B41="","",SUMIFS(Krankmeldungen!$F$6:$F$1005,Krankmeldungen!$A$6:$A$1005,A41))</f>
        <v/>
      </c>
      <c r="I41" s="35">
        <f>IF(B41="","",COUNTIFS(Krankmeldungen!$A$6:$A$1005,A41,Krankmeldungen!$F$6:$F$1005,"&gt;0"))</f>
        <v/>
      </c>
      <c r="J41" s="40">
        <f>IF(B41="","",IF(N(D41)&gt;0,E41/D41,""))</f>
        <v/>
      </c>
      <c r="K41" s="63">
        <f>IF(J41="","",RANK(J41,$J$6:$J$205,0))</f>
        <v/>
      </c>
      <c r="L41" s="56">
        <f>IF(J41="","",IF(J41&lt;=Einstellungen!$C$7,"unauffällig",IF(J41&lt;=Einstellungen!$C$8,"auffällig","kritisch")))</f>
        <v/>
      </c>
      <c r="M41" s="64">
        <f>IF(J41="",-1,J41+ROW()/1000000000)</f>
        <v/>
      </c>
    </row>
    <row r="42">
      <c r="A42" s="61">
        <f>IF(Mitarbeiter!B42="","",Mitarbeiter!A42)</f>
        <v/>
      </c>
      <c r="B42" s="62">
        <f>IF(Mitarbeiter!B42="","",Mitarbeiter!B42)</f>
        <v/>
      </c>
      <c r="C42" s="7">
        <f>IF(Mitarbeiter!B42="","",Mitarbeiter!G42)</f>
        <v/>
      </c>
      <c r="D42" s="57">
        <f>IF(Mitarbeiter!B42="","",Mitarbeiter!H42)</f>
        <v/>
      </c>
      <c r="E42" s="58">
        <f>IF(B42="","",SUMIFS(Krankmeldungen!$G$6:$G$1005,Krankmeldungen!$A$6:$A$1005,A42))</f>
        <v/>
      </c>
      <c r="F42" s="58">
        <f>IF(B42="","",SUMIFS(Krankmeldungen!$G$6:$G$1005,Krankmeldungen!$A$6:$A$1005,A42,Krankmeldungen!$C$6:$C$1005,Einstellungen!$C$4))</f>
        <v/>
      </c>
      <c r="G42" s="58">
        <f>IF(B42="","",SUMIFS(Krankmeldungen!$G$6:$G$1005,Krankmeldungen!$A$6:$A$1005,A42,Krankmeldungen!$C$6:$C$1005,Einstellungen!$C$5))</f>
        <v/>
      </c>
      <c r="H42" s="35">
        <f>IF(B42="","",SUMIFS(Krankmeldungen!$F$6:$F$1005,Krankmeldungen!$A$6:$A$1005,A42))</f>
        <v/>
      </c>
      <c r="I42" s="35">
        <f>IF(B42="","",COUNTIFS(Krankmeldungen!$A$6:$A$1005,A42,Krankmeldungen!$F$6:$F$1005,"&gt;0"))</f>
        <v/>
      </c>
      <c r="J42" s="40">
        <f>IF(B42="","",IF(N(D42)&gt;0,E42/D42,""))</f>
        <v/>
      </c>
      <c r="K42" s="63">
        <f>IF(J42="","",RANK(J42,$J$6:$J$205,0))</f>
        <v/>
      </c>
      <c r="L42" s="56">
        <f>IF(J42="","",IF(J42&lt;=Einstellungen!$C$7,"unauffällig",IF(J42&lt;=Einstellungen!$C$8,"auffällig","kritisch")))</f>
        <v/>
      </c>
      <c r="M42" s="64">
        <f>IF(J42="",-1,J42+ROW()/1000000000)</f>
        <v/>
      </c>
    </row>
    <row r="43">
      <c r="A43" s="61">
        <f>IF(Mitarbeiter!B43="","",Mitarbeiter!A43)</f>
        <v/>
      </c>
      <c r="B43" s="62">
        <f>IF(Mitarbeiter!B43="","",Mitarbeiter!B43)</f>
        <v/>
      </c>
      <c r="C43" s="7">
        <f>IF(Mitarbeiter!B43="","",Mitarbeiter!G43)</f>
        <v/>
      </c>
      <c r="D43" s="57">
        <f>IF(Mitarbeiter!B43="","",Mitarbeiter!H43)</f>
        <v/>
      </c>
      <c r="E43" s="58">
        <f>IF(B43="","",SUMIFS(Krankmeldungen!$G$6:$G$1005,Krankmeldungen!$A$6:$A$1005,A43))</f>
        <v/>
      </c>
      <c r="F43" s="58">
        <f>IF(B43="","",SUMIFS(Krankmeldungen!$G$6:$G$1005,Krankmeldungen!$A$6:$A$1005,A43,Krankmeldungen!$C$6:$C$1005,Einstellungen!$C$4))</f>
        <v/>
      </c>
      <c r="G43" s="58">
        <f>IF(B43="","",SUMIFS(Krankmeldungen!$G$6:$G$1005,Krankmeldungen!$A$6:$A$1005,A43,Krankmeldungen!$C$6:$C$1005,Einstellungen!$C$5))</f>
        <v/>
      </c>
      <c r="H43" s="35">
        <f>IF(B43="","",SUMIFS(Krankmeldungen!$F$6:$F$1005,Krankmeldungen!$A$6:$A$1005,A43))</f>
        <v/>
      </c>
      <c r="I43" s="35">
        <f>IF(B43="","",COUNTIFS(Krankmeldungen!$A$6:$A$1005,A43,Krankmeldungen!$F$6:$F$1005,"&gt;0"))</f>
        <v/>
      </c>
      <c r="J43" s="40">
        <f>IF(B43="","",IF(N(D43)&gt;0,E43/D43,""))</f>
        <v/>
      </c>
      <c r="K43" s="63">
        <f>IF(J43="","",RANK(J43,$J$6:$J$205,0))</f>
        <v/>
      </c>
      <c r="L43" s="56">
        <f>IF(J43="","",IF(J43&lt;=Einstellungen!$C$7,"unauffällig",IF(J43&lt;=Einstellungen!$C$8,"auffällig","kritisch")))</f>
        <v/>
      </c>
      <c r="M43" s="64">
        <f>IF(J43="",-1,J43+ROW()/1000000000)</f>
        <v/>
      </c>
    </row>
    <row r="44">
      <c r="A44" s="61">
        <f>IF(Mitarbeiter!B44="","",Mitarbeiter!A44)</f>
        <v/>
      </c>
      <c r="B44" s="62">
        <f>IF(Mitarbeiter!B44="","",Mitarbeiter!B44)</f>
        <v/>
      </c>
      <c r="C44" s="7">
        <f>IF(Mitarbeiter!B44="","",Mitarbeiter!G44)</f>
        <v/>
      </c>
      <c r="D44" s="57">
        <f>IF(Mitarbeiter!B44="","",Mitarbeiter!H44)</f>
        <v/>
      </c>
      <c r="E44" s="58">
        <f>IF(B44="","",SUMIFS(Krankmeldungen!$G$6:$G$1005,Krankmeldungen!$A$6:$A$1005,A44))</f>
        <v/>
      </c>
      <c r="F44" s="58">
        <f>IF(B44="","",SUMIFS(Krankmeldungen!$G$6:$G$1005,Krankmeldungen!$A$6:$A$1005,A44,Krankmeldungen!$C$6:$C$1005,Einstellungen!$C$4))</f>
        <v/>
      </c>
      <c r="G44" s="58">
        <f>IF(B44="","",SUMIFS(Krankmeldungen!$G$6:$G$1005,Krankmeldungen!$A$6:$A$1005,A44,Krankmeldungen!$C$6:$C$1005,Einstellungen!$C$5))</f>
        <v/>
      </c>
      <c r="H44" s="35">
        <f>IF(B44="","",SUMIFS(Krankmeldungen!$F$6:$F$1005,Krankmeldungen!$A$6:$A$1005,A44))</f>
        <v/>
      </c>
      <c r="I44" s="35">
        <f>IF(B44="","",COUNTIFS(Krankmeldungen!$A$6:$A$1005,A44,Krankmeldungen!$F$6:$F$1005,"&gt;0"))</f>
        <v/>
      </c>
      <c r="J44" s="40">
        <f>IF(B44="","",IF(N(D44)&gt;0,E44/D44,""))</f>
        <v/>
      </c>
      <c r="K44" s="63">
        <f>IF(J44="","",RANK(J44,$J$6:$J$205,0))</f>
        <v/>
      </c>
      <c r="L44" s="56">
        <f>IF(J44="","",IF(J44&lt;=Einstellungen!$C$7,"unauffällig",IF(J44&lt;=Einstellungen!$C$8,"auffällig","kritisch")))</f>
        <v/>
      </c>
      <c r="M44" s="64">
        <f>IF(J44="",-1,J44+ROW()/1000000000)</f>
        <v/>
      </c>
    </row>
    <row r="45">
      <c r="A45" s="61">
        <f>IF(Mitarbeiter!B45="","",Mitarbeiter!A45)</f>
        <v/>
      </c>
      <c r="B45" s="62">
        <f>IF(Mitarbeiter!B45="","",Mitarbeiter!B45)</f>
        <v/>
      </c>
      <c r="C45" s="7">
        <f>IF(Mitarbeiter!B45="","",Mitarbeiter!G45)</f>
        <v/>
      </c>
      <c r="D45" s="57">
        <f>IF(Mitarbeiter!B45="","",Mitarbeiter!H45)</f>
        <v/>
      </c>
      <c r="E45" s="58">
        <f>IF(B45="","",SUMIFS(Krankmeldungen!$G$6:$G$1005,Krankmeldungen!$A$6:$A$1005,A45))</f>
        <v/>
      </c>
      <c r="F45" s="58">
        <f>IF(B45="","",SUMIFS(Krankmeldungen!$G$6:$G$1005,Krankmeldungen!$A$6:$A$1005,A45,Krankmeldungen!$C$6:$C$1005,Einstellungen!$C$4))</f>
        <v/>
      </c>
      <c r="G45" s="58">
        <f>IF(B45="","",SUMIFS(Krankmeldungen!$G$6:$G$1005,Krankmeldungen!$A$6:$A$1005,A45,Krankmeldungen!$C$6:$C$1005,Einstellungen!$C$5))</f>
        <v/>
      </c>
      <c r="H45" s="35">
        <f>IF(B45="","",SUMIFS(Krankmeldungen!$F$6:$F$1005,Krankmeldungen!$A$6:$A$1005,A45))</f>
        <v/>
      </c>
      <c r="I45" s="35">
        <f>IF(B45="","",COUNTIFS(Krankmeldungen!$A$6:$A$1005,A45,Krankmeldungen!$F$6:$F$1005,"&gt;0"))</f>
        <v/>
      </c>
      <c r="J45" s="40">
        <f>IF(B45="","",IF(N(D45)&gt;0,E45/D45,""))</f>
        <v/>
      </c>
      <c r="K45" s="63">
        <f>IF(J45="","",RANK(J45,$J$6:$J$205,0))</f>
        <v/>
      </c>
      <c r="L45" s="56">
        <f>IF(J45="","",IF(J45&lt;=Einstellungen!$C$7,"unauffällig",IF(J45&lt;=Einstellungen!$C$8,"auffällig","kritisch")))</f>
        <v/>
      </c>
      <c r="M45" s="64">
        <f>IF(J45="",-1,J45+ROW()/1000000000)</f>
        <v/>
      </c>
    </row>
    <row r="46">
      <c r="A46" s="61">
        <f>IF(Mitarbeiter!B46="","",Mitarbeiter!A46)</f>
        <v/>
      </c>
      <c r="B46" s="62">
        <f>IF(Mitarbeiter!B46="","",Mitarbeiter!B46)</f>
        <v/>
      </c>
      <c r="C46" s="7">
        <f>IF(Mitarbeiter!B46="","",Mitarbeiter!G46)</f>
        <v/>
      </c>
      <c r="D46" s="57">
        <f>IF(Mitarbeiter!B46="","",Mitarbeiter!H46)</f>
        <v/>
      </c>
      <c r="E46" s="58">
        <f>IF(B46="","",SUMIFS(Krankmeldungen!$G$6:$G$1005,Krankmeldungen!$A$6:$A$1005,A46))</f>
        <v/>
      </c>
      <c r="F46" s="58">
        <f>IF(B46="","",SUMIFS(Krankmeldungen!$G$6:$G$1005,Krankmeldungen!$A$6:$A$1005,A46,Krankmeldungen!$C$6:$C$1005,Einstellungen!$C$4))</f>
        <v/>
      </c>
      <c r="G46" s="58">
        <f>IF(B46="","",SUMIFS(Krankmeldungen!$G$6:$G$1005,Krankmeldungen!$A$6:$A$1005,A46,Krankmeldungen!$C$6:$C$1005,Einstellungen!$C$5))</f>
        <v/>
      </c>
      <c r="H46" s="35">
        <f>IF(B46="","",SUMIFS(Krankmeldungen!$F$6:$F$1005,Krankmeldungen!$A$6:$A$1005,A46))</f>
        <v/>
      </c>
      <c r="I46" s="35">
        <f>IF(B46="","",COUNTIFS(Krankmeldungen!$A$6:$A$1005,A46,Krankmeldungen!$F$6:$F$1005,"&gt;0"))</f>
        <v/>
      </c>
      <c r="J46" s="40">
        <f>IF(B46="","",IF(N(D46)&gt;0,E46/D46,""))</f>
        <v/>
      </c>
      <c r="K46" s="63">
        <f>IF(J46="","",RANK(J46,$J$6:$J$205,0))</f>
        <v/>
      </c>
      <c r="L46" s="56">
        <f>IF(J46="","",IF(J46&lt;=Einstellungen!$C$7,"unauffällig",IF(J46&lt;=Einstellungen!$C$8,"auffällig","kritisch")))</f>
        <v/>
      </c>
      <c r="M46" s="64">
        <f>IF(J46="",-1,J46+ROW()/1000000000)</f>
        <v/>
      </c>
    </row>
    <row r="47">
      <c r="A47" s="61">
        <f>IF(Mitarbeiter!B47="","",Mitarbeiter!A47)</f>
        <v/>
      </c>
      <c r="B47" s="62">
        <f>IF(Mitarbeiter!B47="","",Mitarbeiter!B47)</f>
        <v/>
      </c>
      <c r="C47" s="7">
        <f>IF(Mitarbeiter!B47="","",Mitarbeiter!G47)</f>
        <v/>
      </c>
      <c r="D47" s="57">
        <f>IF(Mitarbeiter!B47="","",Mitarbeiter!H47)</f>
        <v/>
      </c>
      <c r="E47" s="58">
        <f>IF(B47="","",SUMIFS(Krankmeldungen!$G$6:$G$1005,Krankmeldungen!$A$6:$A$1005,A47))</f>
        <v/>
      </c>
      <c r="F47" s="58">
        <f>IF(B47="","",SUMIFS(Krankmeldungen!$G$6:$G$1005,Krankmeldungen!$A$6:$A$1005,A47,Krankmeldungen!$C$6:$C$1005,Einstellungen!$C$4))</f>
        <v/>
      </c>
      <c r="G47" s="58">
        <f>IF(B47="","",SUMIFS(Krankmeldungen!$G$6:$G$1005,Krankmeldungen!$A$6:$A$1005,A47,Krankmeldungen!$C$6:$C$1005,Einstellungen!$C$5))</f>
        <v/>
      </c>
      <c r="H47" s="35">
        <f>IF(B47="","",SUMIFS(Krankmeldungen!$F$6:$F$1005,Krankmeldungen!$A$6:$A$1005,A47))</f>
        <v/>
      </c>
      <c r="I47" s="35">
        <f>IF(B47="","",COUNTIFS(Krankmeldungen!$A$6:$A$1005,A47,Krankmeldungen!$F$6:$F$1005,"&gt;0"))</f>
        <v/>
      </c>
      <c r="J47" s="40">
        <f>IF(B47="","",IF(N(D47)&gt;0,E47/D47,""))</f>
        <v/>
      </c>
      <c r="K47" s="63">
        <f>IF(J47="","",RANK(J47,$J$6:$J$205,0))</f>
        <v/>
      </c>
      <c r="L47" s="56">
        <f>IF(J47="","",IF(J47&lt;=Einstellungen!$C$7,"unauffällig",IF(J47&lt;=Einstellungen!$C$8,"auffällig","kritisch")))</f>
        <v/>
      </c>
      <c r="M47" s="64">
        <f>IF(J47="",-1,J47+ROW()/1000000000)</f>
        <v/>
      </c>
    </row>
    <row r="48">
      <c r="A48" s="61">
        <f>IF(Mitarbeiter!B48="","",Mitarbeiter!A48)</f>
        <v/>
      </c>
      <c r="B48" s="62">
        <f>IF(Mitarbeiter!B48="","",Mitarbeiter!B48)</f>
        <v/>
      </c>
      <c r="C48" s="7">
        <f>IF(Mitarbeiter!B48="","",Mitarbeiter!G48)</f>
        <v/>
      </c>
      <c r="D48" s="57">
        <f>IF(Mitarbeiter!B48="","",Mitarbeiter!H48)</f>
        <v/>
      </c>
      <c r="E48" s="58">
        <f>IF(B48="","",SUMIFS(Krankmeldungen!$G$6:$G$1005,Krankmeldungen!$A$6:$A$1005,A48))</f>
        <v/>
      </c>
      <c r="F48" s="58">
        <f>IF(B48="","",SUMIFS(Krankmeldungen!$G$6:$G$1005,Krankmeldungen!$A$6:$A$1005,A48,Krankmeldungen!$C$6:$C$1005,Einstellungen!$C$4))</f>
        <v/>
      </c>
      <c r="G48" s="58">
        <f>IF(B48="","",SUMIFS(Krankmeldungen!$G$6:$G$1005,Krankmeldungen!$A$6:$A$1005,A48,Krankmeldungen!$C$6:$C$1005,Einstellungen!$C$5))</f>
        <v/>
      </c>
      <c r="H48" s="35">
        <f>IF(B48="","",SUMIFS(Krankmeldungen!$F$6:$F$1005,Krankmeldungen!$A$6:$A$1005,A48))</f>
        <v/>
      </c>
      <c r="I48" s="35">
        <f>IF(B48="","",COUNTIFS(Krankmeldungen!$A$6:$A$1005,A48,Krankmeldungen!$F$6:$F$1005,"&gt;0"))</f>
        <v/>
      </c>
      <c r="J48" s="40">
        <f>IF(B48="","",IF(N(D48)&gt;0,E48/D48,""))</f>
        <v/>
      </c>
      <c r="K48" s="63">
        <f>IF(J48="","",RANK(J48,$J$6:$J$205,0))</f>
        <v/>
      </c>
      <c r="L48" s="56">
        <f>IF(J48="","",IF(J48&lt;=Einstellungen!$C$7,"unauffällig",IF(J48&lt;=Einstellungen!$C$8,"auffällig","kritisch")))</f>
        <v/>
      </c>
      <c r="M48" s="64">
        <f>IF(J48="",-1,J48+ROW()/1000000000)</f>
        <v/>
      </c>
    </row>
    <row r="49">
      <c r="A49" s="61">
        <f>IF(Mitarbeiter!B49="","",Mitarbeiter!A49)</f>
        <v/>
      </c>
      <c r="B49" s="62">
        <f>IF(Mitarbeiter!B49="","",Mitarbeiter!B49)</f>
        <v/>
      </c>
      <c r="C49" s="7">
        <f>IF(Mitarbeiter!B49="","",Mitarbeiter!G49)</f>
        <v/>
      </c>
      <c r="D49" s="57">
        <f>IF(Mitarbeiter!B49="","",Mitarbeiter!H49)</f>
        <v/>
      </c>
      <c r="E49" s="58">
        <f>IF(B49="","",SUMIFS(Krankmeldungen!$G$6:$G$1005,Krankmeldungen!$A$6:$A$1005,A49))</f>
        <v/>
      </c>
      <c r="F49" s="58">
        <f>IF(B49="","",SUMIFS(Krankmeldungen!$G$6:$G$1005,Krankmeldungen!$A$6:$A$1005,A49,Krankmeldungen!$C$6:$C$1005,Einstellungen!$C$4))</f>
        <v/>
      </c>
      <c r="G49" s="58">
        <f>IF(B49="","",SUMIFS(Krankmeldungen!$G$6:$G$1005,Krankmeldungen!$A$6:$A$1005,A49,Krankmeldungen!$C$6:$C$1005,Einstellungen!$C$5))</f>
        <v/>
      </c>
      <c r="H49" s="35">
        <f>IF(B49="","",SUMIFS(Krankmeldungen!$F$6:$F$1005,Krankmeldungen!$A$6:$A$1005,A49))</f>
        <v/>
      </c>
      <c r="I49" s="35">
        <f>IF(B49="","",COUNTIFS(Krankmeldungen!$A$6:$A$1005,A49,Krankmeldungen!$F$6:$F$1005,"&gt;0"))</f>
        <v/>
      </c>
      <c r="J49" s="40">
        <f>IF(B49="","",IF(N(D49)&gt;0,E49/D49,""))</f>
        <v/>
      </c>
      <c r="K49" s="63">
        <f>IF(J49="","",RANK(J49,$J$6:$J$205,0))</f>
        <v/>
      </c>
      <c r="L49" s="56">
        <f>IF(J49="","",IF(J49&lt;=Einstellungen!$C$7,"unauffällig",IF(J49&lt;=Einstellungen!$C$8,"auffällig","kritisch")))</f>
        <v/>
      </c>
      <c r="M49" s="64">
        <f>IF(J49="",-1,J49+ROW()/1000000000)</f>
        <v/>
      </c>
    </row>
    <row r="50">
      <c r="A50" s="61">
        <f>IF(Mitarbeiter!B50="","",Mitarbeiter!A50)</f>
        <v/>
      </c>
      <c r="B50" s="62">
        <f>IF(Mitarbeiter!B50="","",Mitarbeiter!B50)</f>
        <v/>
      </c>
      <c r="C50" s="7">
        <f>IF(Mitarbeiter!B50="","",Mitarbeiter!G50)</f>
        <v/>
      </c>
      <c r="D50" s="57">
        <f>IF(Mitarbeiter!B50="","",Mitarbeiter!H50)</f>
        <v/>
      </c>
      <c r="E50" s="58">
        <f>IF(B50="","",SUMIFS(Krankmeldungen!$G$6:$G$1005,Krankmeldungen!$A$6:$A$1005,A50))</f>
        <v/>
      </c>
      <c r="F50" s="58">
        <f>IF(B50="","",SUMIFS(Krankmeldungen!$G$6:$G$1005,Krankmeldungen!$A$6:$A$1005,A50,Krankmeldungen!$C$6:$C$1005,Einstellungen!$C$4))</f>
        <v/>
      </c>
      <c r="G50" s="58">
        <f>IF(B50="","",SUMIFS(Krankmeldungen!$G$6:$G$1005,Krankmeldungen!$A$6:$A$1005,A50,Krankmeldungen!$C$6:$C$1005,Einstellungen!$C$5))</f>
        <v/>
      </c>
      <c r="H50" s="35">
        <f>IF(B50="","",SUMIFS(Krankmeldungen!$F$6:$F$1005,Krankmeldungen!$A$6:$A$1005,A50))</f>
        <v/>
      </c>
      <c r="I50" s="35">
        <f>IF(B50="","",COUNTIFS(Krankmeldungen!$A$6:$A$1005,A50,Krankmeldungen!$F$6:$F$1005,"&gt;0"))</f>
        <v/>
      </c>
      <c r="J50" s="40">
        <f>IF(B50="","",IF(N(D50)&gt;0,E50/D50,""))</f>
        <v/>
      </c>
      <c r="K50" s="63">
        <f>IF(J50="","",RANK(J50,$J$6:$J$205,0))</f>
        <v/>
      </c>
      <c r="L50" s="56">
        <f>IF(J50="","",IF(J50&lt;=Einstellungen!$C$7,"unauffällig",IF(J50&lt;=Einstellungen!$C$8,"auffällig","kritisch")))</f>
        <v/>
      </c>
      <c r="M50" s="64">
        <f>IF(J50="",-1,J50+ROW()/1000000000)</f>
        <v/>
      </c>
    </row>
    <row r="51">
      <c r="A51" s="61">
        <f>IF(Mitarbeiter!B51="","",Mitarbeiter!A51)</f>
        <v/>
      </c>
      <c r="B51" s="62">
        <f>IF(Mitarbeiter!B51="","",Mitarbeiter!B51)</f>
        <v/>
      </c>
      <c r="C51" s="7">
        <f>IF(Mitarbeiter!B51="","",Mitarbeiter!G51)</f>
        <v/>
      </c>
      <c r="D51" s="57">
        <f>IF(Mitarbeiter!B51="","",Mitarbeiter!H51)</f>
        <v/>
      </c>
      <c r="E51" s="58">
        <f>IF(B51="","",SUMIFS(Krankmeldungen!$G$6:$G$1005,Krankmeldungen!$A$6:$A$1005,A51))</f>
        <v/>
      </c>
      <c r="F51" s="58">
        <f>IF(B51="","",SUMIFS(Krankmeldungen!$G$6:$G$1005,Krankmeldungen!$A$6:$A$1005,A51,Krankmeldungen!$C$6:$C$1005,Einstellungen!$C$4))</f>
        <v/>
      </c>
      <c r="G51" s="58">
        <f>IF(B51="","",SUMIFS(Krankmeldungen!$G$6:$G$1005,Krankmeldungen!$A$6:$A$1005,A51,Krankmeldungen!$C$6:$C$1005,Einstellungen!$C$5))</f>
        <v/>
      </c>
      <c r="H51" s="35">
        <f>IF(B51="","",SUMIFS(Krankmeldungen!$F$6:$F$1005,Krankmeldungen!$A$6:$A$1005,A51))</f>
        <v/>
      </c>
      <c r="I51" s="35">
        <f>IF(B51="","",COUNTIFS(Krankmeldungen!$A$6:$A$1005,A51,Krankmeldungen!$F$6:$F$1005,"&gt;0"))</f>
        <v/>
      </c>
      <c r="J51" s="40">
        <f>IF(B51="","",IF(N(D51)&gt;0,E51/D51,""))</f>
        <v/>
      </c>
      <c r="K51" s="63">
        <f>IF(J51="","",RANK(J51,$J$6:$J$205,0))</f>
        <v/>
      </c>
      <c r="L51" s="56">
        <f>IF(J51="","",IF(J51&lt;=Einstellungen!$C$7,"unauffällig",IF(J51&lt;=Einstellungen!$C$8,"auffällig","kritisch")))</f>
        <v/>
      </c>
      <c r="M51" s="64">
        <f>IF(J51="",-1,J51+ROW()/1000000000)</f>
        <v/>
      </c>
    </row>
    <row r="52">
      <c r="A52" s="61">
        <f>IF(Mitarbeiter!B52="","",Mitarbeiter!A52)</f>
        <v/>
      </c>
      <c r="B52" s="62">
        <f>IF(Mitarbeiter!B52="","",Mitarbeiter!B52)</f>
        <v/>
      </c>
      <c r="C52" s="7">
        <f>IF(Mitarbeiter!B52="","",Mitarbeiter!G52)</f>
        <v/>
      </c>
      <c r="D52" s="57">
        <f>IF(Mitarbeiter!B52="","",Mitarbeiter!H52)</f>
        <v/>
      </c>
      <c r="E52" s="58">
        <f>IF(B52="","",SUMIFS(Krankmeldungen!$G$6:$G$1005,Krankmeldungen!$A$6:$A$1005,A52))</f>
        <v/>
      </c>
      <c r="F52" s="58">
        <f>IF(B52="","",SUMIFS(Krankmeldungen!$G$6:$G$1005,Krankmeldungen!$A$6:$A$1005,A52,Krankmeldungen!$C$6:$C$1005,Einstellungen!$C$4))</f>
        <v/>
      </c>
      <c r="G52" s="58">
        <f>IF(B52="","",SUMIFS(Krankmeldungen!$G$6:$G$1005,Krankmeldungen!$A$6:$A$1005,A52,Krankmeldungen!$C$6:$C$1005,Einstellungen!$C$5))</f>
        <v/>
      </c>
      <c r="H52" s="35">
        <f>IF(B52="","",SUMIFS(Krankmeldungen!$F$6:$F$1005,Krankmeldungen!$A$6:$A$1005,A52))</f>
        <v/>
      </c>
      <c r="I52" s="35">
        <f>IF(B52="","",COUNTIFS(Krankmeldungen!$A$6:$A$1005,A52,Krankmeldungen!$F$6:$F$1005,"&gt;0"))</f>
        <v/>
      </c>
      <c r="J52" s="40">
        <f>IF(B52="","",IF(N(D52)&gt;0,E52/D52,""))</f>
        <v/>
      </c>
      <c r="K52" s="63">
        <f>IF(J52="","",RANK(J52,$J$6:$J$205,0))</f>
        <v/>
      </c>
      <c r="L52" s="56">
        <f>IF(J52="","",IF(J52&lt;=Einstellungen!$C$7,"unauffällig",IF(J52&lt;=Einstellungen!$C$8,"auffällig","kritisch")))</f>
        <v/>
      </c>
      <c r="M52" s="64">
        <f>IF(J52="",-1,J52+ROW()/1000000000)</f>
        <v/>
      </c>
    </row>
    <row r="53">
      <c r="A53" s="61">
        <f>IF(Mitarbeiter!B53="","",Mitarbeiter!A53)</f>
        <v/>
      </c>
      <c r="B53" s="62">
        <f>IF(Mitarbeiter!B53="","",Mitarbeiter!B53)</f>
        <v/>
      </c>
      <c r="C53" s="7">
        <f>IF(Mitarbeiter!B53="","",Mitarbeiter!G53)</f>
        <v/>
      </c>
      <c r="D53" s="57">
        <f>IF(Mitarbeiter!B53="","",Mitarbeiter!H53)</f>
        <v/>
      </c>
      <c r="E53" s="58">
        <f>IF(B53="","",SUMIFS(Krankmeldungen!$G$6:$G$1005,Krankmeldungen!$A$6:$A$1005,A53))</f>
        <v/>
      </c>
      <c r="F53" s="58">
        <f>IF(B53="","",SUMIFS(Krankmeldungen!$G$6:$G$1005,Krankmeldungen!$A$6:$A$1005,A53,Krankmeldungen!$C$6:$C$1005,Einstellungen!$C$4))</f>
        <v/>
      </c>
      <c r="G53" s="58">
        <f>IF(B53="","",SUMIFS(Krankmeldungen!$G$6:$G$1005,Krankmeldungen!$A$6:$A$1005,A53,Krankmeldungen!$C$6:$C$1005,Einstellungen!$C$5))</f>
        <v/>
      </c>
      <c r="H53" s="35">
        <f>IF(B53="","",SUMIFS(Krankmeldungen!$F$6:$F$1005,Krankmeldungen!$A$6:$A$1005,A53))</f>
        <v/>
      </c>
      <c r="I53" s="35">
        <f>IF(B53="","",COUNTIFS(Krankmeldungen!$A$6:$A$1005,A53,Krankmeldungen!$F$6:$F$1005,"&gt;0"))</f>
        <v/>
      </c>
      <c r="J53" s="40">
        <f>IF(B53="","",IF(N(D53)&gt;0,E53/D53,""))</f>
        <v/>
      </c>
      <c r="K53" s="63">
        <f>IF(J53="","",RANK(J53,$J$6:$J$205,0))</f>
        <v/>
      </c>
      <c r="L53" s="56">
        <f>IF(J53="","",IF(J53&lt;=Einstellungen!$C$7,"unauffällig",IF(J53&lt;=Einstellungen!$C$8,"auffällig","kritisch")))</f>
        <v/>
      </c>
      <c r="M53" s="64">
        <f>IF(J53="",-1,J53+ROW()/1000000000)</f>
        <v/>
      </c>
    </row>
    <row r="54">
      <c r="A54" s="61">
        <f>IF(Mitarbeiter!B54="","",Mitarbeiter!A54)</f>
        <v/>
      </c>
      <c r="B54" s="62">
        <f>IF(Mitarbeiter!B54="","",Mitarbeiter!B54)</f>
        <v/>
      </c>
      <c r="C54" s="7">
        <f>IF(Mitarbeiter!B54="","",Mitarbeiter!G54)</f>
        <v/>
      </c>
      <c r="D54" s="57">
        <f>IF(Mitarbeiter!B54="","",Mitarbeiter!H54)</f>
        <v/>
      </c>
      <c r="E54" s="58">
        <f>IF(B54="","",SUMIFS(Krankmeldungen!$G$6:$G$1005,Krankmeldungen!$A$6:$A$1005,A54))</f>
        <v/>
      </c>
      <c r="F54" s="58">
        <f>IF(B54="","",SUMIFS(Krankmeldungen!$G$6:$G$1005,Krankmeldungen!$A$6:$A$1005,A54,Krankmeldungen!$C$6:$C$1005,Einstellungen!$C$4))</f>
        <v/>
      </c>
      <c r="G54" s="58">
        <f>IF(B54="","",SUMIFS(Krankmeldungen!$G$6:$G$1005,Krankmeldungen!$A$6:$A$1005,A54,Krankmeldungen!$C$6:$C$1005,Einstellungen!$C$5))</f>
        <v/>
      </c>
      <c r="H54" s="35">
        <f>IF(B54="","",SUMIFS(Krankmeldungen!$F$6:$F$1005,Krankmeldungen!$A$6:$A$1005,A54))</f>
        <v/>
      </c>
      <c r="I54" s="35">
        <f>IF(B54="","",COUNTIFS(Krankmeldungen!$A$6:$A$1005,A54,Krankmeldungen!$F$6:$F$1005,"&gt;0"))</f>
        <v/>
      </c>
      <c r="J54" s="40">
        <f>IF(B54="","",IF(N(D54)&gt;0,E54/D54,""))</f>
        <v/>
      </c>
      <c r="K54" s="63">
        <f>IF(J54="","",RANK(J54,$J$6:$J$205,0))</f>
        <v/>
      </c>
      <c r="L54" s="56">
        <f>IF(J54="","",IF(J54&lt;=Einstellungen!$C$7,"unauffällig",IF(J54&lt;=Einstellungen!$C$8,"auffällig","kritisch")))</f>
        <v/>
      </c>
      <c r="M54" s="64">
        <f>IF(J54="",-1,J54+ROW()/1000000000)</f>
        <v/>
      </c>
    </row>
    <row r="55">
      <c r="A55" s="61">
        <f>IF(Mitarbeiter!B55="","",Mitarbeiter!A55)</f>
        <v/>
      </c>
      <c r="B55" s="62">
        <f>IF(Mitarbeiter!B55="","",Mitarbeiter!B55)</f>
        <v/>
      </c>
      <c r="C55" s="7">
        <f>IF(Mitarbeiter!B55="","",Mitarbeiter!G55)</f>
        <v/>
      </c>
      <c r="D55" s="57">
        <f>IF(Mitarbeiter!B55="","",Mitarbeiter!H55)</f>
        <v/>
      </c>
      <c r="E55" s="58">
        <f>IF(B55="","",SUMIFS(Krankmeldungen!$G$6:$G$1005,Krankmeldungen!$A$6:$A$1005,A55))</f>
        <v/>
      </c>
      <c r="F55" s="58">
        <f>IF(B55="","",SUMIFS(Krankmeldungen!$G$6:$G$1005,Krankmeldungen!$A$6:$A$1005,A55,Krankmeldungen!$C$6:$C$1005,Einstellungen!$C$4))</f>
        <v/>
      </c>
      <c r="G55" s="58">
        <f>IF(B55="","",SUMIFS(Krankmeldungen!$G$6:$G$1005,Krankmeldungen!$A$6:$A$1005,A55,Krankmeldungen!$C$6:$C$1005,Einstellungen!$C$5))</f>
        <v/>
      </c>
      <c r="H55" s="35">
        <f>IF(B55="","",SUMIFS(Krankmeldungen!$F$6:$F$1005,Krankmeldungen!$A$6:$A$1005,A55))</f>
        <v/>
      </c>
      <c r="I55" s="35">
        <f>IF(B55="","",COUNTIFS(Krankmeldungen!$A$6:$A$1005,A55,Krankmeldungen!$F$6:$F$1005,"&gt;0"))</f>
        <v/>
      </c>
      <c r="J55" s="40">
        <f>IF(B55="","",IF(N(D55)&gt;0,E55/D55,""))</f>
        <v/>
      </c>
      <c r="K55" s="63">
        <f>IF(J55="","",RANK(J55,$J$6:$J$205,0))</f>
        <v/>
      </c>
      <c r="L55" s="56">
        <f>IF(J55="","",IF(J55&lt;=Einstellungen!$C$7,"unauffällig",IF(J55&lt;=Einstellungen!$C$8,"auffällig","kritisch")))</f>
        <v/>
      </c>
      <c r="M55" s="64">
        <f>IF(J55="",-1,J55+ROW()/1000000000)</f>
        <v/>
      </c>
    </row>
    <row r="56">
      <c r="A56" s="61">
        <f>IF(Mitarbeiter!B56="","",Mitarbeiter!A56)</f>
        <v/>
      </c>
      <c r="B56" s="62">
        <f>IF(Mitarbeiter!B56="","",Mitarbeiter!B56)</f>
        <v/>
      </c>
      <c r="C56" s="7">
        <f>IF(Mitarbeiter!B56="","",Mitarbeiter!G56)</f>
        <v/>
      </c>
      <c r="D56" s="57">
        <f>IF(Mitarbeiter!B56="","",Mitarbeiter!H56)</f>
        <v/>
      </c>
      <c r="E56" s="58">
        <f>IF(B56="","",SUMIFS(Krankmeldungen!$G$6:$G$1005,Krankmeldungen!$A$6:$A$1005,A56))</f>
        <v/>
      </c>
      <c r="F56" s="58">
        <f>IF(B56="","",SUMIFS(Krankmeldungen!$G$6:$G$1005,Krankmeldungen!$A$6:$A$1005,A56,Krankmeldungen!$C$6:$C$1005,Einstellungen!$C$4))</f>
        <v/>
      </c>
      <c r="G56" s="58">
        <f>IF(B56="","",SUMIFS(Krankmeldungen!$G$6:$G$1005,Krankmeldungen!$A$6:$A$1005,A56,Krankmeldungen!$C$6:$C$1005,Einstellungen!$C$5))</f>
        <v/>
      </c>
      <c r="H56" s="35">
        <f>IF(B56="","",SUMIFS(Krankmeldungen!$F$6:$F$1005,Krankmeldungen!$A$6:$A$1005,A56))</f>
        <v/>
      </c>
      <c r="I56" s="35">
        <f>IF(B56="","",COUNTIFS(Krankmeldungen!$A$6:$A$1005,A56,Krankmeldungen!$F$6:$F$1005,"&gt;0"))</f>
        <v/>
      </c>
      <c r="J56" s="40">
        <f>IF(B56="","",IF(N(D56)&gt;0,E56/D56,""))</f>
        <v/>
      </c>
      <c r="K56" s="63">
        <f>IF(J56="","",RANK(J56,$J$6:$J$205,0))</f>
        <v/>
      </c>
      <c r="L56" s="56">
        <f>IF(J56="","",IF(J56&lt;=Einstellungen!$C$7,"unauffällig",IF(J56&lt;=Einstellungen!$C$8,"auffällig","kritisch")))</f>
        <v/>
      </c>
      <c r="M56" s="64">
        <f>IF(J56="",-1,J56+ROW()/1000000000)</f>
        <v/>
      </c>
    </row>
    <row r="57">
      <c r="A57" s="61">
        <f>IF(Mitarbeiter!B57="","",Mitarbeiter!A57)</f>
        <v/>
      </c>
      <c r="B57" s="62">
        <f>IF(Mitarbeiter!B57="","",Mitarbeiter!B57)</f>
        <v/>
      </c>
      <c r="C57" s="7">
        <f>IF(Mitarbeiter!B57="","",Mitarbeiter!G57)</f>
        <v/>
      </c>
      <c r="D57" s="57">
        <f>IF(Mitarbeiter!B57="","",Mitarbeiter!H57)</f>
        <v/>
      </c>
      <c r="E57" s="58">
        <f>IF(B57="","",SUMIFS(Krankmeldungen!$G$6:$G$1005,Krankmeldungen!$A$6:$A$1005,A57))</f>
        <v/>
      </c>
      <c r="F57" s="58">
        <f>IF(B57="","",SUMIFS(Krankmeldungen!$G$6:$G$1005,Krankmeldungen!$A$6:$A$1005,A57,Krankmeldungen!$C$6:$C$1005,Einstellungen!$C$4))</f>
        <v/>
      </c>
      <c r="G57" s="58">
        <f>IF(B57="","",SUMIFS(Krankmeldungen!$G$6:$G$1005,Krankmeldungen!$A$6:$A$1005,A57,Krankmeldungen!$C$6:$C$1005,Einstellungen!$C$5))</f>
        <v/>
      </c>
      <c r="H57" s="35">
        <f>IF(B57="","",SUMIFS(Krankmeldungen!$F$6:$F$1005,Krankmeldungen!$A$6:$A$1005,A57))</f>
        <v/>
      </c>
      <c r="I57" s="35">
        <f>IF(B57="","",COUNTIFS(Krankmeldungen!$A$6:$A$1005,A57,Krankmeldungen!$F$6:$F$1005,"&gt;0"))</f>
        <v/>
      </c>
      <c r="J57" s="40">
        <f>IF(B57="","",IF(N(D57)&gt;0,E57/D57,""))</f>
        <v/>
      </c>
      <c r="K57" s="63">
        <f>IF(J57="","",RANK(J57,$J$6:$J$205,0))</f>
        <v/>
      </c>
      <c r="L57" s="56">
        <f>IF(J57="","",IF(J57&lt;=Einstellungen!$C$7,"unauffällig",IF(J57&lt;=Einstellungen!$C$8,"auffällig","kritisch")))</f>
        <v/>
      </c>
      <c r="M57" s="64">
        <f>IF(J57="",-1,J57+ROW()/1000000000)</f>
        <v/>
      </c>
    </row>
    <row r="58">
      <c r="A58" s="61">
        <f>IF(Mitarbeiter!B58="","",Mitarbeiter!A58)</f>
        <v/>
      </c>
      <c r="B58" s="62">
        <f>IF(Mitarbeiter!B58="","",Mitarbeiter!B58)</f>
        <v/>
      </c>
      <c r="C58" s="7">
        <f>IF(Mitarbeiter!B58="","",Mitarbeiter!G58)</f>
        <v/>
      </c>
      <c r="D58" s="57">
        <f>IF(Mitarbeiter!B58="","",Mitarbeiter!H58)</f>
        <v/>
      </c>
      <c r="E58" s="58">
        <f>IF(B58="","",SUMIFS(Krankmeldungen!$G$6:$G$1005,Krankmeldungen!$A$6:$A$1005,A58))</f>
        <v/>
      </c>
      <c r="F58" s="58">
        <f>IF(B58="","",SUMIFS(Krankmeldungen!$G$6:$G$1005,Krankmeldungen!$A$6:$A$1005,A58,Krankmeldungen!$C$6:$C$1005,Einstellungen!$C$4))</f>
        <v/>
      </c>
      <c r="G58" s="58">
        <f>IF(B58="","",SUMIFS(Krankmeldungen!$G$6:$G$1005,Krankmeldungen!$A$6:$A$1005,A58,Krankmeldungen!$C$6:$C$1005,Einstellungen!$C$5))</f>
        <v/>
      </c>
      <c r="H58" s="35">
        <f>IF(B58="","",SUMIFS(Krankmeldungen!$F$6:$F$1005,Krankmeldungen!$A$6:$A$1005,A58))</f>
        <v/>
      </c>
      <c r="I58" s="35">
        <f>IF(B58="","",COUNTIFS(Krankmeldungen!$A$6:$A$1005,A58,Krankmeldungen!$F$6:$F$1005,"&gt;0"))</f>
        <v/>
      </c>
      <c r="J58" s="40">
        <f>IF(B58="","",IF(N(D58)&gt;0,E58/D58,""))</f>
        <v/>
      </c>
      <c r="K58" s="63">
        <f>IF(J58="","",RANK(J58,$J$6:$J$205,0))</f>
        <v/>
      </c>
      <c r="L58" s="56">
        <f>IF(J58="","",IF(J58&lt;=Einstellungen!$C$7,"unauffällig",IF(J58&lt;=Einstellungen!$C$8,"auffällig","kritisch")))</f>
        <v/>
      </c>
      <c r="M58" s="64">
        <f>IF(J58="",-1,J58+ROW()/1000000000)</f>
        <v/>
      </c>
    </row>
    <row r="59">
      <c r="A59" s="61">
        <f>IF(Mitarbeiter!B59="","",Mitarbeiter!A59)</f>
        <v/>
      </c>
      <c r="B59" s="62">
        <f>IF(Mitarbeiter!B59="","",Mitarbeiter!B59)</f>
        <v/>
      </c>
      <c r="C59" s="7">
        <f>IF(Mitarbeiter!B59="","",Mitarbeiter!G59)</f>
        <v/>
      </c>
      <c r="D59" s="57">
        <f>IF(Mitarbeiter!B59="","",Mitarbeiter!H59)</f>
        <v/>
      </c>
      <c r="E59" s="58">
        <f>IF(B59="","",SUMIFS(Krankmeldungen!$G$6:$G$1005,Krankmeldungen!$A$6:$A$1005,A59))</f>
        <v/>
      </c>
      <c r="F59" s="58">
        <f>IF(B59="","",SUMIFS(Krankmeldungen!$G$6:$G$1005,Krankmeldungen!$A$6:$A$1005,A59,Krankmeldungen!$C$6:$C$1005,Einstellungen!$C$4))</f>
        <v/>
      </c>
      <c r="G59" s="58">
        <f>IF(B59="","",SUMIFS(Krankmeldungen!$G$6:$G$1005,Krankmeldungen!$A$6:$A$1005,A59,Krankmeldungen!$C$6:$C$1005,Einstellungen!$C$5))</f>
        <v/>
      </c>
      <c r="H59" s="35">
        <f>IF(B59="","",SUMIFS(Krankmeldungen!$F$6:$F$1005,Krankmeldungen!$A$6:$A$1005,A59))</f>
        <v/>
      </c>
      <c r="I59" s="35">
        <f>IF(B59="","",COUNTIFS(Krankmeldungen!$A$6:$A$1005,A59,Krankmeldungen!$F$6:$F$1005,"&gt;0"))</f>
        <v/>
      </c>
      <c r="J59" s="40">
        <f>IF(B59="","",IF(N(D59)&gt;0,E59/D59,""))</f>
        <v/>
      </c>
      <c r="K59" s="63">
        <f>IF(J59="","",RANK(J59,$J$6:$J$205,0))</f>
        <v/>
      </c>
      <c r="L59" s="56">
        <f>IF(J59="","",IF(J59&lt;=Einstellungen!$C$7,"unauffällig",IF(J59&lt;=Einstellungen!$C$8,"auffällig","kritisch")))</f>
        <v/>
      </c>
      <c r="M59" s="64">
        <f>IF(J59="",-1,J59+ROW()/1000000000)</f>
        <v/>
      </c>
    </row>
    <row r="60">
      <c r="A60" s="61">
        <f>IF(Mitarbeiter!B60="","",Mitarbeiter!A60)</f>
        <v/>
      </c>
      <c r="B60" s="62">
        <f>IF(Mitarbeiter!B60="","",Mitarbeiter!B60)</f>
        <v/>
      </c>
      <c r="C60" s="7">
        <f>IF(Mitarbeiter!B60="","",Mitarbeiter!G60)</f>
        <v/>
      </c>
      <c r="D60" s="57">
        <f>IF(Mitarbeiter!B60="","",Mitarbeiter!H60)</f>
        <v/>
      </c>
      <c r="E60" s="58">
        <f>IF(B60="","",SUMIFS(Krankmeldungen!$G$6:$G$1005,Krankmeldungen!$A$6:$A$1005,A60))</f>
        <v/>
      </c>
      <c r="F60" s="58">
        <f>IF(B60="","",SUMIFS(Krankmeldungen!$G$6:$G$1005,Krankmeldungen!$A$6:$A$1005,A60,Krankmeldungen!$C$6:$C$1005,Einstellungen!$C$4))</f>
        <v/>
      </c>
      <c r="G60" s="58">
        <f>IF(B60="","",SUMIFS(Krankmeldungen!$G$6:$G$1005,Krankmeldungen!$A$6:$A$1005,A60,Krankmeldungen!$C$6:$C$1005,Einstellungen!$C$5))</f>
        <v/>
      </c>
      <c r="H60" s="35">
        <f>IF(B60="","",SUMIFS(Krankmeldungen!$F$6:$F$1005,Krankmeldungen!$A$6:$A$1005,A60))</f>
        <v/>
      </c>
      <c r="I60" s="35">
        <f>IF(B60="","",COUNTIFS(Krankmeldungen!$A$6:$A$1005,A60,Krankmeldungen!$F$6:$F$1005,"&gt;0"))</f>
        <v/>
      </c>
      <c r="J60" s="40">
        <f>IF(B60="","",IF(N(D60)&gt;0,E60/D60,""))</f>
        <v/>
      </c>
      <c r="K60" s="63">
        <f>IF(J60="","",RANK(J60,$J$6:$J$205,0))</f>
        <v/>
      </c>
      <c r="L60" s="56">
        <f>IF(J60="","",IF(J60&lt;=Einstellungen!$C$7,"unauffällig",IF(J60&lt;=Einstellungen!$C$8,"auffällig","kritisch")))</f>
        <v/>
      </c>
      <c r="M60" s="64">
        <f>IF(J60="",-1,J60+ROW()/1000000000)</f>
        <v/>
      </c>
    </row>
    <row r="61">
      <c r="A61" s="61">
        <f>IF(Mitarbeiter!B61="","",Mitarbeiter!A61)</f>
        <v/>
      </c>
      <c r="B61" s="62">
        <f>IF(Mitarbeiter!B61="","",Mitarbeiter!B61)</f>
        <v/>
      </c>
      <c r="C61" s="7">
        <f>IF(Mitarbeiter!B61="","",Mitarbeiter!G61)</f>
        <v/>
      </c>
      <c r="D61" s="57">
        <f>IF(Mitarbeiter!B61="","",Mitarbeiter!H61)</f>
        <v/>
      </c>
      <c r="E61" s="58">
        <f>IF(B61="","",SUMIFS(Krankmeldungen!$G$6:$G$1005,Krankmeldungen!$A$6:$A$1005,A61))</f>
        <v/>
      </c>
      <c r="F61" s="58">
        <f>IF(B61="","",SUMIFS(Krankmeldungen!$G$6:$G$1005,Krankmeldungen!$A$6:$A$1005,A61,Krankmeldungen!$C$6:$C$1005,Einstellungen!$C$4))</f>
        <v/>
      </c>
      <c r="G61" s="58">
        <f>IF(B61="","",SUMIFS(Krankmeldungen!$G$6:$G$1005,Krankmeldungen!$A$6:$A$1005,A61,Krankmeldungen!$C$6:$C$1005,Einstellungen!$C$5))</f>
        <v/>
      </c>
      <c r="H61" s="35">
        <f>IF(B61="","",SUMIFS(Krankmeldungen!$F$6:$F$1005,Krankmeldungen!$A$6:$A$1005,A61))</f>
        <v/>
      </c>
      <c r="I61" s="35">
        <f>IF(B61="","",COUNTIFS(Krankmeldungen!$A$6:$A$1005,A61,Krankmeldungen!$F$6:$F$1005,"&gt;0"))</f>
        <v/>
      </c>
      <c r="J61" s="40">
        <f>IF(B61="","",IF(N(D61)&gt;0,E61/D61,""))</f>
        <v/>
      </c>
      <c r="K61" s="63">
        <f>IF(J61="","",RANK(J61,$J$6:$J$205,0))</f>
        <v/>
      </c>
      <c r="L61" s="56">
        <f>IF(J61="","",IF(J61&lt;=Einstellungen!$C$7,"unauffällig",IF(J61&lt;=Einstellungen!$C$8,"auffällig","kritisch")))</f>
        <v/>
      </c>
      <c r="M61" s="64">
        <f>IF(J61="",-1,J61+ROW()/1000000000)</f>
        <v/>
      </c>
    </row>
    <row r="62">
      <c r="A62" s="61">
        <f>IF(Mitarbeiter!B62="","",Mitarbeiter!A62)</f>
        <v/>
      </c>
      <c r="B62" s="62">
        <f>IF(Mitarbeiter!B62="","",Mitarbeiter!B62)</f>
        <v/>
      </c>
      <c r="C62" s="7">
        <f>IF(Mitarbeiter!B62="","",Mitarbeiter!G62)</f>
        <v/>
      </c>
      <c r="D62" s="57">
        <f>IF(Mitarbeiter!B62="","",Mitarbeiter!H62)</f>
        <v/>
      </c>
      <c r="E62" s="58">
        <f>IF(B62="","",SUMIFS(Krankmeldungen!$G$6:$G$1005,Krankmeldungen!$A$6:$A$1005,A62))</f>
        <v/>
      </c>
      <c r="F62" s="58">
        <f>IF(B62="","",SUMIFS(Krankmeldungen!$G$6:$G$1005,Krankmeldungen!$A$6:$A$1005,A62,Krankmeldungen!$C$6:$C$1005,Einstellungen!$C$4))</f>
        <v/>
      </c>
      <c r="G62" s="58">
        <f>IF(B62="","",SUMIFS(Krankmeldungen!$G$6:$G$1005,Krankmeldungen!$A$6:$A$1005,A62,Krankmeldungen!$C$6:$C$1005,Einstellungen!$C$5))</f>
        <v/>
      </c>
      <c r="H62" s="35">
        <f>IF(B62="","",SUMIFS(Krankmeldungen!$F$6:$F$1005,Krankmeldungen!$A$6:$A$1005,A62))</f>
        <v/>
      </c>
      <c r="I62" s="35">
        <f>IF(B62="","",COUNTIFS(Krankmeldungen!$A$6:$A$1005,A62,Krankmeldungen!$F$6:$F$1005,"&gt;0"))</f>
        <v/>
      </c>
      <c r="J62" s="40">
        <f>IF(B62="","",IF(N(D62)&gt;0,E62/D62,""))</f>
        <v/>
      </c>
      <c r="K62" s="63">
        <f>IF(J62="","",RANK(J62,$J$6:$J$205,0))</f>
        <v/>
      </c>
      <c r="L62" s="56">
        <f>IF(J62="","",IF(J62&lt;=Einstellungen!$C$7,"unauffällig",IF(J62&lt;=Einstellungen!$C$8,"auffällig","kritisch")))</f>
        <v/>
      </c>
      <c r="M62" s="64">
        <f>IF(J62="",-1,J62+ROW()/1000000000)</f>
        <v/>
      </c>
    </row>
    <row r="63">
      <c r="A63" s="61">
        <f>IF(Mitarbeiter!B63="","",Mitarbeiter!A63)</f>
        <v/>
      </c>
      <c r="B63" s="62">
        <f>IF(Mitarbeiter!B63="","",Mitarbeiter!B63)</f>
        <v/>
      </c>
      <c r="C63" s="7">
        <f>IF(Mitarbeiter!B63="","",Mitarbeiter!G63)</f>
        <v/>
      </c>
      <c r="D63" s="57">
        <f>IF(Mitarbeiter!B63="","",Mitarbeiter!H63)</f>
        <v/>
      </c>
      <c r="E63" s="58">
        <f>IF(B63="","",SUMIFS(Krankmeldungen!$G$6:$G$1005,Krankmeldungen!$A$6:$A$1005,A63))</f>
        <v/>
      </c>
      <c r="F63" s="58">
        <f>IF(B63="","",SUMIFS(Krankmeldungen!$G$6:$G$1005,Krankmeldungen!$A$6:$A$1005,A63,Krankmeldungen!$C$6:$C$1005,Einstellungen!$C$4))</f>
        <v/>
      </c>
      <c r="G63" s="58">
        <f>IF(B63="","",SUMIFS(Krankmeldungen!$G$6:$G$1005,Krankmeldungen!$A$6:$A$1005,A63,Krankmeldungen!$C$6:$C$1005,Einstellungen!$C$5))</f>
        <v/>
      </c>
      <c r="H63" s="35">
        <f>IF(B63="","",SUMIFS(Krankmeldungen!$F$6:$F$1005,Krankmeldungen!$A$6:$A$1005,A63))</f>
        <v/>
      </c>
      <c r="I63" s="35">
        <f>IF(B63="","",COUNTIFS(Krankmeldungen!$A$6:$A$1005,A63,Krankmeldungen!$F$6:$F$1005,"&gt;0"))</f>
        <v/>
      </c>
      <c r="J63" s="40">
        <f>IF(B63="","",IF(N(D63)&gt;0,E63/D63,""))</f>
        <v/>
      </c>
      <c r="K63" s="63">
        <f>IF(J63="","",RANK(J63,$J$6:$J$205,0))</f>
        <v/>
      </c>
      <c r="L63" s="56">
        <f>IF(J63="","",IF(J63&lt;=Einstellungen!$C$7,"unauffällig",IF(J63&lt;=Einstellungen!$C$8,"auffällig","kritisch")))</f>
        <v/>
      </c>
      <c r="M63" s="64">
        <f>IF(J63="",-1,J63+ROW()/1000000000)</f>
        <v/>
      </c>
    </row>
    <row r="64">
      <c r="A64" s="61">
        <f>IF(Mitarbeiter!B64="","",Mitarbeiter!A64)</f>
        <v/>
      </c>
      <c r="B64" s="62">
        <f>IF(Mitarbeiter!B64="","",Mitarbeiter!B64)</f>
        <v/>
      </c>
      <c r="C64" s="7">
        <f>IF(Mitarbeiter!B64="","",Mitarbeiter!G64)</f>
        <v/>
      </c>
      <c r="D64" s="57">
        <f>IF(Mitarbeiter!B64="","",Mitarbeiter!H64)</f>
        <v/>
      </c>
      <c r="E64" s="58">
        <f>IF(B64="","",SUMIFS(Krankmeldungen!$G$6:$G$1005,Krankmeldungen!$A$6:$A$1005,A64))</f>
        <v/>
      </c>
      <c r="F64" s="58">
        <f>IF(B64="","",SUMIFS(Krankmeldungen!$G$6:$G$1005,Krankmeldungen!$A$6:$A$1005,A64,Krankmeldungen!$C$6:$C$1005,Einstellungen!$C$4))</f>
        <v/>
      </c>
      <c r="G64" s="58">
        <f>IF(B64="","",SUMIFS(Krankmeldungen!$G$6:$G$1005,Krankmeldungen!$A$6:$A$1005,A64,Krankmeldungen!$C$6:$C$1005,Einstellungen!$C$5))</f>
        <v/>
      </c>
      <c r="H64" s="35">
        <f>IF(B64="","",SUMIFS(Krankmeldungen!$F$6:$F$1005,Krankmeldungen!$A$6:$A$1005,A64))</f>
        <v/>
      </c>
      <c r="I64" s="35">
        <f>IF(B64="","",COUNTIFS(Krankmeldungen!$A$6:$A$1005,A64,Krankmeldungen!$F$6:$F$1005,"&gt;0"))</f>
        <v/>
      </c>
      <c r="J64" s="40">
        <f>IF(B64="","",IF(N(D64)&gt;0,E64/D64,""))</f>
        <v/>
      </c>
      <c r="K64" s="63">
        <f>IF(J64="","",RANK(J64,$J$6:$J$205,0))</f>
        <v/>
      </c>
      <c r="L64" s="56">
        <f>IF(J64="","",IF(J64&lt;=Einstellungen!$C$7,"unauffällig",IF(J64&lt;=Einstellungen!$C$8,"auffällig","kritisch")))</f>
        <v/>
      </c>
      <c r="M64" s="64">
        <f>IF(J64="",-1,J64+ROW()/1000000000)</f>
        <v/>
      </c>
    </row>
    <row r="65">
      <c r="A65" s="61">
        <f>IF(Mitarbeiter!B65="","",Mitarbeiter!A65)</f>
        <v/>
      </c>
      <c r="B65" s="62">
        <f>IF(Mitarbeiter!B65="","",Mitarbeiter!B65)</f>
        <v/>
      </c>
      <c r="C65" s="7">
        <f>IF(Mitarbeiter!B65="","",Mitarbeiter!G65)</f>
        <v/>
      </c>
      <c r="D65" s="57">
        <f>IF(Mitarbeiter!B65="","",Mitarbeiter!H65)</f>
        <v/>
      </c>
      <c r="E65" s="58">
        <f>IF(B65="","",SUMIFS(Krankmeldungen!$G$6:$G$1005,Krankmeldungen!$A$6:$A$1005,A65))</f>
        <v/>
      </c>
      <c r="F65" s="58">
        <f>IF(B65="","",SUMIFS(Krankmeldungen!$G$6:$G$1005,Krankmeldungen!$A$6:$A$1005,A65,Krankmeldungen!$C$6:$C$1005,Einstellungen!$C$4))</f>
        <v/>
      </c>
      <c r="G65" s="58">
        <f>IF(B65="","",SUMIFS(Krankmeldungen!$G$6:$G$1005,Krankmeldungen!$A$6:$A$1005,A65,Krankmeldungen!$C$6:$C$1005,Einstellungen!$C$5))</f>
        <v/>
      </c>
      <c r="H65" s="35">
        <f>IF(B65="","",SUMIFS(Krankmeldungen!$F$6:$F$1005,Krankmeldungen!$A$6:$A$1005,A65))</f>
        <v/>
      </c>
      <c r="I65" s="35">
        <f>IF(B65="","",COUNTIFS(Krankmeldungen!$A$6:$A$1005,A65,Krankmeldungen!$F$6:$F$1005,"&gt;0"))</f>
        <v/>
      </c>
      <c r="J65" s="40">
        <f>IF(B65="","",IF(N(D65)&gt;0,E65/D65,""))</f>
        <v/>
      </c>
      <c r="K65" s="63">
        <f>IF(J65="","",RANK(J65,$J$6:$J$205,0))</f>
        <v/>
      </c>
      <c r="L65" s="56">
        <f>IF(J65="","",IF(J65&lt;=Einstellungen!$C$7,"unauffällig",IF(J65&lt;=Einstellungen!$C$8,"auffällig","kritisch")))</f>
        <v/>
      </c>
      <c r="M65" s="64">
        <f>IF(J65="",-1,J65+ROW()/1000000000)</f>
        <v/>
      </c>
    </row>
    <row r="66">
      <c r="A66" s="61">
        <f>IF(Mitarbeiter!B66="","",Mitarbeiter!A66)</f>
        <v/>
      </c>
      <c r="B66" s="62">
        <f>IF(Mitarbeiter!B66="","",Mitarbeiter!B66)</f>
        <v/>
      </c>
      <c r="C66" s="7">
        <f>IF(Mitarbeiter!B66="","",Mitarbeiter!G66)</f>
        <v/>
      </c>
      <c r="D66" s="57">
        <f>IF(Mitarbeiter!B66="","",Mitarbeiter!H66)</f>
        <v/>
      </c>
      <c r="E66" s="58">
        <f>IF(B66="","",SUMIFS(Krankmeldungen!$G$6:$G$1005,Krankmeldungen!$A$6:$A$1005,A66))</f>
        <v/>
      </c>
      <c r="F66" s="58">
        <f>IF(B66="","",SUMIFS(Krankmeldungen!$G$6:$G$1005,Krankmeldungen!$A$6:$A$1005,A66,Krankmeldungen!$C$6:$C$1005,Einstellungen!$C$4))</f>
        <v/>
      </c>
      <c r="G66" s="58">
        <f>IF(B66="","",SUMIFS(Krankmeldungen!$G$6:$G$1005,Krankmeldungen!$A$6:$A$1005,A66,Krankmeldungen!$C$6:$C$1005,Einstellungen!$C$5))</f>
        <v/>
      </c>
      <c r="H66" s="35">
        <f>IF(B66="","",SUMIFS(Krankmeldungen!$F$6:$F$1005,Krankmeldungen!$A$6:$A$1005,A66))</f>
        <v/>
      </c>
      <c r="I66" s="35">
        <f>IF(B66="","",COUNTIFS(Krankmeldungen!$A$6:$A$1005,A66,Krankmeldungen!$F$6:$F$1005,"&gt;0"))</f>
        <v/>
      </c>
      <c r="J66" s="40">
        <f>IF(B66="","",IF(N(D66)&gt;0,E66/D66,""))</f>
        <v/>
      </c>
      <c r="K66" s="63">
        <f>IF(J66="","",RANK(J66,$J$6:$J$205,0))</f>
        <v/>
      </c>
      <c r="L66" s="56">
        <f>IF(J66="","",IF(J66&lt;=Einstellungen!$C$7,"unauffällig",IF(J66&lt;=Einstellungen!$C$8,"auffällig","kritisch")))</f>
        <v/>
      </c>
      <c r="M66" s="64">
        <f>IF(J66="",-1,J66+ROW()/1000000000)</f>
        <v/>
      </c>
    </row>
    <row r="67">
      <c r="A67" s="61">
        <f>IF(Mitarbeiter!B67="","",Mitarbeiter!A67)</f>
        <v/>
      </c>
      <c r="B67" s="62">
        <f>IF(Mitarbeiter!B67="","",Mitarbeiter!B67)</f>
        <v/>
      </c>
      <c r="C67" s="7">
        <f>IF(Mitarbeiter!B67="","",Mitarbeiter!G67)</f>
        <v/>
      </c>
      <c r="D67" s="57">
        <f>IF(Mitarbeiter!B67="","",Mitarbeiter!H67)</f>
        <v/>
      </c>
      <c r="E67" s="58">
        <f>IF(B67="","",SUMIFS(Krankmeldungen!$G$6:$G$1005,Krankmeldungen!$A$6:$A$1005,A67))</f>
        <v/>
      </c>
      <c r="F67" s="58">
        <f>IF(B67="","",SUMIFS(Krankmeldungen!$G$6:$G$1005,Krankmeldungen!$A$6:$A$1005,A67,Krankmeldungen!$C$6:$C$1005,Einstellungen!$C$4))</f>
        <v/>
      </c>
      <c r="G67" s="58">
        <f>IF(B67="","",SUMIFS(Krankmeldungen!$G$6:$G$1005,Krankmeldungen!$A$6:$A$1005,A67,Krankmeldungen!$C$6:$C$1005,Einstellungen!$C$5))</f>
        <v/>
      </c>
      <c r="H67" s="35">
        <f>IF(B67="","",SUMIFS(Krankmeldungen!$F$6:$F$1005,Krankmeldungen!$A$6:$A$1005,A67))</f>
        <v/>
      </c>
      <c r="I67" s="35">
        <f>IF(B67="","",COUNTIFS(Krankmeldungen!$A$6:$A$1005,A67,Krankmeldungen!$F$6:$F$1005,"&gt;0"))</f>
        <v/>
      </c>
      <c r="J67" s="40">
        <f>IF(B67="","",IF(N(D67)&gt;0,E67/D67,""))</f>
        <v/>
      </c>
      <c r="K67" s="63">
        <f>IF(J67="","",RANK(J67,$J$6:$J$205,0))</f>
        <v/>
      </c>
      <c r="L67" s="56">
        <f>IF(J67="","",IF(J67&lt;=Einstellungen!$C$7,"unauffällig",IF(J67&lt;=Einstellungen!$C$8,"auffällig","kritisch")))</f>
        <v/>
      </c>
      <c r="M67" s="64">
        <f>IF(J67="",-1,J67+ROW()/1000000000)</f>
        <v/>
      </c>
    </row>
    <row r="68">
      <c r="A68" s="61">
        <f>IF(Mitarbeiter!B68="","",Mitarbeiter!A68)</f>
        <v/>
      </c>
      <c r="B68" s="62">
        <f>IF(Mitarbeiter!B68="","",Mitarbeiter!B68)</f>
        <v/>
      </c>
      <c r="C68" s="7">
        <f>IF(Mitarbeiter!B68="","",Mitarbeiter!G68)</f>
        <v/>
      </c>
      <c r="D68" s="57">
        <f>IF(Mitarbeiter!B68="","",Mitarbeiter!H68)</f>
        <v/>
      </c>
      <c r="E68" s="58">
        <f>IF(B68="","",SUMIFS(Krankmeldungen!$G$6:$G$1005,Krankmeldungen!$A$6:$A$1005,A68))</f>
        <v/>
      </c>
      <c r="F68" s="58">
        <f>IF(B68="","",SUMIFS(Krankmeldungen!$G$6:$G$1005,Krankmeldungen!$A$6:$A$1005,A68,Krankmeldungen!$C$6:$C$1005,Einstellungen!$C$4))</f>
        <v/>
      </c>
      <c r="G68" s="58">
        <f>IF(B68="","",SUMIFS(Krankmeldungen!$G$6:$G$1005,Krankmeldungen!$A$6:$A$1005,A68,Krankmeldungen!$C$6:$C$1005,Einstellungen!$C$5))</f>
        <v/>
      </c>
      <c r="H68" s="35">
        <f>IF(B68="","",SUMIFS(Krankmeldungen!$F$6:$F$1005,Krankmeldungen!$A$6:$A$1005,A68))</f>
        <v/>
      </c>
      <c r="I68" s="35">
        <f>IF(B68="","",COUNTIFS(Krankmeldungen!$A$6:$A$1005,A68,Krankmeldungen!$F$6:$F$1005,"&gt;0"))</f>
        <v/>
      </c>
      <c r="J68" s="40">
        <f>IF(B68="","",IF(N(D68)&gt;0,E68/D68,""))</f>
        <v/>
      </c>
      <c r="K68" s="63">
        <f>IF(J68="","",RANK(J68,$J$6:$J$205,0))</f>
        <v/>
      </c>
      <c r="L68" s="56">
        <f>IF(J68="","",IF(J68&lt;=Einstellungen!$C$7,"unauffällig",IF(J68&lt;=Einstellungen!$C$8,"auffällig","kritisch")))</f>
        <v/>
      </c>
      <c r="M68" s="64">
        <f>IF(J68="",-1,J68+ROW()/1000000000)</f>
        <v/>
      </c>
    </row>
    <row r="69">
      <c r="A69" s="61">
        <f>IF(Mitarbeiter!B69="","",Mitarbeiter!A69)</f>
        <v/>
      </c>
      <c r="B69" s="62">
        <f>IF(Mitarbeiter!B69="","",Mitarbeiter!B69)</f>
        <v/>
      </c>
      <c r="C69" s="7">
        <f>IF(Mitarbeiter!B69="","",Mitarbeiter!G69)</f>
        <v/>
      </c>
      <c r="D69" s="57">
        <f>IF(Mitarbeiter!B69="","",Mitarbeiter!H69)</f>
        <v/>
      </c>
      <c r="E69" s="58">
        <f>IF(B69="","",SUMIFS(Krankmeldungen!$G$6:$G$1005,Krankmeldungen!$A$6:$A$1005,A69))</f>
        <v/>
      </c>
      <c r="F69" s="58">
        <f>IF(B69="","",SUMIFS(Krankmeldungen!$G$6:$G$1005,Krankmeldungen!$A$6:$A$1005,A69,Krankmeldungen!$C$6:$C$1005,Einstellungen!$C$4))</f>
        <v/>
      </c>
      <c r="G69" s="58">
        <f>IF(B69="","",SUMIFS(Krankmeldungen!$G$6:$G$1005,Krankmeldungen!$A$6:$A$1005,A69,Krankmeldungen!$C$6:$C$1005,Einstellungen!$C$5))</f>
        <v/>
      </c>
      <c r="H69" s="35">
        <f>IF(B69="","",SUMIFS(Krankmeldungen!$F$6:$F$1005,Krankmeldungen!$A$6:$A$1005,A69))</f>
        <v/>
      </c>
      <c r="I69" s="35">
        <f>IF(B69="","",COUNTIFS(Krankmeldungen!$A$6:$A$1005,A69,Krankmeldungen!$F$6:$F$1005,"&gt;0"))</f>
        <v/>
      </c>
      <c r="J69" s="40">
        <f>IF(B69="","",IF(N(D69)&gt;0,E69/D69,""))</f>
        <v/>
      </c>
      <c r="K69" s="63">
        <f>IF(J69="","",RANK(J69,$J$6:$J$205,0))</f>
        <v/>
      </c>
      <c r="L69" s="56">
        <f>IF(J69="","",IF(J69&lt;=Einstellungen!$C$7,"unauffällig",IF(J69&lt;=Einstellungen!$C$8,"auffällig","kritisch")))</f>
        <v/>
      </c>
      <c r="M69" s="64">
        <f>IF(J69="",-1,J69+ROW()/1000000000)</f>
        <v/>
      </c>
    </row>
    <row r="70">
      <c r="A70" s="61">
        <f>IF(Mitarbeiter!B70="","",Mitarbeiter!A70)</f>
        <v/>
      </c>
      <c r="B70" s="62">
        <f>IF(Mitarbeiter!B70="","",Mitarbeiter!B70)</f>
        <v/>
      </c>
      <c r="C70" s="7">
        <f>IF(Mitarbeiter!B70="","",Mitarbeiter!G70)</f>
        <v/>
      </c>
      <c r="D70" s="57">
        <f>IF(Mitarbeiter!B70="","",Mitarbeiter!H70)</f>
        <v/>
      </c>
      <c r="E70" s="58">
        <f>IF(B70="","",SUMIFS(Krankmeldungen!$G$6:$G$1005,Krankmeldungen!$A$6:$A$1005,A70))</f>
        <v/>
      </c>
      <c r="F70" s="58">
        <f>IF(B70="","",SUMIFS(Krankmeldungen!$G$6:$G$1005,Krankmeldungen!$A$6:$A$1005,A70,Krankmeldungen!$C$6:$C$1005,Einstellungen!$C$4))</f>
        <v/>
      </c>
      <c r="G70" s="58">
        <f>IF(B70="","",SUMIFS(Krankmeldungen!$G$6:$G$1005,Krankmeldungen!$A$6:$A$1005,A70,Krankmeldungen!$C$6:$C$1005,Einstellungen!$C$5))</f>
        <v/>
      </c>
      <c r="H70" s="35">
        <f>IF(B70="","",SUMIFS(Krankmeldungen!$F$6:$F$1005,Krankmeldungen!$A$6:$A$1005,A70))</f>
        <v/>
      </c>
      <c r="I70" s="35">
        <f>IF(B70="","",COUNTIFS(Krankmeldungen!$A$6:$A$1005,A70,Krankmeldungen!$F$6:$F$1005,"&gt;0"))</f>
        <v/>
      </c>
      <c r="J70" s="40">
        <f>IF(B70="","",IF(N(D70)&gt;0,E70/D70,""))</f>
        <v/>
      </c>
      <c r="K70" s="63">
        <f>IF(J70="","",RANK(J70,$J$6:$J$205,0))</f>
        <v/>
      </c>
      <c r="L70" s="56">
        <f>IF(J70="","",IF(J70&lt;=Einstellungen!$C$7,"unauffällig",IF(J70&lt;=Einstellungen!$C$8,"auffällig","kritisch")))</f>
        <v/>
      </c>
      <c r="M70" s="64">
        <f>IF(J70="",-1,J70+ROW()/1000000000)</f>
        <v/>
      </c>
    </row>
    <row r="71">
      <c r="A71" s="61">
        <f>IF(Mitarbeiter!B71="","",Mitarbeiter!A71)</f>
        <v/>
      </c>
      <c r="B71" s="62">
        <f>IF(Mitarbeiter!B71="","",Mitarbeiter!B71)</f>
        <v/>
      </c>
      <c r="C71" s="7">
        <f>IF(Mitarbeiter!B71="","",Mitarbeiter!G71)</f>
        <v/>
      </c>
      <c r="D71" s="57">
        <f>IF(Mitarbeiter!B71="","",Mitarbeiter!H71)</f>
        <v/>
      </c>
      <c r="E71" s="58">
        <f>IF(B71="","",SUMIFS(Krankmeldungen!$G$6:$G$1005,Krankmeldungen!$A$6:$A$1005,A71))</f>
        <v/>
      </c>
      <c r="F71" s="58">
        <f>IF(B71="","",SUMIFS(Krankmeldungen!$G$6:$G$1005,Krankmeldungen!$A$6:$A$1005,A71,Krankmeldungen!$C$6:$C$1005,Einstellungen!$C$4))</f>
        <v/>
      </c>
      <c r="G71" s="58">
        <f>IF(B71="","",SUMIFS(Krankmeldungen!$G$6:$G$1005,Krankmeldungen!$A$6:$A$1005,A71,Krankmeldungen!$C$6:$C$1005,Einstellungen!$C$5))</f>
        <v/>
      </c>
      <c r="H71" s="35">
        <f>IF(B71="","",SUMIFS(Krankmeldungen!$F$6:$F$1005,Krankmeldungen!$A$6:$A$1005,A71))</f>
        <v/>
      </c>
      <c r="I71" s="35">
        <f>IF(B71="","",COUNTIFS(Krankmeldungen!$A$6:$A$1005,A71,Krankmeldungen!$F$6:$F$1005,"&gt;0"))</f>
        <v/>
      </c>
      <c r="J71" s="40">
        <f>IF(B71="","",IF(N(D71)&gt;0,E71/D71,""))</f>
        <v/>
      </c>
      <c r="K71" s="63">
        <f>IF(J71="","",RANK(J71,$J$6:$J$205,0))</f>
        <v/>
      </c>
      <c r="L71" s="56">
        <f>IF(J71="","",IF(J71&lt;=Einstellungen!$C$7,"unauffällig",IF(J71&lt;=Einstellungen!$C$8,"auffällig","kritisch")))</f>
        <v/>
      </c>
      <c r="M71" s="64">
        <f>IF(J71="",-1,J71+ROW()/1000000000)</f>
        <v/>
      </c>
    </row>
    <row r="72">
      <c r="A72" s="61">
        <f>IF(Mitarbeiter!B72="","",Mitarbeiter!A72)</f>
        <v/>
      </c>
      <c r="B72" s="62">
        <f>IF(Mitarbeiter!B72="","",Mitarbeiter!B72)</f>
        <v/>
      </c>
      <c r="C72" s="7">
        <f>IF(Mitarbeiter!B72="","",Mitarbeiter!G72)</f>
        <v/>
      </c>
      <c r="D72" s="57">
        <f>IF(Mitarbeiter!B72="","",Mitarbeiter!H72)</f>
        <v/>
      </c>
      <c r="E72" s="58">
        <f>IF(B72="","",SUMIFS(Krankmeldungen!$G$6:$G$1005,Krankmeldungen!$A$6:$A$1005,A72))</f>
        <v/>
      </c>
      <c r="F72" s="58">
        <f>IF(B72="","",SUMIFS(Krankmeldungen!$G$6:$G$1005,Krankmeldungen!$A$6:$A$1005,A72,Krankmeldungen!$C$6:$C$1005,Einstellungen!$C$4))</f>
        <v/>
      </c>
      <c r="G72" s="58">
        <f>IF(B72="","",SUMIFS(Krankmeldungen!$G$6:$G$1005,Krankmeldungen!$A$6:$A$1005,A72,Krankmeldungen!$C$6:$C$1005,Einstellungen!$C$5))</f>
        <v/>
      </c>
      <c r="H72" s="35">
        <f>IF(B72="","",SUMIFS(Krankmeldungen!$F$6:$F$1005,Krankmeldungen!$A$6:$A$1005,A72))</f>
        <v/>
      </c>
      <c r="I72" s="35">
        <f>IF(B72="","",COUNTIFS(Krankmeldungen!$A$6:$A$1005,A72,Krankmeldungen!$F$6:$F$1005,"&gt;0"))</f>
        <v/>
      </c>
      <c r="J72" s="40">
        <f>IF(B72="","",IF(N(D72)&gt;0,E72/D72,""))</f>
        <v/>
      </c>
      <c r="K72" s="63">
        <f>IF(J72="","",RANK(J72,$J$6:$J$205,0))</f>
        <v/>
      </c>
      <c r="L72" s="56">
        <f>IF(J72="","",IF(J72&lt;=Einstellungen!$C$7,"unauffällig",IF(J72&lt;=Einstellungen!$C$8,"auffällig","kritisch")))</f>
        <v/>
      </c>
      <c r="M72" s="64">
        <f>IF(J72="",-1,J72+ROW()/1000000000)</f>
        <v/>
      </c>
    </row>
    <row r="73">
      <c r="A73" s="61">
        <f>IF(Mitarbeiter!B73="","",Mitarbeiter!A73)</f>
        <v/>
      </c>
      <c r="B73" s="62">
        <f>IF(Mitarbeiter!B73="","",Mitarbeiter!B73)</f>
        <v/>
      </c>
      <c r="C73" s="7">
        <f>IF(Mitarbeiter!B73="","",Mitarbeiter!G73)</f>
        <v/>
      </c>
      <c r="D73" s="57">
        <f>IF(Mitarbeiter!B73="","",Mitarbeiter!H73)</f>
        <v/>
      </c>
      <c r="E73" s="58">
        <f>IF(B73="","",SUMIFS(Krankmeldungen!$G$6:$G$1005,Krankmeldungen!$A$6:$A$1005,A73))</f>
        <v/>
      </c>
      <c r="F73" s="58">
        <f>IF(B73="","",SUMIFS(Krankmeldungen!$G$6:$G$1005,Krankmeldungen!$A$6:$A$1005,A73,Krankmeldungen!$C$6:$C$1005,Einstellungen!$C$4))</f>
        <v/>
      </c>
      <c r="G73" s="58">
        <f>IF(B73="","",SUMIFS(Krankmeldungen!$G$6:$G$1005,Krankmeldungen!$A$6:$A$1005,A73,Krankmeldungen!$C$6:$C$1005,Einstellungen!$C$5))</f>
        <v/>
      </c>
      <c r="H73" s="35">
        <f>IF(B73="","",SUMIFS(Krankmeldungen!$F$6:$F$1005,Krankmeldungen!$A$6:$A$1005,A73))</f>
        <v/>
      </c>
      <c r="I73" s="35">
        <f>IF(B73="","",COUNTIFS(Krankmeldungen!$A$6:$A$1005,A73,Krankmeldungen!$F$6:$F$1005,"&gt;0"))</f>
        <v/>
      </c>
      <c r="J73" s="40">
        <f>IF(B73="","",IF(N(D73)&gt;0,E73/D73,""))</f>
        <v/>
      </c>
      <c r="K73" s="63">
        <f>IF(J73="","",RANK(J73,$J$6:$J$205,0))</f>
        <v/>
      </c>
      <c r="L73" s="56">
        <f>IF(J73="","",IF(J73&lt;=Einstellungen!$C$7,"unauffällig",IF(J73&lt;=Einstellungen!$C$8,"auffällig","kritisch")))</f>
        <v/>
      </c>
      <c r="M73" s="64">
        <f>IF(J73="",-1,J73+ROW()/1000000000)</f>
        <v/>
      </c>
    </row>
    <row r="74">
      <c r="A74" s="61">
        <f>IF(Mitarbeiter!B74="","",Mitarbeiter!A74)</f>
        <v/>
      </c>
      <c r="B74" s="62">
        <f>IF(Mitarbeiter!B74="","",Mitarbeiter!B74)</f>
        <v/>
      </c>
      <c r="C74" s="7">
        <f>IF(Mitarbeiter!B74="","",Mitarbeiter!G74)</f>
        <v/>
      </c>
      <c r="D74" s="57">
        <f>IF(Mitarbeiter!B74="","",Mitarbeiter!H74)</f>
        <v/>
      </c>
      <c r="E74" s="58">
        <f>IF(B74="","",SUMIFS(Krankmeldungen!$G$6:$G$1005,Krankmeldungen!$A$6:$A$1005,A74))</f>
        <v/>
      </c>
      <c r="F74" s="58">
        <f>IF(B74="","",SUMIFS(Krankmeldungen!$G$6:$G$1005,Krankmeldungen!$A$6:$A$1005,A74,Krankmeldungen!$C$6:$C$1005,Einstellungen!$C$4))</f>
        <v/>
      </c>
      <c r="G74" s="58">
        <f>IF(B74="","",SUMIFS(Krankmeldungen!$G$6:$G$1005,Krankmeldungen!$A$6:$A$1005,A74,Krankmeldungen!$C$6:$C$1005,Einstellungen!$C$5))</f>
        <v/>
      </c>
      <c r="H74" s="35">
        <f>IF(B74="","",SUMIFS(Krankmeldungen!$F$6:$F$1005,Krankmeldungen!$A$6:$A$1005,A74))</f>
        <v/>
      </c>
      <c r="I74" s="35">
        <f>IF(B74="","",COUNTIFS(Krankmeldungen!$A$6:$A$1005,A74,Krankmeldungen!$F$6:$F$1005,"&gt;0"))</f>
        <v/>
      </c>
      <c r="J74" s="40">
        <f>IF(B74="","",IF(N(D74)&gt;0,E74/D74,""))</f>
        <v/>
      </c>
      <c r="K74" s="63">
        <f>IF(J74="","",RANK(J74,$J$6:$J$205,0))</f>
        <v/>
      </c>
      <c r="L74" s="56">
        <f>IF(J74="","",IF(J74&lt;=Einstellungen!$C$7,"unauffällig",IF(J74&lt;=Einstellungen!$C$8,"auffällig","kritisch")))</f>
        <v/>
      </c>
      <c r="M74" s="64">
        <f>IF(J74="",-1,J74+ROW()/1000000000)</f>
        <v/>
      </c>
    </row>
    <row r="75">
      <c r="A75" s="61">
        <f>IF(Mitarbeiter!B75="","",Mitarbeiter!A75)</f>
        <v/>
      </c>
      <c r="B75" s="62">
        <f>IF(Mitarbeiter!B75="","",Mitarbeiter!B75)</f>
        <v/>
      </c>
      <c r="C75" s="7">
        <f>IF(Mitarbeiter!B75="","",Mitarbeiter!G75)</f>
        <v/>
      </c>
      <c r="D75" s="57">
        <f>IF(Mitarbeiter!B75="","",Mitarbeiter!H75)</f>
        <v/>
      </c>
      <c r="E75" s="58">
        <f>IF(B75="","",SUMIFS(Krankmeldungen!$G$6:$G$1005,Krankmeldungen!$A$6:$A$1005,A75))</f>
        <v/>
      </c>
      <c r="F75" s="58">
        <f>IF(B75="","",SUMIFS(Krankmeldungen!$G$6:$G$1005,Krankmeldungen!$A$6:$A$1005,A75,Krankmeldungen!$C$6:$C$1005,Einstellungen!$C$4))</f>
        <v/>
      </c>
      <c r="G75" s="58">
        <f>IF(B75="","",SUMIFS(Krankmeldungen!$G$6:$G$1005,Krankmeldungen!$A$6:$A$1005,A75,Krankmeldungen!$C$6:$C$1005,Einstellungen!$C$5))</f>
        <v/>
      </c>
      <c r="H75" s="35">
        <f>IF(B75="","",SUMIFS(Krankmeldungen!$F$6:$F$1005,Krankmeldungen!$A$6:$A$1005,A75))</f>
        <v/>
      </c>
      <c r="I75" s="35">
        <f>IF(B75="","",COUNTIFS(Krankmeldungen!$A$6:$A$1005,A75,Krankmeldungen!$F$6:$F$1005,"&gt;0"))</f>
        <v/>
      </c>
      <c r="J75" s="40">
        <f>IF(B75="","",IF(N(D75)&gt;0,E75/D75,""))</f>
        <v/>
      </c>
      <c r="K75" s="63">
        <f>IF(J75="","",RANK(J75,$J$6:$J$205,0))</f>
        <v/>
      </c>
      <c r="L75" s="56">
        <f>IF(J75="","",IF(J75&lt;=Einstellungen!$C$7,"unauffällig",IF(J75&lt;=Einstellungen!$C$8,"auffällig","kritisch")))</f>
        <v/>
      </c>
      <c r="M75" s="64">
        <f>IF(J75="",-1,J75+ROW()/1000000000)</f>
        <v/>
      </c>
    </row>
    <row r="76">
      <c r="A76" s="61">
        <f>IF(Mitarbeiter!B76="","",Mitarbeiter!A76)</f>
        <v/>
      </c>
      <c r="B76" s="62">
        <f>IF(Mitarbeiter!B76="","",Mitarbeiter!B76)</f>
        <v/>
      </c>
      <c r="C76" s="7">
        <f>IF(Mitarbeiter!B76="","",Mitarbeiter!G76)</f>
        <v/>
      </c>
      <c r="D76" s="57">
        <f>IF(Mitarbeiter!B76="","",Mitarbeiter!H76)</f>
        <v/>
      </c>
      <c r="E76" s="58">
        <f>IF(B76="","",SUMIFS(Krankmeldungen!$G$6:$G$1005,Krankmeldungen!$A$6:$A$1005,A76))</f>
        <v/>
      </c>
      <c r="F76" s="58">
        <f>IF(B76="","",SUMIFS(Krankmeldungen!$G$6:$G$1005,Krankmeldungen!$A$6:$A$1005,A76,Krankmeldungen!$C$6:$C$1005,Einstellungen!$C$4))</f>
        <v/>
      </c>
      <c r="G76" s="58">
        <f>IF(B76="","",SUMIFS(Krankmeldungen!$G$6:$G$1005,Krankmeldungen!$A$6:$A$1005,A76,Krankmeldungen!$C$6:$C$1005,Einstellungen!$C$5))</f>
        <v/>
      </c>
      <c r="H76" s="35">
        <f>IF(B76="","",SUMIFS(Krankmeldungen!$F$6:$F$1005,Krankmeldungen!$A$6:$A$1005,A76))</f>
        <v/>
      </c>
      <c r="I76" s="35">
        <f>IF(B76="","",COUNTIFS(Krankmeldungen!$A$6:$A$1005,A76,Krankmeldungen!$F$6:$F$1005,"&gt;0"))</f>
        <v/>
      </c>
      <c r="J76" s="40">
        <f>IF(B76="","",IF(N(D76)&gt;0,E76/D76,""))</f>
        <v/>
      </c>
      <c r="K76" s="63">
        <f>IF(J76="","",RANK(J76,$J$6:$J$205,0))</f>
        <v/>
      </c>
      <c r="L76" s="56">
        <f>IF(J76="","",IF(J76&lt;=Einstellungen!$C$7,"unauffällig",IF(J76&lt;=Einstellungen!$C$8,"auffällig","kritisch")))</f>
        <v/>
      </c>
      <c r="M76" s="64">
        <f>IF(J76="",-1,J76+ROW()/1000000000)</f>
        <v/>
      </c>
    </row>
    <row r="77">
      <c r="A77" s="61">
        <f>IF(Mitarbeiter!B77="","",Mitarbeiter!A77)</f>
        <v/>
      </c>
      <c r="B77" s="62">
        <f>IF(Mitarbeiter!B77="","",Mitarbeiter!B77)</f>
        <v/>
      </c>
      <c r="C77" s="7">
        <f>IF(Mitarbeiter!B77="","",Mitarbeiter!G77)</f>
        <v/>
      </c>
      <c r="D77" s="57">
        <f>IF(Mitarbeiter!B77="","",Mitarbeiter!H77)</f>
        <v/>
      </c>
      <c r="E77" s="58">
        <f>IF(B77="","",SUMIFS(Krankmeldungen!$G$6:$G$1005,Krankmeldungen!$A$6:$A$1005,A77))</f>
        <v/>
      </c>
      <c r="F77" s="58">
        <f>IF(B77="","",SUMIFS(Krankmeldungen!$G$6:$G$1005,Krankmeldungen!$A$6:$A$1005,A77,Krankmeldungen!$C$6:$C$1005,Einstellungen!$C$4))</f>
        <v/>
      </c>
      <c r="G77" s="58">
        <f>IF(B77="","",SUMIFS(Krankmeldungen!$G$6:$G$1005,Krankmeldungen!$A$6:$A$1005,A77,Krankmeldungen!$C$6:$C$1005,Einstellungen!$C$5))</f>
        <v/>
      </c>
      <c r="H77" s="35">
        <f>IF(B77="","",SUMIFS(Krankmeldungen!$F$6:$F$1005,Krankmeldungen!$A$6:$A$1005,A77))</f>
        <v/>
      </c>
      <c r="I77" s="35">
        <f>IF(B77="","",COUNTIFS(Krankmeldungen!$A$6:$A$1005,A77,Krankmeldungen!$F$6:$F$1005,"&gt;0"))</f>
        <v/>
      </c>
      <c r="J77" s="40">
        <f>IF(B77="","",IF(N(D77)&gt;0,E77/D77,""))</f>
        <v/>
      </c>
      <c r="K77" s="63">
        <f>IF(J77="","",RANK(J77,$J$6:$J$205,0))</f>
        <v/>
      </c>
      <c r="L77" s="56">
        <f>IF(J77="","",IF(J77&lt;=Einstellungen!$C$7,"unauffällig",IF(J77&lt;=Einstellungen!$C$8,"auffällig","kritisch")))</f>
        <v/>
      </c>
      <c r="M77" s="64">
        <f>IF(J77="",-1,J77+ROW()/1000000000)</f>
        <v/>
      </c>
    </row>
    <row r="78">
      <c r="A78" s="61">
        <f>IF(Mitarbeiter!B78="","",Mitarbeiter!A78)</f>
        <v/>
      </c>
      <c r="B78" s="62">
        <f>IF(Mitarbeiter!B78="","",Mitarbeiter!B78)</f>
        <v/>
      </c>
      <c r="C78" s="7">
        <f>IF(Mitarbeiter!B78="","",Mitarbeiter!G78)</f>
        <v/>
      </c>
      <c r="D78" s="57">
        <f>IF(Mitarbeiter!B78="","",Mitarbeiter!H78)</f>
        <v/>
      </c>
      <c r="E78" s="58">
        <f>IF(B78="","",SUMIFS(Krankmeldungen!$G$6:$G$1005,Krankmeldungen!$A$6:$A$1005,A78))</f>
        <v/>
      </c>
      <c r="F78" s="58">
        <f>IF(B78="","",SUMIFS(Krankmeldungen!$G$6:$G$1005,Krankmeldungen!$A$6:$A$1005,A78,Krankmeldungen!$C$6:$C$1005,Einstellungen!$C$4))</f>
        <v/>
      </c>
      <c r="G78" s="58">
        <f>IF(B78="","",SUMIFS(Krankmeldungen!$G$6:$G$1005,Krankmeldungen!$A$6:$A$1005,A78,Krankmeldungen!$C$6:$C$1005,Einstellungen!$C$5))</f>
        <v/>
      </c>
      <c r="H78" s="35">
        <f>IF(B78="","",SUMIFS(Krankmeldungen!$F$6:$F$1005,Krankmeldungen!$A$6:$A$1005,A78))</f>
        <v/>
      </c>
      <c r="I78" s="35">
        <f>IF(B78="","",COUNTIFS(Krankmeldungen!$A$6:$A$1005,A78,Krankmeldungen!$F$6:$F$1005,"&gt;0"))</f>
        <v/>
      </c>
      <c r="J78" s="40">
        <f>IF(B78="","",IF(N(D78)&gt;0,E78/D78,""))</f>
        <v/>
      </c>
      <c r="K78" s="63">
        <f>IF(J78="","",RANK(J78,$J$6:$J$205,0))</f>
        <v/>
      </c>
      <c r="L78" s="56">
        <f>IF(J78="","",IF(J78&lt;=Einstellungen!$C$7,"unauffällig",IF(J78&lt;=Einstellungen!$C$8,"auffällig","kritisch")))</f>
        <v/>
      </c>
      <c r="M78" s="64">
        <f>IF(J78="",-1,J78+ROW()/1000000000)</f>
        <v/>
      </c>
    </row>
    <row r="79">
      <c r="A79" s="61">
        <f>IF(Mitarbeiter!B79="","",Mitarbeiter!A79)</f>
        <v/>
      </c>
      <c r="B79" s="62">
        <f>IF(Mitarbeiter!B79="","",Mitarbeiter!B79)</f>
        <v/>
      </c>
      <c r="C79" s="7">
        <f>IF(Mitarbeiter!B79="","",Mitarbeiter!G79)</f>
        <v/>
      </c>
      <c r="D79" s="57">
        <f>IF(Mitarbeiter!B79="","",Mitarbeiter!H79)</f>
        <v/>
      </c>
      <c r="E79" s="58">
        <f>IF(B79="","",SUMIFS(Krankmeldungen!$G$6:$G$1005,Krankmeldungen!$A$6:$A$1005,A79))</f>
        <v/>
      </c>
      <c r="F79" s="58">
        <f>IF(B79="","",SUMIFS(Krankmeldungen!$G$6:$G$1005,Krankmeldungen!$A$6:$A$1005,A79,Krankmeldungen!$C$6:$C$1005,Einstellungen!$C$4))</f>
        <v/>
      </c>
      <c r="G79" s="58">
        <f>IF(B79="","",SUMIFS(Krankmeldungen!$G$6:$G$1005,Krankmeldungen!$A$6:$A$1005,A79,Krankmeldungen!$C$6:$C$1005,Einstellungen!$C$5))</f>
        <v/>
      </c>
      <c r="H79" s="35">
        <f>IF(B79="","",SUMIFS(Krankmeldungen!$F$6:$F$1005,Krankmeldungen!$A$6:$A$1005,A79))</f>
        <v/>
      </c>
      <c r="I79" s="35">
        <f>IF(B79="","",COUNTIFS(Krankmeldungen!$A$6:$A$1005,A79,Krankmeldungen!$F$6:$F$1005,"&gt;0"))</f>
        <v/>
      </c>
      <c r="J79" s="40">
        <f>IF(B79="","",IF(N(D79)&gt;0,E79/D79,""))</f>
        <v/>
      </c>
      <c r="K79" s="63">
        <f>IF(J79="","",RANK(J79,$J$6:$J$205,0))</f>
        <v/>
      </c>
      <c r="L79" s="56">
        <f>IF(J79="","",IF(J79&lt;=Einstellungen!$C$7,"unauffällig",IF(J79&lt;=Einstellungen!$C$8,"auffällig","kritisch")))</f>
        <v/>
      </c>
      <c r="M79" s="64">
        <f>IF(J79="",-1,J79+ROW()/1000000000)</f>
        <v/>
      </c>
    </row>
    <row r="80">
      <c r="A80" s="61">
        <f>IF(Mitarbeiter!B80="","",Mitarbeiter!A80)</f>
        <v/>
      </c>
      <c r="B80" s="62">
        <f>IF(Mitarbeiter!B80="","",Mitarbeiter!B80)</f>
        <v/>
      </c>
      <c r="C80" s="7">
        <f>IF(Mitarbeiter!B80="","",Mitarbeiter!G80)</f>
        <v/>
      </c>
      <c r="D80" s="57">
        <f>IF(Mitarbeiter!B80="","",Mitarbeiter!H80)</f>
        <v/>
      </c>
      <c r="E80" s="58">
        <f>IF(B80="","",SUMIFS(Krankmeldungen!$G$6:$G$1005,Krankmeldungen!$A$6:$A$1005,A80))</f>
        <v/>
      </c>
      <c r="F80" s="58">
        <f>IF(B80="","",SUMIFS(Krankmeldungen!$G$6:$G$1005,Krankmeldungen!$A$6:$A$1005,A80,Krankmeldungen!$C$6:$C$1005,Einstellungen!$C$4))</f>
        <v/>
      </c>
      <c r="G80" s="58">
        <f>IF(B80="","",SUMIFS(Krankmeldungen!$G$6:$G$1005,Krankmeldungen!$A$6:$A$1005,A80,Krankmeldungen!$C$6:$C$1005,Einstellungen!$C$5))</f>
        <v/>
      </c>
      <c r="H80" s="35">
        <f>IF(B80="","",SUMIFS(Krankmeldungen!$F$6:$F$1005,Krankmeldungen!$A$6:$A$1005,A80))</f>
        <v/>
      </c>
      <c r="I80" s="35">
        <f>IF(B80="","",COUNTIFS(Krankmeldungen!$A$6:$A$1005,A80,Krankmeldungen!$F$6:$F$1005,"&gt;0"))</f>
        <v/>
      </c>
      <c r="J80" s="40">
        <f>IF(B80="","",IF(N(D80)&gt;0,E80/D80,""))</f>
        <v/>
      </c>
      <c r="K80" s="63">
        <f>IF(J80="","",RANK(J80,$J$6:$J$205,0))</f>
        <v/>
      </c>
      <c r="L80" s="56">
        <f>IF(J80="","",IF(J80&lt;=Einstellungen!$C$7,"unauffällig",IF(J80&lt;=Einstellungen!$C$8,"auffällig","kritisch")))</f>
        <v/>
      </c>
      <c r="M80" s="64">
        <f>IF(J80="",-1,J80+ROW()/1000000000)</f>
        <v/>
      </c>
    </row>
    <row r="81">
      <c r="A81" s="61">
        <f>IF(Mitarbeiter!B81="","",Mitarbeiter!A81)</f>
        <v/>
      </c>
      <c r="B81" s="62">
        <f>IF(Mitarbeiter!B81="","",Mitarbeiter!B81)</f>
        <v/>
      </c>
      <c r="C81" s="7">
        <f>IF(Mitarbeiter!B81="","",Mitarbeiter!G81)</f>
        <v/>
      </c>
      <c r="D81" s="57">
        <f>IF(Mitarbeiter!B81="","",Mitarbeiter!H81)</f>
        <v/>
      </c>
      <c r="E81" s="58">
        <f>IF(B81="","",SUMIFS(Krankmeldungen!$G$6:$G$1005,Krankmeldungen!$A$6:$A$1005,A81))</f>
        <v/>
      </c>
      <c r="F81" s="58">
        <f>IF(B81="","",SUMIFS(Krankmeldungen!$G$6:$G$1005,Krankmeldungen!$A$6:$A$1005,A81,Krankmeldungen!$C$6:$C$1005,Einstellungen!$C$4))</f>
        <v/>
      </c>
      <c r="G81" s="58">
        <f>IF(B81="","",SUMIFS(Krankmeldungen!$G$6:$G$1005,Krankmeldungen!$A$6:$A$1005,A81,Krankmeldungen!$C$6:$C$1005,Einstellungen!$C$5))</f>
        <v/>
      </c>
      <c r="H81" s="35">
        <f>IF(B81="","",SUMIFS(Krankmeldungen!$F$6:$F$1005,Krankmeldungen!$A$6:$A$1005,A81))</f>
        <v/>
      </c>
      <c r="I81" s="35">
        <f>IF(B81="","",COUNTIFS(Krankmeldungen!$A$6:$A$1005,A81,Krankmeldungen!$F$6:$F$1005,"&gt;0"))</f>
        <v/>
      </c>
      <c r="J81" s="40">
        <f>IF(B81="","",IF(N(D81)&gt;0,E81/D81,""))</f>
        <v/>
      </c>
      <c r="K81" s="63">
        <f>IF(J81="","",RANK(J81,$J$6:$J$205,0))</f>
        <v/>
      </c>
      <c r="L81" s="56">
        <f>IF(J81="","",IF(J81&lt;=Einstellungen!$C$7,"unauffällig",IF(J81&lt;=Einstellungen!$C$8,"auffällig","kritisch")))</f>
        <v/>
      </c>
      <c r="M81" s="64">
        <f>IF(J81="",-1,J81+ROW()/1000000000)</f>
        <v/>
      </c>
    </row>
    <row r="82">
      <c r="A82" s="61">
        <f>IF(Mitarbeiter!B82="","",Mitarbeiter!A82)</f>
        <v/>
      </c>
      <c r="B82" s="62">
        <f>IF(Mitarbeiter!B82="","",Mitarbeiter!B82)</f>
        <v/>
      </c>
      <c r="C82" s="7">
        <f>IF(Mitarbeiter!B82="","",Mitarbeiter!G82)</f>
        <v/>
      </c>
      <c r="D82" s="57">
        <f>IF(Mitarbeiter!B82="","",Mitarbeiter!H82)</f>
        <v/>
      </c>
      <c r="E82" s="58">
        <f>IF(B82="","",SUMIFS(Krankmeldungen!$G$6:$G$1005,Krankmeldungen!$A$6:$A$1005,A82))</f>
        <v/>
      </c>
      <c r="F82" s="58">
        <f>IF(B82="","",SUMIFS(Krankmeldungen!$G$6:$G$1005,Krankmeldungen!$A$6:$A$1005,A82,Krankmeldungen!$C$6:$C$1005,Einstellungen!$C$4))</f>
        <v/>
      </c>
      <c r="G82" s="58">
        <f>IF(B82="","",SUMIFS(Krankmeldungen!$G$6:$G$1005,Krankmeldungen!$A$6:$A$1005,A82,Krankmeldungen!$C$6:$C$1005,Einstellungen!$C$5))</f>
        <v/>
      </c>
      <c r="H82" s="35">
        <f>IF(B82="","",SUMIFS(Krankmeldungen!$F$6:$F$1005,Krankmeldungen!$A$6:$A$1005,A82))</f>
        <v/>
      </c>
      <c r="I82" s="35">
        <f>IF(B82="","",COUNTIFS(Krankmeldungen!$A$6:$A$1005,A82,Krankmeldungen!$F$6:$F$1005,"&gt;0"))</f>
        <v/>
      </c>
      <c r="J82" s="40">
        <f>IF(B82="","",IF(N(D82)&gt;0,E82/D82,""))</f>
        <v/>
      </c>
      <c r="K82" s="63">
        <f>IF(J82="","",RANK(J82,$J$6:$J$205,0))</f>
        <v/>
      </c>
      <c r="L82" s="56">
        <f>IF(J82="","",IF(J82&lt;=Einstellungen!$C$7,"unauffällig",IF(J82&lt;=Einstellungen!$C$8,"auffällig","kritisch")))</f>
        <v/>
      </c>
      <c r="M82" s="64">
        <f>IF(J82="",-1,J82+ROW()/1000000000)</f>
        <v/>
      </c>
    </row>
    <row r="83">
      <c r="A83" s="61">
        <f>IF(Mitarbeiter!B83="","",Mitarbeiter!A83)</f>
        <v/>
      </c>
      <c r="B83" s="62">
        <f>IF(Mitarbeiter!B83="","",Mitarbeiter!B83)</f>
        <v/>
      </c>
      <c r="C83" s="7">
        <f>IF(Mitarbeiter!B83="","",Mitarbeiter!G83)</f>
        <v/>
      </c>
      <c r="D83" s="57">
        <f>IF(Mitarbeiter!B83="","",Mitarbeiter!H83)</f>
        <v/>
      </c>
      <c r="E83" s="58">
        <f>IF(B83="","",SUMIFS(Krankmeldungen!$G$6:$G$1005,Krankmeldungen!$A$6:$A$1005,A83))</f>
        <v/>
      </c>
      <c r="F83" s="58">
        <f>IF(B83="","",SUMIFS(Krankmeldungen!$G$6:$G$1005,Krankmeldungen!$A$6:$A$1005,A83,Krankmeldungen!$C$6:$C$1005,Einstellungen!$C$4))</f>
        <v/>
      </c>
      <c r="G83" s="58">
        <f>IF(B83="","",SUMIFS(Krankmeldungen!$G$6:$G$1005,Krankmeldungen!$A$6:$A$1005,A83,Krankmeldungen!$C$6:$C$1005,Einstellungen!$C$5))</f>
        <v/>
      </c>
      <c r="H83" s="35">
        <f>IF(B83="","",SUMIFS(Krankmeldungen!$F$6:$F$1005,Krankmeldungen!$A$6:$A$1005,A83))</f>
        <v/>
      </c>
      <c r="I83" s="35">
        <f>IF(B83="","",COUNTIFS(Krankmeldungen!$A$6:$A$1005,A83,Krankmeldungen!$F$6:$F$1005,"&gt;0"))</f>
        <v/>
      </c>
      <c r="J83" s="40">
        <f>IF(B83="","",IF(N(D83)&gt;0,E83/D83,""))</f>
        <v/>
      </c>
      <c r="K83" s="63">
        <f>IF(J83="","",RANK(J83,$J$6:$J$205,0))</f>
        <v/>
      </c>
      <c r="L83" s="56">
        <f>IF(J83="","",IF(J83&lt;=Einstellungen!$C$7,"unauffällig",IF(J83&lt;=Einstellungen!$C$8,"auffällig","kritisch")))</f>
        <v/>
      </c>
      <c r="M83" s="64">
        <f>IF(J83="",-1,J83+ROW()/1000000000)</f>
        <v/>
      </c>
    </row>
    <row r="84">
      <c r="A84" s="61">
        <f>IF(Mitarbeiter!B84="","",Mitarbeiter!A84)</f>
        <v/>
      </c>
      <c r="B84" s="62">
        <f>IF(Mitarbeiter!B84="","",Mitarbeiter!B84)</f>
        <v/>
      </c>
      <c r="C84" s="7">
        <f>IF(Mitarbeiter!B84="","",Mitarbeiter!G84)</f>
        <v/>
      </c>
      <c r="D84" s="57">
        <f>IF(Mitarbeiter!B84="","",Mitarbeiter!H84)</f>
        <v/>
      </c>
      <c r="E84" s="58">
        <f>IF(B84="","",SUMIFS(Krankmeldungen!$G$6:$G$1005,Krankmeldungen!$A$6:$A$1005,A84))</f>
        <v/>
      </c>
      <c r="F84" s="58">
        <f>IF(B84="","",SUMIFS(Krankmeldungen!$G$6:$G$1005,Krankmeldungen!$A$6:$A$1005,A84,Krankmeldungen!$C$6:$C$1005,Einstellungen!$C$4))</f>
        <v/>
      </c>
      <c r="G84" s="58">
        <f>IF(B84="","",SUMIFS(Krankmeldungen!$G$6:$G$1005,Krankmeldungen!$A$6:$A$1005,A84,Krankmeldungen!$C$6:$C$1005,Einstellungen!$C$5))</f>
        <v/>
      </c>
      <c r="H84" s="35">
        <f>IF(B84="","",SUMIFS(Krankmeldungen!$F$6:$F$1005,Krankmeldungen!$A$6:$A$1005,A84))</f>
        <v/>
      </c>
      <c r="I84" s="35">
        <f>IF(B84="","",COUNTIFS(Krankmeldungen!$A$6:$A$1005,A84,Krankmeldungen!$F$6:$F$1005,"&gt;0"))</f>
        <v/>
      </c>
      <c r="J84" s="40">
        <f>IF(B84="","",IF(N(D84)&gt;0,E84/D84,""))</f>
        <v/>
      </c>
      <c r="K84" s="63">
        <f>IF(J84="","",RANK(J84,$J$6:$J$205,0))</f>
        <v/>
      </c>
      <c r="L84" s="56">
        <f>IF(J84="","",IF(J84&lt;=Einstellungen!$C$7,"unauffällig",IF(J84&lt;=Einstellungen!$C$8,"auffällig","kritisch")))</f>
        <v/>
      </c>
      <c r="M84" s="64">
        <f>IF(J84="",-1,J84+ROW()/1000000000)</f>
        <v/>
      </c>
    </row>
    <row r="85">
      <c r="A85" s="61">
        <f>IF(Mitarbeiter!B85="","",Mitarbeiter!A85)</f>
        <v/>
      </c>
      <c r="B85" s="62">
        <f>IF(Mitarbeiter!B85="","",Mitarbeiter!B85)</f>
        <v/>
      </c>
      <c r="C85" s="7">
        <f>IF(Mitarbeiter!B85="","",Mitarbeiter!G85)</f>
        <v/>
      </c>
      <c r="D85" s="57">
        <f>IF(Mitarbeiter!B85="","",Mitarbeiter!H85)</f>
        <v/>
      </c>
      <c r="E85" s="58">
        <f>IF(B85="","",SUMIFS(Krankmeldungen!$G$6:$G$1005,Krankmeldungen!$A$6:$A$1005,A85))</f>
        <v/>
      </c>
      <c r="F85" s="58">
        <f>IF(B85="","",SUMIFS(Krankmeldungen!$G$6:$G$1005,Krankmeldungen!$A$6:$A$1005,A85,Krankmeldungen!$C$6:$C$1005,Einstellungen!$C$4))</f>
        <v/>
      </c>
      <c r="G85" s="58">
        <f>IF(B85="","",SUMIFS(Krankmeldungen!$G$6:$G$1005,Krankmeldungen!$A$6:$A$1005,A85,Krankmeldungen!$C$6:$C$1005,Einstellungen!$C$5))</f>
        <v/>
      </c>
      <c r="H85" s="35">
        <f>IF(B85="","",SUMIFS(Krankmeldungen!$F$6:$F$1005,Krankmeldungen!$A$6:$A$1005,A85))</f>
        <v/>
      </c>
      <c r="I85" s="35">
        <f>IF(B85="","",COUNTIFS(Krankmeldungen!$A$6:$A$1005,A85,Krankmeldungen!$F$6:$F$1005,"&gt;0"))</f>
        <v/>
      </c>
      <c r="J85" s="40">
        <f>IF(B85="","",IF(N(D85)&gt;0,E85/D85,""))</f>
        <v/>
      </c>
      <c r="K85" s="63">
        <f>IF(J85="","",RANK(J85,$J$6:$J$205,0))</f>
        <v/>
      </c>
      <c r="L85" s="56">
        <f>IF(J85="","",IF(J85&lt;=Einstellungen!$C$7,"unauffällig",IF(J85&lt;=Einstellungen!$C$8,"auffällig","kritisch")))</f>
        <v/>
      </c>
      <c r="M85" s="64">
        <f>IF(J85="",-1,J85+ROW()/1000000000)</f>
        <v/>
      </c>
    </row>
    <row r="86">
      <c r="A86" s="61">
        <f>IF(Mitarbeiter!B86="","",Mitarbeiter!A86)</f>
        <v/>
      </c>
      <c r="B86" s="62">
        <f>IF(Mitarbeiter!B86="","",Mitarbeiter!B86)</f>
        <v/>
      </c>
      <c r="C86" s="7">
        <f>IF(Mitarbeiter!B86="","",Mitarbeiter!G86)</f>
        <v/>
      </c>
      <c r="D86" s="57">
        <f>IF(Mitarbeiter!B86="","",Mitarbeiter!H86)</f>
        <v/>
      </c>
      <c r="E86" s="58">
        <f>IF(B86="","",SUMIFS(Krankmeldungen!$G$6:$G$1005,Krankmeldungen!$A$6:$A$1005,A86))</f>
        <v/>
      </c>
      <c r="F86" s="58">
        <f>IF(B86="","",SUMIFS(Krankmeldungen!$G$6:$G$1005,Krankmeldungen!$A$6:$A$1005,A86,Krankmeldungen!$C$6:$C$1005,Einstellungen!$C$4))</f>
        <v/>
      </c>
      <c r="G86" s="58">
        <f>IF(B86="","",SUMIFS(Krankmeldungen!$G$6:$G$1005,Krankmeldungen!$A$6:$A$1005,A86,Krankmeldungen!$C$6:$C$1005,Einstellungen!$C$5))</f>
        <v/>
      </c>
      <c r="H86" s="35">
        <f>IF(B86="","",SUMIFS(Krankmeldungen!$F$6:$F$1005,Krankmeldungen!$A$6:$A$1005,A86))</f>
        <v/>
      </c>
      <c r="I86" s="35">
        <f>IF(B86="","",COUNTIFS(Krankmeldungen!$A$6:$A$1005,A86,Krankmeldungen!$F$6:$F$1005,"&gt;0"))</f>
        <v/>
      </c>
      <c r="J86" s="40">
        <f>IF(B86="","",IF(N(D86)&gt;0,E86/D86,""))</f>
        <v/>
      </c>
      <c r="K86" s="63">
        <f>IF(J86="","",RANK(J86,$J$6:$J$205,0))</f>
        <v/>
      </c>
      <c r="L86" s="56">
        <f>IF(J86="","",IF(J86&lt;=Einstellungen!$C$7,"unauffällig",IF(J86&lt;=Einstellungen!$C$8,"auffällig","kritisch")))</f>
        <v/>
      </c>
      <c r="M86" s="64">
        <f>IF(J86="",-1,J86+ROW()/1000000000)</f>
        <v/>
      </c>
    </row>
    <row r="87">
      <c r="A87" s="61">
        <f>IF(Mitarbeiter!B87="","",Mitarbeiter!A87)</f>
        <v/>
      </c>
      <c r="B87" s="62">
        <f>IF(Mitarbeiter!B87="","",Mitarbeiter!B87)</f>
        <v/>
      </c>
      <c r="C87" s="7">
        <f>IF(Mitarbeiter!B87="","",Mitarbeiter!G87)</f>
        <v/>
      </c>
      <c r="D87" s="57">
        <f>IF(Mitarbeiter!B87="","",Mitarbeiter!H87)</f>
        <v/>
      </c>
      <c r="E87" s="58">
        <f>IF(B87="","",SUMIFS(Krankmeldungen!$G$6:$G$1005,Krankmeldungen!$A$6:$A$1005,A87))</f>
        <v/>
      </c>
      <c r="F87" s="58">
        <f>IF(B87="","",SUMIFS(Krankmeldungen!$G$6:$G$1005,Krankmeldungen!$A$6:$A$1005,A87,Krankmeldungen!$C$6:$C$1005,Einstellungen!$C$4))</f>
        <v/>
      </c>
      <c r="G87" s="58">
        <f>IF(B87="","",SUMIFS(Krankmeldungen!$G$6:$G$1005,Krankmeldungen!$A$6:$A$1005,A87,Krankmeldungen!$C$6:$C$1005,Einstellungen!$C$5))</f>
        <v/>
      </c>
      <c r="H87" s="35">
        <f>IF(B87="","",SUMIFS(Krankmeldungen!$F$6:$F$1005,Krankmeldungen!$A$6:$A$1005,A87))</f>
        <v/>
      </c>
      <c r="I87" s="35">
        <f>IF(B87="","",COUNTIFS(Krankmeldungen!$A$6:$A$1005,A87,Krankmeldungen!$F$6:$F$1005,"&gt;0"))</f>
        <v/>
      </c>
      <c r="J87" s="40">
        <f>IF(B87="","",IF(N(D87)&gt;0,E87/D87,""))</f>
        <v/>
      </c>
      <c r="K87" s="63">
        <f>IF(J87="","",RANK(J87,$J$6:$J$205,0))</f>
        <v/>
      </c>
      <c r="L87" s="56">
        <f>IF(J87="","",IF(J87&lt;=Einstellungen!$C$7,"unauffällig",IF(J87&lt;=Einstellungen!$C$8,"auffällig","kritisch")))</f>
        <v/>
      </c>
      <c r="M87" s="64">
        <f>IF(J87="",-1,J87+ROW()/1000000000)</f>
        <v/>
      </c>
    </row>
    <row r="88">
      <c r="A88" s="61">
        <f>IF(Mitarbeiter!B88="","",Mitarbeiter!A88)</f>
        <v/>
      </c>
      <c r="B88" s="62">
        <f>IF(Mitarbeiter!B88="","",Mitarbeiter!B88)</f>
        <v/>
      </c>
      <c r="C88" s="7">
        <f>IF(Mitarbeiter!B88="","",Mitarbeiter!G88)</f>
        <v/>
      </c>
      <c r="D88" s="57">
        <f>IF(Mitarbeiter!B88="","",Mitarbeiter!H88)</f>
        <v/>
      </c>
      <c r="E88" s="58">
        <f>IF(B88="","",SUMIFS(Krankmeldungen!$G$6:$G$1005,Krankmeldungen!$A$6:$A$1005,A88))</f>
        <v/>
      </c>
      <c r="F88" s="58">
        <f>IF(B88="","",SUMIFS(Krankmeldungen!$G$6:$G$1005,Krankmeldungen!$A$6:$A$1005,A88,Krankmeldungen!$C$6:$C$1005,Einstellungen!$C$4))</f>
        <v/>
      </c>
      <c r="G88" s="58">
        <f>IF(B88="","",SUMIFS(Krankmeldungen!$G$6:$G$1005,Krankmeldungen!$A$6:$A$1005,A88,Krankmeldungen!$C$6:$C$1005,Einstellungen!$C$5))</f>
        <v/>
      </c>
      <c r="H88" s="35">
        <f>IF(B88="","",SUMIFS(Krankmeldungen!$F$6:$F$1005,Krankmeldungen!$A$6:$A$1005,A88))</f>
        <v/>
      </c>
      <c r="I88" s="35">
        <f>IF(B88="","",COUNTIFS(Krankmeldungen!$A$6:$A$1005,A88,Krankmeldungen!$F$6:$F$1005,"&gt;0"))</f>
        <v/>
      </c>
      <c r="J88" s="40">
        <f>IF(B88="","",IF(N(D88)&gt;0,E88/D88,""))</f>
        <v/>
      </c>
      <c r="K88" s="63">
        <f>IF(J88="","",RANK(J88,$J$6:$J$205,0))</f>
        <v/>
      </c>
      <c r="L88" s="56">
        <f>IF(J88="","",IF(J88&lt;=Einstellungen!$C$7,"unauffällig",IF(J88&lt;=Einstellungen!$C$8,"auffällig","kritisch")))</f>
        <v/>
      </c>
      <c r="M88" s="64">
        <f>IF(J88="",-1,J88+ROW()/1000000000)</f>
        <v/>
      </c>
    </row>
    <row r="89">
      <c r="A89" s="61">
        <f>IF(Mitarbeiter!B89="","",Mitarbeiter!A89)</f>
        <v/>
      </c>
      <c r="B89" s="62">
        <f>IF(Mitarbeiter!B89="","",Mitarbeiter!B89)</f>
        <v/>
      </c>
      <c r="C89" s="7">
        <f>IF(Mitarbeiter!B89="","",Mitarbeiter!G89)</f>
        <v/>
      </c>
      <c r="D89" s="57">
        <f>IF(Mitarbeiter!B89="","",Mitarbeiter!H89)</f>
        <v/>
      </c>
      <c r="E89" s="58">
        <f>IF(B89="","",SUMIFS(Krankmeldungen!$G$6:$G$1005,Krankmeldungen!$A$6:$A$1005,A89))</f>
        <v/>
      </c>
      <c r="F89" s="58">
        <f>IF(B89="","",SUMIFS(Krankmeldungen!$G$6:$G$1005,Krankmeldungen!$A$6:$A$1005,A89,Krankmeldungen!$C$6:$C$1005,Einstellungen!$C$4))</f>
        <v/>
      </c>
      <c r="G89" s="58">
        <f>IF(B89="","",SUMIFS(Krankmeldungen!$G$6:$G$1005,Krankmeldungen!$A$6:$A$1005,A89,Krankmeldungen!$C$6:$C$1005,Einstellungen!$C$5))</f>
        <v/>
      </c>
      <c r="H89" s="35">
        <f>IF(B89="","",SUMIFS(Krankmeldungen!$F$6:$F$1005,Krankmeldungen!$A$6:$A$1005,A89))</f>
        <v/>
      </c>
      <c r="I89" s="35">
        <f>IF(B89="","",COUNTIFS(Krankmeldungen!$A$6:$A$1005,A89,Krankmeldungen!$F$6:$F$1005,"&gt;0"))</f>
        <v/>
      </c>
      <c r="J89" s="40">
        <f>IF(B89="","",IF(N(D89)&gt;0,E89/D89,""))</f>
        <v/>
      </c>
      <c r="K89" s="63">
        <f>IF(J89="","",RANK(J89,$J$6:$J$205,0))</f>
        <v/>
      </c>
      <c r="L89" s="56">
        <f>IF(J89="","",IF(J89&lt;=Einstellungen!$C$7,"unauffällig",IF(J89&lt;=Einstellungen!$C$8,"auffällig","kritisch")))</f>
        <v/>
      </c>
      <c r="M89" s="64">
        <f>IF(J89="",-1,J89+ROW()/1000000000)</f>
        <v/>
      </c>
    </row>
    <row r="90">
      <c r="A90" s="61">
        <f>IF(Mitarbeiter!B90="","",Mitarbeiter!A90)</f>
        <v/>
      </c>
      <c r="B90" s="62">
        <f>IF(Mitarbeiter!B90="","",Mitarbeiter!B90)</f>
        <v/>
      </c>
      <c r="C90" s="7">
        <f>IF(Mitarbeiter!B90="","",Mitarbeiter!G90)</f>
        <v/>
      </c>
      <c r="D90" s="57">
        <f>IF(Mitarbeiter!B90="","",Mitarbeiter!H90)</f>
        <v/>
      </c>
      <c r="E90" s="58">
        <f>IF(B90="","",SUMIFS(Krankmeldungen!$G$6:$G$1005,Krankmeldungen!$A$6:$A$1005,A90))</f>
        <v/>
      </c>
      <c r="F90" s="58">
        <f>IF(B90="","",SUMIFS(Krankmeldungen!$G$6:$G$1005,Krankmeldungen!$A$6:$A$1005,A90,Krankmeldungen!$C$6:$C$1005,Einstellungen!$C$4))</f>
        <v/>
      </c>
      <c r="G90" s="58">
        <f>IF(B90="","",SUMIFS(Krankmeldungen!$G$6:$G$1005,Krankmeldungen!$A$6:$A$1005,A90,Krankmeldungen!$C$6:$C$1005,Einstellungen!$C$5))</f>
        <v/>
      </c>
      <c r="H90" s="35">
        <f>IF(B90="","",SUMIFS(Krankmeldungen!$F$6:$F$1005,Krankmeldungen!$A$6:$A$1005,A90))</f>
        <v/>
      </c>
      <c r="I90" s="35">
        <f>IF(B90="","",COUNTIFS(Krankmeldungen!$A$6:$A$1005,A90,Krankmeldungen!$F$6:$F$1005,"&gt;0"))</f>
        <v/>
      </c>
      <c r="J90" s="40">
        <f>IF(B90="","",IF(N(D90)&gt;0,E90/D90,""))</f>
        <v/>
      </c>
      <c r="K90" s="63">
        <f>IF(J90="","",RANK(J90,$J$6:$J$205,0))</f>
        <v/>
      </c>
      <c r="L90" s="56">
        <f>IF(J90="","",IF(J90&lt;=Einstellungen!$C$7,"unauffällig",IF(J90&lt;=Einstellungen!$C$8,"auffällig","kritisch")))</f>
        <v/>
      </c>
      <c r="M90" s="64">
        <f>IF(J90="",-1,J90+ROW()/1000000000)</f>
        <v/>
      </c>
    </row>
    <row r="91">
      <c r="A91" s="61">
        <f>IF(Mitarbeiter!B91="","",Mitarbeiter!A91)</f>
        <v/>
      </c>
      <c r="B91" s="62">
        <f>IF(Mitarbeiter!B91="","",Mitarbeiter!B91)</f>
        <v/>
      </c>
      <c r="C91" s="7">
        <f>IF(Mitarbeiter!B91="","",Mitarbeiter!G91)</f>
        <v/>
      </c>
      <c r="D91" s="57">
        <f>IF(Mitarbeiter!B91="","",Mitarbeiter!H91)</f>
        <v/>
      </c>
      <c r="E91" s="58">
        <f>IF(B91="","",SUMIFS(Krankmeldungen!$G$6:$G$1005,Krankmeldungen!$A$6:$A$1005,A91))</f>
        <v/>
      </c>
      <c r="F91" s="58">
        <f>IF(B91="","",SUMIFS(Krankmeldungen!$G$6:$G$1005,Krankmeldungen!$A$6:$A$1005,A91,Krankmeldungen!$C$6:$C$1005,Einstellungen!$C$4))</f>
        <v/>
      </c>
      <c r="G91" s="58">
        <f>IF(B91="","",SUMIFS(Krankmeldungen!$G$6:$G$1005,Krankmeldungen!$A$6:$A$1005,A91,Krankmeldungen!$C$6:$C$1005,Einstellungen!$C$5))</f>
        <v/>
      </c>
      <c r="H91" s="35">
        <f>IF(B91="","",SUMIFS(Krankmeldungen!$F$6:$F$1005,Krankmeldungen!$A$6:$A$1005,A91))</f>
        <v/>
      </c>
      <c r="I91" s="35">
        <f>IF(B91="","",COUNTIFS(Krankmeldungen!$A$6:$A$1005,A91,Krankmeldungen!$F$6:$F$1005,"&gt;0"))</f>
        <v/>
      </c>
      <c r="J91" s="40">
        <f>IF(B91="","",IF(N(D91)&gt;0,E91/D91,""))</f>
        <v/>
      </c>
      <c r="K91" s="63">
        <f>IF(J91="","",RANK(J91,$J$6:$J$205,0))</f>
        <v/>
      </c>
      <c r="L91" s="56">
        <f>IF(J91="","",IF(J91&lt;=Einstellungen!$C$7,"unauffällig",IF(J91&lt;=Einstellungen!$C$8,"auffällig","kritisch")))</f>
        <v/>
      </c>
      <c r="M91" s="64">
        <f>IF(J91="",-1,J91+ROW()/1000000000)</f>
        <v/>
      </c>
    </row>
    <row r="92">
      <c r="A92" s="61">
        <f>IF(Mitarbeiter!B92="","",Mitarbeiter!A92)</f>
        <v/>
      </c>
      <c r="B92" s="62">
        <f>IF(Mitarbeiter!B92="","",Mitarbeiter!B92)</f>
        <v/>
      </c>
      <c r="C92" s="7">
        <f>IF(Mitarbeiter!B92="","",Mitarbeiter!G92)</f>
        <v/>
      </c>
      <c r="D92" s="57">
        <f>IF(Mitarbeiter!B92="","",Mitarbeiter!H92)</f>
        <v/>
      </c>
      <c r="E92" s="58">
        <f>IF(B92="","",SUMIFS(Krankmeldungen!$G$6:$G$1005,Krankmeldungen!$A$6:$A$1005,A92))</f>
        <v/>
      </c>
      <c r="F92" s="58">
        <f>IF(B92="","",SUMIFS(Krankmeldungen!$G$6:$G$1005,Krankmeldungen!$A$6:$A$1005,A92,Krankmeldungen!$C$6:$C$1005,Einstellungen!$C$4))</f>
        <v/>
      </c>
      <c r="G92" s="58">
        <f>IF(B92="","",SUMIFS(Krankmeldungen!$G$6:$G$1005,Krankmeldungen!$A$6:$A$1005,A92,Krankmeldungen!$C$6:$C$1005,Einstellungen!$C$5))</f>
        <v/>
      </c>
      <c r="H92" s="35">
        <f>IF(B92="","",SUMIFS(Krankmeldungen!$F$6:$F$1005,Krankmeldungen!$A$6:$A$1005,A92))</f>
        <v/>
      </c>
      <c r="I92" s="35">
        <f>IF(B92="","",COUNTIFS(Krankmeldungen!$A$6:$A$1005,A92,Krankmeldungen!$F$6:$F$1005,"&gt;0"))</f>
        <v/>
      </c>
      <c r="J92" s="40">
        <f>IF(B92="","",IF(N(D92)&gt;0,E92/D92,""))</f>
        <v/>
      </c>
      <c r="K92" s="63">
        <f>IF(J92="","",RANK(J92,$J$6:$J$205,0))</f>
        <v/>
      </c>
      <c r="L92" s="56">
        <f>IF(J92="","",IF(J92&lt;=Einstellungen!$C$7,"unauffällig",IF(J92&lt;=Einstellungen!$C$8,"auffällig","kritisch")))</f>
        <v/>
      </c>
      <c r="M92" s="64">
        <f>IF(J92="",-1,J92+ROW()/1000000000)</f>
        <v/>
      </c>
    </row>
    <row r="93">
      <c r="A93" s="61">
        <f>IF(Mitarbeiter!B93="","",Mitarbeiter!A93)</f>
        <v/>
      </c>
      <c r="B93" s="62">
        <f>IF(Mitarbeiter!B93="","",Mitarbeiter!B93)</f>
        <v/>
      </c>
      <c r="C93" s="7">
        <f>IF(Mitarbeiter!B93="","",Mitarbeiter!G93)</f>
        <v/>
      </c>
      <c r="D93" s="57">
        <f>IF(Mitarbeiter!B93="","",Mitarbeiter!H93)</f>
        <v/>
      </c>
      <c r="E93" s="58">
        <f>IF(B93="","",SUMIFS(Krankmeldungen!$G$6:$G$1005,Krankmeldungen!$A$6:$A$1005,A93))</f>
        <v/>
      </c>
      <c r="F93" s="58">
        <f>IF(B93="","",SUMIFS(Krankmeldungen!$G$6:$G$1005,Krankmeldungen!$A$6:$A$1005,A93,Krankmeldungen!$C$6:$C$1005,Einstellungen!$C$4))</f>
        <v/>
      </c>
      <c r="G93" s="58">
        <f>IF(B93="","",SUMIFS(Krankmeldungen!$G$6:$G$1005,Krankmeldungen!$A$6:$A$1005,A93,Krankmeldungen!$C$6:$C$1005,Einstellungen!$C$5))</f>
        <v/>
      </c>
      <c r="H93" s="35">
        <f>IF(B93="","",SUMIFS(Krankmeldungen!$F$6:$F$1005,Krankmeldungen!$A$6:$A$1005,A93))</f>
        <v/>
      </c>
      <c r="I93" s="35">
        <f>IF(B93="","",COUNTIFS(Krankmeldungen!$A$6:$A$1005,A93,Krankmeldungen!$F$6:$F$1005,"&gt;0"))</f>
        <v/>
      </c>
      <c r="J93" s="40">
        <f>IF(B93="","",IF(N(D93)&gt;0,E93/D93,""))</f>
        <v/>
      </c>
      <c r="K93" s="63">
        <f>IF(J93="","",RANK(J93,$J$6:$J$205,0))</f>
        <v/>
      </c>
      <c r="L93" s="56">
        <f>IF(J93="","",IF(J93&lt;=Einstellungen!$C$7,"unauffällig",IF(J93&lt;=Einstellungen!$C$8,"auffällig","kritisch")))</f>
        <v/>
      </c>
      <c r="M93" s="64">
        <f>IF(J93="",-1,J93+ROW()/1000000000)</f>
        <v/>
      </c>
    </row>
    <row r="94">
      <c r="A94" s="61">
        <f>IF(Mitarbeiter!B94="","",Mitarbeiter!A94)</f>
        <v/>
      </c>
      <c r="B94" s="62">
        <f>IF(Mitarbeiter!B94="","",Mitarbeiter!B94)</f>
        <v/>
      </c>
      <c r="C94" s="7">
        <f>IF(Mitarbeiter!B94="","",Mitarbeiter!G94)</f>
        <v/>
      </c>
      <c r="D94" s="57">
        <f>IF(Mitarbeiter!B94="","",Mitarbeiter!H94)</f>
        <v/>
      </c>
      <c r="E94" s="58">
        <f>IF(B94="","",SUMIFS(Krankmeldungen!$G$6:$G$1005,Krankmeldungen!$A$6:$A$1005,A94))</f>
        <v/>
      </c>
      <c r="F94" s="58">
        <f>IF(B94="","",SUMIFS(Krankmeldungen!$G$6:$G$1005,Krankmeldungen!$A$6:$A$1005,A94,Krankmeldungen!$C$6:$C$1005,Einstellungen!$C$4))</f>
        <v/>
      </c>
      <c r="G94" s="58">
        <f>IF(B94="","",SUMIFS(Krankmeldungen!$G$6:$G$1005,Krankmeldungen!$A$6:$A$1005,A94,Krankmeldungen!$C$6:$C$1005,Einstellungen!$C$5))</f>
        <v/>
      </c>
      <c r="H94" s="35">
        <f>IF(B94="","",SUMIFS(Krankmeldungen!$F$6:$F$1005,Krankmeldungen!$A$6:$A$1005,A94))</f>
        <v/>
      </c>
      <c r="I94" s="35">
        <f>IF(B94="","",COUNTIFS(Krankmeldungen!$A$6:$A$1005,A94,Krankmeldungen!$F$6:$F$1005,"&gt;0"))</f>
        <v/>
      </c>
      <c r="J94" s="40">
        <f>IF(B94="","",IF(N(D94)&gt;0,E94/D94,""))</f>
        <v/>
      </c>
      <c r="K94" s="63">
        <f>IF(J94="","",RANK(J94,$J$6:$J$205,0))</f>
        <v/>
      </c>
      <c r="L94" s="56">
        <f>IF(J94="","",IF(J94&lt;=Einstellungen!$C$7,"unauffällig",IF(J94&lt;=Einstellungen!$C$8,"auffällig","kritisch")))</f>
        <v/>
      </c>
      <c r="M94" s="64">
        <f>IF(J94="",-1,J94+ROW()/1000000000)</f>
        <v/>
      </c>
    </row>
    <row r="95">
      <c r="A95" s="61">
        <f>IF(Mitarbeiter!B95="","",Mitarbeiter!A95)</f>
        <v/>
      </c>
      <c r="B95" s="62">
        <f>IF(Mitarbeiter!B95="","",Mitarbeiter!B95)</f>
        <v/>
      </c>
      <c r="C95" s="7">
        <f>IF(Mitarbeiter!B95="","",Mitarbeiter!G95)</f>
        <v/>
      </c>
      <c r="D95" s="57">
        <f>IF(Mitarbeiter!B95="","",Mitarbeiter!H95)</f>
        <v/>
      </c>
      <c r="E95" s="58">
        <f>IF(B95="","",SUMIFS(Krankmeldungen!$G$6:$G$1005,Krankmeldungen!$A$6:$A$1005,A95))</f>
        <v/>
      </c>
      <c r="F95" s="58">
        <f>IF(B95="","",SUMIFS(Krankmeldungen!$G$6:$G$1005,Krankmeldungen!$A$6:$A$1005,A95,Krankmeldungen!$C$6:$C$1005,Einstellungen!$C$4))</f>
        <v/>
      </c>
      <c r="G95" s="58">
        <f>IF(B95="","",SUMIFS(Krankmeldungen!$G$6:$G$1005,Krankmeldungen!$A$6:$A$1005,A95,Krankmeldungen!$C$6:$C$1005,Einstellungen!$C$5))</f>
        <v/>
      </c>
      <c r="H95" s="35">
        <f>IF(B95="","",SUMIFS(Krankmeldungen!$F$6:$F$1005,Krankmeldungen!$A$6:$A$1005,A95))</f>
        <v/>
      </c>
      <c r="I95" s="35">
        <f>IF(B95="","",COUNTIFS(Krankmeldungen!$A$6:$A$1005,A95,Krankmeldungen!$F$6:$F$1005,"&gt;0"))</f>
        <v/>
      </c>
      <c r="J95" s="40">
        <f>IF(B95="","",IF(N(D95)&gt;0,E95/D95,""))</f>
        <v/>
      </c>
      <c r="K95" s="63">
        <f>IF(J95="","",RANK(J95,$J$6:$J$205,0))</f>
        <v/>
      </c>
      <c r="L95" s="56">
        <f>IF(J95="","",IF(J95&lt;=Einstellungen!$C$7,"unauffällig",IF(J95&lt;=Einstellungen!$C$8,"auffällig","kritisch")))</f>
        <v/>
      </c>
      <c r="M95" s="64">
        <f>IF(J95="",-1,J95+ROW()/1000000000)</f>
        <v/>
      </c>
    </row>
    <row r="96">
      <c r="A96" s="61">
        <f>IF(Mitarbeiter!B96="","",Mitarbeiter!A96)</f>
        <v/>
      </c>
      <c r="B96" s="62">
        <f>IF(Mitarbeiter!B96="","",Mitarbeiter!B96)</f>
        <v/>
      </c>
      <c r="C96" s="7">
        <f>IF(Mitarbeiter!B96="","",Mitarbeiter!G96)</f>
        <v/>
      </c>
      <c r="D96" s="57">
        <f>IF(Mitarbeiter!B96="","",Mitarbeiter!H96)</f>
        <v/>
      </c>
      <c r="E96" s="58">
        <f>IF(B96="","",SUMIFS(Krankmeldungen!$G$6:$G$1005,Krankmeldungen!$A$6:$A$1005,A96))</f>
        <v/>
      </c>
      <c r="F96" s="58">
        <f>IF(B96="","",SUMIFS(Krankmeldungen!$G$6:$G$1005,Krankmeldungen!$A$6:$A$1005,A96,Krankmeldungen!$C$6:$C$1005,Einstellungen!$C$4))</f>
        <v/>
      </c>
      <c r="G96" s="58">
        <f>IF(B96="","",SUMIFS(Krankmeldungen!$G$6:$G$1005,Krankmeldungen!$A$6:$A$1005,A96,Krankmeldungen!$C$6:$C$1005,Einstellungen!$C$5))</f>
        <v/>
      </c>
      <c r="H96" s="35">
        <f>IF(B96="","",SUMIFS(Krankmeldungen!$F$6:$F$1005,Krankmeldungen!$A$6:$A$1005,A96))</f>
        <v/>
      </c>
      <c r="I96" s="35">
        <f>IF(B96="","",COUNTIFS(Krankmeldungen!$A$6:$A$1005,A96,Krankmeldungen!$F$6:$F$1005,"&gt;0"))</f>
        <v/>
      </c>
      <c r="J96" s="40">
        <f>IF(B96="","",IF(N(D96)&gt;0,E96/D96,""))</f>
        <v/>
      </c>
      <c r="K96" s="63">
        <f>IF(J96="","",RANK(J96,$J$6:$J$205,0))</f>
        <v/>
      </c>
      <c r="L96" s="56">
        <f>IF(J96="","",IF(J96&lt;=Einstellungen!$C$7,"unauffällig",IF(J96&lt;=Einstellungen!$C$8,"auffällig","kritisch")))</f>
        <v/>
      </c>
      <c r="M96" s="64">
        <f>IF(J96="",-1,J96+ROW()/1000000000)</f>
        <v/>
      </c>
    </row>
    <row r="97">
      <c r="A97" s="61">
        <f>IF(Mitarbeiter!B97="","",Mitarbeiter!A97)</f>
        <v/>
      </c>
      <c r="B97" s="62">
        <f>IF(Mitarbeiter!B97="","",Mitarbeiter!B97)</f>
        <v/>
      </c>
      <c r="C97" s="7">
        <f>IF(Mitarbeiter!B97="","",Mitarbeiter!G97)</f>
        <v/>
      </c>
      <c r="D97" s="57">
        <f>IF(Mitarbeiter!B97="","",Mitarbeiter!H97)</f>
        <v/>
      </c>
      <c r="E97" s="58">
        <f>IF(B97="","",SUMIFS(Krankmeldungen!$G$6:$G$1005,Krankmeldungen!$A$6:$A$1005,A97))</f>
        <v/>
      </c>
      <c r="F97" s="58">
        <f>IF(B97="","",SUMIFS(Krankmeldungen!$G$6:$G$1005,Krankmeldungen!$A$6:$A$1005,A97,Krankmeldungen!$C$6:$C$1005,Einstellungen!$C$4))</f>
        <v/>
      </c>
      <c r="G97" s="58">
        <f>IF(B97="","",SUMIFS(Krankmeldungen!$G$6:$G$1005,Krankmeldungen!$A$6:$A$1005,A97,Krankmeldungen!$C$6:$C$1005,Einstellungen!$C$5))</f>
        <v/>
      </c>
      <c r="H97" s="35">
        <f>IF(B97="","",SUMIFS(Krankmeldungen!$F$6:$F$1005,Krankmeldungen!$A$6:$A$1005,A97))</f>
        <v/>
      </c>
      <c r="I97" s="35">
        <f>IF(B97="","",COUNTIFS(Krankmeldungen!$A$6:$A$1005,A97,Krankmeldungen!$F$6:$F$1005,"&gt;0"))</f>
        <v/>
      </c>
      <c r="J97" s="40">
        <f>IF(B97="","",IF(N(D97)&gt;0,E97/D97,""))</f>
        <v/>
      </c>
      <c r="K97" s="63">
        <f>IF(J97="","",RANK(J97,$J$6:$J$205,0))</f>
        <v/>
      </c>
      <c r="L97" s="56">
        <f>IF(J97="","",IF(J97&lt;=Einstellungen!$C$7,"unauffällig",IF(J97&lt;=Einstellungen!$C$8,"auffällig","kritisch")))</f>
        <v/>
      </c>
      <c r="M97" s="64">
        <f>IF(J97="",-1,J97+ROW()/1000000000)</f>
        <v/>
      </c>
    </row>
    <row r="98">
      <c r="A98" s="61">
        <f>IF(Mitarbeiter!B98="","",Mitarbeiter!A98)</f>
        <v/>
      </c>
      <c r="B98" s="62">
        <f>IF(Mitarbeiter!B98="","",Mitarbeiter!B98)</f>
        <v/>
      </c>
      <c r="C98" s="7">
        <f>IF(Mitarbeiter!B98="","",Mitarbeiter!G98)</f>
        <v/>
      </c>
      <c r="D98" s="57">
        <f>IF(Mitarbeiter!B98="","",Mitarbeiter!H98)</f>
        <v/>
      </c>
      <c r="E98" s="58">
        <f>IF(B98="","",SUMIFS(Krankmeldungen!$G$6:$G$1005,Krankmeldungen!$A$6:$A$1005,A98))</f>
        <v/>
      </c>
      <c r="F98" s="58">
        <f>IF(B98="","",SUMIFS(Krankmeldungen!$G$6:$G$1005,Krankmeldungen!$A$6:$A$1005,A98,Krankmeldungen!$C$6:$C$1005,Einstellungen!$C$4))</f>
        <v/>
      </c>
      <c r="G98" s="58">
        <f>IF(B98="","",SUMIFS(Krankmeldungen!$G$6:$G$1005,Krankmeldungen!$A$6:$A$1005,A98,Krankmeldungen!$C$6:$C$1005,Einstellungen!$C$5))</f>
        <v/>
      </c>
      <c r="H98" s="35">
        <f>IF(B98="","",SUMIFS(Krankmeldungen!$F$6:$F$1005,Krankmeldungen!$A$6:$A$1005,A98))</f>
        <v/>
      </c>
      <c r="I98" s="35">
        <f>IF(B98="","",COUNTIFS(Krankmeldungen!$A$6:$A$1005,A98,Krankmeldungen!$F$6:$F$1005,"&gt;0"))</f>
        <v/>
      </c>
      <c r="J98" s="40">
        <f>IF(B98="","",IF(N(D98)&gt;0,E98/D98,""))</f>
        <v/>
      </c>
      <c r="K98" s="63">
        <f>IF(J98="","",RANK(J98,$J$6:$J$205,0))</f>
        <v/>
      </c>
      <c r="L98" s="56">
        <f>IF(J98="","",IF(J98&lt;=Einstellungen!$C$7,"unauffällig",IF(J98&lt;=Einstellungen!$C$8,"auffällig","kritisch")))</f>
        <v/>
      </c>
      <c r="M98" s="64">
        <f>IF(J98="",-1,J98+ROW()/1000000000)</f>
        <v/>
      </c>
    </row>
    <row r="99">
      <c r="A99" s="61">
        <f>IF(Mitarbeiter!B99="","",Mitarbeiter!A99)</f>
        <v/>
      </c>
      <c r="B99" s="62">
        <f>IF(Mitarbeiter!B99="","",Mitarbeiter!B99)</f>
        <v/>
      </c>
      <c r="C99" s="7">
        <f>IF(Mitarbeiter!B99="","",Mitarbeiter!G99)</f>
        <v/>
      </c>
      <c r="D99" s="57">
        <f>IF(Mitarbeiter!B99="","",Mitarbeiter!H99)</f>
        <v/>
      </c>
      <c r="E99" s="58">
        <f>IF(B99="","",SUMIFS(Krankmeldungen!$G$6:$G$1005,Krankmeldungen!$A$6:$A$1005,A99))</f>
        <v/>
      </c>
      <c r="F99" s="58">
        <f>IF(B99="","",SUMIFS(Krankmeldungen!$G$6:$G$1005,Krankmeldungen!$A$6:$A$1005,A99,Krankmeldungen!$C$6:$C$1005,Einstellungen!$C$4))</f>
        <v/>
      </c>
      <c r="G99" s="58">
        <f>IF(B99="","",SUMIFS(Krankmeldungen!$G$6:$G$1005,Krankmeldungen!$A$6:$A$1005,A99,Krankmeldungen!$C$6:$C$1005,Einstellungen!$C$5))</f>
        <v/>
      </c>
      <c r="H99" s="35">
        <f>IF(B99="","",SUMIFS(Krankmeldungen!$F$6:$F$1005,Krankmeldungen!$A$6:$A$1005,A99))</f>
        <v/>
      </c>
      <c r="I99" s="35">
        <f>IF(B99="","",COUNTIFS(Krankmeldungen!$A$6:$A$1005,A99,Krankmeldungen!$F$6:$F$1005,"&gt;0"))</f>
        <v/>
      </c>
      <c r="J99" s="40">
        <f>IF(B99="","",IF(N(D99)&gt;0,E99/D99,""))</f>
        <v/>
      </c>
      <c r="K99" s="63">
        <f>IF(J99="","",RANK(J99,$J$6:$J$205,0))</f>
        <v/>
      </c>
      <c r="L99" s="56">
        <f>IF(J99="","",IF(J99&lt;=Einstellungen!$C$7,"unauffällig",IF(J99&lt;=Einstellungen!$C$8,"auffällig","kritisch")))</f>
        <v/>
      </c>
      <c r="M99" s="64">
        <f>IF(J99="",-1,J99+ROW()/1000000000)</f>
        <v/>
      </c>
    </row>
    <row r="100">
      <c r="A100" s="61">
        <f>IF(Mitarbeiter!B100="","",Mitarbeiter!A100)</f>
        <v/>
      </c>
      <c r="B100" s="62">
        <f>IF(Mitarbeiter!B100="","",Mitarbeiter!B100)</f>
        <v/>
      </c>
      <c r="C100" s="7">
        <f>IF(Mitarbeiter!B100="","",Mitarbeiter!G100)</f>
        <v/>
      </c>
      <c r="D100" s="57">
        <f>IF(Mitarbeiter!B100="","",Mitarbeiter!H100)</f>
        <v/>
      </c>
      <c r="E100" s="58">
        <f>IF(B100="","",SUMIFS(Krankmeldungen!$G$6:$G$1005,Krankmeldungen!$A$6:$A$1005,A100))</f>
        <v/>
      </c>
      <c r="F100" s="58">
        <f>IF(B100="","",SUMIFS(Krankmeldungen!$G$6:$G$1005,Krankmeldungen!$A$6:$A$1005,A100,Krankmeldungen!$C$6:$C$1005,Einstellungen!$C$4))</f>
        <v/>
      </c>
      <c r="G100" s="58">
        <f>IF(B100="","",SUMIFS(Krankmeldungen!$G$6:$G$1005,Krankmeldungen!$A$6:$A$1005,A100,Krankmeldungen!$C$6:$C$1005,Einstellungen!$C$5))</f>
        <v/>
      </c>
      <c r="H100" s="35">
        <f>IF(B100="","",SUMIFS(Krankmeldungen!$F$6:$F$1005,Krankmeldungen!$A$6:$A$1005,A100))</f>
        <v/>
      </c>
      <c r="I100" s="35">
        <f>IF(B100="","",COUNTIFS(Krankmeldungen!$A$6:$A$1005,A100,Krankmeldungen!$F$6:$F$1005,"&gt;0"))</f>
        <v/>
      </c>
      <c r="J100" s="40">
        <f>IF(B100="","",IF(N(D100)&gt;0,E100/D100,""))</f>
        <v/>
      </c>
      <c r="K100" s="63">
        <f>IF(J100="","",RANK(J100,$J$6:$J$205,0))</f>
        <v/>
      </c>
      <c r="L100" s="56">
        <f>IF(J100="","",IF(J100&lt;=Einstellungen!$C$7,"unauffällig",IF(J100&lt;=Einstellungen!$C$8,"auffällig","kritisch")))</f>
        <v/>
      </c>
      <c r="M100" s="64">
        <f>IF(J100="",-1,J100+ROW()/1000000000)</f>
        <v/>
      </c>
    </row>
    <row r="101">
      <c r="A101" s="61">
        <f>IF(Mitarbeiter!B101="","",Mitarbeiter!A101)</f>
        <v/>
      </c>
      <c r="B101" s="62">
        <f>IF(Mitarbeiter!B101="","",Mitarbeiter!B101)</f>
        <v/>
      </c>
      <c r="C101" s="7">
        <f>IF(Mitarbeiter!B101="","",Mitarbeiter!G101)</f>
        <v/>
      </c>
      <c r="D101" s="57">
        <f>IF(Mitarbeiter!B101="","",Mitarbeiter!H101)</f>
        <v/>
      </c>
      <c r="E101" s="58">
        <f>IF(B101="","",SUMIFS(Krankmeldungen!$G$6:$G$1005,Krankmeldungen!$A$6:$A$1005,A101))</f>
        <v/>
      </c>
      <c r="F101" s="58">
        <f>IF(B101="","",SUMIFS(Krankmeldungen!$G$6:$G$1005,Krankmeldungen!$A$6:$A$1005,A101,Krankmeldungen!$C$6:$C$1005,Einstellungen!$C$4))</f>
        <v/>
      </c>
      <c r="G101" s="58">
        <f>IF(B101="","",SUMIFS(Krankmeldungen!$G$6:$G$1005,Krankmeldungen!$A$6:$A$1005,A101,Krankmeldungen!$C$6:$C$1005,Einstellungen!$C$5))</f>
        <v/>
      </c>
      <c r="H101" s="35">
        <f>IF(B101="","",SUMIFS(Krankmeldungen!$F$6:$F$1005,Krankmeldungen!$A$6:$A$1005,A101))</f>
        <v/>
      </c>
      <c r="I101" s="35">
        <f>IF(B101="","",COUNTIFS(Krankmeldungen!$A$6:$A$1005,A101,Krankmeldungen!$F$6:$F$1005,"&gt;0"))</f>
        <v/>
      </c>
      <c r="J101" s="40">
        <f>IF(B101="","",IF(N(D101)&gt;0,E101/D101,""))</f>
        <v/>
      </c>
      <c r="K101" s="63">
        <f>IF(J101="","",RANK(J101,$J$6:$J$205,0))</f>
        <v/>
      </c>
      <c r="L101" s="56">
        <f>IF(J101="","",IF(J101&lt;=Einstellungen!$C$7,"unauffällig",IF(J101&lt;=Einstellungen!$C$8,"auffällig","kritisch")))</f>
        <v/>
      </c>
      <c r="M101" s="64">
        <f>IF(J101="",-1,J101+ROW()/1000000000)</f>
        <v/>
      </c>
    </row>
    <row r="102">
      <c r="A102" s="61">
        <f>IF(Mitarbeiter!B102="","",Mitarbeiter!A102)</f>
        <v/>
      </c>
      <c r="B102" s="62">
        <f>IF(Mitarbeiter!B102="","",Mitarbeiter!B102)</f>
        <v/>
      </c>
      <c r="C102" s="7">
        <f>IF(Mitarbeiter!B102="","",Mitarbeiter!G102)</f>
        <v/>
      </c>
      <c r="D102" s="57">
        <f>IF(Mitarbeiter!B102="","",Mitarbeiter!H102)</f>
        <v/>
      </c>
      <c r="E102" s="58">
        <f>IF(B102="","",SUMIFS(Krankmeldungen!$G$6:$G$1005,Krankmeldungen!$A$6:$A$1005,A102))</f>
        <v/>
      </c>
      <c r="F102" s="58">
        <f>IF(B102="","",SUMIFS(Krankmeldungen!$G$6:$G$1005,Krankmeldungen!$A$6:$A$1005,A102,Krankmeldungen!$C$6:$C$1005,Einstellungen!$C$4))</f>
        <v/>
      </c>
      <c r="G102" s="58">
        <f>IF(B102="","",SUMIFS(Krankmeldungen!$G$6:$G$1005,Krankmeldungen!$A$6:$A$1005,A102,Krankmeldungen!$C$6:$C$1005,Einstellungen!$C$5))</f>
        <v/>
      </c>
      <c r="H102" s="35">
        <f>IF(B102="","",SUMIFS(Krankmeldungen!$F$6:$F$1005,Krankmeldungen!$A$6:$A$1005,A102))</f>
        <v/>
      </c>
      <c r="I102" s="35">
        <f>IF(B102="","",COUNTIFS(Krankmeldungen!$A$6:$A$1005,A102,Krankmeldungen!$F$6:$F$1005,"&gt;0"))</f>
        <v/>
      </c>
      <c r="J102" s="40">
        <f>IF(B102="","",IF(N(D102)&gt;0,E102/D102,""))</f>
        <v/>
      </c>
      <c r="K102" s="63">
        <f>IF(J102="","",RANK(J102,$J$6:$J$205,0))</f>
        <v/>
      </c>
      <c r="L102" s="56">
        <f>IF(J102="","",IF(J102&lt;=Einstellungen!$C$7,"unauffällig",IF(J102&lt;=Einstellungen!$C$8,"auffällig","kritisch")))</f>
        <v/>
      </c>
      <c r="M102" s="64">
        <f>IF(J102="",-1,J102+ROW()/1000000000)</f>
        <v/>
      </c>
    </row>
    <row r="103">
      <c r="A103" s="61">
        <f>IF(Mitarbeiter!B103="","",Mitarbeiter!A103)</f>
        <v/>
      </c>
      <c r="B103" s="62">
        <f>IF(Mitarbeiter!B103="","",Mitarbeiter!B103)</f>
        <v/>
      </c>
      <c r="C103" s="7">
        <f>IF(Mitarbeiter!B103="","",Mitarbeiter!G103)</f>
        <v/>
      </c>
      <c r="D103" s="57">
        <f>IF(Mitarbeiter!B103="","",Mitarbeiter!H103)</f>
        <v/>
      </c>
      <c r="E103" s="58">
        <f>IF(B103="","",SUMIFS(Krankmeldungen!$G$6:$G$1005,Krankmeldungen!$A$6:$A$1005,A103))</f>
        <v/>
      </c>
      <c r="F103" s="58">
        <f>IF(B103="","",SUMIFS(Krankmeldungen!$G$6:$G$1005,Krankmeldungen!$A$6:$A$1005,A103,Krankmeldungen!$C$6:$C$1005,Einstellungen!$C$4))</f>
        <v/>
      </c>
      <c r="G103" s="58">
        <f>IF(B103="","",SUMIFS(Krankmeldungen!$G$6:$G$1005,Krankmeldungen!$A$6:$A$1005,A103,Krankmeldungen!$C$6:$C$1005,Einstellungen!$C$5))</f>
        <v/>
      </c>
      <c r="H103" s="35">
        <f>IF(B103="","",SUMIFS(Krankmeldungen!$F$6:$F$1005,Krankmeldungen!$A$6:$A$1005,A103))</f>
        <v/>
      </c>
      <c r="I103" s="35">
        <f>IF(B103="","",COUNTIFS(Krankmeldungen!$A$6:$A$1005,A103,Krankmeldungen!$F$6:$F$1005,"&gt;0"))</f>
        <v/>
      </c>
      <c r="J103" s="40">
        <f>IF(B103="","",IF(N(D103)&gt;0,E103/D103,""))</f>
        <v/>
      </c>
      <c r="K103" s="63">
        <f>IF(J103="","",RANK(J103,$J$6:$J$205,0))</f>
        <v/>
      </c>
      <c r="L103" s="56">
        <f>IF(J103="","",IF(J103&lt;=Einstellungen!$C$7,"unauffällig",IF(J103&lt;=Einstellungen!$C$8,"auffällig","kritisch")))</f>
        <v/>
      </c>
      <c r="M103" s="64">
        <f>IF(J103="",-1,J103+ROW()/1000000000)</f>
        <v/>
      </c>
    </row>
    <row r="104">
      <c r="A104" s="61">
        <f>IF(Mitarbeiter!B104="","",Mitarbeiter!A104)</f>
        <v/>
      </c>
      <c r="B104" s="62">
        <f>IF(Mitarbeiter!B104="","",Mitarbeiter!B104)</f>
        <v/>
      </c>
      <c r="C104" s="7">
        <f>IF(Mitarbeiter!B104="","",Mitarbeiter!G104)</f>
        <v/>
      </c>
      <c r="D104" s="57">
        <f>IF(Mitarbeiter!B104="","",Mitarbeiter!H104)</f>
        <v/>
      </c>
      <c r="E104" s="58">
        <f>IF(B104="","",SUMIFS(Krankmeldungen!$G$6:$G$1005,Krankmeldungen!$A$6:$A$1005,A104))</f>
        <v/>
      </c>
      <c r="F104" s="58">
        <f>IF(B104="","",SUMIFS(Krankmeldungen!$G$6:$G$1005,Krankmeldungen!$A$6:$A$1005,A104,Krankmeldungen!$C$6:$C$1005,Einstellungen!$C$4))</f>
        <v/>
      </c>
      <c r="G104" s="58">
        <f>IF(B104="","",SUMIFS(Krankmeldungen!$G$6:$G$1005,Krankmeldungen!$A$6:$A$1005,A104,Krankmeldungen!$C$6:$C$1005,Einstellungen!$C$5))</f>
        <v/>
      </c>
      <c r="H104" s="35">
        <f>IF(B104="","",SUMIFS(Krankmeldungen!$F$6:$F$1005,Krankmeldungen!$A$6:$A$1005,A104))</f>
        <v/>
      </c>
      <c r="I104" s="35">
        <f>IF(B104="","",COUNTIFS(Krankmeldungen!$A$6:$A$1005,A104,Krankmeldungen!$F$6:$F$1005,"&gt;0"))</f>
        <v/>
      </c>
      <c r="J104" s="40">
        <f>IF(B104="","",IF(N(D104)&gt;0,E104/D104,""))</f>
        <v/>
      </c>
      <c r="K104" s="63">
        <f>IF(J104="","",RANK(J104,$J$6:$J$205,0))</f>
        <v/>
      </c>
      <c r="L104" s="56">
        <f>IF(J104="","",IF(J104&lt;=Einstellungen!$C$7,"unauffällig",IF(J104&lt;=Einstellungen!$C$8,"auffällig","kritisch")))</f>
        <v/>
      </c>
      <c r="M104" s="64">
        <f>IF(J104="",-1,J104+ROW()/1000000000)</f>
        <v/>
      </c>
    </row>
    <row r="105">
      <c r="A105" s="61">
        <f>IF(Mitarbeiter!B105="","",Mitarbeiter!A105)</f>
        <v/>
      </c>
      <c r="B105" s="62">
        <f>IF(Mitarbeiter!B105="","",Mitarbeiter!B105)</f>
        <v/>
      </c>
      <c r="C105" s="7">
        <f>IF(Mitarbeiter!B105="","",Mitarbeiter!G105)</f>
        <v/>
      </c>
      <c r="D105" s="57">
        <f>IF(Mitarbeiter!B105="","",Mitarbeiter!H105)</f>
        <v/>
      </c>
      <c r="E105" s="58">
        <f>IF(B105="","",SUMIFS(Krankmeldungen!$G$6:$G$1005,Krankmeldungen!$A$6:$A$1005,A105))</f>
        <v/>
      </c>
      <c r="F105" s="58">
        <f>IF(B105="","",SUMIFS(Krankmeldungen!$G$6:$G$1005,Krankmeldungen!$A$6:$A$1005,A105,Krankmeldungen!$C$6:$C$1005,Einstellungen!$C$4))</f>
        <v/>
      </c>
      <c r="G105" s="58">
        <f>IF(B105="","",SUMIFS(Krankmeldungen!$G$6:$G$1005,Krankmeldungen!$A$6:$A$1005,A105,Krankmeldungen!$C$6:$C$1005,Einstellungen!$C$5))</f>
        <v/>
      </c>
      <c r="H105" s="35">
        <f>IF(B105="","",SUMIFS(Krankmeldungen!$F$6:$F$1005,Krankmeldungen!$A$6:$A$1005,A105))</f>
        <v/>
      </c>
      <c r="I105" s="35">
        <f>IF(B105="","",COUNTIFS(Krankmeldungen!$A$6:$A$1005,A105,Krankmeldungen!$F$6:$F$1005,"&gt;0"))</f>
        <v/>
      </c>
      <c r="J105" s="40">
        <f>IF(B105="","",IF(N(D105)&gt;0,E105/D105,""))</f>
        <v/>
      </c>
      <c r="K105" s="63">
        <f>IF(J105="","",RANK(J105,$J$6:$J$205,0))</f>
        <v/>
      </c>
      <c r="L105" s="56">
        <f>IF(J105="","",IF(J105&lt;=Einstellungen!$C$7,"unauffällig",IF(J105&lt;=Einstellungen!$C$8,"auffällig","kritisch")))</f>
        <v/>
      </c>
      <c r="M105" s="64">
        <f>IF(J105="",-1,J105+ROW()/1000000000)</f>
        <v/>
      </c>
    </row>
    <row r="106">
      <c r="A106" s="61">
        <f>IF(Mitarbeiter!B106="","",Mitarbeiter!A106)</f>
        <v/>
      </c>
      <c r="B106" s="62">
        <f>IF(Mitarbeiter!B106="","",Mitarbeiter!B106)</f>
        <v/>
      </c>
      <c r="C106" s="7">
        <f>IF(Mitarbeiter!B106="","",Mitarbeiter!G106)</f>
        <v/>
      </c>
      <c r="D106" s="57">
        <f>IF(Mitarbeiter!B106="","",Mitarbeiter!H106)</f>
        <v/>
      </c>
      <c r="E106" s="58">
        <f>IF(B106="","",SUMIFS(Krankmeldungen!$G$6:$G$1005,Krankmeldungen!$A$6:$A$1005,A106))</f>
        <v/>
      </c>
      <c r="F106" s="58">
        <f>IF(B106="","",SUMIFS(Krankmeldungen!$G$6:$G$1005,Krankmeldungen!$A$6:$A$1005,A106,Krankmeldungen!$C$6:$C$1005,Einstellungen!$C$4))</f>
        <v/>
      </c>
      <c r="G106" s="58">
        <f>IF(B106="","",SUMIFS(Krankmeldungen!$G$6:$G$1005,Krankmeldungen!$A$6:$A$1005,A106,Krankmeldungen!$C$6:$C$1005,Einstellungen!$C$5))</f>
        <v/>
      </c>
      <c r="H106" s="35">
        <f>IF(B106="","",SUMIFS(Krankmeldungen!$F$6:$F$1005,Krankmeldungen!$A$6:$A$1005,A106))</f>
        <v/>
      </c>
      <c r="I106" s="35">
        <f>IF(B106="","",COUNTIFS(Krankmeldungen!$A$6:$A$1005,A106,Krankmeldungen!$F$6:$F$1005,"&gt;0"))</f>
        <v/>
      </c>
      <c r="J106" s="40">
        <f>IF(B106="","",IF(N(D106)&gt;0,E106/D106,""))</f>
        <v/>
      </c>
      <c r="K106" s="63">
        <f>IF(J106="","",RANK(J106,$J$6:$J$205,0))</f>
        <v/>
      </c>
      <c r="L106" s="56">
        <f>IF(J106="","",IF(J106&lt;=Einstellungen!$C$7,"unauffällig",IF(J106&lt;=Einstellungen!$C$8,"auffällig","kritisch")))</f>
        <v/>
      </c>
      <c r="M106" s="64">
        <f>IF(J106="",-1,J106+ROW()/1000000000)</f>
        <v/>
      </c>
    </row>
    <row r="107">
      <c r="A107" s="61">
        <f>IF(Mitarbeiter!B107="","",Mitarbeiter!A107)</f>
        <v/>
      </c>
      <c r="B107" s="62">
        <f>IF(Mitarbeiter!B107="","",Mitarbeiter!B107)</f>
        <v/>
      </c>
      <c r="C107" s="7">
        <f>IF(Mitarbeiter!B107="","",Mitarbeiter!G107)</f>
        <v/>
      </c>
      <c r="D107" s="57">
        <f>IF(Mitarbeiter!B107="","",Mitarbeiter!H107)</f>
        <v/>
      </c>
      <c r="E107" s="58">
        <f>IF(B107="","",SUMIFS(Krankmeldungen!$G$6:$G$1005,Krankmeldungen!$A$6:$A$1005,A107))</f>
        <v/>
      </c>
      <c r="F107" s="58">
        <f>IF(B107="","",SUMIFS(Krankmeldungen!$G$6:$G$1005,Krankmeldungen!$A$6:$A$1005,A107,Krankmeldungen!$C$6:$C$1005,Einstellungen!$C$4))</f>
        <v/>
      </c>
      <c r="G107" s="58">
        <f>IF(B107="","",SUMIFS(Krankmeldungen!$G$6:$G$1005,Krankmeldungen!$A$6:$A$1005,A107,Krankmeldungen!$C$6:$C$1005,Einstellungen!$C$5))</f>
        <v/>
      </c>
      <c r="H107" s="35">
        <f>IF(B107="","",SUMIFS(Krankmeldungen!$F$6:$F$1005,Krankmeldungen!$A$6:$A$1005,A107))</f>
        <v/>
      </c>
      <c r="I107" s="35">
        <f>IF(B107="","",COUNTIFS(Krankmeldungen!$A$6:$A$1005,A107,Krankmeldungen!$F$6:$F$1005,"&gt;0"))</f>
        <v/>
      </c>
      <c r="J107" s="40">
        <f>IF(B107="","",IF(N(D107)&gt;0,E107/D107,""))</f>
        <v/>
      </c>
      <c r="K107" s="63">
        <f>IF(J107="","",RANK(J107,$J$6:$J$205,0))</f>
        <v/>
      </c>
      <c r="L107" s="56">
        <f>IF(J107="","",IF(J107&lt;=Einstellungen!$C$7,"unauffällig",IF(J107&lt;=Einstellungen!$C$8,"auffällig","kritisch")))</f>
        <v/>
      </c>
      <c r="M107" s="64">
        <f>IF(J107="",-1,J107+ROW()/1000000000)</f>
        <v/>
      </c>
    </row>
    <row r="108">
      <c r="A108" s="61">
        <f>IF(Mitarbeiter!B108="","",Mitarbeiter!A108)</f>
        <v/>
      </c>
      <c r="B108" s="62">
        <f>IF(Mitarbeiter!B108="","",Mitarbeiter!B108)</f>
        <v/>
      </c>
      <c r="C108" s="7">
        <f>IF(Mitarbeiter!B108="","",Mitarbeiter!G108)</f>
        <v/>
      </c>
      <c r="D108" s="57">
        <f>IF(Mitarbeiter!B108="","",Mitarbeiter!H108)</f>
        <v/>
      </c>
      <c r="E108" s="58">
        <f>IF(B108="","",SUMIFS(Krankmeldungen!$G$6:$G$1005,Krankmeldungen!$A$6:$A$1005,A108))</f>
        <v/>
      </c>
      <c r="F108" s="58">
        <f>IF(B108="","",SUMIFS(Krankmeldungen!$G$6:$G$1005,Krankmeldungen!$A$6:$A$1005,A108,Krankmeldungen!$C$6:$C$1005,Einstellungen!$C$4))</f>
        <v/>
      </c>
      <c r="G108" s="58">
        <f>IF(B108="","",SUMIFS(Krankmeldungen!$G$6:$G$1005,Krankmeldungen!$A$6:$A$1005,A108,Krankmeldungen!$C$6:$C$1005,Einstellungen!$C$5))</f>
        <v/>
      </c>
      <c r="H108" s="35">
        <f>IF(B108="","",SUMIFS(Krankmeldungen!$F$6:$F$1005,Krankmeldungen!$A$6:$A$1005,A108))</f>
        <v/>
      </c>
      <c r="I108" s="35">
        <f>IF(B108="","",COUNTIFS(Krankmeldungen!$A$6:$A$1005,A108,Krankmeldungen!$F$6:$F$1005,"&gt;0"))</f>
        <v/>
      </c>
      <c r="J108" s="40">
        <f>IF(B108="","",IF(N(D108)&gt;0,E108/D108,""))</f>
        <v/>
      </c>
      <c r="K108" s="63">
        <f>IF(J108="","",RANK(J108,$J$6:$J$205,0))</f>
        <v/>
      </c>
      <c r="L108" s="56">
        <f>IF(J108="","",IF(J108&lt;=Einstellungen!$C$7,"unauffällig",IF(J108&lt;=Einstellungen!$C$8,"auffällig","kritisch")))</f>
        <v/>
      </c>
      <c r="M108" s="64">
        <f>IF(J108="",-1,J108+ROW()/1000000000)</f>
        <v/>
      </c>
    </row>
    <row r="109">
      <c r="A109" s="61">
        <f>IF(Mitarbeiter!B109="","",Mitarbeiter!A109)</f>
        <v/>
      </c>
      <c r="B109" s="62">
        <f>IF(Mitarbeiter!B109="","",Mitarbeiter!B109)</f>
        <v/>
      </c>
      <c r="C109" s="7">
        <f>IF(Mitarbeiter!B109="","",Mitarbeiter!G109)</f>
        <v/>
      </c>
      <c r="D109" s="57">
        <f>IF(Mitarbeiter!B109="","",Mitarbeiter!H109)</f>
        <v/>
      </c>
      <c r="E109" s="58">
        <f>IF(B109="","",SUMIFS(Krankmeldungen!$G$6:$G$1005,Krankmeldungen!$A$6:$A$1005,A109))</f>
        <v/>
      </c>
      <c r="F109" s="58">
        <f>IF(B109="","",SUMIFS(Krankmeldungen!$G$6:$G$1005,Krankmeldungen!$A$6:$A$1005,A109,Krankmeldungen!$C$6:$C$1005,Einstellungen!$C$4))</f>
        <v/>
      </c>
      <c r="G109" s="58">
        <f>IF(B109="","",SUMIFS(Krankmeldungen!$G$6:$G$1005,Krankmeldungen!$A$6:$A$1005,A109,Krankmeldungen!$C$6:$C$1005,Einstellungen!$C$5))</f>
        <v/>
      </c>
      <c r="H109" s="35">
        <f>IF(B109="","",SUMIFS(Krankmeldungen!$F$6:$F$1005,Krankmeldungen!$A$6:$A$1005,A109))</f>
        <v/>
      </c>
      <c r="I109" s="35">
        <f>IF(B109="","",COUNTIFS(Krankmeldungen!$A$6:$A$1005,A109,Krankmeldungen!$F$6:$F$1005,"&gt;0"))</f>
        <v/>
      </c>
      <c r="J109" s="40">
        <f>IF(B109="","",IF(N(D109)&gt;0,E109/D109,""))</f>
        <v/>
      </c>
      <c r="K109" s="63">
        <f>IF(J109="","",RANK(J109,$J$6:$J$205,0))</f>
        <v/>
      </c>
      <c r="L109" s="56">
        <f>IF(J109="","",IF(J109&lt;=Einstellungen!$C$7,"unauffällig",IF(J109&lt;=Einstellungen!$C$8,"auffällig","kritisch")))</f>
        <v/>
      </c>
      <c r="M109" s="64">
        <f>IF(J109="",-1,J109+ROW()/1000000000)</f>
        <v/>
      </c>
    </row>
    <row r="110">
      <c r="A110" s="61">
        <f>IF(Mitarbeiter!B110="","",Mitarbeiter!A110)</f>
        <v/>
      </c>
      <c r="B110" s="62">
        <f>IF(Mitarbeiter!B110="","",Mitarbeiter!B110)</f>
        <v/>
      </c>
      <c r="C110" s="7">
        <f>IF(Mitarbeiter!B110="","",Mitarbeiter!G110)</f>
        <v/>
      </c>
      <c r="D110" s="57">
        <f>IF(Mitarbeiter!B110="","",Mitarbeiter!H110)</f>
        <v/>
      </c>
      <c r="E110" s="58">
        <f>IF(B110="","",SUMIFS(Krankmeldungen!$G$6:$G$1005,Krankmeldungen!$A$6:$A$1005,A110))</f>
        <v/>
      </c>
      <c r="F110" s="58">
        <f>IF(B110="","",SUMIFS(Krankmeldungen!$G$6:$G$1005,Krankmeldungen!$A$6:$A$1005,A110,Krankmeldungen!$C$6:$C$1005,Einstellungen!$C$4))</f>
        <v/>
      </c>
      <c r="G110" s="58">
        <f>IF(B110="","",SUMIFS(Krankmeldungen!$G$6:$G$1005,Krankmeldungen!$A$6:$A$1005,A110,Krankmeldungen!$C$6:$C$1005,Einstellungen!$C$5))</f>
        <v/>
      </c>
      <c r="H110" s="35">
        <f>IF(B110="","",SUMIFS(Krankmeldungen!$F$6:$F$1005,Krankmeldungen!$A$6:$A$1005,A110))</f>
        <v/>
      </c>
      <c r="I110" s="35">
        <f>IF(B110="","",COUNTIFS(Krankmeldungen!$A$6:$A$1005,A110,Krankmeldungen!$F$6:$F$1005,"&gt;0"))</f>
        <v/>
      </c>
      <c r="J110" s="40">
        <f>IF(B110="","",IF(N(D110)&gt;0,E110/D110,""))</f>
        <v/>
      </c>
      <c r="K110" s="63">
        <f>IF(J110="","",RANK(J110,$J$6:$J$205,0))</f>
        <v/>
      </c>
      <c r="L110" s="56">
        <f>IF(J110="","",IF(J110&lt;=Einstellungen!$C$7,"unauffällig",IF(J110&lt;=Einstellungen!$C$8,"auffällig","kritisch")))</f>
        <v/>
      </c>
      <c r="M110" s="64">
        <f>IF(J110="",-1,J110+ROW()/1000000000)</f>
        <v/>
      </c>
    </row>
    <row r="111">
      <c r="A111" s="61">
        <f>IF(Mitarbeiter!B111="","",Mitarbeiter!A111)</f>
        <v/>
      </c>
      <c r="B111" s="62">
        <f>IF(Mitarbeiter!B111="","",Mitarbeiter!B111)</f>
        <v/>
      </c>
      <c r="C111" s="7">
        <f>IF(Mitarbeiter!B111="","",Mitarbeiter!G111)</f>
        <v/>
      </c>
      <c r="D111" s="57">
        <f>IF(Mitarbeiter!B111="","",Mitarbeiter!H111)</f>
        <v/>
      </c>
      <c r="E111" s="58">
        <f>IF(B111="","",SUMIFS(Krankmeldungen!$G$6:$G$1005,Krankmeldungen!$A$6:$A$1005,A111))</f>
        <v/>
      </c>
      <c r="F111" s="58">
        <f>IF(B111="","",SUMIFS(Krankmeldungen!$G$6:$G$1005,Krankmeldungen!$A$6:$A$1005,A111,Krankmeldungen!$C$6:$C$1005,Einstellungen!$C$4))</f>
        <v/>
      </c>
      <c r="G111" s="58">
        <f>IF(B111="","",SUMIFS(Krankmeldungen!$G$6:$G$1005,Krankmeldungen!$A$6:$A$1005,A111,Krankmeldungen!$C$6:$C$1005,Einstellungen!$C$5))</f>
        <v/>
      </c>
      <c r="H111" s="35">
        <f>IF(B111="","",SUMIFS(Krankmeldungen!$F$6:$F$1005,Krankmeldungen!$A$6:$A$1005,A111))</f>
        <v/>
      </c>
      <c r="I111" s="35">
        <f>IF(B111="","",COUNTIFS(Krankmeldungen!$A$6:$A$1005,A111,Krankmeldungen!$F$6:$F$1005,"&gt;0"))</f>
        <v/>
      </c>
      <c r="J111" s="40">
        <f>IF(B111="","",IF(N(D111)&gt;0,E111/D111,""))</f>
        <v/>
      </c>
      <c r="K111" s="63">
        <f>IF(J111="","",RANK(J111,$J$6:$J$205,0))</f>
        <v/>
      </c>
      <c r="L111" s="56">
        <f>IF(J111="","",IF(J111&lt;=Einstellungen!$C$7,"unauffällig",IF(J111&lt;=Einstellungen!$C$8,"auffällig","kritisch")))</f>
        <v/>
      </c>
      <c r="M111" s="64">
        <f>IF(J111="",-1,J111+ROW()/1000000000)</f>
        <v/>
      </c>
    </row>
    <row r="112">
      <c r="A112" s="61">
        <f>IF(Mitarbeiter!B112="","",Mitarbeiter!A112)</f>
        <v/>
      </c>
      <c r="B112" s="62">
        <f>IF(Mitarbeiter!B112="","",Mitarbeiter!B112)</f>
        <v/>
      </c>
      <c r="C112" s="7">
        <f>IF(Mitarbeiter!B112="","",Mitarbeiter!G112)</f>
        <v/>
      </c>
      <c r="D112" s="57">
        <f>IF(Mitarbeiter!B112="","",Mitarbeiter!H112)</f>
        <v/>
      </c>
      <c r="E112" s="58">
        <f>IF(B112="","",SUMIFS(Krankmeldungen!$G$6:$G$1005,Krankmeldungen!$A$6:$A$1005,A112))</f>
        <v/>
      </c>
      <c r="F112" s="58">
        <f>IF(B112="","",SUMIFS(Krankmeldungen!$G$6:$G$1005,Krankmeldungen!$A$6:$A$1005,A112,Krankmeldungen!$C$6:$C$1005,Einstellungen!$C$4))</f>
        <v/>
      </c>
      <c r="G112" s="58">
        <f>IF(B112="","",SUMIFS(Krankmeldungen!$G$6:$G$1005,Krankmeldungen!$A$6:$A$1005,A112,Krankmeldungen!$C$6:$C$1005,Einstellungen!$C$5))</f>
        <v/>
      </c>
      <c r="H112" s="35">
        <f>IF(B112="","",SUMIFS(Krankmeldungen!$F$6:$F$1005,Krankmeldungen!$A$6:$A$1005,A112))</f>
        <v/>
      </c>
      <c r="I112" s="35">
        <f>IF(B112="","",COUNTIFS(Krankmeldungen!$A$6:$A$1005,A112,Krankmeldungen!$F$6:$F$1005,"&gt;0"))</f>
        <v/>
      </c>
      <c r="J112" s="40">
        <f>IF(B112="","",IF(N(D112)&gt;0,E112/D112,""))</f>
        <v/>
      </c>
      <c r="K112" s="63">
        <f>IF(J112="","",RANK(J112,$J$6:$J$205,0))</f>
        <v/>
      </c>
      <c r="L112" s="56">
        <f>IF(J112="","",IF(J112&lt;=Einstellungen!$C$7,"unauffällig",IF(J112&lt;=Einstellungen!$C$8,"auffällig","kritisch")))</f>
        <v/>
      </c>
      <c r="M112" s="64">
        <f>IF(J112="",-1,J112+ROW()/1000000000)</f>
        <v/>
      </c>
    </row>
    <row r="113">
      <c r="A113" s="61">
        <f>IF(Mitarbeiter!B113="","",Mitarbeiter!A113)</f>
        <v/>
      </c>
      <c r="B113" s="62">
        <f>IF(Mitarbeiter!B113="","",Mitarbeiter!B113)</f>
        <v/>
      </c>
      <c r="C113" s="7">
        <f>IF(Mitarbeiter!B113="","",Mitarbeiter!G113)</f>
        <v/>
      </c>
      <c r="D113" s="57">
        <f>IF(Mitarbeiter!B113="","",Mitarbeiter!H113)</f>
        <v/>
      </c>
      <c r="E113" s="58">
        <f>IF(B113="","",SUMIFS(Krankmeldungen!$G$6:$G$1005,Krankmeldungen!$A$6:$A$1005,A113))</f>
        <v/>
      </c>
      <c r="F113" s="58">
        <f>IF(B113="","",SUMIFS(Krankmeldungen!$G$6:$G$1005,Krankmeldungen!$A$6:$A$1005,A113,Krankmeldungen!$C$6:$C$1005,Einstellungen!$C$4))</f>
        <v/>
      </c>
      <c r="G113" s="58">
        <f>IF(B113="","",SUMIFS(Krankmeldungen!$G$6:$G$1005,Krankmeldungen!$A$6:$A$1005,A113,Krankmeldungen!$C$6:$C$1005,Einstellungen!$C$5))</f>
        <v/>
      </c>
      <c r="H113" s="35">
        <f>IF(B113="","",SUMIFS(Krankmeldungen!$F$6:$F$1005,Krankmeldungen!$A$6:$A$1005,A113))</f>
        <v/>
      </c>
      <c r="I113" s="35">
        <f>IF(B113="","",COUNTIFS(Krankmeldungen!$A$6:$A$1005,A113,Krankmeldungen!$F$6:$F$1005,"&gt;0"))</f>
        <v/>
      </c>
      <c r="J113" s="40">
        <f>IF(B113="","",IF(N(D113)&gt;0,E113/D113,""))</f>
        <v/>
      </c>
      <c r="K113" s="63">
        <f>IF(J113="","",RANK(J113,$J$6:$J$205,0))</f>
        <v/>
      </c>
      <c r="L113" s="56">
        <f>IF(J113="","",IF(J113&lt;=Einstellungen!$C$7,"unauffällig",IF(J113&lt;=Einstellungen!$C$8,"auffällig","kritisch")))</f>
        <v/>
      </c>
      <c r="M113" s="64">
        <f>IF(J113="",-1,J113+ROW()/1000000000)</f>
        <v/>
      </c>
    </row>
    <row r="114">
      <c r="A114" s="61">
        <f>IF(Mitarbeiter!B114="","",Mitarbeiter!A114)</f>
        <v/>
      </c>
      <c r="B114" s="62">
        <f>IF(Mitarbeiter!B114="","",Mitarbeiter!B114)</f>
        <v/>
      </c>
      <c r="C114" s="7">
        <f>IF(Mitarbeiter!B114="","",Mitarbeiter!G114)</f>
        <v/>
      </c>
      <c r="D114" s="57">
        <f>IF(Mitarbeiter!B114="","",Mitarbeiter!H114)</f>
        <v/>
      </c>
      <c r="E114" s="58">
        <f>IF(B114="","",SUMIFS(Krankmeldungen!$G$6:$G$1005,Krankmeldungen!$A$6:$A$1005,A114))</f>
        <v/>
      </c>
      <c r="F114" s="58">
        <f>IF(B114="","",SUMIFS(Krankmeldungen!$G$6:$G$1005,Krankmeldungen!$A$6:$A$1005,A114,Krankmeldungen!$C$6:$C$1005,Einstellungen!$C$4))</f>
        <v/>
      </c>
      <c r="G114" s="58">
        <f>IF(B114="","",SUMIFS(Krankmeldungen!$G$6:$G$1005,Krankmeldungen!$A$6:$A$1005,A114,Krankmeldungen!$C$6:$C$1005,Einstellungen!$C$5))</f>
        <v/>
      </c>
      <c r="H114" s="35">
        <f>IF(B114="","",SUMIFS(Krankmeldungen!$F$6:$F$1005,Krankmeldungen!$A$6:$A$1005,A114))</f>
        <v/>
      </c>
      <c r="I114" s="35">
        <f>IF(B114="","",COUNTIFS(Krankmeldungen!$A$6:$A$1005,A114,Krankmeldungen!$F$6:$F$1005,"&gt;0"))</f>
        <v/>
      </c>
      <c r="J114" s="40">
        <f>IF(B114="","",IF(N(D114)&gt;0,E114/D114,""))</f>
        <v/>
      </c>
      <c r="K114" s="63">
        <f>IF(J114="","",RANK(J114,$J$6:$J$205,0))</f>
        <v/>
      </c>
      <c r="L114" s="56">
        <f>IF(J114="","",IF(J114&lt;=Einstellungen!$C$7,"unauffällig",IF(J114&lt;=Einstellungen!$C$8,"auffällig","kritisch")))</f>
        <v/>
      </c>
      <c r="M114" s="64">
        <f>IF(J114="",-1,J114+ROW()/1000000000)</f>
        <v/>
      </c>
    </row>
    <row r="115">
      <c r="A115" s="61">
        <f>IF(Mitarbeiter!B115="","",Mitarbeiter!A115)</f>
        <v/>
      </c>
      <c r="B115" s="62">
        <f>IF(Mitarbeiter!B115="","",Mitarbeiter!B115)</f>
        <v/>
      </c>
      <c r="C115" s="7">
        <f>IF(Mitarbeiter!B115="","",Mitarbeiter!G115)</f>
        <v/>
      </c>
      <c r="D115" s="57">
        <f>IF(Mitarbeiter!B115="","",Mitarbeiter!H115)</f>
        <v/>
      </c>
      <c r="E115" s="58">
        <f>IF(B115="","",SUMIFS(Krankmeldungen!$G$6:$G$1005,Krankmeldungen!$A$6:$A$1005,A115))</f>
        <v/>
      </c>
      <c r="F115" s="58">
        <f>IF(B115="","",SUMIFS(Krankmeldungen!$G$6:$G$1005,Krankmeldungen!$A$6:$A$1005,A115,Krankmeldungen!$C$6:$C$1005,Einstellungen!$C$4))</f>
        <v/>
      </c>
      <c r="G115" s="58">
        <f>IF(B115="","",SUMIFS(Krankmeldungen!$G$6:$G$1005,Krankmeldungen!$A$6:$A$1005,A115,Krankmeldungen!$C$6:$C$1005,Einstellungen!$C$5))</f>
        <v/>
      </c>
      <c r="H115" s="35">
        <f>IF(B115="","",SUMIFS(Krankmeldungen!$F$6:$F$1005,Krankmeldungen!$A$6:$A$1005,A115))</f>
        <v/>
      </c>
      <c r="I115" s="35">
        <f>IF(B115="","",COUNTIFS(Krankmeldungen!$A$6:$A$1005,A115,Krankmeldungen!$F$6:$F$1005,"&gt;0"))</f>
        <v/>
      </c>
      <c r="J115" s="40">
        <f>IF(B115="","",IF(N(D115)&gt;0,E115/D115,""))</f>
        <v/>
      </c>
      <c r="K115" s="63">
        <f>IF(J115="","",RANK(J115,$J$6:$J$205,0))</f>
        <v/>
      </c>
      <c r="L115" s="56">
        <f>IF(J115="","",IF(J115&lt;=Einstellungen!$C$7,"unauffällig",IF(J115&lt;=Einstellungen!$C$8,"auffällig","kritisch")))</f>
        <v/>
      </c>
      <c r="M115" s="64">
        <f>IF(J115="",-1,J115+ROW()/1000000000)</f>
        <v/>
      </c>
    </row>
    <row r="116">
      <c r="A116" s="61">
        <f>IF(Mitarbeiter!B116="","",Mitarbeiter!A116)</f>
        <v/>
      </c>
      <c r="B116" s="62">
        <f>IF(Mitarbeiter!B116="","",Mitarbeiter!B116)</f>
        <v/>
      </c>
      <c r="C116" s="7">
        <f>IF(Mitarbeiter!B116="","",Mitarbeiter!G116)</f>
        <v/>
      </c>
      <c r="D116" s="57">
        <f>IF(Mitarbeiter!B116="","",Mitarbeiter!H116)</f>
        <v/>
      </c>
      <c r="E116" s="58">
        <f>IF(B116="","",SUMIFS(Krankmeldungen!$G$6:$G$1005,Krankmeldungen!$A$6:$A$1005,A116))</f>
        <v/>
      </c>
      <c r="F116" s="58">
        <f>IF(B116="","",SUMIFS(Krankmeldungen!$G$6:$G$1005,Krankmeldungen!$A$6:$A$1005,A116,Krankmeldungen!$C$6:$C$1005,Einstellungen!$C$4))</f>
        <v/>
      </c>
      <c r="G116" s="58">
        <f>IF(B116="","",SUMIFS(Krankmeldungen!$G$6:$G$1005,Krankmeldungen!$A$6:$A$1005,A116,Krankmeldungen!$C$6:$C$1005,Einstellungen!$C$5))</f>
        <v/>
      </c>
      <c r="H116" s="35">
        <f>IF(B116="","",SUMIFS(Krankmeldungen!$F$6:$F$1005,Krankmeldungen!$A$6:$A$1005,A116))</f>
        <v/>
      </c>
      <c r="I116" s="35">
        <f>IF(B116="","",COUNTIFS(Krankmeldungen!$A$6:$A$1005,A116,Krankmeldungen!$F$6:$F$1005,"&gt;0"))</f>
        <v/>
      </c>
      <c r="J116" s="40">
        <f>IF(B116="","",IF(N(D116)&gt;0,E116/D116,""))</f>
        <v/>
      </c>
      <c r="K116" s="63">
        <f>IF(J116="","",RANK(J116,$J$6:$J$205,0))</f>
        <v/>
      </c>
      <c r="L116" s="56">
        <f>IF(J116="","",IF(J116&lt;=Einstellungen!$C$7,"unauffällig",IF(J116&lt;=Einstellungen!$C$8,"auffällig","kritisch")))</f>
        <v/>
      </c>
      <c r="M116" s="64">
        <f>IF(J116="",-1,J116+ROW()/1000000000)</f>
        <v/>
      </c>
    </row>
    <row r="117">
      <c r="A117" s="61">
        <f>IF(Mitarbeiter!B117="","",Mitarbeiter!A117)</f>
        <v/>
      </c>
      <c r="B117" s="62">
        <f>IF(Mitarbeiter!B117="","",Mitarbeiter!B117)</f>
        <v/>
      </c>
      <c r="C117" s="7">
        <f>IF(Mitarbeiter!B117="","",Mitarbeiter!G117)</f>
        <v/>
      </c>
      <c r="D117" s="57">
        <f>IF(Mitarbeiter!B117="","",Mitarbeiter!H117)</f>
        <v/>
      </c>
      <c r="E117" s="58">
        <f>IF(B117="","",SUMIFS(Krankmeldungen!$G$6:$G$1005,Krankmeldungen!$A$6:$A$1005,A117))</f>
        <v/>
      </c>
      <c r="F117" s="58">
        <f>IF(B117="","",SUMIFS(Krankmeldungen!$G$6:$G$1005,Krankmeldungen!$A$6:$A$1005,A117,Krankmeldungen!$C$6:$C$1005,Einstellungen!$C$4))</f>
        <v/>
      </c>
      <c r="G117" s="58">
        <f>IF(B117="","",SUMIFS(Krankmeldungen!$G$6:$G$1005,Krankmeldungen!$A$6:$A$1005,A117,Krankmeldungen!$C$6:$C$1005,Einstellungen!$C$5))</f>
        <v/>
      </c>
      <c r="H117" s="35">
        <f>IF(B117="","",SUMIFS(Krankmeldungen!$F$6:$F$1005,Krankmeldungen!$A$6:$A$1005,A117))</f>
        <v/>
      </c>
      <c r="I117" s="35">
        <f>IF(B117="","",COUNTIFS(Krankmeldungen!$A$6:$A$1005,A117,Krankmeldungen!$F$6:$F$1005,"&gt;0"))</f>
        <v/>
      </c>
      <c r="J117" s="40">
        <f>IF(B117="","",IF(N(D117)&gt;0,E117/D117,""))</f>
        <v/>
      </c>
      <c r="K117" s="63">
        <f>IF(J117="","",RANK(J117,$J$6:$J$205,0))</f>
        <v/>
      </c>
      <c r="L117" s="56">
        <f>IF(J117="","",IF(J117&lt;=Einstellungen!$C$7,"unauffällig",IF(J117&lt;=Einstellungen!$C$8,"auffällig","kritisch")))</f>
        <v/>
      </c>
      <c r="M117" s="64">
        <f>IF(J117="",-1,J117+ROW()/1000000000)</f>
        <v/>
      </c>
    </row>
    <row r="118">
      <c r="A118" s="61">
        <f>IF(Mitarbeiter!B118="","",Mitarbeiter!A118)</f>
        <v/>
      </c>
      <c r="B118" s="62">
        <f>IF(Mitarbeiter!B118="","",Mitarbeiter!B118)</f>
        <v/>
      </c>
      <c r="C118" s="7">
        <f>IF(Mitarbeiter!B118="","",Mitarbeiter!G118)</f>
        <v/>
      </c>
      <c r="D118" s="57">
        <f>IF(Mitarbeiter!B118="","",Mitarbeiter!H118)</f>
        <v/>
      </c>
      <c r="E118" s="58">
        <f>IF(B118="","",SUMIFS(Krankmeldungen!$G$6:$G$1005,Krankmeldungen!$A$6:$A$1005,A118))</f>
        <v/>
      </c>
      <c r="F118" s="58">
        <f>IF(B118="","",SUMIFS(Krankmeldungen!$G$6:$G$1005,Krankmeldungen!$A$6:$A$1005,A118,Krankmeldungen!$C$6:$C$1005,Einstellungen!$C$4))</f>
        <v/>
      </c>
      <c r="G118" s="58">
        <f>IF(B118="","",SUMIFS(Krankmeldungen!$G$6:$G$1005,Krankmeldungen!$A$6:$A$1005,A118,Krankmeldungen!$C$6:$C$1005,Einstellungen!$C$5))</f>
        <v/>
      </c>
      <c r="H118" s="35">
        <f>IF(B118="","",SUMIFS(Krankmeldungen!$F$6:$F$1005,Krankmeldungen!$A$6:$A$1005,A118))</f>
        <v/>
      </c>
      <c r="I118" s="35">
        <f>IF(B118="","",COUNTIFS(Krankmeldungen!$A$6:$A$1005,A118,Krankmeldungen!$F$6:$F$1005,"&gt;0"))</f>
        <v/>
      </c>
      <c r="J118" s="40">
        <f>IF(B118="","",IF(N(D118)&gt;0,E118/D118,""))</f>
        <v/>
      </c>
      <c r="K118" s="63">
        <f>IF(J118="","",RANK(J118,$J$6:$J$205,0))</f>
        <v/>
      </c>
      <c r="L118" s="56">
        <f>IF(J118="","",IF(J118&lt;=Einstellungen!$C$7,"unauffällig",IF(J118&lt;=Einstellungen!$C$8,"auffällig","kritisch")))</f>
        <v/>
      </c>
      <c r="M118" s="64">
        <f>IF(J118="",-1,J118+ROW()/1000000000)</f>
        <v/>
      </c>
    </row>
    <row r="119">
      <c r="A119" s="61">
        <f>IF(Mitarbeiter!B119="","",Mitarbeiter!A119)</f>
        <v/>
      </c>
      <c r="B119" s="62">
        <f>IF(Mitarbeiter!B119="","",Mitarbeiter!B119)</f>
        <v/>
      </c>
      <c r="C119" s="7">
        <f>IF(Mitarbeiter!B119="","",Mitarbeiter!G119)</f>
        <v/>
      </c>
      <c r="D119" s="57">
        <f>IF(Mitarbeiter!B119="","",Mitarbeiter!H119)</f>
        <v/>
      </c>
      <c r="E119" s="58">
        <f>IF(B119="","",SUMIFS(Krankmeldungen!$G$6:$G$1005,Krankmeldungen!$A$6:$A$1005,A119))</f>
        <v/>
      </c>
      <c r="F119" s="58">
        <f>IF(B119="","",SUMIFS(Krankmeldungen!$G$6:$G$1005,Krankmeldungen!$A$6:$A$1005,A119,Krankmeldungen!$C$6:$C$1005,Einstellungen!$C$4))</f>
        <v/>
      </c>
      <c r="G119" s="58">
        <f>IF(B119="","",SUMIFS(Krankmeldungen!$G$6:$G$1005,Krankmeldungen!$A$6:$A$1005,A119,Krankmeldungen!$C$6:$C$1005,Einstellungen!$C$5))</f>
        <v/>
      </c>
      <c r="H119" s="35">
        <f>IF(B119="","",SUMIFS(Krankmeldungen!$F$6:$F$1005,Krankmeldungen!$A$6:$A$1005,A119))</f>
        <v/>
      </c>
      <c r="I119" s="35">
        <f>IF(B119="","",COUNTIFS(Krankmeldungen!$A$6:$A$1005,A119,Krankmeldungen!$F$6:$F$1005,"&gt;0"))</f>
        <v/>
      </c>
      <c r="J119" s="40">
        <f>IF(B119="","",IF(N(D119)&gt;0,E119/D119,""))</f>
        <v/>
      </c>
      <c r="K119" s="63">
        <f>IF(J119="","",RANK(J119,$J$6:$J$205,0))</f>
        <v/>
      </c>
      <c r="L119" s="56">
        <f>IF(J119="","",IF(J119&lt;=Einstellungen!$C$7,"unauffällig",IF(J119&lt;=Einstellungen!$C$8,"auffällig","kritisch")))</f>
        <v/>
      </c>
      <c r="M119" s="64">
        <f>IF(J119="",-1,J119+ROW()/1000000000)</f>
        <v/>
      </c>
    </row>
    <row r="120">
      <c r="A120" s="61">
        <f>IF(Mitarbeiter!B120="","",Mitarbeiter!A120)</f>
        <v/>
      </c>
      <c r="B120" s="62">
        <f>IF(Mitarbeiter!B120="","",Mitarbeiter!B120)</f>
        <v/>
      </c>
      <c r="C120" s="7">
        <f>IF(Mitarbeiter!B120="","",Mitarbeiter!G120)</f>
        <v/>
      </c>
      <c r="D120" s="57">
        <f>IF(Mitarbeiter!B120="","",Mitarbeiter!H120)</f>
        <v/>
      </c>
      <c r="E120" s="58">
        <f>IF(B120="","",SUMIFS(Krankmeldungen!$G$6:$G$1005,Krankmeldungen!$A$6:$A$1005,A120))</f>
        <v/>
      </c>
      <c r="F120" s="58">
        <f>IF(B120="","",SUMIFS(Krankmeldungen!$G$6:$G$1005,Krankmeldungen!$A$6:$A$1005,A120,Krankmeldungen!$C$6:$C$1005,Einstellungen!$C$4))</f>
        <v/>
      </c>
      <c r="G120" s="58">
        <f>IF(B120="","",SUMIFS(Krankmeldungen!$G$6:$G$1005,Krankmeldungen!$A$6:$A$1005,A120,Krankmeldungen!$C$6:$C$1005,Einstellungen!$C$5))</f>
        <v/>
      </c>
      <c r="H120" s="35">
        <f>IF(B120="","",SUMIFS(Krankmeldungen!$F$6:$F$1005,Krankmeldungen!$A$6:$A$1005,A120))</f>
        <v/>
      </c>
      <c r="I120" s="35">
        <f>IF(B120="","",COUNTIFS(Krankmeldungen!$A$6:$A$1005,A120,Krankmeldungen!$F$6:$F$1005,"&gt;0"))</f>
        <v/>
      </c>
      <c r="J120" s="40">
        <f>IF(B120="","",IF(N(D120)&gt;0,E120/D120,""))</f>
        <v/>
      </c>
      <c r="K120" s="63">
        <f>IF(J120="","",RANK(J120,$J$6:$J$205,0))</f>
        <v/>
      </c>
      <c r="L120" s="56">
        <f>IF(J120="","",IF(J120&lt;=Einstellungen!$C$7,"unauffällig",IF(J120&lt;=Einstellungen!$C$8,"auffällig","kritisch")))</f>
        <v/>
      </c>
      <c r="M120" s="64">
        <f>IF(J120="",-1,J120+ROW()/1000000000)</f>
        <v/>
      </c>
    </row>
    <row r="121">
      <c r="A121" s="61">
        <f>IF(Mitarbeiter!B121="","",Mitarbeiter!A121)</f>
        <v/>
      </c>
      <c r="B121" s="62">
        <f>IF(Mitarbeiter!B121="","",Mitarbeiter!B121)</f>
        <v/>
      </c>
      <c r="C121" s="7">
        <f>IF(Mitarbeiter!B121="","",Mitarbeiter!G121)</f>
        <v/>
      </c>
      <c r="D121" s="57">
        <f>IF(Mitarbeiter!B121="","",Mitarbeiter!H121)</f>
        <v/>
      </c>
      <c r="E121" s="58">
        <f>IF(B121="","",SUMIFS(Krankmeldungen!$G$6:$G$1005,Krankmeldungen!$A$6:$A$1005,A121))</f>
        <v/>
      </c>
      <c r="F121" s="58">
        <f>IF(B121="","",SUMIFS(Krankmeldungen!$G$6:$G$1005,Krankmeldungen!$A$6:$A$1005,A121,Krankmeldungen!$C$6:$C$1005,Einstellungen!$C$4))</f>
        <v/>
      </c>
      <c r="G121" s="58">
        <f>IF(B121="","",SUMIFS(Krankmeldungen!$G$6:$G$1005,Krankmeldungen!$A$6:$A$1005,A121,Krankmeldungen!$C$6:$C$1005,Einstellungen!$C$5))</f>
        <v/>
      </c>
      <c r="H121" s="35">
        <f>IF(B121="","",SUMIFS(Krankmeldungen!$F$6:$F$1005,Krankmeldungen!$A$6:$A$1005,A121))</f>
        <v/>
      </c>
      <c r="I121" s="35">
        <f>IF(B121="","",COUNTIFS(Krankmeldungen!$A$6:$A$1005,A121,Krankmeldungen!$F$6:$F$1005,"&gt;0"))</f>
        <v/>
      </c>
      <c r="J121" s="40">
        <f>IF(B121="","",IF(N(D121)&gt;0,E121/D121,""))</f>
        <v/>
      </c>
      <c r="K121" s="63">
        <f>IF(J121="","",RANK(J121,$J$6:$J$205,0))</f>
        <v/>
      </c>
      <c r="L121" s="56">
        <f>IF(J121="","",IF(J121&lt;=Einstellungen!$C$7,"unauffällig",IF(J121&lt;=Einstellungen!$C$8,"auffällig","kritisch")))</f>
        <v/>
      </c>
      <c r="M121" s="64">
        <f>IF(J121="",-1,J121+ROW()/1000000000)</f>
        <v/>
      </c>
    </row>
    <row r="122">
      <c r="A122" s="61">
        <f>IF(Mitarbeiter!B122="","",Mitarbeiter!A122)</f>
        <v/>
      </c>
      <c r="B122" s="62">
        <f>IF(Mitarbeiter!B122="","",Mitarbeiter!B122)</f>
        <v/>
      </c>
      <c r="C122" s="7">
        <f>IF(Mitarbeiter!B122="","",Mitarbeiter!G122)</f>
        <v/>
      </c>
      <c r="D122" s="57">
        <f>IF(Mitarbeiter!B122="","",Mitarbeiter!H122)</f>
        <v/>
      </c>
      <c r="E122" s="58">
        <f>IF(B122="","",SUMIFS(Krankmeldungen!$G$6:$G$1005,Krankmeldungen!$A$6:$A$1005,A122))</f>
        <v/>
      </c>
      <c r="F122" s="58">
        <f>IF(B122="","",SUMIFS(Krankmeldungen!$G$6:$G$1005,Krankmeldungen!$A$6:$A$1005,A122,Krankmeldungen!$C$6:$C$1005,Einstellungen!$C$4))</f>
        <v/>
      </c>
      <c r="G122" s="58">
        <f>IF(B122="","",SUMIFS(Krankmeldungen!$G$6:$G$1005,Krankmeldungen!$A$6:$A$1005,A122,Krankmeldungen!$C$6:$C$1005,Einstellungen!$C$5))</f>
        <v/>
      </c>
      <c r="H122" s="35">
        <f>IF(B122="","",SUMIFS(Krankmeldungen!$F$6:$F$1005,Krankmeldungen!$A$6:$A$1005,A122))</f>
        <v/>
      </c>
      <c r="I122" s="35">
        <f>IF(B122="","",COUNTIFS(Krankmeldungen!$A$6:$A$1005,A122,Krankmeldungen!$F$6:$F$1005,"&gt;0"))</f>
        <v/>
      </c>
      <c r="J122" s="40">
        <f>IF(B122="","",IF(N(D122)&gt;0,E122/D122,""))</f>
        <v/>
      </c>
      <c r="K122" s="63">
        <f>IF(J122="","",RANK(J122,$J$6:$J$205,0))</f>
        <v/>
      </c>
      <c r="L122" s="56">
        <f>IF(J122="","",IF(J122&lt;=Einstellungen!$C$7,"unauffällig",IF(J122&lt;=Einstellungen!$C$8,"auffällig","kritisch")))</f>
        <v/>
      </c>
      <c r="M122" s="64">
        <f>IF(J122="",-1,J122+ROW()/1000000000)</f>
        <v/>
      </c>
    </row>
    <row r="123">
      <c r="A123" s="61">
        <f>IF(Mitarbeiter!B123="","",Mitarbeiter!A123)</f>
        <v/>
      </c>
      <c r="B123" s="62">
        <f>IF(Mitarbeiter!B123="","",Mitarbeiter!B123)</f>
        <v/>
      </c>
      <c r="C123" s="7">
        <f>IF(Mitarbeiter!B123="","",Mitarbeiter!G123)</f>
        <v/>
      </c>
      <c r="D123" s="57">
        <f>IF(Mitarbeiter!B123="","",Mitarbeiter!H123)</f>
        <v/>
      </c>
      <c r="E123" s="58">
        <f>IF(B123="","",SUMIFS(Krankmeldungen!$G$6:$G$1005,Krankmeldungen!$A$6:$A$1005,A123))</f>
        <v/>
      </c>
      <c r="F123" s="58">
        <f>IF(B123="","",SUMIFS(Krankmeldungen!$G$6:$G$1005,Krankmeldungen!$A$6:$A$1005,A123,Krankmeldungen!$C$6:$C$1005,Einstellungen!$C$4))</f>
        <v/>
      </c>
      <c r="G123" s="58">
        <f>IF(B123="","",SUMIFS(Krankmeldungen!$G$6:$G$1005,Krankmeldungen!$A$6:$A$1005,A123,Krankmeldungen!$C$6:$C$1005,Einstellungen!$C$5))</f>
        <v/>
      </c>
      <c r="H123" s="35">
        <f>IF(B123="","",SUMIFS(Krankmeldungen!$F$6:$F$1005,Krankmeldungen!$A$6:$A$1005,A123))</f>
        <v/>
      </c>
      <c r="I123" s="35">
        <f>IF(B123="","",COUNTIFS(Krankmeldungen!$A$6:$A$1005,A123,Krankmeldungen!$F$6:$F$1005,"&gt;0"))</f>
        <v/>
      </c>
      <c r="J123" s="40">
        <f>IF(B123="","",IF(N(D123)&gt;0,E123/D123,""))</f>
        <v/>
      </c>
      <c r="K123" s="63">
        <f>IF(J123="","",RANK(J123,$J$6:$J$205,0))</f>
        <v/>
      </c>
      <c r="L123" s="56">
        <f>IF(J123="","",IF(J123&lt;=Einstellungen!$C$7,"unauffällig",IF(J123&lt;=Einstellungen!$C$8,"auffällig","kritisch")))</f>
        <v/>
      </c>
      <c r="M123" s="64">
        <f>IF(J123="",-1,J123+ROW()/1000000000)</f>
        <v/>
      </c>
    </row>
    <row r="124">
      <c r="A124" s="61">
        <f>IF(Mitarbeiter!B124="","",Mitarbeiter!A124)</f>
        <v/>
      </c>
      <c r="B124" s="62">
        <f>IF(Mitarbeiter!B124="","",Mitarbeiter!B124)</f>
        <v/>
      </c>
      <c r="C124" s="7">
        <f>IF(Mitarbeiter!B124="","",Mitarbeiter!G124)</f>
        <v/>
      </c>
      <c r="D124" s="57">
        <f>IF(Mitarbeiter!B124="","",Mitarbeiter!H124)</f>
        <v/>
      </c>
      <c r="E124" s="58">
        <f>IF(B124="","",SUMIFS(Krankmeldungen!$G$6:$G$1005,Krankmeldungen!$A$6:$A$1005,A124))</f>
        <v/>
      </c>
      <c r="F124" s="58">
        <f>IF(B124="","",SUMIFS(Krankmeldungen!$G$6:$G$1005,Krankmeldungen!$A$6:$A$1005,A124,Krankmeldungen!$C$6:$C$1005,Einstellungen!$C$4))</f>
        <v/>
      </c>
      <c r="G124" s="58">
        <f>IF(B124="","",SUMIFS(Krankmeldungen!$G$6:$G$1005,Krankmeldungen!$A$6:$A$1005,A124,Krankmeldungen!$C$6:$C$1005,Einstellungen!$C$5))</f>
        <v/>
      </c>
      <c r="H124" s="35">
        <f>IF(B124="","",SUMIFS(Krankmeldungen!$F$6:$F$1005,Krankmeldungen!$A$6:$A$1005,A124))</f>
        <v/>
      </c>
      <c r="I124" s="35">
        <f>IF(B124="","",COUNTIFS(Krankmeldungen!$A$6:$A$1005,A124,Krankmeldungen!$F$6:$F$1005,"&gt;0"))</f>
        <v/>
      </c>
      <c r="J124" s="40">
        <f>IF(B124="","",IF(N(D124)&gt;0,E124/D124,""))</f>
        <v/>
      </c>
      <c r="K124" s="63">
        <f>IF(J124="","",RANK(J124,$J$6:$J$205,0))</f>
        <v/>
      </c>
      <c r="L124" s="56">
        <f>IF(J124="","",IF(J124&lt;=Einstellungen!$C$7,"unauffällig",IF(J124&lt;=Einstellungen!$C$8,"auffällig","kritisch")))</f>
        <v/>
      </c>
      <c r="M124" s="64">
        <f>IF(J124="",-1,J124+ROW()/1000000000)</f>
        <v/>
      </c>
    </row>
    <row r="125">
      <c r="A125" s="61">
        <f>IF(Mitarbeiter!B125="","",Mitarbeiter!A125)</f>
        <v/>
      </c>
      <c r="B125" s="62">
        <f>IF(Mitarbeiter!B125="","",Mitarbeiter!B125)</f>
        <v/>
      </c>
      <c r="C125" s="7">
        <f>IF(Mitarbeiter!B125="","",Mitarbeiter!G125)</f>
        <v/>
      </c>
      <c r="D125" s="57">
        <f>IF(Mitarbeiter!B125="","",Mitarbeiter!H125)</f>
        <v/>
      </c>
      <c r="E125" s="58">
        <f>IF(B125="","",SUMIFS(Krankmeldungen!$G$6:$G$1005,Krankmeldungen!$A$6:$A$1005,A125))</f>
        <v/>
      </c>
      <c r="F125" s="58">
        <f>IF(B125="","",SUMIFS(Krankmeldungen!$G$6:$G$1005,Krankmeldungen!$A$6:$A$1005,A125,Krankmeldungen!$C$6:$C$1005,Einstellungen!$C$4))</f>
        <v/>
      </c>
      <c r="G125" s="58">
        <f>IF(B125="","",SUMIFS(Krankmeldungen!$G$6:$G$1005,Krankmeldungen!$A$6:$A$1005,A125,Krankmeldungen!$C$6:$C$1005,Einstellungen!$C$5))</f>
        <v/>
      </c>
      <c r="H125" s="35">
        <f>IF(B125="","",SUMIFS(Krankmeldungen!$F$6:$F$1005,Krankmeldungen!$A$6:$A$1005,A125))</f>
        <v/>
      </c>
      <c r="I125" s="35">
        <f>IF(B125="","",COUNTIFS(Krankmeldungen!$A$6:$A$1005,A125,Krankmeldungen!$F$6:$F$1005,"&gt;0"))</f>
        <v/>
      </c>
      <c r="J125" s="40">
        <f>IF(B125="","",IF(N(D125)&gt;0,E125/D125,""))</f>
        <v/>
      </c>
      <c r="K125" s="63">
        <f>IF(J125="","",RANK(J125,$J$6:$J$205,0))</f>
        <v/>
      </c>
      <c r="L125" s="56">
        <f>IF(J125="","",IF(J125&lt;=Einstellungen!$C$7,"unauffällig",IF(J125&lt;=Einstellungen!$C$8,"auffällig","kritisch")))</f>
        <v/>
      </c>
      <c r="M125" s="64">
        <f>IF(J125="",-1,J125+ROW()/1000000000)</f>
        <v/>
      </c>
    </row>
    <row r="126">
      <c r="A126" s="61">
        <f>IF(Mitarbeiter!B126="","",Mitarbeiter!A126)</f>
        <v/>
      </c>
      <c r="B126" s="62">
        <f>IF(Mitarbeiter!B126="","",Mitarbeiter!B126)</f>
        <v/>
      </c>
      <c r="C126" s="7">
        <f>IF(Mitarbeiter!B126="","",Mitarbeiter!G126)</f>
        <v/>
      </c>
      <c r="D126" s="57">
        <f>IF(Mitarbeiter!B126="","",Mitarbeiter!H126)</f>
        <v/>
      </c>
      <c r="E126" s="58">
        <f>IF(B126="","",SUMIFS(Krankmeldungen!$G$6:$G$1005,Krankmeldungen!$A$6:$A$1005,A126))</f>
        <v/>
      </c>
      <c r="F126" s="58">
        <f>IF(B126="","",SUMIFS(Krankmeldungen!$G$6:$G$1005,Krankmeldungen!$A$6:$A$1005,A126,Krankmeldungen!$C$6:$C$1005,Einstellungen!$C$4))</f>
        <v/>
      </c>
      <c r="G126" s="58">
        <f>IF(B126="","",SUMIFS(Krankmeldungen!$G$6:$G$1005,Krankmeldungen!$A$6:$A$1005,A126,Krankmeldungen!$C$6:$C$1005,Einstellungen!$C$5))</f>
        <v/>
      </c>
      <c r="H126" s="35">
        <f>IF(B126="","",SUMIFS(Krankmeldungen!$F$6:$F$1005,Krankmeldungen!$A$6:$A$1005,A126))</f>
        <v/>
      </c>
      <c r="I126" s="35">
        <f>IF(B126="","",COUNTIFS(Krankmeldungen!$A$6:$A$1005,A126,Krankmeldungen!$F$6:$F$1005,"&gt;0"))</f>
        <v/>
      </c>
      <c r="J126" s="40">
        <f>IF(B126="","",IF(N(D126)&gt;0,E126/D126,""))</f>
        <v/>
      </c>
      <c r="K126" s="63">
        <f>IF(J126="","",RANK(J126,$J$6:$J$205,0))</f>
        <v/>
      </c>
      <c r="L126" s="56">
        <f>IF(J126="","",IF(J126&lt;=Einstellungen!$C$7,"unauffällig",IF(J126&lt;=Einstellungen!$C$8,"auffällig","kritisch")))</f>
        <v/>
      </c>
      <c r="M126" s="64">
        <f>IF(J126="",-1,J126+ROW()/1000000000)</f>
        <v/>
      </c>
    </row>
    <row r="127">
      <c r="A127" s="61">
        <f>IF(Mitarbeiter!B127="","",Mitarbeiter!A127)</f>
        <v/>
      </c>
      <c r="B127" s="62">
        <f>IF(Mitarbeiter!B127="","",Mitarbeiter!B127)</f>
        <v/>
      </c>
      <c r="C127" s="7">
        <f>IF(Mitarbeiter!B127="","",Mitarbeiter!G127)</f>
        <v/>
      </c>
      <c r="D127" s="57">
        <f>IF(Mitarbeiter!B127="","",Mitarbeiter!H127)</f>
        <v/>
      </c>
      <c r="E127" s="58">
        <f>IF(B127="","",SUMIFS(Krankmeldungen!$G$6:$G$1005,Krankmeldungen!$A$6:$A$1005,A127))</f>
        <v/>
      </c>
      <c r="F127" s="58">
        <f>IF(B127="","",SUMIFS(Krankmeldungen!$G$6:$G$1005,Krankmeldungen!$A$6:$A$1005,A127,Krankmeldungen!$C$6:$C$1005,Einstellungen!$C$4))</f>
        <v/>
      </c>
      <c r="G127" s="58">
        <f>IF(B127="","",SUMIFS(Krankmeldungen!$G$6:$G$1005,Krankmeldungen!$A$6:$A$1005,A127,Krankmeldungen!$C$6:$C$1005,Einstellungen!$C$5))</f>
        <v/>
      </c>
      <c r="H127" s="35">
        <f>IF(B127="","",SUMIFS(Krankmeldungen!$F$6:$F$1005,Krankmeldungen!$A$6:$A$1005,A127))</f>
        <v/>
      </c>
      <c r="I127" s="35">
        <f>IF(B127="","",COUNTIFS(Krankmeldungen!$A$6:$A$1005,A127,Krankmeldungen!$F$6:$F$1005,"&gt;0"))</f>
        <v/>
      </c>
      <c r="J127" s="40">
        <f>IF(B127="","",IF(N(D127)&gt;0,E127/D127,""))</f>
        <v/>
      </c>
      <c r="K127" s="63">
        <f>IF(J127="","",RANK(J127,$J$6:$J$205,0))</f>
        <v/>
      </c>
      <c r="L127" s="56">
        <f>IF(J127="","",IF(J127&lt;=Einstellungen!$C$7,"unauffällig",IF(J127&lt;=Einstellungen!$C$8,"auffällig","kritisch")))</f>
        <v/>
      </c>
      <c r="M127" s="64">
        <f>IF(J127="",-1,J127+ROW()/1000000000)</f>
        <v/>
      </c>
    </row>
    <row r="128">
      <c r="A128" s="61">
        <f>IF(Mitarbeiter!B128="","",Mitarbeiter!A128)</f>
        <v/>
      </c>
      <c r="B128" s="62">
        <f>IF(Mitarbeiter!B128="","",Mitarbeiter!B128)</f>
        <v/>
      </c>
      <c r="C128" s="7">
        <f>IF(Mitarbeiter!B128="","",Mitarbeiter!G128)</f>
        <v/>
      </c>
      <c r="D128" s="57">
        <f>IF(Mitarbeiter!B128="","",Mitarbeiter!H128)</f>
        <v/>
      </c>
      <c r="E128" s="58">
        <f>IF(B128="","",SUMIFS(Krankmeldungen!$G$6:$G$1005,Krankmeldungen!$A$6:$A$1005,A128))</f>
        <v/>
      </c>
      <c r="F128" s="58">
        <f>IF(B128="","",SUMIFS(Krankmeldungen!$G$6:$G$1005,Krankmeldungen!$A$6:$A$1005,A128,Krankmeldungen!$C$6:$C$1005,Einstellungen!$C$4))</f>
        <v/>
      </c>
      <c r="G128" s="58">
        <f>IF(B128="","",SUMIFS(Krankmeldungen!$G$6:$G$1005,Krankmeldungen!$A$6:$A$1005,A128,Krankmeldungen!$C$6:$C$1005,Einstellungen!$C$5))</f>
        <v/>
      </c>
      <c r="H128" s="35">
        <f>IF(B128="","",SUMIFS(Krankmeldungen!$F$6:$F$1005,Krankmeldungen!$A$6:$A$1005,A128))</f>
        <v/>
      </c>
      <c r="I128" s="35">
        <f>IF(B128="","",COUNTIFS(Krankmeldungen!$A$6:$A$1005,A128,Krankmeldungen!$F$6:$F$1005,"&gt;0"))</f>
        <v/>
      </c>
      <c r="J128" s="40">
        <f>IF(B128="","",IF(N(D128)&gt;0,E128/D128,""))</f>
        <v/>
      </c>
      <c r="K128" s="63">
        <f>IF(J128="","",RANK(J128,$J$6:$J$205,0))</f>
        <v/>
      </c>
      <c r="L128" s="56">
        <f>IF(J128="","",IF(J128&lt;=Einstellungen!$C$7,"unauffällig",IF(J128&lt;=Einstellungen!$C$8,"auffällig","kritisch")))</f>
        <v/>
      </c>
      <c r="M128" s="64">
        <f>IF(J128="",-1,J128+ROW()/1000000000)</f>
        <v/>
      </c>
    </row>
    <row r="129">
      <c r="A129" s="61">
        <f>IF(Mitarbeiter!B129="","",Mitarbeiter!A129)</f>
        <v/>
      </c>
      <c r="B129" s="62">
        <f>IF(Mitarbeiter!B129="","",Mitarbeiter!B129)</f>
        <v/>
      </c>
      <c r="C129" s="7">
        <f>IF(Mitarbeiter!B129="","",Mitarbeiter!G129)</f>
        <v/>
      </c>
      <c r="D129" s="57">
        <f>IF(Mitarbeiter!B129="","",Mitarbeiter!H129)</f>
        <v/>
      </c>
      <c r="E129" s="58">
        <f>IF(B129="","",SUMIFS(Krankmeldungen!$G$6:$G$1005,Krankmeldungen!$A$6:$A$1005,A129))</f>
        <v/>
      </c>
      <c r="F129" s="58">
        <f>IF(B129="","",SUMIFS(Krankmeldungen!$G$6:$G$1005,Krankmeldungen!$A$6:$A$1005,A129,Krankmeldungen!$C$6:$C$1005,Einstellungen!$C$4))</f>
        <v/>
      </c>
      <c r="G129" s="58">
        <f>IF(B129="","",SUMIFS(Krankmeldungen!$G$6:$G$1005,Krankmeldungen!$A$6:$A$1005,A129,Krankmeldungen!$C$6:$C$1005,Einstellungen!$C$5))</f>
        <v/>
      </c>
      <c r="H129" s="35">
        <f>IF(B129="","",SUMIFS(Krankmeldungen!$F$6:$F$1005,Krankmeldungen!$A$6:$A$1005,A129))</f>
        <v/>
      </c>
      <c r="I129" s="35">
        <f>IF(B129="","",COUNTIFS(Krankmeldungen!$A$6:$A$1005,A129,Krankmeldungen!$F$6:$F$1005,"&gt;0"))</f>
        <v/>
      </c>
      <c r="J129" s="40">
        <f>IF(B129="","",IF(N(D129)&gt;0,E129/D129,""))</f>
        <v/>
      </c>
      <c r="K129" s="63">
        <f>IF(J129="","",RANK(J129,$J$6:$J$205,0))</f>
        <v/>
      </c>
      <c r="L129" s="56">
        <f>IF(J129="","",IF(J129&lt;=Einstellungen!$C$7,"unauffällig",IF(J129&lt;=Einstellungen!$C$8,"auffällig","kritisch")))</f>
        <v/>
      </c>
      <c r="M129" s="64">
        <f>IF(J129="",-1,J129+ROW()/1000000000)</f>
        <v/>
      </c>
    </row>
    <row r="130">
      <c r="A130" s="61">
        <f>IF(Mitarbeiter!B130="","",Mitarbeiter!A130)</f>
        <v/>
      </c>
      <c r="B130" s="62">
        <f>IF(Mitarbeiter!B130="","",Mitarbeiter!B130)</f>
        <v/>
      </c>
      <c r="C130" s="7">
        <f>IF(Mitarbeiter!B130="","",Mitarbeiter!G130)</f>
        <v/>
      </c>
      <c r="D130" s="57">
        <f>IF(Mitarbeiter!B130="","",Mitarbeiter!H130)</f>
        <v/>
      </c>
      <c r="E130" s="58">
        <f>IF(B130="","",SUMIFS(Krankmeldungen!$G$6:$G$1005,Krankmeldungen!$A$6:$A$1005,A130))</f>
        <v/>
      </c>
      <c r="F130" s="58">
        <f>IF(B130="","",SUMIFS(Krankmeldungen!$G$6:$G$1005,Krankmeldungen!$A$6:$A$1005,A130,Krankmeldungen!$C$6:$C$1005,Einstellungen!$C$4))</f>
        <v/>
      </c>
      <c r="G130" s="58">
        <f>IF(B130="","",SUMIFS(Krankmeldungen!$G$6:$G$1005,Krankmeldungen!$A$6:$A$1005,A130,Krankmeldungen!$C$6:$C$1005,Einstellungen!$C$5))</f>
        <v/>
      </c>
      <c r="H130" s="35">
        <f>IF(B130="","",SUMIFS(Krankmeldungen!$F$6:$F$1005,Krankmeldungen!$A$6:$A$1005,A130))</f>
        <v/>
      </c>
      <c r="I130" s="35">
        <f>IF(B130="","",COUNTIFS(Krankmeldungen!$A$6:$A$1005,A130,Krankmeldungen!$F$6:$F$1005,"&gt;0"))</f>
        <v/>
      </c>
      <c r="J130" s="40">
        <f>IF(B130="","",IF(N(D130)&gt;0,E130/D130,""))</f>
        <v/>
      </c>
      <c r="K130" s="63">
        <f>IF(J130="","",RANK(J130,$J$6:$J$205,0))</f>
        <v/>
      </c>
      <c r="L130" s="56">
        <f>IF(J130="","",IF(J130&lt;=Einstellungen!$C$7,"unauffällig",IF(J130&lt;=Einstellungen!$C$8,"auffällig","kritisch")))</f>
        <v/>
      </c>
      <c r="M130" s="64">
        <f>IF(J130="",-1,J130+ROW()/1000000000)</f>
        <v/>
      </c>
    </row>
    <row r="131">
      <c r="A131" s="61">
        <f>IF(Mitarbeiter!B131="","",Mitarbeiter!A131)</f>
        <v/>
      </c>
      <c r="B131" s="62">
        <f>IF(Mitarbeiter!B131="","",Mitarbeiter!B131)</f>
        <v/>
      </c>
      <c r="C131" s="7">
        <f>IF(Mitarbeiter!B131="","",Mitarbeiter!G131)</f>
        <v/>
      </c>
      <c r="D131" s="57">
        <f>IF(Mitarbeiter!B131="","",Mitarbeiter!H131)</f>
        <v/>
      </c>
      <c r="E131" s="58">
        <f>IF(B131="","",SUMIFS(Krankmeldungen!$G$6:$G$1005,Krankmeldungen!$A$6:$A$1005,A131))</f>
        <v/>
      </c>
      <c r="F131" s="58">
        <f>IF(B131="","",SUMIFS(Krankmeldungen!$G$6:$G$1005,Krankmeldungen!$A$6:$A$1005,A131,Krankmeldungen!$C$6:$C$1005,Einstellungen!$C$4))</f>
        <v/>
      </c>
      <c r="G131" s="58">
        <f>IF(B131="","",SUMIFS(Krankmeldungen!$G$6:$G$1005,Krankmeldungen!$A$6:$A$1005,A131,Krankmeldungen!$C$6:$C$1005,Einstellungen!$C$5))</f>
        <v/>
      </c>
      <c r="H131" s="35">
        <f>IF(B131="","",SUMIFS(Krankmeldungen!$F$6:$F$1005,Krankmeldungen!$A$6:$A$1005,A131))</f>
        <v/>
      </c>
      <c r="I131" s="35">
        <f>IF(B131="","",COUNTIFS(Krankmeldungen!$A$6:$A$1005,A131,Krankmeldungen!$F$6:$F$1005,"&gt;0"))</f>
        <v/>
      </c>
      <c r="J131" s="40">
        <f>IF(B131="","",IF(N(D131)&gt;0,E131/D131,""))</f>
        <v/>
      </c>
      <c r="K131" s="63">
        <f>IF(J131="","",RANK(J131,$J$6:$J$205,0))</f>
        <v/>
      </c>
      <c r="L131" s="56">
        <f>IF(J131="","",IF(J131&lt;=Einstellungen!$C$7,"unauffällig",IF(J131&lt;=Einstellungen!$C$8,"auffällig","kritisch")))</f>
        <v/>
      </c>
      <c r="M131" s="64">
        <f>IF(J131="",-1,J131+ROW()/1000000000)</f>
        <v/>
      </c>
    </row>
    <row r="132">
      <c r="A132" s="61">
        <f>IF(Mitarbeiter!B132="","",Mitarbeiter!A132)</f>
        <v/>
      </c>
      <c r="B132" s="62">
        <f>IF(Mitarbeiter!B132="","",Mitarbeiter!B132)</f>
        <v/>
      </c>
      <c r="C132" s="7">
        <f>IF(Mitarbeiter!B132="","",Mitarbeiter!G132)</f>
        <v/>
      </c>
      <c r="D132" s="57">
        <f>IF(Mitarbeiter!B132="","",Mitarbeiter!H132)</f>
        <v/>
      </c>
      <c r="E132" s="58">
        <f>IF(B132="","",SUMIFS(Krankmeldungen!$G$6:$G$1005,Krankmeldungen!$A$6:$A$1005,A132))</f>
        <v/>
      </c>
      <c r="F132" s="58">
        <f>IF(B132="","",SUMIFS(Krankmeldungen!$G$6:$G$1005,Krankmeldungen!$A$6:$A$1005,A132,Krankmeldungen!$C$6:$C$1005,Einstellungen!$C$4))</f>
        <v/>
      </c>
      <c r="G132" s="58">
        <f>IF(B132="","",SUMIFS(Krankmeldungen!$G$6:$G$1005,Krankmeldungen!$A$6:$A$1005,A132,Krankmeldungen!$C$6:$C$1005,Einstellungen!$C$5))</f>
        <v/>
      </c>
      <c r="H132" s="35">
        <f>IF(B132="","",SUMIFS(Krankmeldungen!$F$6:$F$1005,Krankmeldungen!$A$6:$A$1005,A132))</f>
        <v/>
      </c>
      <c r="I132" s="35">
        <f>IF(B132="","",COUNTIFS(Krankmeldungen!$A$6:$A$1005,A132,Krankmeldungen!$F$6:$F$1005,"&gt;0"))</f>
        <v/>
      </c>
      <c r="J132" s="40">
        <f>IF(B132="","",IF(N(D132)&gt;0,E132/D132,""))</f>
        <v/>
      </c>
      <c r="K132" s="63">
        <f>IF(J132="","",RANK(J132,$J$6:$J$205,0))</f>
        <v/>
      </c>
      <c r="L132" s="56">
        <f>IF(J132="","",IF(J132&lt;=Einstellungen!$C$7,"unauffällig",IF(J132&lt;=Einstellungen!$C$8,"auffällig","kritisch")))</f>
        <v/>
      </c>
      <c r="M132" s="64">
        <f>IF(J132="",-1,J132+ROW()/1000000000)</f>
        <v/>
      </c>
    </row>
    <row r="133">
      <c r="A133" s="61">
        <f>IF(Mitarbeiter!B133="","",Mitarbeiter!A133)</f>
        <v/>
      </c>
      <c r="B133" s="62">
        <f>IF(Mitarbeiter!B133="","",Mitarbeiter!B133)</f>
        <v/>
      </c>
      <c r="C133" s="7">
        <f>IF(Mitarbeiter!B133="","",Mitarbeiter!G133)</f>
        <v/>
      </c>
      <c r="D133" s="57">
        <f>IF(Mitarbeiter!B133="","",Mitarbeiter!H133)</f>
        <v/>
      </c>
      <c r="E133" s="58">
        <f>IF(B133="","",SUMIFS(Krankmeldungen!$G$6:$G$1005,Krankmeldungen!$A$6:$A$1005,A133))</f>
        <v/>
      </c>
      <c r="F133" s="58">
        <f>IF(B133="","",SUMIFS(Krankmeldungen!$G$6:$G$1005,Krankmeldungen!$A$6:$A$1005,A133,Krankmeldungen!$C$6:$C$1005,Einstellungen!$C$4))</f>
        <v/>
      </c>
      <c r="G133" s="58">
        <f>IF(B133="","",SUMIFS(Krankmeldungen!$G$6:$G$1005,Krankmeldungen!$A$6:$A$1005,A133,Krankmeldungen!$C$6:$C$1005,Einstellungen!$C$5))</f>
        <v/>
      </c>
      <c r="H133" s="35">
        <f>IF(B133="","",SUMIFS(Krankmeldungen!$F$6:$F$1005,Krankmeldungen!$A$6:$A$1005,A133))</f>
        <v/>
      </c>
      <c r="I133" s="35">
        <f>IF(B133="","",COUNTIFS(Krankmeldungen!$A$6:$A$1005,A133,Krankmeldungen!$F$6:$F$1005,"&gt;0"))</f>
        <v/>
      </c>
      <c r="J133" s="40">
        <f>IF(B133="","",IF(N(D133)&gt;0,E133/D133,""))</f>
        <v/>
      </c>
      <c r="K133" s="63">
        <f>IF(J133="","",RANK(J133,$J$6:$J$205,0))</f>
        <v/>
      </c>
      <c r="L133" s="56">
        <f>IF(J133="","",IF(J133&lt;=Einstellungen!$C$7,"unauffällig",IF(J133&lt;=Einstellungen!$C$8,"auffällig","kritisch")))</f>
        <v/>
      </c>
      <c r="M133" s="64">
        <f>IF(J133="",-1,J133+ROW()/1000000000)</f>
        <v/>
      </c>
    </row>
    <row r="134">
      <c r="A134" s="61">
        <f>IF(Mitarbeiter!B134="","",Mitarbeiter!A134)</f>
        <v/>
      </c>
      <c r="B134" s="62">
        <f>IF(Mitarbeiter!B134="","",Mitarbeiter!B134)</f>
        <v/>
      </c>
      <c r="C134" s="7">
        <f>IF(Mitarbeiter!B134="","",Mitarbeiter!G134)</f>
        <v/>
      </c>
      <c r="D134" s="57">
        <f>IF(Mitarbeiter!B134="","",Mitarbeiter!H134)</f>
        <v/>
      </c>
      <c r="E134" s="58">
        <f>IF(B134="","",SUMIFS(Krankmeldungen!$G$6:$G$1005,Krankmeldungen!$A$6:$A$1005,A134))</f>
        <v/>
      </c>
      <c r="F134" s="58">
        <f>IF(B134="","",SUMIFS(Krankmeldungen!$G$6:$G$1005,Krankmeldungen!$A$6:$A$1005,A134,Krankmeldungen!$C$6:$C$1005,Einstellungen!$C$4))</f>
        <v/>
      </c>
      <c r="G134" s="58">
        <f>IF(B134="","",SUMIFS(Krankmeldungen!$G$6:$G$1005,Krankmeldungen!$A$6:$A$1005,A134,Krankmeldungen!$C$6:$C$1005,Einstellungen!$C$5))</f>
        <v/>
      </c>
      <c r="H134" s="35">
        <f>IF(B134="","",SUMIFS(Krankmeldungen!$F$6:$F$1005,Krankmeldungen!$A$6:$A$1005,A134))</f>
        <v/>
      </c>
      <c r="I134" s="35">
        <f>IF(B134="","",COUNTIFS(Krankmeldungen!$A$6:$A$1005,A134,Krankmeldungen!$F$6:$F$1005,"&gt;0"))</f>
        <v/>
      </c>
      <c r="J134" s="40">
        <f>IF(B134="","",IF(N(D134)&gt;0,E134/D134,""))</f>
        <v/>
      </c>
      <c r="K134" s="63">
        <f>IF(J134="","",RANK(J134,$J$6:$J$205,0))</f>
        <v/>
      </c>
      <c r="L134" s="56">
        <f>IF(J134="","",IF(J134&lt;=Einstellungen!$C$7,"unauffällig",IF(J134&lt;=Einstellungen!$C$8,"auffällig","kritisch")))</f>
        <v/>
      </c>
      <c r="M134" s="64">
        <f>IF(J134="",-1,J134+ROW()/1000000000)</f>
        <v/>
      </c>
    </row>
    <row r="135">
      <c r="A135" s="61">
        <f>IF(Mitarbeiter!B135="","",Mitarbeiter!A135)</f>
        <v/>
      </c>
      <c r="B135" s="62">
        <f>IF(Mitarbeiter!B135="","",Mitarbeiter!B135)</f>
        <v/>
      </c>
      <c r="C135" s="7">
        <f>IF(Mitarbeiter!B135="","",Mitarbeiter!G135)</f>
        <v/>
      </c>
      <c r="D135" s="57">
        <f>IF(Mitarbeiter!B135="","",Mitarbeiter!H135)</f>
        <v/>
      </c>
      <c r="E135" s="58">
        <f>IF(B135="","",SUMIFS(Krankmeldungen!$G$6:$G$1005,Krankmeldungen!$A$6:$A$1005,A135))</f>
        <v/>
      </c>
      <c r="F135" s="58">
        <f>IF(B135="","",SUMIFS(Krankmeldungen!$G$6:$G$1005,Krankmeldungen!$A$6:$A$1005,A135,Krankmeldungen!$C$6:$C$1005,Einstellungen!$C$4))</f>
        <v/>
      </c>
      <c r="G135" s="58">
        <f>IF(B135="","",SUMIFS(Krankmeldungen!$G$6:$G$1005,Krankmeldungen!$A$6:$A$1005,A135,Krankmeldungen!$C$6:$C$1005,Einstellungen!$C$5))</f>
        <v/>
      </c>
      <c r="H135" s="35">
        <f>IF(B135="","",SUMIFS(Krankmeldungen!$F$6:$F$1005,Krankmeldungen!$A$6:$A$1005,A135))</f>
        <v/>
      </c>
      <c r="I135" s="35">
        <f>IF(B135="","",COUNTIFS(Krankmeldungen!$A$6:$A$1005,A135,Krankmeldungen!$F$6:$F$1005,"&gt;0"))</f>
        <v/>
      </c>
      <c r="J135" s="40">
        <f>IF(B135="","",IF(N(D135)&gt;0,E135/D135,""))</f>
        <v/>
      </c>
      <c r="K135" s="63">
        <f>IF(J135="","",RANK(J135,$J$6:$J$205,0))</f>
        <v/>
      </c>
      <c r="L135" s="56">
        <f>IF(J135="","",IF(J135&lt;=Einstellungen!$C$7,"unauffällig",IF(J135&lt;=Einstellungen!$C$8,"auffällig","kritisch")))</f>
        <v/>
      </c>
      <c r="M135" s="64">
        <f>IF(J135="",-1,J135+ROW()/1000000000)</f>
        <v/>
      </c>
    </row>
    <row r="136">
      <c r="A136" s="61">
        <f>IF(Mitarbeiter!B136="","",Mitarbeiter!A136)</f>
        <v/>
      </c>
      <c r="B136" s="62">
        <f>IF(Mitarbeiter!B136="","",Mitarbeiter!B136)</f>
        <v/>
      </c>
      <c r="C136" s="7">
        <f>IF(Mitarbeiter!B136="","",Mitarbeiter!G136)</f>
        <v/>
      </c>
      <c r="D136" s="57">
        <f>IF(Mitarbeiter!B136="","",Mitarbeiter!H136)</f>
        <v/>
      </c>
      <c r="E136" s="58">
        <f>IF(B136="","",SUMIFS(Krankmeldungen!$G$6:$G$1005,Krankmeldungen!$A$6:$A$1005,A136))</f>
        <v/>
      </c>
      <c r="F136" s="58">
        <f>IF(B136="","",SUMIFS(Krankmeldungen!$G$6:$G$1005,Krankmeldungen!$A$6:$A$1005,A136,Krankmeldungen!$C$6:$C$1005,Einstellungen!$C$4))</f>
        <v/>
      </c>
      <c r="G136" s="58">
        <f>IF(B136="","",SUMIFS(Krankmeldungen!$G$6:$G$1005,Krankmeldungen!$A$6:$A$1005,A136,Krankmeldungen!$C$6:$C$1005,Einstellungen!$C$5))</f>
        <v/>
      </c>
      <c r="H136" s="35">
        <f>IF(B136="","",SUMIFS(Krankmeldungen!$F$6:$F$1005,Krankmeldungen!$A$6:$A$1005,A136))</f>
        <v/>
      </c>
      <c r="I136" s="35">
        <f>IF(B136="","",COUNTIFS(Krankmeldungen!$A$6:$A$1005,A136,Krankmeldungen!$F$6:$F$1005,"&gt;0"))</f>
        <v/>
      </c>
      <c r="J136" s="40">
        <f>IF(B136="","",IF(N(D136)&gt;0,E136/D136,""))</f>
        <v/>
      </c>
      <c r="K136" s="63">
        <f>IF(J136="","",RANK(J136,$J$6:$J$205,0))</f>
        <v/>
      </c>
      <c r="L136" s="56">
        <f>IF(J136="","",IF(J136&lt;=Einstellungen!$C$7,"unauffällig",IF(J136&lt;=Einstellungen!$C$8,"auffällig","kritisch")))</f>
        <v/>
      </c>
      <c r="M136" s="64">
        <f>IF(J136="",-1,J136+ROW()/1000000000)</f>
        <v/>
      </c>
    </row>
    <row r="137">
      <c r="A137" s="61">
        <f>IF(Mitarbeiter!B137="","",Mitarbeiter!A137)</f>
        <v/>
      </c>
      <c r="B137" s="62">
        <f>IF(Mitarbeiter!B137="","",Mitarbeiter!B137)</f>
        <v/>
      </c>
      <c r="C137" s="7">
        <f>IF(Mitarbeiter!B137="","",Mitarbeiter!G137)</f>
        <v/>
      </c>
      <c r="D137" s="57">
        <f>IF(Mitarbeiter!B137="","",Mitarbeiter!H137)</f>
        <v/>
      </c>
      <c r="E137" s="58">
        <f>IF(B137="","",SUMIFS(Krankmeldungen!$G$6:$G$1005,Krankmeldungen!$A$6:$A$1005,A137))</f>
        <v/>
      </c>
      <c r="F137" s="58">
        <f>IF(B137="","",SUMIFS(Krankmeldungen!$G$6:$G$1005,Krankmeldungen!$A$6:$A$1005,A137,Krankmeldungen!$C$6:$C$1005,Einstellungen!$C$4))</f>
        <v/>
      </c>
      <c r="G137" s="58">
        <f>IF(B137="","",SUMIFS(Krankmeldungen!$G$6:$G$1005,Krankmeldungen!$A$6:$A$1005,A137,Krankmeldungen!$C$6:$C$1005,Einstellungen!$C$5))</f>
        <v/>
      </c>
      <c r="H137" s="35">
        <f>IF(B137="","",SUMIFS(Krankmeldungen!$F$6:$F$1005,Krankmeldungen!$A$6:$A$1005,A137))</f>
        <v/>
      </c>
      <c r="I137" s="35">
        <f>IF(B137="","",COUNTIFS(Krankmeldungen!$A$6:$A$1005,A137,Krankmeldungen!$F$6:$F$1005,"&gt;0"))</f>
        <v/>
      </c>
      <c r="J137" s="40">
        <f>IF(B137="","",IF(N(D137)&gt;0,E137/D137,""))</f>
        <v/>
      </c>
      <c r="K137" s="63">
        <f>IF(J137="","",RANK(J137,$J$6:$J$205,0))</f>
        <v/>
      </c>
      <c r="L137" s="56">
        <f>IF(J137="","",IF(J137&lt;=Einstellungen!$C$7,"unauffällig",IF(J137&lt;=Einstellungen!$C$8,"auffällig","kritisch")))</f>
        <v/>
      </c>
      <c r="M137" s="64">
        <f>IF(J137="",-1,J137+ROW()/1000000000)</f>
        <v/>
      </c>
    </row>
    <row r="138">
      <c r="A138" s="61">
        <f>IF(Mitarbeiter!B138="","",Mitarbeiter!A138)</f>
        <v/>
      </c>
      <c r="B138" s="62">
        <f>IF(Mitarbeiter!B138="","",Mitarbeiter!B138)</f>
        <v/>
      </c>
      <c r="C138" s="7">
        <f>IF(Mitarbeiter!B138="","",Mitarbeiter!G138)</f>
        <v/>
      </c>
      <c r="D138" s="57">
        <f>IF(Mitarbeiter!B138="","",Mitarbeiter!H138)</f>
        <v/>
      </c>
      <c r="E138" s="58">
        <f>IF(B138="","",SUMIFS(Krankmeldungen!$G$6:$G$1005,Krankmeldungen!$A$6:$A$1005,A138))</f>
        <v/>
      </c>
      <c r="F138" s="58">
        <f>IF(B138="","",SUMIFS(Krankmeldungen!$G$6:$G$1005,Krankmeldungen!$A$6:$A$1005,A138,Krankmeldungen!$C$6:$C$1005,Einstellungen!$C$4))</f>
        <v/>
      </c>
      <c r="G138" s="58">
        <f>IF(B138="","",SUMIFS(Krankmeldungen!$G$6:$G$1005,Krankmeldungen!$A$6:$A$1005,A138,Krankmeldungen!$C$6:$C$1005,Einstellungen!$C$5))</f>
        <v/>
      </c>
      <c r="H138" s="35">
        <f>IF(B138="","",SUMIFS(Krankmeldungen!$F$6:$F$1005,Krankmeldungen!$A$6:$A$1005,A138))</f>
        <v/>
      </c>
      <c r="I138" s="35">
        <f>IF(B138="","",COUNTIFS(Krankmeldungen!$A$6:$A$1005,A138,Krankmeldungen!$F$6:$F$1005,"&gt;0"))</f>
        <v/>
      </c>
      <c r="J138" s="40">
        <f>IF(B138="","",IF(N(D138)&gt;0,E138/D138,""))</f>
        <v/>
      </c>
      <c r="K138" s="63">
        <f>IF(J138="","",RANK(J138,$J$6:$J$205,0))</f>
        <v/>
      </c>
      <c r="L138" s="56">
        <f>IF(J138="","",IF(J138&lt;=Einstellungen!$C$7,"unauffällig",IF(J138&lt;=Einstellungen!$C$8,"auffällig","kritisch")))</f>
        <v/>
      </c>
      <c r="M138" s="64">
        <f>IF(J138="",-1,J138+ROW()/1000000000)</f>
        <v/>
      </c>
    </row>
    <row r="139">
      <c r="A139" s="61">
        <f>IF(Mitarbeiter!B139="","",Mitarbeiter!A139)</f>
        <v/>
      </c>
      <c r="B139" s="62">
        <f>IF(Mitarbeiter!B139="","",Mitarbeiter!B139)</f>
        <v/>
      </c>
      <c r="C139" s="7">
        <f>IF(Mitarbeiter!B139="","",Mitarbeiter!G139)</f>
        <v/>
      </c>
      <c r="D139" s="57">
        <f>IF(Mitarbeiter!B139="","",Mitarbeiter!H139)</f>
        <v/>
      </c>
      <c r="E139" s="58">
        <f>IF(B139="","",SUMIFS(Krankmeldungen!$G$6:$G$1005,Krankmeldungen!$A$6:$A$1005,A139))</f>
        <v/>
      </c>
      <c r="F139" s="58">
        <f>IF(B139="","",SUMIFS(Krankmeldungen!$G$6:$G$1005,Krankmeldungen!$A$6:$A$1005,A139,Krankmeldungen!$C$6:$C$1005,Einstellungen!$C$4))</f>
        <v/>
      </c>
      <c r="G139" s="58">
        <f>IF(B139="","",SUMIFS(Krankmeldungen!$G$6:$G$1005,Krankmeldungen!$A$6:$A$1005,A139,Krankmeldungen!$C$6:$C$1005,Einstellungen!$C$5))</f>
        <v/>
      </c>
      <c r="H139" s="35">
        <f>IF(B139="","",SUMIFS(Krankmeldungen!$F$6:$F$1005,Krankmeldungen!$A$6:$A$1005,A139))</f>
        <v/>
      </c>
      <c r="I139" s="35">
        <f>IF(B139="","",COUNTIFS(Krankmeldungen!$A$6:$A$1005,A139,Krankmeldungen!$F$6:$F$1005,"&gt;0"))</f>
        <v/>
      </c>
      <c r="J139" s="40">
        <f>IF(B139="","",IF(N(D139)&gt;0,E139/D139,""))</f>
        <v/>
      </c>
      <c r="K139" s="63">
        <f>IF(J139="","",RANK(J139,$J$6:$J$205,0))</f>
        <v/>
      </c>
      <c r="L139" s="56">
        <f>IF(J139="","",IF(J139&lt;=Einstellungen!$C$7,"unauffällig",IF(J139&lt;=Einstellungen!$C$8,"auffällig","kritisch")))</f>
        <v/>
      </c>
      <c r="M139" s="64">
        <f>IF(J139="",-1,J139+ROW()/1000000000)</f>
        <v/>
      </c>
    </row>
    <row r="140">
      <c r="A140" s="61">
        <f>IF(Mitarbeiter!B140="","",Mitarbeiter!A140)</f>
        <v/>
      </c>
      <c r="B140" s="62">
        <f>IF(Mitarbeiter!B140="","",Mitarbeiter!B140)</f>
        <v/>
      </c>
      <c r="C140" s="7">
        <f>IF(Mitarbeiter!B140="","",Mitarbeiter!G140)</f>
        <v/>
      </c>
      <c r="D140" s="57">
        <f>IF(Mitarbeiter!B140="","",Mitarbeiter!H140)</f>
        <v/>
      </c>
      <c r="E140" s="58">
        <f>IF(B140="","",SUMIFS(Krankmeldungen!$G$6:$G$1005,Krankmeldungen!$A$6:$A$1005,A140))</f>
        <v/>
      </c>
      <c r="F140" s="58">
        <f>IF(B140="","",SUMIFS(Krankmeldungen!$G$6:$G$1005,Krankmeldungen!$A$6:$A$1005,A140,Krankmeldungen!$C$6:$C$1005,Einstellungen!$C$4))</f>
        <v/>
      </c>
      <c r="G140" s="58">
        <f>IF(B140="","",SUMIFS(Krankmeldungen!$G$6:$G$1005,Krankmeldungen!$A$6:$A$1005,A140,Krankmeldungen!$C$6:$C$1005,Einstellungen!$C$5))</f>
        <v/>
      </c>
      <c r="H140" s="35">
        <f>IF(B140="","",SUMIFS(Krankmeldungen!$F$6:$F$1005,Krankmeldungen!$A$6:$A$1005,A140))</f>
        <v/>
      </c>
      <c r="I140" s="35">
        <f>IF(B140="","",COUNTIFS(Krankmeldungen!$A$6:$A$1005,A140,Krankmeldungen!$F$6:$F$1005,"&gt;0"))</f>
        <v/>
      </c>
      <c r="J140" s="40">
        <f>IF(B140="","",IF(N(D140)&gt;0,E140/D140,""))</f>
        <v/>
      </c>
      <c r="K140" s="63">
        <f>IF(J140="","",RANK(J140,$J$6:$J$205,0))</f>
        <v/>
      </c>
      <c r="L140" s="56">
        <f>IF(J140="","",IF(J140&lt;=Einstellungen!$C$7,"unauffällig",IF(J140&lt;=Einstellungen!$C$8,"auffällig","kritisch")))</f>
        <v/>
      </c>
      <c r="M140" s="64">
        <f>IF(J140="",-1,J140+ROW()/1000000000)</f>
        <v/>
      </c>
    </row>
    <row r="141">
      <c r="A141" s="61">
        <f>IF(Mitarbeiter!B141="","",Mitarbeiter!A141)</f>
        <v/>
      </c>
      <c r="B141" s="62">
        <f>IF(Mitarbeiter!B141="","",Mitarbeiter!B141)</f>
        <v/>
      </c>
      <c r="C141" s="7">
        <f>IF(Mitarbeiter!B141="","",Mitarbeiter!G141)</f>
        <v/>
      </c>
      <c r="D141" s="57">
        <f>IF(Mitarbeiter!B141="","",Mitarbeiter!H141)</f>
        <v/>
      </c>
      <c r="E141" s="58">
        <f>IF(B141="","",SUMIFS(Krankmeldungen!$G$6:$G$1005,Krankmeldungen!$A$6:$A$1005,A141))</f>
        <v/>
      </c>
      <c r="F141" s="58">
        <f>IF(B141="","",SUMIFS(Krankmeldungen!$G$6:$G$1005,Krankmeldungen!$A$6:$A$1005,A141,Krankmeldungen!$C$6:$C$1005,Einstellungen!$C$4))</f>
        <v/>
      </c>
      <c r="G141" s="58">
        <f>IF(B141="","",SUMIFS(Krankmeldungen!$G$6:$G$1005,Krankmeldungen!$A$6:$A$1005,A141,Krankmeldungen!$C$6:$C$1005,Einstellungen!$C$5))</f>
        <v/>
      </c>
      <c r="H141" s="35">
        <f>IF(B141="","",SUMIFS(Krankmeldungen!$F$6:$F$1005,Krankmeldungen!$A$6:$A$1005,A141))</f>
        <v/>
      </c>
      <c r="I141" s="35">
        <f>IF(B141="","",COUNTIFS(Krankmeldungen!$A$6:$A$1005,A141,Krankmeldungen!$F$6:$F$1005,"&gt;0"))</f>
        <v/>
      </c>
      <c r="J141" s="40">
        <f>IF(B141="","",IF(N(D141)&gt;0,E141/D141,""))</f>
        <v/>
      </c>
      <c r="K141" s="63">
        <f>IF(J141="","",RANK(J141,$J$6:$J$205,0))</f>
        <v/>
      </c>
      <c r="L141" s="56">
        <f>IF(J141="","",IF(J141&lt;=Einstellungen!$C$7,"unauffällig",IF(J141&lt;=Einstellungen!$C$8,"auffällig","kritisch")))</f>
        <v/>
      </c>
      <c r="M141" s="64">
        <f>IF(J141="",-1,J141+ROW()/1000000000)</f>
        <v/>
      </c>
    </row>
    <row r="142">
      <c r="A142" s="61">
        <f>IF(Mitarbeiter!B142="","",Mitarbeiter!A142)</f>
        <v/>
      </c>
      <c r="B142" s="62">
        <f>IF(Mitarbeiter!B142="","",Mitarbeiter!B142)</f>
        <v/>
      </c>
      <c r="C142" s="7">
        <f>IF(Mitarbeiter!B142="","",Mitarbeiter!G142)</f>
        <v/>
      </c>
      <c r="D142" s="57">
        <f>IF(Mitarbeiter!B142="","",Mitarbeiter!H142)</f>
        <v/>
      </c>
      <c r="E142" s="58">
        <f>IF(B142="","",SUMIFS(Krankmeldungen!$G$6:$G$1005,Krankmeldungen!$A$6:$A$1005,A142))</f>
        <v/>
      </c>
      <c r="F142" s="58">
        <f>IF(B142="","",SUMIFS(Krankmeldungen!$G$6:$G$1005,Krankmeldungen!$A$6:$A$1005,A142,Krankmeldungen!$C$6:$C$1005,Einstellungen!$C$4))</f>
        <v/>
      </c>
      <c r="G142" s="58">
        <f>IF(B142="","",SUMIFS(Krankmeldungen!$G$6:$G$1005,Krankmeldungen!$A$6:$A$1005,A142,Krankmeldungen!$C$6:$C$1005,Einstellungen!$C$5))</f>
        <v/>
      </c>
      <c r="H142" s="35">
        <f>IF(B142="","",SUMIFS(Krankmeldungen!$F$6:$F$1005,Krankmeldungen!$A$6:$A$1005,A142))</f>
        <v/>
      </c>
      <c r="I142" s="35">
        <f>IF(B142="","",COUNTIFS(Krankmeldungen!$A$6:$A$1005,A142,Krankmeldungen!$F$6:$F$1005,"&gt;0"))</f>
        <v/>
      </c>
      <c r="J142" s="40">
        <f>IF(B142="","",IF(N(D142)&gt;0,E142/D142,""))</f>
        <v/>
      </c>
      <c r="K142" s="63">
        <f>IF(J142="","",RANK(J142,$J$6:$J$205,0))</f>
        <v/>
      </c>
      <c r="L142" s="56">
        <f>IF(J142="","",IF(J142&lt;=Einstellungen!$C$7,"unauffällig",IF(J142&lt;=Einstellungen!$C$8,"auffällig","kritisch")))</f>
        <v/>
      </c>
      <c r="M142" s="64">
        <f>IF(J142="",-1,J142+ROW()/1000000000)</f>
        <v/>
      </c>
    </row>
    <row r="143">
      <c r="A143" s="61">
        <f>IF(Mitarbeiter!B143="","",Mitarbeiter!A143)</f>
        <v/>
      </c>
      <c r="B143" s="62">
        <f>IF(Mitarbeiter!B143="","",Mitarbeiter!B143)</f>
        <v/>
      </c>
      <c r="C143" s="7">
        <f>IF(Mitarbeiter!B143="","",Mitarbeiter!G143)</f>
        <v/>
      </c>
      <c r="D143" s="57">
        <f>IF(Mitarbeiter!B143="","",Mitarbeiter!H143)</f>
        <v/>
      </c>
      <c r="E143" s="58">
        <f>IF(B143="","",SUMIFS(Krankmeldungen!$G$6:$G$1005,Krankmeldungen!$A$6:$A$1005,A143))</f>
        <v/>
      </c>
      <c r="F143" s="58">
        <f>IF(B143="","",SUMIFS(Krankmeldungen!$G$6:$G$1005,Krankmeldungen!$A$6:$A$1005,A143,Krankmeldungen!$C$6:$C$1005,Einstellungen!$C$4))</f>
        <v/>
      </c>
      <c r="G143" s="58">
        <f>IF(B143="","",SUMIFS(Krankmeldungen!$G$6:$G$1005,Krankmeldungen!$A$6:$A$1005,A143,Krankmeldungen!$C$6:$C$1005,Einstellungen!$C$5))</f>
        <v/>
      </c>
      <c r="H143" s="35">
        <f>IF(B143="","",SUMIFS(Krankmeldungen!$F$6:$F$1005,Krankmeldungen!$A$6:$A$1005,A143))</f>
        <v/>
      </c>
      <c r="I143" s="35">
        <f>IF(B143="","",COUNTIFS(Krankmeldungen!$A$6:$A$1005,A143,Krankmeldungen!$F$6:$F$1005,"&gt;0"))</f>
        <v/>
      </c>
      <c r="J143" s="40">
        <f>IF(B143="","",IF(N(D143)&gt;0,E143/D143,""))</f>
        <v/>
      </c>
      <c r="K143" s="63">
        <f>IF(J143="","",RANK(J143,$J$6:$J$205,0))</f>
        <v/>
      </c>
      <c r="L143" s="56">
        <f>IF(J143="","",IF(J143&lt;=Einstellungen!$C$7,"unauffällig",IF(J143&lt;=Einstellungen!$C$8,"auffällig","kritisch")))</f>
        <v/>
      </c>
      <c r="M143" s="64">
        <f>IF(J143="",-1,J143+ROW()/1000000000)</f>
        <v/>
      </c>
    </row>
    <row r="144">
      <c r="A144" s="61">
        <f>IF(Mitarbeiter!B144="","",Mitarbeiter!A144)</f>
        <v/>
      </c>
      <c r="B144" s="62">
        <f>IF(Mitarbeiter!B144="","",Mitarbeiter!B144)</f>
        <v/>
      </c>
      <c r="C144" s="7">
        <f>IF(Mitarbeiter!B144="","",Mitarbeiter!G144)</f>
        <v/>
      </c>
      <c r="D144" s="57">
        <f>IF(Mitarbeiter!B144="","",Mitarbeiter!H144)</f>
        <v/>
      </c>
      <c r="E144" s="58">
        <f>IF(B144="","",SUMIFS(Krankmeldungen!$G$6:$G$1005,Krankmeldungen!$A$6:$A$1005,A144))</f>
        <v/>
      </c>
      <c r="F144" s="58">
        <f>IF(B144="","",SUMIFS(Krankmeldungen!$G$6:$G$1005,Krankmeldungen!$A$6:$A$1005,A144,Krankmeldungen!$C$6:$C$1005,Einstellungen!$C$4))</f>
        <v/>
      </c>
      <c r="G144" s="58">
        <f>IF(B144="","",SUMIFS(Krankmeldungen!$G$6:$G$1005,Krankmeldungen!$A$6:$A$1005,A144,Krankmeldungen!$C$6:$C$1005,Einstellungen!$C$5))</f>
        <v/>
      </c>
      <c r="H144" s="35">
        <f>IF(B144="","",SUMIFS(Krankmeldungen!$F$6:$F$1005,Krankmeldungen!$A$6:$A$1005,A144))</f>
        <v/>
      </c>
      <c r="I144" s="35">
        <f>IF(B144="","",COUNTIFS(Krankmeldungen!$A$6:$A$1005,A144,Krankmeldungen!$F$6:$F$1005,"&gt;0"))</f>
        <v/>
      </c>
      <c r="J144" s="40">
        <f>IF(B144="","",IF(N(D144)&gt;0,E144/D144,""))</f>
        <v/>
      </c>
      <c r="K144" s="63">
        <f>IF(J144="","",RANK(J144,$J$6:$J$205,0))</f>
        <v/>
      </c>
      <c r="L144" s="56">
        <f>IF(J144="","",IF(J144&lt;=Einstellungen!$C$7,"unauffällig",IF(J144&lt;=Einstellungen!$C$8,"auffällig","kritisch")))</f>
        <v/>
      </c>
      <c r="M144" s="64">
        <f>IF(J144="",-1,J144+ROW()/1000000000)</f>
        <v/>
      </c>
    </row>
    <row r="145">
      <c r="A145" s="61">
        <f>IF(Mitarbeiter!B145="","",Mitarbeiter!A145)</f>
        <v/>
      </c>
      <c r="B145" s="62">
        <f>IF(Mitarbeiter!B145="","",Mitarbeiter!B145)</f>
        <v/>
      </c>
      <c r="C145" s="7">
        <f>IF(Mitarbeiter!B145="","",Mitarbeiter!G145)</f>
        <v/>
      </c>
      <c r="D145" s="57">
        <f>IF(Mitarbeiter!B145="","",Mitarbeiter!H145)</f>
        <v/>
      </c>
      <c r="E145" s="58">
        <f>IF(B145="","",SUMIFS(Krankmeldungen!$G$6:$G$1005,Krankmeldungen!$A$6:$A$1005,A145))</f>
        <v/>
      </c>
      <c r="F145" s="58">
        <f>IF(B145="","",SUMIFS(Krankmeldungen!$G$6:$G$1005,Krankmeldungen!$A$6:$A$1005,A145,Krankmeldungen!$C$6:$C$1005,Einstellungen!$C$4))</f>
        <v/>
      </c>
      <c r="G145" s="58">
        <f>IF(B145="","",SUMIFS(Krankmeldungen!$G$6:$G$1005,Krankmeldungen!$A$6:$A$1005,A145,Krankmeldungen!$C$6:$C$1005,Einstellungen!$C$5))</f>
        <v/>
      </c>
      <c r="H145" s="35">
        <f>IF(B145="","",SUMIFS(Krankmeldungen!$F$6:$F$1005,Krankmeldungen!$A$6:$A$1005,A145))</f>
        <v/>
      </c>
      <c r="I145" s="35">
        <f>IF(B145="","",COUNTIFS(Krankmeldungen!$A$6:$A$1005,A145,Krankmeldungen!$F$6:$F$1005,"&gt;0"))</f>
        <v/>
      </c>
      <c r="J145" s="40">
        <f>IF(B145="","",IF(N(D145)&gt;0,E145/D145,""))</f>
        <v/>
      </c>
      <c r="K145" s="63">
        <f>IF(J145="","",RANK(J145,$J$6:$J$205,0))</f>
        <v/>
      </c>
      <c r="L145" s="56">
        <f>IF(J145="","",IF(J145&lt;=Einstellungen!$C$7,"unauffällig",IF(J145&lt;=Einstellungen!$C$8,"auffällig","kritisch")))</f>
        <v/>
      </c>
      <c r="M145" s="64">
        <f>IF(J145="",-1,J145+ROW()/1000000000)</f>
        <v/>
      </c>
    </row>
    <row r="146">
      <c r="A146" s="61">
        <f>IF(Mitarbeiter!B146="","",Mitarbeiter!A146)</f>
        <v/>
      </c>
      <c r="B146" s="62">
        <f>IF(Mitarbeiter!B146="","",Mitarbeiter!B146)</f>
        <v/>
      </c>
      <c r="C146" s="7">
        <f>IF(Mitarbeiter!B146="","",Mitarbeiter!G146)</f>
        <v/>
      </c>
      <c r="D146" s="57">
        <f>IF(Mitarbeiter!B146="","",Mitarbeiter!H146)</f>
        <v/>
      </c>
      <c r="E146" s="58">
        <f>IF(B146="","",SUMIFS(Krankmeldungen!$G$6:$G$1005,Krankmeldungen!$A$6:$A$1005,A146))</f>
        <v/>
      </c>
      <c r="F146" s="58">
        <f>IF(B146="","",SUMIFS(Krankmeldungen!$G$6:$G$1005,Krankmeldungen!$A$6:$A$1005,A146,Krankmeldungen!$C$6:$C$1005,Einstellungen!$C$4))</f>
        <v/>
      </c>
      <c r="G146" s="58">
        <f>IF(B146="","",SUMIFS(Krankmeldungen!$G$6:$G$1005,Krankmeldungen!$A$6:$A$1005,A146,Krankmeldungen!$C$6:$C$1005,Einstellungen!$C$5))</f>
        <v/>
      </c>
      <c r="H146" s="35">
        <f>IF(B146="","",SUMIFS(Krankmeldungen!$F$6:$F$1005,Krankmeldungen!$A$6:$A$1005,A146))</f>
        <v/>
      </c>
      <c r="I146" s="35">
        <f>IF(B146="","",COUNTIFS(Krankmeldungen!$A$6:$A$1005,A146,Krankmeldungen!$F$6:$F$1005,"&gt;0"))</f>
        <v/>
      </c>
      <c r="J146" s="40">
        <f>IF(B146="","",IF(N(D146)&gt;0,E146/D146,""))</f>
        <v/>
      </c>
      <c r="K146" s="63">
        <f>IF(J146="","",RANK(J146,$J$6:$J$205,0))</f>
        <v/>
      </c>
      <c r="L146" s="56">
        <f>IF(J146="","",IF(J146&lt;=Einstellungen!$C$7,"unauffällig",IF(J146&lt;=Einstellungen!$C$8,"auffällig","kritisch")))</f>
        <v/>
      </c>
      <c r="M146" s="64">
        <f>IF(J146="",-1,J146+ROW()/1000000000)</f>
        <v/>
      </c>
    </row>
    <row r="147">
      <c r="A147" s="61">
        <f>IF(Mitarbeiter!B147="","",Mitarbeiter!A147)</f>
        <v/>
      </c>
      <c r="B147" s="62">
        <f>IF(Mitarbeiter!B147="","",Mitarbeiter!B147)</f>
        <v/>
      </c>
      <c r="C147" s="7">
        <f>IF(Mitarbeiter!B147="","",Mitarbeiter!G147)</f>
        <v/>
      </c>
      <c r="D147" s="57">
        <f>IF(Mitarbeiter!B147="","",Mitarbeiter!H147)</f>
        <v/>
      </c>
      <c r="E147" s="58">
        <f>IF(B147="","",SUMIFS(Krankmeldungen!$G$6:$G$1005,Krankmeldungen!$A$6:$A$1005,A147))</f>
        <v/>
      </c>
      <c r="F147" s="58">
        <f>IF(B147="","",SUMIFS(Krankmeldungen!$G$6:$G$1005,Krankmeldungen!$A$6:$A$1005,A147,Krankmeldungen!$C$6:$C$1005,Einstellungen!$C$4))</f>
        <v/>
      </c>
      <c r="G147" s="58">
        <f>IF(B147="","",SUMIFS(Krankmeldungen!$G$6:$G$1005,Krankmeldungen!$A$6:$A$1005,A147,Krankmeldungen!$C$6:$C$1005,Einstellungen!$C$5))</f>
        <v/>
      </c>
      <c r="H147" s="35">
        <f>IF(B147="","",SUMIFS(Krankmeldungen!$F$6:$F$1005,Krankmeldungen!$A$6:$A$1005,A147))</f>
        <v/>
      </c>
      <c r="I147" s="35">
        <f>IF(B147="","",COUNTIFS(Krankmeldungen!$A$6:$A$1005,A147,Krankmeldungen!$F$6:$F$1005,"&gt;0"))</f>
        <v/>
      </c>
      <c r="J147" s="40">
        <f>IF(B147="","",IF(N(D147)&gt;0,E147/D147,""))</f>
        <v/>
      </c>
      <c r="K147" s="63">
        <f>IF(J147="","",RANK(J147,$J$6:$J$205,0))</f>
        <v/>
      </c>
      <c r="L147" s="56">
        <f>IF(J147="","",IF(J147&lt;=Einstellungen!$C$7,"unauffällig",IF(J147&lt;=Einstellungen!$C$8,"auffällig","kritisch")))</f>
        <v/>
      </c>
      <c r="M147" s="64">
        <f>IF(J147="",-1,J147+ROW()/1000000000)</f>
        <v/>
      </c>
    </row>
    <row r="148">
      <c r="A148" s="61">
        <f>IF(Mitarbeiter!B148="","",Mitarbeiter!A148)</f>
        <v/>
      </c>
      <c r="B148" s="62">
        <f>IF(Mitarbeiter!B148="","",Mitarbeiter!B148)</f>
        <v/>
      </c>
      <c r="C148" s="7">
        <f>IF(Mitarbeiter!B148="","",Mitarbeiter!G148)</f>
        <v/>
      </c>
      <c r="D148" s="57">
        <f>IF(Mitarbeiter!B148="","",Mitarbeiter!H148)</f>
        <v/>
      </c>
      <c r="E148" s="58">
        <f>IF(B148="","",SUMIFS(Krankmeldungen!$G$6:$G$1005,Krankmeldungen!$A$6:$A$1005,A148))</f>
        <v/>
      </c>
      <c r="F148" s="58">
        <f>IF(B148="","",SUMIFS(Krankmeldungen!$G$6:$G$1005,Krankmeldungen!$A$6:$A$1005,A148,Krankmeldungen!$C$6:$C$1005,Einstellungen!$C$4))</f>
        <v/>
      </c>
      <c r="G148" s="58">
        <f>IF(B148="","",SUMIFS(Krankmeldungen!$G$6:$G$1005,Krankmeldungen!$A$6:$A$1005,A148,Krankmeldungen!$C$6:$C$1005,Einstellungen!$C$5))</f>
        <v/>
      </c>
      <c r="H148" s="35">
        <f>IF(B148="","",SUMIFS(Krankmeldungen!$F$6:$F$1005,Krankmeldungen!$A$6:$A$1005,A148))</f>
        <v/>
      </c>
      <c r="I148" s="35">
        <f>IF(B148="","",COUNTIFS(Krankmeldungen!$A$6:$A$1005,A148,Krankmeldungen!$F$6:$F$1005,"&gt;0"))</f>
        <v/>
      </c>
      <c r="J148" s="40">
        <f>IF(B148="","",IF(N(D148)&gt;0,E148/D148,""))</f>
        <v/>
      </c>
      <c r="K148" s="63">
        <f>IF(J148="","",RANK(J148,$J$6:$J$205,0))</f>
        <v/>
      </c>
      <c r="L148" s="56">
        <f>IF(J148="","",IF(J148&lt;=Einstellungen!$C$7,"unauffällig",IF(J148&lt;=Einstellungen!$C$8,"auffällig","kritisch")))</f>
        <v/>
      </c>
      <c r="M148" s="64">
        <f>IF(J148="",-1,J148+ROW()/1000000000)</f>
        <v/>
      </c>
    </row>
    <row r="149">
      <c r="A149" s="61">
        <f>IF(Mitarbeiter!B149="","",Mitarbeiter!A149)</f>
        <v/>
      </c>
      <c r="B149" s="62">
        <f>IF(Mitarbeiter!B149="","",Mitarbeiter!B149)</f>
        <v/>
      </c>
      <c r="C149" s="7">
        <f>IF(Mitarbeiter!B149="","",Mitarbeiter!G149)</f>
        <v/>
      </c>
      <c r="D149" s="57">
        <f>IF(Mitarbeiter!B149="","",Mitarbeiter!H149)</f>
        <v/>
      </c>
      <c r="E149" s="58">
        <f>IF(B149="","",SUMIFS(Krankmeldungen!$G$6:$G$1005,Krankmeldungen!$A$6:$A$1005,A149))</f>
        <v/>
      </c>
      <c r="F149" s="58">
        <f>IF(B149="","",SUMIFS(Krankmeldungen!$G$6:$G$1005,Krankmeldungen!$A$6:$A$1005,A149,Krankmeldungen!$C$6:$C$1005,Einstellungen!$C$4))</f>
        <v/>
      </c>
      <c r="G149" s="58">
        <f>IF(B149="","",SUMIFS(Krankmeldungen!$G$6:$G$1005,Krankmeldungen!$A$6:$A$1005,A149,Krankmeldungen!$C$6:$C$1005,Einstellungen!$C$5))</f>
        <v/>
      </c>
      <c r="H149" s="35">
        <f>IF(B149="","",SUMIFS(Krankmeldungen!$F$6:$F$1005,Krankmeldungen!$A$6:$A$1005,A149))</f>
        <v/>
      </c>
      <c r="I149" s="35">
        <f>IF(B149="","",COUNTIFS(Krankmeldungen!$A$6:$A$1005,A149,Krankmeldungen!$F$6:$F$1005,"&gt;0"))</f>
        <v/>
      </c>
      <c r="J149" s="40">
        <f>IF(B149="","",IF(N(D149)&gt;0,E149/D149,""))</f>
        <v/>
      </c>
      <c r="K149" s="63">
        <f>IF(J149="","",RANK(J149,$J$6:$J$205,0))</f>
        <v/>
      </c>
      <c r="L149" s="56">
        <f>IF(J149="","",IF(J149&lt;=Einstellungen!$C$7,"unauffällig",IF(J149&lt;=Einstellungen!$C$8,"auffällig","kritisch")))</f>
        <v/>
      </c>
      <c r="M149" s="64">
        <f>IF(J149="",-1,J149+ROW()/1000000000)</f>
        <v/>
      </c>
    </row>
    <row r="150">
      <c r="A150" s="61">
        <f>IF(Mitarbeiter!B150="","",Mitarbeiter!A150)</f>
        <v/>
      </c>
      <c r="B150" s="62">
        <f>IF(Mitarbeiter!B150="","",Mitarbeiter!B150)</f>
        <v/>
      </c>
      <c r="C150" s="7">
        <f>IF(Mitarbeiter!B150="","",Mitarbeiter!G150)</f>
        <v/>
      </c>
      <c r="D150" s="57">
        <f>IF(Mitarbeiter!B150="","",Mitarbeiter!H150)</f>
        <v/>
      </c>
      <c r="E150" s="58">
        <f>IF(B150="","",SUMIFS(Krankmeldungen!$G$6:$G$1005,Krankmeldungen!$A$6:$A$1005,A150))</f>
        <v/>
      </c>
      <c r="F150" s="58">
        <f>IF(B150="","",SUMIFS(Krankmeldungen!$G$6:$G$1005,Krankmeldungen!$A$6:$A$1005,A150,Krankmeldungen!$C$6:$C$1005,Einstellungen!$C$4))</f>
        <v/>
      </c>
      <c r="G150" s="58">
        <f>IF(B150="","",SUMIFS(Krankmeldungen!$G$6:$G$1005,Krankmeldungen!$A$6:$A$1005,A150,Krankmeldungen!$C$6:$C$1005,Einstellungen!$C$5))</f>
        <v/>
      </c>
      <c r="H150" s="35">
        <f>IF(B150="","",SUMIFS(Krankmeldungen!$F$6:$F$1005,Krankmeldungen!$A$6:$A$1005,A150))</f>
        <v/>
      </c>
      <c r="I150" s="35">
        <f>IF(B150="","",COUNTIFS(Krankmeldungen!$A$6:$A$1005,A150,Krankmeldungen!$F$6:$F$1005,"&gt;0"))</f>
        <v/>
      </c>
      <c r="J150" s="40">
        <f>IF(B150="","",IF(N(D150)&gt;0,E150/D150,""))</f>
        <v/>
      </c>
      <c r="K150" s="63">
        <f>IF(J150="","",RANK(J150,$J$6:$J$205,0))</f>
        <v/>
      </c>
      <c r="L150" s="56">
        <f>IF(J150="","",IF(J150&lt;=Einstellungen!$C$7,"unauffällig",IF(J150&lt;=Einstellungen!$C$8,"auffällig","kritisch")))</f>
        <v/>
      </c>
      <c r="M150" s="64">
        <f>IF(J150="",-1,J150+ROW()/1000000000)</f>
        <v/>
      </c>
    </row>
    <row r="151">
      <c r="A151" s="61">
        <f>IF(Mitarbeiter!B151="","",Mitarbeiter!A151)</f>
        <v/>
      </c>
      <c r="B151" s="62">
        <f>IF(Mitarbeiter!B151="","",Mitarbeiter!B151)</f>
        <v/>
      </c>
      <c r="C151" s="7">
        <f>IF(Mitarbeiter!B151="","",Mitarbeiter!G151)</f>
        <v/>
      </c>
      <c r="D151" s="57">
        <f>IF(Mitarbeiter!B151="","",Mitarbeiter!H151)</f>
        <v/>
      </c>
      <c r="E151" s="58">
        <f>IF(B151="","",SUMIFS(Krankmeldungen!$G$6:$G$1005,Krankmeldungen!$A$6:$A$1005,A151))</f>
        <v/>
      </c>
      <c r="F151" s="58">
        <f>IF(B151="","",SUMIFS(Krankmeldungen!$G$6:$G$1005,Krankmeldungen!$A$6:$A$1005,A151,Krankmeldungen!$C$6:$C$1005,Einstellungen!$C$4))</f>
        <v/>
      </c>
      <c r="G151" s="58">
        <f>IF(B151="","",SUMIFS(Krankmeldungen!$G$6:$G$1005,Krankmeldungen!$A$6:$A$1005,A151,Krankmeldungen!$C$6:$C$1005,Einstellungen!$C$5))</f>
        <v/>
      </c>
      <c r="H151" s="35">
        <f>IF(B151="","",SUMIFS(Krankmeldungen!$F$6:$F$1005,Krankmeldungen!$A$6:$A$1005,A151))</f>
        <v/>
      </c>
      <c r="I151" s="35">
        <f>IF(B151="","",COUNTIFS(Krankmeldungen!$A$6:$A$1005,A151,Krankmeldungen!$F$6:$F$1005,"&gt;0"))</f>
        <v/>
      </c>
      <c r="J151" s="40">
        <f>IF(B151="","",IF(N(D151)&gt;0,E151/D151,""))</f>
        <v/>
      </c>
      <c r="K151" s="63">
        <f>IF(J151="","",RANK(J151,$J$6:$J$205,0))</f>
        <v/>
      </c>
      <c r="L151" s="56">
        <f>IF(J151="","",IF(J151&lt;=Einstellungen!$C$7,"unauffällig",IF(J151&lt;=Einstellungen!$C$8,"auffällig","kritisch")))</f>
        <v/>
      </c>
      <c r="M151" s="64">
        <f>IF(J151="",-1,J151+ROW()/1000000000)</f>
        <v/>
      </c>
    </row>
    <row r="152">
      <c r="A152" s="61">
        <f>IF(Mitarbeiter!B152="","",Mitarbeiter!A152)</f>
        <v/>
      </c>
      <c r="B152" s="62">
        <f>IF(Mitarbeiter!B152="","",Mitarbeiter!B152)</f>
        <v/>
      </c>
      <c r="C152" s="7">
        <f>IF(Mitarbeiter!B152="","",Mitarbeiter!G152)</f>
        <v/>
      </c>
      <c r="D152" s="57">
        <f>IF(Mitarbeiter!B152="","",Mitarbeiter!H152)</f>
        <v/>
      </c>
      <c r="E152" s="58">
        <f>IF(B152="","",SUMIFS(Krankmeldungen!$G$6:$G$1005,Krankmeldungen!$A$6:$A$1005,A152))</f>
        <v/>
      </c>
      <c r="F152" s="58">
        <f>IF(B152="","",SUMIFS(Krankmeldungen!$G$6:$G$1005,Krankmeldungen!$A$6:$A$1005,A152,Krankmeldungen!$C$6:$C$1005,Einstellungen!$C$4))</f>
        <v/>
      </c>
      <c r="G152" s="58">
        <f>IF(B152="","",SUMIFS(Krankmeldungen!$G$6:$G$1005,Krankmeldungen!$A$6:$A$1005,A152,Krankmeldungen!$C$6:$C$1005,Einstellungen!$C$5))</f>
        <v/>
      </c>
      <c r="H152" s="35">
        <f>IF(B152="","",SUMIFS(Krankmeldungen!$F$6:$F$1005,Krankmeldungen!$A$6:$A$1005,A152))</f>
        <v/>
      </c>
      <c r="I152" s="35">
        <f>IF(B152="","",COUNTIFS(Krankmeldungen!$A$6:$A$1005,A152,Krankmeldungen!$F$6:$F$1005,"&gt;0"))</f>
        <v/>
      </c>
      <c r="J152" s="40">
        <f>IF(B152="","",IF(N(D152)&gt;0,E152/D152,""))</f>
        <v/>
      </c>
      <c r="K152" s="63">
        <f>IF(J152="","",RANK(J152,$J$6:$J$205,0))</f>
        <v/>
      </c>
      <c r="L152" s="56">
        <f>IF(J152="","",IF(J152&lt;=Einstellungen!$C$7,"unauffällig",IF(J152&lt;=Einstellungen!$C$8,"auffällig","kritisch")))</f>
        <v/>
      </c>
      <c r="M152" s="64">
        <f>IF(J152="",-1,J152+ROW()/1000000000)</f>
        <v/>
      </c>
    </row>
    <row r="153">
      <c r="A153" s="61">
        <f>IF(Mitarbeiter!B153="","",Mitarbeiter!A153)</f>
        <v/>
      </c>
      <c r="B153" s="62">
        <f>IF(Mitarbeiter!B153="","",Mitarbeiter!B153)</f>
        <v/>
      </c>
      <c r="C153" s="7">
        <f>IF(Mitarbeiter!B153="","",Mitarbeiter!G153)</f>
        <v/>
      </c>
      <c r="D153" s="57">
        <f>IF(Mitarbeiter!B153="","",Mitarbeiter!H153)</f>
        <v/>
      </c>
      <c r="E153" s="58">
        <f>IF(B153="","",SUMIFS(Krankmeldungen!$G$6:$G$1005,Krankmeldungen!$A$6:$A$1005,A153))</f>
        <v/>
      </c>
      <c r="F153" s="58">
        <f>IF(B153="","",SUMIFS(Krankmeldungen!$G$6:$G$1005,Krankmeldungen!$A$6:$A$1005,A153,Krankmeldungen!$C$6:$C$1005,Einstellungen!$C$4))</f>
        <v/>
      </c>
      <c r="G153" s="58">
        <f>IF(B153="","",SUMIFS(Krankmeldungen!$G$6:$G$1005,Krankmeldungen!$A$6:$A$1005,A153,Krankmeldungen!$C$6:$C$1005,Einstellungen!$C$5))</f>
        <v/>
      </c>
      <c r="H153" s="35">
        <f>IF(B153="","",SUMIFS(Krankmeldungen!$F$6:$F$1005,Krankmeldungen!$A$6:$A$1005,A153))</f>
        <v/>
      </c>
      <c r="I153" s="35">
        <f>IF(B153="","",COUNTIFS(Krankmeldungen!$A$6:$A$1005,A153,Krankmeldungen!$F$6:$F$1005,"&gt;0"))</f>
        <v/>
      </c>
      <c r="J153" s="40">
        <f>IF(B153="","",IF(N(D153)&gt;0,E153/D153,""))</f>
        <v/>
      </c>
      <c r="K153" s="63">
        <f>IF(J153="","",RANK(J153,$J$6:$J$205,0))</f>
        <v/>
      </c>
      <c r="L153" s="56">
        <f>IF(J153="","",IF(J153&lt;=Einstellungen!$C$7,"unauffällig",IF(J153&lt;=Einstellungen!$C$8,"auffällig","kritisch")))</f>
        <v/>
      </c>
      <c r="M153" s="64">
        <f>IF(J153="",-1,J153+ROW()/1000000000)</f>
        <v/>
      </c>
    </row>
    <row r="154">
      <c r="A154" s="61">
        <f>IF(Mitarbeiter!B154="","",Mitarbeiter!A154)</f>
        <v/>
      </c>
      <c r="B154" s="62">
        <f>IF(Mitarbeiter!B154="","",Mitarbeiter!B154)</f>
        <v/>
      </c>
      <c r="C154" s="7">
        <f>IF(Mitarbeiter!B154="","",Mitarbeiter!G154)</f>
        <v/>
      </c>
      <c r="D154" s="57">
        <f>IF(Mitarbeiter!B154="","",Mitarbeiter!H154)</f>
        <v/>
      </c>
      <c r="E154" s="58">
        <f>IF(B154="","",SUMIFS(Krankmeldungen!$G$6:$G$1005,Krankmeldungen!$A$6:$A$1005,A154))</f>
        <v/>
      </c>
      <c r="F154" s="58">
        <f>IF(B154="","",SUMIFS(Krankmeldungen!$G$6:$G$1005,Krankmeldungen!$A$6:$A$1005,A154,Krankmeldungen!$C$6:$C$1005,Einstellungen!$C$4))</f>
        <v/>
      </c>
      <c r="G154" s="58">
        <f>IF(B154="","",SUMIFS(Krankmeldungen!$G$6:$G$1005,Krankmeldungen!$A$6:$A$1005,A154,Krankmeldungen!$C$6:$C$1005,Einstellungen!$C$5))</f>
        <v/>
      </c>
      <c r="H154" s="35">
        <f>IF(B154="","",SUMIFS(Krankmeldungen!$F$6:$F$1005,Krankmeldungen!$A$6:$A$1005,A154))</f>
        <v/>
      </c>
      <c r="I154" s="35">
        <f>IF(B154="","",COUNTIFS(Krankmeldungen!$A$6:$A$1005,A154,Krankmeldungen!$F$6:$F$1005,"&gt;0"))</f>
        <v/>
      </c>
      <c r="J154" s="40">
        <f>IF(B154="","",IF(N(D154)&gt;0,E154/D154,""))</f>
        <v/>
      </c>
      <c r="K154" s="63">
        <f>IF(J154="","",RANK(J154,$J$6:$J$205,0))</f>
        <v/>
      </c>
      <c r="L154" s="56">
        <f>IF(J154="","",IF(J154&lt;=Einstellungen!$C$7,"unauffällig",IF(J154&lt;=Einstellungen!$C$8,"auffällig","kritisch")))</f>
        <v/>
      </c>
      <c r="M154" s="64">
        <f>IF(J154="",-1,J154+ROW()/1000000000)</f>
        <v/>
      </c>
    </row>
    <row r="155">
      <c r="A155" s="61">
        <f>IF(Mitarbeiter!B155="","",Mitarbeiter!A155)</f>
        <v/>
      </c>
      <c r="B155" s="62">
        <f>IF(Mitarbeiter!B155="","",Mitarbeiter!B155)</f>
        <v/>
      </c>
      <c r="C155" s="7">
        <f>IF(Mitarbeiter!B155="","",Mitarbeiter!G155)</f>
        <v/>
      </c>
      <c r="D155" s="57">
        <f>IF(Mitarbeiter!B155="","",Mitarbeiter!H155)</f>
        <v/>
      </c>
      <c r="E155" s="58">
        <f>IF(B155="","",SUMIFS(Krankmeldungen!$G$6:$G$1005,Krankmeldungen!$A$6:$A$1005,A155))</f>
        <v/>
      </c>
      <c r="F155" s="58">
        <f>IF(B155="","",SUMIFS(Krankmeldungen!$G$6:$G$1005,Krankmeldungen!$A$6:$A$1005,A155,Krankmeldungen!$C$6:$C$1005,Einstellungen!$C$4))</f>
        <v/>
      </c>
      <c r="G155" s="58">
        <f>IF(B155="","",SUMIFS(Krankmeldungen!$G$6:$G$1005,Krankmeldungen!$A$6:$A$1005,A155,Krankmeldungen!$C$6:$C$1005,Einstellungen!$C$5))</f>
        <v/>
      </c>
      <c r="H155" s="35">
        <f>IF(B155="","",SUMIFS(Krankmeldungen!$F$6:$F$1005,Krankmeldungen!$A$6:$A$1005,A155))</f>
        <v/>
      </c>
      <c r="I155" s="35">
        <f>IF(B155="","",COUNTIFS(Krankmeldungen!$A$6:$A$1005,A155,Krankmeldungen!$F$6:$F$1005,"&gt;0"))</f>
        <v/>
      </c>
      <c r="J155" s="40">
        <f>IF(B155="","",IF(N(D155)&gt;0,E155/D155,""))</f>
        <v/>
      </c>
      <c r="K155" s="63">
        <f>IF(J155="","",RANK(J155,$J$6:$J$205,0))</f>
        <v/>
      </c>
      <c r="L155" s="56">
        <f>IF(J155="","",IF(J155&lt;=Einstellungen!$C$7,"unauffällig",IF(J155&lt;=Einstellungen!$C$8,"auffällig","kritisch")))</f>
        <v/>
      </c>
      <c r="M155" s="64">
        <f>IF(J155="",-1,J155+ROW()/1000000000)</f>
        <v/>
      </c>
    </row>
    <row r="156">
      <c r="A156" s="61">
        <f>IF(Mitarbeiter!B156="","",Mitarbeiter!A156)</f>
        <v/>
      </c>
      <c r="B156" s="62">
        <f>IF(Mitarbeiter!B156="","",Mitarbeiter!B156)</f>
        <v/>
      </c>
      <c r="C156" s="7">
        <f>IF(Mitarbeiter!B156="","",Mitarbeiter!G156)</f>
        <v/>
      </c>
      <c r="D156" s="57">
        <f>IF(Mitarbeiter!B156="","",Mitarbeiter!H156)</f>
        <v/>
      </c>
      <c r="E156" s="58">
        <f>IF(B156="","",SUMIFS(Krankmeldungen!$G$6:$G$1005,Krankmeldungen!$A$6:$A$1005,A156))</f>
        <v/>
      </c>
      <c r="F156" s="58">
        <f>IF(B156="","",SUMIFS(Krankmeldungen!$G$6:$G$1005,Krankmeldungen!$A$6:$A$1005,A156,Krankmeldungen!$C$6:$C$1005,Einstellungen!$C$4))</f>
        <v/>
      </c>
      <c r="G156" s="58">
        <f>IF(B156="","",SUMIFS(Krankmeldungen!$G$6:$G$1005,Krankmeldungen!$A$6:$A$1005,A156,Krankmeldungen!$C$6:$C$1005,Einstellungen!$C$5))</f>
        <v/>
      </c>
      <c r="H156" s="35">
        <f>IF(B156="","",SUMIFS(Krankmeldungen!$F$6:$F$1005,Krankmeldungen!$A$6:$A$1005,A156))</f>
        <v/>
      </c>
      <c r="I156" s="35">
        <f>IF(B156="","",COUNTIFS(Krankmeldungen!$A$6:$A$1005,A156,Krankmeldungen!$F$6:$F$1005,"&gt;0"))</f>
        <v/>
      </c>
      <c r="J156" s="40">
        <f>IF(B156="","",IF(N(D156)&gt;0,E156/D156,""))</f>
        <v/>
      </c>
      <c r="K156" s="63">
        <f>IF(J156="","",RANK(J156,$J$6:$J$205,0))</f>
        <v/>
      </c>
      <c r="L156" s="56">
        <f>IF(J156="","",IF(J156&lt;=Einstellungen!$C$7,"unauffällig",IF(J156&lt;=Einstellungen!$C$8,"auffällig","kritisch")))</f>
        <v/>
      </c>
      <c r="M156" s="64">
        <f>IF(J156="",-1,J156+ROW()/1000000000)</f>
        <v/>
      </c>
    </row>
    <row r="157">
      <c r="A157" s="61">
        <f>IF(Mitarbeiter!B157="","",Mitarbeiter!A157)</f>
        <v/>
      </c>
      <c r="B157" s="62">
        <f>IF(Mitarbeiter!B157="","",Mitarbeiter!B157)</f>
        <v/>
      </c>
      <c r="C157" s="7">
        <f>IF(Mitarbeiter!B157="","",Mitarbeiter!G157)</f>
        <v/>
      </c>
      <c r="D157" s="57">
        <f>IF(Mitarbeiter!B157="","",Mitarbeiter!H157)</f>
        <v/>
      </c>
      <c r="E157" s="58">
        <f>IF(B157="","",SUMIFS(Krankmeldungen!$G$6:$G$1005,Krankmeldungen!$A$6:$A$1005,A157))</f>
        <v/>
      </c>
      <c r="F157" s="58">
        <f>IF(B157="","",SUMIFS(Krankmeldungen!$G$6:$G$1005,Krankmeldungen!$A$6:$A$1005,A157,Krankmeldungen!$C$6:$C$1005,Einstellungen!$C$4))</f>
        <v/>
      </c>
      <c r="G157" s="58">
        <f>IF(B157="","",SUMIFS(Krankmeldungen!$G$6:$G$1005,Krankmeldungen!$A$6:$A$1005,A157,Krankmeldungen!$C$6:$C$1005,Einstellungen!$C$5))</f>
        <v/>
      </c>
      <c r="H157" s="35">
        <f>IF(B157="","",SUMIFS(Krankmeldungen!$F$6:$F$1005,Krankmeldungen!$A$6:$A$1005,A157))</f>
        <v/>
      </c>
      <c r="I157" s="35">
        <f>IF(B157="","",COUNTIFS(Krankmeldungen!$A$6:$A$1005,A157,Krankmeldungen!$F$6:$F$1005,"&gt;0"))</f>
        <v/>
      </c>
      <c r="J157" s="40">
        <f>IF(B157="","",IF(N(D157)&gt;0,E157/D157,""))</f>
        <v/>
      </c>
      <c r="K157" s="63">
        <f>IF(J157="","",RANK(J157,$J$6:$J$205,0))</f>
        <v/>
      </c>
      <c r="L157" s="56">
        <f>IF(J157="","",IF(J157&lt;=Einstellungen!$C$7,"unauffällig",IF(J157&lt;=Einstellungen!$C$8,"auffällig","kritisch")))</f>
        <v/>
      </c>
      <c r="M157" s="64">
        <f>IF(J157="",-1,J157+ROW()/1000000000)</f>
        <v/>
      </c>
    </row>
    <row r="158">
      <c r="A158" s="61">
        <f>IF(Mitarbeiter!B158="","",Mitarbeiter!A158)</f>
        <v/>
      </c>
      <c r="B158" s="62">
        <f>IF(Mitarbeiter!B158="","",Mitarbeiter!B158)</f>
        <v/>
      </c>
      <c r="C158" s="7">
        <f>IF(Mitarbeiter!B158="","",Mitarbeiter!G158)</f>
        <v/>
      </c>
      <c r="D158" s="57">
        <f>IF(Mitarbeiter!B158="","",Mitarbeiter!H158)</f>
        <v/>
      </c>
      <c r="E158" s="58">
        <f>IF(B158="","",SUMIFS(Krankmeldungen!$G$6:$G$1005,Krankmeldungen!$A$6:$A$1005,A158))</f>
        <v/>
      </c>
      <c r="F158" s="58">
        <f>IF(B158="","",SUMIFS(Krankmeldungen!$G$6:$G$1005,Krankmeldungen!$A$6:$A$1005,A158,Krankmeldungen!$C$6:$C$1005,Einstellungen!$C$4))</f>
        <v/>
      </c>
      <c r="G158" s="58">
        <f>IF(B158="","",SUMIFS(Krankmeldungen!$G$6:$G$1005,Krankmeldungen!$A$6:$A$1005,A158,Krankmeldungen!$C$6:$C$1005,Einstellungen!$C$5))</f>
        <v/>
      </c>
      <c r="H158" s="35">
        <f>IF(B158="","",SUMIFS(Krankmeldungen!$F$6:$F$1005,Krankmeldungen!$A$6:$A$1005,A158))</f>
        <v/>
      </c>
      <c r="I158" s="35">
        <f>IF(B158="","",COUNTIFS(Krankmeldungen!$A$6:$A$1005,A158,Krankmeldungen!$F$6:$F$1005,"&gt;0"))</f>
        <v/>
      </c>
      <c r="J158" s="40">
        <f>IF(B158="","",IF(N(D158)&gt;0,E158/D158,""))</f>
        <v/>
      </c>
      <c r="K158" s="63">
        <f>IF(J158="","",RANK(J158,$J$6:$J$205,0))</f>
        <v/>
      </c>
      <c r="L158" s="56">
        <f>IF(J158="","",IF(J158&lt;=Einstellungen!$C$7,"unauffällig",IF(J158&lt;=Einstellungen!$C$8,"auffällig","kritisch")))</f>
        <v/>
      </c>
      <c r="M158" s="64">
        <f>IF(J158="",-1,J158+ROW()/1000000000)</f>
        <v/>
      </c>
    </row>
    <row r="159">
      <c r="A159" s="61">
        <f>IF(Mitarbeiter!B159="","",Mitarbeiter!A159)</f>
        <v/>
      </c>
      <c r="B159" s="62">
        <f>IF(Mitarbeiter!B159="","",Mitarbeiter!B159)</f>
        <v/>
      </c>
      <c r="C159" s="7">
        <f>IF(Mitarbeiter!B159="","",Mitarbeiter!G159)</f>
        <v/>
      </c>
      <c r="D159" s="57">
        <f>IF(Mitarbeiter!B159="","",Mitarbeiter!H159)</f>
        <v/>
      </c>
      <c r="E159" s="58">
        <f>IF(B159="","",SUMIFS(Krankmeldungen!$G$6:$G$1005,Krankmeldungen!$A$6:$A$1005,A159))</f>
        <v/>
      </c>
      <c r="F159" s="58">
        <f>IF(B159="","",SUMIFS(Krankmeldungen!$G$6:$G$1005,Krankmeldungen!$A$6:$A$1005,A159,Krankmeldungen!$C$6:$C$1005,Einstellungen!$C$4))</f>
        <v/>
      </c>
      <c r="G159" s="58">
        <f>IF(B159="","",SUMIFS(Krankmeldungen!$G$6:$G$1005,Krankmeldungen!$A$6:$A$1005,A159,Krankmeldungen!$C$6:$C$1005,Einstellungen!$C$5))</f>
        <v/>
      </c>
      <c r="H159" s="35">
        <f>IF(B159="","",SUMIFS(Krankmeldungen!$F$6:$F$1005,Krankmeldungen!$A$6:$A$1005,A159))</f>
        <v/>
      </c>
      <c r="I159" s="35">
        <f>IF(B159="","",COUNTIFS(Krankmeldungen!$A$6:$A$1005,A159,Krankmeldungen!$F$6:$F$1005,"&gt;0"))</f>
        <v/>
      </c>
      <c r="J159" s="40">
        <f>IF(B159="","",IF(N(D159)&gt;0,E159/D159,""))</f>
        <v/>
      </c>
      <c r="K159" s="63">
        <f>IF(J159="","",RANK(J159,$J$6:$J$205,0))</f>
        <v/>
      </c>
      <c r="L159" s="56">
        <f>IF(J159="","",IF(J159&lt;=Einstellungen!$C$7,"unauffällig",IF(J159&lt;=Einstellungen!$C$8,"auffällig","kritisch")))</f>
        <v/>
      </c>
      <c r="M159" s="64">
        <f>IF(J159="",-1,J159+ROW()/1000000000)</f>
        <v/>
      </c>
    </row>
    <row r="160">
      <c r="A160" s="61">
        <f>IF(Mitarbeiter!B160="","",Mitarbeiter!A160)</f>
        <v/>
      </c>
      <c r="B160" s="62">
        <f>IF(Mitarbeiter!B160="","",Mitarbeiter!B160)</f>
        <v/>
      </c>
      <c r="C160" s="7">
        <f>IF(Mitarbeiter!B160="","",Mitarbeiter!G160)</f>
        <v/>
      </c>
      <c r="D160" s="57">
        <f>IF(Mitarbeiter!B160="","",Mitarbeiter!H160)</f>
        <v/>
      </c>
      <c r="E160" s="58">
        <f>IF(B160="","",SUMIFS(Krankmeldungen!$G$6:$G$1005,Krankmeldungen!$A$6:$A$1005,A160))</f>
        <v/>
      </c>
      <c r="F160" s="58">
        <f>IF(B160="","",SUMIFS(Krankmeldungen!$G$6:$G$1005,Krankmeldungen!$A$6:$A$1005,A160,Krankmeldungen!$C$6:$C$1005,Einstellungen!$C$4))</f>
        <v/>
      </c>
      <c r="G160" s="58">
        <f>IF(B160="","",SUMIFS(Krankmeldungen!$G$6:$G$1005,Krankmeldungen!$A$6:$A$1005,A160,Krankmeldungen!$C$6:$C$1005,Einstellungen!$C$5))</f>
        <v/>
      </c>
      <c r="H160" s="35">
        <f>IF(B160="","",SUMIFS(Krankmeldungen!$F$6:$F$1005,Krankmeldungen!$A$6:$A$1005,A160))</f>
        <v/>
      </c>
      <c r="I160" s="35">
        <f>IF(B160="","",COUNTIFS(Krankmeldungen!$A$6:$A$1005,A160,Krankmeldungen!$F$6:$F$1005,"&gt;0"))</f>
        <v/>
      </c>
      <c r="J160" s="40">
        <f>IF(B160="","",IF(N(D160)&gt;0,E160/D160,""))</f>
        <v/>
      </c>
      <c r="K160" s="63">
        <f>IF(J160="","",RANK(J160,$J$6:$J$205,0))</f>
        <v/>
      </c>
      <c r="L160" s="56">
        <f>IF(J160="","",IF(J160&lt;=Einstellungen!$C$7,"unauffällig",IF(J160&lt;=Einstellungen!$C$8,"auffällig","kritisch")))</f>
        <v/>
      </c>
      <c r="M160" s="64">
        <f>IF(J160="",-1,J160+ROW()/1000000000)</f>
        <v/>
      </c>
    </row>
    <row r="161">
      <c r="A161" s="61">
        <f>IF(Mitarbeiter!B161="","",Mitarbeiter!A161)</f>
        <v/>
      </c>
      <c r="B161" s="62">
        <f>IF(Mitarbeiter!B161="","",Mitarbeiter!B161)</f>
        <v/>
      </c>
      <c r="C161" s="7">
        <f>IF(Mitarbeiter!B161="","",Mitarbeiter!G161)</f>
        <v/>
      </c>
      <c r="D161" s="57">
        <f>IF(Mitarbeiter!B161="","",Mitarbeiter!H161)</f>
        <v/>
      </c>
      <c r="E161" s="58">
        <f>IF(B161="","",SUMIFS(Krankmeldungen!$G$6:$G$1005,Krankmeldungen!$A$6:$A$1005,A161))</f>
        <v/>
      </c>
      <c r="F161" s="58">
        <f>IF(B161="","",SUMIFS(Krankmeldungen!$G$6:$G$1005,Krankmeldungen!$A$6:$A$1005,A161,Krankmeldungen!$C$6:$C$1005,Einstellungen!$C$4))</f>
        <v/>
      </c>
      <c r="G161" s="58">
        <f>IF(B161="","",SUMIFS(Krankmeldungen!$G$6:$G$1005,Krankmeldungen!$A$6:$A$1005,A161,Krankmeldungen!$C$6:$C$1005,Einstellungen!$C$5))</f>
        <v/>
      </c>
      <c r="H161" s="35">
        <f>IF(B161="","",SUMIFS(Krankmeldungen!$F$6:$F$1005,Krankmeldungen!$A$6:$A$1005,A161))</f>
        <v/>
      </c>
      <c r="I161" s="35">
        <f>IF(B161="","",COUNTIFS(Krankmeldungen!$A$6:$A$1005,A161,Krankmeldungen!$F$6:$F$1005,"&gt;0"))</f>
        <v/>
      </c>
      <c r="J161" s="40">
        <f>IF(B161="","",IF(N(D161)&gt;0,E161/D161,""))</f>
        <v/>
      </c>
      <c r="K161" s="63">
        <f>IF(J161="","",RANK(J161,$J$6:$J$205,0))</f>
        <v/>
      </c>
      <c r="L161" s="56">
        <f>IF(J161="","",IF(J161&lt;=Einstellungen!$C$7,"unauffällig",IF(J161&lt;=Einstellungen!$C$8,"auffällig","kritisch")))</f>
        <v/>
      </c>
      <c r="M161" s="64">
        <f>IF(J161="",-1,J161+ROW()/1000000000)</f>
        <v/>
      </c>
    </row>
    <row r="162">
      <c r="A162" s="61">
        <f>IF(Mitarbeiter!B162="","",Mitarbeiter!A162)</f>
        <v/>
      </c>
      <c r="B162" s="62">
        <f>IF(Mitarbeiter!B162="","",Mitarbeiter!B162)</f>
        <v/>
      </c>
      <c r="C162" s="7">
        <f>IF(Mitarbeiter!B162="","",Mitarbeiter!G162)</f>
        <v/>
      </c>
      <c r="D162" s="57">
        <f>IF(Mitarbeiter!B162="","",Mitarbeiter!H162)</f>
        <v/>
      </c>
      <c r="E162" s="58">
        <f>IF(B162="","",SUMIFS(Krankmeldungen!$G$6:$G$1005,Krankmeldungen!$A$6:$A$1005,A162))</f>
        <v/>
      </c>
      <c r="F162" s="58">
        <f>IF(B162="","",SUMIFS(Krankmeldungen!$G$6:$G$1005,Krankmeldungen!$A$6:$A$1005,A162,Krankmeldungen!$C$6:$C$1005,Einstellungen!$C$4))</f>
        <v/>
      </c>
      <c r="G162" s="58">
        <f>IF(B162="","",SUMIFS(Krankmeldungen!$G$6:$G$1005,Krankmeldungen!$A$6:$A$1005,A162,Krankmeldungen!$C$6:$C$1005,Einstellungen!$C$5))</f>
        <v/>
      </c>
      <c r="H162" s="35">
        <f>IF(B162="","",SUMIFS(Krankmeldungen!$F$6:$F$1005,Krankmeldungen!$A$6:$A$1005,A162))</f>
        <v/>
      </c>
      <c r="I162" s="35">
        <f>IF(B162="","",COUNTIFS(Krankmeldungen!$A$6:$A$1005,A162,Krankmeldungen!$F$6:$F$1005,"&gt;0"))</f>
        <v/>
      </c>
      <c r="J162" s="40">
        <f>IF(B162="","",IF(N(D162)&gt;0,E162/D162,""))</f>
        <v/>
      </c>
      <c r="K162" s="63">
        <f>IF(J162="","",RANK(J162,$J$6:$J$205,0))</f>
        <v/>
      </c>
      <c r="L162" s="56">
        <f>IF(J162="","",IF(J162&lt;=Einstellungen!$C$7,"unauffällig",IF(J162&lt;=Einstellungen!$C$8,"auffällig","kritisch")))</f>
        <v/>
      </c>
      <c r="M162" s="64">
        <f>IF(J162="",-1,J162+ROW()/1000000000)</f>
        <v/>
      </c>
    </row>
    <row r="163">
      <c r="A163" s="61">
        <f>IF(Mitarbeiter!B163="","",Mitarbeiter!A163)</f>
        <v/>
      </c>
      <c r="B163" s="62">
        <f>IF(Mitarbeiter!B163="","",Mitarbeiter!B163)</f>
        <v/>
      </c>
      <c r="C163" s="7">
        <f>IF(Mitarbeiter!B163="","",Mitarbeiter!G163)</f>
        <v/>
      </c>
      <c r="D163" s="57">
        <f>IF(Mitarbeiter!B163="","",Mitarbeiter!H163)</f>
        <v/>
      </c>
      <c r="E163" s="58">
        <f>IF(B163="","",SUMIFS(Krankmeldungen!$G$6:$G$1005,Krankmeldungen!$A$6:$A$1005,A163))</f>
        <v/>
      </c>
      <c r="F163" s="58">
        <f>IF(B163="","",SUMIFS(Krankmeldungen!$G$6:$G$1005,Krankmeldungen!$A$6:$A$1005,A163,Krankmeldungen!$C$6:$C$1005,Einstellungen!$C$4))</f>
        <v/>
      </c>
      <c r="G163" s="58">
        <f>IF(B163="","",SUMIFS(Krankmeldungen!$G$6:$G$1005,Krankmeldungen!$A$6:$A$1005,A163,Krankmeldungen!$C$6:$C$1005,Einstellungen!$C$5))</f>
        <v/>
      </c>
      <c r="H163" s="35">
        <f>IF(B163="","",SUMIFS(Krankmeldungen!$F$6:$F$1005,Krankmeldungen!$A$6:$A$1005,A163))</f>
        <v/>
      </c>
      <c r="I163" s="35">
        <f>IF(B163="","",COUNTIFS(Krankmeldungen!$A$6:$A$1005,A163,Krankmeldungen!$F$6:$F$1005,"&gt;0"))</f>
        <v/>
      </c>
      <c r="J163" s="40">
        <f>IF(B163="","",IF(N(D163)&gt;0,E163/D163,""))</f>
        <v/>
      </c>
      <c r="K163" s="63">
        <f>IF(J163="","",RANK(J163,$J$6:$J$205,0))</f>
        <v/>
      </c>
      <c r="L163" s="56">
        <f>IF(J163="","",IF(J163&lt;=Einstellungen!$C$7,"unauffällig",IF(J163&lt;=Einstellungen!$C$8,"auffällig","kritisch")))</f>
        <v/>
      </c>
      <c r="M163" s="64">
        <f>IF(J163="",-1,J163+ROW()/1000000000)</f>
        <v/>
      </c>
    </row>
    <row r="164">
      <c r="A164" s="61">
        <f>IF(Mitarbeiter!B164="","",Mitarbeiter!A164)</f>
        <v/>
      </c>
      <c r="B164" s="62">
        <f>IF(Mitarbeiter!B164="","",Mitarbeiter!B164)</f>
        <v/>
      </c>
      <c r="C164" s="7">
        <f>IF(Mitarbeiter!B164="","",Mitarbeiter!G164)</f>
        <v/>
      </c>
      <c r="D164" s="57">
        <f>IF(Mitarbeiter!B164="","",Mitarbeiter!H164)</f>
        <v/>
      </c>
      <c r="E164" s="58">
        <f>IF(B164="","",SUMIFS(Krankmeldungen!$G$6:$G$1005,Krankmeldungen!$A$6:$A$1005,A164))</f>
        <v/>
      </c>
      <c r="F164" s="58">
        <f>IF(B164="","",SUMIFS(Krankmeldungen!$G$6:$G$1005,Krankmeldungen!$A$6:$A$1005,A164,Krankmeldungen!$C$6:$C$1005,Einstellungen!$C$4))</f>
        <v/>
      </c>
      <c r="G164" s="58">
        <f>IF(B164="","",SUMIFS(Krankmeldungen!$G$6:$G$1005,Krankmeldungen!$A$6:$A$1005,A164,Krankmeldungen!$C$6:$C$1005,Einstellungen!$C$5))</f>
        <v/>
      </c>
      <c r="H164" s="35">
        <f>IF(B164="","",SUMIFS(Krankmeldungen!$F$6:$F$1005,Krankmeldungen!$A$6:$A$1005,A164))</f>
        <v/>
      </c>
      <c r="I164" s="35">
        <f>IF(B164="","",COUNTIFS(Krankmeldungen!$A$6:$A$1005,A164,Krankmeldungen!$F$6:$F$1005,"&gt;0"))</f>
        <v/>
      </c>
      <c r="J164" s="40">
        <f>IF(B164="","",IF(N(D164)&gt;0,E164/D164,""))</f>
        <v/>
      </c>
      <c r="K164" s="63">
        <f>IF(J164="","",RANK(J164,$J$6:$J$205,0))</f>
        <v/>
      </c>
      <c r="L164" s="56">
        <f>IF(J164="","",IF(J164&lt;=Einstellungen!$C$7,"unauffällig",IF(J164&lt;=Einstellungen!$C$8,"auffällig","kritisch")))</f>
        <v/>
      </c>
      <c r="M164" s="64">
        <f>IF(J164="",-1,J164+ROW()/1000000000)</f>
        <v/>
      </c>
    </row>
    <row r="165">
      <c r="A165" s="61">
        <f>IF(Mitarbeiter!B165="","",Mitarbeiter!A165)</f>
        <v/>
      </c>
      <c r="B165" s="62">
        <f>IF(Mitarbeiter!B165="","",Mitarbeiter!B165)</f>
        <v/>
      </c>
      <c r="C165" s="7">
        <f>IF(Mitarbeiter!B165="","",Mitarbeiter!G165)</f>
        <v/>
      </c>
      <c r="D165" s="57">
        <f>IF(Mitarbeiter!B165="","",Mitarbeiter!H165)</f>
        <v/>
      </c>
      <c r="E165" s="58">
        <f>IF(B165="","",SUMIFS(Krankmeldungen!$G$6:$G$1005,Krankmeldungen!$A$6:$A$1005,A165))</f>
        <v/>
      </c>
      <c r="F165" s="58">
        <f>IF(B165="","",SUMIFS(Krankmeldungen!$G$6:$G$1005,Krankmeldungen!$A$6:$A$1005,A165,Krankmeldungen!$C$6:$C$1005,Einstellungen!$C$4))</f>
        <v/>
      </c>
      <c r="G165" s="58">
        <f>IF(B165="","",SUMIFS(Krankmeldungen!$G$6:$G$1005,Krankmeldungen!$A$6:$A$1005,A165,Krankmeldungen!$C$6:$C$1005,Einstellungen!$C$5))</f>
        <v/>
      </c>
      <c r="H165" s="35">
        <f>IF(B165="","",SUMIFS(Krankmeldungen!$F$6:$F$1005,Krankmeldungen!$A$6:$A$1005,A165))</f>
        <v/>
      </c>
      <c r="I165" s="35">
        <f>IF(B165="","",COUNTIFS(Krankmeldungen!$A$6:$A$1005,A165,Krankmeldungen!$F$6:$F$1005,"&gt;0"))</f>
        <v/>
      </c>
      <c r="J165" s="40">
        <f>IF(B165="","",IF(N(D165)&gt;0,E165/D165,""))</f>
        <v/>
      </c>
      <c r="K165" s="63">
        <f>IF(J165="","",RANK(J165,$J$6:$J$205,0))</f>
        <v/>
      </c>
      <c r="L165" s="56">
        <f>IF(J165="","",IF(J165&lt;=Einstellungen!$C$7,"unauffällig",IF(J165&lt;=Einstellungen!$C$8,"auffällig","kritisch")))</f>
        <v/>
      </c>
      <c r="M165" s="64">
        <f>IF(J165="",-1,J165+ROW()/1000000000)</f>
        <v/>
      </c>
    </row>
    <row r="166">
      <c r="A166" s="61">
        <f>IF(Mitarbeiter!B166="","",Mitarbeiter!A166)</f>
        <v/>
      </c>
      <c r="B166" s="62">
        <f>IF(Mitarbeiter!B166="","",Mitarbeiter!B166)</f>
        <v/>
      </c>
      <c r="C166" s="7">
        <f>IF(Mitarbeiter!B166="","",Mitarbeiter!G166)</f>
        <v/>
      </c>
      <c r="D166" s="57">
        <f>IF(Mitarbeiter!B166="","",Mitarbeiter!H166)</f>
        <v/>
      </c>
      <c r="E166" s="58">
        <f>IF(B166="","",SUMIFS(Krankmeldungen!$G$6:$G$1005,Krankmeldungen!$A$6:$A$1005,A166))</f>
        <v/>
      </c>
      <c r="F166" s="58">
        <f>IF(B166="","",SUMIFS(Krankmeldungen!$G$6:$G$1005,Krankmeldungen!$A$6:$A$1005,A166,Krankmeldungen!$C$6:$C$1005,Einstellungen!$C$4))</f>
        <v/>
      </c>
      <c r="G166" s="58">
        <f>IF(B166="","",SUMIFS(Krankmeldungen!$G$6:$G$1005,Krankmeldungen!$A$6:$A$1005,A166,Krankmeldungen!$C$6:$C$1005,Einstellungen!$C$5))</f>
        <v/>
      </c>
      <c r="H166" s="35">
        <f>IF(B166="","",SUMIFS(Krankmeldungen!$F$6:$F$1005,Krankmeldungen!$A$6:$A$1005,A166))</f>
        <v/>
      </c>
      <c r="I166" s="35">
        <f>IF(B166="","",COUNTIFS(Krankmeldungen!$A$6:$A$1005,A166,Krankmeldungen!$F$6:$F$1005,"&gt;0"))</f>
        <v/>
      </c>
      <c r="J166" s="40">
        <f>IF(B166="","",IF(N(D166)&gt;0,E166/D166,""))</f>
        <v/>
      </c>
      <c r="K166" s="63">
        <f>IF(J166="","",RANK(J166,$J$6:$J$205,0))</f>
        <v/>
      </c>
      <c r="L166" s="56">
        <f>IF(J166="","",IF(J166&lt;=Einstellungen!$C$7,"unauffällig",IF(J166&lt;=Einstellungen!$C$8,"auffällig","kritisch")))</f>
        <v/>
      </c>
      <c r="M166" s="64">
        <f>IF(J166="",-1,J166+ROW()/1000000000)</f>
        <v/>
      </c>
    </row>
    <row r="167">
      <c r="A167" s="61">
        <f>IF(Mitarbeiter!B167="","",Mitarbeiter!A167)</f>
        <v/>
      </c>
      <c r="B167" s="62">
        <f>IF(Mitarbeiter!B167="","",Mitarbeiter!B167)</f>
        <v/>
      </c>
      <c r="C167" s="7">
        <f>IF(Mitarbeiter!B167="","",Mitarbeiter!G167)</f>
        <v/>
      </c>
      <c r="D167" s="57">
        <f>IF(Mitarbeiter!B167="","",Mitarbeiter!H167)</f>
        <v/>
      </c>
      <c r="E167" s="58">
        <f>IF(B167="","",SUMIFS(Krankmeldungen!$G$6:$G$1005,Krankmeldungen!$A$6:$A$1005,A167))</f>
        <v/>
      </c>
      <c r="F167" s="58">
        <f>IF(B167="","",SUMIFS(Krankmeldungen!$G$6:$G$1005,Krankmeldungen!$A$6:$A$1005,A167,Krankmeldungen!$C$6:$C$1005,Einstellungen!$C$4))</f>
        <v/>
      </c>
      <c r="G167" s="58">
        <f>IF(B167="","",SUMIFS(Krankmeldungen!$G$6:$G$1005,Krankmeldungen!$A$6:$A$1005,A167,Krankmeldungen!$C$6:$C$1005,Einstellungen!$C$5))</f>
        <v/>
      </c>
      <c r="H167" s="35">
        <f>IF(B167="","",SUMIFS(Krankmeldungen!$F$6:$F$1005,Krankmeldungen!$A$6:$A$1005,A167))</f>
        <v/>
      </c>
      <c r="I167" s="35">
        <f>IF(B167="","",COUNTIFS(Krankmeldungen!$A$6:$A$1005,A167,Krankmeldungen!$F$6:$F$1005,"&gt;0"))</f>
        <v/>
      </c>
      <c r="J167" s="40">
        <f>IF(B167="","",IF(N(D167)&gt;0,E167/D167,""))</f>
        <v/>
      </c>
      <c r="K167" s="63">
        <f>IF(J167="","",RANK(J167,$J$6:$J$205,0))</f>
        <v/>
      </c>
      <c r="L167" s="56">
        <f>IF(J167="","",IF(J167&lt;=Einstellungen!$C$7,"unauffällig",IF(J167&lt;=Einstellungen!$C$8,"auffällig","kritisch")))</f>
        <v/>
      </c>
      <c r="M167" s="64">
        <f>IF(J167="",-1,J167+ROW()/1000000000)</f>
        <v/>
      </c>
    </row>
    <row r="168">
      <c r="A168" s="61">
        <f>IF(Mitarbeiter!B168="","",Mitarbeiter!A168)</f>
        <v/>
      </c>
      <c r="B168" s="62">
        <f>IF(Mitarbeiter!B168="","",Mitarbeiter!B168)</f>
        <v/>
      </c>
      <c r="C168" s="7">
        <f>IF(Mitarbeiter!B168="","",Mitarbeiter!G168)</f>
        <v/>
      </c>
      <c r="D168" s="57">
        <f>IF(Mitarbeiter!B168="","",Mitarbeiter!H168)</f>
        <v/>
      </c>
      <c r="E168" s="58">
        <f>IF(B168="","",SUMIFS(Krankmeldungen!$G$6:$G$1005,Krankmeldungen!$A$6:$A$1005,A168))</f>
        <v/>
      </c>
      <c r="F168" s="58">
        <f>IF(B168="","",SUMIFS(Krankmeldungen!$G$6:$G$1005,Krankmeldungen!$A$6:$A$1005,A168,Krankmeldungen!$C$6:$C$1005,Einstellungen!$C$4))</f>
        <v/>
      </c>
      <c r="G168" s="58">
        <f>IF(B168="","",SUMIFS(Krankmeldungen!$G$6:$G$1005,Krankmeldungen!$A$6:$A$1005,A168,Krankmeldungen!$C$6:$C$1005,Einstellungen!$C$5))</f>
        <v/>
      </c>
      <c r="H168" s="35">
        <f>IF(B168="","",SUMIFS(Krankmeldungen!$F$6:$F$1005,Krankmeldungen!$A$6:$A$1005,A168))</f>
        <v/>
      </c>
      <c r="I168" s="35">
        <f>IF(B168="","",COUNTIFS(Krankmeldungen!$A$6:$A$1005,A168,Krankmeldungen!$F$6:$F$1005,"&gt;0"))</f>
        <v/>
      </c>
      <c r="J168" s="40">
        <f>IF(B168="","",IF(N(D168)&gt;0,E168/D168,""))</f>
        <v/>
      </c>
      <c r="K168" s="63">
        <f>IF(J168="","",RANK(J168,$J$6:$J$205,0))</f>
        <v/>
      </c>
      <c r="L168" s="56">
        <f>IF(J168="","",IF(J168&lt;=Einstellungen!$C$7,"unauffällig",IF(J168&lt;=Einstellungen!$C$8,"auffällig","kritisch")))</f>
        <v/>
      </c>
      <c r="M168" s="64">
        <f>IF(J168="",-1,J168+ROW()/1000000000)</f>
        <v/>
      </c>
    </row>
    <row r="169">
      <c r="A169" s="61">
        <f>IF(Mitarbeiter!B169="","",Mitarbeiter!A169)</f>
        <v/>
      </c>
      <c r="B169" s="62">
        <f>IF(Mitarbeiter!B169="","",Mitarbeiter!B169)</f>
        <v/>
      </c>
      <c r="C169" s="7">
        <f>IF(Mitarbeiter!B169="","",Mitarbeiter!G169)</f>
        <v/>
      </c>
      <c r="D169" s="57">
        <f>IF(Mitarbeiter!B169="","",Mitarbeiter!H169)</f>
        <v/>
      </c>
      <c r="E169" s="58">
        <f>IF(B169="","",SUMIFS(Krankmeldungen!$G$6:$G$1005,Krankmeldungen!$A$6:$A$1005,A169))</f>
        <v/>
      </c>
      <c r="F169" s="58">
        <f>IF(B169="","",SUMIFS(Krankmeldungen!$G$6:$G$1005,Krankmeldungen!$A$6:$A$1005,A169,Krankmeldungen!$C$6:$C$1005,Einstellungen!$C$4))</f>
        <v/>
      </c>
      <c r="G169" s="58">
        <f>IF(B169="","",SUMIFS(Krankmeldungen!$G$6:$G$1005,Krankmeldungen!$A$6:$A$1005,A169,Krankmeldungen!$C$6:$C$1005,Einstellungen!$C$5))</f>
        <v/>
      </c>
      <c r="H169" s="35">
        <f>IF(B169="","",SUMIFS(Krankmeldungen!$F$6:$F$1005,Krankmeldungen!$A$6:$A$1005,A169))</f>
        <v/>
      </c>
      <c r="I169" s="35">
        <f>IF(B169="","",COUNTIFS(Krankmeldungen!$A$6:$A$1005,A169,Krankmeldungen!$F$6:$F$1005,"&gt;0"))</f>
        <v/>
      </c>
      <c r="J169" s="40">
        <f>IF(B169="","",IF(N(D169)&gt;0,E169/D169,""))</f>
        <v/>
      </c>
      <c r="K169" s="63">
        <f>IF(J169="","",RANK(J169,$J$6:$J$205,0))</f>
        <v/>
      </c>
      <c r="L169" s="56">
        <f>IF(J169="","",IF(J169&lt;=Einstellungen!$C$7,"unauffällig",IF(J169&lt;=Einstellungen!$C$8,"auffällig","kritisch")))</f>
        <v/>
      </c>
      <c r="M169" s="64">
        <f>IF(J169="",-1,J169+ROW()/1000000000)</f>
        <v/>
      </c>
    </row>
    <row r="170">
      <c r="A170" s="61">
        <f>IF(Mitarbeiter!B170="","",Mitarbeiter!A170)</f>
        <v/>
      </c>
      <c r="B170" s="62">
        <f>IF(Mitarbeiter!B170="","",Mitarbeiter!B170)</f>
        <v/>
      </c>
      <c r="C170" s="7">
        <f>IF(Mitarbeiter!B170="","",Mitarbeiter!G170)</f>
        <v/>
      </c>
      <c r="D170" s="57">
        <f>IF(Mitarbeiter!B170="","",Mitarbeiter!H170)</f>
        <v/>
      </c>
      <c r="E170" s="58">
        <f>IF(B170="","",SUMIFS(Krankmeldungen!$G$6:$G$1005,Krankmeldungen!$A$6:$A$1005,A170))</f>
        <v/>
      </c>
      <c r="F170" s="58">
        <f>IF(B170="","",SUMIFS(Krankmeldungen!$G$6:$G$1005,Krankmeldungen!$A$6:$A$1005,A170,Krankmeldungen!$C$6:$C$1005,Einstellungen!$C$4))</f>
        <v/>
      </c>
      <c r="G170" s="58">
        <f>IF(B170="","",SUMIFS(Krankmeldungen!$G$6:$G$1005,Krankmeldungen!$A$6:$A$1005,A170,Krankmeldungen!$C$6:$C$1005,Einstellungen!$C$5))</f>
        <v/>
      </c>
      <c r="H170" s="35">
        <f>IF(B170="","",SUMIFS(Krankmeldungen!$F$6:$F$1005,Krankmeldungen!$A$6:$A$1005,A170))</f>
        <v/>
      </c>
      <c r="I170" s="35">
        <f>IF(B170="","",COUNTIFS(Krankmeldungen!$A$6:$A$1005,A170,Krankmeldungen!$F$6:$F$1005,"&gt;0"))</f>
        <v/>
      </c>
      <c r="J170" s="40">
        <f>IF(B170="","",IF(N(D170)&gt;0,E170/D170,""))</f>
        <v/>
      </c>
      <c r="K170" s="63">
        <f>IF(J170="","",RANK(J170,$J$6:$J$205,0))</f>
        <v/>
      </c>
      <c r="L170" s="56">
        <f>IF(J170="","",IF(J170&lt;=Einstellungen!$C$7,"unauffällig",IF(J170&lt;=Einstellungen!$C$8,"auffällig","kritisch")))</f>
        <v/>
      </c>
      <c r="M170" s="64">
        <f>IF(J170="",-1,J170+ROW()/1000000000)</f>
        <v/>
      </c>
    </row>
    <row r="171">
      <c r="A171" s="61">
        <f>IF(Mitarbeiter!B171="","",Mitarbeiter!A171)</f>
        <v/>
      </c>
      <c r="B171" s="62">
        <f>IF(Mitarbeiter!B171="","",Mitarbeiter!B171)</f>
        <v/>
      </c>
      <c r="C171" s="7">
        <f>IF(Mitarbeiter!B171="","",Mitarbeiter!G171)</f>
        <v/>
      </c>
      <c r="D171" s="57">
        <f>IF(Mitarbeiter!B171="","",Mitarbeiter!H171)</f>
        <v/>
      </c>
      <c r="E171" s="58">
        <f>IF(B171="","",SUMIFS(Krankmeldungen!$G$6:$G$1005,Krankmeldungen!$A$6:$A$1005,A171))</f>
        <v/>
      </c>
      <c r="F171" s="58">
        <f>IF(B171="","",SUMIFS(Krankmeldungen!$G$6:$G$1005,Krankmeldungen!$A$6:$A$1005,A171,Krankmeldungen!$C$6:$C$1005,Einstellungen!$C$4))</f>
        <v/>
      </c>
      <c r="G171" s="58">
        <f>IF(B171="","",SUMIFS(Krankmeldungen!$G$6:$G$1005,Krankmeldungen!$A$6:$A$1005,A171,Krankmeldungen!$C$6:$C$1005,Einstellungen!$C$5))</f>
        <v/>
      </c>
      <c r="H171" s="35">
        <f>IF(B171="","",SUMIFS(Krankmeldungen!$F$6:$F$1005,Krankmeldungen!$A$6:$A$1005,A171))</f>
        <v/>
      </c>
      <c r="I171" s="35">
        <f>IF(B171="","",COUNTIFS(Krankmeldungen!$A$6:$A$1005,A171,Krankmeldungen!$F$6:$F$1005,"&gt;0"))</f>
        <v/>
      </c>
      <c r="J171" s="40">
        <f>IF(B171="","",IF(N(D171)&gt;0,E171/D171,""))</f>
        <v/>
      </c>
      <c r="K171" s="63">
        <f>IF(J171="","",RANK(J171,$J$6:$J$205,0))</f>
        <v/>
      </c>
      <c r="L171" s="56">
        <f>IF(J171="","",IF(J171&lt;=Einstellungen!$C$7,"unauffällig",IF(J171&lt;=Einstellungen!$C$8,"auffällig","kritisch")))</f>
        <v/>
      </c>
      <c r="M171" s="64">
        <f>IF(J171="",-1,J171+ROW()/1000000000)</f>
        <v/>
      </c>
    </row>
    <row r="172">
      <c r="A172" s="61">
        <f>IF(Mitarbeiter!B172="","",Mitarbeiter!A172)</f>
        <v/>
      </c>
      <c r="B172" s="62">
        <f>IF(Mitarbeiter!B172="","",Mitarbeiter!B172)</f>
        <v/>
      </c>
      <c r="C172" s="7">
        <f>IF(Mitarbeiter!B172="","",Mitarbeiter!G172)</f>
        <v/>
      </c>
      <c r="D172" s="57">
        <f>IF(Mitarbeiter!B172="","",Mitarbeiter!H172)</f>
        <v/>
      </c>
      <c r="E172" s="58">
        <f>IF(B172="","",SUMIFS(Krankmeldungen!$G$6:$G$1005,Krankmeldungen!$A$6:$A$1005,A172))</f>
        <v/>
      </c>
      <c r="F172" s="58">
        <f>IF(B172="","",SUMIFS(Krankmeldungen!$G$6:$G$1005,Krankmeldungen!$A$6:$A$1005,A172,Krankmeldungen!$C$6:$C$1005,Einstellungen!$C$4))</f>
        <v/>
      </c>
      <c r="G172" s="58">
        <f>IF(B172="","",SUMIFS(Krankmeldungen!$G$6:$G$1005,Krankmeldungen!$A$6:$A$1005,A172,Krankmeldungen!$C$6:$C$1005,Einstellungen!$C$5))</f>
        <v/>
      </c>
      <c r="H172" s="35">
        <f>IF(B172="","",SUMIFS(Krankmeldungen!$F$6:$F$1005,Krankmeldungen!$A$6:$A$1005,A172))</f>
        <v/>
      </c>
      <c r="I172" s="35">
        <f>IF(B172="","",COUNTIFS(Krankmeldungen!$A$6:$A$1005,A172,Krankmeldungen!$F$6:$F$1005,"&gt;0"))</f>
        <v/>
      </c>
      <c r="J172" s="40">
        <f>IF(B172="","",IF(N(D172)&gt;0,E172/D172,""))</f>
        <v/>
      </c>
      <c r="K172" s="63">
        <f>IF(J172="","",RANK(J172,$J$6:$J$205,0))</f>
        <v/>
      </c>
      <c r="L172" s="56">
        <f>IF(J172="","",IF(J172&lt;=Einstellungen!$C$7,"unauffällig",IF(J172&lt;=Einstellungen!$C$8,"auffällig","kritisch")))</f>
        <v/>
      </c>
      <c r="M172" s="64">
        <f>IF(J172="",-1,J172+ROW()/1000000000)</f>
        <v/>
      </c>
    </row>
    <row r="173">
      <c r="A173" s="61">
        <f>IF(Mitarbeiter!B173="","",Mitarbeiter!A173)</f>
        <v/>
      </c>
      <c r="B173" s="62">
        <f>IF(Mitarbeiter!B173="","",Mitarbeiter!B173)</f>
        <v/>
      </c>
      <c r="C173" s="7">
        <f>IF(Mitarbeiter!B173="","",Mitarbeiter!G173)</f>
        <v/>
      </c>
      <c r="D173" s="57">
        <f>IF(Mitarbeiter!B173="","",Mitarbeiter!H173)</f>
        <v/>
      </c>
      <c r="E173" s="58">
        <f>IF(B173="","",SUMIFS(Krankmeldungen!$G$6:$G$1005,Krankmeldungen!$A$6:$A$1005,A173))</f>
        <v/>
      </c>
      <c r="F173" s="58">
        <f>IF(B173="","",SUMIFS(Krankmeldungen!$G$6:$G$1005,Krankmeldungen!$A$6:$A$1005,A173,Krankmeldungen!$C$6:$C$1005,Einstellungen!$C$4))</f>
        <v/>
      </c>
      <c r="G173" s="58">
        <f>IF(B173="","",SUMIFS(Krankmeldungen!$G$6:$G$1005,Krankmeldungen!$A$6:$A$1005,A173,Krankmeldungen!$C$6:$C$1005,Einstellungen!$C$5))</f>
        <v/>
      </c>
      <c r="H173" s="35">
        <f>IF(B173="","",SUMIFS(Krankmeldungen!$F$6:$F$1005,Krankmeldungen!$A$6:$A$1005,A173))</f>
        <v/>
      </c>
      <c r="I173" s="35">
        <f>IF(B173="","",COUNTIFS(Krankmeldungen!$A$6:$A$1005,A173,Krankmeldungen!$F$6:$F$1005,"&gt;0"))</f>
        <v/>
      </c>
      <c r="J173" s="40">
        <f>IF(B173="","",IF(N(D173)&gt;0,E173/D173,""))</f>
        <v/>
      </c>
      <c r="K173" s="63">
        <f>IF(J173="","",RANK(J173,$J$6:$J$205,0))</f>
        <v/>
      </c>
      <c r="L173" s="56">
        <f>IF(J173="","",IF(J173&lt;=Einstellungen!$C$7,"unauffällig",IF(J173&lt;=Einstellungen!$C$8,"auffällig","kritisch")))</f>
        <v/>
      </c>
      <c r="M173" s="64">
        <f>IF(J173="",-1,J173+ROW()/1000000000)</f>
        <v/>
      </c>
    </row>
    <row r="174">
      <c r="A174" s="61">
        <f>IF(Mitarbeiter!B174="","",Mitarbeiter!A174)</f>
        <v/>
      </c>
      <c r="B174" s="62">
        <f>IF(Mitarbeiter!B174="","",Mitarbeiter!B174)</f>
        <v/>
      </c>
      <c r="C174" s="7">
        <f>IF(Mitarbeiter!B174="","",Mitarbeiter!G174)</f>
        <v/>
      </c>
      <c r="D174" s="57">
        <f>IF(Mitarbeiter!B174="","",Mitarbeiter!H174)</f>
        <v/>
      </c>
      <c r="E174" s="58">
        <f>IF(B174="","",SUMIFS(Krankmeldungen!$G$6:$G$1005,Krankmeldungen!$A$6:$A$1005,A174))</f>
        <v/>
      </c>
      <c r="F174" s="58">
        <f>IF(B174="","",SUMIFS(Krankmeldungen!$G$6:$G$1005,Krankmeldungen!$A$6:$A$1005,A174,Krankmeldungen!$C$6:$C$1005,Einstellungen!$C$4))</f>
        <v/>
      </c>
      <c r="G174" s="58">
        <f>IF(B174="","",SUMIFS(Krankmeldungen!$G$6:$G$1005,Krankmeldungen!$A$6:$A$1005,A174,Krankmeldungen!$C$6:$C$1005,Einstellungen!$C$5))</f>
        <v/>
      </c>
      <c r="H174" s="35">
        <f>IF(B174="","",SUMIFS(Krankmeldungen!$F$6:$F$1005,Krankmeldungen!$A$6:$A$1005,A174))</f>
        <v/>
      </c>
      <c r="I174" s="35">
        <f>IF(B174="","",COUNTIFS(Krankmeldungen!$A$6:$A$1005,A174,Krankmeldungen!$F$6:$F$1005,"&gt;0"))</f>
        <v/>
      </c>
      <c r="J174" s="40">
        <f>IF(B174="","",IF(N(D174)&gt;0,E174/D174,""))</f>
        <v/>
      </c>
      <c r="K174" s="63">
        <f>IF(J174="","",RANK(J174,$J$6:$J$205,0))</f>
        <v/>
      </c>
      <c r="L174" s="56">
        <f>IF(J174="","",IF(J174&lt;=Einstellungen!$C$7,"unauffällig",IF(J174&lt;=Einstellungen!$C$8,"auffällig","kritisch")))</f>
        <v/>
      </c>
      <c r="M174" s="64">
        <f>IF(J174="",-1,J174+ROW()/1000000000)</f>
        <v/>
      </c>
    </row>
    <row r="175">
      <c r="A175" s="61">
        <f>IF(Mitarbeiter!B175="","",Mitarbeiter!A175)</f>
        <v/>
      </c>
      <c r="B175" s="62">
        <f>IF(Mitarbeiter!B175="","",Mitarbeiter!B175)</f>
        <v/>
      </c>
      <c r="C175" s="7">
        <f>IF(Mitarbeiter!B175="","",Mitarbeiter!G175)</f>
        <v/>
      </c>
      <c r="D175" s="57">
        <f>IF(Mitarbeiter!B175="","",Mitarbeiter!H175)</f>
        <v/>
      </c>
      <c r="E175" s="58">
        <f>IF(B175="","",SUMIFS(Krankmeldungen!$G$6:$G$1005,Krankmeldungen!$A$6:$A$1005,A175))</f>
        <v/>
      </c>
      <c r="F175" s="58">
        <f>IF(B175="","",SUMIFS(Krankmeldungen!$G$6:$G$1005,Krankmeldungen!$A$6:$A$1005,A175,Krankmeldungen!$C$6:$C$1005,Einstellungen!$C$4))</f>
        <v/>
      </c>
      <c r="G175" s="58">
        <f>IF(B175="","",SUMIFS(Krankmeldungen!$G$6:$G$1005,Krankmeldungen!$A$6:$A$1005,A175,Krankmeldungen!$C$6:$C$1005,Einstellungen!$C$5))</f>
        <v/>
      </c>
      <c r="H175" s="35">
        <f>IF(B175="","",SUMIFS(Krankmeldungen!$F$6:$F$1005,Krankmeldungen!$A$6:$A$1005,A175))</f>
        <v/>
      </c>
      <c r="I175" s="35">
        <f>IF(B175="","",COUNTIFS(Krankmeldungen!$A$6:$A$1005,A175,Krankmeldungen!$F$6:$F$1005,"&gt;0"))</f>
        <v/>
      </c>
      <c r="J175" s="40">
        <f>IF(B175="","",IF(N(D175)&gt;0,E175/D175,""))</f>
        <v/>
      </c>
      <c r="K175" s="63">
        <f>IF(J175="","",RANK(J175,$J$6:$J$205,0))</f>
        <v/>
      </c>
      <c r="L175" s="56">
        <f>IF(J175="","",IF(J175&lt;=Einstellungen!$C$7,"unauffällig",IF(J175&lt;=Einstellungen!$C$8,"auffällig","kritisch")))</f>
        <v/>
      </c>
      <c r="M175" s="64">
        <f>IF(J175="",-1,J175+ROW()/1000000000)</f>
        <v/>
      </c>
    </row>
    <row r="176">
      <c r="A176" s="61">
        <f>IF(Mitarbeiter!B176="","",Mitarbeiter!A176)</f>
        <v/>
      </c>
      <c r="B176" s="62">
        <f>IF(Mitarbeiter!B176="","",Mitarbeiter!B176)</f>
        <v/>
      </c>
      <c r="C176" s="7">
        <f>IF(Mitarbeiter!B176="","",Mitarbeiter!G176)</f>
        <v/>
      </c>
      <c r="D176" s="57">
        <f>IF(Mitarbeiter!B176="","",Mitarbeiter!H176)</f>
        <v/>
      </c>
      <c r="E176" s="58">
        <f>IF(B176="","",SUMIFS(Krankmeldungen!$G$6:$G$1005,Krankmeldungen!$A$6:$A$1005,A176))</f>
        <v/>
      </c>
      <c r="F176" s="58">
        <f>IF(B176="","",SUMIFS(Krankmeldungen!$G$6:$G$1005,Krankmeldungen!$A$6:$A$1005,A176,Krankmeldungen!$C$6:$C$1005,Einstellungen!$C$4))</f>
        <v/>
      </c>
      <c r="G176" s="58">
        <f>IF(B176="","",SUMIFS(Krankmeldungen!$G$6:$G$1005,Krankmeldungen!$A$6:$A$1005,A176,Krankmeldungen!$C$6:$C$1005,Einstellungen!$C$5))</f>
        <v/>
      </c>
      <c r="H176" s="35">
        <f>IF(B176="","",SUMIFS(Krankmeldungen!$F$6:$F$1005,Krankmeldungen!$A$6:$A$1005,A176))</f>
        <v/>
      </c>
      <c r="I176" s="35">
        <f>IF(B176="","",COUNTIFS(Krankmeldungen!$A$6:$A$1005,A176,Krankmeldungen!$F$6:$F$1005,"&gt;0"))</f>
        <v/>
      </c>
      <c r="J176" s="40">
        <f>IF(B176="","",IF(N(D176)&gt;0,E176/D176,""))</f>
        <v/>
      </c>
      <c r="K176" s="63">
        <f>IF(J176="","",RANK(J176,$J$6:$J$205,0))</f>
        <v/>
      </c>
      <c r="L176" s="56">
        <f>IF(J176="","",IF(J176&lt;=Einstellungen!$C$7,"unauffällig",IF(J176&lt;=Einstellungen!$C$8,"auffällig","kritisch")))</f>
        <v/>
      </c>
      <c r="M176" s="64">
        <f>IF(J176="",-1,J176+ROW()/1000000000)</f>
        <v/>
      </c>
    </row>
    <row r="177">
      <c r="A177" s="61">
        <f>IF(Mitarbeiter!B177="","",Mitarbeiter!A177)</f>
        <v/>
      </c>
      <c r="B177" s="62">
        <f>IF(Mitarbeiter!B177="","",Mitarbeiter!B177)</f>
        <v/>
      </c>
      <c r="C177" s="7">
        <f>IF(Mitarbeiter!B177="","",Mitarbeiter!G177)</f>
        <v/>
      </c>
      <c r="D177" s="57">
        <f>IF(Mitarbeiter!B177="","",Mitarbeiter!H177)</f>
        <v/>
      </c>
      <c r="E177" s="58">
        <f>IF(B177="","",SUMIFS(Krankmeldungen!$G$6:$G$1005,Krankmeldungen!$A$6:$A$1005,A177))</f>
        <v/>
      </c>
      <c r="F177" s="58">
        <f>IF(B177="","",SUMIFS(Krankmeldungen!$G$6:$G$1005,Krankmeldungen!$A$6:$A$1005,A177,Krankmeldungen!$C$6:$C$1005,Einstellungen!$C$4))</f>
        <v/>
      </c>
      <c r="G177" s="58">
        <f>IF(B177="","",SUMIFS(Krankmeldungen!$G$6:$G$1005,Krankmeldungen!$A$6:$A$1005,A177,Krankmeldungen!$C$6:$C$1005,Einstellungen!$C$5))</f>
        <v/>
      </c>
      <c r="H177" s="35">
        <f>IF(B177="","",SUMIFS(Krankmeldungen!$F$6:$F$1005,Krankmeldungen!$A$6:$A$1005,A177))</f>
        <v/>
      </c>
      <c r="I177" s="35">
        <f>IF(B177="","",COUNTIFS(Krankmeldungen!$A$6:$A$1005,A177,Krankmeldungen!$F$6:$F$1005,"&gt;0"))</f>
        <v/>
      </c>
      <c r="J177" s="40">
        <f>IF(B177="","",IF(N(D177)&gt;0,E177/D177,""))</f>
        <v/>
      </c>
      <c r="K177" s="63">
        <f>IF(J177="","",RANK(J177,$J$6:$J$205,0))</f>
        <v/>
      </c>
      <c r="L177" s="56">
        <f>IF(J177="","",IF(J177&lt;=Einstellungen!$C$7,"unauffällig",IF(J177&lt;=Einstellungen!$C$8,"auffällig","kritisch")))</f>
        <v/>
      </c>
      <c r="M177" s="64">
        <f>IF(J177="",-1,J177+ROW()/1000000000)</f>
        <v/>
      </c>
    </row>
    <row r="178">
      <c r="A178" s="61">
        <f>IF(Mitarbeiter!B178="","",Mitarbeiter!A178)</f>
        <v/>
      </c>
      <c r="B178" s="62">
        <f>IF(Mitarbeiter!B178="","",Mitarbeiter!B178)</f>
        <v/>
      </c>
      <c r="C178" s="7">
        <f>IF(Mitarbeiter!B178="","",Mitarbeiter!G178)</f>
        <v/>
      </c>
      <c r="D178" s="57">
        <f>IF(Mitarbeiter!B178="","",Mitarbeiter!H178)</f>
        <v/>
      </c>
      <c r="E178" s="58">
        <f>IF(B178="","",SUMIFS(Krankmeldungen!$G$6:$G$1005,Krankmeldungen!$A$6:$A$1005,A178))</f>
        <v/>
      </c>
      <c r="F178" s="58">
        <f>IF(B178="","",SUMIFS(Krankmeldungen!$G$6:$G$1005,Krankmeldungen!$A$6:$A$1005,A178,Krankmeldungen!$C$6:$C$1005,Einstellungen!$C$4))</f>
        <v/>
      </c>
      <c r="G178" s="58">
        <f>IF(B178="","",SUMIFS(Krankmeldungen!$G$6:$G$1005,Krankmeldungen!$A$6:$A$1005,A178,Krankmeldungen!$C$6:$C$1005,Einstellungen!$C$5))</f>
        <v/>
      </c>
      <c r="H178" s="35">
        <f>IF(B178="","",SUMIFS(Krankmeldungen!$F$6:$F$1005,Krankmeldungen!$A$6:$A$1005,A178))</f>
        <v/>
      </c>
      <c r="I178" s="35">
        <f>IF(B178="","",COUNTIFS(Krankmeldungen!$A$6:$A$1005,A178,Krankmeldungen!$F$6:$F$1005,"&gt;0"))</f>
        <v/>
      </c>
      <c r="J178" s="40">
        <f>IF(B178="","",IF(N(D178)&gt;0,E178/D178,""))</f>
        <v/>
      </c>
      <c r="K178" s="63">
        <f>IF(J178="","",RANK(J178,$J$6:$J$205,0))</f>
        <v/>
      </c>
      <c r="L178" s="56">
        <f>IF(J178="","",IF(J178&lt;=Einstellungen!$C$7,"unauffällig",IF(J178&lt;=Einstellungen!$C$8,"auffällig","kritisch")))</f>
        <v/>
      </c>
      <c r="M178" s="64">
        <f>IF(J178="",-1,J178+ROW()/1000000000)</f>
        <v/>
      </c>
    </row>
    <row r="179">
      <c r="A179" s="61">
        <f>IF(Mitarbeiter!B179="","",Mitarbeiter!A179)</f>
        <v/>
      </c>
      <c r="B179" s="62">
        <f>IF(Mitarbeiter!B179="","",Mitarbeiter!B179)</f>
        <v/>
      </c>
      <c r="C179" s="7">
        <f>IF(Mitarbeiter!B179="","",Mitarbeiter!G179)</f>
        <v/>
      </c>
      <c r="D179" s="57">
        <f>IF(Mitarbeiter!B179="","",Mitarbeiter!H179)</f>
        <v/>
      </c>
      <c r="E179" s="58">
        <f>IF(B179="","",SUMIFS(Krankmeldungen!$G$6:$G$1005,Krankmeldungen!$A$6:$A$1005,A179))</f>
        <v/>
      </c>
      <c r="F179" s="58">
        <f>IF(B179="","",SUMIFS(Krankmeldungen!$G$6:$G$1005,Krankmeldungen!$A$6:$A$1005,A179,Krankmeldungen!$C$6:$C$1005,Einstellungen!$C$4))</f>
        <v/>
      </c>
      <c r="G179" s="58">
        <f>IF(B179="","",SUMIFS(Krankmeldungen!$G$6:$G$1005,Krankmeldungen!$A$6:$A$1005,A179,Krankmeldungen!$C$6:$C$1005,Einstellungen!$C$5))</f>
        <v/>
      </c>
      <c r="H179" s="35">
        <f>IF(B179="","",SUMIFS(Krankmeldungen!$F$6:$F$1005,Krankmeldungen!$A$6:$A$1005,A179))</f>
        <v/>
      </c>
      <c r="I179" s="35">
        <f>IF(B179="","",COUNTIFS(Krankmeldungen!$A$6:$A$1005,A179,Krankmeldungen!$F$6:$F$1005,"&gt;0"))</f>
        <v/>
      </c>
      <c r="J179" s="40">
        <f>IF(B179="","",IF(N(D179)&gt;0,E179/D179,""))</f>
        <v/>
      </c>
      <c r="K179" s="63">
        <f>IF(J179="","",RANK(J179,$J$6:$J$205,0))</f>
        <v/>
      </c>
      <c r="L179" s="56">
        <f>IF(J179="","",IF(J179&lt;=Einstellungen!$C$7,"unauffällig",IF(J179&lt;=Einstellungen!$C$8,"auffällig","kritisch")))</f>
        <v/>
      </c>
      <c r="M179" s="64">
        <f>IF(J179="",-1,J179+ROW()/1000000000)</f>
        <v/>
      </c>
    </row>
    <row r="180">
      <c r="A180" s="61">
        <f>IF(Mitarbeiter!B180="","",Mitarbeiter!A180)</f>
        <v/>
      </c>
      <c r="B180" s="62">
        <f>IF(Mitarbeiter!B180="","",Mitarbeiter!B180)</f>
        <v/>
      </c>
      <c r="C180" s="7">
        <f>IF(Mitarbeiter!B180="","",Mitarbeiter!G180)</f>
        <v/>
      </c>
      <c r="D180" s="57">
        <f>IF(Mitarbeiter!B180="","",Mitarbeiter!H180)</f>
        <v/>
      </c>
      <c r="E180" s="58">
        <f>IF(B180="","",SUMIFS(Krankmeldungen!$G$6:$G$1005,Krankmeldungen!$A$6:$A$1005,A180))</f>
        <v/>
      </c>
      <c r="F180" s="58">
        <f>IF(B180="","",SUMIFS(Krankmeldungen!$G$6:$G$1005,Krankmeldungen!$A$6:$A$1005,A180,Krankmeldungen!$C$6:$C$1005,Einstellungen!$C$4))</f>
        <v/>
      </c>
      <c r="G180" s="58">
        <f>IF(B180="","",SUMIFS(Krankmeldungen!$G$6:$G$1005,Krankmeldungen!$A$6:$A$1005,A180,Krankmeldungen!$C$6:$C$1005,Einstellungen!$C$5))</f>
        <v/>
      </c>
      <c r="H180" s="35">
        <f>IF(B180="","",SUMIFS(Krankmeldungen!$F$6:$F$1005,Krankmeldungen!$A$6:$A$1005,A180))</f>
        <v/>
      </c>
      <c r="I180" s="35">
        <f>IF(B180="","",COUNTIFS(Krankmeldungen!$A$6:$A$1005,A180,Krankmeldungen!$F$6:$F$1005,"&gt;0"))</f>
        <v/>
      </c>
      <c r="J180" s="40">
        <f>IF(B180="","",IF(N(D180)&gt;0,E180/D180,""))</f>
        <v/>
      </c>
      <c r="K180" s="63">
        <f>IF(J180="","",RANK(J180,$J$6:$J$205,0))</f>
        <v/>
      </c>
      <c r="L180" s="56">
        <f>IF(J180="","",IF(J180&lt;=Einstellungen!$C$7,"unauffällig",IF(J180&lt;=Einstellungen!$C$8,"auffällig","kritisch")))</f>
        <v/>
      </c>
      <c r="M180" s="64">
        <f>IF(J180="",-1,J180+ROW()/1000000000)</f>
        <v/>
      </c>
    </row>
    <row r="181">
      <c r="A181" s="61">
        <f>IF(Mitarbeiter!B181="","",Mitarbeiter!A181)</f>
        <v/>
      </c>
      <c r="B181" s="62">
        <f>IF(Mitarbeiter!B181="","",Mitarbeiter!B181)</f>
        <v/>
      </c>
      <c r="C181" s="7">
        <f>IF(Mitarbeiter!B181="","",Mitarbeiter!G181)</f>
        <v/>
      </c>
      <c r="D181" s="57">
        <f>IF(Mitarbeiter!B181="","",Mitarbeiter!H181)</f>
        <v/>
      </c>
      <c r="E181" s="58">
        <f>IF(B181="","",SUMIFS(Krankmeldungen!$G$6:$G$1005,Krankmeldungen!$A$6:$A$1005,A181))</f>
        <v/>
      </c>
      <c r="F181" s="58">
        <f>IF(B181="","",SUMIFS(Krankmeldungen!$G$6:$G$1005,Krankmeldungen!$A$6:$A$1005,A181,Krankmeldungen!$C$6:$C$1005,Einstellungen!$C$4))</f>
        <v/>
      </c>
      <c r="G181" s="58">
        <f>IF(B181="","",SUMIFS(Krankmeldungen!$G$6:$G$1005,Krankmeldungen!$A$6:$A$1005,A181,Krankmeldungen!$C$6:$C$1005,Einstellungen!$C$5))</f>
        <v/>
      </c>
      <c r="H181" s="35">
        <f>IF(B181="","",SUMIFS(Krankmeldungen!$F$6:$F$1005,Krankmeldungen!$A$6:$A$1005,A181))</f>
        <v/>
      </c>
      <c r="I181" s="35">
        <f>IF(B181="","",COUNTIFS(Krankmeldungen!$A$6:$A$1005,A181,Krankmeldungen!$F$6:$F$1005,"&gt;0"))</f>
        <v/>
      </c>
      <c r="J181" s="40">
        <f>IF(B181="","",IF(N(D181)&gt;0,E181/D181,""))</f>
        <v/>
      </c>
      <c r="K181" s="63">
        <f>IF(J181="","",RANK(J181,$J$6:$J$205,0))</f>
        <v/>
      </c>
      <c r="L181" s="56">
        <f>IF(J181="","",IF(J181&lt;=Einstellungen!$C$7,"unauffällig",IF(J181&lt;=Einstellungen!$C$8,"auffällig","kritisch")))</f>
        <v/>
      </c>
      <c r="M181" s="64">
        <f>IF(J181="",-1,J181+ROW()/1000000000)</f>
        <v/>
      </c>
    </row>
    <row r="182">
      <c r="A182" s="61">
        <f>IF(Mitarbeiter!B182="","",Mitarbeiter!A182)</f>
        <v/>
      </c>
      <c r="B182" s="62">
        <f>IF(Mitarbeiter!B182="","",Mitarbeiter!B182)</f>
        <v/>
      </c>
      <c r="C182" s="7">
        <f>IF(Mitarbeiter!B182="","",Mitarbeiter!G182)</f>
        <v/>
      </c>
      <c r="D182" s="57">
        <f>IF(Mitarbeiter!B182="","",Mitarbeiter!H182)</f>
        <v/>
      </c>
      <c r="E182" s="58">
        <f>IF(B182="","",SUMIFS(Krankmeldungen!$G$6:$G$1005,Krankmeldungen!$A$6:$A$1005,A182))</f>
        <v/>
      </c>
      <c r="F182" s="58">
        <f>IF(B182="","",SUMIFS(Krankmeldungen!$G$6:$G$1005,Krankmeldungen!$A$6:$A$1005,A182,Krankmeldungen!$C$6:$C$1005,Einstellungen!$C$4))</f>
        <v/>
      </c>
      <c r="G182" s="58">
        <f>IF(B182="","",SUMIFS(Krankmeldungen!$G$6:$G$1005,Krankmeldungen!$A$6:$A$1005,A182,Krankmeldungen!$C$6:$C$1005,Einstellungen!$C$5))</f>
        <v/>
      </c>
      <c r="H182" s="35">
        <f>IF(B182="","",SUMIFS(Krankmeldungen!$F$6:$F$1005,Krankmeldungen!$A$6:$A$1005,A182))</f>
        <v/>
      </c>
      <c r="I182" s="35">
        <f>IF(B182="","",COUNTIFS(Krankmeldungen!$A$6:$A$1005,A182,Krankmeldungen!$F$6:$F$1005,"&gt;0"))</f>
        <v/>
      </c>
      <c r="J182" s="40">
        <f>IF(B182="","",IF(N(D182)&gt;0,E182/D182,""))</f>
        <v/>
      </c>
      <c r="K182" s="63">
        <f>IF(J182="","",RANK(J182,$J$6:$J$205,0))</f>
        <v/>
      </c>
      <c r="L182" s="56">
        <f>IF(J182="","",IF(J182&lt;=Einstellungen!$C$7,"unauffällig",IF(J182&lt;=Einstellungen!$C$8,"auffällig","kritisch")))</f>
        <v/>
      </c>
      <c r="M182" s="64">
        <f>IF(J182="",-1,J182+ROW()/1000000000)</f>
        <v/>
      </c>
    </row>
    <row r="183">
      <c r="A183" s="61">
        <f>IF(Mitarbeiter!B183="","",Mitarbeiter!A183)</f>
        <v/>
      </c>
      <c r="B183" s="62">
        <f>IF(Mitarbeiter!B183="","",Mitarbeiter!B183)</f>
        <v/>
      </c>
      <c r="C183" s="7">
        <f>IF(Mitarbeiter!B183="","",Mitarbeiter!G183)</f>
        <v/>
      </c>
      <c r="D183" s="57">
        <f>IF(Mitarbeiter!B183="","",Mitarbeiter!H183)</f>
        <v/>
      </c>
      <c r="E183" s="58">
        <f>IF(B183="","",SUMIFS(Krankmeldungen!$G$6:$G$1005,Krankmeldungen!$A$6:$A$1005,A183))</f>
        <v/>
      </c>
      <c r="F183" s="58">
        <f>IF(B183="","",SUMIFS(Krankmeldungen!$G$6:$G$1005,Krankmeldungen!$A$6:$A$1005,A183,Krankmeldungen!$C$6:$C$1005,Einstellungen!$C$4))</f>
        <v/>
      </c>
      <c r="G183" s="58">
        <f>IF(B183="","",SUMIFS(Krankmeldungen!$G$6:$G$1005,Krankmeldungen!$A$6:$A$1005,A183,Krankmeldungen!$C$6:$C$1005,Einstellungen!$C$5))</f>
        <v/>
      </c>
      <c r="H183" s="35">
        <f>IF(B183="","",SUMIFS(Krankmeldungen!$F$6:$F$1005,Krankmeldungen!$A$6:$A$1005,A183))</f>
        <v/>
      </c>
      <c r="I183" s="35">
        <f>IF(B183="","",COUNTIFS(Krankmeldungen!$A$6:$A$1005,A183,Krankmeldungen!$F$6:$F$1005,"&gt;0"))</f>
        <v/>
      </c>
      <c r="J183" s="40">
        <f>IF(B183="","",IF(N(D183)&gt;0,E183/D183,""))</f>
        <v/>
      </c>
      <c r="K183" s="63">
        <f>IF(J183="","",RANK(J183,$J$6:$J$205,0))</f>
        <v/>
      </c>
      <c r="L183" s="56">
        <f>IF(J183="","",IF(J183&lt;=Einstellungen!$C$7,"unauffällig",IF(J183&lt;=Einstellungen!$C$8,"auffällig","kritisch")))</f>
        <v/>
      </c>
      <c r="M183" s="64">
        <f>IF(J183="",-1,J183+ROW()/1000000000)</f>
        <v/>
      </c>
    </row>
    <row r="184">
      <c r="A184" s="61">
        <f>IF(Mitarbeiter!B184="","",Mitarbeiter!A184)</f>
        <v/>
      </c>
      <c r="B184" s="62">
        <f>IF(Mitarbeiter!B184="","",Mitarbeiter!B184)</f>
        <v/>
      </c>
      <c r="C184" s="7">
        <f>IF(Mitarbeiter!B184="","",Mitarbeiter!G184)</f>
        <v/>
      </c>
      <c r="D184" s="57">
        <f>IF(Mitarbeiter!B184="","",Mitarbeiter!H184)</f>
        <v/>
      </c>
      <c r="E184" s="58">
        <f>IF(B184="","",SUMIFS(Krankmeldungen!$G$6:$G$1005,Krankmeldungen!$A$6:$A$1005,A184))</f>
        <v/>
      </c>
      <c r="F184" s="58">
        <f>IF(B184="","",SUMIFS(Krankmeldungen!$G$6:$G$1005,Krankmeldungen!$A$6:$A$1005,A184,Krankmeldungen!$C$6:$C$1005,Einstellungen!$C$4))</f>
        <v/>
      </c>
      <c r="G184" s="58">
        <f>IF(B184="","",SUMIFS(Krankmeldungen!$G$6:$G$1005,Krankmeldungen!$A$6:$A$1005,A184,Krankmeldungen!$C$6:$C$1005,Einstellungen!$C$5))</f>
        <v/>
      </c>
      <c r="H184" s="35">
        <f>IF(B184="","",SUMIFS(Krankmeldungen!$F$6:$F$1005,Krankmeldungen!$A$6:$A$1005,A184))</f>
        <v/>
      </c>
      <c r="I184" s="35">
        <f>IF(B184="","",COUNTIFS(Krankmeldungen!$A$6:$A$1005,A184,Krankmeldungen!$F$6:$F$1005,"&gt;0"))</f>
        <v/>
      </c>
      <c r="J184" s="40">
        <f>IF(B184="","",IF(N(D184)&gt;0,E184/D184,""))</f>
        <v/>
      </c>
      <c r="K184" s="63">
        <f>IF(J184="","",RANK(J184,$J$6:$J$205,0))</f>
        <v/>
      </c>
      <c r="L184" s="56">
        <f>IF(J184="","",IF(J184&lt;=Einstellungen!$C$7,"unauffällig",IF(J184&lt;=Einstellungen!$C$8,"auffällig","kritisch")))</f>
        <v/>
      </c>
      <c r="M184" s="64">
        <f>IF(J184="",-1,J184+ROW()/1000000000)</f>
        <v/>
      </c>
    </row>
    <row r="185">
      <c r="A185" s="61">
        <f>IF(Mitarbeiter!B185="","",Mitarbeiter!A185)</f>
        <v/>
      </c>
      <c r="B185" s="62">
        <f>IF(Mitarbeiter!B185="","",Mitarbeiter!B185)</f>
        <v/>
      </c>
      <c r="C185" s="7">
        <f>IF(Mitarbeiter!B185="","",Mitarbeiter!G185)</f>
        <v/>
      </c>
      <c r="D185" s="57">
        <f>IF(Mitarbeiter!B185="","",Mitarbeiter!H185)</f>
        <v/>
      </c>
      <c r="E185" s="58">
        <f>IF(B185="","",SUMIFS(Krankmeldungen!$G$6:$G$1005,Krankmeldungen!$A$6:$A$1005,A185))</f>
        <v/>
      </c>
      <c r="F185" s="58">
        <f>IF(B185="","",SUMIFS(Krankmeldungen!$G$6:$G$1005,Krankmeldungen!$A$6:$A$1005,A185,Krankmeldungen!$C$6:$C$1005,Einstellungen!$C$4))</f>
        <v/>
      </c>
      <c r="G185" s="58">
        <f>IF(B185="","",SUMIFS(Krankmeldungen!$G$6:$G$1005,Krankmeldungen!$A$6:$A$1005,A185,Krankmeldungen!$C$6:$C$1005,Einstellungen!$C$5))</f>
        <v/>
      </c>
      <c r="H185" s="35">
        <f>IF(B185="","",SUMIFS(Krankmeldungen!$F$6:$F$1005,Krankmeldungen!$A$6:$A$1005,A185))</f>
        <v/>
      </c>
      <c r="I185" s="35">
        <f>IF(B185="","",COUNTIFS(Krankmeldungen!$A$6:$A$1005,A185,Krankmeldungen!$F$6:$F$1005,"&gt;0"))</f>
        <v/>
      </c>
      <c r="J185" s="40">
        <f>IF(B185="","",IF(N(D185)&gt;0,E185/D185,""))</f>
        <v/>
      </c>
      <c r="K185" s="63">
        <f>IF(J185="","",RANK(J185,$J$6:$J$205,0))</f>
        <v/>
      </c>
      <c r="L185" s="56">
        <f>IF(J185="","",IF(J185&lt;=Einstellungen!$C$7,"unauffällig",IF(J185&lt;=Einstellungen!$C$8,"auffällig","kritisch")))</f>
        <v/>
      </c>
      <c r="M185" s="64">
        <f>IF(J185="",-1,J185+ROW()/1000000000)</f>
        <v/>
      </c>
    </row>
    <row r="186">
      <c r="A186" s="61">
        <f>IF(Mitarbeiter!B186="","",Mitarbeiter!A186)</f>
        <v/>
      </c>
      <c r="B186" s="62">
        <f>IF(Mitarbeiter!B186="","",Mitarbeiter!B186)</f>
        <v/>
      </c>
      <c r="C186" s="7">
        <f>IF(Mitarbeiter!B186="","",Mitarbeiter!G186)</f>
        <v/>
      </c>
      <c r="D186" s="57">
        <f>IF(Mitarbeiter!B186="","",Mitarbeiter!H186)</f>
        <v/>
      </c>
      <c r="E186" s="58">
        <f>IF(B186="","",SUMIFS(Krankmeldungen!$G$6:$G$1005,Krankmeldungen!$A$6:$A$1005,A186))</f>
        <v/>
      </c>
      <c r="F186" s="58">
        <f>IF(B186="","",SUMIFS(Krankmeldungen!$G$6:$G$1005,Krankmeldungen!$A$6:$A$1005,A186,Krankmeldungen!$C$6:$C$1005,Einstellungen!$C$4))</f>
        <v/>
      </c>
      <c r="G186" s="58">
        <f>IF(B186="","",SUMIFS(Krankmeldungen!$G$6:$G$1005,Krankmeldungen!$A$6:$A$1005,A186,Krankmeldungen!$C$6:$C$1005,Einstellungen!$C$5))</f>
        <v/>
      </c>
      <c r="H186" s="35">
        <f>IF(B186="","",SUMIFS(Krankmeldungen!$F$6:$F$1005,Krankmeldungen!$A$6:$A$1005,A186))</f>
        <v/>
      </c>
      <c r="I186" s="35">
        <f>IF(B186="","",COUNTIFS(Krankmeldungen!$A$6:$A$1005,A186,Krankmeldungen!$F$6:$F$1005,"&gt;0"))</f>
        <v/>
      </c>
      <c r="J186" s="40">
        <f>IF(B186="","",IF(N(D186)&gt;0,E186/D186,""))</f>
        <v/>
      </c>
      <c r="K186" s="63">
        <f>IF(J186="","",RANK(J186,$J$6:$J$205,0))</f>
        <v/>
      </c>
      <c r="L186" s="56">
        <f>IF(J186="","",IF(J186&lt;=Einstellungen!$C$7,"unauffällig",IF(J186&lt;=Einstellungen!$C$8,"auffällig","kritisch")))</f>
        <v/>
      </c>
      <c r="M186" s="64">
        <f>IF(J186="",-1,J186+ROW()/1000000000)</f>
        <v/>
      </c>
    </row>
    <row r="187">
      <c r="A187" s="61">
        <f>IF(Mitarbeiter!B187="","",Mitarbeiter!A187)</f>
        <v/>
      </c>
      <c r="B187" s="62">
        <f>IF(Mitarbeiter!B187="","",Mitarbeiter!B187)</f>
        <v/>
      </c>
      <c r="C187" s="7">
        <f>IF(Mitarbeiter!B187="","",Mitarbeiter!G187)</f>
        <v/>
      </c>
      <c r="D187" s="57">
        <f>IF(Mitarbeiter!B187="","",Mitarbeiter!H187)</f>
        <v/>
      </c>
      <c r="E187" s="58">
        <f>IF(B187="","",SUMIFS(Krankmeldungen!$G$6:$G$1005,Krankmeldungen!$A$6:$A$1005,A187))</f>
        <v/>
      </c>
      <c r="F187" s="58">
        <f>IF(B187="","",SUMIFS(Krankmeldungen!$G$6:$G$1005,Krankmeldungen!$A$6:$A$1005,A187,Krankmeldungen!$C$6:$C$1005,Einstellungen!$C$4))</f>
        <v/>
      </c>
      <c r="G187" s="58">
        <f>IF(B187="","",SUMIFS(Krankmeldungen!$G$6:$G$1005,Krankmeldungen!$A$6:$A$1005,A187,Krankmeldungen!$C$6:$C$1005,Einstellungen!$C$5))</f>
        <v/>
      </c>
      <c r="H187" s="35">
        <f>IF(B187="","",SUMIFS(Krankmeldungen!$F$6:$F$1005,Krankmeldungen!$A$6:$A$1005,A187))</f>
        <v/>
      </c>
      <c r="I187" s="35">
        <f>IF(B187="","",COUNTIFS(Krankmeldungen!$A$6:$A$1005,A187,Krankmeldungen!$F$6:$F$1005,"&gt;0"))</f>
        <v/>
      </c>
      <c r="J187" s="40">
        <f>IF(B187="","",IF(N(D187)&gt;0,E187/D187,""))</f>
        <v/>
      </c>
      <c r="K187" s="63">
        <f>IF(J187="","",RANK(J187,$J$6:$J$205,0))</f>
        <v/>
      </c>
      <c r="L187" s="56">
        <f>IF(J187="","",IF(J187&lt;=Einstellungen!$C$7,"unauffällig",IF(J187&lt;=Einstellungen!$C$8,"auffällig","kritisch")))</f>
        <v/>
      </c>
      <c r="M187" s="64">
        <f>IF(J187="",-1,J187+ROW()/1000000000)</f>
        <v/>
      </c>
    </row>
    <row r="188">
      <c r="A188" s="61">
        <f>IF(Mitarbeiter!B188="","",Mitarbeiter!A188)</f>
        <v/>
      </c>
      <c r="B188" s="62">
        <f>IF(Mitarbeiter!B188="","",Mitarbeiter!B188)</f>
        <v/>
      </c>
      <c r="C188" s="7">
        <f>IF(Mitarbeiter!B188="","",Mitarbeiter!G188)</f>
        <v/>
      </c>
      <c r="D188" s="57">
        <f>IF(Mitarbeiter!B188="","",Mitarbeiter!H188)</f>
        <v/>
      </c>
      <c r="E188" s="58">
        <f>IF(B188="","",SUMIFS(Krankmeldungen!$G$6:$G$1005,Krankmeldungen!$A$6:$A$1005,A188))</f>
        <v/>
      </c>
      <c r="F188" s="58">
        <f>IF(B188="","",SUMIFS(Krankmeldungen!$G$6:$G$1005,Krankmeldungen!$A$6:$A$1005,A188,Krankmeldungen!$C$6:$C$1005,Einstellungen!$C$4))</f>
        <v/>
      </c>
      <c r="G188" s="58">
        <f>IF(B188="","",SUMIFS(Krankmeldungen!$G$6:$G$1005,Krankmeldungen!$A$6:$A$1005,A188,Krankmeldungen!$C$6:$C$1005,Einstellungen!$C$5))</f>
        <v/>
      </c>
      <c r="H188" s="35">
        <f>IF(B188="","",SUMIFS(Krankmeldungen!$F$6:$F$1005,Krankmeldungen!$A$6:$A$1005,A188))</f>
        <v/>
      </c>
      <c r="I188" s="35">
        <f>IF(B188="","",COUNTIFS(Krankmeldungen!$A$6:$A$1005,A188,Krankmeldungen!$F$6:$F$1005,"&gt;0"))</f>
        <v/>
      </c>
      <c r="J188" s="40">
        <f>IF(B188="","",IF(N(D188)&gt;0,E188/D188,""))</f>
        <v/>
      </c>
      <c r="K188" s="63">
        <f>IF(J188="","",RANK(J188,$J$6:$J$205,0))</f>
        <v/>
      </c>
      <c r="L188" s="56">
        <f>IF(J188="","",IF(J188&lt;=Einstellungen!$C$7,"unauffällig",IF(J188&lt;=Einstellungen!$C$8,"auffällig","kritisch")))</f>
        <v/>
      </c>
      <c r="M188" s="64">
        <f>IF(J188="",-1,J188+ROW()/1000000000)</f>
        <v/>
      </c>
    </row>
    <row r="189">
      <c r="A189" s="61">
        <f>IF(Mitarbeiter!B189="","",Mitarbeiter!A189)</f>
        <v/>
      </c>
      <c r="B189" s="62">
        <f>IF(Mitarbeiter!B189="","",Mitarbeiter!B189)</f>
        <v/>
      </c>
      <c r="C189" s="7">
        <f>IF(Mitarbeiter!B189="","",Mitarbeiter!G189)</f>
        <v/>
      </c>
      <c r="D189" s="57">
        <f>IF(Mitarbeiter!B189="","",Mitarbeiter!H189)</f>
        <v/>
      </c>
      <c r="E189" s="58">
        <f>IF(B189="","",SUMIFS(Krankmeldungen!$G$6:$G$1005,Krankmeldungen!$A$6:$A$1005,A189))</f>
        <v/>
      </c>
      <c r="F189" s="58">
        <f>IF(B189="","",SUMIFS(Krankmeldungen!$G$6:$G$1005,Krankmeldungen!$A$6:$A$1005,A189,Krankmeldungen!$C$6:$C$1005,Einstellungen!$C$4))</f>
        <v/>
      </c>
      <c r="G189" s="58">
        <f>IF(B189="","",SUMIFS(Krankmeldungen!$G$6:$G$1005,Krankmeldungen!$A$6:$A$1005,A189,Krankmeldungen!$C$6:$C$1005,Einstellungen!$C$5))</f>
        <v/>
      </c>
      <c r="H189" s="35">
        <f>IF(B189="","",SUMIFS(Krankmeldungen!$F$6:$F$1005,Krankmeldungen!$A$6:$A$1005,A189))</f>
        <v/>
      </c>
      <c r="I189" s="35">
        <f>IF(B189="","",COUNTIFS(Krankmeldungen!$A$6:$A$1005,A189,Krankmeldungen!$F$6:$F$1005,"&gt;0"))</f>
        <v/>
      </c>
      <c r="J189" s="40">
        <f>IF(B189="","",IF(N(D189)&gt;0,E189/D189,""))</f>
        <v/>
      </c>
      <c r="K189" s="63">
        <f>IF(J189="","",RANK(J189,$J$6:$J$205,0))</f>
        <v/>
      </c>
      <c r="L189" s="56">
        <f>IF(J189="","",IF(J189&lt;=Einstellungen!$C$7,"unauffällig",IF(J189&lt;=Einstellungen!$C$8,"auffällig","kritisch")))</f>
        <v/>
      </c>
      <c r="M189" s="64">
        <f>IF(J189="",-1,J189+ROW()/1000000000)</f>
        <v/>
      </c>
    </row>
    <row r="190">
      <c r="A190" s="61">
        <f>IF(Mitarbeiter!B190="","",Mitarbeiter!A190)</f>
        <v/>
      </c>
      <c r="B190" s="62">
        <f>IF(Mitarbeiter!B190="","",Mitarbeiter!B190)</f>
        <v/>
      </c>
      <c r="C190" s="7">
        <f>IF(Mitarbeiter!B190="","",Mitarbeiter!G190)</f>
        <v/>
      </c>
      <c r="D190" s="57">
        <f>IF(Mitarbeiter!B190="","",Mitarbeiter!H190)</f>
        <v/>
      </c>
      <c r="E190" s="58">
        <f>IF(B190="","",SUMIFS(Krankmeldungen!$G$6:$G$1005,Krankmeldungen!$A$6:$A$1005,A190))</f>
        <v/>
      </c>
      <c r="F190" s="58">
        <f>IF(B190="","",SUMIFS(Krankmeldungen!$G$6:$G$1005,Krankmeldungen!$A$6:$A$1005,A190,Krankmeldungen!$C$6:$C$1005,Einstellungen!$C$4))</f>
        <v/>
      </c>
      <c r="G190" s="58">
        <f>IF(B190="","",SUMIFS(Krankmeldungen!$G$6:$G$1005,Krankmeldungen!$A$6:$A$1005,A190,Krankmeldungen!$C$6:$C$1005,Einstellungen!$C$5))</f>
        <v/>
      </c>
      <c r="H190" s="35">
        <f>IF(B190="","",SUMIFS(Krankmeldungen!$F$6:$F$1005,Krankmeldungen!$A$6:$A$1005,A190))</f>
        <v/>
      </c>
      <c r="I190" s="35">
        <f>IF(B190="","",COUNTIFS(Krankmeldungen!$A$6:$A$1005,A190,Krankmeldungen!$F$6:$F$1005,"&gt;0"))</f>
        <v/>
      </c>
      <c r="J190" s="40">
        <f>IF(B190="","",IF(N(D190)&gt;0,E190/D190,""))</f>
        <v/>
      </c>
      <c r="K190" s="63">
        <f>IF(J190="","",RANK(J190,$J$6:$J$205,0))</f>
        <v/>
      </c>
      <c r="L190" s="56">
        <f>IF(J190="","",IF(J190&lt;=Einstellungen!$C$7,"unauffällig",IF(J190&lt;=Einstellungen!$C$8,"auffällig","kritisch")))</f>
        <v/>
      </c>
      <c r="M190" s="64">
        <f>IF(J190="",-1,J190+ROW()/1000000000)</f>
        <v/>
      </c>
    </row>
    <row r="191">
      <c r="A191" s="61">
        <f>IF(Mitarbeiter!B191="","",Mitarbeiter!A191)</f>
        <v/>
      </c>
      <c r="B191" s="62">
        <f>IF(Mitarbeiter!B191="","",Mitarbeiter!B191)</f>
        <v/>
      </c>
      <c r="C191" s="7">
        <f>IF(Mitarbeiter!B191="","",Mitarbeiter!G191)</f>
        <v/>
      </c>
      <c r="D191" s="57">
        <f>IF(Mitarbeiter!B191="","",Mitarbeiter!H191)</f>
        <v/>
      </c>
      <c r="E191" s="58">
        <f>IF(B191="","",SUMIFS(Krankmeldungen!$G$6:$G$1005,Krankmeldungen!$A$6:$A$1005,A191))</f>
        <v/>
      </c>
      <c r="F191" s="58">
        <f>IF(B191="","",SUMIFS(Krankmeldungen!$G$6:$G$1005,Krankmeldungen!$A$6:$A$1005,A191,Krankmeldungen!$C$6:$C$1005,Einstellungen!$C$4))</f>
        <v/>
      </c>
      <c r="G191" s="58">
        <f>IF(B191="","",SUMIFS(Krankmeldungen!$G$6:$G$1005,Krankmeldungen!$A$6:$A$1005,A191,Krankmeldungen!$C$6:$C$1005,Einstellungen!$C$5))</f>
        <v/>
      </c>
      <c r="H191" s="35">
        <f>IF(B191="","",SUMIFS(Krankmeldungen!$F$6:$F$1005,Krankmeldungen!$A$6:$A$1005,A191))</f>
        <v/>
      </c>
      <c r="I191" s="35">
        <f>IF(B191="","",COUNTIFS(Krankmeldungen!$A$6:$A$1005,A191,Krankmeldungen!$F$6:$F$1005,"&gt;0"))</f>
        <v/>
      </c>
      <c r="J191" s="40">
        <f>IF(B191="","",IF(N(D191)&gt;0,E191/D191,""))</f>
        <v/>
      </c>
      <c r="K191" s="63">
        <f>IF(J191="","",RANK(J191,$J$6:$J$205,0))</f>
        <v/>
      </c>
      <c r="L191" s="56">
        <f>IF(J191="","",IF(J191&lt;=Einstellungen!$C$7,"unauffällig",IF(J191&lt;=Einstellungen!$C$8,"auffällig","kritisch")))</f>
        <v/>
      </c>
      <c r="M191" s="64">
        <f>IF(J191="",-1,J191+ROW()/1000000000)</f>
        <v/>
      </c>
    </row>
    <row r="192">
      <c r="A192" s="61">
        <f>IF(Mitarbeiter!B192="","",Mitarbeiter!A192)</f>
        <v/>
      </c>
      <c r="B192" s="62">
        <f>IF(Mitarbeiter!B192="","",Mitarbeiter!B192)</f>
        <v/>
      </c>
      <c r="C192" s="7">
        <f>IF(Mitarbeiter!B192="","",Mitarbeiter!G192)</f>
        <v/>
      </c>
      <c r="D192" s="57">
        <f>IF(Mitarbeiter!B192="","",Mitarbeiter!H192)</f>
        <v/>
      </c>
      <c r="E192" s="58">
        <f>IF(B192="","",SUMIFS(Krankmeldungen!$G$6:$G$1005,Krankmeldungen!$A$6:$A$1005,A192))</f>
        <v/>
      </c>
      <c r="F192" s="58">
        <f>IF(B192="","",SUMIFS(Krankmeldungen!$G$6:$G$1005,Krankmeldungen!$A$6:$A$1005,A192,Krankmeldungen!$C$6:$C$1005,Einstellungen!$C$4))</f>
        <v/>
      </c>
      <c r="G192" s="58">
        <f>IF(B192="","",SUMIFS(Krankmeldungen!$G$6:$G$1005,Krankmeldungen!$A$6:$A$1005,A192,Krankmeldungen!$C$6:$C$1005,Einstellungen!$C$5))</f>
        <v/>
      </c>
      <c r="H192" s="35">
        <f>IF(B192="","",SUMIFS(Krankmeldungen!$F$6:$F$1005,Krankmeldungen!$A$6:$A$1005,A192))</f>
        <v/>
      </c>
      <c r="I192" s="35">
        <f>IF(B192="","",COUNTIFS(Krankmeldungen!$A$6:$A$1005,A192,Krankmeldungen!$F$6:$F$1005,"&gt;0"))</f>
        <v/>
      </c>
      <c r="J192" s="40">
        <f>IF(B192="","",IF(N(D192)&gt;0,E192/D192,""))</f>
        <v/>
      </c>
      <c r="K192" s="63">
        <f>IF(J192="","",RANK(J192,$J$6:$J$205,0))</f>
        <v/>
      </c>
      <c r="L192" s="56">
        <f>IF(J192="","",IF(J192&lt;=Einstellungen!$C$7,"unauffällig",IF(J192&lt;=Einstellungen!$C$8,"auffällig","kritisch")))</f>
        <v/>
      </c>
      <c r="M192" s="64">
        <f>IF(J192="",-1,J192+ROW()/1000000000)</f>
        <v/>
      </c>
    </row>
    <row r="193">
      <c r="A193" s="61">
        <f>IF(Mitarbeiter!B193="","",Mitarbeiter!A193)</f>
        <v/>
      </c>
      <c r="B193" s="62">
        <f>IF(Mitarbeiter!B193="","",Mitarbeiter!B193)</f>
        <v/>
      </c>
      <c r="C193" s="7">
        <f>IF(Mitarbeiter!B193="","",Mitarbeiter!G193)</f>
        <v/>
      </c>
      <c r="D193" s="57">
        <f>IF(Mitarbeiter!B193="","",Mitarbeiter!H193)</f>
        <v/>
      </c>
      <c r="E193" s="58">
        <f>IF(B193="","",SUMIFS(Krankmeldungen!$G$6:$G$1005,Krankmeldungen!$A$6:$A$1005,A193))</f>
        <v/>
      </c>
      <c r="F193" s="58">
        <f>IF(B193="","",SUMIFS(Krankmeldungen!$G$6:$G$1005,Krankmeldungen!$A$6:$A$1005,A193,Krankmeldungen!$C$6:$C$1005,Einstellungen!$C$4))</f>
        <v/>
      </c>
      <c r="G193" s="58">
        <f>IF(B193="","",SUMIFS(Krankmeldungen!$G$6:$G$1005,Krankmeldungen!$A$6:$A$1005,A193,Krankmeldungen!$C$6:$C$1005,Einstellungen!$C$5))</f>
        <v/>
      </c>
      <c r="H193" s="35">
        <f>IF(B193="","",SUMIFS(Krankmeldungen!$F$6:$F$1005,Krankmeldungen!$A$6:$A$1005,A193))</f>
        <v/>
      </c>
      <c r="I193" s="35">
        <f>IF(B193="","",COUNTIFS(Krankmeldungen!$A$6:$A$1005,A193,Krankmeldungen!$F$6:$F$1005,"&gt;0"))</f>
        <v/>
      </c>
      <c r="J193" s="40">
        <f>IF(B193="","",IF(N(D193)&gt;0,E193/D193,""))</f>
        <v/>
      </c>
      <c r="K193" s="63">
        <f>IF(J193="","",RANK(J193,$J$6:$J$205,0))</f>
        <v/>
      </c>
      <c r="L193" s="56">
        <f>IF(J193="","",IF(J193&lt;=Einstellungen!$C$7,"unauffällig",IF(J193&lt;=Einstellungen!$C$8,"auffällig","kritisch")))</f>
        <v/>
      </c>
      <c r="M193" s="64">
        <f>IF(J193="",-1,J193+ROW()/1000000000)</f>
        <v/>
      </c>
    </row>
    <row r="194">
      <c r="A194" s="61">
        <f>IF(Mitarbeiter!B194="","",Mitarbeiter!A194)</f>
        <v/>
      </c>
      <c r="B194" s="62">
        <f>IF(Mitarbeiter!B194="","",Mitarbeiter!B194)</f>
        <v/>
      </c>
      <c r="C194" s="7">
        <f>IF(Mitarbeiter!B194="","",Mitarbeiter!G194)</f>
        <v/>
      </c>
      <c r="D194" s="57">
        <f>IF(Mitarbeiter!B194="","",Mitarbeiter!H194)</f>
        <v/>
      </c>
      <c r="E194" s="58">
        <f>IF(B194="","",SUMIFS(Krankmeldungen!$G$6:$G$1005,Krankmeldungen!$A$6:$A$1005,A194))</f>
        <v/>
      </c>
      <c r="F194" s="58">
        <f>IF(B194="","",SUMIFS(Krankmeldungen!$G$6:$G$1005,Krankmeldungen!$A$6:$A$1005,A194,Krankmeldungen!$C$6:$C$1005,Einstellungen!$C$4))</f>
        <v/>
      </c>
      <c r="G194" s="58">
        <f>IF(B194="","",SUMIFS(Krankmeldungen!$G$6:$G$1005,Krankmeldungen!$A$6:$A$1005,A194,Krankmeldungen!$C$6:$C$1005,Einstellungen!$C$5))</f>
        <v/>
      </c>
      <c r="H194" s="35">
        <f>IF(B194="","",SUMIFS(Krankmeldungen!$F$6:$F$1005,Krankmeldungen!$A$6:$A$1005,A194))</f>
        <v/>
      </c>
      <c r="I194" s="35">
        <f>IF(B194="","",COUNTIFS(Krankmeldungen!$A$6:$A$1005,A194,Krankmeldungen!$F$6:$F$1005,"&gt;0"))</f>
        <v/>
      </c>
      <c r="J194" s="40">
        <f>IF(B194="","",IF(N(D194)&gt;0,E194/D194,""))</f>
        <v/>
      </c>
      <c r="K194" s="63">
        <f>IF(J194="","",RANK(J194,$J$6:$J$205,0))</f>
        <v/>
      </c>
      <c r="L194" s="56">
        <f>IF(J194="","",IF(J194&lt;=Einstellungen!$C$7,"unauffällig",IF(J194&lt;=Einstellungen!$C$8,"auffällig","kritisch")))</f>
        <v/>
      </c>
      <c r="M194" s="64">
        <f>IF(J194="",-1,J194+ROW()/1000000000)</f>
        <v/>
      </c>
    </row>
    <row r="195">
      <c r="A195" s="61">
        <f>IF(Mitarbeiter!B195="","",Mitarbeiter!A195)</f>
        <v/>
      </c>
      <c r="B195" s="62">
        <f>IF(Mitarbeiter!B195="","",Mitarbeiter!B195)</f>
        <v/>
      </c>
      <c r="C195" s="7">
        <f>IF(Mitarbeiter!B195="","",Mitarbeiter!G195)</f>
        <v/>
      </c>
      <c r="D195" s="57">
        <f>IF(Mitarbeiter!B195="","",Mitarbeiter!H195)</f>
        <v/>
      </c>
      <c r="E195" s="58">
        <f>IF(B195="","",SUMIFS(Krankmeldungen!$G$6:$G$1005,Krankmeldungen!$A$6:$A$1005,A195))</f>
        <v/>
      </c>
      <c r="F195" s="58">
        <f>IF(B195="","",SUMIFS(Krankmeldungen!$G$6:$G$1005,Krankmeldungen!$A$6:$A$1005,A195,Krankmeldungen!$C$6:$C$1005,Einstellungen!$C$4))</f>
        <v/>
      </c>
      <c r="G195" s="58">
        <f>IF(B195="","",SUMIFS(Krankmeldungen!$G$6:$G$1005,Krankmeldungen!$A$6:$A$1005,A195,Krankmeldungen!$C$6:$C$1005,Einstellungen!$C$5))</f>
        <v/>
      </c>
      <c r="H195" s="35">
        <f>IF(B195="","",SUMIFS(Krankmeldungen!$F$6:$F$1005,Krankmeldungen!$A$6:$A$1005,A195))</f>
        <v/>
      </c>
      <c r="I195" s="35">
        <f>IF(B195="","",COUNTIFS(Krankmeldungen!$A$6:$A$1005,A195,Krankmeldungen!$F$6:$F$1005,"&gt;0"))</f>
        <v/>
      </c>
      <c r="J195" s="40">
        <f>IF(B195="","",IF(N(D195)&gt;0,E195/D195,""))</f>
        <v/>
      </c>
      <c r="K195" s="63">
        <f>IF(J195="","",RANK(J195,$J$6:$J$205,0))</f>
        <v/>
      </c>
      <c r="L195" s="56">
        <f>IF(J195="","",IF(J195&lt;=Einstellungen!$C$7,"unauffällig",IF(J195&lt;=Einstellungen!$C$8,"auffällig","kritisch")))</f>
        <v/>
      </c>
      <c r="M195" s="64">
        <f>IF(J195="",-1,J195+ROW()/1000000000)</f>
        <v/>
      </c>
    </row>
    <row r="196">
      <c r="A196" s="61">
        <f>IF(Mitarbeiter!B196="","",Mitarbeiter!A196)</f>
        <v/>
      </c>
      <c r="B196" s="62">
        <f>IF(Mitarbeiter!B196="","",Mitarbeiter!B196)</f>
        <v/>
      </c>
      <c r="C196" s="7">
        <f>IF(Mitarbeiter!B196="","",Mitarbeiter!G196)</f>
        <v/>
      </c>
      <c r="D196" s="57">
        <f>IF(Mitarbeiter!B196="","",Mitarbeiter!H196)</f>
        <v/>
      </c>
      <c r="E196" s="58">
        <f>IF(B196="","",SUMIFS(Krankmeldungen!$G$6:$G$1005,Krankmeldungen!$A$6:$A$1005,A196))</f>
        <v/>
      </c>
      <c r="F196" s="58">
        <f>IF(B196="","",SUMIFS(Krankmeldungen!$G$6:$G$1005,Krankmeldungen!$A$6:$A$1005,A196,Krankmeldungen!$C$6:$C$1005,Einstellungen!$C$4))</f>
        <v/>
      </c>
      <c r="G196" s="58">
        <f>IF(B196="","",SUMIFS(Krankmeldungen!$G$6:$G$1005,Krankmeldungen!$A$6:$A$1005,A196,Krankmeldungen!$C$6:$C$1005,Einstellungen!$C$5))</f>
        <v/>
      </c>
      <c r="H196" s="35">
        <f>IF(B196="","",SUMIFS(Krankmeldungen!$F$6:$F$1005,Krankmeldungen!$A$6:$A$1005,A196))</f>
        <v/>
      </c>
      <c r="I196" s="35">
        <f>IF(B196="","",COUNTIFS(Krankmeldungen!$A$6:$A$1005,A196,Krankmeldungen!$F$6:$F$1005,"&gt;0"))</f>
        <v/>
      </c>
      <c r="J196" s="40">
        <f>IF(B196="","",IF(N(D196)&gt;0,E196/D196,""))</f>
        <v/>
      </c>
      <c r="K196" s="63">
        <f>IF(J196="","",RANK(J196,$J$6:$J$205,0))</f>
        <v/>
      </c>
      <c r="L196" s="56">
        <f>IF(J196="","",IF(J196&lt;=Einstellungen!$C$7,"unauffällig",IF(J196&lt;=Einstellungen!$C$8,"auffällig","kritisch")))</f>
        <v/>
      </c>
      <c r="M196" s="64">
        <f>IF(J196="",-1,J196+ROW()/1000000000)</f>
        <v/>
      </c>
    </row>
    <row r="197">
      <c r="A197" s="61">
        <f>IF(Mitarbeiter!B197="","",Mitarbeiter!A197)</f>
        <v/>
      </c>
      <c r="B197" s="62">
        <f>IF(Mitarbeiter!B197="","",Mitarbeiter!B197)</f>
        <v/>
      </c>
      <c r="C197" s="7">
        <f>IF(Mitarbeiter!B197="","",Mitarbeiter!G197)</f>
        <v/>
      </c>
      <c r="D197" s="57">
        <f>IF(Mitarbeiter!B197="","",Mitarbeiter!H197)</f>
        <v/>
      </c>
      <c r="E197" s="58">
        <f>IF(B197="","",SUMIFS(Krankmeldungen!$G$6:$G$1005,Krankmeldungen!$A$6:$A$1005,A197))</f>
        <v/>
      </c>
      <c r="F197" s="58">
        <f>IF(B197="","",SUMIFS(Krankmeldungen!$G$6:$G$1005,Krankmeldungen!$A$6:$A$1005,A197,Krankmeldungen!$C$6:$C$1005,Einstellungen!$C$4))</f>
        <v/>
      </c>
      <c r="G197" s="58">
        <f>IF(B197="","",SUMIFS(Krankmeldungen!$G$6:$G$1005,Krankmeldungen!$A$6:$A$1005,A197,Krankmeldungen!$C$6:$C$1005,Einstellungen!$C$5))</f>
        <v/>
      </c>
      <c r="H197" s="35">
        <f>IF(B197="","",SUMIFS(Krankmeldungen!$F$6:$F$1005,Krankmeldungen!$A$6:$A$1005,A197))</f>
        <v/>
      </c>
      <c r="I197" s="35">
        <f>IF(B197="","",COUNTIFS(Krankmeldungen!$A$6:$A$1005,A197,Krankmeldungen!$F$6:$F$1005,"&gt;0"))</f>
        <v/>
      </c>
      <c r="J197" s="40">
        <f>IF(B197="","",IF(N(D197)&gt;0,E197/D197,""))</f>
        <v/>
      </c>
      <c r="K197" s="63">
        <f>IF(J197="","",RANK(J197,$J$6:$J$205,0))</f>
        <v/>
      </c>
      <c r="L197" s="56">
        <f>IF(J197="","",IF(J197&lt;=Einstellungen!$C$7,"unauffällig",IF(J197&lt;=Einstellungen!$C$8,"auffällig","kritisch")))</f>
        <v/>
      </c>
      <c r="M197" s="64">
        <f>IF(J197="",-1,J197+ROW()/1000000000)</f>
        <v/>
      </c>
    </row>
    <row r="198">
      <c r="A198" s="61">
        <f>IF(Mitarbeiter!B198="","",Mitarbeiter!A198)</f>
        <v/>
      </c>
      <c r="B198" s="62">
        <f>IF(Mitarbeiter!B198="","",Mitarbeiter!B198)</f>
        <v/>
      </c>
      <c r="C198" s="7">
        <f>IF(Mitarbeiter!B198="","",Mitarbeiter!G198)</f>
        <v/>
      </c>
      <c r="D198" s="57">
        <f>IF(Mitarbeiter!B198="","",Mitarbeiter!H198)</f>
        <v/>
      </c>
      <c r="E198" s="58">
        <f>IF(B198="","",SUMIFS(Krankmeldungen!$G$6:$G$1005,Krankmeldungen!$A$6:$A$1005,A198))</f>
        <v/>
      </c>
      <c r="F198" s="58">
        <f>IF(B198="","",SUMIFS(Krankmeldungen!$G$6:$G$1005,Krankmeldungen!$A$6:$A$1005,A198,Krankmeldungen!$C$6:$C$1005,Einstellungen!$C$4))</f>
        <v/>
      </c>
      <c r="G198" s="58">
        <f>IF(B198="","",SUMIFS(Krankmeldungen!$G$6:$G$1005,Krankmeldungen!$A$6:$A$1005,A198,Krankmeldungen!$C$6:$C$1005,Einstellungen!$C$5))</f>
        <v/>
      </c>
      <c r="H198" s="35">
        <f>IF(B198="","",SUMIFS(Krankmeldungen!$F$6:$F$1005,Krankmeldungen!$A$6:$A$1005,A198))</f>
        <v/>
      </c>
      <c r="I198" s="35">
        <f>IF(B198="","",COUNTIFS(Krankmeldungen!$A$6:$A$1005,A198,Krankmeldungen!$F$6:$F$1005,"&gt;0"))</f>
        <v/>
      </c>
      <c r="J198" s="40">
        <f>IF(B198="","",IF(N(D198)&gt;0,E198/D198,""))</f>
        <v/>
      </c>
      <c r="K198" s="63">
        <f>IF(J198="","",RANK(J198,$J$6:$J$205,0))</f>
        <v/>
      </c>
      <c r="L198" s="56">
        <f>IF(J198="","",IF(J198&lt;=Einstellungen!$C$7,"unauffällig",IF(J198&lt;=Einstellungen!$C$8,"auffällig","kritisch")))</f>
        <v/>
      </c>
      <c r="M198" s="64">
        <f>IF(J198="",-1,J198+ROW()/1000000000)</f>
        <v/>
      </c>
    </row>
    <row r="199">
      <c r="A199" s="61">
        <f>IF(Mitarbeiter!B199="","",Mitarbeiter!A199)</f>
        <v/>
      </c>
      <c r="B199" s="62">
        <f>IF(Mitarbeiter!B199="","",Mitarbeiter!B199)</f>
        <v/>
      </c>
      <c r="C199" s="7">
        <f>IF(Mitarbeiter!B199="","",Mitarbeiter!G199)</f>
        <v/>
      </c>
      <c r="D199" s="57">
        <f>IF(Mitarbeiter!B199="","",Mitarbeiter!H199)</f>
        <v/>
      </c>
      <c r="E199" s="58">
        <f>IF(B199="","",SUMIFS(Krankmeldungen!$G$6:$G$1005,Krankmeldungen!$A$6:$A$1005,A199))</f>
        <v/>
      </c>
      <c r="F199" s="58">
        <f>IF(B199="","",SUMIFS(Krankmeldungen!$G$6:$G$1005,Krankmeldungen!$A$6:$A$1005,A199,Krankmeldungen!$C$6:$C$1005,Einstellungen!$C$4))</f>
        <v/>
      </c>
      <c r="G199" s="58">
        <f>IF(B199="","",SUMIFS(Krankmeldungen!$G$6:$G$1005,Krankmeldungen!$A$6:$A$1005,A199,Krankmeldungen!$C$6:$C$1005,Einstellungen!$C$5))</f>
        <v/>
      </c>
      <c r="H199" s="35">
        <f>IF(B199="","",SUMIFS(Krankmeldungen!$F$6:$F$1005,Krankmeldungen!$A$6:$A$1005,A199))</f>
        <v/>
      </c>
      <c r="I199" s="35">
        <f>IF(B199="","",COUNTIFS(Krankmeldungen!$A$6:$A$1005,A199,Krankmeldungen!$F$6:$F$1005,"&gt;0"))</f>
        <v/>
      </c>
      <c r="J199" s="40">
        <f>IF(B199="","",IF(N(D199)&gt;0,E199/D199,""))</f>
        <v/>
      </c>
      <c r="K199" s="63">
        <f>IF(J199="","",RANK(J199,$J$6:$J$205,0))</f>
        <v/>
      </c>
      <c r="L199" s="56">
        <f>IF(J199="","",IF(J199&lt;=Einstellungen!$C$7,"unauffällig",IF(J199&lt;=Einstellungen!$C$8,"auffällig","kritisch")))</f>
        <v/>
      </c>
      <c r="M199" s="64">
        <f>IF(J199="",-1,J199+ROW()/1000000000)</f>
        <v/>
      </c>
    </row>
    <row r="200">
      <c r="A200" s="61">
        <f>IF(Mitarbeiter!B200="","",Mitarbeiter!A200)</f>
        <v/>
      </c>
      <c r="B200" s="62">
        <f>IF(Mitarbeiter!B200="","",Mitarbeiter!B200)</f>
        <v/>
      </c>
      <c r="C200" s="7">
        <f>IF(Mitarbeiter!B200="","",Mitarbeiter!G200)</f>
        <v/>
      </c>
      <c r="D200" s="57">
        <f>IF(Mitarbeiter!B200="","",Mitarbeiter!H200)</f>
        <v/>
      </c>
      <c r="E200" s="58">
        <f>IF(B200="","",SUMIFS(Krankmeldungen!$G$6:$G$1005,Krankmeldungen!$A$6:$A$1005,A200))</f>
        <v/>
      </c>
      <c r="F200" s="58">
        <f>IF(B200="","",SUMIFS(Krankmeldungen!$G$6:$G$1005,Krankmeldungen!$A$6:$A$1005,A200,Krankmeldungen!$C$6:$C$1005,Einstellungen!$C$4))</f>
        <v/>
      </c>
      <c r="G200" s="58">
        <f>IF(B200="","",SUMIFS(Krankmeldungen!$G$6:$G$1005,Krankmeldungen!$A$6:$A$1005,A200,Krankmeldungen!$C$6:$C$1005,Einstellungen!$C$5))</f>
        <v/>
      </c>
      <c r="H200" s="35">
        <f>IF(B200="","",SUMIFS(Krankmeldungen!$F$6:$F$1005,Krankmeldungen!$A$6:$A$1005,A200))</f>
        <v/>
      </c>
      <c r="I200" s="35">
        <f>IF(B200="","",COUNTIFS(Krankmeldungen!$A$6:$A$1005,A200,Krankmeldungen!$F$6:$F$1005,"&gt;0"))</f>
        <v/>
      </c>
      <c r="J200" s="40">
        <f>IF(B200="","",IF(N(D200)&gt;0,E200/D200,""))</f>
        <v/>
      </c>
      <c r="K200" s="63">
        <f>IF(J200="","",RANK(J200,$J$6:$J$205,0))</f>
        <v/>
      </c>
      <c r="L200" s="56">
        <f>IF(J200="","",IF(J200&lt;=Einstellungen!$C$7,"unauffällig",IF(J200&lt;=Einstellungen!$C$8,"auffällig","kritisch")))</f>
        <v/>
      </c>
      <c r="M200" s="64">
        <f>IF(J200="",-1,J200+ROW()/1000000000)</f>
        <v/>
      </c>
    </row>
    <row r="201">
      <c r="A201" s="61">
        <f>IF(Mitarbeiter!B201="","",Mitarbeiter!A201)</f>
        <v/>
      </c>
      <c r="B201" s="62">
        <f>IF(Mitarbeiter!B201="","",Mitarbeiter!B201)</f>
        <v/>
      </c>
      <c r="C201" s="7">
        <f>IF(Mitarbeiter!B201="","",Mitarbeiter!G201)</f>
        <v/>
      </c>
      <c r="D201" s="57">
        <f>IF(Mitarbeiter!B201="","",Mitarbeiter!H201)</f>
        <v/>
      </c>
      <c r="E201" s="58">
        <f>IF(B201="","",SUMIFS(Krankmeldungen!$G$6:$G$1005,Krankmeldungen!$A$6:$A$1005,A201))</f>
        <v/>
      </c>
      <c r="F201" s="58">
        <f>IF(B201="","",SUMIFS(Krankmeldungen!$G$6:$G$1005,Krankmeldungen!$A$6:$A$1005,A201,Krankmeldungen!$C$6:$C$1005,Einstellungen!$C$4))</f>
        <v/>
      </c>
      <c r="G201" s="58">
        <f>IF(B201="","",SUMIFS(Krankmeldungen!$G$6:$G$1005,Krankmeldungen!$A$6:$A$1005,A201,Krankmeldungen!$C$6:$C$1005,Einstellungen!$C$5))</f>
        <v/>
      </c>
      <c r="H201" s="35">
        <f>IF(B201="","",SUMIFS(Krankmeldungen!$F$6:$F$1005,Krankmeldungen!$A$6:$A$1005,A201))</f>
        <v/>
      </c>
      <c r="I201" s="35">
        <f>IF(B201="","",COUNTIFS(Krankmeldungen!$A$6:$A$1005,A201,Krankmeldungen!$F$6:$F$1005,"&gt;0"))</f>
        <v/>
      </c>
      <c r="J201" s="40">
        <f>IF(B201="","",IF(N(D201)&gt;0,E201/D201,""))</f>
        <v/>
      </c>
      <c r="K201" s="63">
        <f>IF(J201="","",RANK(J201,$J$6:$J$205,0))</f>
        <v/>
      </c>
      <c r="L201" s="56">
        <f>IF(J201="","",IF(J201&lt;=Einstellungen!$C$7,"unauffällig",IF(J201&lt;=Einstellungen!$C$8,"auffällig","kritisch")))</f>
        <v/>
      </c>
      <c r="M201" s="64">
        <f>IF(J201="",-1,J201+ROW()/1000000000)</f>
        <v/>
      </c>
    </row>
    <row r="202">
      <c r="A202" s="61">
        <f>IF(Mitarbeiter!B202="","",Mitarbeiter!A202)</f>
        <v/>
      </c>
      <c r="B202" s="62">
        <f>IF(Mitarbeiter!B202="","",Mitarbeiter!B202)</f>
        <v/>
      </c>
      <c r="C202" s="7">
        <f>IF(Mitarbeiter!B202="","",Mitarbeiter!G202)</f>
        <v/>
      </c>
      <c r="D202" s="57">
        <f>IF(Mitarbeiter!B202="","",Mitarbeiter!H202)</f>
        <v/>
      </c>
      <c r="E202" s="58">
        <f>IF(B202="","",SUMIFS(Krankmeldungen!$G$6:$G$1005,Krankmeldungen!$A$6:$A$1005,A202))</f>
        <v/>
      </c>
      <c r="F202" s="58">
        <f>IF(B202="","",SUMIFS(Krankmeldungen!$G$6:$G$1005,Krankmeldungen!$A$6:$A$1005,A202,Krankmeldungen!$C$6:$C$1005,Einstellungen!$C$4))</f>
        <v/>
      </c>
      <c r="G202" s="58">
        <f>IF(B202="","",SUMIFS(Krankmeldungen!$G$6:$G$1005,Krankmeldungen!$A$6:$A$1005,A202,Krankmeldungen!$C$6:$C$1005,Einstellungen!$C$5))</f>
        <v/>
      </c>
      <c r="H202" s="35">
        <f>IF(B202="","",SUMIFS(Krankmeldungen!$F$6:$F$1005,Krankmeldungen!$A$6:$A$1005,A202))</f>
        <v/>
      </c>
      <c r="I202" s="35">
        <f>IF(B202="","",COUNTIFS(Krankmeldungen!$A$6:$A$1005,A202,Krankmeldungen!$F$6:$F$1005,"&gt;0"))</f>
        <v/>
      </c>
      <c r="J202" s="40">
        <f>IF(B202="","",IF(N(D202)&gt;0,E202/D202,""))</f>
        <v/>
      </c>
      <c r="K202" s="63">
        <f>IF(J202="","",RANK(J202,$J$6:$J$205,0))</f>
        <v/>
      </c>
      <c r="L202" s="56">
        <f>IF(J202="","",IF(J202&lt;=Einstellungen!$C$7,"unauffällig",IF(J202&lt;=Einstellungen!$C$8,"auffällig","kritisch")))</f>
        <v/>
      </c>
      <c r="M202" s="64">
        <f>IF(J202="",-1,J202+ROW()/1000000000)</f>
        <v/>
      </c>
    </row>
    <row r="203">
      <c r="A203" s="61">
        <f>IF(Mitarbeiter!B203="","",Mitarbeiter!A203)</f>
        <v/>
      </c>
      <c r="B203" s="62">
        <f>IF(Mitarbeiter!B203="","",Mitarbeiter!B203)</f>
        <v/>
      </c>
      <c r="C203" s="7">
        <f>IF(Mitarbeiter!B203="","",Mitarbeiter!G203)</f>
        <v/>
      </c>
      <c r="D203" s="57">
        <f>IF(Mitarbeiter!B203="","",Mitarbeiter!H203)</f>
        <v/>
      </c>
      <c r="E203" s="58">
        <f>IF(B203="","",SUMIFS(Krankmeldungen!$G$6:$G$1005,Krankmeldungen!$A$6:$A$1005,A203))</f>
        <v/>
      </c>
      <c r="F203" s="58">
        <f>IF(B203="","",SUMIFS(Krankmeldungen!$G$6:$G$1005,Krankmeldungen!$A$6:$A$1005,A203,Krankmeldungen!$C$6:$C$1005,Einstellungen!$C$4))</f>
        <v/>
      </c>
      <c r="G203" s="58">
        <f>IF(B203="","",SUMIFS(Krankmeldungen!$G$6:$G$1005,Krankmeldungen!$A$6:$A$1005,A203,Krankmeldungen!$C$6:$C$1005,Einstellungen!$C$5))</f>
        <v/>
      </c>
      <c r="H203" s="35">
        <f>IF(B203="","",SUMIFS(Krankmeldungen!$F$6:$F$1005,Krankmeldungen!$A$6:$A$1005,A203))</f>
        <v/>
      </c>
      <c r="I203" s="35">
        <f>IF(B203="","",COUNTIFS(Krankmeldungen!$A$6:$A$1005,A203,Krankmeldungen!$F$6:$F$1005,"&gt;0"))</f>
        <v/>
      </c>
      <c r="J203" s="40">
        <f>IF(B203="","",IF(N(D203)&gt;0,E203/D203,""))</f>
        <v/>
      </c>
      <c r="K203" s="63">
        <f>IF(J203="","",RANK(J203,$J$6:$J$205,0))</f>
        <v/>
      </c>
      <c r="L203" s="56">
        <f>IF(J203="","",IF(J203&lt;=Einstellungen!$C$7,"unauffällig",IF(J203&lt;=Einstellungen!$C$8,"auffällig","kritisch")))</f>
        <v/>
      </c>
      <c r="M203" s="64">
        <f>IF(J203="",-1,J203+ROW()/1000000000)</f>
        <v/>
      </c>
    </row>
    <row r="204">
      <c r="A204" s="61">
        <f>IF(Mitarbeiter!B204="","",Mitarbeiter!A204)</f>
        <v/>
      </c>
      <c r="B204" s="62">
        <f>IF(Mitarbeiter!B204="","",Mitarbeiter!B204)</f>
        <v/>
      </c>
      <c r="C204" s="7">
        <f>IF(Mitarbeiter!B204="","",Mitarbeiter!G204)</f>
        <v/>
      </c>
      <c r="D204" s="57">
        <f>IF(Mitarbeiter!B204="","",Mitarbeiter!H204)</f>
        <v/>
      </c>
      <c r="E204" s="58">
        <f>IF(B204="","",SUMIFS(Krankmeldungen!$G$6:$G$1005,Krankmeldungen!$A$6:$A$1005,A204))</f>
        <v/>
      </c>
      <c r="F204" s="58">
        <f>IF(B204="","",SUMIFS(Krankmeldungen!$G$6:$G$1005,Krankmeldungen!$A$6:$A$1005,A204,Krankmeldungen!$C$6:$C$1005,Einstellungen!$C$4))</f>
        <v/>
      </c>
      <c r="G204" s="58">
        <f>IF(B204="","",SUMIFS(Krankmeldungen!$G$6:$G$1005,Krankmeldungen!$A$6:$A$1005,A204,Krankmeldungen!$C$6:$C$1005,Einstellungen!$C$5))</f>
        <v/>
      </c>
      <c r="H204" s="35">
        <f>IF(B204="","",SUMIFS(Krankmeldungen!$F$6:$F$1005,Krankmeldungen!$A$6:$A$1005,A204))</f>
        <v/>
      </c>
      <c r="I204" s="35">
        <f>IF(B204="","",COUNTIFS(Krankmeldungen!$A$6:$A$1005,A204,Krankmeldungen!$F$6:$F$1005,"&gt;0"))</f>
        <v/>
      </c>
      <c r="J204" s="40">
        <f>IF(B204="","",IF(N(D204)&gt;0,E204/D204,""))</f>
        <v/>
      </c>
      <c r="K204" s="63">
        <f>IF(J204="","",RANK(J204,$J$6:$J$205,0))</f>
        <v/>
      </c>
      <c r="L204" s="56">
        <f>IF(J204="","",IF(J204&lt;=Einstellungen!$C$7,"unauffällig",IF(J204&lt;=Einstellungen!$C$8,"auffällig","kritisch")))</f>
        <v/>
      </c>
      <c r="M204" s="64">
        <f>IF(J204="",-1,J204+ROW()/1000000000)</f>
        <v/>
      </c>
    </row>
    <row r="205">
      <c r="A205" s="61">
        <f>IF(Mitarbeiter!B205="","",Mitarbeiter!A205)</f>
        <v/>
      </c>
      <c r="B205" s="62">
        <f>IF(Mitarbeiter!B205="","",Mitarbeiter!B205)</f>
        <v/>
      </c>
      <c r="C205" s="7">
        <f>IF(Mitarbeiter!B205="","",Mitarbeiter!G205)</f>
        <v/>
      </c>
      <c r="D205" s="57">
        <f>IF(Mitarbeiter!B205="","",Mitarbeiter!H205)</f>
        <v/>
      </c>
      <c r="E205" s="58">
        <f>IF(B205="","",SUMIFS(Krankmeldungen!$G$6:$G$1005,Krankmeldungen!$A$6:$A$1005,A205))</f>
        <v/>
      </c>
      <c r="F205" s="58">
        <f>IF(B205="","",SUMIFS(Krankmeldungen!$G$6:$G$1005,Krankmeldungen!$A$6:$A$1005,A205,Krankmeldungen!$C$6:$C$1005,Einstellungen!$C$4))</f>
        <v/>
      </c>
      <c r="G205" s="58">
        <f>IF(B205="","",SUMIFS(Krankmeldungen!$G$6:$G$1005,Krankmeldungen!$A$6:$A$1005,A205,Krankmeldungen!$C$6:$C$1005,Einstellungen!$C$5))</f>
        <v/>
      </c>
      <c r="H205" s="35">
        <f>IF(B205="","",SUMIFS(Krankmeldungen!$F$6:$F$1005,Krankmeldungen!$A$6:$A$1005,A205))</f>
        <v/>
      </c>
      <c r="I205" s="35">
        <f>IF(B205="","",COUNTIFS(Krankmeldungen!$A$6:$A$1005,A205,Krankmeldungen!$F$6:$F$1005,"&gt;0"))</f>
        <v/>
      </c>
      <c r="J205" s="40">
        <f>IF(B205="","",IF(N(D205)&gt;0,E205/D205,""))</f>
        <v/>
      </c>
      <c r="K205" s="63">
        <f>IF(J205="","",RANK(J205,$J$6:$J$205,0))</f>
        <v/>
      </c>
      <c r="L205" s="56">
        <f>IF(J205="","",IF(J205&lt;=Einstellungen!$C$7,"unauffällig",IF(J205&lt;=Einstellungen!$C$8,"auffällig","kritisch")))</f>
        <v/>
      </c>
      <c r="M205" s="64">
        <f>IF(J205="",-1,J205+ROW()/1000000000)</f>
        <v/>
      </c>
    </row>
  </sheetData>
  <mergeCells count="1">
    <mergeCell ref="A2:M2"/>
  </mergeCells>
  <conditionalFormatting sqref="L6:L205">
    <cfRule type="cellIs" priority="1" operator="equal" dxfId="5">
      <formula>"unauffällig"</formula>
    </cfRule>
    <cfRule type="cellIs" priority="2" operator="equal" dxfId="6">
      <formula>"auffällig"</formula>
    </cfRule>
    <cfRule type="cellIs" priority="3" operator="equal" dxfId="4">
      <formula>"kritisch"</formula>
    </cfRule>
  </conditionalFormatting>
  <hyperlinks>
    <hyperlink xmlns:r="http://schemas.openxmlformats.org/officeDocument/2006/relationships" ref="N1" r:id="rId1"/>
  </hyperlinks>
  <pageMargins left="0.75" right="0.75" top="1" bottom="1" header="0.5" footer="0.5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0" customWidth="1" min="4" max="4"/>
    <col width="10" customWidth="1" min="5" max="5"/>
    <col width="9" customWidth="1" min="6" max="6"/>
    <col width="11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Auswertung der Objekte – Auswertungsjahr</t>
        </is>
      </c>
      <c r="N1" s="12" t="inlineStr">
        <is>
          <t>→ Erklärung</t>
        </is>
      </c>
    </row>
    <row r="2" ht="28" customHeight="1">
      <c r="A2" s="13" t="inlineStr">
        <is>
          <t>Jahreswerte aus „Krankenquote Objekte“.</t>
        </is>
      </c>
    </row>
    <row r="4" ht="30" customHeight="1">
      <c r="A4" s="20" t="inlineStr">
        <is>
          <t>Objekt</t>
        </is>
      </c>
      <c r="B4" s="20" t="inlineStr">
        <is>
          <t>Gesamt-
stunden</t>
        </is>
      </c>
      <c r="C4" s="20" t="inlineStr">
        <is>
          <t>Krank-
stunden</t>
        </is>
      </c>
      <c r="D4" s="20" t="inlineStr">
        <is>
          <t>Kranken-
quote</t>
        </is>
      </c>
      <c r="E4" s="20" t="inlineStr">
        <is>
          <t>Anteil
Krankstd.</t>
        </is>
      </c>
      <c r="F4" s="20" t="inlineStr">
        <is>
          <t>Krank-
tage</t>
        </is>
      </c>
      <c r="G4" s="20" t="inlineStr">
        <is>
          <t>Krank-
meldungen</t>
        </is>
      </c>
      <c r="H4" s="20" t="inlineStr">
        <is>
          <t>Kranke MA</t>
        </is>
      </c>
      <c r="I4" s="20" t="inlineStr">
        <is>
          <t>Abw. zur
Gesamtquote</t>
        </is>
      </c>
      <c r="J4" s="20" t="inlineStr">
        <is>
          <t>Ausfall
VZ-Stellen</t>
        </is>
      </c>
    </row>
    <row r="5">
      <c r="A5" s="52">
        <f>Einstellungen!$C$4</f>
        <v/>
      </c>
      <c r="B5" s="66">
        <f>'Krankenquote Objekte'!B18</f>
        <v/>
      </c>
      <c r="C5" s="66">
        <f>'Krankenquote Objekte'!C18</f>
        <v/>
      </c>
      <c r="D5" s="67">
        <f>'Krankenquote Objekte'!D18</f>
        <v/>
      </c>
      <c r="E5" s="68">
        <f>IF($C$7&gt;0,C5/$C$7,0)</f>
        <v/>
      </c>
      <c r="F5" s="66">
        <f>'Krankenquote Objekte'!E18</f>
        <v/>
      </c>
      <c r="G5" s="35">
        <f>COUNTIFS(Krankmeldungen!$C$6:$C$1005,A5,Krankmeldungen!$F$6:$F$1005,"&gt;0")</f>
        <v/>
      </c>
      <c r="H5" s="66">
        <f>'Krankenquote Objekte'!F18</f>
        <v/>
      </c>
      <c r="I5" s="69">
        <f>D5-$D$7</f>
        <v/>
      </c>
      <c r="J5" s="70">
        <f>IF(Einstellungen!$C$6*Einstellungen!$C$25&gt;0,C5/(Einstellungen!$C$6/5*Einstellungen!$C$25),0)</f>
        <v/>
      </c>
    </row>
    <row r="6">
      <c r="A6" s="54">
        <f>Einstellungen!$C$5</f>
        <v/>
      </c>
      <c r="B6" s="66">
        <f>'Krankenquote Objekte'!G18</f>
        <v/>
      </c>
      <c r="C6" s="66">
        <f>'Krankenquote Objekte'!H18</f>
        <v/>
      </c>
      <c r="D6" s="67">
        <f>'Krankenquote Objekte'!I18</f>
        <v/>
      </c>
      <c r="E6" s="68">
        <f>IF($C$7&gt;0,C6/$C$7,0)</f>
        <v/>
      </c>
      <c r="F6" s="66">
        <f>'Krankenquote Objekte'!J18</f>
        <v/>
      </c>
      <c r="G6" s="35">
        <f>COUNTIFS(Krankmeldungen!$C$6:$C$1005,A6,Krankmeldungen!$F$6:$F$1005,"&gt;0")</f>
        <v/>
      </c>
      <c r="H6" s="66">
        <f>'Krankenquote Objekte'!K18</f>
        <v/>
      </c>
      <c r="I6" s="69">
        <f>D6-$D$7</f>
        <v/>
      </c>
      <c r="J6" s="70">
        <f>IF(Einstellungen!$C$6*Einstellungen!$C$25&gt;0,C6/(Einstellungen!$C$6/5*Einstellungen!$C$25),0)</f>
        <v/>
      </c>
    </row>
    <row r="7">
      <c r="A7" s="42" t="inlineStr">
        <is>
          <t>Gesamt</t>
        </is>
      </c>
      <c r="B7" s="71">
        <f>SUM(B5:B6)</f>
        <v/>
      </c>
      <c r="C7" s="71">
        <f>SUM(C5:C6)</f>
        <v/>
      </c>
      <c r="D7" s="72">
        <f>'Krankenquote Objekte'!N18</f>
        <v/>
      </c>
      <c r="E7" s="72">
        <f>SUM(E5:E6)</f>
        <v/>
      </c>
      <c r="F7" s="71">
        <f>SUM(F5:F6)</f>
        <v/>
      </c>
      <c r="G7" s="71">
        <f>SUM(G5:G6)</f>
        <v/>
      </c>
      <c r="H7" s="71">
        <f>'Krankenquote Objekte'!P18</f>
        <v/>
      </c>
      <c r="I7" s="42" t="n"/>
      <c r="J7" s="73">
        <f>SUM(J5:J6)</f>
        <v/>
      </c>
    </row>
    <row r="8">
      <c r="A8" s="16" t="inlineStr">
        <is>
          <t>Kranke MA gesamt zählt jede Person einmal (Springer können in beiden Objekten erscheinen). Ausfall VZ-Stellen = Krankstunden ÷ Jahres-Sollstunden einer Vollzeitkraft.</t>
        </is>
      </c>
    </row>
    <row r="10">
      <c r="A10" s="74" t="inlineStr">
        <is>
          <t>Objekt mit höchster Quote:</t>
        </is>
      </c>
      <c r="D10" s="74">
        <f>IF(D5&gt;=D6,A5,A6)</f>
        <v/>
      </c>
    </row>
  </sheetData>
  <mergeCells count="1">
    <mergeCell ref="A2:J2"/>
  </mergeCells>
  <hyperlinks>
    <hyperlink xmlns:r="http://schemas.openxmlformats.org/officeDocument/2006/relationships" ref="N1" r:id="rId1"/>
  </hyperlinks>
  <pageMargins left="0.75" right="0.75" top="1" bottom="1" header="0.5" footer="0.5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Krankstunden je Mitarbeiter und Monat</t>
        </is>
      </c>
      <c r="N1" s="12" t="inlineStr">
        <is>
          <t>→ Erklärung</t>
        </is>
      </c>
    </row>
    <row r="2" ht="28" customHeight="1">
      <c r="A2" s="13" t="inlineStr">
        <is>
          <t>Automatisch aus „Krankmeldungen“ (beide Objekte). Rechts Sollstunden und Quote.</t>
        </is>
      </c>
    </row>
    <row r="5" ht="30" customHeight="1">
      <c r="A5" s="20" t="inlineStr">
        <is>
          <t>Pers.-Nr.</t>
        </is>
      </c>
      <c r="B5" s="20" t="inlineStr">
        <is>
          <t>Name</t>
        </is>
      </c>
      <c r="C5" s="20" t="inlineStr">
        <is>
          <t>Jan</t>
        </is>
      </c>
      <c r="D5" s="20" t="inlineStr">
        <is>
          <t>Feb</t>
        </is>
      </c>
      <c r="E5" s="20" t="inlineStr">
        <is>
          <t>Mär</t>
        </is>
      </c>
      <c r="F5" s="20" t="inlineStr">
        <is>
          <t>Apr</t>
        </is>
      </c>
      <c r="G5" s="20" t="inlineStr">
        <is>
          <t>Mai</t>
        </is>
      </c>
      <c r="H5" s="20" t="inlineStr">
        <is>
          <t>Jun</t>
        </is>
      </c>
      <c r="I5" s="20" t="inlineStr">
        <is>
          <t>Jul</t>
        </is>
      </c>
      <c r="J5" s="20" t="inlineStr">
        <is>
          <t>Aug</t>
        </is>
      </c>
      <c r="K5" s="20" t="inlineStr">
        <is>
          <t>Sep</t>
        </is>
      </c>
      <c r="L5" s="20" t="inlineStr">
        <is>
          <t>Okt</t>
        </is>
      </c>
      <c r="M5" s="20" t="inlineStr">
        <is>
          <t>Nov</t>
        </is>
      </c>
      <c r="N5" s="20" t="inlineStr">
        <is>
          <t>Dez</t>
        </is>
      </c>
      <c r="O5" s="20" t="inlineStr">
        <is>
          <t>Summe</t>
        </is>
      </c>
      <c r="P5" s="20" t="inlineStr">
        <is>
          <t>Soll-
stunden</t>
        </is>
      </c>
      <c r="Q5" s="20" t="inlineStr">
        <is>
          <t>Quote</t>
        </is>
      </c>
    </row>
    <row r="6">
      <c r="A6" s="61">
        <f>'KQuote Mitarbeiter'!A6</f>
        <v/>
      </c>
      <c r="B6" s="62">
        <f>'KQuote Mitarbeiter'!B6</f>
        <v/>
      </c>
      <c r="C6" s="58">
        <f>IF($B6="","",SUMIFS(Krankmeldungen!$X$6:$X$1005,Krankmeldungen!$A$6:$A$1005,$A6))</f>
        <v/>
      </c>
      <c r="D6" s="58">
        <f>IF($B6="","",SUMIFS(Krankmeldungen!$Y$6:$Y$1005,Krankmeldungen!$A$6:$A$1005,$A6))</f>
        <v/>
      </c>
      <c r="E6" s="58">
        <f>IF($B6="","",SUMIFS(Krankmeldungen!$Z$6:$Z$1005,Krankmeldungen!$A$6:$A$1005,$A6))</f>
        <v/>
      </c>
      <c r="F6" s="58">
        <f>IF($B6="","",SUMIFS(Krankmeldungen!$AA$6:$AA$1005,Krankmeldungen!$A$6:$A$1005,$A6))</f>
        <v/>
      </c>
      <c r="G6" s="58">
        <f>IF($B6="","",SUMIFS(Krankmeldungen!$AB$6:$AB$1005,Krankmeldungen!$A$6:$A$1005,$A6))</f>
        <v/>
      </c>
      <c r="H6" s="58">
        <f>IF($B6="","",SUMIFS(Krankmeldungen!$AC$6:$AC$1005,Krankmeldungen!$A$6:$A$1005,$A6))</f>
        <v/>
      </c>
      <c r="I6" s="58">
        <f>IF($B6="","",SUMIFS(Krankmeldungen!$AD$6:$AD$1005,Krankmeldungen!$A$6:$A$1005,$A6))</f>
        <v/>
      </c>
      <c r="J6" s="58">
        <f>IF($B6="","",SUMIFS(Krankmeldungen!$AE$6:$AE$1005,Krankmeldungen!$A$6:$A$1005,$A6))</f>
        <v/>
      </c>
      <c r="K6" s="58">
        <f>IF($B6="","",SUMIFS(Krankmeldungen!$AF$6:$AF$1005,Krankmeldungen!$A$6:$A$1005,$A6))</f>
        <v/>
      </c>
      <c r="L6" s="58">
        <f>IF($B6="","",SUMIFS(Krankmeldungen!$AG$6:$AG$1005,Krankmeldungen!$A$6:$A$1005,$A6))</f>
        <v/>
      </c>
      <c r="M6" s="58">
        <f>IF($B6="","",SUMIFS(Krankmeldungen!$AH$6:$AH$1005,Krankmeldungen!$A$6:$A$1005,$A6))</f>
        <v/>
      </c>
      <c r="N6" s="58">
        <f>IF($B6="","",SUMIFS(Krankmeldungen!$AI$6:$AI$1005,Krankmeldungen!$A$6:$A$1005,$A6))</f>
        <v/>
      </c>
      <c r="O6" s="65">
        <f>IF($B6="","",SUM(C6:N6))</f>
        <v/>
      </c>
      <c r="P6" s="57">
        <f>'KQuote Mitarbeiter'!D6</f>
        <v/>
      </c>
      <c r="Q6" s="67">
        <f>'KQuote Mitarbeiter'!J6</f>
        <v/>
      </c>
    </row>
    <row r="7">
      <c r="A7" s="61">
        <f>'KQuote Mitarbeiter'!A7</f>
        <v/>
      </c>
      <c r="B7" s="62">
        <f>'KQuote Mitarbeiter'!B7</f>
        <v/>
      </c>
      <c r="C7" s="58">
        <f>IF($B7="","",SUMIFS(Krankmeldungen!$X$6:$X$1005,Krankmeldungen!$A$6:$A$1005,$A7))</f>
        <v/>
      </c>
      <c r="D7" s="58">
        <f>IF($B7="","",SUMIFS(Krankmeldungen!$Y$6:$Y$1005,Krankmeldungen!$A$6:$A$1005,$A7))</f>
        <v/>
      </c>
      <c r="E7" s="58">
        <f>IF($B7="","",SUMIFS(Krankmeldungen!$Z$6:$Z$1005,Krankmeldungen!$A$6:$A$1005,$A7))</f>
        <v/>
      </c>
      <c r="F7" s="58">
        <f>IF($B7="","",SUMIFS(Krankmeldungen!$AA$6:$AA$1005,Krankmeldungen!$A$6:$A$1005,$A7))</f>
        <v/>
      </c>
      <c r="G7" s="58">
        <f>IF($B7="","",SUMIFS(Krankmeldungen!$AB$6:$AB$1005,Krankmeldungen!$A$6:$A$1005,$A7))</f>
        <v/>
      </c>
      <c r="H7" s="58">
        <f>IF($B7="","",SUMIFS(Krankmeldungen!$AC$6:$AC$1005,Krankmeldungen!$A$6:$A$1005,$A7))</f>
        <v/>
      </c>
      <c r="I7" s="58">
        <f>IF($B7="","",SUMIFS(Krankmeldungen!$AD$6:$AD$1005,Krankmeldungen!$A$6:$A$1005,$A7))</f>
        <v/>
      </c>
      <c r="J7" s="58">
        <f>IF($B7="","",SUMIFS(Krankmeldungen!$AE$6:$AE$1005,Krankmeldungen!$A$6:$A$1005,$A7))</f>
        <v/>
      </c>
      <c r="K7" s="58">
        <f>IF($B7="","",SUMIFS(Krankmeldungen!$AF$6:$AF$1005,Krankmeldungen!$A$6:$A$1005,$A7))</f>
        <v/>
      </c>
      <c r="L7" s="58">
        <f>IF($B7="","",SUMIFS(Krankmeldungen!$AG$6:$AG$1005,Krankmeldungen!$A$6:$A$1005,$A7))</f>
        <v/>
      </c>
      <c r="M7" s="58">
        <f>IF($B7="","",SUMIFS(Krankmeldungen!$AH$6:$AH$1005,Krankmeldungen!$A$6:$A$1005,$A7))</f>
        <v/>
      </c>
      <c r="N7" s="58">
        <f>IF($B7="","",SUMIFS(Krankmeldungen!$AI$6:$AI$1005,Krankmeldungen!$A$6:$A$1005,$A7))</f>
        <v/>
      </c>
      <c r="O7" s="65">
        <f>IF($B7="","",SUM(C7:N7))</f>
        <v/>
      </c>
      <c r="P7" s="57">
        <f>'KQuote Mitarbeiter'!D7</f>
        <v/>
      </c>
      <c r="Q7" s="67">
        <f>'KQuote Mitarbeiter'!J7</f>
        <v/>
      </c>
    </row>
    <row r="8">
      <c r="A8" s="61">
        <f>'KQuote Mitarbeiter'!A8</f>
        <v/>
      </c>
      <c r="B8" s="62">
        <f>'KQuote Mitarbeiter'!B8</f>
        <v/>
      </c>
      <c r="C8" s="58">
        <f>IF($B8="","",SUMIFS(Krankmeldungen!$X$6:$X$1005,Krankmeldungen!$A$6:$A$1005,$A8))</f>
        <v/>
      </c>
      <c r="D8" s="58">
        <f>IF($B8="","",SUMIFS(Krankmeldungen!$Y$6:$Y$1005,Krankmeldungen!$A$6:$A$1005,$A8))</f>
        <v/>
      </c>
      <c r="E8" s="58">
        <f>IF($B8="","",SUMIFS(Krankmeldungen!$Z$6:$Z$1005,Krankmeldungen!$A$6:$A$1005,$A8))</f>
        <v/>
      </c>
      <c r="F8" s="58">
        <f>IF($B8="","",SUMIFS(Krankmeldungen!$AA$6:$AA$1005,Krankmeldungen!$A$6:$A$1005,$A8))</f>
        <v/>
      </c>
      <c r="G8" s="58">
        <f>IF($B8="","",SUMIFS(Krankmeldungen!$AB$6:$AB$1005,Krankmeldungen!$A$6:$A$1005,$A8))</f>
        <v/>
      </c>
      <c r="H8" s="58">
        <f>IF($B8="","",SUMIFS(Krankmeldungen!$AC$6:$AC$1005,Krankmeldungen!$A$6:$A$1005,$A8))</f>
        <v/>
      </c>
      <c r="I8" s="58">
        <f>IF($B8="","",SUMIFS(Krankmeldungen!$AD$6:$AD$1005,Krankmeldungen!$A$6:$A$1005,$A8))</f>
        <v/>
      </c>
      <c r="J8" s="58">
        <f>IF($B8="","",SUMIFS(Krankmeldungen!$AE$6:$AE$1005,Krankmeldungen!$A$6:$A$1005,$A8))</f>
        <v/>
      </c>
      <c r="K8" s="58">
        <f>IF($B8="","",SUMIFS(Krankmeldungen!$AF$6:$AF$1005,Krankmeldungen!$A$6:$A$1005,$A8))</f>
        <v/>
      </c>
      <c r="L8" s="58">
        <f>IF($B8="","",SUMIFS(Krankmeldungen!$AG$6:$AG$1005,Krankmeldungen!$A$6:$A$1005,$A8))</f>
        <v/>
      </c>
      <c r="M8" s="58">
        <f>IF($B8="","",SUMIFS(Krankmeldungen!$AH$6:$AH$1005,Krankmeldungen!$A$6:$A$1005,$A8))</f>
        <v/>
      </c>
      <c r="N8" s="58">
        <f>IF($B8="","",SUMIFS(Krankmeldungen!$AI$6:$AI$1005,Krankmeldungen!$A$6:$A$1005,$A8))</f>
        <v/>
      </c>
      <c r="O8" s="65">
        <f>IF($B8="","",SUM(C8:N8))</f>
        <v/>
      </c>
      <c r="P8" s="57">
        <f>'KQuote Mitarbeiter'!D8</f>
        <v/>
      </c>
      <c r="Q8" s="67">
        <f>'KQuote Mitarbeiter'!J8</f>
        <v/>
      </c>
    </row>
    <row r="9">
      <c r="A9" s="61">
        <f>'KQuote Mitarbeiter'!A9</f>
        <v/>
      </c>
      <c r="B9" s="62">
        <f>'KQuote Mitarbeiter'!B9</f>
        <v/>
      </c>
      <c r="C9" s="58">
        <f>IF($B9="","",SUMIFS(Krankmeldungen!$X$6:$X$1005,Krankmeldungen!$A$6:$A$1005,$A9))</f>
        <v/>
      </c>
      <c r="D9" s="58">
        <f>IF($B9="","",SUMIFS(Krankmeldungen!$Y$6:$Y$1005,Krankmeldungen!$A$6:$A$1005,$A9))</f>
        <v/>
      </c>
      <c r="E9" s="58">
        <f>IF($B9="","",SUMIFS(Krankmeldungen!$Z$6:$Z$1005,Krankmeldungen!$A$6:$A$1005,$A9))</f>
        <v/>
      </c>
      <c r="F9" s="58">
        <f>IF($B9="","",SUMIFS(Krankmeldungen!$AA$6:$AA$1005,Krankmeldungen!$A$6:$A$1005,$A9))</f>
        <v/>
      </c>
      <c r="G9" s="58">
        <f>IF($B9="","",SUMIFS(Krankmeldungen!$AB$6:$AB$1005,Krankmeldungen!$A$6:$A$1005,$A9))</f>
        <v/>
      </c>
      <c r="H9" s="58">
        <f>IF($B9="","",SUMIFS(Krankmeldungen!$AC$6:$AC$1005,Krankmeldungen!$A$6:$A$1005,$A9))</f>
        <v/>
      </c>
      <c r="I9" s="58">
        <f>IF($B9="","",SUMIFS(Krankmeldungen!$AD$6:$AD$1005,Krankmeldungen!$A$6:$A$1005,$A9))</f>
        <v/>
      </c>
      <c r="J9" s="58">
        <f>IF($B9="","",SUMIFS(Krankmeldungen!$AE$6:$AE$1005,Krankmeldungen!$A$6:$A$1005,$A9))</f>
        <v/>
      </c>
      <c r="K9" s="58">
        <f>IF($B9="","",SUMIFS(Krankmeldungen!$AF$6:$AF$1005,Krankmeldungen!$A$6:$A$1005,$A9))</f>
        <v/>
      </c>
      <c r="L9" s="58">
        <f>IF($B9="","",SUMIFS(Krankmeldungen!$AG$6:$AG$1005,Krankmeldungen!$A$6:$A$1005,$A9))</f>
        <v/>
      </c>
      <c r="M9" s="58">
        <f>IF($B9="","",SUMIFS(Krankmeldungen!$AH$6:$AH$1005,Krankmeldungen!$A$6:$A$1005,$A9))</f>
        <v/>
      </c>
      <c r="N9" s="58">
        <f>IF($B9="","",SUMIFS(Krankmeldungen!$AI$6:$AI$1005,Krankmeldungen!$A$6:$A$1005,$A9))</f>
        <v/>
      </c>
      <c r="O9" s="65">
        <f>IF($B9="","",SUM(C9:N9))</f>
        <v/>
      </c>
      <c r="P9" s="57">
        <f>'KQuote Mitarbeiter'!D9</f>
        <v/>
      </c>
      <c r="Q9" s="67">
        <f>'KQuote Mitarbeiter'!J9</f>
        <v/>
      </c>
    </row>
    <row r="10">
      <c r="A10" s="61">
        <f>'KQuote Mitarbeiter'!A10</f>
        <v/>
      </c>
      <c r="B10" s="62">
        <f>'KQuote Mitarbeiter'!B10</f>
        <v/>
      </c>
      <c r="C10" s="58">
        <f>IF($B10="","",SUMIFS(Krankmeldungen!$X$6:$X$1005,Krankmeldungen!$A$6:$A$1005,$A10))</f>
        <v/>
      </c>
      <c r="D10" s="58">
        <f>IF($B10="","",SUMIFS(Krankmeldungen!$Y$6:$Y$1005,Krankmeldungen!$A$6:$A$1005,$A10))</f>
        <v/>
      </c>
      <c r="E10" s="58">
        <f>IF($B10="","",SUMIFS(Krankmeldungen!$Z$6:$Z$1005,Krankmeldungen!$A$6:$A$1005,$A10))</f>
        <v/>
      </c>
      <c r="F10" s="58">
        <f>IF($B10="","",SUMIFS(Krankmeldungen!$AA$6:$AA$1005,Krankmeldungen!$A$6:$A$1005,$A10))</f>
        <v/>
      </c>
      <c r="G10" s="58">
        <f>IF($B10="","",SUMIFS(Krankmeldungen!$AB$6:$AB$1005,Krankmeldungen!$A$6:$A$1005,$A10))</f>
        <v/>
      </c>
      <c r="H10" s="58">
        <f>IF($B10="","",SUMIFS(Krankmeldungen!$AC$6:$AC$1005,Krankmeldungen!$A$6:$A$1005,$A10))</f>
        <v/>
      </c>
      <c r="I10" s="58">
        <f>IF($B10="","",SUMIFS(Krankmeldungen!$AD$6:$AD$1005,Krankmeldungen!$A$6:$A$1005,$A10))</f>
        <v/>
      </c>
      <c r="J10" s="58">
        <f>IF($B10="","",SUMIFS(Krankmeldungen!$AE$6:$AE$1005,Krankmeldungen!$A$6:$A$1005,$A10))</f>
        <v/>
      </c>
      <c r="K10" s="58">
        <f>IF($B10="","",SUMIFS(Krankmeldungen!$AF$6:$AF$1005,Krankmeldungen!$A$6:$A$1005,$A10))</f>
        <v/>
      </c>
      <c r="L10" s="58">
        <f>IF($B10="","",SUMIFS(Krankmeldungen!$AG$6:$AG$1005,Krankmeldungen!$A$6:$A$1005,$A10))</f>
        <v/>
      </c>
      <c r="M10" s="58">
        <f>IF($B10="","",SUMIFS(Krankmeldungen!$AH$6:$AH$1005,Krankmeldungen!$A$6:$A$1005,$A10))</f>
        <v/>
      </c>
      <c r="N10" s="58">
        <f>IF($B10="","",SUMIFS(Krankmeldungen!$AI$6:$AI$1005,Krankmeldungen!$A$6:$A$1005,$A10))</f>
        <v/>
      </c>
      <c r="O10" s="65">
        <f>IF($B10="","",SUM(C10:N10))</f>
        <v/>
      </c>
      <c r="P10" s="57">
        <f>'KQuote Mitarbeiter'!D10</f>
        <v/>
      </c>
      <c r="Q10" s="67">
        <f>'KQuote Mitarbeiter'!J10</f>
        <v/>
      </c>
    </row>
    <row r="11">
      <c r="A11" s="61">
        <f>'KQuote Mitarbeiter'!A11</f>
        <v/>
      </c>
      <c r="B11" s="62">
        <f>'KQuote Mitarbeiter'!B11</f>
        <v/>
      </c>
      <c r="C11" s="58">
        <f>IF($B11="","",SUMIFS(Krankmeldungen!$X$6:$X$1005,Krankmeldungen!$A$6:$A$1005,$A11))</f>
        <v/>
      </c>
      <c r="D11" s="58">
        <f>IF($B11="","",SUMIFS(Krankmeldungen!$Y$6:$Y$1005,Krankmeldungen!$A$6:$A$1005,$A11))</f>
        <v/>
      </c>
      <c r="E11" s="58">
        <f>IF($B11="","",SUMIFS(Krankmeldungen!$Z$6:$Z$1005,Krankmeldungen!$A$6:$A$1005,$A11))</f>
        <v/>
      </c>
      <c r="F11" s="58">
        <f>IF($B11="","",SUMIFS(Krankmeldungen!$AA$6:$AA$1005,Krankmeldungen!$A$6:$A$1005,$A11))</f>
        <v/>
      </c>
      <c r="G11" s="58">
        <f>IF($B11="","",SUMIFS(Krankmeldungen!$AB$6:$AB$1005,Krankmeldungen!$A$6:$A$1005,$A11))</f>
        <v/>
      </c>
      <c r="H11" s="58">
        <f>IF($B11="","",SUMIFS(Krankmeldungen!$AC$6:$AC$1005,Krankmeldungen!$A$6:$A$1005,$A11))</f>
        <v/>
      </c>
      <c r="I11" s="58">
        <f>IF($B11="","",SUMIFS(Krankmeldungen!$AD$6:$AD$1005,Krankmeldungen!$A$6:$A$1005,$A11))</f>
        <v/>
      </c>
      <c r="J11" s="58">
        <f>IF($B11="","",SUMIFS(Krankmeldungen!$AE$6:$AE$1005,Krankmeldungen!$A$6:$A$1005,$A11))</f>
        <v/>
      </c>
      <c r="K11" s="58">
        <f>IF($B11="","",SUMIFS(Krankmeldungen!$AF$6:$AF$1005,Krankmeldungen!$A$6:$A$1005,$A11))</f>
        <v/>
      </c>
      <c r="L11" s="58">
        <f>IF($B11="","",SUMIFS(Krankmeldungen!$AG$6:$AG$1005,Krankmeldungen!$A$6:$A$1005,$A11))</f>
        <v/>
      </c>
      <c r="M11" s="58">
        <f>IF($B11="","",SUMIFS(Krankmeldungen!$AH$6:$AH$1005,Krankmeldungen!$A$6:$A$1005,$A11))</f>
        <v/>
      </c>
      <c r="N11" s="58">
        <f>IF($B11="","",SUMIFS(Krankmeldungen!$AI$6:$AI$1005,Krankmeldungen!$A$6:$A$1005,$A11))</f>
        <v/>
      </c>
      <c r="O11" s="65">
        <f>IF($B11="","",SUM(C11:N11))</f>
        <v/>
      </c>
      <c r="P11" s="57">
        <f>'KQuote Mitarbeiter'!D11</f>
        <v/>
      </c>
      <c r="Q11" s="67">
        <f>'KQuote Mitarbeiter'!J11</f>
        <v/>
      </c>
    </row>
    <row r="12">
      <c r="A12" s="61">
        <f>'KQuote Mitarbeiter'!A12</f>
        <v/>
      </c>
      <c r="B12" s="62">
        <f>'KQuote Mitarbeiter'!B12</f>
        <v/>
      </c>
      <c r="C12" s="58">
        <f>IF($B12="","",SUMIFS(Krankmeldungen!$X$6:$X$1005,Krankmeldungen!$A$6:$A$1005,$A12))</f>
        <v/>
      </c>
      <c r="D12" s="58">
        <f>IF($B12="","",SUMIFS(Krankmeldungen!$Y$6:$Y$1005,Krankmeldungen!$A$6:$A$1005,$A12))</f>
        <v/>
      </c>
      <c r="E12" s="58">
        <f>IF($B12="","",SUMIFS(Krankmeldungen!$Z$6:$Z$1005,Krankmeldungen!$A$6:$A$1005,$A12))</f>
        <v/>
      </c>
      <c r="F12" s="58">
        <f>IF($B12="","",SUMIFS(Krankmeldungen!$AA$6:$AA$1005,Krankmeldungen!$A$6:$A$1005,$A12))</f>
        <v/>
      </c>
      <c r="G12" s="58">
        <f>IF($B12="","",SUMIFS(Krankmeldungen!$AB$6:$AB$1005,Krankmeldungen!$A$6:$A$1005,$A12))</f>
        <v/>
      </c>
      <c r="H12" s="58">
        <f>IF($B12="","",SUMIFS(Krankmeldungen!$AC$6:$AC$1005,Krankmeldungen!$A$6:$A$1005,$A12))</f>
        <v/>
      </c>
      <c r="I12" s="58">
        <f>IF($B12="","",SUMIFS(Krankmeldungen!$AD$6:$AD$1005,Krankmeldungen!$A$6:$A$1005,$A12))</f>
        <v/>
      </c>
      <c r="J12" s="58">
        <f>IF($B12="","",SUMIFS(Krankmeldungen!$AE$6:$AE$1005,Krankmeldungen!$A$6:$A$1005,$A12))</f>
        <v/>
      </c>
      <c r="K12" s="58">
        <f>IF($B12="","",SUMIFS(Krankmeldungen!$AF$6:$AF$1005,Krankmeldungen!$A$6:$A$1005,$A12))</f>
        <v/>
      </c>
      <c r="L12" s="58">
        <f>IF($B12="","",SUMIFS(Krankmeldungen!$AG$6:$AG$1005,Krankmeldungen!$A$6:$A$1005,$A12))</f>
        <v/>
      </c>
      <c r="M12" s="58">
        <f>IF($B12="","",SUMIFS(Krankmeldungen!$AH$6:$AH$1005,Krankmeldungen!$A$6:$A$1005,$A12))</f>
        <v/>
      </c>
      <c r="N12" s="58">
        <f>IF($B12="","",SUMIFS(Krankmeldungen!$AI$6:$AI$1005,Krankmeldungen!$A$6:$A$1005,$A12))</f>
        <v/>
      </c>
      <c r="O12" s="65">
        <f>IF($B12="","",SUM(C12:N12))</f>
        <v/>
      </c>
      <c r="P12" s="57">
        <f>'KQuote Mitarbeiter'!D12</f>
        <v/>
      </c>
      <c r="Q12" s="67">
        <f>'KQuote Mitarbeiter'!J12</f>
        <v/>
      </c>
    </row>
    <row r="13">
      <c r="A13" s="61">
        <f>'KQuote Mitarbeiter'!A13</f>
        <v/>
      </c>
      <c r="B13" s="62">
        <f>'KQuote Mitarbeiter'!B13</f>
        <v/>
      </c>
      <c r="C13" s="58">
        <f>IF($B13="","",SUMIFS(Krankmeldungen!$X$6:$X$1005,Krankmeldungen!$A$6:$A$1005,$A13))</f>
        <v/>
      </c>
      <c r="D13" s="58">
        <f>IF($B13="","",SUMIFS(Krankmeldungen!$Y$6:$Y$1005,Krankmeldungen!$A$6:$A$1005,$A13))</f>
        <v/>
      </c>
      <c r="E13" s="58">
        <f>IF($B13="","",SUMIFS(Krankmeldungen!$Z$6:$Z$1005,Krankmeldungen!$A$6:$A$1005,$A13))</f>
        <v/>
      </c>
      <c r="F13" s="58">
        <f>IF($B13="","",SUMIFS(Krankmeldungen!$AA$6:$AA$1005,Krankmeldungen!$A$6:$A$1005,$A13))</f>
        <v/>
      </c>
      <c r="G13" s="58">
        <f>IF($B13="","",SUMIFS(Krankmeldungen!$AB$6:$AB$1005,Krankmeldungen!$A$6:$A$1005,$A13))</f>
        <v/>
      </c>
      <c r="H13" s="58">
        <f>IF($B13="","",SUMIFS(Krankmeldungen!$AC$6:$AC$1005,Krankmeldungen!$A$6:$A$1005,$A13))</f>
        <v/>
      </c>
      <c r="I13" s="58">
        <f>IF($B13="","",SUMIFS(Krankmeldungen!$AD$6:$AD$1005,Krankmeldungen!$A$6:$A$1005,$A13))</f>
        <v/>
      </c>
      <c r="J13" s="58">
        <f>IF($B13="","",SUMIFS(Krankmeldungen!$AE$6:$AE$1005,Krankmeldungen!$A$6:$A$1005,$A13))</f>
        <v/>
      </c>
      <c r="K13" s="58">
        <f>IF($B13="","",SUMIFS(Krankmeldungen!$AF$6:$AF$1005,Krankmeldungen!$A$6:$A$1005,$A13))</f>
        <v/>
      </c>
      <c r="L13" s="58">
        <f>IF($B13="","",SUMIFS(Krankmeldungen!$AG$6:$AG$1005,Krankmeldungen!$A$6:$A$1005,$A13))</f>
        <v/>
      </c>
      <c r="M13" s="58">
        <f>IF($B13="","",SUMIFS(Krankmeldungen!$AH$6:$AH$1005,Krankmeldungen!$A$6:$A$1005,$A13))</f>
        <v/>
      </c>
      <c r="N13" s="58">
        <f>IF($B13="","",SUMIFS(Krankmeldungen!$AI$6:$AI$1005,Krankmeldungen!$A$6:$A$1005,$A13))</f>
        <v/>
      </c>
      <c r="O13" s="65">
        <f>IF($B13="","",SUM(C13:N13))</f>
        <v/>
      </c>
      <c r="P13" s="57">
        <f>'KQuote Mitarbeiter'!D13</f>
        <v/>
      </c>
      <c r="Q13" s="67">
        <f>'KQuote Mitarbeiter'!J13</f>
        <v/>
      </c>
    </row>
    <row r="14">
      <c r="A14" s="61">
        <f>'KQuote Mitarbeiter'!A14</f>
        <v/>
      </c>
      <c r="B14" s="62">
        <f>'KQuote Mitarbeiter'!B14</f>
        <v/>
      </c>
      <c r="C14" s="58">
        <f>IF($B14="","",SUMIFS(Krankmeldungen!$X$6:$X$1005,Krankmeldungen!$A$6:$A$1005,$A14))</f>
        <v/>
      </c>
      <c r="D14" s="58">
        <f>IF($B14="","",SUMIFS(Krankmeldungen!$Y$6:$Y$1005,Krankmeldungen!$A$6:$A$1005,$A14))</f>
        <v/>
      </c>
      <c r="E14" s="58">
        <f>IF($B14="","",SUMIFS(Krankmeldungen!$Z$6:$Z$1005,Krankmeldungen!$A$6:$A$1005,$A14))</f>
        <v/>
      </c>
      <c r="F14" s="58">
        <f>IF($B14="","",SUMIFS(Krankmeldungen!$AA$6:$AA$1005,Krankmeldungen!$A$6:$A$1005,$A14))</f>
        <v/>
      </c>
      <c r="G14" s="58">
        <f>IF($B14="","",SUMIFS(Krankmeldungen!$AB$6:$AB$1005,Krankmeldungen!$A$6:$A$1005,$A14))</f>
        <v/>
      </c>
      <c r="H14" s="58">
        <f>IF($B14="","",SUMIFS(Krankmeldungen!$AC$6:$AC$1005,Krankmeldungen!$A$6:$A$1005,$A14))</f>
        <v/>
      </c>
      <c r="I14" s="58">
        <f>IF($B14="","",SUMIFS(Krankmeldungen!$AD$6:$AD$1005,Krankmeldungen!$A$6:$A$1005,$A14))</f>
        <v/>
      </c>
      <c r="J14" s="58">
        <f>IF($B14="","",SUMIFS(Krankmeldungen!$AE$6:$AE$1005,Krankmeldungen!$A$6:$A$1005,$A14))</f>
        <v/>
      </c>
      <c r="K14" s="58">
        <f>IF($B14="","",SUMIFS(Krankmeldungen!$AF$6:$AF$1005,Krankmeldungen!$A$6:$A$1005,$A14))</f>
        <v/>
      </c>
      <c r="L14" s="58">
        <f>IF($B14="","",SUMIFS(Krankmeldungen!$AG$6:$AG$1005,Krankmeldungen!$A$6:$A$1005,$A14))</f>
        <v/>
      </c>
      <c r="M14" s="58">
        <f>IF($B14="","",SUMIFS(Krankmeldungen!$AH$6:$AH$1005,Krankmeldungen!$A$6:$A$1005,$A14))</f>
        <v/>
      </c>
      <c r="N14" s="58">
        <f>IF($B14="","",SUMIFS(Krankmeldungen!$AI$6:$AI$1005,Krankmeldungen!$A$6:$A$1005,$A14))</f>
        <v/>
      </c>
      <c r="O14" s="65">
        <f>IF($B14="","",SUM(C14:N14))</f>
        <v/>
      </c>
      <c r="P14" s="57">
        <f>'KQuote Mitarbeiter'!D14</f>
        <v/>
      </c>
      <c r="Q14" s="67">
        <f>'KQuote Mitarbeiter'!J14</f>
        <v/>
      </c>
    </row>
    <row r="15">
      <c r="A15" s="61">
        <f>'KQuote Mitarbeiter'!A15</f>
        <v/>
      </c>
      <c r="B15" s="62">
        <f>'KQuote Mitarbeiter'!B15</f>
        <v/>
      </c>
      <c r="C15" s="58">
        <f>IF($B15="","",SUMIFS(Krankmeldungen!$X$6:$X$1005,Krankmeldungen!$A$6:$A$1005,$A15))</f>
        <v/>
      </c>
      <c r="D15" s="58">
        <f>IF($B15="","",SUMIFS(Krankmeldungen!$Y$6:$Y$1005,Krankmeldungen!$A$6:$A$1005,$A15))</f>
        <v/>
      </c>
      <c r="E15" s="58">
        <f>IF($B15="","",SUMIFS(Krankmeldungen!$Z$6:$Z$1005,Krankmeldungen!$A$6:$A$1005,$A15))</f>
        <v/>
      </c>
      <c r="F15" s="58">
        <f>IF($B15="","",SUMIFS(Krankmeldungen!$AA$6:$AA$1005,Krankmeldungen!$A$6:$A$1005,$A15))</f>
        <v/>
      </c>
      <c r="G15" s="58">
        <f>IF($B15="","",SUMIFS(Krankmeldungen!$AB$6:$AB$1005,Krankmeldungen!$A$6:$A$1005,$A15))</f>
        <v/>
      </c>
      <c r="H15" s="58">
        <f>IF($B15="","",SUMIFS(Krankmeldungen!$AC$6:$AC$1005,Krankmeldungen!$A$6:$A$1005,$A15))</f>
        <v/>
      </c>
      <c r="I15" s="58">
        <f>IF($B15="","",SUMIFS(Krankmeldungen!$AD$6:$AD$1005,Krankmeldungen!$A$6:$A$1005,$A15))</f>
        <v/>
      </c>
      <c r="J15" s="58">
        <f>IF($B15="","",SUMIFS(Krankmeldungen!$AE$6:$AE$1005,Krankmeldungen!$A$6:$A$1005,$A15))</f>
        <v/>
      </c>
      <c r="K15" s="58">
        <f>IF($B15="","",SUMIFS(Krankmeldungen!$AF$6:$AF$1005,Krankmeldungen!$A$6:$A$1005,$A15))</f>
        <v/>
      </c>
      <c r="L15" s="58">
        <f>IF($B15="","",SUMIFS(Krankmeldungen!$AG$6:$AG$1005,Krankmeldungen!$A$6:$A$1005,$A15))</f>
        <v/>
      </c>
      <c r="M15" s="58">
        <f>IF($B15="","",SUMIFS(Krankmeldungen!$AH$6:$AH$1005,Krankmeldungen!$A$6:$A$1005,$A15))</f>
        <v/>
      </c>
      <c r="N15" s="58">
        <f>IF($B15="","",SUMIFS(Krankmeldungen!$AI$6:$AI$1005,Krankmeldungen!$A$6:$A$1005,$A15))</f>
        <v/>
      </c>
      <c r="O15" s="65">
        <f>IF($B15="","",SUM(C15:N15))</f>
        <v/>
      </c>
      <c r="P15" s="57">
        <f>'KQuote Mitarbeiter'!D15</f>
        <v/>
      </c>
      <c r="Q15" s="67">
        <f>'KQuote Mitarbeiter'!J15</f>
        <v/>
      </c>
    </row>
    <row r="16">
      <c r="A16" s="61">
        <f>'KQuote Mitarbeiter'!A16</f>
        <v/>
      </c>
      <c r="B16" s="62">
        <f>'KQuote Mitarbeiter'!B16</f>
        <v/>
      </c>
      <c r="C16" s="58">
        <f>IF($B16="","",SUMIFS(Krankmeldungen!$X$6:$X$1005,Krankmeldungen!$A$6:$A$1005,$A16))</f>
        <v/>
      </c>
      <c r="D16" s="58">
        <f>IF($B16="","",SUMIFS(Krankmeldungen!$Y$6:$Y$1005,Krankmeldungen!$A$6:$A$1005,$A16))</f>
        <v/>
      </c>
      <c r="E16" s="58">
        <f>IF($B16="","",SUMIFS(Krankmeldungen!$Z$6:$Z$1005,Krankmeldungen!$A$6:$A$1005,$A16))</f>
        <v/>
      </c>
      <c r="F16" s="58">
        <f>IF($B16="","",SUMIFS(Krankmeldungen!$AA$6:$AA$1005,Krankmeldungen!$A$6:$A$1005,$A16))</f>
        <v/>
      </c>
      <c r="G16" s="58">
        <f>IF($B16="","",SUMIFS(Krankmeldungen!$AB$6:$AB$1005,Krankmeldungen!$A$6:$A$1005,$A16))</f>
        <v/>
      </c>
      <c r="H16" s="58">
        <f>IF($B16="","",SUMIFS(Krankmeldungen!$AC$6:$AC$1005,Krankmeldungen!$A$6:$A$1005,$A16))</f>
        <v/>
      </c>
      <c r="I16" s="58">
        <f>IF($B16="","",SUMIFS(Krankmeldungen!$AD$6:$AD$1005,Krankmeldungen!$A$6:$A$1005,$A16))</f>
        <v/>
      </c>
      <c r="J16" s="58">
        <f>IF($B16="","",SUMIFS(Krankmeldungen!$AE$6:$AE$1005,Krankmeldungen!$A$6:$A$1005,$A16))</f>
        <v/>
      </c>
      <c r="K16" s="58">
        <f>IF($B16="","",SUMIFS(Krankmeldungen!$AF$6:$AF$1005,Krankmeldungen!$A$6:$A$1005,$A16))</f>
        <v/>
      </c>
      <c r="L16" s="58">
        <f>IF($B16="","",SUMIFS(Krankmeldungen!$AG$6:$AG$1005,Krankmeldungen!$A$6:$A$1005,$A16))</f>
        <v/>
      </c>
      <c r="M16" s="58">
        <f>IF($B16="","",SUMIFS(Krankmeldungen!$AH$6:$AH$1005,Krankmeldungen!$A$6:$A$1005,$A16))</f>
        <v/>
      </c>
      <c r="N16" s="58">
        <f>IF($B16="","",SUMIFS(Krankmeldungen!$AI$6:$AI$1005,Krankmeldungen!$A$6:$A$1005,$A16))</f>
        <v/>
      </c>
      <c r="O16" s="65">
        <f>IF($B16="","",SUM(C16:N16))</f>
        <v/>
      </c>
      <c r="P16" s="57">
        <f>'KQuote Mitarbeiter'!D16</f>
        <v/>
      </c>
      <c r="Q16" s="67">
        <f>'KQuote Mitarbeiter'!J16</f>
        <v/>
      </c>
    </row>
    <row r="17">
      <c r="A17" s="61">
        <f>'KQuote Mitarbeiter'!A17</f>
        <v/>
      </c>
      <c r="B17" s="62">
        <f>'KQuote Mitarbeiter'!B17</f>
        <v/>
      </c>
      <c r="C17" s="58">
        <f>IF($B17="","",SUMIFS(Krankmeldungen!$X$6:$X$1005,Krankmeldungen!$A$6:$A$1005,$A17))</f>
        <v/>
      </c>
      <c r="D17" s="58">
        <f>IF($B17="","",SUMIFS(Krankmeldungen!$Y$6:$Y$1005,Krankmeldungen!$A$6:$A$1005,$A17))</f>
        <v/>
      </c>
      <c r="E17" s="58">
        <f>IF($B17="","",SUMIFS(Krankmeldungen!$Z$6:$Z$1005,Krankmeldungen!$A$6:$A$1005,$A17))</f>
        <v/>
      </c>
      <c r="F17" s="58">
        <f>IF($B17="","",SUMIFS(Krankmeldungen!$AA$6:$AA$1005,Krankmeldungen!$A$6:$A$1005,$A17))</f>
        <v/>
      </c>
      <c r="G17" s="58">
        <f>IF($B17="","",SUMIFS(Krankmeldungen!$AB$6:$AB$1005,Krankmeldungen!$A$6:$A$1005,$A17))</f>
        <v/>
      </c>
      <c r="H17" s="58">
        <f>IF($B17="","",SUMIFS(Krankmeldungen!$AC$6:$AC$1005,Krankmeldungen!$A$6:$A$1005,$A17))</f>
        <v/>
      </c>
      <c r="I17" s="58">
        <f>IF($B17="","",SUMIFS(Krankmeldungen!$AD$6:$AD$1005,Krankmeldungen!$A$6:$A$1005,$A17))</f>
        <v/>
      </c>
      <c r="J17" s="58">
        <f>IF($B17="","",SUMIFS(Krankmeldungen!$AE$6:$AE$1005,Krankmeldungen!$A$6:$A$1005,$A17))</f>
        <v/>
      </c>
      <c r="K17" s="58">
        <f>IF($B17="","",SUMIFS(Krankmeldungen!$AF$6:$AF$1005,Krankmeldungen!$A$6:$A$1005,$A17))</f>
        <v/>
      </c>
      <c r="L17" s="58">
        <f>IF($B17="","",SUMIFS(Krankmeldungen!$AG$6:$AG$1005,Krankmeldungen!$A$6:$A$1005,$A17))</f>
        <v/>
      </c>
      <c r="M17" s="58">
        <f>IF($B17="","",SUMIFS(Krankmeldungen!$AH$6:$AH$1005,Krankmeldungen!$A$6:$A$1005,$A17))</f>
        <v/>
      </c>
      <c r="N17" s="58">
        <f>IF($B17="","",SUMIFS(Krankmeldungen!$AI$6:$AI$1005,Krankmeldungen!$A$6:$A$1005,$A17))</f>
        <v/>
      </c>
      <c r="O17" s="65">
        <f>IF($B17="","",SUM(C17:N17))</f>
        <v/>
      </c>
      <c r="P17" s="57">
        <f>'KQuote Mitarbeiter'!D17</f>
        <v/>
      </c>
      <c r="Q17" s="67">
        <f>'KQuote Mitarbeiter'!J17</f>
        <v/>
      </c>
    </row>
    <row r="18">
      <c r="A18" s="61">
        <f>'KQuote Mitarbeiter'!A18</f>
        <v/>
      </c>
      <c r="B18" s="62">
        <f>'KQuote Mitarbeiter'!B18</f>
        <v/>
      </c>
      <c r="C18" s="58">
        <f>IF($B18="","",SUMIFS(Krankmeldungen!$X$6:$X$1005,Krankmeldungen!$A$6:$A$1005,$A18))</f>
        <v/>
      </c>
      <c r="D18" s="58">
        <f>IF($B18="","",SUMIFS(Krankmeldungen!$Y$6:$Y$1005,Krankmeldungen!$A$6:$A$1005,$A18))</f>
        <v/>
      </c>
      <c r="E18" s="58">
        <f>IF($B18="","",SUMIFS(Krankmeldungen!$Z$6:$Z$1005,Krankmeldungen!$A$6:$A$1005,$A18))</f>
        <v/>
      </c>
      <c r="F18" s="58">
        <f>IF($B18="","",SUMIFS(Krankmeldungen!$AA$6:$AA$1005,Krankmeldungen!$A$6:$A$1005,$A18))</f>
        <v/>
      </c>
      <c r="G18" s="58">
        <f>IF($B18="","",SUMIFS(Krankmeldungen!$AB$6:$AB$1005,Krankmeldungen!$A$6:$A$1005,$A18))</f>
        <v/>
      </c>
      <c r="H18" s="58">
        <f>IF($B18="","",SUMIFS(Krankmeldungen!$AC$6:$AC$1005,Krankmeldungen!$A$6:$A$1005,$A18))</f>
        <v/>
      </c>
      <c r="I18" s="58">
        <f>IF($B18="","",SUMIFS(Krankmeldungen!$AD$6:$AD$1005,Krankmeldungen!$A$6:$A$1005,$A18))</f>
        <v/>
      </c>
      <c r="J18" s="58">
        <f>IF($B18="","",SUMIFS(Krankmeldungen!$AE$6:$AE$1005,Krankmeldungen!$A$6:$A$1005,$A18))</f>
        <v/>
      </c>
      <c r="K18" s="58">
        <f>IF($B18="","",SUMIFS(Krankmeldungen!$AF$6:$AF$1005,Krankmeldungen!$A$6:$A$1005,$A18))</f>
        <v/>
      </c>
      <c r="L18" s="58">
        <f>IF($B18="","",SUMIFS(Krankmeldungen!$AG$6:$AG$1005,Krankmeldungen!$A$6:$A$1005,$A18))</f>
        <v/>
      </c>
      <c r="M18" s="58">
        <f>IF($B18="","",SUMIFS(Krankmeldungen!$AH$6:$AH$1005,Krankmeldungen!$A$6:$A$1005,$A18))</f>
        <v/>
      </c>
      <c r="N18" s="58">
        <f>IF($B18="","",SUMIFS(Krankmeldungen!$AI$6:$AI$1005,Krankmeldungen!$A$6:$A$1005,$A18))</f>
        <v/>
      </c>
      <c r="O18" s="65">
        <f>IF($B18="","",SUM(C18:N18))</f>
        <v/>
      </c>
      <c r="P18" s="57">
        <f>'KQuote Mitarbeiter'!D18</f>
        <v/>
      </c>
      <c r="Q18" s="67">
        <f>'KQuote Mitarbeiter'!J18</f>
        <v/>
      </c>
    </row>
    <row r="19">
      <c r="A19" s="61">
        <f>'KQuote Mitarbeiter'!A19</f>
        <v/>
      </c>
      <c r="B19" s="62">
        <f>'KQuote Mitarbeiter'!B19</f>
        <v/>
      </c>
      <c r="C19" s="58">
        <f>IF($B19="","",SUMIFS(Krankmeldungen!$X$6:$X$1005,Krankmeldungen!$A$6:$A$1005,$A19))</f>
        <v/>
      </c>
      <c r="D19" s="58">
        <f>IF($B19="","",SUMIFS(Krankmeldungen!$Y$6:$Y$1005,Krankmeldungen!$A$6:$A$1005,$A19))</f>
        <v/>
      </c>
      <c r="E19" s="58">
        <f>IF($B19="","",SUMIFS(Krankmeldungen!$Z$6:$Z$1005,Krankmeldungen!$A$6:$A$1005,$A19))</f>
        <v/>
      </c>
      <c r="F19" s="58">
        <f>IF($B19="","",SUMIFS(Krankmeldungen!$AA$6:$AA$1005,Krankmeldungen!$A$6:$A$1005,$A19))</f>
        <v/>
      </c>
      <c r="G19" s="58">
        <f>IF($B19="","",SUMIFS(Krankmeldungen!$AB$6:$AB$1005,Krankmeldungen!$A$6:$A$1005,$A19))</f>
        <v/>
      </c>
      <c r="H19" s="58">
        <f>IF($B19="","",SUMIFS(Krankmeldungen!$AC$6:$AC$1005,Krankmeldungen!$A$6:$A$1005,$A19))</f>
        <v/>
      </c>
      <c r="I19" s="58">
        <f>IF($B19="","",SUMIFS(Krankmeldungen!$AD$6:$AD$1005,Krankmeldungen!$A$6:$A$1005,$A19))</f>
        <v/>
      </c>
      <c r="J19" s="58">
        <f>IF($B19="","",SUMIFS(Krankmeldungen!$AE$6:$AE$1005,Krankmeldungen!$A$6:$A$1005,$A19))</f>
        <v/>
      </c>
      <c r="K19" s="58">
        <f>IF($B19="","",SUMIFS(Krankmeldungen!$AF$6:$AF$1005,Krankmeldungen!$A$6:$A$1005,$A19))</f>
        <v/>
      </c>
      <c r="L19" s="58">
        <f>IF($B19="","",SUMIFS(Krankmeldungen!$AG$6:$AG$1005,Krankmeldungen!$A$6:$A$1005,$A19))</f>
        <v/>
      </c>
      <c r="M19" s="58">
        <f>IF($B19="","",SUMIFS(Krankmeldungen!$AH$6:$AH$1005,Krankmeldungen!$A$6:$A$1005,$A19))</f>
        <v/>
      </c>
      <c r="N19" s="58">
        <f>IF($B19="","",SUMIFS(Krankmeldungen!$AI$6:$AI$1005,Krankmeldungen!$A$6:$A$1005,$A19))</f>
        <v/>
      </c>
      <c r="O19" s="65">
        <f>IF($B19="","",SUM(C19:N19))</f>
        <v/>
      </c>
      <c r="P19" s="57">
        <f>'KQuote Mitarbeiter'!D19</f>
        <v/>
      </c>
      <c r="Q19" s="67">
        <f>'KQuote Mitarbeiter'!J19</f>
        <v/>
      </c>
    </row>
    <row r="20">
      <c r="A20" s="61">
        <f>'KQuote Mitarbeiter'!A20</f>
        <v/>
      </c>
      <c r="B20" s="62">
        <f>'KQuote Mitarbeiter'!B20</f>
        <v/>
      </c>
      <c r="C20" s="58">
        <f>IF($B20="","",SUMIFS(Krankmeldungen!$X$6:$X$1005,Krankmeldungen!$A$6:$A$1005,$A20))</f>
        <v/>
      </c>
      <c r="D20" s="58">
        <f>IF($B20="","",SUMIFS(Krankmeldungen!$Y$6:$Y$1005,Krankmeldungen!$A$6:$A$1005,$A20))</f>
        <v/>
      </c>
      <c r="E20" s="58">
        <f>IF($B20="","",SUMIFS(Krankmeldungen!$Z$6:$Z$1005,Krankmeldungen!$A$6:$A$1005,$A20))</f>
        <v/>
      </c>
      <c r="F20" s="58">
        <f>IF($B20="","",SUMIFS(Krankmeldungen!$AA$6:$AA$1005,Krankmeldungen!$A$6:$A$1005,$A20))</f>
        <v/>
      </c>
      <c r="G20" s="58">
        <f>IF($B20="","",SUMIFS(Krankmeldungen!$AB$6:$AB$1005,Krankmeldungen!$A$6:$A$1005,$A20))</f>
        <v/>
      </c>
      <c r="H20" s="58">
        <f>IF($B20="","",SUMIFS(Krankmeldungen!$AC$6:$AC$1005,Krankmeldungen!$A$6:$A$1005,$A20))</f>
        <v/>
      </c>
      <c r="I20" s="58">
        <f>IF($B20="","",SUMIFS(Krankmeldungen!$AD$6:$AD$1005,Krankmeldungen!$A$6:$A$1005,$A20))</f>
        <v/>
      </c>
      <c r="J20" s="58">
        <f>IF($B20="","",SUMIFS(Krankmeldungen!$AE$6:$AE$1005,Krankmeldungen!$A$6:$A$1005,$A20))</f>
        <v/>
      </c>
      <c r="K20" s="58">
        <f>IF($B20="","",SUMIFS(Krankmeldungen!$AF$6:$AF$1005,Krankmeldungen!$A$6:$A$1005,$A20))</f>
        <v/>
      </c>
      <c r="L20" s="58">
        <f>IF($B20="","",SUMIFS(Krankmeldungen!$AG$6:$AG$1005,Krankmeldungen!$A$6:$A$1005,$A20))</f>
        <v/>
      </c>
      <c r="M20" s="58">
        <f>IF($B20="","",SUMIFS(Krankmeldungen!$AH$6:$AH$1005,Krankmeldungen!$A$6:$A$1005,$A20))</f>
        <v/>
      </c>
      <c r="N20" s="58">
        <f>IF($B20="","",SUMIFS(Krankmeldungen!$AI$6:$AI$1005,Krankmeldungen!$A$6:$A$1005,$A20))</f>
        <v/>
      </c>
      <c r="O20" s="65">
        <f>IF($B20="","",SUM(C20:N20))</f>
        <v/>
      </c>
      <c r="P20" s="57">
        <f>'KQuote Mitarbeiter'!D20</f>
        <v/>
      </c>
      <c r="Q20" s="67">
        <f>'KQuote Mitarbeiter'!J20</f>
        <v/>
      </c>
    </row>
    <row r="21">
      <c r="A21" s="61">
        <f>'KQuote Mitarbeiter'!A21</f>
        <v/>
      </c>
      <c r="B21" s="62">
        <f>'KQuote Mitarbeiter'!B21</f>
        <v/>
      </c>
      <c r="C21" s="58">
        <f>IF($B21="","",SUMIFS(Krankmeldungen!$X$6:$X$1005,Krankmeldungen!$A$6:$A$1005,$A21))</f>
        <v/>
      </c>
      <c r="D21" s="58">
        <f>IF($B21="","",SUMIFS(Krankmeldungen!$Y$6:$Y$1005,Krankmeldungen!$A$6:$A$1005,$A21))</f>
        <v/>
      </c>
      <c r="E21" s="58">
        <f>IF($B21="","",SUMIFS(Krankmeldungen!$Z$6:$Z$1005,Krankmeldungen!$A$6:$A$1005,$A21))</f>
        <v/>
      </c>
      <c r="F21" s="58">
        <f>IF($B21="","",SUMIFS(Krankmeldungen!$AA$6:$AA$1005,Krankmeldungen!$A$6:$A$1005,$A21))</f>
        <v/>
      </c>
      <c r="G21" s="58">
        <f>IF($B21="","",SUMIFS(Krankmeldungen!$AB$6:$AB$1005,Krankmeldungen!$A$6:$A$1005,$A21))</f>
        <v/>
      </c>
      <c r="H21" s="58">
        <f>IF($B21="","",SUMIFS(Krankmeldungen!$AC$6:$AC$1005,Krankmeldungen!$A$6:$A$1005,$A21))</f>
        <v/>
      </c>
      <c r="I21" s="58">
        <f>IF($B21="","",SUMIFS(Krankmeldungen!$AD$6:$AD$1005,Krankmeldungen!$A$6:$A$1005,$A21))</f>
        <v/>
      </c>
      <c r="J21" s="58">
        <f>IF($B21="","",SUMIFS(Krankmeldungen!$AE$6:$AE$1005,Krankmeldungen!$A$6:$A$1005,$A21))</f>
        <v/>
      </c>
      <c r="K21" s="58">
        <f>IF($B21="","",SUMIFS(Krankmeldungen!$AF$6:$AF$1005,Krankmeldungen!$A$6:$A$1005,$A21))</f>
        <v/>
      </c>
      <c r="L21" s="58">
        <f>IF($B21="","",SUMIFS(Krankmeldungen!$AG$6:$AG$1005,Krankmeldungen!$A$6:$A$1005,$A21))</f>
        <v/>
      </c>
      <c r="M21" s="58">
        <f>IF($B21="","",SUMIFS(Krankmeldungen!$AH$6:$AH$1005,Krankmeldungen!$A$6:$A$1005,$A21))</f>
        <v/>
      </c>
      <c r="N21" s="58">
        <f>IF($B21="","",SUMIFS(Krankmeldungen!$AI$6:$AI$1005,Krankmeldungen!$A$6:$A$1005,$A21))</f>
        <v/>
      </c>
      <c r="O21" s="65">
        <f>IF($B21="","",SUM(C21:N21))</f>
        <v/>
      </c>
      <c r="P21" s="57">
        <f>'KQuote Mitarbeiter'!D21</f>
        <v/>
      </c>
      <c r="Q21" s="67">
        <f>'KQuote Mitarbeiter'!J21</f>
        <v/>
      </c>
    </row>
    <row r="22">
      <c r="A22" s="61">
        <f>'KQuote Mitarbeiter'!A22</f>
        <v/>
      </c>
      <c r="B22" s="62">
        <f>'KQuote Mitarbeiter'!B22</f>
        <v/>
      </c>
      <c r="C22" s="58">
        <f>IF($B22="","",SUMIFS(Krankmeldungen!$X$6:$X$1005,Krankmeldungen!$A$6:$A$1005,$A22))</f>
        <v/>
      </c>
      <c r="D22" s="58">
        <f>IF($B22="","",SUMIFS(Krankmeldungen!$Y$6:$Y$1005,Krankmeldungen!$A$6:$A$1005,$A22))</f>
        <v/>
      </c>
      <c r="E22" s="58">
        <f>IF($B22="","",SUMIFS(Krankmeldungen!$Z$6:$Z$1005,Krankmeldungen!$A$6:$A$1005,$A22))</f>
        <v/>
      </c>
      <c r="F22" s="58">
        <f>IF($B22="","",SUMIFS(Krankmeldungen!$AA$6:$AA$1005,Krankmeldungen!$A$6:$A$1005,$A22))</f>
        <v/>
      </c>
      <c r="G22" s="58">
        <f>IF($B22="","",SUMIFS(Krankmeldungen!$AB$6:$AB$1005,Krankmeldungen!$A$6:$A$1005,$A22))</f>
        <v/>
      </c>
      <c r="H22" s="58">
        <f>IF($B22="","",SUMIFS(Krankmeldungen!$AC$6:$AC$1005,Krankmeldungen!$A$6:$A$1005,$A22))</f>
        <v/>
      </c>
      <c r="I22" s="58">
        <f>IF($B22="","",SUMIFS(Krankmeldungen!$AD$6:$AD$1005,Krankmeldungen!$A$6:$A$1005,$A22))</f>
        <v/>
      </c>
      <c r="J22" s="58">
        <f>IF($B22="","",SUMIFS(Krankmeldungen!$AE$6:$AE$1005,Krankmeldungen!$A$6:$A$1005,$A22))</f>
        <v/>
      </c>
      <c r="K22" s="58">
        <f>IF($B22="","",SUMIFS(Krankmeldungen!$AF$6:$AF$1005,Krankmeldungen!$A$6:$A$1005,$A22))</f>
        <v/>
      </c>
      <c r="L22" s="58">
        <f>IF($B22="","",SUMIFS(Krankmeldungen!$AG$6:$AG$1005,Krankmeldungen!$A$6:$A$1005,$A22))</f>
        <v/>
      </c>
      <c r="M22" s="58">
        <f>IF($B22="","",SUMIFS(Krankmeldungen!$AH$6:$AH$1005,Krankmeldungen!$A$6:$A$1005,$A22))</f>
        <v/>
      </c>
      <c r="N22" s="58">
        <f>IF($B22="","",SUMIFS(Krankmeldungen!$AI$6:$AI$1005,Krankmeldungen!$A$6:$A$1005,$A22))</f>
        <v/>
      </c>
      <c r="O22" s="65">
        <f>IF($B22="","",SUM(C22:N22))</f>
        <v/>
      </c>
      <c r="P22" s="57">
        <f>'KQuote Mitarbeiter'!D22</f>
        <v/>
      </c>
      <c r="Q22" s="67">
        <f>'KQuote Mitarbeiter'!J22</f>
        <v/>
      </c>
    </row>
    <row r="23">
      <c r="A23" s="61">
        <f>'KQuote Mitarbeiter'!A23</f>
        <v/>
      </c>
      <c r="B23" s="62">
        <f>'KQuote Mitarbeiter'!B23</f>
        <v/>
      </c>
      <c r="C23" s="58">
        <f>IF($B23="","",SUMIFS(Krankmeldungen!$X$6:$X$1005,Krankmeldungen!$A$6:$A$1005,$A23))</f>
        <v/>
      </c>
      <c r="D23" s="58">
        <f>IF($B23="","",SUMIFS(Krankmeldungen!$Y$6:$Y$1005,Krankmeldungen!$A$6:$A$1005,$A23))</f>
        <v/>
      </c>
      <c r="E23" s="58">
        <f>IF($B23="","",SUMIFS(Krankmeldungen!$Z$6:$Z$1005,Krankmeldungen!$A$6:$A$1005,$A23))</f>
        <v/>
      </c>
      <c r="F23" s="58">
        <f>IF($B23="","",SUMIFS(Krankmeldungen!$AA$6:$AA$1005,Krankmeldungen!$A$6:$A$1005,$A23))</f>
        <v/>
      </c>
      <c r="G23" s="58">
        <f>IF($B23="","",SUMIFS(Krankmeldungen!$AB$6:$AB$1005,Krankmeldungen!$A$6:$A$1005,$A23))</f>
        <v/>
      </c>
      <c r="H23" s="58">
        <f>IF($B23="","",SUMIFS(Krankmeldungen!$AC$6:$AC$1005,Krankmeldungen!$A$6:$A$1005,$A23))</f>
        <v/>
      </c>
      <c r="I23" s="58">
        <f>IF($B23="","",SUMIFS(Krankmeldungen!$AD$6:$AD$1005,Krankmeldungen!$A$6:$A$1005,$A23))</f>
        <v/>
      </c>
      <c r="J23" s="58">
        <f>IF($B23="","",SUMIFS(Krankmeldungen!$AE$6:$AE$1005,Krankmeldungen!$A$6:$A$1005,$A23))</f>
        <v/>
      </c>
      <c r="K23" s="58">
        <f>IF($B23="","",SUMIFS(Krankmeldungen!$AF$6:$AF$1005,Krankmeldungen!$A$6:$A$1005,$A23))</f>
        <v/>
      </c>
      <c r="L23" s="58">
        <f>IF($B23="","",SUMIFS(Krankmeldungen!$AG$6:$AG$1005,Krankmeldungen!$A$6:$A$1005,$A23))</f>
        <v/>
      </c>
      <c r="M23" s="58">
        <f>IF($B23="","",SUMIFS(Krankmeldungen!$AH$6:$AH$1005,Krankmeldungen!$A$6:$A$1005,$A23))</f>
        <v/>
      </c>
      <c r="N23" s="58">
        <f>IF($B23="","",SUMIFS(Krankmeldungen!$AI$6:$AI$1005,Krankmeldungen!$A$6:$A$1005,$A23))</f>
        <v/>
      </c>
      <c r="O23" s="65">
        <f>IF($B23="","",SUM(C23:N23))</f>
        <v/>
      </c>
      <c r="P23" s="57">
        <f>'KQuote Mitarbeiter'!D23</f>
        <v/>
      </c>
      <c r="Q23" s="67">
        <f>'KQuote Mitarbeiter'!J23</f>
        <v/>
      </c>
    </row>
    <row r="24">
      <c r="A24" s="61">
        <f>'KQuote Mitarbeiter'!A24</f>
        <v/>
      </c>
      <c r="B24" s="62">
        <f>'KQuote Mitarbeiter'!B24</f>
        <v/>
      </c>
      <c r="C24" s="58">
        <f>IF($B24="","",SUMIFS(Krankmeldungen!$X$6:$X$1005,Krankmeldungen!$A$6:$A$1005,$A24))</f>
        <v/>
      </c>
      <c r="D24" s="58">
        <f>IF($B24="","",SUMIFS(Krankmeldungen!$Y$6:$Y$1005,Krankmeldungen!$A$6:$A$1005,$A24))</f>
        <v/>
      </c>
      <c r="E24" s="58">
        <f>IF($B24="","",SUMIFS(Krankmeldungen!$Z$6:$Z$1005,Krankmeldungen!$A$6:$A$1005,$A24))</f>
        <v/>
      </c>
      <c r="F24" s="58">
        <f>IF($B24="","",SUMIFS(Krankmeldungen!$AA$6:$AA$1005,Krankmeldungen!$A$6:$A$1005,$A24))</f>
        <v/>
      </c>
      <c r="G24" s="58">
        <f>IF($B24="","",SUMIFS(Krankmeldungen!$AB$6:$AB$1005,Krankmeldungen!$A$6:$A$1005,$A24))</f>
        <v/>
      </c>
      <c r="H24" s="58">
        <f>IF($B24="","",SUMIFS(Krankmeldungen!$AC$6:$AC$1005,Krankmeldungen!$A$6:$A$1005,$A24))</f>
        <v/>
      </c>
      <c r="I24" s="58">
        <f>IF($B24="","",SUMIFS(Krankmeldungen!$AD$6:$AD$1005,Krankmeldungen!$A$6:$A$1005,$A24))</f>
        <v/>
      </c>
      <c r="J24" s="58">
        <f>IF($B24="","",SUMIFS(Krankmeldungen!$AE$6:$AE$1005,Krankmeldungen!$A$6:$A$1005,$A24))</f>
        <v/>
      </c>
      <c r="K24" s="58">
        <f>IF($B24="","",SUMIFS(Krankmeldungen!$AF$6:$AF$1005,Krankmeldungen!$A$6:$A$1005,$A24))</f>
        <v/>
      </c>
      <c r="L24" s="58">
        <f>IF($B24="","",SUMIFS(Krankmeldungen!$AG$6:$AG$1005,Krankmeldungen!$A$6:$A$1005,$A24))</f>
        <v/>
      </c>
      <c r="M24" s="58">
        <f>IF($B24="","",SUMIFS(Krankmeldungen!$AH$6:$AH$1005,Krankmeldungen!$A$6:$A$1005,$A24))</f>
        <v/>
      </c>
      <c r="N24" s="58">
        <f>IF($B24="","",SUMIFS(Krankmeldungen!$AI$6:$AI$1005,Krankmeldungen!$A$6:$A$1005,$A24))</f>
        <v/>
      </c>
      <c r="O24" s="65">
        <f>IF($B24="","",SUM(C24:N24))</f>
        <v/>
      </c>
      <c r="P24" s="57">
        <f>'KQuote Mitarbeiter'!D24</f>
        <v/>
      </c>
      <c r="Q24" s="67">
        <f>'KQuote Mitarbeiter'!J24</f>
        <v/>
      </c>
    </row>
    <row r="25">
      <c r="A25" s="61">
        <f>'KQuote Mitarbeiter'!A25</f>
        <v/>
      </c>
      <c r="B25" s="62">
        <f>'KQuote Mitarbeiter'!B25</f>
        <v/>
      </c>
      <c r="C25" s="58">
        <f>IF($B25="","",SUMIFS(Krankmeldungen!$X$6:$X$1005,Krankmeldungen!$A$6:$A$1005,$A25))</f>
        <v/>
      </c>
      <c r="D25" s="58">
        <f>IF($B25="","",SUMIFS(Krankmeldungen!$Y$6:$Y$1005,Krankmeldungen!$A$6:$A$1005,$A25))</f>
        <v/>
      </c>
      <c r="E25" s="58">
        <f>IF($B25="","",SUMIFS(Krankmeldungen!$Z$6:$Z$1005,Krankmeldungen!$A$6:$A$1005,$A25))</f>
        <v/>
      </c>
      <c r="F25" s="58">
        <f>IF($B25="","",SUMIFS(Krankmeldungen!$AA$6:$AA$1005,Krankmeldungen!$A$6:$A$1005,$A25))</f>
        <v/>
      </c>
      <c r="G25" s="58">
        <f>IF($B25="","",SUMIFS(Krankmeldungen!$AB$6:$AB$1005,Krankmeldungen!$A$6:$A$1005,$A25))</f>
        <v/>
      </c>
      <c r="H25" s="58">
        <f>IF($B25="","",SUMIFS(Krankmeldungen!$AC$6:$AC$1005,Krankmeldungen!$A$6:$A$1005,$A25))</f>
        <v/>
      </c>
      <c r="I25" s="58">
        <f>IF($B25="","",SUMIFS(Krankmeldungen!$AD$6:$AD$1005,Krankmeldungen!$A$6:$A$1005,$A25))</f>
        <v/>
      </c>
      <c r="J25" s="58">
        <f>IF($B25="","",SUMIFS(Krankmeldungen!$AE$6:$AE$1005,Krankmeldungen!$A$6:$A$1005,$A25))</f>
        <v/>
      </c>
      <c r="K25" s="58">
        <f>IF($B25="","",SUMIFS(Krankmeldungen!$AF$6:$AF$1005,Krankmeldungen!$A$6:$A$1005,$A25))</f>
        <v/>
      </c>
      <c r="L25" s="58">
        <f>IF($B25="","",SUMIFS(Krankmeldungen!$AG$6:$AG$1005,Krankmeldungen!$A$6:$A$1005,$A25))</f>
        <v/>
      </c>
      <c r="M25" s="58">
        <f>IF($B25="","",SUMIFS(Krankmeldungen!$AH$6:$AH$1005,Krankmeldungen!$A$6:$A$1005,$A25))</f>
        <v/>
      </c>
      <c r="N25" s="58">
        <f>IF($B25="","",SUMIFS(Krankmeldungen!$AI$6:$AI$1005,Krankmeldungen!$A$6:$A$1005,$A25))</f>
        <v/>
      </c>
      <c r="O25" s="65">
        <f>IF($B25="","",SUM(C25:N25))</f>
        <v/>
      </c>
      <c r="P25" s="57">
        <f>'KQuote Mitarbeiter'!D25</f>
        <v/>
      </c>
      <c r="Q25" s="67">
        <f>'KQuote Mitarbeiter'!J25</f>
        <v/>
      </c>
    </row>
    <row r="26">
      <c r="A26" s="61">
        <f>'KQuote Mitarbeiter'!A26</f>
        <v/>
      </c>
      <c r="B26" s="62">
        <f>'KQuote Mitarbeiter'!B26</f>
        <v/>
      </c>
      <c r="C26" s="58">
        <f>IF($B26="","",SUMIFS(Krankmeldungen!$X$6:$X$1005,Krankmeldungen!$A$6:$A$1005,$A26))</f>
        <v/>
      </c>
      <c r="D26" s="58">
        <f>IF($B26="","",SUMIFS(Krankmeldungen!$Y$6:$Y$1005,Krankmeldungen!$A$6:$A$1005,$A26))</f>
        <v/>
      </c>
      <c r="E26" s="58">
        <f>IF($B26="","",SUMIFS(Krankmeldungen!$Z$6:$Z$1005,Krankmeldungen!$A$6:$A$1005,$A26))</f>
        <v/>
      </c>
      <c r="F26" s="58">
        <f>IF($B26="","",SUMIFS(Krankmeldungen!$AA$6:$AA$1005,Krankmeldungen!$A$6:$A$1005,$A26))</f>
        <v/>
      </c>
      <c r="G26" s="58">
        <f>IF($B26="","",SUMIFS(Krankmeldungen!$AB$6:$AB$1005,Krankmeldungen!$A$6:$A$1005,$A26))</f>
        <v/>
      </c>
      <c r="H26" s="58">
        <f>IF($B26="","",SUMIFS(Krankmeldungen!$AC$6:$AC$1005,Krankmeldungen!$A$6:$A$1005,$A26))</f>
        <v/>
      </c>
      <c r="I26" s="58">
        <f>IF($B26="","",SUMIFS(Krankmeldungen!$AD$6:$AD$1005,Krankmeldungen!$A$6:$A$1005,$A26))</f>
        <v/>
      </c>
      <c r="J26" s="58">
        <f>IF($B26="","",SUMIFS(Krankmeldungen!$AE$6:$AE$1005,Krankmeldungen!$A$6:$A$1005,$A26))</f>
        <v/>
      </c>
      <c r="K26" s="58">
        <f>IF($B26="","",SUMIFS(Krankmeldungen!$AF$6:$AF$1005,Krankmeldungen!$A$6:$A$1005,$A26))</f>
        <v/>
      </c>
      <c r="L26" s="58">
        <f>IF($B26="","",SUMIFS(Krankmeldungen!$AG$6:$AG$1005,Krankmeldungen!$A$6:$A$1005,$A26))</f>
        <v/>
      </c>
      <c r="M26" s="58">
        <f>IF($B26="","",SUMIFS(Krankmeldungen!$AH$6:$AH$1005,Krankmeldungen!$A$6:$A$1005,$A26))</f>
        <v/>
      </c>
      <c r="N26" s="58">
        <f>IF($B26="","",SUMIFS(Krankmeldungen!$AI$6:$AI$1005,Krankmeldungen!$A$6:$A$1005,$A26))</f>
        <v/>
      </c>
      <c r="O26" s="65">
        <f>IF($B26="","",SUM(C26:N26))</f>
        <v/>
      </c>
      <c r="P26" s="57">
        <f>'KQuote Mitarbeiter'!D26</f>
        <v/>
      </c>
      <c r="Q26" s="67">
        <f>'KQuote Mitarbeiter'!J26</f>
        <v/>
      </c>
    </row>
    <row r="27">
      <c r="A27" s="61">
        <f>'KQuote Mitarbeiter'!A27</f>
        <v/>
      </c>
      <c r="B27" s="62">
        <f>'KQuote Mitarbeiter'!B27</f>
        <v/>
      </c>
      <c r="C27" s="58">
        <f>IF($B27="","",SUMIFS(Krankmeldungen!$X$6:$X$1005,Krankmeldungen!$A$6:$A$1005,$A27))</f>
        <v/>
      </c>
      <c r="D27" s="58">
        <f>IF($B27="","",SUMIFS(Krankmeldungen!$Y$6:$Y$1005,Krankmeldungen!$A$6:$A$1005,$A27))</f>
        <v/>
      </c>
      <c r="E27" s="58">
        <f>IF($B27="","",SUMIFS(Krankmeldungen!$Z$6:$Z$1005,Krankmeldungen!$A$6:$A$1005,$A27))</f>
        <v/>
      </c>
      <c r="F27" s="58">
        <f>IF($B27="","",SUMIFS(Krankmeldungen!$AA$6:$AA$1005,Krankmeldungen!$A$6:$A$1005,$A27))</f>
        <v/>
      </c>
      <c r="G27" s="58">
        <f>IF($B27="","",SUMIFS(Krankmeldungen!$AB$6:$AB$1005,Krankmeldungen!$A$6:$A$1005,$A27))</f>
        <v/>
      </c>
      <c r="H27" s="58">
        <f>IF($B27="","",SUMIFS(Krankmeldungen!$AC$6:$AC$1005,Krankmeldungen!$A$6:$A$1005,$A27))</f>
        <v/>
      </c>
      <c r="I27" s="58">
        <f>IF($B27="","",SUMIFS(Krankmeldungen!$AD$6:$AD$1005,Krankmeldungen!$A$6:$A$1005,$A27))</f>
        <v/>
      </c>
      <c r="J27" s="58">
        <f>IF($B27="","",SUMIFS(Krankmeldungen!$AE$6:$AE$1005,Krankmeldungen!$A$6:$A$1005,$A27))</f>
        <v/>
      </c>
      <c r="K27" s="58">
        <f>IF($B27="","",SUMIFS(Krankmeldungen!$AF$6:$AF$1005,Krankmeldungen!$A$6:$A$1005,$A27))</f>
        <v/>
      </c>
      <c r="L27" s="58">
        <f>IF($B27="","",SUMIFS(Krankmeldungen!$AG$6:$AG$1005,Krankmeldungen!$A$6:$A$1005,$A27))</f>
        <v/>
      </c>
      <c r="M27" s="58">
        <f>IF($B27="","",SUMIFS(Krankmeldungen!$AH$6:$AH$1005,Krankmeldungen!$A$6:$A$1005,$A27))</f>
        <v/>
      </c>
      <c r="N27" s="58">
        <f>IF($B27="","",SUMIFS(Krankmeldungen!$AI$6:$AI$1005,Krankmeldungen!$A$6:$A$1005,$A27))</f>
        <v/>
      </c>
      <c r="O27" s="65">
        <f>IF($B27="","",SUM(C27:N27))</f>
        <v/>
      </c>
      <c r="P27" s="57">
        <f>'KQuote Mitarbeiter'!D27</f>
        <v/>
      </c>
      <c r="Q27" s="67">
        <f>'KQuote Mitarbeiter'!J27</f>
        <v/>
      </c>
    </row>
    <row r="28">
      <c r="A28" s="61">
        <f>'KQuote Mitarbeiter'!A28</f>
        <v/>
      </c>
      <c r="B28" s="62">
        <f>'KQuote Mitarbeiter'!B28</f>
        <v/>
      </c>
      <c r="C28" s="58">
        <f>IF($B28="","",SUMIFS(Krankmeldungen!$X$6:$X$1005,Krankmeldungen!$A$6:$A$1005,$A28))</f>
        <v/>
      </c>
      <c r="D28" s="58">
        <f>IF($B28="","",SUMIFS(Krankmeldungen!$Y$6:$Y$1005,Krankmeldungen!$A$6:$A$1005,$A28))</f>
        <v/>
      </c>
      <c r="E28" s="58">
        <f>IF($B28="","",SUMIFS(Krankmeldungen!$Z$6:$Z$1005,Krankmeldungen!$A$6:$A$1005,$A28))</f>
        <v/>
      </c>
      <c r="F28" s="58">
        <f>IF($B28="","",SUMIFS(Krankmeldungen!$AA$6:$AA$1005,Krankmeldungen!$A$6:$A$1005,$A28))</f>
        <v/>
      </c>
      <c r="G28" s="58">
        <f>IF($B28="","",SUMIFS(Krankmeldungen!$AB$6:$AB$1005,Krankmeldungen!$A$6:$A$1005,$A28))</f>
        <v/>
      </c>
      <c r="H28" s="58">
        <f>IF($B28="","",SUMIFS(Krankmeldungen!$AC$6:$AC$1005,Krankmeldungen!$A$6:$A$1005,$A28))</f>
        <v/>
      </c>
      <c r="I28" s="58">
        <f>IF($B28="","",SUMIFS(Krankmeldungen!$AD$6:$AD$1005,Krankmeldungen!$A$6:$A$1005,$A28))</f>
        <v/>
      </c>
      <c r="J28" s="58">
        <f>IF($B28="","",SUMIFS(Krankmeldungen!$AE$6:$AE$1005,Krankmeldungen!$A$6:$A$1005,$A28))</f>
        <v/>
      </c>
      <c r="K28" s="58">
        <f>IF($B28="","",SUMIFS(Krankmeldungen!$AF$6:$AF$1005,Krankmeldungen!$A$6:$A$1005,$A28))</f>
        <v/>
      </c>
      <c r="L28" s="58">
        <f>IF($B28="","",SUMIFS(Krankmeldungen!$AG$6:$AG$1005,Krankmeldungen!$A$6:$A$1005,$A28))</f>
        <v/>
      </c>
      <c r="M28" s="58">
        <f>IF($B28="","",SUMIFS(Krankmeldungen!$AH$6:$AH$1005,Krankmeldungen!$A$6:$A$1005,$A28))</f>
        <v/>
      </c>
      <c r="N28" s="58">
        <f>IF($B28="","",SUMIFS(Krankmeldungen!$AI$6:$AI$1005,Krankmeldungen!$A$6:$A$1005,$A28))</f>
        <v/>
      </c>
      <c r="O28" s="65">
        <f>IF($B28="","",SUM(C28:N28))</f>
        <v/>
      </c>
      <c r="P28" s="57">
        <f>'KQuote Mitarbeiter'!D28</f>
        <v/>
      </c>
      <c r="Q28" s="67">
        <f>'KQuote Mitarbeiter'!J28</f>
        <v/>
      </c>
    </row>
    <row r="29">
      <c r="A29" s="61">
        <f>'KQuote Mitarbeiter'!A29</f>
        <v/>
      </c>
      <c r="B29" s="62">
        <f>'KQuote Mitarbeiter'!B29</f>
        <v/>
      </c>
      <c r="C29" s="58">
        <f>IF($B29="","",SUMIFS(Krankmeldungen!$X$6:$X$1005,Krankmeldungen!$A$6:$A$1005,$A29))</f>
        <v/>
      </c>
      <c r="D29" s="58">
        <f>IF($B29="","",SUMIFS(Krankmeldungen!$Y$6:$Y$1005,Krankmeldungen!$A$6:$A$1005,$A29))</f>
        <v/>
      </c>
      <c r="E29" s="58">
        <f>IF($B29="","",SUMIFS(Krankmeldungen!$Z$6:$Z$1005,Krankmeldungen!$A$6:$A$1005,$A29))</f>
        <v/>
      </c>
      <c r="F29" s="58">
        <f>IF($B29="","",SUMIFS(Krankmeldungen!$AA$6:$AA$1005,Krankmeldungen!$A$6:$A$1005,$A29))</f>
        <v/>
      </c>
      <c r="G29" s="58">
        <f>IF($B29="","",SUMIFS(Krankmeldungen!$AB$6:$AB$1005,Krankmeldungen!$A$6:$A$1005,$A29))</f>
        <v/>
      </c>
      <c r="H29" s="58">
        <f>IF($B29="","",SUMIFS(Krankmeldungen!$AC$6:$AC$1005,Krankmeldungen!$A$6:$A$1005,$A29))</f>
        <v/>
      </c>
      <c r="I29" s="58">
        <f>IF($B29="","",SUMIFS(Krankmeldungen!$AD$6:$AD$1005,Krankmeldungen!$A$6:$A$1005,$A29))</f>
        <v/>
      </c>
      <c r="J29" s="58">
        <f>IF($B29="","",SUMIFS(Krankmeldungen!$AE$6:$AE$1005,Krankmeldungen!$A$6:$A$1005,$A29))</f>
        <v/>
      </c>
      <c r="K29" s="58">
        <f>IF($B29="","",SUMIFS(Krankmeldungen!$AF$6:$AF$1005,Krankmeldungen!$A$6:$A$1005,$A29))</f>
        <v/>
      </c>
      <c r="L29" s="58">
        <f>IF($B29="","",SUMIFS(Krankmeldungen!$AG$6:$AG$1005,Krankmeldungen!$A$6:$A$1005,$A29))</f>
        <v/>
      </c>
      <c r="M29" s="58">
        <f>IF($B29="","",SUMIFS(Krankmeldungen!$AH$6:$AH$1005,Krankmeldungen!$A$6:$A$1005,$A29))</f>
        <v/>
      </c>
      <c r="N29" s="58">
        <f>IF($B29="","",SUMIFS(Krankmeldungen!$AI$6:$AI$1005,Krankmeldungen!$A$6:$A$1005,$A29))</f>
        <v/>
      </c>
      <c r="O29" s="65">
        <f>IF($B29="","",SUM(C29:N29))</f>
        <v/>
      </c>
      <c r="P29" s="57">
        <f>'KQuote Mitarbeiter'!D29</f>
        <v/>
      </c>
      <c r="Q29" s="67">
        <f>'KQuote Mitarbeiter'!J29</f>
        <v/>
      </c>
    </row>
    <row r="30">
      <c r="A30" s="61">
        <f>'KQuote Mitarbeiter'!A30</f>
        <v/>
      </c>
      <c r="B30" s="62">
        <f>'KQuote Mitarbeiter'!B30</f>
        <v/>
      </c>
      <c r="C30" s="58">
        <f>IF($B30="","",SUMIFS(Krankmeldungen!$X$6:$X$1005,Krankmeldungen!$A$6:$A$1005,$A30))</f>
        <v/>
      </c>
      <c r="D30" s="58">
        <f>IF($B30="","",SUMIFS(Krankmeldungen!$Y$6:$Y$1005,Krankmeldungen!$A$6:$A$1005,$A30))</f>
        <v/>
      </c>
      <c r="E30" s="58">
        <f>IF($B30="","",SUMIFS(Krankmeldungen!$Z$6:$Z$1005,Krankmeldungen!$A$6:$A$1005,$A30))</f>
        <v/>
      </c>
      <c r="F30" s="58">
        <f>IF($B30="","",SUMIFS(Krankmeldungen!$AA$6:$AA$1005,Krankmeldungen!$A$6:$A$1005,$A30))</f>
        <v/>
      </c>
      <c r="G30" s="58">
        <f>IF($B30="","",SUMIFS(Krankmeldungen!$AB$6:$AB$1005,Krankmeldungen!$A$6:$A$1005,$A30))</f>
        <v/>
      </c>
      <c r="H30" s="58">
        <f>IF($B30="","",SUMIFS(Krankmeldungen!$AC$6:$AC$1005,Krankmeldungen!$A$6:$A$1005,$A30))</f>
        <v/>
      </c>
      <c r="I30" s="58">
        <f>IF($B30="","",SUMIFS(Krankmeldungen!$AD$6:$AD$1005,Krankmeldungen!$A$6:$A$1005,$A30))</f>
        <v/>
      </c>
      <c r="J30" s="58">
        <f>IF($B30="","",SUMIFS(Krankmeldungen!$AE$6:$AE$1005,Krankmeldungen!$A$6:$A$1005,$A30))</f>
        <v/>
      </c>
      <c r="K30" s="58">
        <f>IF($B30="","",SUMIFS(Krankmeldungen!$AF$6:$AF$1005,Krankmeldungen!$A$6:$A$1005,$A30))</f>
        <v/>
      </c>
      <c r="L30" s="58">
        <f>IF($B30="","",SUMIFS(Krankmeldungen!$AG$6:$AG$1005,Krankmeldungen!$A$6:$A$1005,$A30))</f>
        <v/>
      </c>
      <c r="M30" s="58">
        <f>IF($B30="","",SUMIFS(Krankmeldungen!$AH$6:$AH$1005,Krankmeldungen!$A$6:$A$1005,$A30))</f>
        <v/>
      </c>
      <c r="N30" s="58">
        <f>IF($B30="","",SUMIFS(Krankmeldungen!$AI$6:$AI$1005,Krankmeldungen!$A$6:$A$1005,$A30))</f>
        <v/>
      </c>
      <c r="O30" s="65">
        <f>IF($B30="","",SUM(C30:N30))</f>
        <v/>
      </c>
      <c r="P30" s="57">
        <f>'KQuote Mitarbeiter'!D30</f>
        <v/>
      </c>
      <c r="Q30" s="67">
        <f>'KQuote Mitarbeiter'!J30</f>
        <v/>
      </c>
    </row>
    <row r="31">
      <c r="A31" s="61">
        <f>'KQuote Mitarbeiter'!A31</f>
        <v/>
      </c>
      <c r="B31" s="62">
        <f>'KQuote Mitarbeiter'!B31</f>
        <v/>
      </c>
      <c r="C31" s="58">
        <f>IF($B31="","",SUMIFS(Krankmeldungen!$X$6:$X$1005,Krankmeldungen!$A$6:$A$1005,$A31))</f>
        <v/>
      </c>
      <c r="D31" s="58">
        <f>IF($B31="","",SUMIFS(Krankmeldungen!$Y$6:$Y$1005,Krankmeldungen!$A$6:$A$1005,$A31))</f>
        <v/>
      </c>
      <c r="E31" s="58">
        <f>IF($B31="","",SUMIFS(Krankmeldungen!$Z$6:$Z$1005,Krankmeldungen!$A$6:$A$1005,$A31))</f>
        <v/>
      </c>
      <c r="F31" s="58">
        <f>IF($B31="","",SUMIFS(Krankmeldungen!$AA$6:$AA$1005,Krankmeldungen!$A$6:$A$1005,$A31))</f>
        <v/>
      </c>
      <c r="G31" s="58">
        <f>IF($B31="","",SUMIFS(Krankmeldungen!$AB$6:$AB$1005,Krankmeldungen!$A$6:$A$1005,$A31))</f>
        <v/>
      </c>
      <c r="H31" s="58">
        <f>IF($B31="","",SUMIFS(Krankmeldungen!$AC$6:$AC$1005,Krankmeldungen!$A$6:$A$1005,$A31))</f>
        <v/>
      </c>
      <c r="I31" s="58">
        <f>IF($B31="","",SUMIFS(Krankmeldungen!$AD$6:$AD$1005,Krankmeldungen!$A$6:$A$1005,$A31))</f>
        <v/>
      </c>
      <c r="J31" s="58">
        <f>IF($B31="","",SUMIFS(Krankmeldungen!$AE$6:$AE$1005,Krankmeldungen!$A$6:$A$1005,$A31))</f>
        <v/>
      </c>
      <c r="K31" s="58">
        <f>IF($B31="","",SUMIFS(Krankmeldungen!$AF$6:$AF$1005,Krankmeldungen!$A$6:$A$1005,$A31))</f>
        <v/>
      </c>
      <c r="L31" s="58">
        <f>IF($B31="","",SUMIFS(Krankmeldungen!$AG$6:$AG$1005,Krankmeldungen!$A$6:$A$1005,$A31))</f>
        <v/>
      </c>
      <c r="M31" s="58">
        <f>IF($B31="","",SUMIFS(Krankmeldungen!$AH$6:$AH$1005,Krankmeldungen!$A$6:$A$1005,$A31))</f>
        <v/>
      </c>
      <c r="N31" s="58">
        <f>IF($B31="","",SUMIFS(Krankmeldungen!$AI$6:$AI$1005,Krankmeldungen!$A$6:$A$1005,$A31))</f>
        <v/>
      </c>
      <c r="O31" s="65">
        <f>IF($B31="","",SUM(C31:N31))</f>
        <v/>
      </c>
      <c r="P31" s="57">
        <f>'KQuote Mitarbeiter'!D31</f>
        <v/>
      </c>
      <c r="Q31" s="67">
        <f>'KQuote Mitarbeiter'!J31</f>
        <v/>
      </c>
    </row>
    <row r="32">
      <c r="A32" s="61">
        <f>'KQuote Mitarbeiter'!A32</f>
        <v/>
      </c>
      <c r="B32" s="62">
        <f>'KQuote Mitarbeiter'!B32</f>
        <v/>
      </c>
      <c r="C32" s="58">
        <f>IF($B32="","",SUMIFS(Krankmeldungen!$X$6:$X$1005,Krankmeldungen!$A$6:$A$1005,$A32))</f>
        <v/>
      </c>
      <c r="D32" s="58">
        <f>IF($B32="","",SUMIFS(Krankmeldungen!$Y$6:$Y$1005,Krankmeldungen!$A$6:$A$1005,$A32))</f>
        <v/>
      </c>
      <c r="E32" s="58">
        <f>IF($B32="","",SUMIFS(Krankmeldungen!$Z$6:$Z$1005,Krankmeldungen!$A$6:$A$1005,$A32))</f>
        <v/>
      </c>
      <c r="F32" s="58">
        <f>IF($B32="","",SUMIFS(Krankmeldungen!$AA$6:$AA$1005,Krankmeldungen!$A$6:$A$1005,$A32))</f>
        <v/>
      </c>
      <c r="G32" s="58">
        <f>IF($B32="","",SUMIFS(Krankmeldungen!$AB$6:$AB$1005,Krankmeldungen!$A$6:$A$1005,$A32))</f>
        <v/>
      </c>
      <c r="H32" s="58">
        <f>IF($B32="","",SUMIFS(Krankmeldungen!$AC$6:$AC$1005,Krankmeldungen!$A$6:$A$1005,$A32))</f>
        <v/>
      </c>
      <c r="I32" s="58">
        <f>IF($B32="","",SUMIFS(Krankmeldungen!$AD$6:$AD$1005,Krankmeldungen!$A$6:$A$1005,$A32))</f>
        <v/>
      </c>
      <c r="J32" s="58">
        <f>IF($B32="","",SUMIFS(Krankmeldungen!$AE$6:$AE$1005,Krankmeldungen!$A$6:$A$1005,$A32))</f>
        <v/>
      </c>
      <c r="K32" s="58">
        <f>IF($B32="","",SUMIFS(Krankmeldungen!$AF$6:$AF$1005,Krankmeldungen!$A$6:$A$1005,$A32))</f>
        <v/>
      </c>
      <c r="L32" s="58">
        <f>IF($B32="","",SUMIFS(Krankmeldungen!$AG$6:$AG$1005,Krankmeldungen!$A$6:$A$1005,$A32))</f>
        <v/>
      </c>
      <c r="M32" s="58">
        <f>IF($B32="","",SUMIFS(Krankmeldungen!$AH$6:$AH$1005,Krankmeldungen!$A$6:$A$1005,$A32))</f>
        <v/>
      </c>
      <c r="N32" s="58">
        <f>IF($B32="","",SUMIFS(Krankmeldungen!$AI$6:$AI$1005,Krankmeldungen!$A$6:$A$1005,$A32))</f>
        <v/>
      </c>
      <c r="O32" s="65">
        <f>IF($B32="","",SUM(C32:N32))</f>
        <v/>
      </c>
      <c r="P32" s="57">
        <f>'KQuote Mitarbeiter'!D32</f>
        <v/>
      </c>
      <c r="Q32" s="67">
        <f>'KQuote Mitarbeiter'!J32</f>
        <v/>
      </c>
    </row>
    <row r="33">
      <c r="A33" s="61">
        <f>'KQuote Mitarbeiter'!A33</f>
        <v/>
      </c>
      <c r="B33" s="62">
        <f>'KQuote Mitarbeiter'!B33</f>
        <v/>
      </c>
      <c r="C33" s="58">
        <f>IF($B33="","",SUMIFS(Krankmeldungen!$X$6:$X$1005,Krankmeldungen!$A$6:$A$1005,$A33))</f>
        <v/>
      </c>
      <c r="D33" s="58">
        <f>IF($B33="","",SUMIFS(Krankmeldungen!$Y$6:$Y$1005,Krankmeldungen!$A$6:$A$1005,$A33))</f>
        <v/>
      </c>
      <c r="E33" s="58">
        <f>IF($B33="","",SUMIFS(Krankmeldungen!$Z$6:$Z$1005,Krankmeldungen!$A$6:$A$1005,$A33))</f>
        <v/>
      </c>
      <c r="F33" s="58">
        <f>IF($B33="","",SUMIFS(Krankmeldungen!$AA$6:$AA$1005,Krankmeldungen!$A$6:$A$1005,$A33))</f>
        <v/>
      </c>
      <c r="G33" s="58">
        <f>IF($B33="","",SUMIFS(Krankmeldungen!$AB$6:$AB$1005,Krankmeldungen!$A$6:$A$1005,$A33))</f>
        <v/>
      </c>
      <c r="H33" s="58">
        <f>IF($B33="","",SUMIFS(Krankmeldungen!$AC$6:$AC$1005,Krankmeldungen!$A$6:$A$1005,$A33))</f>
        <v/>
      </c>
      <c r="I33" s="58">
        <f>IF($B33="","",SUMIFS(Krankmeldungen!$AD$6:$AD$1005,Krankmeldungen!$A$6:$A$1005,$A33))</f>
        <v/>
      </c>
      <c r="J33" s="58">
        <f>IF($B33="","",SUMIFS(Krankmeldungen!$AE$6:$AE$1005,Krankmeldungen!$A$6:$A$1005,$A33))</f>
        <v/>
      </c>
      <c r="K33" s="58">
        <f>IF($B33="","",SUMIFS(Krankmeldungen!$AF$6:$AF$1005,Krankmeldungen!$A$6:$A$1005,$A33))</f>
        <v/>
      </c>
      <c r="L33" s="58">
        <f>IF($B33="","",SUMIFS(Krankmeldungen!$AG$6:$AG$1005,Krankmeldungen!$A$6:$A$1005,$A33))</f>
        <v/>
      </c>
      <c r="M33" s="58">
        <f>IF($B33="","",SUMIFS(Krankmeldungen!$AH$6:$AH$1005,Krankmeldungen!$A$6:$A$1005,$A33))</f>
        <v/>
      </c>
      <c r="N33" s="58">
        <f>IF($B33="","",SUMIFS(Krankmeldungen!$AI$6:$AI$1005,Krankmeldungen!$A$6:$A$1005,$A33))</f>
        <v/>
      </c>
      <c r="O33" s="65">
        <f>IF($B33="","",SUM(C33:N33))</f>
        <v/>
      </c>
      <c r="P33" s="57">
        <f>'KQuote Mitarbeiter'!D33</f>
        <v/>
      </c>
      <c r="Q33" s="67">
        <f>'KQuote Mitarbeiter'!J33</f>
        <v/>
      </c>
    </row>
    <row r="34">
      <c r="A34" s="61">
        <f>'KQuote Mitarbeiter'!A34</f>
        <v/>
      </c>
      <c r="B34" s="62">
        <f>'KQuote Mitarbeiter'!B34</f>
        <v/>
      </c>
      <c r="C34" s="58">
        <f>IF($B34="","",SUMIFS(Krankmeldungen!$X$6:$X$1005,Krankmeldungen!$A$6:$A$1005,$A34))</f>
        <v/>
      </c>
      <c r="D34" s="58">
        <f>IF($B34="","",SUMIFS(Krankmeldungen!$Y$6:$Y$1005,Krankmeldungen!$A$6:$A$1005,$A34))</f>
        <v/>
      </c>
      <c r="E34" s="58">
        <f>IF($B34="","",SUMIFS(Krankmeldungen!$Z$6:$Z$1005,Krankmeldungen!$A$6:$A$1005,$A34))</f>
        <v/>
      </c>
      <c r="F34" s="58">
        <f>IF($B34="","",SUMIFS(Krankmeldungen!$AA$6:$AA$1005,Krankmeldungen!$A$6:$A$1005,$A34))</f>
        <v/>
      </c>
      <c r="G34" s="58">
        <f>IF($B34="","",SUMIFS(Krankmeldungen!$AB$6:$AB$1005,Krankmeldungen!$A$6:$A$1005,$A34))</f>
        <v/>
      </c>
      <c r="H34" s="58">
        <f>IF($B34="","",SUMIFS(Krankmeldungen!$AC$6:$AC$1005,Krankmeldungen!$A$6:$A$1005,$A34))</f>
        <v/>
      </c>
      <c r="I34" s="58">
        <f>IF($B34="","",SUMIFS(Krankmeldungen!$AD$6:$AD$1005,Krankmeldungen!$A$6:$A$1005,$A34))</f>
        <v/>
      </c>
      <c r="J34" s="58">
        <f>IF($B34="","",SUMIFS(Krankmeldungen!$AE$6:$AE$1005,Krankmeldungen!$A$6:$A$1005,$A34))</f>
        <v/>
      </c>
      <c r="K34" s="58">
        <f>IF($B34="","",SUMIFS(Krankmeldungen!$AF$6:$AF$1005,Krankmeldungen!$A$6:$A$1005,$A34))</f>
        <v/>
      </c>
      <c r="L34" s="58">
        <f>IF($B34="","",SUMIFS(Krankmeldungen!$AG$6:$AG$1005,Krankmeldungen!$A$6:$A$1005,$A34))</f>
        <v/>
      </c>
      <c r="M34" s="58">
        <f>IF($B34="","",SUMIFS(Krankmeldungen!$AH$6:$AH$1005,Krankmeldungen!$A$6:$A$1005,$A34))</f>
        <v/>
      </c>
      <c r="N34" s="58">
        <f>IF($B34="","",SUMIFS(Krankmeldungen!$AI$6:$AI$1005,Krankmeldungen!$A$6:$A$1005,$A34))</f>
        <v/>
      </c>
      <c r="O34" s="65">
        <f>IF($B34="","",SUM(C34:N34))</f>
        <v/>
      </c>
      <c r="P34" s="57">
        <f>'KQuote Mitarbeiter'!D34</f>
        <v/>
      </c>
      <c r="Q34" s="67">
        <f>'KQuote Mitarbeiter'!J34</f>
        <v/>
      </c>
    </row>
    <row r="35">
      <c r="A35" s="61">
        <f>'KQuote Mitarbeiter'!A35</f>
        <v/>
      </c>
      <c r="B35" s="62">
        <f>'KQuote Mitarbeiter'!B35</f>
        <v/>
      </c>
      <c r="C35" s="58">
        <f>IF($B35="","",SUMIFS(Krankmeldungen!$X$6:$X$1005,Krankmeldungen!$A$6:$A$1005,$A35))</f>
        <v/>
      </c>
      <c r="D35" s="58">
        <f>IF($B35="","",SUMIFS(Krankmeldungen!$Y$6:$Y$1005,Krankmeldungen!$A$6:$A$1005,$A35))</f>
        <v/>
      </c>
      <c r="E35" s="58">
        <f>IF($B35="","",SUMIFS(Krankmeldungen!$Z$6:$Z$1005,Krankmeldungen!$A$6:$A$1005,$A35))</f>
        <v/>
      </c>
      <c r="F35" s="58">
        <f>IF($B35="","",SUMIFS(Krankmeldungen!$AA$6:$AA$1005,Krankmeldungen!$A$6:$A$1005,$A35))</f>
        <v/>
      </c>
      <c r="G35" s="58">
        <f>IF($B35="","",SUMIFS(Krankmeldungen!$AB$6:$AB$1005,Krankmeldungen!$A$6:$A$1005,$A35))</f>
        <v/>
      </c>
      <c r="H35" s="58">
        <f>IF($B35="","",SUMIFS(Krankmeldungen!$AC$6:$AC$1005,Krankmeldungen!$A$6:$A$1005,$A35))</f>
        <v/>
      </c>
      <c r="I35" s="58">
        <f>IF($B35="","",SUMIFS(Krankmeldungen!$AD$6:$AD$1005,Krankmeldungen!$A$6:$A$1005,$A35))</f>
        <v/>
      </c>
      <c r="J35" s="58">
        <f>IF($B35="","",SUMIFS(Krankmeldungen!$AE$6:$AE$1005,Krankmeldungen!$A$6:$A$1005,$A35))</f>
        <v/>
      </c>
      <c r="K35" s="58">
        <f>IF($B35="","",SUMIFS(Krankmeldungen!$AF$6:$AF$1005,Krankmeldungen!$A$6:$A$1005,$A35))</f>
        <v/>
      </c>
      <c r="L35" s="58">
        <f>IF($B35="","",SUMIFS(Krankmeldungen!$AG$6:$AG$1005,Krankmeldungen!$A$6:$A$1005,$A35))</f>
        <v/>
      </c>
      <c r="M35" s="58">
        <f>IF($B35="","",SUMIFS(Krankmeldungen!$AH$6:$AH$1005,Krankmeldungen!$A$6:$A$1005,$A35))</f>
        <v/>
      </c>
      <c r="N35" s="58">
        <f>IF($B35="","",SUMIFS(Krankmeldungen!$AI$6:$AI$1005,Krankmeldungen!$A$6:$A$1005,$A35))</f>
        <v/>
      </c>
      <c r="O35" s="65">
        <f>IF($B35="","",SUM(C35:N35))</f>
        <v/>
      </c>
      <c r="P35" s="57">
        <f>'KQuote Mitarbeiter'!D35</f>
        <v/>
      </c>
      <c r="Q35" s="67">
        <f>'KQuote Mitarbeiter'!J35</f>
        <v/>
      </c>
    </row>
    <row r="36">
      <c r="A36" s="61">
        <f>'KQuote Mitarbeiter'!A36</f>
        <v/>
      </c>
      <c r="B36" s="62">
        <f>'KQuote Mitarbeiter'!B36</f>
        <v/>
      </c>
      <c r="C36" s="58">
        <f>IF($B36="","",SUMIFS(Krankmeldungen!$X$6:$X$1005,Krankmeldungen!$A$6:$A$1005,$A36))</f>
        <v/>
      </c>
      <c r="D36" s="58">
        <f>IF($B36="","",SUMIFS(Krankmeldungen!$Y$6:$Y$1005,Krankmeldungen!$A$6:$A$1005,$A36))</f>
        <v/>
      </c>
      <c r="E36" s="58">
        <f>IF($B36="","",SUMIFS(Krankmeldungen!$Z$6:$Z$1005,Krankmeldungen!$A$6:$A$1005,$A36))</f>
        <v/>
      </c>
      <c r="F36" s="58">
        <f>IF($B36="","",SUMIFS(Krankmeldungen!$AA$6:$AA$1005,Krankmeldungen!$A$6:$A$1005,$A36))</f>
        <v/>
      </c>
      <c r="G36" s="58">
        <f>IF($B36="","",SUMIFS(Krankmeldungen!$AB$6:$AB$1005,Krankmeldungen!$A$6:$A$1005,$A36))</f>
        <v/>
      </c>
      <c r="H36" s="58">
        <f>IF($B36="","",SUMIFS(Krankmeldungen!$AC$6:$AC$1005,Krankmeldungen!$A$6:$A$1005,$A36))</f>
        <v/>
      </c>
      <c r="I36" s="58">
        <f>IF($B36="","",SUMIFS(Krankmeldungen!$AD$6:$AD$1005,Krankmeldungen!$A$6:$A$1005,$A36))</f>
        <v/>
      </c>
      <c r="J36" s="58">
        <f>IF($B36="","",SUMIFS(Krankmeldungen!$AE$6:$AE$1005,Krankmeldungen!$A$6:$A$1005,$A36))</f>
        <v/>
      </c>
      <c r="K36" s="58">
        <f>IF($B36="","",SUMIFS(Krankmeldungen!$AF$6:$AF$1005,Krankmeldungen!$A$6:$A$1005,$A36))</f>
        <v/>
      </c>
      <c r="L36" s="58">
        <f>IF($B36="","",SUMIFS(Krankmeldungen!$AG$6:$AG$1005,Krankmeldungen!$A$6:$A$1005,$A36))</f>
        <v/>
      </c>
      <c r="M36" s="58">
        <f>IF($B36="","",SUMIFS(Krankmeldungen!$AH$6:$AH$1005,Krankmeldungen!$A$6:$A$1005,$A36))</f>
        <v/>
      </c>
      <c r="N36" s="58">
        <f>IF($B36="","",SUMIFS(Krankmeldungen!$AI$6:$AI$1005,Krankmeldungen!$A$6:$A$1005,$A36))</f>
        <v/>
      </c>
      <c r="O36" s="65">
        <f>IF($B36="","",SUM(C36:N36))</f>
        <v/>
      </c>
      <c r="P36" s="57">
        <f>'KQuote Mitarbeiter'!D36</f>
        <v/>
      </c>
      <c r="Q36" s="67">
        <f>'KQuote Mitarbeiter'!J36</f>
        <v/>
      </c>
    </row>
    <row r="37">
      <c r="A37" s="61">
        <f>'KQuote Mitarbeiter'!A37</f>
        <v/>
      </c>
      <c r="B37" s="62">
        <f>'KQuote Mitarbeiter'!B37</f>
        <v/>
      </c>
      <c r="C37" s="58">
        <f>IF($B37="","",SUMIFS(Krankmeldungen!$X$6:$X$1005,Krankmeldungen!$A$6:$A$1005,$A37))</f>
        <v/>
      </c>
      <c r="D37" s="58">
        <f>IF($B37="","",SUMIFS(Krankmeldungen!$Y$6:$Y$1005,Krankmeldungen!$A$6:$A$1005,$A37))</f>
        <v/>
      </c>
      <c r="E37" s="58">
        <f>IF($B37="","",SUMIFS(Krankmeldungen!$Z$6:$Z$1005,Krankmeldungen!$A$6:$A$1005,$A37))</f>
        <v/>
      </c>
      <c r="F37" s="58">
        <f>IF($B37="","",SUMIFS(Krankmeldungen!$AA$6:$AA$1005,Krankmeldungen!$A$6:$A$1005,$A37))</f>
        <v/>
      </c>
      <c r="G37" s="58">
        <f>IF($B37="","",SUMIFS(Krankmeldungen!$AB$6:$AB$1005,Krankmeldungen!$A$6:$A$1005,$A37))</f>
        <v/>
      </c>
      <c r="H37" s="58">
        <f>IF($B37="","",SUMIFS(Krankmeldungen!$AC$6:$AC$1005,Krankmeldungen!$A$6:$A$1005,$A37))</f>
        <v/>
      </c>
      <c r="I37" s="58">
        <f>IF($B37="","",SUMIFS(Krankmeldungen!$AD$6:$AD$1005,Krankmeldungen!$A$6:$A$1005,$A37))</f>
        <v/>
      </c>
      <c r="J37" s="58">
        <f>IF($B37="","",SUMIFS(Krankmeldungen!$AE$6:$AE$1005,Krankmeldungen!$A$6:$A$1005,$A37))</f>
        <v/>
      </c>
      <c r="K37" s="58">
        <f>IF($B37="","",SUMIFS(Krankmeldungen!$AF$6:$AF$1005,Krankmeldungen!$A$6:$A$1005,$A37))</f>
        <v/>
      </c>
      <c r="L37" s="58">
        <f>IF($B37="","",SUMIFS(Krankmeldungen!$AG$6:$AG$1005,Krankmeldungen!$A$6:$A$1005,$A37))</f>
        <v/>
      </c>
      <c r="M37" s="58">
        <f>IF($B37="","",SUMIFS(Krankmeldungen!$AH$6:$AH$1005,Krankmeldungen!$A$6:$A$1005,$A37))</f>
        <v/>
      </c>
      <c r="N37" s="58">
        <f>IF($B37="","",SUMIFS(Krankmeldungen!$AI$6:$AI$1005,Krankmeldungen!$A$6:$A$1005,$A37))</f>
        <v/>
      </c>
      <c r="O37" s="65">
        <f>IF($B37="","",SUM(C37:N37))</f>
        <v/>
      </c>
      <c r="P37" s="57">
        <f>'KQuote Mitarbeiter'!D37</f>
        <v/>
      </c>
      <c r="Q37" s="67">
        <f>'KQuote Mitarbeiter'!J37</f>
        <v/>
      </c>
    </row>
    <row r="38">
      <c r="A38" s="61">
        <f>'KQuote Mitarbeiter'!A38</f>
        <v/>
      </c>
      <c r="B38" s="62">
        <f>'KQuote Mitarbeiter'!B38</f>
        <v/>
      </c>
      <c r="C38" s="58">
        <f>IF($B38="","",SUMIFS(Krankmeldungen!$X$6:$X$1005,Krankmeldungen!$A$6:$A$1005,$A38))</f>
        <v/>
      </c>
      <c r="D38" s="58">
        <f>IF($B38="","",SUMIFS(Krankmeldungen!$Y$6:$Y$1005,Krankmeldungen!$A$6:$A$1005,$A38))</f>
        <v/>
      </c>
      <c r="E38" s="58">
        <f>IF($B38="","",SUMIFS(Krankmeldungen!$Z$6:$Z$1005,Krankmeldungen!$A$6:$A$1005,$A38))</f>
        <v/>
      </c>
      <c r="F38" s="58">
        <f>IF($B38="","",SUMIFS(Krankmeldungen!$AA$6:$AA$1005,Krankmeldungen!$A$6:$A$1005,$A38))</f>
        <v/>
      </c>
      <c r="G38" s="58">
        <f>IF($B38="","",SUMIFS(Krankmeldungen!$AB$6:$AB$1005,Krankmeldungen!$A$6:$A$1005,$A38))</f>
        <v/>
      </c>
      <c r="H38" s="58">
        <f>IF($B38="","",SUMIFS(Krankmeldungen!$AC$6:$AC$1005,Krankmeldungen!$A$6:$A$1005,$A38))</f>
        <v/>
      </c>
      <c r="I38" s="58">
        <f>IF($B38="","",SUMIFS(Krankmeldungen!$AD$6:$AD$1005,Krankmeldungen!$A$6:$A$1005,$A38))</f>
        <v/>
      </c>
      <c r="J38" s="58">
        <f>IF($B38="","",SUMIFS(Krankmeldungen!$AE$6:$AE$1005,Krankmeldungen!$A$6:$A$1005,$A38))</f>
        <v/>
      </c>
      <c r="K38" s="58">
        <f>IF($B38="","",SUMIFS(Krankmeldungen!$AF$6:$AF$1005,Krankmeldungen!$A$6:$A$1005,$A38))</f>
        <v/>
      </c>
      <c r="L38" s="58">
        <f>IF($B38="","",SUMIFS(Krankmeldungen!$AG$6:$AG$1005,Krankmeldungen!$A$6:$A$1005,$A38))</f>
        <v/>
      </c>
      <c r="M38" s="58">
        <f>IF($B38="","",SUMIFS(Krankmeldungen!$AH$6:$AH$1005,Krankmeldungen!$A$6:$A$1005,$A38))</f>
        <v/>
      </c>
      <c r="N38" s="58">
        <f>IF($B38="","",SUMIFS(Krankmeldungen!$AI$6:$AI$1005,Krankmeldungen!$A$6:$A$1005,$A38))</f>
        <v/>
      </c>
      <c r="O38" s="65">
        <f>IF($B38="","",SUM(C38:N38))</f>
        <v/>
      </c>
      <c r="P38" s="57">
        <f>'KQuote Mitarbeiter'!D38</f>
        <v/>
      </c>
      <c r="Q38" s="67">
        <f>'KQuote Mitarbeiter'!J38</f>
        <v/>
      </c>
    </row>
    <row r="39">
      <c r="A39" s="61">
        <f>'KQuote Mitarbeiter'!A39</f>
        <v/>
      </c>
      <c r="B39" s="62">
        <f>'KQuote Mitarbeiter'!B39</f>
        <v/>
      </c>
      <c r="C39" s="58">
        <f>IF($B39="","",SUMIFS(Krankmeldungen!$X$6:$X$1005,Krankmeldungen!$A$6:$A$1005,$A39))</f>
        <v/>
      </c>
      <c r="D39" s="58">
        <f>IF($B39="","",SUMIFS(Krankmeldungen!$Y$6:$Y$1005,Krankmeldungen!$A$6:$A$1005,$A39))</f>
        <v/>
      </c>
      <c r="E39" s="58">
        <f>IF($B39="","",SUMIFS(Krankmeldungen!$Z$6:$Z$1005,Krankmeldungen!$A$6:$A$1005,$A39))</f>
        <v/>
      </c>
      <c r="F39" s="58">
        <f>IF($B39="","",SUMIFS(Krankmeldungen!$AA$6:$AA$1005,Krankmeldungen!$A$6:$A$1005,$A39))</f>
        <v/>
      </c>
      <c r="G39" s="58">
        <f>IF($B39="","",SUMIFS(Krankmeldungen!$AB$6:$AB$1005,Krankmeldungen!$A$6:$A$1005,$A39))</f>
        <v/>
      </c>
      <c r="H39" s="58">
        <f>IF($B39="","",SUMIFS(Krankmeldungen!$AC$6:$AC$1005,Krankmeldungen!$A$6:$A$1005,$A39))</f>
        <v/>
      </c>
      <c r="I39" s="58">
        <f>IF($B39="","",SUMIFS(Krankmeldungen!$AD$6:$AD$1005,Krankmeldungen!$A$6:$A$1005,$A39))</f>
        <v/>
      </c>
      <c r="J39" s="58">
        <f>IF($B39="","",SUMIFS(Krankmeldungen!$AE$6:$AE$1005,Krankmeldungen!$A$6:$A$1005,$A39))</f>
        <v/>
      </c>
      <c r="K39" s="58">
        <f>IF($B39="","",SUMIFS(Krankmeldungen!$AF$6:$AF$1005,Krankmeldungen!$A$6:$A$1005,$A39))</f>
        <v/>
      </c>
      <c r="L39" s="58">
        <f>IF($B39="","",SUMIFS(Krankmeldungen!$AG$6:$AG$1005,Krankmeldungen!$A$6:$A$1005,$A39))</f>
        <v/>
      </c>
      <c r="M39" s="58">
        <f>IF($B39="","",SUMIFS(Krankmeldungen!$AH$6:$AH$1005,Krankmeldungen!$A$6:$A$1005,$A39))</f>
        <v/>
      </c>
      <c r="N39" s="58">
        <f>IF($B39="","",SUMIFS(Krankmeldungen!$AI$6:$AI$1005,Krankmeldungen!$A$6:$A$1005,$A39))</f>
        <v/>
      </c>
      <c r="O39" s="65">
        <f>IF($B39="","",SUM(C39:N39))</f>
        <v/>
      </c>
      <c r="P39" s="57">
        <f>'KQuote Mitarbeiter'!D39</f>
        <v/>
      </c>
      <c r="Q39" s="67">
        <f>'KQuote Mitarbeiter'!J39</f>
        <v/>
      </c>
    </row>
    <row r="40">
      <c r="A40" s="61">
        <f>'KQuote Mitarbeiter'!A40</f>
        <v/>
      </c>
      <c r="B40" s="62">
        <f>'KQuote Mitarbeiter'!B40</f>
        <v/>
      </c>
      <c r="C40" s="58">
        <f>IF($B40="","",SUMIFS(Krankmeldungen!$X$6:$X$1005,Krankmeldungen!$A$6:$A$1005,$A40))</f>
        <v/>
      </c>
      <c r="D40" s="58">
        <f>IF($B40="","",SUMIFS(Krankmeldungen!$Y$6:$Y$1005,Krankmeldungen!$A$6:$A$1005,$A40))</f>
        <v/>
      </c>
      <c r="E40" s="58">
        <f>IF($B40="","",SUMIFS(Krankmeldungen!$Z$6:$Z$1005,Krankmeldungen!$A$6:$A$1005,$A40))</f>
        <v/>
      </c>
      <c r="F40" s="58">
        <f>IF($B40="","",SUMIFS(Krankmeldungen!$AA$6:$AA$1005,Krankmeldungen!$A$6:$A$1005,$A40))</f>
        <v/>
      </c>
      <c r="G40" s="58">
        <f>IF($B40="","",SUMIFS(Krankmeldungen!$AB$6:$AB$1005,Krankmeldungen!$A$6:$A$1005,$A40))</f>
        <v/>
      </c>
      <c r="H40" s="58">
        <f>IF($B40="","",SUMIFS(Krankmeldungen!$AC$6:$AC$1005,Krankmeldungen!$A$6:$A$1005,$A40))</f>
        <v/>
      </c>
      <c r="I40" s="58">
        <f>IF($B40="","",SUMIFS(Krankmeldungen!$AD$6:$AD$1005,Krankmeldungen!$A$6:$A$1005,$A40))</f>
        <v/>
      </c>
      <c r="J40" s="58">
        <f>IF($B40="","",SUMIFS(Krankmeldungen!$AE$6:$AE$1005,Krankmeldungen!$A$6:$A$1005,$A40))</f>
        <v/>
      </c>
      <c r="K40" s="58">
        <f>IF($B40="","",SUMIFS(Krankmeldungen!$AF$6:$AF$1005,Krankmeldungen!$A$6:$A$1005,$A40))</f>
        <v/>
      </c>
      <c r="L40" s="58">
        <f>IF($B40="","",SUMIFS(Krankmeldungen!$AG$6:$AG$1005,Krankmeldungen!$A$6:$A$1005,$A40))</f>
        <v/>
      </c>
      <c r="M40" s="58">
        <f>IF($B40="","",SUMIFS(Krankmeldungen!$AH$6:$AH$1005,Krankmeldungen!$A$6:$A$1005,$A40))</f>
        <v/>
      </c>
      <c r="N40" s="58">
        <f>IF($B40="","",SUMIFS(Krankmeldungen!$AI$6:$AI$1005,Krankmeldungen!$A$6:$A$1005,$A40))</f>
        <v/>
      </c>
      <c r="O40" s="65">
        <f>IF($B40="","",SUM(C40:N40))</f>
        <v/>
      </c>
      <c r="P40" s="57">
        <f>'KQuote Mitarbeiter'!D40</f>
        <v/>
      </c>
      <c r="Q40" s="67">
        <f>'KQuote Mitarbeiter'!J40</f>
        <v/>
      </c>
    </row>
    <row r="41">
      <c r="A41" s="61">
        <f>'KQuote Mitarbeiter'!A41</f>
        <v/>
      </c>
      <c r="B41" s="62">
        <f>'KQuote Mitarbeiter'!B41</f>
        <v/>
      </c>
      <c r="C41" s="58">
        <f>IF($B41="","",SUMIFS(Krankmeldungen!$X$6:$X$1005,Krankmeldungen!$A$6:$A$1005,$A41))</f>
        <v/>
      </c>
      <c r="D41" s="58">
        <f>IF($B41="","",SUMIFS(Krankmeldungen!$Y$6:$Y$1005,Krankmeldungen!$A$6:$A$1005,$A41))</f>
        <v/>
      </c>
      <c r="E41" s="58">
        <f>IF($B41="","",SUMIFS(Krankmeldungen!$Z$6:$Z$1005,Krankmeldungen!$A$6:$A$1005,$A41))</f>
        <v/>
      </c>
      <c r="F41" s="58">
        <f>IF($B41="","",SUMIFS(Krankmeldungen!$AA$6:$AA$1005,Krankmeldungen!$A$6:$A$1005,$A41))</f>
        <v/>
      </c>
      <c r="G41" s="58">
        <f>IF($B41="","",SUMIFS(Krankmeldungen!$AB$6:$AB$1005,Krankmeldungen!$A$6:$A$1005,$A41))</f>
        <v/>
      </c>
      <c r="H41" s="58">
        <f>IF($B41="","",SUMIFS(Krankmeldungen!$AC$6:$AC$1005,Krankmeldungen!$A$6:$A$1005,$A41))</f>
        <v/>
      </c>
      <c r="I41" s="58">
        <f>IF($B41="","",SUMIFS(Krankmeldungen!$AD$6:$AD$1005,Krankmeldungen!$A$6:$A$1005,$A41))</f>
        <v/>
      </c>
      <c r="J41" s="58">
        <f>IF($B41="","",SUMIFS(Krankmeldungen!$AE$6:$AE$1005,Krankmeldungen!$A$6:$A$1005,$A41))</f>
        <v/>
      </c>
      <c r="K41" s="58">
        <f>IF($B41="","",SUMIFS(Krankmeldungen!$AF$6:$AF$1005,Krankmeldungen!$A$6:$A$1005,$A41))</f>
        <v/>
      </c>
      <c r="L41" s="58">
        <f>IF($B41="","",SUMIFS(Krankmeldungen!$AG$6:$AG$1005,Krankmeldungen!$A$6:$A$1005,$A41))</f>
        <v/>
      </c>
      <c r="M41" s="58">
        <f>IF($B41="","",SUMIFS(Krankmeldungen!$AH$6:$AH$1005,Krankmeldungen!$A$6:$A$1005,$A41))</f>
        <v/>
      </c>
      <c r="N41" s="58">
        <f>IF($B41="","",SUMIFS(Krankmeldungen!$AI$6:$AI$1005,Krankmeldungen!$A$6:$A$1005,$A41))</f>
        <v/>
      </c>
      <c r="O41" s="65">
        <f>IF($B41="","",SUM(C41:N41))</f>
        <v/>
      </c>
      <c r="P41" s="57">
        <f>'KQuote Mitarbeiter'!D41</f>
        <v/>
      </c>
      <c r="Q41" s="67">
        <f>'KQuote Mitarbeiter'!J41</f>
        <v/>
      </c>
    </row>
    <row r="42">
      <c r="A42" s="61">
        <f>'KQuote Mitarbeiter'!A42</f>
        <v/>
      </c>
      <c r="B42" s="62">
        <f>'KQuote Mitarbeiter'!B42</f>
        <v/>
      </c>
      <c r="C42" s="58">
        <f>IF($B42="","",SUMIFS(Krankmeldungen!$X$6:$X$1005,Krankmeldungen!$A$6:$A$1005,$A42))</f>
        <v/>
      </c>
      <c r="D42" s="58">
        <f>IF($B42="","",SUMIFS(Krankmeldungen!$Y$6:$Y$1005,Krankmeldungen!$A$6:$A$1005,$A42))</f>
        <v/>
      </c>
      <c r="E42" s="58">
        <f>IF($B42="","",SUMIFS(Krankmeldungen!$Z$6:$Z$1005,Krankmeldungen!$A$6:$A$1005,$A42))</f>
        <v/>
      </c>
      <c r="F42" s="58">
        <f>IF($B42="","",SUMIFS(Krankmeldungen!$AA$6:$AA$1005,Krankmeldungen!$A$6:$A$1005,$A42))</f>
        <v/>
      </c>
      <c r="G42" s="58">
        <f>IF($B42="","",SUMIFS(Krankmeldungen!$AB$6:$AB$1005,Krankmeldungen!$A$6:$A$1005,$A42))</f>
        <v/>
      </c>
      <c r="H42" s="58">
        <f>IF($B42="","",SUMIFS(Krankmeldungen!$AC$6:$AC$1005,Krankmeldungen!$A$6:$A$1005,$A42))</f>
        <v/>
      </c>
      <c r="I42" s="58">
        <f>IF($B42="","",SUMIFS(Krankmeldungen!$AD$6:$AD$1005,Krankmeldungen!$A$6:$A$1005,$A42))</f>
        <v/>
      </c>
      <c r="J42" s="58">
        <f>IF($B42="","",SUMIFS(Krankmeldungen!$AE$6:$AE$1005,Krankmeldungen!$A$6:$A$1005,$A42))</f>
        <v/>
      </c>
      <c r="K42" s="58">
        <f>IF($B42="","",SUMIFS(Krankmeldungen!$AF$6:$AF$1005,Krankmeldungen!$A$6:$A$1005,$A42))</f>
        <v/>
      </c>
      <c r="L42" s="58">
        <f>IF($B42="","",SUMIFS(Krankmeldungen!$AG$6:$AG$1005,Krankmeldungen!$A$6:$A$1005,$A42))</f>
        <v/>
      </c>
      <c r="M42" s="58">
        <f>IF($B42="","",SUMIFS(Krankmeldungen!$AH$6:$AH$1005,Krankmeldungen!$A$6:$A$1005,$A42))</f>
        <v/>
      </c>
      <c r="N42" s="58">
        <f>IF($B42="","",SUMIFS(Krankmeldungen!$AI$6:$AI$1005,Krankmeldungen!$A$6:$A$1005,$A42))</f>
        <v/>
      </c>
      <c r="O42" s="65">
        <f>IF($B42="","",SUM(C42:N42))</f>
        <v/>
      </c>
      <c r="P42" s="57">
        <f>'KQuote Mitarbeiter'!D42</f>
        <v/>
      </c>
      <c r="Q42" s="67">
        <f>'KQuote Mitarbeiter'!J42</f>
        <v/>
      </c>
    </row>
    <row r="43">
      <c r="A43" s="61">
        <f>'KQuote Mitarbeiter'!A43</f>
        <v/>
      </c>
      <c r="B43" s="62">
        <f>'KQuote Mitarbeiter'!B43</f>
        <v/>
      </c>
      <c r="C43" s="58">
        <f>IF($B43="","",SUMIFS(Krankmeldungen!$X$6:$X$1005,Krankmeldungen!$A$6:$A$1005,$A43))</f>
        <v/>
      </c>
      <c r="D43" s="58">
        <f>IF($B43="","",SUMIFS(Krankmeldungen!$Y$6:$Y$1005,Krankmeldungen!$A$6:$A$1005,$A43))</f>
        <v/>
      </c>
      <c r="E43" s="58">
        <f>IF($B43="","",SUMIFS(Krankmeldungen!$Z$6:$Z$1005,Krankmeldungen!$A$6:$A$1005,$A43))</f>
        <v/>
      </c>
      <c r="F43" s="58">
        <f>IF($B43="","",SUMIFS(Krankmeldungen!$AA$6:$AA$1005,Krankmeldungen!$A$6:$A$1005,$A43))</f>
        <v/>
      </c>
      <c r="G43" s="58">
        <f>IF($B43="","",SUMIFS(Krankmeldungen!$AB$6:$AB$1005,Krankmeldungen!$A$6:$A$1005,$A43))</f>
        <v/>
      </c>
      <c r="H43" s="58">
        <f>IF($B43="","",SUMIFS(Krankmeldungen!$AC$6:$AC$1005,Krankmeldungen!$A$6:$A$1005,$A43))</f>
        <v/>
      </c>
      <c r="I43" s="58">
        <f>IF($B43="","",SUMIFS(Krankmeldungen!$AD$6:$AD$1005,Krankmeldungen!$A$6:$A$1005,$A43))</f>
        <v/>
      </c>
      <c r="J43" s="58">
        <f>IF($B43="","",SUMIFS(Krankmeldungen!$AE$6:$AE$1005,Krankmeldungen!$A$6:$A$1005,$A43))</f>
        <v/>
      </c>
      <c r="K43" s="58">
        <f>IF($B43="","",SUMIFS(Krankmeldungen!$AF$6:$AF$1005,Krankmeldungen!$A$6:$A$1005,$A43))</f>
        <v/>
      </c>
      <c r="L43" s="58">
        <f>IF($B43="","",SUMIFS(Krankmeldungen!$AG$6:$AG$1005,Krankmeldungen!$A$6:$A$1005,$A43))</f>
        <v/>
      </c>
      <c r="M43" s="58">
        <f>IF($B43="","",SUMIFS(Krankmeldungen!$AH$6:$AH$1005,Krankmeldungen!$A$6:$A$1005,$A43))</f>
        <v/>
      </c>
      <c r="N43" s="58">
        <f>IF($B43="","",SUMIFS(Krankmeldungen!$AI$6:$AI$1005,Krankmeldungen!$A$6:$A$1005,$A43))</f>
        <v/>
      </c>
      <c r="O43" s="65">
        <f>IF($B43="","",SUM(C43:N43))</f>
        <v/>
      </c>
      <c r="P43" s="57">
        <f>'KQuote Mitarbeiter'!D43</f>
        <v/>
      </c>
      <c r="Q43" s="67">
        <f>'KQuote Mitarbeiter'!J43</f>
        <v/>
      </c>
    </row>
    <row r="44">
      <c r="A44" s="61">
        <f>'KQuote Mitarbeiter'!A44</f>
        <v/>
      </c>
      <c r="B44" s="62">
        <f>'KQuote Mitarbeiter'!B44</f>
        <v/>
      </c>
      <c r="C44" s="58">
        <f>IF($B44="","",SUMIFS(Krankmeldungen!$X$6:$X$1005,Krankmeldungen!$A$6:$A$1005,$A44))</f>
        <v/>
      </c>
      <c r="D44" s="58">
        <f>IF($B44="","",SUMIFS(Krankmeldungen!$Y$6:$Y$1005,Krankmeldungen!$A$6:$A$1005,$A44))</f>
        <v/>
      </c>
      <c r="E44" s="58">
        <f>IF($B44="","",SUMIFS(Krankmeldungen!$Z$6:$Z$1005,Krankmeldungen!$A$6:$A$1005,$A44))</f>
        <v/>
      </c>
      <c r="F44" s="58">
        <f>IF($B44="","",SUMIFS(Krankmeldungen!$AA$6:$AA$1005,Krankmeldungen!$A$6:$A$1005,$A44))</f>
        <v/>
      </c>
      <c r="G44" s="58">
        <f>IF($B44="","",SUMIFS(Krankmeldungen!$AB$6:$AB$1005,Krankmeldungen!$A$6:$A$1005,$A44))</f>
        <v/>
      </c>
      <c r="H44" s="58">
        <f>IF($B44="","",SUMIFS(Krankmeldungen!$AC$6:$AC$1005,Krankmeldungen!$A$6:$A$1005,$A44))</f>
        <v/>
      </c>
      <c r="I44" s="58">
        <f>IF($B44="","",SUMIFS(Krankmeldungen!$AD$6:$AD$1005,Krankmeldungen!$A$6:$A$1005,$A44))</f>
        <v/>
      </c>
      <c r="J44" s="58">
        <f>IF($B44="","",SUMIFS(Krankmeldungen!$AE$6:$AE$1005,Krankmeldungen!$A$6:$A$1005,$A44))</f>
        <v/>
      </c>
      <c r="K44" s="58">
        <f>IF($B44="","",SUMIFS(Krankmeldungen!$AF$6:$AF$1005,Krankmeldungen!$A$6:$A$1005,$A44))</f>
        <v/>
      </c>
      <c r="L44" s="58">
        <f>IF($B44="","",SUMIFS(Krankmeldungen!$AG$6:$AG$1005,Krankmeldungen!$A$6:$A$1005,$A44))</f>
        <v/>
      </c>
      <c r="M44" s="58">
        <f>IF($B44="","",SUMIFS(Krankmeldungen!$AH$6:$AH$1005,Krankmeldungen!$A$6:$A$1005,$A44))</f>
        <v/>
      </c>
      <c r="N44" s="58">
        <f>IF($B44="","",SUMIFS(Krankmeldungen!$AI$6:$AI$1005,Krankmeldungen!$A$6:$A$1005,$A44))</f>
        <v/>
      </c>
      <c r="O44" s="65">
        <f>IF($B44="","",SUM(C44:N44))</f>
        <v/>
      </c>
      <c r="P44" s="57">
        <f>'KQuote Mitarbeiter'!D44</f>
        <v/>
      </c>
      <c r="Q44" s="67">
        <f>'KQuote Mitarbeiter'!J44</f>
        <v/>
      </c>
    </row>
    <row r="45">
      <c r="A45" s="61">
        <f>'KQuote Mitarbeiter'!A45</f>
        <v/>
      </c>
      <c r="B45" s="62">
        <f>'KQuote Mitarbeiter'!B45</f>
        <v/>
      </c>
      <c r="C45" s="58">
        <f>IF($B45="","",SUMIFS(Krankmeldungen!$X$6:$X$1005,Krankmeldungen!$A$6:$A$1005,$A45))</f>
        <v/>
      </c>
      <c r="D45" s="58">
        <f>IF($B45="","",SUMIFS(Krankmeldungen!$Y$6:$Y$1005,Krankmeldungen!$A$6:$A$1005,$A45))</f>
        <v/>
      </c>
      <c r="E45" s="58">
        <f>IF($B45="","",SUMIFS(Krankmeldungen!$Z$6:$Z$1005,Krankmeldungen!$A$6:$A$1005,$A45))</f>
        <v/>
      </c>
      <c r="F45" s="58">
        <f>IF($B45="","",SUMIFS(Krankmeldungen!$AA$6:$AA$1005,Krankmeldungen!$A$6:$A$1005,$A45))</f>
        <v/>
      </c>
      <c r="G45" s="58">
        <f>IF($B45="","",SUMIFS(Krankmeldungen!$AB$6:$AB$1005,Krankmeldungen!$A$6:$A$1005,$A45))</f>
        <v/>
      </c>
      <c r="H45" s="58">
        <f>IF($B45="","",SUMIFS(Krankmeldungen!$AC$6:$AC$1005,Krankmeldungen!$A$6:$A$1005,$A45))</f>
        <v/>
      </c>
      <c r="I45" s="58">
        <f>IF($B45="","",SUMIFS(Krankmeldungen!$AD$6:$AD$1005,Krankmeldungen!$A$6:$A$1005,$A45))</f>
        <v/>
      </c>
      <c r="J45" s="58">
        <f>IF($B45="","",SUMIFS(Krankmeldungen!$AE$6:$AE$1005,Krankmeldungen!$A$6:$A$1005,$A45))</f>
        <v/>
      </c>
      <c r="K45" s="58">
        <f>IF($B45="","",SUMIFS(Krankmeldungen!$AF$6:$AF$1005,Krankmeldungen!$A$6:$A$1005,$A45))</f>
        <v/>
      </c>
      <c r="L45" s="58">
        <f>IF($B45="","",SUMIFS(Krankmeldungen!$AG$6:$AG$1005,Krankmeldungen!$A$6:$A$1005,$A45))</f>
        <v/>
      </c>
      <c r="M45" s="58">
        <f>IF($B45="","",SUMIFS(Krankmeldungen!$AH$6:$AH$1005,Krankmeldungen!$A$6:$A$1005,$A45))</f>
        <v/>
      </c>
      <c r="N45" s="58">
        <f>IF($B45="","",SUMIFS(Krankmeldungen!$AI$6:$AI$1005,Krankmeldungen!$A$6:$A$1005,$A45))</f>
        <v/>
      </c>
      <c r="O45" s="65">
        <f>IF($B45="","",SUM(C45:N45))</f>
        <v/>
      </c>
      <c r="P45" s="57">
        <f>'KQuote Mitarbeiter'!D45</f>
        <v/>
      </c>
      <c r="Q45" s="67">
        <f>'KQuote Mitarbeiter'!J45</f>
        <v/>
      </c>
    </row>
    <row r="46">
      <c r="A46" s="61">
        <f>'KQuote Mitarbeiter'!A46</f>
        <v/>
      </c>
      <c r="B46" s="62">
        <f>'KQuote Mitarbeiter'!B46</f>
        <v/>
      </c>
      <c r="C46" s="58">
        <f>IF($B46="","",SUMIFS(Krankmeldungen!$X$6:$X$1005,Krankmeldungen!$A$6:$A$1005,$A46))</f>
        <v/>
      </c>
      <c r="D46" s="58">
        <f>IF($B46="","",SUMIFS(Krankmeldungen!$Y$6:$Y$1005,Krankmeldungen!$A$6:$A$1005,$A46))</f>
        <v/>
      </c>
      <c r="E46" s="58">
        <f>IF($B46="","",SUMIFS(Krankmeldungen!$Z$6:$Z$1005,Krankmeldungen!$A$6:$A$1005,$A46))</f>
        <v/>
      </c>
      <c r="F46" s="58">
        <f>IF($B46="","",SUMIFS(Krankmeldungen!$AA$6:$AA$1005,Krankmeldungen!$A$6:$A$1005,$A46))</f>
        <v/>
      </c>
      <c r="G46" s="58">
        <f>IF($B46="","",SUMIFS(Krankmeldungen!$AB$6:$AB$1005,Krankmeldungen!$A$6:$A$1005,$A46))</f>
        <v/>
      </c>
      <c r="H46" s="58">
        <f>IF($B46="","",SUMIFS(Krankmeldungen!$AC$6:$AC$1005,Krankmeldungen!$A$6:$A$1005,$A46))</f>
        <v/>
      </c>
      <c r="I46" s="58">
        <f>IF($B46="","",SUMIFS(Krankmeldungen!$AD$6:$AD$1005,Krankmeldungen!$A$6:$A$1005,$A46))</f>
        <v/>
      </c>
      <c r="J46" s="58">
        <f>IF($B46="","",SUMIFS(Krankmeldungen!$AE$6:$AE$1005,Krankmeldungen!$A$6:$A$1005,$A46))</f>
        <v/>
      </c>
      <c r="K46" s="58">
        <f>IF($B46="","",SUMIFS(Krankmeldungen!$AF$6:$AF$1005,Krankmeldungen!$A$6:$A$1005,$A46))</f>
        <v/>
      </c>
      <c r="L46" s="58">
        <f>IF($B46="","",SUMIFS(Krankmeldungen!$AG$6:$AG$1005,Krankmeldungen!$A$6:$A$1005,$A46))</f>
        <v/>
      </c>
      <c r="M46" s="58">
        <f>IF($B46="","",SUMIFS(Krankmeldungen!$AH$6:$AH$1005,Krankmeldungen!$A$6:$A$1005,$A46))</f>
        <v/>
      </c>
      <c r="N46" s="58">
        <f>IF($B46="","",SUMIFS(Krankmeldungen!$AI$6:$AI$1005,Krankmeldungen!$A$6:$A$1005,$A46))</f>
        <v/>
      </c>
      <c r="O46" s="65">
        <f>IF($B46="","",SUM(C46:N46))</f>
        <v/>
      </c>
      <c r="P46" s="57">
        <f>'KQuote Mitarbeiter'!D46</f>
        <v/>
      </c>
      <c r="Q46" s="67">
        <f>'KQuote Mitarbeiter'!J46</f>
        <v/>
      </c>
    </row>
    <row r="47">
      <c r="A47" s="61">
        <f>'KQuote Mitarbeiter'!A47</f>
        <v/>
      </c>
      <c r="B47" s="62">
        <f>'KQuote Mitarbeiter'!B47</f>
        <v/>
      </c>
      <c r="C47" s="58">
        <f>IF($B47="","",SUMIFS(Krankmeldungen!$X$6:$X$1005,Krankmeldungen!$A$6:$A$1005,$A47))</f>
        <v/>
      </c>
      <c r="D47" s="58">
        <f>IF($B47="","",SUMIFS(Krankmeldungen!$Y$6:$Y$1005,Krankmeldungen!$A$6:$A$1005,$A47))</f>
        <v/>
      </c>
      <c r="E47" s="58">
        <f>IF($B47="","",SUMIFS(Krankmeldungen!$Z$6:$Z$1005,Krankmeldungen!$A$6:$A$1005,$A47))</f>
        <v/>
      </c>
      <c r="F47" s="58">
        <f>IF($B47="","",SUMIFS(Krankmeldungen!$AA$6:$AA$1005,Krankmeldungen!$A$6:$A$1005,$A47))</f>
        <v/>
      </c>
      <c r="G47" s="58">
        <f>IF($B47="","",SUMIFS(Krankmeldungen!$AB$6:$AB$1005,Krankmeldungen!$A$6:$A$1005,$A47))</f>
        <v/>
      </c>
      <c r="H47" s="58">
        <f>IF($B47="","",SUMIFS(Krankmeldungen!$AC$6:$AC$1005,Krankmeldungen!$A$6:$A$1005,$A47))</f>
        <v/>
      </c>
      <c r="I47" s="58">
        <f>IF($B47="","",SUMIFS(Krankmeldungen!$AD$6:$AD$1005,Krankmeldungen!$A$6:$A$1005,$A47))</f>
        <v/>
      </c>
      <c r="J47" s="58">
        <f>IF($B47="","",SUMIFS(Krankmeldungen!$AE$6:$AE$1005,Krankmeldungen!$A$6:$A$1005,$A47))</f>
        <v/>
      </c>
      <c r="K47" s="58">
        <f>IF($B47="","",SUMIFS(Krankmeldungen!$AF$6:$AF$1005,Krankmeldungen!$A$6:$A$1005,$A47))</f>
        <v/>
      </c>
      <c r="L47" s="58">
        <f>IF($B47="","",SUMIFS(Krankmeldungen!$AG$6:$AG$1005,Krankmeldungen!$A$6:$A$1005,$A47))</f>
        <v/>
      </c>
      <c r="M47" s="58">
        <f>IF($B47="","",SUMIFS(Krankmeldungen!$AH$6:$AH$1005,Krankmeldungen!$A$6:$A$1005,$A47))</f>
        <v/>
      </c>
      <c r="N47" s="58">
        <f>IF($B47="","",SUMIFS(Krankmeldungen!$AI$6:$AI$1005,Krankmeldungen!$A$6:$A$1005,$A47))</f>
        <v/>
      </c>
      <c r="O47" s="65">
        <f>IF($B47="","",SUM(C47:N47))</f>
        <v/>
      </c>
      <c r="P47" s="57">
        <f>'KQuote Mitarbeiter'!D47</f>
        <v/>
      </c>
      <c r="Q47" s="67">
        <f>'KQuote Mitarbeiter'!J47</f>
        <v/>
      </c>
    </row>
    <row r="48">
      <c r="A48" s="61">
        <f>'KQuote Mitarbeiter'!A48</f>
        <v/>
      </c>
      <c r="B48" s="62">
        <f>'KQuote Mitarbeiter'!B48</f>
        <v/>
      </c>
      <c r="C48" s="58">
        <f>IF($B48="","",SUMIFS(Krankmeldungen!$X$6:$X$1005,Krankmeldungen!$A$6:$A$1005,$A48))</f>
        <v/>
      </c>
      <c r="D48" s="58">
        <f>IF($B48="","",SUMIFS(Krankmeldungen!$Y$6:$Y$1005,Krankmeldungen!$A$6:$A$1005,$A48))</f>
        <v/>
      </c>
      <c r="E48" s="58">
        <f>IF($B48="","",SUMIFS(Krankmeldungen!$Z$6:$Z$1005,Krankmeldungen!$A$6:$A$1005,$A48))</f>
        <v/>
      </c>
      <c r="F48" s="58">
        <f>IF($B48="","",SUMIFS(Krankmeldungen!$AA$6:$AA$1005,Krankmeldungen!$A$6:$A$1005,$A48))</f>
        <v/>
      </c>
      <c r="G48" s="58">
        <f>IF($B48="","",SUMIFS(Krankmeldungen!$AB$6:$AB$1005,Krankmeldungen!$A$6:$A$1005,$A48))</f>
        <v/>
      </c>
      <c r="H48" s="58">
        <f>IF($B48="","",SUMIFS(Krankmeldungen!$AC$6:$AC$1005,Krankmeldungen!$A$6:$A$1005,$A48))</f>
        <v/>
      </c>
      <c r="I48" s="58">
        <f>IF($B48="","",SUMIFS(Krankmeldungen!$AD$6:$AD$1005,Krankmeldungen!$A$6:$A$1005,$A48))</f>
        <v/>
      </c>
      <c r="J48" s="58">
        <f>IF($B48="","",SUMIFS(Krankmeldungen!$AE$6:$AE$1005,Krankmeldungen!$A$6:$A$1005,$A48))</f>
        <v/>
      </c>
      <c r="K48" s="58">
        <f>IF($B48="","",SUMIFS(Krankmeldungen!$AF$6:$AF$1005,Krankmeldungen!$A$6:$A$1005,$A48))</f>
        <v/>
      </c>
      <c r="L48" s="58">
        <f>IF($B48="","",SUMIFS(Krankmeldungen!$AG$6:$AG$1005,Krankmeldungen!$A$6:$A$1005,$A48))</f>
        <v/>
      </c>
      <c r="M48" s="58">
        <f>IF($B48="","",SUMIFS(Krankmeldungen!$AH$6:$AH$1005,Krankmeldungen!$A$6:$A$1005,$A48))</f>
        <v/>
      </c>
      <c r="N48" s="58">
        <f>IF($B48="","",SUMIFS(Krankmeldungen!$AI$6:$AI$1005,Krankmeldungen!$A$6:$A$1005,$A48))</f>
        <v/>
      </c>
      <c r="O48" s="65">
        <f>IF($B48="","",SUM(C48:N48))</f>
        <v/>
      </c>
      <c r="P48" s="57">
        <f>'KQuote Mitarbeiter'!D48</f>
        <v/>
      </c>
      <c r="Q48" s="67">
        <f>'KQuote Mitarbeiter'!J48</f>
        <v/>
      </c>
    </row>
    <row r="49">
      <c r="A49" s="61">
        <f>'KQuote Mitarbeiter'!A49</f>
        <v/>
      </c>
      <c r="B49" s="62">
        <f>'KQuote Mitarbeiter'!B49</f>
        <v/>
      </c>
      <c r="C49" s="58">
        <f>IF($B49="","",SUMIFS(Krankmeldungen!$X$6:$X$1005,Krankmeldungen!$A$6:$A$1005,$A49))</f>
        <v/>
      </c>
      <c r="D49" s="58">
        <f>IF($B49="","",SUMIFS(Krankmeldungen!$Y$6:$Y$1005,Krankmeldungen!$A$6:$A$1005,$A49))</f>
        <v/>
      </c>
      <c r="E49" s="58">
        <f>IF($B49="","",SUMIFS(Krankmeldungen!$Z$6:$Z$1005,Krankmeldungen!$A$6:$A$1005,$A49))</f>
        <v/>
      </c>
      <c r="F49" s="58">
        <f>IF($B49="","",SUMIFS(Krankmeldungen!$AA$6:$AA$1005,Krankmeldungen!$A$6:$A$1005,$A49))</f>
        <v/>
      </c>
      <c r="G49" s="58">
        <f>IF($B49="","",SUMIFS(Krankmeldungen!$AB$6:$AB$1005,Krankmeldungen!$A$6:$A$1005,$A49))</f>
        <v/>
      </c>
      <c r="H49" s="58">
        <f>IF($B49="","",SUMIFS(Krankmeldungen!$AC$6:$AC$1005,Krankmeldungen!$A$6:$A$1005,$A49))</f>
        <v/>
      </c>
      <c r="I49" s="58">
        <f>IF($B49="","",SUMIFS(Krankmeldungen!$AD$6:$AD$1005,Krankmeldungen!$A$6:$A$1005,$A49))</f>
        <v/>
      </c>
      <c r="J49" s="58">
        <f>IF($B49="","",SUMIFS(Krankmeldungen!$AE$6:$AE$1005,Krankmeldungen!$A$6:$A$1005,$A49))</f>
        <v/>
      </c>
      <c r="K49" s="58">
        <f>IF($B49="","",SUMIFS(Krankmeldungen!$AF$6:$AF$1005,Krankmeldungen!$A$6:$A$1005,$A49))</f>
        <v/>
      </c>
      <c r="L49" s="58">
        <f>IF($B49="","",SUMIFS(Krankmeldungen!$AG$6:$AG$1005,Krankmeldungen!$A$6:$A$1005,$A49))</f>
        <v/>
      </c>
      <c r="M49" s="58">
        <f>IF($B49="","",SUMIFS(Krankmeldungen!$AH$6:$AH$1005,Krankmeldungen!$A$6:$A$1005,$A49))</f>
        <v/>
      </c>
      <c r="N49" s="58">
        <f>IF($B49="","",SUMIFS(Krankmeldungen!$AI$6:$AI$1005,Krankmeldungen!$A$6:$A$1005,$A49))</f>
        <v/>
      </c>
      <c r="O49" s="65">
        <f>IF($B49="","",SUM(C49:N49))</f>
        <v/>
      </c>
      <c r="P49" s="57">
        <f>'KQuote Mitarbeiter'!D49</f>
        <v/>
      </c>
      <c r="Q49" s="67">
        <f>'KQuote Mitarbeiter'!J49</f>
        <v/>
      </c>
    </row>
    <row r="50">
      <c r="A50" s="61">
        <f>'KQuote Mitarbeiter'!A50</f>
        <v/>
      </c>
      <c r="B50" s="62">
        <f>'KQuote Mitarbeiter'!B50</f>
        <v/>
      </c>
      <c r="C50" s="58">
        <f>IF($B50="","",SUMIFS(Krankmeldungen!$X$6:$X$1005,Krankmeldungen!$A$6:$A$1005,$A50))</f>
        <v/>
      </c>
      <c r="D50" s="58">
        <f>IF($B50="","",SUMIFS(Krankmeldungen!$Y$6:$Y$1005,Krankmeldungen!$A$6:$A$1005,$A50))</f>
        <v/>
      </c>
      <c r="E50" s="58">
        <f>IF($B50="","",SUMIFS(Krankmeldungen!$Z$6:$Z$1005,Krankmeldungen!$A$6:$A$1005,$A50))</f>
        <v/>
      </c>
      <c r="F50" s="58">
        <f>IF($B50="","",SUMIFS(Krankmeldungen!$AA$6:$AA$1005,Krankmeldungen!$A$6:$A$1005,$A50))</f>
        <v/>
      </c>
      <c r="G50" s="58">
        <f>IF($B50="","",SUMIFS(Krankmeldungen!$AB$6:$AB$1005,Krankmeldungen!$A$6:$A$1005,$A50))</f>
        <v/>
      </c>
      <c r="H50" s="58">
        <f>IF($B50="","",SUMIFS(Krankmeldungen!$AC$6:$AC$1005,Krankmeldungen!$A$6:$A$1005,$A50))</f>
        <v/>
      </c>
      <c r="I50" s="58">
        <f>IF($B50="","",SUMIFS(Krankmeldungen!$AD$6:$AD$1005,Krankmeldungen!$A$6:$A$1005,$A50))</f>
        <v/>
      </c>
      <c r="J50" s="58">
        <f>IF($B50="","",SUMIFS(Krankmeldungen!$AE$6:$AE$1005,Krankmeldungen!$A$6:$A$1005,$A50))</f>
        <v/>
      </c>
      <c r="K50" s="58">
        <f>IF($B50="","",SUMIFS(Krankmeldungen!$AF$6:$AF$1005,Krankmeldungen!$A$6:$A$1005,$A50))</f>
        <v/>
      </c>
      <c r="L50" s="58">
        <f>IF($B50="","",SUMIFS(Krankmeldungen!$AG$6:$AG$1005,Krankmeldungen!$A$6:$A$1005,$A50))</f>
        <v/>
      </c>
      <c r="M50" s="58">
        <f>IF($B50="","",SUMIFS(Krankmeldungen!$AH$6:$AH$1005,Krankmeldungen!$A$6:$A$1005,$A50))</f>
        <v/>
      </c>
      <c r="N50" s="58">
        <f>IF($B50="","",SUMIFS(Krankmeldungen!$AI$6:$AI$1005,Krankmeldungen!$A$6:$A$1005,$A50))</f>
        <v/>
      </c>
      <c r="O50" s="65">
        <f>IF($B50="","",SUM(C50:N50))</f>
        <v/>
      </c>
      <c r="P50" s="57">
        <f>'KQuote Mitarbeiter'!D50</f>
        <v/>
      </c>
      <c r="Q50" s="67">
        <f>'KQuote Mitarbeiter'!J50</f>
        <v/>
      </c>
    </row>
    <row r="51">
      <c r="A51" s="61">
        <f>'KQuote Mitarbeiter'!A51</f>
        <v/>
      </c>
      <c r="B51" s="62">
        <f>'KQuote Mitarbeiter'!B51</f>
        <v/>
      </c>
      <c r="C51" s="58">
        <f>IF($B51="","",SUMIFS(Krankmeldungen!$X$6:$X$1005,Krankmeldungen!$A$6:$A$1005,$A51))</f>
        <v/>
      </c>
      <c r="D51" s="58">
        <f>IF($B51="","",SUMIFS(Krankmeldungen!$Y$6:$Y$1005,Krankmeldungen!$A$6:$A$1005,$A51))</f>
        <v/>
      </c>
      <c r="E51" s="58">
        <f>IF($B51="","",SUMIFS(Krankmeldungen!$Z$6:$Z$1005,Krankmeldungen!$A$6:$A$1005,$A51))</f>
        <v/>
      </c>
      <c r="F51" s="58">
        <f>IF($B51="","",SUMIFS(Krankmeldungen!$AA$6:$AA$1005,Krankmeldungen!$A$6:$A$1005,$A51))</f>
        <v/>
      </c>
      <c r="G51" s="58">
        <f>IF($B51="","",SUMIFS(Krankmeldungen!$AB$6:$AB$1005,Krankmeldungen!$A$6:$A$1005,$A51))</f>
        <v/>
      </c>
      <c r="H51" s="58">
        <f>IF($B51="","",SUMIFS(Krankmeldungen!$AC$6:$AC$1005,Krankmeldungen!$A$6:$A$1005,$A51))</f>
        <v/>
      </c>
      <c r="I51" s="58">
        <f>IF($B51="","",SUMIFS(Krankmeldungen!$AD$6:$AD$1005,Krankmeldungen!$A$6:$A$1005,$A51))</f>
        <v/>
      </c>
      <c r="J51" s="58">
        <f>IF($B51="","",SUMIFS(Krankmeldungen!$AE$6:$AE$1005,Krankmeldungen!$A$6:$A$1005,$A51))</f>
        <v/>
      </c>
      <c r="K51" s="58">
        <f>IF($B51="","",SUMIFS(Krankmeldungen!$AF$6:$AF$1005,Krankmeldungen!$A$6:$A$1005,$A51))</f>
        <v/>
      </c>
      <c r="L51" s="58">
        <f>IF($B51="","",SUMIFS(Krankmeldungen!$AG$6:$AG$1005,Krankmeldungen!$A$6:$A$1005,$A51))</f>
        <v/>
      </c>
      <c r="M51" s="58">
        <f>IF($B51="","",SUMIFS(Krankmeldungen!$AH$6:$AH$1005,Krankmeldungen!$A$6:$A$1005,$A51))</f>
        <v/>
      </c>
      <c r="N51" s="58">
        <f>IF($B51="","",SUMIFS(Krankmeldungen!$AI$6:$AI$1005,Krankmeldungen!$A$6:$A$1005,$A51))</f>
        <v/>
      </c>
      <c r="O51" s="65">
        <f>IF($B51="","",SUM(C51:N51))</f>
        <v/>
      </c>
      <c r="P51" s="57">
        <f>'KQuote Mitarbeiter'!D51</f>
        <v/>
      </c>
      <c r="Q51" s="67">
        <f>'KQuote Mitarbeiter'!J51</f>
        <v/>
      </c>
    </row>
    <row r="52">
      <c r="A52" s="61">
        <f>'KQuote Mitarbeiter'!A52</f>
        <v/>
      </c>
      <c r="B52" s="62">
        <f>'KQuote Mitarbeiter'!B52</f>
        <v/>
      </c>
      <c r="C52" s="58">
        <f>IF($B52="","",SUMIFS(Krankmeldungen!$X$6:$X$1005,Krankmeldungen!$A$6:$A$1005,$A52))</f>
        <v/>
      </c>
      <c r="D52" s="58">
        <f>IF($B52="","",SUMIFS(Krankmeldungen!$Y$6:$Y$1005,Krankmeldungen!$A$6:$A$1005,$A52))</f>
        <v/>
      </c>
      <c r="E52" s="58">
        <f>IF($B52="","",SUMIFS(Krankmeldungen!$Z$6:$Z$1005,Krankmeldungen!$A$6:$A$1005,$A52))</f>
        <v/>
      </c>
      <c r="F52" s="58">
        <f>IF($B52="","",SUMIFS(Krankmeldungen!$AA$6:$AA$1005,Krankmeldungen!$A$6:$A$1005,$A52))</f>
        <v/>
      </c>
      <c r="G52" s="58">
        <f>IF($B52="","",SUMIFS(Krankmeldungen!$AB$6:$AB$1005,Krankmeldungen!$A$6:$A$1005,$A52))</f>
        <v/>
      </c>
      <c r="H52" s="58">
        <f>IF($B52="","",SUMIFS(Krankmeldungen!$AC$6:$AC$1005,Krankmeldungen!$A$6:$A$1005,$A52))</f>
        <v/>
      </c>
      <c r="I52" s="58">
        <f>IF($B52="","",SUMIFS(Krankmeldungen!$AD$6:$AD$1005,Krankmeldungen!$A$6:$A$1005,$A52))</f>
        <v/>
      </c>
      <c r="J52" s="58">
        <f>IF($B52="","",SUMIFS(Krankmeldungen!$AE$6:$AE$1005,Krankmeldungen!$A$6:$A$1005,$A52))</f>
        <v/>
      </c>
      <c r="K52" s="58">
        <f>IF($B52="","",SUMIFS(Krankmeldungen!$AF$6:$AF$1005,Krankmeldungen!$A$6:$A$1005,$A52))</f>
        <v/>
      </c>
      <c r="L52" s="58">
        <f>IF($B52="","",SUMIFS(Krankmeldungen!$AG$6:$AG$1005,Krankmeldungen!$A$6:$A$1005,$A52))</f>
        <v/>
      </c>
      <c r="M52" s="58">
        <f>IF($B52="","",SUMIFS(Krankmeldungen!$AH$6:$AH$1005,Krankmeldungen!$A$6:$A$1005,$A52))</f>
        <v/>
      </c>
      <c r="N52" s="58">
        <f>IF($B52="","",SUMIFS(Krankmeldungen!$AI$6:$AI$1005,Krankmeldungen!$A$6:$A$1005,$A52))</f>
        <v/>
      </c>
      <c r="O52" s="65">
        <f>IF($B52="","",SUM(C52:N52))</f>
        <v/>
      </c>
      <c r="P52" s="57">
        <f>'KQuote Mitarbeiter'!D52</f>
        <v/>
      </c>
      <c r="Q52" s="67">
        <f>'KQuote Mitarbeiter'!J52</f>
        <v/>
      </c>
    </row>
    <row r="53">
      <c r="A53" s="61">
        <f>'KQuote Mitarbeiter'!A53</f>
        <v/>
      </c>
      <c r="B53" s="62">
        <f>'KQuote Mitarbeiter'!B53</f>
        <v/>
      </c>
      <c r="C53" s="58">
        <f>IF($B53="","",SUMIFS(Krankmeldungen!$X$6:$X$1005,Krankmeldungen!$A$6:$A$1005,$A53))</f>
        <v/>
      </c>
      <c r="D53" s="58">
        <f>IF($B53="","",SUMIFS(Krankmeldungen!$Y$6:$Y$1005,Krankmeldungen!$A$6:$A$1005,$A53))</f>
        <v/>
      </c>
      <c r="E53" s="58">
        <f>IF($B53="","",SUMIFS(Krankmeldungen!$Z$6:$Z$1005,Krankmeldungen!$A$6:$A$1005,$A53))</f>
        <v/>
      </c>
      <c r="F53" s="58">
        <f>IF($B53="","",SUMIFS(Krankmeldungen!$AA$6:$AA$1005,Krankmeldungen!$A$6:$A$1005,$A53))</f>
        <v/>
      </c>
      <c r="G53" s="58">
        <f>IF($B53="","",SUMIFS(Krankmeldungen!$AB$6:$AB$1005,Krankmeldungen!$A$6:$A$1005,$A53))</f>
        <v/>
      </c>
      <c r="H53" s="58">
        <f>IF($B53="","",SUMIFS(Krankmeldungen!$AC$6:$AC$1005,Krankmeldungen!$A$6:$A$1005,$A53))</f>
        <v/>
      </c>
      <c r="I53" s="58">
        <f>IF($B53="","",SUMIFS(Krankmeldungen!$AD$6:$AD$1005,Krankmeldungen!$A$6:$A$1005,$A53))</f>
        <v/>
      </c>
      <c r="J53" s="58">
        <f>IF($B53="","",SUMIFS(Krankmeldungen!$AE$6:$AE$1005,Krankmeldungen!$A$6:$A$1005,$A53))</f>
        <v/>
      </c>
      <c r="K53" s="58">
        <f>IF($B53="","",SUMIFS(Krankmeldungen!$AF$6:$AF$1005,Krankmeldungen!$A$6:$A$1005,$A53))</f>
        <v/>
      </c>
      <c r="L53" s="58">
        <f>IF($B53="","",SUMIFS(Krankmeldungen!$AG$6:$AG$1005,Krankmeldungen!$A$6:$A$1005,$A53))</f>
        <v/>
      </c>
      <c r="M53" s="58">
        <f>IF($B53="","",SUMIFS(Krankmeldungen!$AH$6:$AH$1005,Krankmeldungen!$A$6:$A$1005,$A53))</f>
        <v/>
      </c>
      <c r="N53" s="58">
        <f>IF($B53="","",SUMIFS(Krankmeldungen!$AI$6:$AI$1005,Krankmeldungen!$A$6:$A$1005,$A53))</f>
        <v/>
      </c>
      <c r="O53" s="65">
        <f>IF($B53="","",SUM(C53:N53))</f>
        <v/>
      </c>
      <c r="P53" s="57">
        <f>'KQuote Mitarbeiter'!D53</f>
        <v/>
      </c>
      <c r="Q53" s="67">
        <f>'KQuote Mitarbeiter'!J53</f>
        <v/>
      </c>
    </row>
    <row r="54">
      <c r="A54" s="61">
        <f>'KQuote Mitarbeiter'!A54</f>
        <v/>
      </c>
      <c r="B54" s="62">
        <f>'KQuote Mitarbeiter'!B54</f>
        <v/>
      </c>
      <c r="C54" s="58">
        <f>IF($B54="","",SUMIFS(Krankmeldungen!$X$6:$X$1005,Krankmeldungen!$A$6:$A$1005,$A54))</f>
        <v/>
      </c>
      <c r="D54" s="58">
        <f>IF($B54="","",SUMIFS(Krankmeldungen!$Y$6:$Y$1005,Krankmeldungen!$A$6:$A$1005,$A54))</f>
        <v/>
      </c>
      <c r="E54" s="58">
        <f>IF($B54="","",SUMIFS(Krankmeldungen!$Z$6:$Z$1005,Krankmeldungen!$A$6:$A$1005,$A54))</f>
        <v/>
      </c>
      <c r="F54" s="58">
        <f>IF($B54="","",SUMIFS(Krankmeldungen!$AA$6:$AA$1005,Krankmeldungen!$A$6:$A$1005,$A54))</f>
        <v/>
      </c>
      <c r="G54" s="58">
        <f>IF($B54="","",SUMIFS(Krankmeldungen!$AB$6:$AB$1005,Krankmeldungen!$A$6:$A$1005,$A54))</f>
        <v/>
      </c>
      <c r="H54" s="58">
        <f>IF($B54="","",SUMIFS(Krankmeldungen!$AC$6:$AC$1005,Krankmeldungen!$A$6:$A$1005,$A54))</f>
        <v/>
      </c>
      <c r="I54" s="58">
        <f>IF($B54="","",SUMIFS(Krankmeldungen!$AD$6:$AD$1005,Krankmeldungen!$A$6:$A$1005,$A54))</f>
        <v/>
      </c>
      <c r="J54" s="58">
        <f>IF($B54="","",SUMIFS(Krankmeldungen!$AE$6:$AE$1005,Krankmeldungen!$A$6:$A$1005,$A54))</f>
        <v/>
      </c>
      <c r="K54" s="58">
        <f>IF($B54="","",SUMIFS(Krankmeldungen!$AF$6:$AF$1005,Krankmeldungen!$A$6:$A$1005,$A54))</f>
        <v/>
      </c>
      <c r="L54" s="58">
        <f>IF($B54="","",SUMIFS(Krankmeldungen!$AG$6:$AG$1005,Krankmeldungen!$A$6:$A$1005,$A54))</f>
        <v/>
      </c>
      <c r="M54" s="58">
        <f>IF($B54="","",SUMIFS(Krankmeldungen!$AH$6:$AH$1005,Krankmeldungen!$A$6:$A$1005,$A54))</f>
        <v/>
      </c>
      <c r="N54" s="58">
        <f>IF($B54="","",SUMIFS(Krankmeldungen!$AI$6:$AI$1005,Krankmeldungen!$A$6:$A$1005,$A54))</f>
        <v/>
      </c>
      <c r="O54" s="65">
        <f>IF($B54="","",SUM(C54:N54))</f>
        <v/>
      </c>
      <c r="P54" s="57">
        <f>'KQuote Mitarbeiter'!D54</f>
        <v/>
      </c>
      <c r="Q54" s="67">
        <f>'KQuote Mitarbeiter'!J54</f>
        <v/>
      </c>
    </row>
    <row r="55">
      <c r="A55" s="61">
        <f>'KQuote Mitarbeiter'!A55</f>
        <v/>
      </c>
      <c r="B55" s="62">
        <f>'KQuote Mitarbeiter'!B55</f>
        <v/>
      </c>
      <c r="C55" s="58">
        <f>IF($B55="","",SUMIFS(Krankmeldungen!$X$6:$X$1005,Krankmeldungen!$A$6:$A$1005,$A55))</f>
        <v/>
      </c>
      <c r="D55" s="58">
        <f>IF($B55="","",SUMIFS(Krankmeldungen!$Y$6:$Y$1005,Krankmeldungen!$A$6:$A$1005,$A55))</f>
        <v/>
      </c>
      <c r="E55" s="58">
        <f>IF($B55="","",SUMIFS(Krankmeldungen!$Z$6:$Z$1005,Krankmeldungen!$A$6:$A$1005,$A55))</f>
        <v/>
      </c>
      <c r="F55" s="58">
        <f>IF($B55="","",SUMIFS(Krankmeldungen!$AA$6:$AA$1005,Krankmeldungen!$A$6:$A$1005,$A55))</f>
        <v/>
      </c>
      <c r="G55" s="58">
        <f>IF($B55="","",SUMIFS(Krankmeldungen!$AB$6:$AB$1005,Krankmeldungen!$A$6:$A$1005,$A55))</f>
        <v/>
      </c>
      <c r="H55" s="58">
        <f>IF($B55="","",SUMIFS(Krankmeldungen!$AC$6:$AC$1005,Krankmeldungen!$A$6:$A$1005,$A55))</f>
        <v/>
      </c>
      <c r="I55" s="58">
        <f>IF($B55="","",SUMIFS(Krankmeldungen!$AD$6:$AD$1005,Krankmeldungen!$A$6:$A$1005,$A55))</f>
        <v/>
      </c>
      <c r="J55" s="58">
        <f>IF($B55="","",SUMIFS(Krankmeldungen!$AE$6:$AE$1005,Krankmeldungen!$A$6:$A$1005,$A55))</f>
        <v/>
      </c>
      <c r="K55" s="58">
        <f>IF($B55="","",SUMIFS(Krankmeldungen!$AF$6:$AF$1005,Krankmeldungen!$A$6:$A$1005,$A55))</f>
        <v/>
      </c>
      <c r="L55" s="58">
        <f>IF($B55="","",SUMIFS(Krankmeldungen!$AG$6:$AG$1005,Krankmeldungen!$A$6:$A$1005,$A55))</f>
        <v/>
      </c>
      <c r="M55" s="58">
        <f>IF($B55="","",SUMIFS(Krankmeldungen!$AH$6:$AH$1005,Krankmeldungen!$A$6:$A$1005,$A55))</f>
        <v/>
      </c>
      <c r="N55" s="58">
        <f>IF($B55="","",SUMIFS(Krankmeldungen!$AI$6:$AI$1005,Krankmeldungen!$A$6:$A$1005,$A55))</f>
        <v/>
      </c>
      <c r="O55" s="65">
        <f>IF($B55="","",SUM(C55:N55))</f>
        <v/>
      </c>
      <c r="P55" s="57">
        <f>'KQuote Mitarbeiter'!D55</f>
        <v/>
      </c>
      <c r="Q55" s="67">
        <f>'KQuote Mitarbeiter'!J55</f>
        <v/>
      </c>
    </row>
    <row r="56">
      <c r="A56" s="61">
        <f>'KQuote Mitarbeiter'!A56</f>
        <v/>
      </c>
      <c r="B56" s="62">
        <f>'KQuote Mitarbeiter'!B56</f>
        <v/>
      </c>
      <c r="C56" s="58">
        <f>IF($B56="","",SUMIFS(Krankmeldungen!$X$6:$X$1005,Krankmeldungen!$A$6:$A$1005,$A56))</f>
        <v/>
      </c>
      <c r="D56" s="58">
        <f>IF($B56="","",SUMIFS(Krankmeldungen!$Y$6:$Y$1005,Krankmeldungen!$A$6:$A$1005,$A56))</f>
        <v/>
      </c>
      <c r="E56" s="58">
        <f>IF($B56="","",SUMIFS(Krankmeldungen!$Z$6:$Z$1005,Krankmeldungen!$A$6:$A$1005,$A56))</f>
        <v/>
      </c>
      <c r="F56" s="58">
        <f>IF($B56="","",SUMIFS(Krankmeldungen!$AA$6:$AA$1005,Krankmeldungen!$A$6:$A$1005,$A56))</f>
        <v/>
      </c>
      <c r="G56" s="58">
        <f>IF($B56="","",SUMIFS(Krankmeldungen!$AB$6:$AB$1005,Krankmeldungen!$A$6:$A$1005,$A56))</f>
        <v/>
      </c>
      <c r="H56" s="58">
        <f>IF($B56="","",SUMIFS(Krankmeldungen!$AC$6:$AC$1005,Krankmeldungen!$A$6:$A$1005,$A56))</f>
        <v/>
      </c>
      <c r="I56" s="58">
        <f>IF($B56="","",SUMIFS(Krankmeldungen!$AD$6:$AD$1005,Krankmeldungen!$A$6:$A$1005,$A56))</f>
        <v/>
      </c>
      <c r="J56" s="58">
        <f>IF($B56="","",SUMIFS(Krankmeldungen!$AE$6:$AE$1005,Krankmeldungen!$A$6:$A$1005,$A56))</f>
        <v/>
      </c>
      <c r="K56" s="58">
        <f>IF($B56="","",SUMIFS(Krankmeldungen!$AF$6:$AF$1005,Krankmeldungen!$A$6:$A$1005,$A56))</f>
        <v/>
      </c>
      <c r="L56" s="58">
        <f>IF($B56="","",SUMIFS(Krankmeldungen!$AG$6:$AG$1005,Krankmeldungen!$A$6:$A$1005,$A56))</f>
        <v/>
      </c>
      <c r="M56" s="58">
        <f>IF($B56="","",SUMIFS(Krankmeldungen!$AH$6:$AH$1005,Krankmeldungen!$A$6:$A$1005,$A56))</f>
        <v/>
      </c>
      <c r="N56" s="58">
        <f>IF($B56="","",SUMIFS(Krankmeldungen!$AI$6:$AI$1005,Krankmeldungen!$A$6:$A$1005,$A56))</f>
        <v/>
      </c>
      <c r="O56" s="65">
        <f>IF($B56="","",SUM(C56:N56))</f>
        <v/>
      </c>
      <c r="P56" s="57">
        <f>'KQuote Mitarbeiter'!D56</f>
        <v/>
      </c>
      <c r="Q56" s="67">
        <f>'KQuote Mitarbeiter'!J56</f>
        <v/>
      </c>
    </row>
    <row r="57">
      <c r="A57" s="61">
        <f>'KQuote Mitarbeiter'!A57</f>
        <v/>
      </c>
      <c r="B57" s="62">
        <f>'KQuote Mitarbeiter'!B57</f>
        <v/>
      </c>
      <c r="C57" s="58">
        <f>IF($B57="","",SUMIFS(Krankmeldungen!$X$6:$X$1005,Krankmeldungen!$A$6:$A$1005,$A57))</f>
        <v/>
      </c>
      <c r="D57" s="58">
        <f>IF($B57="","",SUMIFS(Krankmeldungen!$Y$6:$Y$1005,Krankmeldungen!$A$6:$A$1005,$A57))</f>
        <v/>
      </c>
      <c r="E57" s="58">
        <f>IF($B57="","",SUMIFS(Krankmeldungen!$Z$6:$Z$1005,Krankmeldungen!$A$6:$A$1005,$A57))</f>
        <v/>
      </c>
      <c r="F57" s="58">
        <f>IF($B57="","",SUMIFS(Krankmeldungen!$AA$6:$AA$1005,Krankmeldungen!$A$6:$A$1005,$A57))</f>
        <v/>
      </c>
      <c r="G57" s="58">
        <f>IF($B57="","",SUMIFS(Krankmeldungen!$AB$6:$AB$1005,Krankmeldungen!$A$6:$A$1005,$A57))</f>
        <v/>
      </c>
      <c r="H57" s="58">
        <f>IF($B57="","",SUMIFS(Krankmeldungen!$AC$6:$AC$1005,Krankmeldungen!$A$6:$A$1005,$A57))</f>
        <v/>
      </c>
      <c r="I57" s="58">
        <f>IF($B57="","",SUMIFS(Krankmeldungen!$AD$6:$AD$1005,Krankmeldungen!$A$6:$A$1005,$A57))</f>
        <v/>
      </c>
      <c r="J57" s="58">
        <f>IF($B57="","",SUMIFS(Krankmeldungen!$AE$6:$AE$1005,Krankmeldungen!$A$6:$A$1005,$A57))</f>
        <v/>
      </c>
      <c r="K57" s="58">
        <f>IF($B57="","",SUMIFS(Krankmeldungen!$AF$6:$AF$1005,Krankmeldungen!$A$6:$A$1005,$A57))</f>
        <v/>
      </c>
      <c r="L57" s="58">
        <f>IF($B57="","",SUMIFS(Krankmeldungen!$AG$6:$AG$1005,Krankmeldungen!$A$6:$A$1005,$A57))</f>
        <v/>
      </c>
      <c r="M57" s="58">
        <f>IF($B57="","",SUMIFS(Krankmeldungen!$AH$6:$AH$1005,Krankmeldungen!$A$6:$A$1005,$A57))</f>
        <v/>
      </c>
      <c r="N57" s="58">
        <f>IF($B57="","",SUMIFS(Krankmeldungen!$AI$6:$AI$1005,Krankmeldungen!$A$6:$A$1005,$A57))</f>
        <v/>
      </c>
      <c r="O57" s="65">
        <f>IF($B57="","",SUM(C57:N57))</f>
        <v/>
      </c>
      <c r="P57" s="57">
        <f>'KQuote Mitarbeiter'!D57</f>
        <v/>
      </c>
      <c r="Q57" s="67">
        <f>'KQuote Mitarbeiter'!J57</f>
        <v/>
      </c>
    </row>
    <row r="58">
      <c r="A58" s="61">
        <f>'KQuote Mitarbeiter'!A58</f>
        <v/>
      </c>
      <c r="B58" s="62">
        <f>'KQuote Mitarbeiter'!B58</f>
        <v/>
      </c>
      <c r="C58" s="58">
        <f>IF($B58="","",SUMIFS(Krankmeldungen!$X$6:$X$1005,Krankmeldungen!$A$6:$A$1005,$A58))</f>
        <v/>
      </c>
      <c r="D58" s="58">
        <f>IF($B58="","",SUMIFS(Krankmeldungen!$Y$6:$Y$1005,Krankmeldungen!$A$6:$A$1005,$A58))</f>
        <v/>
      </c>
      <c r="E58" s="58">
        <f>IF($B58="","",SUMIFS(Krankmeldungen!$Z$6:$Z$1005,Krankmeldungen!$A$6:$A$1005,$A58))</f>
        <v/>
      </c>
      <c r="F58" s="58">
        <f>IF($B58="","",SUMIFS(Krankmeldungen!$AA$6:$AA$1005,Krankmeldungen!$A$6:$A$1005,$A58))</f>
        <v/>
      </c>
      <c r="G58" s="58">
        <f>IF($B58="","",SUMIFS(Krankmeldungen!$AB$6:$AB$1005,Krankmeldungen!$A$6:$A$1005,$A58))</f>
        <v/>
      </c>
      <c r="H58" s="58">
        <f>IF($B58="","",SUMIFS(Krankmeldungen!$AC$6:$AC$1005,Krankmeldungen!$A$6:$A$1005,$A58))</f>
        <v/>
      </c>
      <c r="I58" s="58">
        <f>IF($B58="","",SUMIFS(Krankmeldungen!$AD$6:$AD$1005,Krankmeldungen!$A$6:$A$1005,$A58))</f>
        <v/>
      </c>
      <c r="J58" s="58">
        <f>IF($B58="","",SUMIFS(Krankmeldungen!$AE$6:$AE$1005,Krankmeldungen!$A$6:$A$1005,$A58))</f>
        <v/>
      </c>
      <c r="K58" s="58">
        <f>IF($B58="","",SUMIFS(Krankmeldungen!$AF$6:$AF$1005,Krankmeldungen!$A$6:$A$1005,$A58))</f>
        <v/>
      </c>
      <c r="L58" s="58">
        <f>IF($B58="","",SUMIFS(Krankmeldungen!$AG$6:$AG$1005,Krankmeldungen!$A$6:$A$1005,$A58))</f>
        <v/>
      </c>
      <c r="M58" s="58">
        <f>IF($B58="","",SUMIFS(Krankmeldungen!$AH$6:$AH$1005,Krankmeldungen!$A$6:$A$1005,$A58))</f>
        <v/>
      </c>
      <c r="N58" s="58">
        <f>IF($B58="","",SUMIFS(Krankmeldungen!$AI$6:$AI$1005,Krankmeldungen!$A$6:$A$1005,$A58))</f>
        <v/>
      </c>
      <c r="O58" s="65">
        <f>IF($B58="","",SUM(C58:N58))</f>
        <v/>
      </c>
      <c r="P58" s="57">
        <f>'KQuote Mitarbeiter'!D58</f>
        <v/>
      </c>
      <c r="Q58" s="67">
        <f>'KQuote Mitarbeiter'!J58</f>
        <v/>
      </c>
    </row>
    <row r="59">
      <c r="A59" s="61">
        <f>'KQuote Mitarbeiter'!A59</f>
        <v/>
      </c>
      <c r="B59" s="62">
        <f>'KQuote Mitarbeiter'!B59</f>
        <v/>
      </c>
      <c r="C59" s="58">
        <f>IF($B59="","",SUMIFS(Krankmeldungen!$X$6:$X$1005,Krankmeldungen!$A$6:$A$1005,$A59))</f>
        <v/>
      </c>
      <c r="D59" s="58">
        <f>IF($B59="","",SUMIFS(Krankmeldungen!$Y$6:$Y$1005,Krankmeldungen!$A$6:$A$1005,$A59))</f>
        <v/>
      </c>
      <c r="E59" s="58">
        <f>IF($B59="","",SUMIFS(Krankmeldungen!$Z$6:$Z$1005,Krankmeldungen!$A$6:$A$1005,$A59))</f>
        <v/>
      </c>
      <c r="F59" s="58">
        <f>IF($B59="","",SUMIFS(Krankmeldungen!$AA$6:$AA$1005,Krankmeldungen!$A$6:$A$1005,$A59))</f>
        <v/>
      </c>
      <c r="G59" s="58">
        <f>IF($B59="","",SUMIFS(Krankmeldungen!$AB$6:$AB$1005,Krankmeldungen!$A$6:$A$1005,$A59))</f>
        <v/>
      </c>
      <c r="H59" s="58">
        <f>IF($B59="","",SUMIFS(Krankmeldungen!$AC$6:$AC$1005,Krankmeldungen!$A$6:$A$1005,$A59))</f>
        <v/>
      </c>
      <c r="I59" s="58">
        <f>IF($B59="","",SUMIFS(Krankmeldungen!$AD$6:$AD$1005,Krankmeldungen!$A$6:$A$1005,$A59))</f>
        <v/>
      </c>
      <c r="J59" s="58">
        <f>IF($B59="","",SUMIFS(Krankmeldungen!$AE$6:$AE$1005,Krankmeldungen!$A$6:$A$1005,$A59))</f>
        <v/>
      </c>
      <c r="K59" s="58">
        <f>IF($B59="","",SUMIFS(Krankmeldungen!$AF$6:$AF$1005,Krankmeldungen!$A$6:$A$1005,$A59))</f>
        <v/>
      </c>
      <c r="L59" s="58">
        <f>IF($B59="","",SUMIFS(Krankmeldungen!$AG$6:$AG$1005,Krankmeldungen!$A$6:$A$1005,$A59))</f>
        <v/>
      </c>
      <c r="M59" s="58">
        <f>IF($B59="","",SUMIFS(Krankmeldungen!$AH$6:$AH$1005,Krankmeldungen!$A$6:$A$1005,$A59))</f>
        <v/>
      </c>
      <c r="N59" s="58">
        <f>IF($B59="","",SUMIFS(Krankmeldungen!$AI$6:$AI$1005,Krankmeldungen!$A$6:$A$1005,$A59))</f>
        <v/>
      </c>
      <c r="O59" s="65">
        <f>IF($B59="","",SUM(C59:N59))</f>
        <v/>
      </c>
      <c r="P59" s="57">
        <f>'KQuote Mitarbeiter'!D59</f>
        <v/>
      </c>
      <c r="Q59" s="67">
        <f>'KQuote Mitarbeiter'!J59</f>
        <v/>
      </c>
    </row>
    <row r="60">
      <c r="A60" s="61">
        <f>'KQuote Mitarbeiter'!A60</f>
        <v/>
      </c>
      <c r="B60" s="62">
        <f>'KQuote Mitarbeiter'!B60</f>
        <v/>
      </c>
      <c r="C60" s="58">
        <f>IF($B60="","",SUMIFS(Krankmeldungen!$X$6:$X$1005,Krankmeldungen!$A$6:$A$1005,$A60))</f>
        <v/>
      </c>
      <c r="D60" s="58">
        <f>IF($B60="","",SUMIFS(Krankmeldungen!$Y$6:$Y$1005,Krankmeldungen!$A$6:$A$1005,$A60))</f>
        <v/>
      </c>
      <c r="E60" s="58">
        <f>IF($B60="","",SUMIFS(Krankmeldungen!$Z$6:$Z$1005,Krankmeldungen!$A$6:$A$1005,$A60))</f>
        <v/>
      </c>
      <c r="F60" s="58">
        <f>IF($B60="","",SUMIFS(Krankmeldungen!$AA$6:$AA$1005,Krankmeldungen!$A$6:$A$1005,$A60))</f>
        <v/>
      </c>
      <c r="G60" s="58">
        <f>IF($B60="","",SUMIFS(Krankmeldungen!$AB$6:$AB$1005,Krankmeldungen!$A$6:$A$1005,$A60))</f>
        <v/>
      </c>
      <c r="H60" s="58">
        <f>IF($B60="","",SUMIFS(Krankmeldungen!$AC$6:$AC$1005,Krankmeldungen!$A$6:$A$1005,$A60))</f>
        <v/>
      </c>
      <c r="I60" s="58">
        <f>IF($B60="","",SUMIFS(Krankmeldungen!$AD$6:$AD$1005,Krankmeldungen!$A$6:$A$1005,$A60))</f>
        <v/>
      </c>
      <c r="J60" s="58">
        <f>IF($B60="","",SUMIFS(Krankmeldungen!$AE$6:$AE$1005,Krankmeldungen!$A$6:$A$1005,$A60))</f>
        <v/>
      </c>
      <c r="K60" s="58">
        <f>IF($B60="","",SUMIFS(Krankmeldungen!$AF$6:$AF$1005,Krankmeldungen!$A$6:$A$1005,$A60))</f>
        <v/>
      </c>
      <c r="L60" s="58">
        <f>IF($B60="","",SUMIFS(Krankmeldungen!$AG$6:$AG$1005,Krankmeldungen!$A$6:$A$1005,$A60))</f>
        <v/>
      </c>
      <c r="M60" s="58">
        <f>IF($B60="","",SUMIFS(Krankmeldungen!$AH$6:$AH$1005,Krankmeldungen!$A$6:$A$1005,$A60))</f>
        <v/>
      </c>
      <c r="N60" s="58">
        <f>IF($B60="","",SUMIFS(Krankmeldungen!$AI$6:$AI$1005,Krankmeldungen!$A$6:$A$1005,$A60))</f>
        <v/>
      </c>
      <c r="O60" s="65">
        <f>IF($B60="","",SUM(C60:N60))</f>
        <v/>
      </c>
      <c r="P60" s="57">
        <f>'KQuote Mitarbeiter'!D60</f>
        <v/>
      </c>
      <c r="Q60" s="67">
        <f>'KQuote Mitarbeiter'!J60</f>
        <v/>
      </c>
    </row>
    <row r="61">
      <c r="A61" s="61">
        <f>'KQuote Mitarbeiter'!A61</f>
        <v/>
      </c>
      <c r="B61" s="62">
        <f>'KQuote Mitarbeiter'!B61</f>
        <v/>
      </c>
      <c r="C61" s="58">
        <f>IF($B61="","",SUMIFS(Krankmeldungen!$X$6:$X$1005,Krankmeldungen!$A$6:$A$1005,$A61))</f>
        <v/>
      </c>
      <c r="D61" s="58">
        <f>IF($B61="","",SUMIFS(Krankmeldungen!$Y$6:$Y$1005,Krankmeldungen!$A$6:$A$1005,$A61))</f>
        <v/>
      </c>
      <c r="E61" s="58">
        <f>IF($B61="","",SUMIFS(Krankmeldungen!$Z$6:$Z$1005,Krankmeldungen!$A$6:$A$1005,$A61))</f>
        <v/>
      </c>
      <c r="F61" s="58">
        <f>IF($B61="","",SUMIFS(Krankmeldungen!$AA$6:$AA$1005,Krankmeldungen!$A$6:$A$1005,$A61))</f>
        <v/>
      </c>
      <c r="G61" s="58">
        <f>IF($B61="","",SUMIFS(Krankmeldungen!$AB$6:$AB$1005,Krankmeldungen!$A$6:$A$1005,$A61))</f>
        <v/>
      </c>
      <c r="H61" s="58">
        <f>IF($B61="","",SUMIFS(Krankmeldungen!$AC$6:$AC$1005,Krankmeldungen!$A$6:$A$1005,$A61))</f>
        <v/>
      </c>
      <c r="I61" s="58">
        <f>IF($B61="","",SUMIFS(Krankmeldungen!$AD$6:$AD$1005,Krankmeldungen!$A$6:$A$1005,$A61))</f>
        <v/>
      </c>
      <c r="J61" s="58">
        <f>IF($B61="","",SUMIFS(Krankmeldungen!$AE$6:$AE$1005,Krankmeldungen!$A$6:$A$1005,$A61))</f>
        <v/>
      </c>
      <c r="K61" s="58">
        <f>IF($B61="","",SUMIFS(Krankmeldungen!$AF$6:$AF$1005,Krankmeldungen!$A$6:$A$1005,$A61))</f>
        <v/>
      </c>
      <c r="L61" s="58">
        <f>IF($B61="","",SUMIFS(Krankmeldungen!$AG$6:$AG$1005,Krankmeldungen!$A$6:$A$1005,$A61))</f>
        <v/>
      </c>
      <c r="M61" s="58">
        <f>IF($B61="","",SUMIFS(Krankmeldungen!$AH$6:$AH$1005,Krankmeldungen!$A$6:$A$1005,$A61))</f>
        <v/>
      </c>
      <c r="N61" s="58">
        <f>IF($B61="","",SUMIFS(Krankmeldungen!$AI$6:$AI$1005,Krankmeldungen!$A$6:$A$1005,$A61))</f>
        <v/>
      </c>
      <c r="O61" s="65">
        <f>IF($B61="","",SUM(C61:N61))</f>
        <v/>
      </c>
      <c r="P61" s="57">
        <f>'KQuote Mitarbeiter'!D61</f>
        <v/>
      </c>
      <c r="Q61" s="67">
        <f>'KQuote Mitarbeiter'!J61</f>
        <v/>
      </c>
    </row>
    <row r="62">
      <c r="A62" s="61">
        <f>'KQuote Mitarbeiter'!A62</f>
        <v/>
      </c>
      <c r="B62" s="62">
        <f>'KQuote Mitarbeiter'!B62</f>
        <v/>
      </c>
      <c r="C62" s="58">
        <f>IF($B62="","",SUMIFS(Krankmeldungen!$X$6:$X$1005,Krankmeldungen!$A$6:$A$1005,$A62))</f>
        <v/>
      </c>
      <c r="D62" s="58">
        <f>IF($B62="","",SUMIFS(Krankmeldungen!$Y$6:$Y$1005,Krankmeldungen!$A$6:$A$1005,$A62))</f>
        <v/>
      </c>
      <c r="E62" s="58">
        <f>IF($B62="","",SUMIFS(Krankmeldungen!$Z$6:$Z$1005,Krankmeldungen!$A$6:$A$1005,$A62))</f>
        <v/>
      </c>
      <c r="F62" s="58">
        <f>IF($B62="","",SUMIFS(Krankmeldungen!$AA$6:$AA$1005,Krankmeldungen!$A$6:$A$1005,$A62))</f>
        <v/>
      </c>
      <c r="G62" s="58">
        <f>IF($B62="","",SUMIFS(Krankmeldungen!$AB$6:$AB$1005,Krankmeldungen!$A$6:$A$1005,$A62))</f>
        <v/>
      </c>
      <c r="H62" s="58">
        <f>IF($B62="","",SUMIFS(Krankmeldungen!$AC$6:$AC$1005,Krankmeldungen!$A$6:$A$1005,$A62))</f>
        <v/>
      </c>
      <c r="I62" s="58">
        <f>IF($B62="","",SUMIFS(Krankmeldungen!$AD$6:$AD$1005,Krankmeldungen!$A$6:$A$1005,$A62))</f>
        <v/>
      </c>
      <c r="J62" s="58">
        <f>IF($B62="","",SUMIFS(Krankmeldungen!$AE$6:$AE$1005,Krankmeldungen!$A$6:$A$1005,$A62))</f>
        <v/>
      </c>
      <c r="K62" s="58">
        <f>IF($B62="","",SUMIFS(Krankmeldungen!$AF$6:$AF$1005,Krankmeldungen!$A$6:$A$1005,$A62))</f>
        <v/>
      </c>
      <c r="L62" s="58">
        <f>IF($B62="","",SUMIFS(Krankmeldungen!$AG$6:$AG$1005,Krankmeldungen!$A$6:$A$1005,$A62))</f>
        <v/>
      </c>
      <c r="M62" s="58">
        <f>IF($B62="","",SUMIFS(Krankmeldungen!$AH$6:$AH$1005,Krankmeldungen!$A$6:$A$1005,$A62))</f>
        <v/>
      </c>
      <c r="N62" s="58">
        <f>IF($B62="","",SUMIFS(Krankmeldungen!$AI$6:$AI$1005,Krankmeldungen!$A$6:$A$1005,$A62))</f>
        <v/>
      </c>
      <c r="O62" s="65">
        <f>IF($B62="","",SUM(C62:N62))</f>
        <v/>
      </c>
      <c r="P62" s="57">
        <f>'KQuote Mitarbeiter'!D62</f>
        <v/>
      </c>
      <c r="Q62" s="67">
        <f>'KQuote Mitarbeiter'!J62</f>
        <v/>
      </c>
    </row>
    <row r="63">
      <c r="A63" s="61">
        <f>'KQuote Mitarbeiter'!A63</f>
        <v/>
      </c>
      <c r="B63" s="62">
        <f>'KQuote Mitarbeiter'!B63</f>
        <v/>
      </c>
      <c r="C63" s="58">
        <f>IF($B63="","",SUMIFS(Krankmeldungen!$X$6:$X$1005,Krankmeldungen!$A$6:$A$1005,$A63))</f>
        <v/>
      </c>
      <c r="D63" s="58">
        <f>IF($B63="","",SUMIFS(Krankmeldungen!$Y$6:$Y$1005,Krankmeldungen!$A$6:$A$1005,$A63))</f>
        <v/>
      </c>
      <c r="E63" s="58">
        <f>IF($B63="","",SUMIFS(Krankmeldungen!$Z$6:$Z$1005,Krankmeldungen!$A$6:$A$1005,$A63))</f>
        <v/>
      </c>
      <c r="F63" s="58">
        <f>IF($B63="","",SUMIFS(Krankmeldungen!$AA$6:$AA$1005,Krankmeldungen!$A$6:$A$1005,$A63))</f>
        <v/>
      </c>
      <c r="G63" s="58">
        <f>IF($B63="","",SUMIFS(Krankmeldungen!$AB$6:$AB$1005,Krankmeldungen!$A$6:$A$1005,$A63))</f>
        <v/>
      </c>
      <c r="H63" s="58">
        <f>IF($B63="","",SUMIFS(Krankmeldungen!$AC$6:$AC$1005,Krankmeldungen!$A$6:$A$1005,$A63))</f>
        <v/>
      </c>
      <c r="I63" s="58">
        <f>IF($B63="","",SUMIFS(Krankmeldungen!$AD$6:$AD$1005,Krankmeldungen!$A$6:$A$1005,$A63))</f>
        <v/>
      </c>
      <c r="J63" s="58">
        <f>IF($B63="","",SUMIFS(Krankmeldungen!$AE$6:$AE$1005,Krankmeldungen!$A$6:$A$1005,$A63))</f>
        <v/>
      </c>
      <c r="K63" s="58">
        <f>IF($B63="","",SUMIFS(Krankmeldungen!$AF$6:$AF$1005,Krankmeldungen!$A$6:$A$1005,$A63))</f>
        <v/>
      </c>
      <c r="L63" s="58">
        <f>IF($B63="","",SUMIFS(Krankmeldungen!$AG$6:$AG$1005,Krankmeldungen!$A$6:$A$1005,$A63))</f>
        <v/>
      </c>
      <c r="M63" s="58">
        <f>IF($B63="","",SUMIFS(Krankmeldungen!$AH$6:$AH$1005,Krankmeldungen!$A$6:$A$1005,$A63))</f>
        <v/>
      </c>
      <c r="N63" s="58">
        <f>IF($B63="","",SUMIFS(Krankmeldungen!$AI$6:$AI$1005,Krankmeldungen!$A$6:$A$1005,$A63))</f>
        <v/>
      </c>
      <c r="O63" s="65">
        <f>IF($B63="","",SUM(C63:N63))</f>
        <v/>
      </c>
      <c r="P63" s="57">
        <f>'KQuote Mitarbeiter'!D63</f>
        <v/>
      </c>
      <c r="Q63" s="67">
        <f>'KQuote Mitarbeiter'!J63</f>
        <v/>
      </c>
    </row>
    <row r="64">
      <c r="A64" s="61">
        <f>'KQuote Mitarbeiter'!A64</f>
        <v/>
      </c>
      <c r="B64" s="62">
        <f>'KQuote Mitarbeiter'!B64</f>
        <v/>
      </c>
      <c r="C64" s="58">
        <f>IF($B64="","",SUMIFS(Krankmeldungen!$X$6:$X$1005,Krankmeldungen!$A$6:$A$1005,$A64))</f>
        <v/>
      </c>
      <c r="D64" s="58">
        <f>IF($B64="","",SUMIFS(Krankmeldungen!$Y$6:$Y$1005,Krankmeldungen!$A$6:$A$1005,$A64))</f>
        <v/>
      </c>
      <c r="E64" s="58">
        <f>IF($B64="","",SUMIFS(Krankmeldungen!$Z$6:$Z$1005,Krankmeldungen!$A$6:$A$1005,$A64))</f>
        <v/>
      </c>
      <c r="F64" s="58">
        <f>IF($B64="","",SUMIFS(Krankmeldungen!$AA$6:$AA$1005,Krankmeldungen!$A$6:$A$1005,$A64))</f>
        <v/>
      </c>
      <c r="G64" s="58">
        <f>IF($B64="","",SUMIFS(Krankmeldungen!$AB$6:$AB$1005,Krankmeldungen!$A$6:$A$1005,$A64))</f>
        <v/>
      </c>
      <c r="H64" s="58">
        <f>IF($B64="","",SUMIFS(Krankmeldungen!$AC$6:$AC$1005,Krankmeldungen!$A$6:$A$1005,$A64))</f>
        <v/>
      </c>
      <c r="I64" s="58">
        <f>IF($B64="","",SUMIFS(Krankmeldungen!$AD$6:$AD$1005,Krankmeldungen!$A$6:$A$1005,$A64))</f>
        <v/>
      </c>
      <c r="J64" s="58">
        <f>IF($B64="","",SUMIFS(Krankmeldungen!$AE$6:$AE$1005,Krankmeldungen!$A$6:$A$1005,$A64))</f>
        <v/>
      </c>
      <c r="K64" s="58">
        <f>IF($B64="","",SUMIFS(Krankmeldungen!$AF$6:$AF$1005,Krankmeldungen!$A$6:$A$1005,$A64))</f>
        <v/>
      </c>
      <c r="L64" s="58">
        <f>IF($B64="","",SUMIFS(Krankmeldungen!$AG$6:$AG$1005,Krankmeldungen!$A$6:$A$1005,$A64))</f>
        <v/>
      </c>
      <c r="M64" s="58">
        <f>IF($B64="","",SUMIFS(Krankmeldungen!$AH$6:$AH$1005,Krankmeldungen!$A$6:$A$1005,$A64))</f>
        <v/>
      </c>
      <c r="N64" s="58">
        <f>IF($B64="","",SUMIFS(Krankmeldungen!$AI$6:$AI$1005,Krankmeldungen!$A$6:$A$1005,$A64))</f>
        <v/>
      </c>
      <c r="O64" s="65">
        <f>IF($B64="","",SUM(C64:N64))</f>
        <v/>
      </c>
      <c r="P64" s="57">
        <f>'KQuote Mitarbeiter'!D64</f>
        <v/>
      </c>
      <c r="Q64" s="67">
        <f>'KQuote Mitarbeiter'!J64</f>
        <v/>
      </c>
    </row>
    <row r="65">
      <c r="A65" s="61">
        <f>'KQuote Mitarbeiter'!A65</f>
        <v/>
      </c>
      <c r="B65" s="62">
        <f>'KQuote Mitarbeiter'!B65</f>
        <v/>
      </c>
      <c r="C65" s="58">
        <f>IF($B65="","",SUMIFS(Krankmeldungen!$X$6:$X$1005,Krankmeldungen!$A$6:$A$1005,$A65))</f>
        <v/>
      </c>
      <c r="D65" s="58">
        <f>IF($B65="","",SUMIFS(Krankmeldungen!$Y$6:$Y$1005,Krankmeldungen!$A$6:$A$1005,$A65))</f>
        <v/>
      </c>
      <c r="E65" s="58">
        <f>IF($B65="","",SUMIFS(Krankmeldungen!$Z$6:$Z$1005,Krankmeldungen!$A$6:$A$1005,$A65))</f>
        <v/>
      </c>
      <c r="F65" s="58">
        <f>IF($B65="","",SUMIFS(Krankmeldungen!$AA$6:$AA$1005,Krankmeldungen!$A$6:$A$1005,$A65))</f>
        <v/>
      </c>
      <c r="G65" s="58">
        <f>IF($B65="","",SUMIFS(Krankmeldungen!$AB$6:$AB$1005,Krankmeldungen!$A$6:$A$1005,$A65))</f>
        <v/>
      </c>
      <c r="H65" s="58">
        <f>IF($B65="","",SUMIFS(Krankmeldungen!$AC$6:$AC$1005,Krankmeldungen!$A$6:$A$1005,$A65))</f>
        <v/>
      </c>
      <c r="I65" s="58">
        <f>IF($B65="","",SUMIFS(Krankmeldungen!$AD$6:$AD$1005,Krankmeldungen!$A$6:$A$1005,$A65))</f>
        <v/>
      </c>
      <c r="J65" s="58">
        <f>IF($B65="","",SUMIFS(Krankmeldungen!$AE$6:$AE$1005,Krankmeldungen!$A$6:$A$1005,$A65))</f>
        <v/>
      </c>
      <c r="K65" s="58">
        <f>IF($B65="","",SUMIFS(Krankmeldungen!$AF$6:$AF$1005,Krankmeldungen!$A$6:$A$1005,$A65))</f>
        <v/>
      </c>
      <c r="L65" s="58">
        <f>IF($B65="","",SUMIFS(Krankmeldungen!$AG$6:$AG$1005,Krankmeldungen!$A$6:$A$1005,$A65))</f>
        <v/>
      </c>
      <c r="M65" s="58">
        <f>IF($B65="","",SUMIFS(Krankmeldungen!$AH$6:$AH$1005,Krankmeldungen!$A$6:$A$1005,$A65))</f>
        <v/>
      </c>
      <c r="N65" s="58">
        <f>IF($B65="","",SUMIFS(Krankmeldungen!$AI$6:$AI$1005,Krankmeldungen!$A$6:$A$1005,$A65))</f>
        <v/>
      </c>
      <c r="O65" s="65">
        <f>IF($B65="","",SUM(C65:N65))</f>
        <v/>
      </c>
      <c r="P65" s="57">
        <f>'KQuote Mitarbeiter'!D65</f>
        <v/>
      </c>
      <c r="Q65" s="67">
        <f>'KQuote Mitarbeiter'!J65</f>
        <v/>
      </c>
    </row>
    <row r="66">
      <c r="A66" s="61">
        <f>'KQuote Mitarbeiter'!A66</f>
        <v/>
      </c>
      <c r="B66" s="62">
        <f>'KQuote Mitarbeiter'!B66</f>
        <v/>
      </c>
      <c r="C66" s="58">
        <f>IF($B66="","",SUMIFS(Krankmeldungen!$X$6:$X$1005,Krankmeldungen!$A$6:$A$1005,$A66))</f>
        <v/>
      </c>
      <c r="D66" s="58">
        <f>IF($B66="","",SUMIFS(Krankmeldungen!$Y$6:$Y$1005,Krankmeldungen!$A$6:$A$1005,$A66))</f>
        <v/>
      </c>
      <c r="E66" s="58">
        <f>IF($B66="","",SUMIFS(Krankmeldungen!$Z$6:$Z$1005,Krankmeldungen!$A$6:$A$1005,$A66))</f>
        <v/>
      </c>
      <c r="F66" s="58">
        <f>IF($B66="","",SUMIFS(Krankmeldungen!$AA$6:$AA$1005,Krankmeldungen!$A$6:$A$1005,$A66))</f>
        <v/>
      </c>
      <c r="G66" s="58">
        <f>IF($B66="","",SUMIFS(Krankmeldungen!$AB$6:$AB$1005,Krankmeldungen!$A$6:$A$1005,$A66))</f>
        <v/>
      </c>
      <c r="H66" s="58">
        <f>IF($B66="","",SUMIFS(Krankmeldungen!$AC$6:$AC$1005,Krankmeldungen!$A$6:$A$1005,$A66))</f>
        <v/>
      </c>
      <c r="I66" s="58">
        <f>IF($B66="","",SUMIFS(Krankmeldungen!$AD$6:$AD$1005,Krankmeldungen!$A$6:$A$1005,$A66))</f>
        <v/>
      </c>
      <c r="J66" s="58">
        <f>IF($B66="","",SUMIFS(Krankmeldungen!$AE$6:$AE$1005,Krankmeldungen!$A$6:$A$1005,$A66))</f>
        <v/>
      </c>
      <c r="K66" s="58">
        <f>IF($B66="","",SUMIFS(Krankmeldungen!$AF$6:$AF$1005,Krankmeldungen!$A$6:$A$1005,$A66))</f>
        <v/>
      </c>
      <c r="L66" s="58">
        <f>IF($B66="","",SUMIFS(Krankmeldungen!$AG$6:$AG$1005,Krankmeldungen!$A$6:$A$1005,$A66))</f>
        <v/>
      </c>
      <c r="M66" s="58">
        <f>IF($B66="","",SUMIFS(Krankmeldungen!$AH$6:$AH$1005,Krankmeldungen!$A$6:$A$1005,$A66))</f>
        <v/>
      </c>
      <c r="N66" s="58">
        <f>IF($B66="","",SUMIFS(Krankmeldungen!$AI$6:$AI$1005,Krankmeldungen!$A$6:$A$1005,$A66))</f>
        <v/>
      </c>
      <c r="O66" s="65">
        <f>IF($B66="","",SUM(C66:N66))</f>
        <v/>
      </c>
      <c r="P66" s="57">
        <f>'KQuote Mitarbeiter'!D66</f>
        <v/>
      </c>
      <c r="Q66" s="67">
        <f>'KQuote Mitarbeiter'!J66</f>
        <v/>
      </c>
    </row>
    <row r="67">
      <c r="A67" s="61">
        <f>'KQuote Mitarbeiter'!A67</f>
        <v/>
      </c>
      <c r="B67" s="62">
        <f>'KQuote Mitarbeiter'!B67</f>
        <v/>
      </c>
      <c r="C67" s="58">
        <f>IF($B67="","",SUMIFS(Krankmeldungen!$X$6:$X$1005,Krankmeldungen!$A$6:$A$1005,$A67))</f>
        <v/>
      </c>
      <c r="D67" s="58">
        <f>IF($B67="","",SUMIFS(Krankmeldungen!$Y$6:$Y$1005,Krankmeldungen!$A$6:$A$1005,$A67))</f>
        <v/>
      </c>
      <c r="E67" s="58">
        <f>IF($B67="","",SUMIFS(Krankmeldungen!$Z$6:$Z$1005,Krankmeldungen!$A$6:$A$1005,$A67))</f>
        <v/>
      </c>
      <c r="F67" s="58">
        <f>IF($B67="","",SUMIFS(Krankmeldungen!$AA$6:$AA$1005,Krankmeldungen!$A$6:$A$1005,$A67))</f>
        <v/>
      </c>
      <c r="G67" s="58">
        <f>IF($B67="","",SUMIFS(Krankmeldungen!$AB$6:$AB$1005,Krankmeldungen!$A$6:$A$1005,$A67))</f>
        <v/>
      </c>
      <c r="H67" s="58">
        <f>IF($B67="","",SUMIFS(Krankmeldungen!$AC$6:$AC$1005,Krankmeldungen!$A$6:$A$1005,$A67))</f>
        <v/>
      </c>
      <c r="I67" s="58">
        <f>IF($B67="","",SUMIFS(Krankmeldungen!$AD$6:$AD$1005,Krankmeldungen!$A$6:$A$1005,$A67))</f>
        <v/>
      </c>
      <c r="J67" s="58">
        <f>IF($B67="","",SUMIFS(Krankmeldungen!$AE$6:$AE$1005,Krankmeldungen!$A$6:$A$1005,$A67))</f>
        <v/>
      </c>
      <c r="K67" s="58">
        <f>IF($B67="","",SUMIFS(Krankmeldungen!$AF$6:$AF$1005,Krankmeldungen!$A$6:$A$1005,$A67))</f>
        <v/>
      </c>
      <c r="L67" s="58">
        <f>IF($B67="","",SUMIFS(Krankmeldungen!$AG$6:$AG$1005,Krankmeldungen!$A$6:$A$1005,$A67))</f>
        <v/>
      </c>
      <c r="M67" s="58">
        <f>IF($B67="","",SUMIFS(Krankmeldungen!$AH$6:$AH$1005,Krankmeldungen!$A$6:$A$1005,$A67))</f>
        <v/>
      </c>
      <c r="N67" s="58">
        <f>IF($B67="","",SUMIFS(Krankmeldungen!$AI$6:$AI$1005,Krankmeldungen!$A$6:$A$1005,$A67))</f>
        <v/>
      </c>
      <c r="O67" s="65">
        <f>IF($B67="","",SUM(C67:N67))</f>
        <v/>
      </c>
      <c r="P67" s="57">
        <f>'KQuote Mitarbeiter'!D67</f>
        <v/>
      </c>
      <c r="Q67" s="67">
        <f>'KQuote Mitarbeiter'!J67</f>
        <v/>
      </c>
    </row>
    <row r="68">
      <c r="A68" s="61">
        <f>'KQuote Mitarbeiter'!A68</f>
        <v/>
      </c>
      <c r="B68" s="62">
        <f>'KQuote Mitarbeiter'!B68</f>
        <v/>
      </c>
      <c r="C68" s="58">
        <f>IF($B68="","",SUMIFS(Krankmeldungen!$X$6:$X$1005,Krankmeldungen!$A$6:$A$1005,$A68))</f>
        <v/>
      </c>
      <c r="D68" s="58">
        <f>IF($B68="","",SUMIFS(Krankmeldungen!$Y$6:$Y$1005,Krankmeldungen!$A$6:$A$1005,$A68))</f>
        <v/>
      </c>
      <c r="E68" s="58">
        <f>IF($B68="","",SUMIFS(Krankmeldungen!$Z$6:$Z$1005,Krankmeldungen!$A$6:$A$1005,$A68))</f>
        <v/>
      </c>
      <c r="F68" s="58">
        <f>IF($B68="","",SUMIFS(Krankmeldungen!$AA$6:$AA$1005,Krankmeldungen!$A$6:$A$1005,$A68))</f>
        <v/>
      </c>
      <c r="G68" s="58">
        <f>IF($B68="","",SUMIFS(Krankmeldungen!$AB$6:$AB$1005,Krankmeldungen!$A$6:$A$1005,$A68))</f>
        <v/>
      </c>
      <c r="H68" s="58">
        <f>IF($B68="","",SUMIFS(Krankmeldungen!$AC$6:$AC$1005,Krankmeldungen!$A$6:$A$1005,$A68))</f>
        <v/>
      </c>
      <c r="I68" s="58">
        <f>IF($B68="","",SUMIFS(Krankmeldungen!$AD$6:$AD$1005,Krankmeldungen!$A$6:$A$1005,$A68))</f>
        <v/>
      </c>
      <c r="J68" s="58">
        <f>IF($B68="","",SUMIFS(Krankmeldungen!$AE$6:$AE$1005,Krankmeldungen!$A$6:$A$1005,$A68))</f>
        <v/>
      </c>
      <c r="K68" s="58">
        <f>IF($B68="","",SUMIFS(Krankmeldungen!$AF$6:$AF$1005,Krankmeldungen!$A$6:$A$1005,$A68))</f>
        <v/>
      </c>
      <c r="L68" s="58">
        <f>IF($B68="","",SUMIFS(Krankmeldungen!$AG$6:$AG$1005,Krankmeldungen!$A$6:$A$1005,$A68))</f>
        <v/>
      </c>
      <c r="M68" s="58">
        <f>IF($B68="","",SUMIFS(Krankmeldungen!$AH$6:$AH$1005,Krankmeldungen!$A$6:$A$1005,$A68))</f>
        <v/>
      </c>
      <c r="N68" s="58">
        <f>IF($B68="","",SUMIFS(Krankmeldungen!$AI$6:$AI$1005,Krankmeldungen!$A$6:$A$1005,$A68))</f>
        <v/>
      </c>
      <c r="O68" s="65">
        <f>IF($B68="","",SUM(C68:N68))</f>
        <v/>
      </c>
      <c r="P68" s="57">
        <f>'KQuote Mitarbeiter'!D68</f>
        <v/>
      </c>
      <c r="Q68" s="67">
        <f>'KQuote Mitarbeiter'!J68</f>
        <v/>
      </c>
    </row>
    <row r="69">
      <c r="A69" s="61">
        <f>'KQuote Mitarbeiter'!A69</f>
        <v/>
      </c>
      <c r="B69" s="62">
        <f>'KQuote Mitarbeiter'!B69</f>
        <v/>
      </c>
      <c r="C69" s="58">
        <f>IF($B69="","",SUMIFS(Krankmeldungen!$X$6:$X$1005,Krankmeldungen!$A$6:$A$1005,$A69))</f>
        <v/>
      </c>
      <c r="D69" s="58">
        <f>IF($B69="","",SUMIFS(Krankmeldungen!$Y$6:$Y$1005,Krankmeldungen!$A$6:$A$1005,$A69))</f>
        <v/>
      </c>
      <c r="E69" s="58">
        <f>IF($B69="","",SUMIFS(Krankmeldungen!$Z$6:$Z$1005,Krankmeldungen!$A$6:$A$1005,$A69))</f>
        <v/>
      </c>
      <c r="F69" s="58">
        <f>IF($B69="","",SUMIFS(Krankmeldungen!$AA$6:$AA$1005,Krankmeldungen!$A$6:$A$1005,$A69))</f>
        <v/>
      </c>
      <c r="G69" s="58">
        <f>IF($B69="","",SUMIFS(Krankmeldungen!$AB$6:$AB$1005,Krankmeldungen!$A$6:$A$1005,$A69))</f>
        <v/>
      </c>
      <c r="H69" s="58">
        <f>IF($B69="","",SUMIFS(Krankmeldungen!$AC$6:$AC$1005,Krankmeldungen!$A$6:$A$1005,$A69))</f>
        <v/>
      </c>
      <c r="I69" s="58">
        <f>IF($B69="","",SUMIFS(Krankmeldungen!$AD$6:$AD$1005,Krankmeldungen!$A$6:$A$1005,$A69))</f>
        <v/>
      </c>
      <c r="J69" s="58">
        <f>IF($B69="","",SUMIFS(Krankmeldungen!$AE$6:$AE$1005,Krankmeldungen!$A$6:$A$1005,$A69))</f>
        <v/>
      </c>
      <c r="K69" s="58">
        <f>IF($B69="","",SUMIFS(Krankmeldungen!$AF$6:$AF$1005,Krankmeldungen!$A$6:$A$1005,$A69))</f>
        <v/>
      </c>
      <c r="L69" s="58">
        <f>IF($B69="","",SUMIFS(Krankmeldungen!$AG$6:$AG$1005,Krankmeldungen!$A$6:$A$1005,$A69))</f>
        <v/>
      </c>
      <c r="M69" s="58">
        <f>IF($B69="","",SUMIFS(Krankmeldungen!$AH$6:$AH$1005,Krankmeldungen!$A$6:$A$1005,$A69))</f>
        <v/>
      </c>
      <c r="N69" s="58">
        <f>IF($B69="","",SUMIFS(Krankmeldungen!$AI$6:$AI$1005,Krankmeldungen!$A$6:$A$1005,$A69))</f>
        <v/>
      </c>
      <c r="O69" s="65">
        <f>IF($B69="","",SUM(C69:N69))</f>
        <v/>
      </c>
      <c r="P69" s="57">
        <f>'KQuote Mitarbeiter'!D69</f>
        <v/>
      </c>
      <c r="Q69" s="67">
        <f>'KQuote Mitarbeiter'!J69</f>
        <v/>
      </c>
    </row>
    <row r="70">
      <c r="A70" s="61">
        <f>'KQuote Mitarbeiter'!A70</f>
        <v/>
      </c>
      <c r="B70" s="62">
        <f>'KQuote Mitarbeiter'!B70</f>
        <v/>
      </c>
      <c r="C70" s="58">
        <f>IF($B70="","",SUMIFS(Krankmeldungen!$X$6:$X$1005,Krankmeldungen!$A$6:$A$1005,$A70))</f>
        <v/>
      </c>
      <c r="D70" s="58">
        <f>IF($B70="","",SUMIFS(Krankmeldungen!$Y$6:$Y$1005,Krankmeldungen!$A$6:$A$1005,$A70))</f>
        <v/>
      </c>
      <c r="E70" s="58">
        <f>IF($B70="","",SUMIFS(Krankmeldungen!$Z$6:$Z$1005,Krankmeldungen!$A$6:$A$1005,$A70))</f>
        <v/>
      </c>
      <c r="F70" s="58">
        <f>IF($B70="","",SUMIFS(Krankmeldungen!$AA$6:$AA$1005,Krankmeldungen!$A$6:$A$1005,$A70))</f>
        <v/>
      </c>
      <c r="G70" s="58">
        <f>IF($B70="","",SUMIFS(Krankmeldungen!$AB$6:$AB$1005,Krankmeldungen!$A$6:$A$1005,$A70))</f>
        <v/>
      </c>
      <c r="H70" s="58">
        <f>IF($B70="","",SUMIFS(Krankmeldungen!$AC$6:$AC$1005,Krankmeldungen!$A$6:$A$1005,$A70))</f>
        <v/>
      </c>
      <c r="I70" s="58">
        <f>IF($B70="","",SUMIFS(Krankmeldungen!$AD$6:$AD$1005,Krankmeldungen!$A$6:$A$1005,$A70))</f>
        <v/>
      </c>
      <c r="J70" s="58">
        <f>IF($B70="","",SUMIFS(Krankmeldungen!$AE$6:$AE$1005,Krankmeldungen!$A$6:$A$1005,$A70))</f>
        <v/>
      </c>
      <c r="K70" s="58">
        <f>IF($B70="","",SUMIFS(Krankmeldungen!$AF$6:$AF$1005,Krankmeldungen!$A$6:$A$1005,$A70))</f>
        <v/>
      </c>
      <c r="L70" s="58">
        <f>IF($B70="","",SUMIFS(Krankmeldungen!$AG$6:$AG$1005,Krankmeldungen!$A$6:$A$1005,$A70))</f>
        <v/>
      </c>
      <c r="M70" s="58">
        <f>IF($B70="","",SUMIFS(Krankmeldungen!$AH$6:$AH$1005,Krankmeldungen!$A$6:$A$1005,$A70))</f>
        <v/>
      </c>
      <c r="N70" s="58">
        <f>IF($B70="","",SUMIFS(Krankmeldungen!$AI$6:$AI$1005,Krankmeldungen!$A$6:$A$1005,$A70))</f>
        <v/>
      </c>
      <c r="O70" s="65">
        <f>IF($B70="","",SUM(C70:N70))</f>
        <v/>
      </c>
      <c r="P70" s="57">
        <f>'KQuote Mitarbeiter'!D70</f>
        <v/>
      </c>
      <c r="Q70" s="67">
        <f>'KQuote Mitarbeiter'!J70</f>
        <v/>
      </c>
    </row>
    <row r="71">
      <c r="A71" s="61">
        <f>'KQuote Mitarbeiter'!A71</f>
        <v/>
      </c>
      <c r="B71" s="62">
        <f>'KQuote Mitarbeiter'!B71</f>
        <v/>
      </c>
      <c r="C71" s="58">
        <f>IF($B71="","",SUMIFS(Krankmeldungen!$X$6:$X$1005,Krankmeldungen!$A$6:$A$1005,$A71))</f>
        <v/>
      </c>
      <c r="D71" s="58">
        <f>IF($B71="","",SUMIFS(Krankmeldungen!$Y$6:$Y$1005,Krankmeldungen!$A$6:$A$1005,$A71))</f>
        <v/>
      </c>
      <c r="E71" s="58">
        <f>IF($B71="","",SUMIFS(Krankmeldungen!$Z$6:$Z$1005,Krankmeldungen!$A$6:$A$1005,$A71))</f>
        <v/>
      </c>
      <c r="F71" s="58">
        <f>IF($B71="","",SUMIFS(Krankmeldungen!$AA$6:$AA$1005,Krankmeldungen!$A$6:$A$1005,$A71))</f>
        <v/>
      </c>
      <c r="G71" s="58">
        <f>IF($B71="","",SUMIFS(Krankmeldungen!$AB$6:$AB$1005,Krankmeldungen!$A$6:$A$1005,$A71))</f>
        <v/>
      </c>
      <c r="H71" s="58">
        <f>IF($B71="","",SUMIFS(Krankmeldungen!$AC$6:$AC$1005,Krankmeldungen!$A$6:$A$1005,$A71))</f>
        <v/>
      </c>
      <c r="I71" s="58">
        <f>IF($B71="","",SUMIFS(Krankmeldungen!$AD$6:$AD$1005,Krankmeldungen!$A$6:$A$1005,$A71))</f>
        <v/>
      </c>
      <c r="J71" s="58">
        <f>IF($B71="","",SUMIFS(Krankmeldungen!$AE$6:$AE$1005,Krankmeldungen!$A$6:$A$1005,$A71))</f>
        <v/>
      </c>
      <c r="K71" s="58">
        <f>IF($B71="","",SUMIFS(Krankmeldungen!$AF$6:$AF$1005,Krankmeldungen!$A$6:$A$1005,$A71))</f>
        <v/>
      </c>
      <c r="L71" s="58">
        <f>IF($B71="","",SUMIFS(Krankmeldungen!$AG$6:$AG$1005,Krankmeldungen!$A$6:$A$1005,$A71))</f>
        <v/>
      </c>
      <c r="M71" s="58">
        <f>IF($B71="","",SUMIFS(Krankmeldungen!$AH$6:$AH$1005,Krankmeldungen!$A$6:$A$1005,$A71))</f>
        <v/>
      </c>
      <c r="N71" s="58">
        <f>IF($B71="","",SUMIFS(Krankmeldungen!$AI$6:$AI$1005,Krankmeldungen!$A$6:$A$1005,$A71))</f>
        <v/>
      </c>
      <c r="O71" s="65">
        <f>IF($B71="","",SUM(C71:N71))</f>
        <v/>
      </c>
      <c r="P71" s="57">
        <f>'KQuote Mitarbeiter'!D71</f>
        <v/>
      </c>
      <c r="Q71" s="67">
        <f>'KQuote Mitarbeiter'!J71</f>
        <v/>
      </c>
    </row>
    <row r="72">
      <c r="A72" s="61">
        <f>'KQuote Mitarbeiter'!A72</f>
        <v/>
      </c>
      <c r="B72" s="62">
        <f>'KQuote Mitarbeiter'!B72</f>
        <v/>
      </c>
      <c r="C72" s="58">
        <f>IF($B72="","",SUMIFS(Krankmeldungen!$X$6:$X$1005,Krankmeldungen!$A$6:$A$1005,$A72))</f>
        <v/>
      </c>
      <c r="D72" s="58">
        <f>IF($B72="","",SUMIFS(Krankmeldungen!$Y$6:$Y$1005,Krankmeldungen!$A$6:$A$1005,$A72))</f>
        <v/>
      </c>
      <c r="E72" s="58">
        <f>IF($B72="","",SUMIFS(Krankmeldungen!$Z$6:$Z$1005,Krankmeldungen!$A$6:$A$1005,$A72))</f>
        <v/>
      </c>
      <c r="F72" s="58">
        <f>IF($B72="","",SUMIFS(Krankmeldungen!$AA$6:$AA$1005,Krankmeldungen!$A$6:$A$1005,$A72))</f>
        <v/>
      </c>
      <c r="G72" s="58">
        <f>IF($B72="","",SUMIFS(Krankmeldungen!$AB$6:$AB$1005,Krankmeldungen!$A$6:$A$1005,$A72))</f>
        <v/>
      </c>
      <c r="H72" s="58">
        <f>IF($B72="","",SUMIFS(Krankmeldungen!$AC$6:$AC$1005,Krankmeldungen!$A$6:$A$1005,$A72))</f>
        <v/>
      </c>
      <c r="I72" s="58">
        <f>IF($B72="","",SUMIFS(Krankmeldungen!$AD$6:$AD$1005,Krankmeldungen!$A$6:$A$1005,$A72))</f>
        <v/>
      </c>
      <c r="J72" s="58">
        <f>IF($B72="","",SUMIFS(Krankmeldungen!$AE$6:$AE$1005,Krankmeldungen!$A$6:$A$1005,$A72))</f>
        <v/>
      </c>
      <c r="K72" s="58">
        <f>IF($B72="","",SUMIFS(Krankmeldungen!$AF$6:$AF$1005,Krankmeldungen!$A$6:$A$1005,$A72))</f>
        <v/>
      </c>
      <c r="L72" s="58">
        <f>IF($B72="","",SUMIFS(Krankmeldungen!$AG$6:$AG$1005,Krankmeldungen!$A$6:$A$1005,$A72))</f>
        <v/>
      </c>
      <c r="M72" s="58">
        <f>IF($B72="","",SUMIFS(Krankmeldungen!$AH$6:$AH$1005,Krankmeldungen!$A$6:$A$1005,$A72))</f>
        <v/>
      </c>
      <c r="N72" s="58">
        <f>IF($B72="","",SUMIFS(Krankmeldungen!$AI$6:$AI$1005,Krankmeldungen!$A$6:$A$1005,$A72))</f>
        <v/>
      </c>
      <c r="O72" s="65">
        <f>IF($B72="","",SUM(C72:N72))</f>
        <v/>
      </c>
      <c r="P72" s="57">
        <f>'KQuote Mitarbeiter'!D72</f>
        <v/>
      </c>
      <c r="Q72" s="67">
        <f>'KQuote Mitarbeiter'!J72</f>
        <v/>
      </c>
    </row>
    <row r="73">
      <c r="A73" s="61">
        <f>'KQuote Mitarbeiter'!A73</f>
        <v/>
      </c>
      <c r="B73" s="62">
        <f>'KQuote Mitarbeiter'!B73</f>
        <v/>
      </c>
      <c r="C73" s="58">
        <f>IF($B73="","",SUMIFS(Krankmeldungen!$X$6:$X$1005,Krankmeldungen!$A$6:$A$1005,$A73))</f>
        <v/>
      </c>
      <c r="D73" s="58">
        <f>IF($B73="","",SUMIFS(Krankmeldungen!$Y$6:$Y$1005,Krankmeldungen!$A$6:$A$1005,$A73))</f>
        <v/>
      </c>
      <c r="E73" s="58">
        <f>IF($B73="","",SUMIFS(Krankmeldungen!$Z$6:$Z$1005,Krankmeldungen!$A$6:$A$1005,$A73))</f>
        <v/>
      </c>
      <c r="F73" s="58">
        <f>IF($B73="","",SUMIFS(Krankmeldungen!$AA$6:$AA$1005,Krankmeldungen!$A$6:$A$1005,$A73))</f>
        <v/>
      </c>
      <c r="G73" s="58">
        <f>IF($B73="","",SUMIFS(Krankmeldungen!$AB$6:$AB$1005,Krankmeldungen!$A$6:$A$1005,$A73))</f>
        <v/>
      </c>
      <c r="H73" s="58">
        <f>IF($B73="","",SUMIFS(Krankmeldungen!$AC$6:$AC$1005,Krankmeldungen!$A$6:$A$1005,$A73))</f>
        <v/>
      </c>
      <c r="I73" s="58">
        <f>IF($B73="","",SUMIFS(Krankmeldungen!$AD$6:$AD$1005,Krankmeldungen!$A$6:$A$1005,$A73))</f>
        <v/>
      </c>
      <c r="J73" s="58">
        <f>IF($B73="","",SUMIFS(Krankmeldungen!$AE$6:$AE$1005,Krankmeldungen!$A$6:$A$1005,$A73))</f>
        <v/>
      </c>
      <c r="K73" s="58">
        <f>IF($B73="","",SUMIFS(Krankmeldungen!$AF$6:$AF$1005,Krankmeldungen!$A$6:$A$1005,$A73))</f>
        <v/>
      </c>
      <c r="L73" s="58">
        <f>IF($B73="","",SUMIFS(Krankmeldungen!$AG$6:$AG$1005,Krankmeldungen!$A$6:$A$1005,$A73))</f>
        <v/>
      </c>
      <c r="M73" s="58">
        <f>IF($B73="","",SUMIFS(Krankmeldungen!$AH$6:$AH$1005,Krankmeldungen!$A$6:$A$1005,$A73))</f>
        <v/>
      </c>
      <c r="N73" s="58">
        <f>IF($B73="","",SUMIFS(Krankmeldungen!$AI$6:$AI$1005,Krankmeldungen!$A$6:$A$1005,$A73))</f>
        <v/>
      </c>
      <c r="O73" s="65">
        <f>IF($B73="","",SUM(C73:N73))</f>
        <v/>
      </c>
      <c r="P73" s="57">
        <f>'KQuote Mitarbeiter'!D73</f>
        <v/>
      </c>
      <c r="Q73" s="67">
        <f>'KQuote Mitarbeiter'!J73</f>
        <v/>
      </c>
    </row>
    <row r="74">
      <c r="A74" s="61">
        <f>'KQuote Mitarbeiter'!A74</f>
        <v/>
      </c>
      <c r="B74" s="62">
        <f>'KQuote Mitarbeiter'!B74</f>
        <v/>
      </c>
      <c r="C74" s="58">
        <f>IF($B74="","",SUMIFS(Krankmeldungen!$X$6:$X$1005,Krankmeldungen!$A$6:$A$1005,$A74))</f>
        <v/>
      </c>
      <c r="D74" s="58">
        <f>IF($B74="","",SUMIFS(Krankmeldungen!$Y$6:$Y$1005,Krankmeldungen!$A$6:$A$1005,$A74))</f>
        <v/>
      </c>
      <c r="E74" s="58">
        <f>IF($B74="","",SUMIFS(Krankmeldungen!$Z$6:$Z$1005,Krankmeldungen!$A$6:$A$1005,$A74))</f>
        <v/>
      </c>
      <c r="F74" s="58">
        <f>IF($B74="","",SUMIFS(Krankmeldungen!$AA$6:$AA$1005,Krankmeldungen!$A$6:$A$1005,$A74))</f>
        <v/>
      </c>
      <c r="G74" s="58">
        <f>IF($B74="","",SUMIFS(Krankmeldungen!$AB$6:$AB$1005,Krankmeldungen!$A$6:$A$1005,$A74))</f>
        <v/>
      </c>
      <c r="H74" s="58">
        <f>IF($B74="","",SUMIFS(Krankmeldungen!$AC$6:$AC$1005,Krankmeldungen!$A$6:$A$1005,$A74))</f>
        <v/>
      </c>
      <c r="I74" s="58">
        <f>IF($B74="","",SUMIFS(Krankmeldungen!$AD$6:$AD$1005,Krankmeldungen!$A$6:$A$1005,$A74))</f>
        <v/>
      </c>
      <c r="J74" s="58">
        <f>IF($B74="","",SUMIFS(Krankmeldungen!$AE$6:$AE$1005,Krankmeldungen!$A$6:$A$1005,$A74))</f>
        <v/>
      </c>
      <c r="K74" s="58">
        <f>IF($B74="","",SUMIFS(Krankmeldungen!$AF$6:$AF$1005,Krankmeldungen!$A$6:$A$1005,$A74))</f>
        <v/>
      </c>
      <c r="L74" s="58">
        <f>IF($B74="","",SUMIFS(Krankmeldungen!$AG$6:$AG$1005,Krankmeldungen!$A$6:$A$1005,$A74))</f>
        <v/>
      </c>
      <c r="M74" s="58">
        <f>IF($B74="","",SUMIFS(Krankmeldungen!$AH$6:$AH$1005,Krankmeldungen!$A$6:$A$1005,$A74))</f>
        <v/>
      </c>
      <c r="N74" s="58">
        <f>IF($B74="","",SUMIFS(Krankmeldungen!$AI$6:$AI$1005,Krankmeldungen!$A$6:$A$1005,$A74))</f>
        <v/>
      </c>
      <c r="O74" s="65">
        <f>IF($B74="","",SUM(C74:N74))</f>
        <v/>
      </c>
      <c r="P74" s="57">
        <f>'KQuote Mitarbeiter'!D74</f>
        <v/>
      </c>
      <c r="Q74" s="67">
        <f>'KQuote Mitarbeiter'!J74</f>
        <v/>
      </c>
    </row>
    <row r="75">
      <c r="A75" s="61">
        <f>'KQuote Mitarbeiter'!A75</f>
        <v/>
      </c>
      <c r="B75" s="62">
        <f>'KQuote Mitarbeiter'!B75</f>
        <v/>
      </c>
      <c r="C75" s="58">
        <f>IF($B75="","",SUMIFS(Krankmeldungen!$X$6:$X$1005,Krankmeldungen!$A$6:$A$1005,$A75))</f>
        <v/>
      </c>
      <c r="D75" s="58">
        <f>IF($B75="","",SUMIFS(Krankmeldungen!$Y$6:$Y$1005,Krankmeldungen!$A$6:$A$1005,$A75))</f>
        <v/>
      </c>
      <c r="E75" s="58">
        <f>IF($B75="","",SUMIFS(Krankmeldungen!$Z$6:$Z$1005,Krankmeldungen!$A$6:$A$1005,$A75))</f>
        <v/>
      </c>
      <c r="F75" s="58">
        <f>IF($B75="","",SUMIFS(Krankmeldungen!$AA$6:$AA$1005,Krankmeldungen!$A$6:$A$1005,$A75))</f>
        <v/>
      </c>
      <c r="G75" s="58">
        <f>IF($B75="","",SUMIFS(Krankmeldungen!$AB$6:$AB$1005,Krankmeldungen!$A$6:$A$1005,$A75))</f>
        <v/>
      </c>
      <c r="H75" s="58">
        <f>IF($B75="","",SUMIFS(Krankmeldungen!$AC$6:$AC$1005,Krankmeldungen!$A$6:$A$1005,$A75))</f>
        <v/>
      </c>
      <c r="I75" s="58">
        <f>IF($B75="","",SUMIFS(Krankmeldungen!$AD$6:$AD$1005,Krankmeldungen!$A$6:$A$1005,$A75))</f>
        <v/>
      </c>
      <c r="J75" s="58">
        <f>IF($B75="","",SUMIFS(Krankmeldungen!$AE$6:$AE$1005,Krankmeldungen!$A$6:$A$1005,$A75))</f>
        <v/>
      </c>
      <c r="K75" s="58">
        <f>IF($B75="","",SUMIFS(Krankmeldungen!$AF$6:$AF$1005,Krankmeldungen!$A$6:$A$1005,$A75))</f>
        <v/>
      </c>
      <c r="L75" s="58">
        <f>IF($B75="","",SUMIFS(Krankmeldungen!$AG$6:$AG$1005,Krankmeldungen!$A$6:$A$1005,$A75))</f>
        <v/>
      </c>
      <c r="M75" s="58">
        <f>IF($B75="","",SUMIFS(Krankmeldungen!$AH$6:$AH$1005,Krankmeldungen!$A$6:$A$1005,$A75))</f>
        <v/>
      </c>
      <c r="N75" s="58">
        <f>IF($B75="","",SUMIFS(Krankmeldungen!$AI$6:$AI$1005,Krankmeldungen!$A$6:$A$1005,$A75))</f>
        <v/>
      </c>
      <c r="O75" s="65">
        <f>IF($B75="","",SUM(C75:N75))</f>
        <v/>
      </c>
      <c r="P75" s="57">
        <f>'KQuote Mitarbeiter'!D75</f>
        <v/>
      </c>
      <c r="Q75" s="67">
        <f>'KQuote Mitarbeiter'!J75</f>
        <v/>
      </c>
    </row>
    <row r="76">
      <c r="A76" s="61">
        <f>'KQuote Mitarbeiter'!A76</f>
        <v/>
      </c>
      <c r="B76" s="62">
        <f>'KQuote Mitarbeiter'!B76</f>
        <v/>
      </c>
      <c r="C76" s="58">
        <f>IF($B76="","",SUMIFS(Krankmeldungen!$X$6:$X$1005,Krankmeldungen!$A$6:$A$1005,$A76))</f>
        <v/>
      </c>
      <c r="D76" s="58">
        <f>IF($B76="","",SUMIFS(Krankmeldungen!$Y$6:$Y$1005,Krankmeldungen!$A$6:$A$1005,$A76))</f>
        <v/>
      </c>
      <c r="E76" s="58">
        <f>IF($B76="","",SUMIFS(Krankmeldungen!$Z$6:$Z$1005,Krankmeldungen!$A$6:$A$1005,$A76))</f>
        <v/>
      </c>
      <c r="F76" s="58">
        <f>IF($B76="","",SUMIFS(Krankmeldungen!$AA$6:$AA$1005,Krankmeldungen!$A$6:$A$1005,$A76))</f>
        <v/>
      </c>
      <c r="G76" s="58">
        <f>IF($B76="","",SUMIFS(Krankmeldungen!$AB$6:$AB$1005,Krankmeldungen!$A$6:$A$1005,$A76))</f>
        <v/>
      </c>
      <c r="H76" s="58">
        <f>IF($B76="","",SUMIFS(Krankmeldungen!$AC$6:$AC$1005,Krankmeldungen!$A$6:$A$1005,$A76))</f>
        <v/>
      </c>
      <c r="I76" s="58">
        <f>IF($B76="","",SUMIFS(Krankmeldungen!$AD$6:$AD$1005,Krankmeldungen!$A$6:$A$1005,$A76))</f>
        <v/>
      </c>
      <c r="J76" s="58">
        <f>IF($B76="","",SUMIFS(Krankmeldungen!$AE$6:$AE$1005,Krankmeldungen!$A$6:$A$1005,$A76))</f>
        <v/>
      </c>
      <c r="K76" s="58">
        <f>IF($B76="","",SUMIFS(Krankmeldungen!$AF$6:$AF$1005,Krankmeldungen!$A$6:$A$1005,$A76))</f>
        <v/>
      </c>
      <c r="L76" s="58">
        <f>IF($B76="","",SUMIFS(Krankmeldungen!$AG$6:$AG$1005,Krankmeldungen!$A$6:$A$1005,$A76))</f>
        <v/>
      </c>
      <c r="M76" s="58">
        <f>IF($B76="","",SUMIFS(Krankmeldungen!$AH$6:$AH$1005,Krankmeldungen!$A$6:$A$1005,$A76))</f>
        <v/>
      </c>
      <c r="N76" s="58">
        <f>IF($B76="","",SUMIFS(Krankmeldungen!$AI$6:$AI$1005,Krankmeldungen!$A$6:$A$1005,$A76))</f>
        <v/>
      </c>
      <c r="O76" s="65">
        <f>IF($B76="","",SUM(C76:N76))</f>
        <v/>
      </c>
      <c r="P76" s="57">
        <f>'KQuote Mitarbeiter'!D76</f>
        <v/>
      </c>
      <c r="Q76" s="67">
        <f>'KQuote Mitarbeiter'!J76</f>
        <v/>
      </c>
    </row>
    <row r="77">
      <c r="A77" s="61">
        <f>'KQuote Mitarbeiter'!A77</f>
        <v/>
      </c>
      <c r="B77" s="62">
        <f>'KQuote Mitarbeiter'!B77</f>
        <v/>
      </c>
      <c r="C77" s="58">
        <f>IF($B77="","",SUMIFS(Krankmeldungen!$X$6:$X$1005,Krankmeldungen!$A$6:$A$1005,$A77))</f>
        <v/>
      </c>
      <c r="D77" s="58">
        <f>IF($B77="","",SUMIFS(Krankmeldungen!$Y$6:$Y$1005,Krankmeldungen!$A$6:$A$1005,$A77))</f>
        <v/>
      </c>
      <c r="E77" s="58">
        <f>IF($B77="","",SUMIFS(Krankmeldungen!$Z$6:$Z$1005,Krankmeldungen!$A$6:$A$1005,$A77))</f>
        <v/>
      </c>
      <c r="F77" s="58">
        <f>IF($B77="","",SUMIFS(Krankmeldungen!$AA$6:$AA$1005,Krankmeldungen!$A$6:$A$1005,$A77))</f>
        <v/>
      </c>
      <c r="G77" s="58">
        <f>IF($B77="","",SUMIFS(Krankmeldungen!$AB$6:$AB$1005,Krankmeldungen!$A$6:$A$1005,$A77))</f>
        <v/>
      </c>
      <c r="H77" s="58">
        <f>IF($B77="","",SUMIFS(Krankmeldungen!$AC$6:$AC$1005,Krankmeldungen!$A$6:$A$1005,$A77))</f>
        <v/>
      </c>
      <c r="I77" s="58">
        <f>IF($B77="","",SUMIFS(Krankmeldungen!$AD$6:$AD$1005,Krankmeldungen!$A$6:$A$1005,$A77))</f>
        <v/>
      </c>
      <c r="J77" s="58">
        <f>IF($B77="","",SUMIFS(Krankmeldungen!$AE$6:$AE$1005,Krankmeldungen!$A$6:$A$1005,$A77))</f>
        <v/>
      </c>
      <c r="K77" s="58">
        <f>IF($B77="","",SUMIFS(Krankmeldungen!$AF$6:$AF$1005,Krankmeldungen!$A$6:$A$1005,$A77))</f>
        <v/>
      </c>
      <c r="L77" s="58">
        <f>IF($B77="","",SUMIFS(Krankmeldungen!$AG$6:$AG$1005,Krankmeldungen!$A$6:$A$1005,$A77))</f>
        <v/>
      </c>
      <c r="M77" s="58">
        <f>IF($B77="","",SUMIFS(Krankmeldungen!$AH$6:$AH$1005,Krankmeldungen!$A$6:$A$1005,$A77))</f>
        <v/>
      </c>
      <c r="N77" s="58">
        <f>IF($B77="","",SUMIFS(Krankmeldungen!$AI$6:$AI$1005,Krankmeldungen!$A$6:$A$1005,$A77))</f>
        <v/>
      </c>
      <c r="O77" s="65">
        <f>IF($B77="","",SUM(C77:N77))</f>
        <v/>
      </c>
      <c r="P77" s="57">
        <f>'KQuote Mitarbeiter'!D77</f>
        <v/>
      </c>
      <c r="Q77" s="67">
        <f>'KQuote Mitarbeiter'!J77</f>
        <v/>
      </c>
    </row>
    <row r="78">
      <c r="A78" s="61">
        <f>'KQuote Mitarbeiter'!A78</f>
        <v/>
      </c>
      <c r="B78" s="62">
        <f>'KQuote Mitarbeiter'!B78</f>
        <v/>
      </c>
      <c r="C78" s="58">
        <f>IF($B78="","",SUMIFS(Krankmeldungen!$X$6:$X$1005,Krankmeldungen!$A$6:$A$1005,$A78))</f>
        <v/>
      </c>
      <c r="D78" s="58">
        <f>IF($B78="","",SUMIFS(Krankmeldungen!$Y$6:$Y$1005,Krankmeldungen!$A$6:$A$1005,$A78))</f>
        <v/>
      </c>
      <c r="E78" s="58">
        <f>IF($B78="","",SUMIFS(Krankmeldungen!$Z$6:$Z$1005,Krankmeldungen!$A$6:$A$1005,$A78))</f>
        <v/>
      </c>
      <c r="F78" s="58">
        <f>IF($B78="","",SUMIFS(Krankmeldungen!$AA$6:$AA$1005,Krankmeldungen!$A$6:$A$1005,$A78))</f>
        <v/>
      </c>
      <c r="G78" s="58">
        <f>IF($B78="","",SUMIFS(Krankmeldungen!$AB$6:$AB$1005,Krankmeldungen!$A$6:$A$1005,$A78))</f>
        <v/>
      </c>
      <c r="H78" s="58">
        <f>IF($B78="","",SUMIFS(Krankmeldungen!$AC$6:$AC$1005,Krankmeldungen!$A$6:$A$1005,$A78))</f>
        <v/>
      </c>
      <c r="I78" s="58">
        <f>IF($B78="","",SUMIFS(Krankmeldungen!$AD$6:$AD$1005,Krankmeldungen!$A$6:$A$1005,$A78))</f>
        <v/>
      </c>
      <c r="J78" s="58">
        <f>IF($B78="","",SUMIFS(Krankmeldungen!$AE$6:$AE$1005,Krankmeldungen!$A$6:$A$1005,$A78))</f>
        <v/>
      </c>
      <c r="K78" s="58">
        <f>IF($B78="","",SUMIFS(Krankmeldungen!$AF$6:$AF$1005,Krankmeldungen!$A$6:$A$1005,$A78))</f>
        <v/>
      </c>
      <c r="L78" s="58">
        <f>IF($B78="","",SUMIFS(Krankmeldungen!$AG$6:$AG$1005,Krankmeldungen!$A$6:$A$1005,$A78))</f>
        <v/>
      </c>
      <c r="M78" s="58">
        <f>IF($B78="","",SUMIFS(Krankmeldungen!$AH$6:$AH$1005,Krankmeldungen!$A$6:$A$1005,$A78))</f>
        <v/>
      </c>
      <c r="N78" s="58">
        <f>IF($B78="","",SUMIFS(Krankmeldungen!$AI$6:$AI$1005,Krankmeldungen!$A$6:$A$1005,$A78))</f>
        <v/>
      </c>
      <c r="O78" s="65">
        <f>IF($B78="","",SUM(C78:N78))</f>
        <v/>
      </c>
      <c r="P78" s="57">
        <f>'KQuote Mitarbeiter'!D78</f>
        <v/>
      </c>
      <c r="Q78" s="67">
        <f>'KQuote Mitarbeiter'!J78</f>
        <v/>
      </c>
    </row>
    <row r="79">
      <c r="A79" s="61">
        <f>'KQuote Mitarbeiter'!A79</f>
        <v/>
      </c>
      <c r="B79" s="62">
        <f>'KQuote Mitarbeiter'!B79</f>
        <v/>
      </c>
      <c r="C79" s="58">
        <f>IF($B79="","",SUMIFS(Krankmeldungen!$X$6:$X$1005,Krankmeldungen!$A$6:$A$1005,$A79))</f>
        <v/>
      </c>
      <c r="D79" s="58">
        <f>IF($B79="","",SUMIFS(Krankmeldungen!$Y$6:$Y$1005,Krankmeldungen!$A$6:$A$1005,$A79))</f>
        <v/>
      </c>
      <c r="E79" s="58">
        <f>IF($B79="","",SUMIFS(Krankmeldungen!$Z$6:$Z$1005,Krankmeldungen!$A$6:$A$1005,$A79))</f>
        <v/>
      </c>
      <c r="F79" s="58">
        <f>IF($B79="","",SUMIFS(Krankmeldungen!$AA$6:$AA$1005,Krankmeldungen!$A$6:$A$1005,$A79))</f>
        <v/>
      </c>
      <c r="G79" s="58">
        <f>IF($B79="","",SUMIFS(Krankmeldungen!$AB$6:$AB$1005,Krankmeldungen!$A$6:$A$1005,$A79))</f>
        <v/>
      </c>
      <c r="H79" s="58">
        <f>IF($B79="","",SUMIFS(Krankmeldungen!$AC$6:$AC$1005,Krankmeldungen!$A$6:$A$1005,$A79))</f>
        <v/>
      </c>
      <c r="I79" s="58">
        <f>IF($B79="","",SUMIFS(Krankmeldungen!$AD$6:$AD$1005,Krankmeldungen!$A$6:$A$1005,$A79))</f>
        <v/>
      </c>
      <c r="J79" s="58">
        <f>IF($B79="","",SUMIFS(Krankmeldungen!$AE$6:$AE$1005,Krankmeldungen!$A$6:$A$1005,$A79))</f>
        <v/>
      </c>
      <c r="K79" s="58">
        <f>IF($B79="","",SUMIFS(Krankmeldungen!$AF$6:$AF$1005,Krankmeldungen!$A$6:$A$1005,$A79))</f>
        <v/>
      </c>
      <c r="L79" s="58">
        <f>IF($B79="","",SUMIFS(Krankmeldungen!$AG$6:$AG$1005,Krankmeldungen!$A$6:$A$1005,$A79))</f>
        <v/>
      </c>
      <c r="M79" s="58">
        <f>IF($B79="","",SUMIFS(Krankmeldungen!$AH$6:$AH$1005,Krankmeldungen!$A$6:$A$1005,$A79))</f>
        <v/>
      </c>
      <c r="N79" s="58">
        <f>IF($B79="","",SUMIFS(Krankmeldungen!$AI$6:$AI$1005,Krankmeldungen!$A$6:$A$1005,$A79))</f>
        <v/>
      </c>
      <c r="O79" s="65">
        <f>IF($B79="","",SUM(C79:N79))</f>
        <v/>
      </c>
      <c r="P79" s="57">
        <f>'KQuote Mitarbeiter'!D79</f>
        <v/>
      </c>
      <c r="Q79" s="67">
        <f>'KQuote Mitarbeiter'!J79</f>
        <v/>
      </c>
    </row>
    <row r="80">
      <c r="A80" s="61">
        <f>'KQuote Mitarbeiter'!A80</f>
        <v/>
      </c>
      <c r="B80" s="62">
        <f>'KQuote Mitarbeiter'!B80</f>
        <v/>
      </c>
      <c r="C80" s="58">
        <f>IF($B80="","",SUMIFS(Krankmeldungen!$X$6:$X$1005,Krankmeldungen!$A$6:$A$1005,$A80))</f>
        <v/>
      </c>
      <c r="D80" s="58">
        <f>IF($B80="","",SUMIFS(Krankmeldungen!$Y$6:$Y$1005,Krankmeldungen!$A$6:$A$1005,$A80))</f>
        <v/>
      </c>
      <c r="E80" s="58">
        <f>IF($B80="","",SUMIFS(Krankmeldungen!$Z$6:$Z$1005,Krankmeldungen!$A$6:$A$1005,$A80))</f>
        <v/>
      </c>
      <c r="F80" s="58">
        <f>IF($B80="","",SUMIFS(Krankmeldungen!$AA$6:$AA$1005,Krankmeldungen!$A$6:$A$1005,$A80))</f>
        <v/>
      </c>
      <c r="G80" s="58">
        <f>IF($B80="","",SUMIFS(Krankmeldungen!$AB$6:$AB$1005,Krankmeldungen!$A$6:$A$1005,$A80))</f>
        <v/>
      </c>
      <c r="H80" s="58">
        <f>IF($B80="","",SUMIFS(Krankmeldungen!$AC$6:$AC$1005,Krankmeldungen!$A$6:$A$1005,$A80))</f>
        <v/>
      </c>
      <c r="I80" s="58">
        <f>IF($B80="","",SUMIFS(Krankmeldungen!$AD$6:$AD$1005,Krankmeldungen!$A$6:$A$1005,$A80))</f>
        <v/>
      </c>
      <c r="J80" s="58">
        <f>IF($B80="","",SUMIFS(Krankmeldungen!$AE$6:$AE$1005,Krankmeldungen!$A$6:$A$1005,$A80))</f>
        <v/>
      </c>
      <c r="K80" s="58">
        <f>IF($B80="","",SUMIFS(Krankmeldungen!$AF$6:$AF$1005,Krankmeldungen!$A$6:$A$1005,$A80))</f>
        <v/>
      </c>
      <c r="L80" s="58">
        <f>IF($B80="","",SUMIFS(Krankmeldungen!$AG$6:$AG$1005,Krankmeldungen!$A$6:$A$1005,$A80))</f>
        <v/>
      </c>
      <c r="M80" s="58">
        <f>IF($B80="","",SUMIFS(Krankmeldungen!$AH$6:$AH$1005,Krankmeldungen!$A$6:$A$1005,$A80))</f>
        <v/>
      </c>
      <c r="N80" s="58">
        <f>IF($B80="","",SUMIFS(Krankmeldungen!$AI$6:$AI$1005,Krankmeldungen!$A$6:$A$1005,$A80))</f>
        <v/>
      </c>
      <c r="O80" s="65">
        <f>IF($B80="","",SUM(C80:N80))</f>
        <v/>
      </c>
      <c r="P80" s="57">
        <f>'KQuote Mitarbeiter'!D80</f>
        <v/>
      </c>
      <c r="Q80" s="67">
        <f>'KQuote Mitarbeiter'!J80</f>
        <v/>
      </c>
    </row>
    <row r="81">
      <c r="A81" s="61">
        <f>'KQuote Mitarbeiter'!A81</f>
        <v/>
      </c>
      <c r="B81" s="62">
        <f>'KQuote Mitarbeiter'!B81</f>
        <v/>
      </c>
      <c r="C81" s="58">
        <f>IF($B81="","",SUMIFS(Krankmeldungen!$X$6:$X$1005,Krankmeldungen!$A$6:$A$1005,$A81))</f>
        <v/>
      </c>
      <c r="D81" s="58">
        <f>IF($B81="","",SUMIFS(Krankmeldungen!$Y$6:$Y$1005,Krankmeldungen!$A$6:$A$1005,$A81))</f>
        <v/>
      </c>
      <c r="E81" s="58">
        <f>IF($B81="","",SUMIFS(Krankmeldungen!$Z$6:$Z$1005,Krankmeldungen!$A$6:$A$1005,$A81))</f>
        <v/>
      </c>
      <c r="F81" s="58">
        <f>IF($B81="","",SUMIFS(Krankmeldungen!$AA$6:$AA$1005,Krankmeldungen!$A$6:$A$1005,$A81))</f>
        <v/>
      </c>
      <c r="G81" s="58">
        <f>IF($B81="","",SUMIFS(Krankmeldungen!$AB$6:$AB$1005,Krankmeldungen!$A$6:$A$1005,$A81))</f>
        <v/>
      </c>
      <c r="H81" s="58">
        <f>IF($B81="","",SUMIFS(Krankmeldungen!$AC$6:$AC$1005,Krankmeldungen!$A$6:$A$1005,$A81))</f>
        <v/>
      </c>
      <c r="I81" s="58">
        <f>IF($B81="","",SUMIFS(Krankmeldungen!$AD$6:$AD$1005,Krankmeldungen!$A$6:$A$1005,$A81))</f>
        <v/>
      </c>
      <c r="J81" s="58">
        <f>IF($B81="","",SUMIFS(Krankmeldungen!$AE$6:$AE$1005,Krankmeldungen!$A$6:$A$1005,$A81))</f>
        <v/>
      </c>
      <c r="K81" s="58">
        <f>IF($B81="","",SUMIFS(Krankmeldungen!$AF$6:$AF$1005,Krankmeldungen!$A$6:$A$1005,$A81))</f>
        <v/>
      </c>
      <c r="L81" s="58">
        <f>IF($B81="","",SUMIFS(Krankmeldungen!$AG$6:$AG$1005,Krankmeldungen!$A$6:$A$1005,$A81))</f>
        <v/>
      </c>
      <c r="M81" s="58">
        <f>IF($B81="","",SUMIFS(Krankmeldungen!$AH$6:$AH$1005,Krankmeldungen!$A$6:$A$1005,$A81))</f>
        <v/>
      </c>
      <c r="N81" s="58">
        <f>IF($B81="","",SUMIFS(Krankmeldungen!$AI$6:$AI$1005,Krankmeldungen!$A$6:$A$1005,$A81))</f>
        <v/>
      </c>
      <c r="O81" s="65">
        <f>IF($B81="","",SUM(C81:N81))</f>
        <v/>
      </c>
      <c r="P81" s="57">
        <f>'KQuote Mitarbeiter'!D81</f>
        <v/>
      </c>
      <c r="Q81" s="67">
        <f>'KQuote Mitarbeiter'!J81</f>
        <v/>
      </c>
    </row>
    <row r="82">
      <c r="A82" s="61">
        <f>'KQuote Mitarbeiter'!A82</f>
        <v/>
      </c>
      <c r="B82" s="62">
        <f>'KQuote Mitarbeiter'!B82</f>
        <v/>
      </c>
      <c r="C82" s="58">
        <f>IF($B82="","",SUMIFS(Krankmeldungen!$X$6:$X$1005,Krankmeldungen!$A$6:$A$1005,$A82))</f>
        <v/>
      </c>
      <c r="D82" s="58">
        <f>IF($B82="","",SUMIFS(Krankmeldungen!$Y$6:$Y$1005,Krankmeldungen!$A$6:$A$1005,$A82))</f>
        <v/>
      </c>
      <c r="E82" s="58">
        <f>IF($B82="","",SUMIFS(Krankmeldungen!$Z$6:$Z$1005,Krankmeldungen!$A$6:$A$1005,$A82))</f>
        <v/>
      </c>
      <c r="F82" s="58">
        <f>IF($B82="","",SUMIFS(Krankmeldungen!$AA$6:$AA$1005,Krankmeldungen!$A$6:$A$1005,$A82))</f>
        <v/>
      </c>
      <c r="G82" s="58">
        <f>IF($B82="","",SUMIFS(Krankmeldungen!$AB$6:$AB$1005,Krankmeldungen!$A$6:$A$1005,$A82))</f>
        <v/>
      </c>
      <c r="H82" s="58">
        <f>IF($B82="","",SUMIFS(Krankmeldungen!$AC$6:$AC$1005,Krankmeldungen!$A$6:$A$1005,$A82))</f>
        <v/>
      </c>
      <c r="I82" s="58">
        <f>IF($B82="","",SUMIFS(Krankmeldungen!$AD$6:$AD$1005,Krankmeldungen!$A$6:$A$1005,$A82))</f>
        <v/>
      </c>
      <c r="J82" s="58">
        <f>IF($B82="","",SUMIFS(Krankmeldungen!$AE$6:$AE$1005,Krankmeldungen!$A$6:$A$1005,$A82))</f>
        <v/>
      </c>
      <c r="K82" s="58">
        <f>IF($B82="","",SUMIFS(Krankmeldungen!$AF$6:$AF$1005,Krankmeldungen!$A$6:$A$1005,$A82))</f>
        <v/>
      </c>
      <c r="L82" s="58">
        <f>IF($B82="","",SUMIFS(Krankmeldungen!$AG$6:$AG$1005,Krankmeldungen!$A$6:$A$1005,$A82))</f>
        <v/>
      </c>
      <c r="M82" s="58">
        <f>IF($B82="","",SUMIFS(Krankmeldungen!$AH$6:$AH$1005,Krankmeldungen!$A$6:$A$1005,$A82))</f>
        <v/>
      </c>
      <c r="N82" s="58">
        <f>IF($B82="","",SUMIFS(Krankmeldungen!$AI$6:$AI$1005,Krankmeldungen!$A$6:$A$1005,$A82))</f>
        <v/>
      </c>
      <c r="O82" s="65">
        <f>IF($B82="","",SUM(C82:N82))</f>
        <v/>
      </c>
      <c r="P82" s="57">
        <f>'KQuote Mitarbeiter'!D82</f>
        <v/>
      </c>
      <c r="Q82" s="67">
        <f>'KQuote Mitarbeiter'!J82</f>
        <v/>
      </c>
    </row>
    <row r="83">
      <c r="A83" s="61">
        <f>'KQuote Mitarbeiter'!A83</f>
        <v/>
      </c>
      <c r="B83" s="62">
        <f>'KQuote Mitarbeiter'!B83</f>
        <v/>
      </c>
      <c r="C83" s="58">
        <f>IF($B83="","",SUMIFS(Krankmeldungen!$X$6:$X$1005,Krankmeldungen!$A$6:$A$1005,$A83))</f>
        <v/>
      </c>
      <c r="D83" s="58">
        <f>IF($B83="","",SUMIFS(Krankmeldungen!$Y$6:$Y$1005,Krankmeldungen!$A$6:$A$1005,$A83))</f>
        <v/>
      </c>
      <c r="E83" s="58">
        <f>IF($B83="","",SUMIFS(Krankmeldungen!$Z$6:$Z$1005,Krankmeldungen!$A$6:$A$1005,$A83))</f>
        <v/>
      </c>
      <c r="F83" s="58">
        <f>IF($B83="","",SUMIFS(Krankmeldungen!$AA$6:$AA$1005,Krankmeldungen!$A$6:$A$1005,$A83))</f>
        <v/>
      </c>
      <c r="G83" s="58">
        <f>IF($B83="","",SUMIFS(Krankmeldungen!$AB$6:$AB$1005,Krankmeldungen!$A$6:$A$1005,$A83))</f>
        <v/>
      </c>
      <c r="H83" s="58">
        <f>IF($B83="","",SUMIFS(Krankmeldungen!$AC$6:$AC$1005,Krankmeldungen!$A$6:$A$1005,$A83))</f>
        <v/>
      </c>
      <c r="I83" s="58">
        <f>IF($B83="","",SUMIFS(Krankmeldungen!$AD$6:$AD$1005,Krankmeldungen!$A$6:$A$1005,$A83))</f>
        <v/>
      </c>
      <c r="J83" s="58">
        <f>IF($B83="","",SUMIFS(Krankmeldungen!$AE$6:$AE$1005,Krankmeldungen!$A$6:$A$1005,$A83))</f>
        <v/>
      </c>
      <c r="K83" s="58">
        <f>IF($B83="","",SUMIFS(Krankmeldungen!$AF$6:$AF$1005,Krankmeldungen!$A$6:$A$1005,$A83))</f>
        <v/>
      </c>
      <c r="L83" s="58">
        <f>IF($B83="","",SUMIFS(Krankmeldungen!$AG$6:$AG$1005,Krankmeldungen!$A$6:$A$1005,$A83))</f>
        <v/>
      </c>
      <c r="M83" s="58">
        <f>IF($B83="","",SUMIFS(Krankmeldungen!$AH$6:$AH$1005,Krankmeldungen!$A$6:$A$1005,$A83))</f>
        <v/>
      </c>
      <c r="N83" s="58">
        <f>IF($B83="","",SUMIFS(Krankmeldungen!$AI$6:$AI$1005,Krankmeldungen!$A$6:$A$1005,$A83))</f>
        <v/>
      </c>
      <c r="O83" s="65">
        <f>IF($B83="","",SUM(C83:N83))</f>
        <v/>
      </c>
      <c r="P83" s="57">
        <f>'KQuote Mitarbeiter'!D83</f>
        <v/>
      </c>
      <c r="Q83" s="67">
        <f>'KQuote Mitarbeiter'!J83</f>
        <v/>
      </c>
    </row>
    <row r="84">
      <c r="A84" s="61">
        <f>'KQuote Mitarbeiter'!A84</f>
        <v/>
      </c>
      <c r="B84" s="62">
        <f>'KQuote Mitarbeiter'!B84</f>
        <v/>
      </c>
      <c r="C84" s="58">
        <f>IF($B84="","",SUMIFS(Krankmeldungen!$X$6:$X$1005,Krankmeldungen!$A$6:$A$1005,$A84))</f>
        <v/>
      </c>
      <c r="D84" s="58">
        <f>IF($B84="","",SUMIFS(Krankmeldungen!$Y$6:$Y$1005,Krankmeldungen!$A$6:$A$1005,$A84))</f>
        <v/>
      </c>
      <c r="E84" s="58">
        <f>IF($B84="","",SUMIFS(Krankmeldungen!$Z$6:$Z$1005,Krankmeldungen!$A$6:$A$1005,$A84))</f>
        <v/>
      </c>
      <c r="F84" s="58">
        <f>IF($B84="","",SUMIFS(Krankmeldungen!$AA$6:$AA$1005,Krankmeldungen!$A$6:$A$1005,$A84))</f>
        <v/>
      </c>
      <c r="G84" s="58">
        <f>IF($B84="","",SUMIFS(Krankmeldungen!$AB$6:$AB$1005,Krankmeldungen!$A$6:$A$1005,$A84))</f>
        <v/>
      </c>
      <c r="H84" s="58">
        <f>IF($B84="","",SUMIFS(Krankmeldungen!$AC$6:$AC$1005,Krankmeldungen!$A$6:$A$1005,$A84))</f>
        <v/>
      </c>
      <c r="I84" s="58">
        <f>IF($B84="","",SUMIFS(Krankmeldungen!$AD$6:$AD$1005,Krankmeldungen!$A$6:$A$1005,$A84))</f>
        <v/>
      </c>
      <c r="J84" s="58">
        <f>IF($B84="","",SUMIFS(Krankmeldungen!$AE$6:$AE$1005,Krankmeldungen!$A$6:$A$1005,$A84))</f>
        <v/>
      </c>
      <c r="K84" s="58">
        <f>IF($B84="","",SUMIFS(Krankmeldungen!$AF$6:$AF$1005,Krankmeldungen!$A$6:$A$1005,$A84))</f>
        <v/>
      </c>
      <c r="L84" s="58">
        <f>IF($B84="","",SUMIFS(Krankmeldungen!$AG$6:$AG$1005,Krankmeldungen!$A$6:$A$1005,$A84))</f>
        <v/>
      </c>
      <c r="M84" s="58">
        <f>IF($B84="","",SUMIFS(Krankmeldungen!$AH$6:$AH$1005,Krankmeldungen!$A$6:$A$1005,$A84))</f>
        <v/>
      </c>
      <c r="N84" s="58">
        <f>IF($B84="","",SUMIFS(Krankmeldungen!$AI$6:$AI$1005,Krankmeldungen!$A$6:$A$1005,$A84))</f>
        <v/>
      </c>
      <c r="O84" s="65">
        <f>IF($B84="","",SUM(C84:N84))</f>
        <v/>
      </c>
      <c r="P84" s="57">
        <f>'KQuote Mitarbeiter'!D84</f>
        <v/>
      </c>
      <c r="Q84" s="67">
        <f>'KQuote Mitarbeiter'!J84</f>
        <v/>
      </c>
    </row>
    <row r="85">
      <c r="A85" s="61">
        <f>'KQuote Mitarbeiter'!A85</f>
        <v/>
      </c>
      <c r="B85" s="62">
        <f>'KQuote Mitarbeiter'!B85</f>
        <v/>
      </c>
      <c r="C85" s="58">
        <f>IF($B85="","",SUMIFS(Krankmeldungen!$X$6:$X$1005,Krankmeldungen!$A$6:$A$1005,$A85))</f>
        <v/>
      </c>
      <c r="D85" s="58">
        <f>IF($B85="","",SUMIFS(Krankmeldungen!$Y$6:$Y$1005,Krankmeldungen!$A$6:$A$1005,$A85))</f>
        <v/>
      </c>
      <c r="E85" s="58">
        <f>IF($B85="","",SUMIFS(Krankmeldungen!$Z$6:$Z$1005,Krankmeldungen!$A$6:$A$1005,$A85))</f>
        <v/>
      </c>
      <c r="F85" s="58">
        <f>IF($B85="","",SUMIFS(Krankmeldungen!$AA$6:$AA$1005,Krankmeldungen!$A$6:$A$1005,$A85))</f>
        <v/>
      </c>
      <c r="G85" s="58">
        <f>IF($B85="","",SUMIFS(Krankmeldungen!$AB$6:$AB$1005,Krankmeldungen!$A$6:$A$1005,$A85))</f>
        <v/>
      </c>
      <c r="H85" s="58">
        <f>IF($B85="","",SUMIFS(Krankmeldungen!$AC$6:$AC$1005,Krankmeldungen!$A$6:$A$1005,$A85))</f>
        <v/>
      </c>
      <c r="I85" s="58">
        <f>IF($B85="","",SUMIFS(Krankmeldungen!$AD$6:$AD$1005,Krankmeldungen!$A$6:$A$1005,$A85))</f>
        <v/>
      </c>
      <c r="J85" s="58">
        <f>IF($B85="","",SUMIFS(Krankmeldungen!$AE$6:$AE$1005,Krankmeldungen!$A$6:$A$1005,$A85))</f>
        <v/>
      </c>
      <c r="K85" s="58">
        <f>IF($B85="","",SUMIFS(Krankmeldungen!$AF$6:$AF$1005,Krankmeldungen!$A$6:$A$1005,$A85))</f>
        <v/>
      </c>
      <c r="L85" s="58">
        <f>IF($B85="","",SUMIFS(Krankmeldungen!$AG$6:$AG$1005,Krankmeldungen!$A$6:$A$1005,$A85))</f>
        <v/>
      </c>
      <c r="M85" s="58">
        <f>IF($B85="","",SUMIFS(Krankmeldungen!$AH$6:$AH$1005,Krankmeldungen!$A$6:$A$1005,$A85))</f>
        <v/>
      </c>
      <c r="N85" s="58">
        <f>IF($B85="","",SUMIFS(Krankmeldungen!$AI$6:$AI$1005,Krankmeldungen!$A$6:$A$1005,$A85))</f>
        <v/>
      </c>
      <c r="O85" s="65">
        <f>IF($B85="","",SUM(C85:N85))</f>
        <v/>
      </c>
      <c r="P85" s="57">
        <f>'KQuote Mitarbeiter'!D85</f>
        <v/>
      </c>
      <c r="Q85" s="67">
        <f>'KQuote Mitarbeiter'!J85</f>
        <v/>
      </c>
    </row>
    <row r="86">
      <c r="A86" s="61">
        <f>'KQuote Mitarbeiter'!A86</f>
        <v/>
      </c>
      <c r="B86" s="62">
        <f>'KQuote Mitarbeiter'!B86</f>
        <v/>
      </c>
      <c r="C86" s="58">
        <f>IF($B86="","",SUMIFS(Krankmeldungen!$X$6:$X$1005,Krankmeldungen!$A$6:$A$1005,$A86))</f>
        <v/>
      </c>
      <c r="D86" s="58">
        <f>IF($B86="","",SUMIFS(Krankmeldungen!$Y$6:$Y$1005,Krankmeldungen!$A$6:$A$1005,$A86))</f>
        <v/>
      </c>
      <c r="E86" s="58">
        <f>IF($B86="","",SUMIFS(Krankmeldungen!$Z$6:$Z$1005,Krankmeldungen!$A$6:$A$1005,$A86))</f>
        <v/>
      </c>
      <c r="F86" s="58">
        <f>IF($B86="","",SUMIFS(Krankmeldungen!$AA$6:$AA$1005,Krankmeldungen!$A$6:$A$1005,$A86))</f>
        <v/>
      </c>
      <c r="G86" s="58">
        <f>IF($B86="","",SUMIFS(Krankmeldungen!$AB$6:$AB$1005,Krankmeldungen!$A$6:$A$1005,$A86))</f>
        <v/>
      </c>
      <c r="H86" s="58">
        <f>IF($B86="","",SUMIFS(Krankmeldungen!$AC$6:$AC$1005,Krankmeldungen!$A$6:$A$1005,$A86))</f>
        <v/>
      </c>
      <c r="I86" s="58">
        <f>IF($B86="","",SUMIFS(Krankmeldungen!$AD$6:$AD$1005,Krankmeldungen!$A$6:$A$1005,$A86))</f>
        <v/>
      </c>
      <c r="J86" s="58">
        <f>IF($B86="","",SUMIFS(Krankmeldungen!$AE$6:$AE$1005,Krankmeldungen!$A$6:$A$1005,$A86))</f>
        <v/>
      </c>
      <c r="K86" s="58">
        <f>IF($B86="","",SUMIFS(Krankmeldungen!$AF$6:$AF$1005,Krankmeldungen!$A$6:$A$1005,$A86))</f>
        <v/>
      </c>
      <c r="L86" s="58">
        <f>IF($B86="","",SUMIFS(Krankmeldungen!$AG$6:$AG$1005,Krankmeldungen!$A$6:$A$1005,$A86))</f>
        <v/>
      </c>
      <c r="M86" s="58">
        <f>IF($B86="","",SUMIFS(Krankmeldungen!$AH$6:$AH$1005,Krankmeldungen!$A$6:$A$1005,$A86))</f>
        <v/>
      </c>
      <c r="N86" s="58">
        <f>IF($B86="","",SUMIFS(Krankmeldungen!$AI$6:$AI$1005,Krankmeldungen!$A$6:$A$1005,$A86))</f>
        <v/>
      </c>
      <c r="O86" s="65">
        <f>IF($B86="","",SUM(C86:N86))</f>
        <v/>
      </c>
      <c r="P86" s="57">
        <f>'KQuote Mitarbeiter'!D86</f>
        <v/>
      </c>
      <c r="Q86" s="67">
        <f>'KQuote Mitarbeiter'!J86</f>
        <v/>
      </c>
    </row>
    <row r="87">
      <c r="A87" s="61">
        <f>'KQuote Mitarbeiter'!A87</f>
        <v/>
      </c>
      <c r="B87" s="62">
        <f>'KQuote Mitarbeiter'!B87</f>
        <v/>
      </c>
      <c r="C87" s="58">
        <f>IF($B87="","",SUMIFS(Krankmeldungen!$X$6:$X$1005,Krankmeldungen!$A$6:$A$1005,$A87))</f>
        <v/>
      </c>
      <c r="D87" s="58">
        <f>IF($B87="","",SUMIFS(Krankmeldungen!$Y$6:$Y$1005,Krankmeldungen!$A$6:$A$1005,$A87))</f>
        <v/>
      </c>
      <c r="E87" s="58">
        <f>IF($B87="","",SUMIFS(Krankmeldungen!$Z$6:$Z$1005,Krankmeldungen!$A$6:$A$1005,$A87))</f>
        <v/>
      </c>
      <c r="F87" s="58">
        <f>IF($B87="","",SUMIFS(Krankmeldungen!$AA$6:$AA$1005,Krankmeldungen!$A$6:$A$1005,$A87))</f>
        <v/>
      </c>
      <c r="G87" s="58">
        <f>IF($B87="","",SUMIFS(Krankmeldungen!$AB$6:$AB$1005,Krankmeldungen!$A$6:$A$1005,$A87))</f>
        <v/>
      </c>
      <c r="H87" s="58">
        <f>IF($B87="","",SUMIFS(Krankmeldungen!$AC$6:$AC$1005,Krankmeldungen!$A$6:$A$1005,$A87))</f>
        <v/>
      </c>
      <c r="I87" s="58">
        <f>IF($B87="","",SUMIFS(Krankmeldungen!$AD$6:$AD$1005,Krankmeldungen!$A$6:$A$1005,$A87))</f>
        <v/>
      </c>
      <c r="J87" s="58">
        <f>IF($B87="","",SUMIFS(Krankmeldungen!$AE$6:$AE$1005,Krankmeldungen!$A$6:$A$1005,$A87))</f>
        <v/>
      </c>
      <c r="K87" s="58">
        <f>IF($B87="","",SUMIFS(Krankmeldungen!$AF$6:$AF$1005,Krankmeldungen!$A$6:$A$1005,$A87))</f>
        <v/>
      </c>
      <c r="L87" s="58">
        <f>IF($B87="","",SUMIFS(Krankmeldungen!$AG$6:$AG$1005,Krankmeldungen!$A$6:$A$1005,$A87))</f>
        <v/>
      </c>
      <c r="M87" s="58">
        <f>IF($B87="","",SUMIFS(Krankmeldungen!$AH$6:$AH$1005,Krankmeldungen!$A$6:$A$1005,$A87))</f>
        <v/>
      </c>
      <c r="N87" s="58">
        <f>IF($B87="","",SUMIFS(Krankmeldungen!$AI$6:$AI$1005,Krankmeldungen!$A$6:$A$1005,$A87))</f>
        <v/>
      </c>
      <c r="O87" s="65">
        <f>IF($B87="","",SUM(C87:N87))</f>
        <v/>
      </c>
      <c r="P87" s="57">
        <f>'KQuote Mitarbeiter'!D87</f>
        <v/>
      </c>
      <c r="Q87" s="67">
        <f>'KQuote Mitarbeiter'!J87</f>
        <v/>
      </c>
    </row>
    <row r="88">
      <c r="A88" s="61">
        <f>'KQuote Mitarbeiter'!A88</f>
        <v/>
      </c>
      <c r="B88" s="62">
        <f>'KQuote Mitarbeiter'!B88</f>
        <v/>
      </c>
      <c r="C88" s="58">
        <f>IF($B88="","",SUMIFS(Krankmeldungen!$X$6:$X$1005,Krankmeldungen!$A$6:$A$1005,$A88))</f>
        <v/>
      </c>
      <c r="D88" s="58">
        <f>IF($B88="","",SUMIFS(Krankmeldungen!$Y$6:$Y$1005,Krankmeldungen!$A$6:$A$1005,$A88))</f>
        <v/>
      </c>
      <c r="E88" s="58">
        <f>IF($B88="","",SUMIFS(Krankmeldungen!$Z$6:$Z$1005,Krankmeldungen!$A$6:$A$1005,$A88))</f>
        <v/>
      </c>
      <c r="F88" s="58">
        <f>IF($B88="","",SUMIFS(Krankmeldungen!$AA$6:$AA$1005,Krankmeldungen!$A$6:$A$1005,$A88))</f>
        <v/>
      </c>
      <c r="G88" s="58">
        <f>IF($B88="","",SUMIFS(Krankmeldungen!$AB$6:$AB$1005,Krankmeldungen!$A$6:$A$1005,$A88))</f>
        <v/>
      </c>
      <c r="H88" s="58">
        <f>IF($B88="","",SUMIFS(Krankmeldungen!$AC$6:$AC$1005,Krankmeldungen!$A$6:$A$1005,$A88))</f>
        <v/>
      </c>
      <c r="I88" s="58">
        <f>IF($B88="","",SUMIFS(Krankmeldungen!$AD$6:$AD$1005,Krankmeldungen!$A$6:$A$1005,$A88))</f>
        <v/>
      </c>
      <c r="J88" s="58">
        <f>IF($B88="","",SUMIFS(Krankmeldungen!$AE$6:$AE$1005,Krankmeldungen!$A$6:$A$1005,$A88))</f>
        <v/>
      </c>
      <c r="K88" s="58">
        <f>IF($B88="","",SUMIFS(Krankmeldungen!$AF$6:$AF$1005,Krankmeldungen!$A$6:$A$1005,$A88))</f>
        <v/>
      </c>
      <c r="L88" s="58">
        <f>IF($B88="","",SUMIFS(Krankmeldungen!$AG$6:$AG$1005,Krankmeldungen!$A$6:$A$1005,$A88))</f>
        <v/>
      </c>
      <c r="M88" s="58">
        <f>IF($B88="","",SUMIFS(Krankmeldungen!$AH$6:$AH$1005,Krankmeldungen!$A$6:$A$1005,$A88))</f>
        <v/>
      </c>
      <c r="N88" s="58">
        <f>IF($B88="","",SUMIFS(Krankmeldungen!$AI$6:$AI$1005,Krankmeldungen!$A$6:$A$1005,$A88))</f>
        <v/>
      </c>
      <c r="O88" s="65">
        <f>IF($B88="","",SUM(C88:N88))</f>
        <v/>
      </c>
      <c r="P88" s="57">
        <f>'KQuote Mitarbeiter'!D88</f>
        <v/>
      </c>
      <c r="Q88" s="67">
        <f>'KQuote Mitarbeiter'!J88</f>
        <v/>
      </c>
    </row>
    <row r="89">
      <c r="A89" s="61">
        <f>'KQuote Mitarbeiter'!A89</f>
        <v/>
      </c>
      <c r="B89" s="62">
        <f>'KQuote Mitarbeiter'!B89</f>
        <v/>
      </c>
      <c r="C89" s="58">
        <f>IF($B89="","",SUMIFS(Krankmeldungen!$X$6:$X$1005,Krankmeldungen!$A$6:$A$1005,$A89))</f>
        <v/>
      </c>
      <c r="D89" s="58">
        <f>IF($B89="","",SUMIFS(Krankmeldungen!$Y$6:$Y$1005,Krankmeldungen!$A$6:$A$1005,$A89))</f>
        <v/>
      </c>
      <c r="E89" s="58">
        <f>IF($B89="","",SUMIFS(Krankmeldungen!$Z$6:$Z$1005,Krankmeldungen!$A$6:$A$1005,$A89))</f>
        <v/>
      </c>
      <c r="F89" s="58">
        <f>IF($B89="","",SUMIFS(Krankmeldungen!$AA$6:$AA$1005,Krankmeldungen!$A$6:$A$1005,$A89))</f>
        <v/>
      </c>
      <c r="G89" s="58">
        <f>IF($B89="","",SUMIFS(Krankmeldungen!$AB$6:$AB$1005,Krankmeldungen!$A$6:$A$1005,$A89))</f>
        <v/>
      </c>
      <c r="H89" s="58">
        <f>IF($B89="","",SUMIFS(Krankmeldungen!$AC$6:$AC$1005,Krankmeldungen!$A$6:$A$1005,$A89))</f>
        <v/>
      </c>
      <c r="I89" s="58">
        <f>IF($B89="","",SUMIFS(Krankmeldungen!$AD$6:$AD$1005,Krankmeldungen!$A$6:$A$1005,$A89))</f>
        <v/>
      </c>
      <c r="J89" s="58">
        <f>IF($B89="","",SUMIFS(Krankmeldungen!$AE$6:$AE$1005,Krankmeldungen!$A$6:$A$1005,$A89))</f>
        <v/>
      </c>
      <c r="K89" s="58">
        <f>IF($B89="","",SUMIFS(Krankmeldungen!$AF$6:$AF$1005,Krankmeldungen!$A$6:$A$1005,$A89))</f>
        <v/>
      </c>
      <c r="L89" s="58">
        <f>IF($B89="","",SUMIFS(Krankmeldungen!$AG$6:$AG$1005,Krankmeldungen!$A$6:$A$1005,$A89))</f>
        <v/>
      </c>
      <c r="M89" s="58">
        <f>IF($B89="","",SUMIFS(Krankmeldungen!$AH$6:$AH$1005,Krankmeldungen!$A$6:$A$1005,$A89))</f>
        <v/>
      </c>
      <c r="N89" s="58">
        <f>IF($B89="","",SUMIFS(Krankmeldungen!$AI$6:$AI$1005,Krankmeldungen!$A$6:$A$1005,$A89))</f>
        <v/>
      </c>
      <c r="O89" s="65">
        <f>IF($B89="","",SUM(C89:N89))</f>
        <v/>
      </c>
      <c r="P89" s="57">
        <f>'KQuote Mitarbeiter'!D89</f>
        <v/>
      </c>
      <c r="Q89" s="67">
        <f>'KQuote Mitarbeiter'!J89</f>
        <v/>
      </c>
    </row>
    <row r="90">
      <c r="A90" s="61">
        <f>'KQuote Mitarbeiter'!A90</f>
        <v/>
      </c>
      <c r="B90" s="62">
        <f>'KQuote Mitarbeiter'!B90</f>
        <v/>
      </c>
      <c r="C90" s="58">
        <f>IF($B90="","",SUMIFS(Krankmeldungen!$X$6:$X$1005,Krankmeldungen!$A$6:$A$1005,$A90))</f>
        <v/>
      </c>
      <c r="D90" s="58">
        <f>IF($B90="","",SUMIFS(Krankmeldungen!$Y$6:$Y$1005,Krankmeldungen!$A$6:$A$1005,$A90))</f>
        <v/>
      </c>
      <c r="E90" s="58">
        <f>IF($B90="","",SUMIFS(Krankmeldungen!$Z$6:$Z$1005,Krankmeldungen!$A$6:$A$1005,$A90))</f>
        <v/>
      </c>
      <c r="F90" s="58">
        <f>IF($B90="","",SUMIFS(Krankmeldungen!$AA$6:$AA$1005,Krankmeldungen!$A$6:$A$1005,$A90))</f>
        <v/>
      </c>
      <c r="G90" s="58">
        <f>IF($B90="","",SUMIFS(Krankmeldungen!$AB$6:$AB$1005,Krankmeldungen!$A$6:$A$1005,$A90))</f>
        <v/>
      </c>
      <c r="H90" s="58">
        <f>IF($B90="","",SUMIFS(Krankmeldungen!$AC$6:$AC$1005,Krankmeldungen!$A$6:$A$1005,$A90))</f>
        <v/>
      </c>
      <c r="I90" s="58">
        <f>IF($B90="","",SUMIFS(Krankmeldungen!$AD$6:$AD$1005,Krankmeldungen!$A$6:$A$1005,$A90))</f>
        <v/>
      </c>
      <c r="J90" s="58">
        <f>IF($B90="","",SUMIFS(Krankmeldungen!$AE$6:$AE$1005,Krankmeldungen!$A$6:$A$1005,$A90))</f>
        <v/>
      </c>
      <c r="K90" s="58">
        <f>IF($B90="","",SUMIFS(Krankmeldungen!$AF$6:$AF$1005,Krankmeldungen!$A$6:$A$1005,$A90))</f>
        <v/>
      </c>
      <c r="L90" s="58">
        <f>IF($B90="","",SUMIFS(Krankmeldungen!$AG$6:$AG$1005,Krankmeldungen!$A$6:$A$1005,$A90))</f>
        <v/>
      </c>
      <c r="M90" s="58">
        <f>IF($B90="","",SUMIFS(Krankmeldungen!$AH$6:$AH$1005,Krankmeldungen!$A$6:$A$1005,$A90))</f>
        <v/>
      </c>
      <c r="N90" s="58">
        <f>IF($B90="","",SUMIFS(Krankmeldungen!$AI$6:$AI$1005,Krankmeldungen!$A$6:$A$1005,$A90))</f>
        <v/>
      </c>
      <c r="O90" s="65">
        <f>IF($B90="","",SUM(C90:N90))</f>
        <v/>
      </c>
      <c r="P90" s="57">
        <f>'KQuote Mitarbeiter'!D90</f>
        <v/>
      </c>
      <c r="Q90" s="67">
        <f>'KQuote Mitarbeiter'!J90</f>
        <v/>
      </c>
    </row>
    <row r="91">
      <c r="A91" s="61">
        <f>'KQuote Mitarbeiter'!A91</f>
        <v/>
      </c>
      <c r="B91" s="62">
        <f>'KQuote Mitarbeiter'!B91</f>
        <v/>
      </c>
      <c r="C91" s="58">
        <f>IF($B91="","",SUMIFS(Krankmeldungen!$X$6:$X$1005,Krankmeldungen!$A$6:$A$1005,$A91))</f>
        <v/>
      </c>
      <c r="D91" s="58">
        <f>IF($B91="","",SUMIFS(Krankmeldungen!$Y$6:$Y$1005,Krankmeldungen!$A$6:$A$1005,$A91))</f>
        <v/>
      </c>
      <c r="E91" s="58">
        <f>IF($B91="","",SUMIFS(Krankmeldungen!$Z$6:$Z$1005,Krankmeldungen!$A$6:$A$1005,$A91))</f>
        <v/>
      </c>
      <c r="F91" s="58">
        <f>IF($B91="","",SUMIFS(Krankmeldungen!$AA$6:$AA$1005,Krankmeldungen!$A$6:$A$1005,$A91))</f>
        <v/>
      </c>
      <c r="G91" s="58">
        <f>IF($B91="","",SUMIFS(Krankmeldungen!$AB$6:$AB$1005,Krankmeldungen!$A$6:$A$1005,$A91))</f>
        <v/>
      </c>
      <c r="H91" s="58">
        <f>IF($B91="","",SUMIFS(Krankmeldungen!$AC$6:$AC$1005,Krankmeldungen!$A$6:$A$1005,$A91))</f>
        <v/>
      </c>
      <c r="I91" s="58">
        <f>IF($B91="","",SUMIFS(Krankmeldungen!$AD$6:$AD$1005,Krankmeldungen!$A$6:$A$1005,$A91))</f>
        <v/>
      </c>
      <c r="J91" s="58">
        <f>IF($B91="","",SUMIFS(Krankmeldungen!$AE$6:$AE$1005,Krankmeldungen!$A$6:$A$1005,$A91))</f>
        <v/>
      </c>
      <c r="K91" s="58">
        <f>IF($B91="","",SUMIFS(Krankmeldungen!$AF$6:$AF$1005,Krankmeldungen!$A$6:$A$1005,$A91))</f>
        <v/>
      </c>
      <c r="L91" s="58">
        <f>IF($B91="","",SUMIFS(Krankmeldungen!$AG$6:$AG$1005,Krankmeldungen!$A$6:$A$1005,$A91))</f>
        <v/>
      </c>
      <c r="M91" s="58">
        <f>IF($B91="","",SUMIFS(Krankmeldungen!$AH$6:$AH$1005,Krankmeldungen!$A$6:$A$1005,$A91))</f>
        <v/>
      </c>
      <c r="N91" s="58">
        <f>IF($B91="","",SUMIFS(Krankmeldungen!$AI$6:$AI$1005,Krankmeldungen!$A$6:$A$1005,$A91))</f>
        <v/>
      </c>
      <c r="O91" s="65">
        <f>IF($B91="","",SUM(C91:N91))</f>
        <v/>
      </c>
      <c r="P91" s="57">
        <f>'KQuote Mitarbeiter'!D91</f>
        <v/>
      </c>
      <c r="Q91" s="67">
        <f>'KQuote Mitarbeiter'!J91</f>
        <v/>
      </c>
    </row>
    <row r="92">
      <c r="A92" s="61">
        <f>'KQuote Mitarbeiter'!A92</f>
        <v/>
      </c>
      <c r="B92" s="62">
        <f>'KQuote Mitarbeiter'!B92</f>
        <v/>
      </c>
      <c r="C92" s="58">
        <f>IF($B92="","",SUMIFS(Krankmeldungen!$X$6:$X$1005,Krankmeldungen!$A$6:$A$1005,$A92))</f>
        <v/>
      </c>
      <c r="D92" s="58">
        <f>IF($B92="","",SUMIFS(Krankmeldungen!$Y$6:$Y$1005,Krankmeldungen!$A$6:$A$1005,$A92))</f>
        <v/>
      </c>
      <c r="E92" s="58">
        <f>IF($B92="","",SUMIFS(Krankmeldungen!$Z$6:$Z$1005,Krankmeldungen!$A$6:$A$1005,$A92))</f>
        <v/>
      </c>
      <c r="F92" s="58">
        <f>IF($B92="","",SUMIFS(Krankmeldungen!$AA$6:$AA$1005,Krankmeldungen!$A$6:$A$1005,$A92))</f>
        <v/>
      </c>
      <c r="G92" s="58">
        <f>IF($B92="","",SUMIFS(Krankmeldungen!$AB$6:$AB$1005,Krankmeldungen!$A$6:$A$1005,$A92))</f>
        <v/>
      </c>
      <c r="H92" s="58">
        <f>IF($B92="","",SUMIFS(Krankmeldungen!$AC$6:$AC$1005,Krankmeldungen!$A$6:$A$1005,$A92))</f>
        <v/>
      </c>
      <c r="I92" s="58">
        <f>IF($B92="","",SUMIFS(Krankmeldungen!$AD$6:$AD$1005,Krankmeldungen!$A$6:$A$1005,$A92))</f>
        <v/>
      </c>
      <c r="J92" s="58">
        <f>IF($B92="","",SUMIFS(Krankmeldungen!$AE$6:$AE$1005,Krankmeldungen!$A$6:$A$1005,$A92))</f>
        <v/>
      </c>
      <c r="K92" s="58">
        <f>IF($B92="","",SUMIFS(Krankmeldungen!$AF$6:$AF$1005,Krankmeldungen!$A$6:$A$1005,$A92))</f>
        <v/>
      </c>
      <c r="L92" s="58">
        <f>IF($B92="","",SUMIFS(Krankmeldungen!$AG$6:$AG$1005,Krankmeldungen!$A$6:$A$1005,$A92))</f>
        <v/>
      </c>
      <c r="M92" s="58">
        <f>IF($B92="","",SUMIFS(Krankmeldungen!$AH$6:$AH$1005,Krankmeldungen!$A$6:$A$1005,$A92))</f>
        <v/>
      </c>
      <c r="N92" s="58">
        <f>IF($B92="","",SUMIFS(Krankmeldungen!$AI$6:$AI$1005,Krankmeldungen!$A$6:$A$1005,$A92))</f>
        <v/>
      </c>
      <c r="O92" s="65">
        <f>IF($B92="","",SUM(C92:N92))</f>
        <v/>
      </c>
      <c r="P92" s="57">
        <f>'KQuote Mitarbeiter'!D92</f>
        <v/>
      </c>
      <c r="Q92" s="67">
        <f>'KQuote Mitarbeiter'!J92</f>
        <v/>
      </c>
    </row>
    <row r="93">
      <c r="A93" s="61">
        <f>'KQuote Mitarbeiter'!A93</f>
        <v/>
      </c>
      <c r="B93" s="62">
        <f>'KQuote Mitarbeiter'!B93</f>
        <v/>
      </c>
      <c r="C93" s="58">
        <f>IF($B93="","",SUMIFS(Krankmeldungen!$X$6:$X$1005,Krankmeldungen!$A$6:$A$1005,$A93))</f>
        <v/>
      </c>
      <c r="D93" s="58">
        <f>IF($B93="","",SUMIFS(Krankmeldungen!$Y$6:$Y$1005,Krankmeldungen!$A$6:$A$1005,$A93))</f>
        <v/>
      </c>
      <c r="E93" s="58">
        <f>IF($B93="","",SUMIFS(Krankmeldungen!$Z$6:$Z$1005,Krankmeldungen!$A$6:$A$1005,$A93))</f>
        <v/>
      </c>
      <c r="F93" s="58">
        <f>IF($B93="","",SUMIFS(Krankmeldungen!$AA$6:$AA$1005,Krankmeldungen!$A$6:$A$1005,$A93))</f>
        <v/>
      </c>
      <c r="G93" s="58">
        <f>IF($B93="","",SUMIFS(Krankmeldungen!$AB$6:$AB$1005,Krankmeldungen!$A$6:$A$1005,$A93))</f>
        <v/>
      </c>
      <c r="H93" s="58">
        <f>IF($B93="","",SUMIFS(Krankmeldungen!$AC$6:$AC$1005,Krankmeldungen!$A$6:$A$1005,$A93))</f>
        <v/>
      </c>
      <c r="I93" s="58">
        <f>IF($B93="","",SUMIFS(Krankmeldungen!$AD$6:$AD$1005,Krankmeldungen!$A$6:$A$1005,$A93))</f>
        <v/>
      </c>
      <c r="J93" s="58">
        <f>IF($B93="","",SUMIFS(Krankmeldungen!$AE$6:$AE$1005,Krankmeldungen!$A$6:$A$1005,$A93))</f>
        <v/>
      </c>
      <c r="K93" s="58">
        <f>IF($B93="","",SUMIFS(Krankmeldungen!$AF$6:$AF$1005,Krankmeldungen!$A$6:$A$1005,$A93))</f>
        <v/>
      </c>
      <c r="L93" s="58">
        <f>IF($B93="","",SUMIFS(Krankmeldungen!$AG$6:$AG$1005,Krankmeldungen!$A$6:$A$1005,$A93))</f>
        <v/>
      </c>
      <c r="M93" s="58">
        <f>IF($B93="","",SUMIFS(Krankmeldungen!$AH$6:$AH$1005,Krankmeldungen!$A$6:$A$1005,$A93))</f>
        <v/>
      </c>
      <c r="N93" s="58">
        <f>IF($B93="","",SUMIFS(Krankmeldungen!$AI$6:$AI$1005,Krankmeldungen!$A$6:$A$1005,$A93))</f>
        <v/>
      </c>
      <c r="O93" s="65">
        <f>IF($B93="","",SUM(C93:N93))</f>
        <v/>
      </c>
      <c r="P93" s="57">
        <f>'KQuote Mitarbeiter'!D93</f>
        <v/>
      </c>
      <c r="Q93" s="67">
        <f>'KQuote Mitarbeiter'!J93</f>
        <v/>
      </c>
    </row>
    <row r="94">
      <c r="A94" s="61">
        <f>'KQuote Mitarbeiter'!A94</f>
        <v/>
      </c>
      <c r="B94" s="62">
        <f>'KQuote Mitarbeiter'!B94</f>
        <v/>
      </c>
      <c r="C94" s="58">
        <f>IF($B94="","",SUMIFS(Krankmeldungen!$X$6:$X$1005,Krankmeldungen!$A$6:$A$1005,$A94))</f>
        <v/>
      </c>
      <c r="D94" s="58">
        <f>IF($B94="","",SUMIFS(Krankmeldungen!$Y$6:$Y$1005,Krankmeldungen!$A$6:$A$1005,$A94))</f>
        <v/>
      </c>
      <c r="E94" s="58">
        <f>IF($B94="","",SUMIFS(Krankmeldungen!$Z$6:$Z$1005,Krankmeldungen!$A$6:$A$1005,$A94))</f>
        <v/>
      </c>
      <c r="F94" s="58">
        <f>IF($B94="","",SUMIFS(Krankmeldungen!$AA$6:$AA$1005,Krankmeldungen!$A$6:$A$1005,$A94))</f>
        <v/>
      </c>
      <c r="G94" s="58">
        <f>IF($B94="","",SUMIFS(Krankmeldungen!$AB$6:$AB$1005,Krankmeldungen!$A$6:$A$1005,$A94))</f>
        <v/>
      </c>
      <c r="H94" s="58">
        <f>IF($B94="","",SUMIFS(Krankmeldungen!$AC$6:$AC$1005,Krankmeldungen!$A$6:$A$1005,$A94))</f>
        <v/>
      </c>
      <c r="I94" s="58">
        <f>IF($B94="","",SUMIFS(Krankmeldungen!$AD$6:$AD$1005,Krankmeldungen!$A$6:$A$1005,$A94))</f>
        <v/>
      </c>
      <c r="J94" s="58">
        <f>IF($B94="","",SUMIFS(Krankmeldungen!$AE$6:$AE$1005,Krankmeldungen!$A$6:$A$1005,$A94))</f>
        <v/>
      </c>
      <c r="K94" s="58">
        <f>IF($B94="","",SUMIFS(Krankmeldungen!$AF$6:$AF$1005,Krankmeldungen!$A$6:$A$1005,$A94))</f>
        <v/>
      </c>
      <c r="L94" s="58">
        <f>IF($B94="","",SUMIFS(Krankmeldungen!$AG$6:$AG$1005,Krankmeldungen!$A$6:$A$1005,$A94))</f>
        <v/>
      </c>
      <c r="M94" s="58">
        <f>IF($B94="","",SUMIFS(Krankmeldungen!$AH$6:$AH$1005,Krankmeldungen!$A$6:$A$1005,$A94))</f>
        <v/>
      </c>
      <c r="N94" s="58">
        <f>IF($B94="","",SUMIFS(Krankmeldungen!$AI$6:$AI$1005,Krankmeldungen!$A$6:$A$1005,$A94))</f>
        <v/>
      </c>
      <c r="O94" s="65">
        <f>IF($B94="","",SUM(C94:N94))</f>
        <v/>
      </c>
      <c r="P94" s="57">
        <f>'KQuote Mitarbeiter'!D94</f>
        <v/>
      </c>
      <c r="Q94" s="67">
        <f>'KQuote Mitarbeiter'!J94</f>
        <v/>
      </c>
    </row>
    <row r="95">
      <c r="A95" s="61">
        <f>'KQuote Mitarbeiter'!A95</f>
        <v/>
      </c>
      <c r="B95" s="62">
        <f>'KQuote Mitarbeiter'!B95</f>
        <v/>
      </c>
      <c r="C95" s="58">
        <f>IF($B95="","",SUMIFS(Krankmeldungen!$X$6:$X$1005,Krankmeldungen!$A$6:$A$1005,$A95))</f>
        <v/>
      </c>
      <c r="D95" s="58">
        <f>IF($B95="","",SUMIFS(Krankmeldungen!$Y$6:$Y$1005,Krankmeldungen!$A$6:$A$1005,$A95))</f>
        <v/>
      </c>
      <c r="E95" s="58">
        <f>IF($B95="","",SUMIFS(Krankmeldungen!$Z$6:$Z$1005,Krankmeldungen!$A$6:$A$1005,$A95))</f>
        <v/>
      </c>
      <c r="F95" s="58">
        <f>IF($B95="","",SUMIFS(Krankmeldungen!$AA$6:$AA$1005,Krankmeldungen!$A$6:$A$1005,$A95))</f>
        <v/>
      </c>
      <c r="G95" s="58">
        <f>IF($B95="","",SUMIFS(Krankmeldungen!$AB$6:$AB$1005,Krankmeldungen!$A$6:$A$1005,$A95))</f>
        <v/>
      </c>
      <c r="H95" s="58">
        <f>IF($B95="","",SUMIFS(Krankmeldungen!$AC$6:$AC$1005,Krankmeldungen!$A$6:$A$1005,$A95))</f>
        <v/>
      </c>
      <c r="I95" s="58">
        <f>IF($B95="","",SUMIFS(Krankmeldungen!$AD$6:$AD$1005,Krankmeldungen!$A$6:$A$1005,$A95))</f>
        <v/>
      </c>
      <c r="J95" s="58">
        <f>IF($B95="","",SUMIFS(Krankmeldungen!$AE$6:$AE$1005,Krankmeldungen!$A$6:$A$1005,$A95))</f>
        <v/>
      </c>
      <c r="K95" s="58">
        <f>IF($B95="","",SUMIFS(Krankmeldungen!$AF$6:$AF$1005,Krankmeldungen!$A$6:$A$1005,$A95))</f>
        <v/>
      </c>
      <c r="L95" s="58">
        <f>IF($B95="","",SUMIFS(Krankmeldungen!$AG$6:$AG$1005,Krankmeldungen!$A$6:$A$1005,$A95))</f>
        <v/>
      </c>
      <c r="M95" s="58">
        <f>IF($B95="","",SUMIFS(Krankmeldungen!$AH$6:$AH$1005,Krankmeldungen!$A$6:$A$1005,$A95))</f>
        <v/>
      </c>
      <c r="N95" s="58">
        <f>IF($B95="","",SUMIFS(Krankmeldungen!$AI$6:$AI$1005,Krankmeldungen!$A$6:$A$1005,$A95))</f>
        <v/>
      </c>
      <c r="O95" s="65">
        <f>IF($B95="","",SUM(C95:N95))</f>
        <v/>
      </c>
      <c r="P95" s="57">
        <f>'KQuote Mitarbeiter'!D95</f>
        <v/>
      </c>
      <c r="Q95" s="67">
        <f>'KQuote Mitarbeiter'!J95</f>
        <v/>
      </c>
    </row>
    <row r="96">
      <c r="A96" s="61">
        <f>'KQuote Mitarbeiter'!A96</f>
        <v/>
      </c>
      <c r="B96" s="62">
        <f>'KQuote Mitarbeiter'!B96</f>
        <v/>
      </c>
      <c r="C96" s="58">
        <f>IF($B96="","",SUMIFS(Krankmeldungen!$X$6:$X$1005,Krankmeldungen!$A$6:$A$1005,$A96))</f>
        <v/>
      </c>
      <c r="D96" s="58">
        <f>IF($B96="","",SUMIFS(Krankmeldungen!$Y$6:$Y$1005,Krankmeldungen!$A$6:$A$1005,$A96))</f>
        <v/>
      </c>
      <c r="E96" s="58">
        <f>IF($B96="","",SUMIFS(Krankmeldungen!$Z$6:$Z$1005,Krankmeldungen!$A$6:$A$1005,$A96))</f>
        <v/>
      </c>
      <c r="F96" s="58">
        <f>IF($B96="","",SUMIFS(Krankmeldungen!$AA$6:$AA$1005,Krankmeldungen!$A$6:$A$1005,$A96))</f>
        <v/>
      </c>
      <c r="G96" s="58">
        <f>IF($B96="","",SUMIFS(Krankmeldungen!$AB$6:$AB$1005,Krankmeldungen!$A$6:$A$1005,$A96))</f>
        <v/>
      </c>
      <c r="H96" s="58">
        <f>IF($B96="","",SUMIFS(Krankmeldungen!$AC$6:$AC$1005,Krankmeldungen!$A$6:$A$1005,$A96))</f>
        <v/>
      </c>
      <c r="I96" s="58">
        <f>IF($B96="","",SUMIFS(Krankmeldungen!$AD$6:$AD$1005,Krankmeldungen!$A$6:$A$1005,$A96))</f>
        <v/>
      </c>
      <c r="J96" s="58">
        <f>IF($B96="","",SUMIFS(Krankmeldungen!$AE$6:$AE$1005,Krankmeldungen!$A$6:$A$1005,$A96))</f>
        <v/>
      </c>
      <c r="K96" s="58">
        <f>IF($B96="","",SUMIFS(Krankmeldungen!$AF$6:$AF$1005,Krankmeldungen!$A$6:$A$1005,$A96))</f>
        <v/>
      </c>
      <c r="L96" s="58">
        <f>IF($B96="","",SUMIFS(Krankmeldungen!$AG$6:$AG$1005,Krankmeldungen!$A$6:$A$1005,$A96))</f>
        <v/>
      </c>
      <c r="M96" s="58">
        <f>IF($B96="","",SUMIFS(Krankmeldungen!$AH$6:$AH$1005,Krankmeldungen!$A$6:$A$1005,$A96))</f>
        <v/>
      </c>
      <c r="N96" s="58">
        <f>IF($B96="","",SUMIFS(Krankmeldungen!$AI$6:$AI$1005,Krankmeldungen!$A$6:$A$1005,$A96))</f>
        <v/>
      </c>
      <c r="O96" s="65">
        <f>IF($B96="","",SUM(C96:N96))</f>
        <v/>
      </c>
      <c r="P96" s="57">
        <f>'KQuote Mitarbeiter'!D96</f>
        <v/>
      </c>
      <c r="Q96" s="67">
        <f>'KQuote Mitarbeiter'!J96</f>
        <v/>
      </c>
    </row>
    <row r="97">
      <c r="A97" s="61">
        <f>'KQuote Mitarbeiter'!A97</f>
        <v/>
      </c>
      <c r="B97" s="62">
        <f>'KQuote Mitarbeiter'!B97</f>
        <v/>
      </c>
      <c r="C97" s="58">
        <f>IF($B97="","",SUMIFS(Krankmeldungen!$X$6:$X$1005,Krankmeldungen!$A$6:$A$1005,$A97))</f>
        <v/>
      </c>
      <c r="D97" s="58">
        <f>IF($B97="","",SUMIFS(Krankmeldungen!$Y$6:$Y$1005,Krankmeldungen!$A$6:$A$1005,$A97))</f>
        <v/>
      </c>
      <c r="E97" s="58">
        <f>IF($B97="","",SUMIFS(Krankmeldungen!$Z$6:$Z$1005,Krankmeldungen!$A$6:$A$1005,$A97))</f>
        <v/>
      </c>
      <c r="F97" s="58">
        <f>IF($B97="","",SUMIFS(Krankmeldungen!$AA$6:$AA$1005,Krankmeldungen!$A$6:$A$1005,$A97))</f>
        <v/>
      </c>
      <c r="G97" s="58">
        <f>IF($B97="","",SUMIFS(Krankmeldungen!$AB$6:$AB$1005,Krankmeldungen!$A$6:$A$1005,$A97))</f>
        <v/>
      </c>
      <c r="H97" s="58">
        <f>IF($B97="","",SUMIFS(Krankmeldungen!$AC$6:$AC$1005,Krankmeldungen!$A$6:$A$1005,$A97))</f>
        <v/>
      </c>
      <c r="I97" s="58">
        <f>IF($B97="","",SUMIFS(Krankmeldungen!$AD$6:$AD$1005,Krankmeldungen!$A$6:$A$1005,$A97))</f>
        <v/>
      </c>
      <c r="J97" s="58">
        <f>IF($B97="","",SUMIFS(Krankmeldungen!$AE$6:$AE$1005,Krankmeldungen!$A$6:$A$1005,$A97))</f>
        <v/>
      </c>
      <c r="K97" s="58">
        <f>IF($B97="","",SUMIFS(Krankmeldungen!$AF$6:$AF$1005,Krankmeldungen!$A$6:$A$1005,$A97))</f>
        <v/>
      </c>
      <c r="L97" s="58">
        <f>IF($B97="","",SUMIFS(Krankmeldungen!$AG$6:$AG$1005,Krankmeldungen!$A$6:$A$1005,$A97))</f>
        <v/>
      </c>
      <c r="M97" s="58">
        <f>IF($B97="","",SUMIFS(Krankmeldungen!$AH$6:$AH$1005,Krankmeldungen!$A$6:$A$1005,$A97))</f>
        <v/>
      </c>
      <c r="N97" s="58">
        <f>IF($B97="","",SUMIFS(Krankmeldungen!$AI$6:$AI$1005,Krankmeldungen!$A$6:$A$1005,$A97))</f>
        <v/>
      </c>
      <c r="O97" s="65">
        <f>IF($B97="","",SUM(C97:N97))</f>
        <v/>
      </c>
      <c r="P97" s="57">
        <f>'KQuote Mitarbeiter'!D97</f>
        <v/>
      </c>
      <c r="Q97" s="67">
        <f>'KQuote Mitarbeiter'!J97</f>
        <v/>
      </c>
    </row>
    <row r="98">
      <c r="A98" s="61">
        <f>'KQuote Mitarbeiter'!A98</f>
        <v/>
      </c>
      <c r="B98" s="62">
        <f>'KQuote Mitarbeiter'!B98</f>
        <v/>
      </c>
      <c r="C98" s="58">
        <f>IF($B98="","",SUMIFS(Krankmeldungen!$X$6:$X$1005,Krankmeldungen!$A$6:$A$1005,$A98))</f>
        <v/>
      </c>
      <c r="D98" s="58">
        <f>IF($B98="","",SUMIFS(Krankmeldungen!$Y$6:$Y$1005,Krankmeldungen!$A$6:$A$1005,$A98))</f>
        <v/>
      </c>
      <c r="E98" s="58">
        <f>IF($B98="","",SUMIFS(Krankmeldungen!$Z$6:$Z$1005,Krankmeldungen!$A$6:$A$1005,$A98))</f>
        <v/>
      </c>
      <c r="F98" s="58">
        <f>IF($B98="","",SUMIFS(Krankmeldungen!$AA$6:$AA$1005,Krankmeldungen!$A$6:$A$1005,$A98))</f>
        <v/>
      </c>
      <c r="G98" s="58">
        <f>IF($B98="","",SUMIFS(Krankmeldungen!$AB$6:$AB$1005,Krankmeldungen!$A$6:$A$1005,$A98))</f>
        <v/>
      </c>
      <c r="H98" s="58">
        <f>IF($B98="","",SUMIFS(Krankmeldungen!$AC$6:$AC$1005,Krankmeldungen!$A$6:$A$1005,$A98))</f>
        <v/>
      </c>
      <c r="I98" s="58">
        <f>IF($B98="","",SUMIFS(Krankmeldungen!$AD$6:$AD$1005,Krankmeldungen!$A$6:$A$1005,$A98))</f>
        <v/>
      </c>
      <c r="J98" s="58">
        <f>IF($B98="","",SUMIFS(Krankmeldungen!$AE$6:$AE$1005,Krankmeldungen!$A$6:$A$1005,$A98))</f>
        <v/>
      </c>
      <c r="K98" s="58">
        <f>IF($B98="","",SUMIFS(Krankmeldungen!$AF$6:$AF$1005,Krankmeldungen!$A$6:$A$1005,$A98))</f>
        <v/>
      </c>
      <c r="L98" s="58">
        <f>IF($B98="","",SUMIFS(Krankmeldungen!$AG$6:$AG$1005,Krankmeldungen!$A$6:$A$1005,$A98))</f>
        <v/>
      </c>
      <c r="M98" s="58">
        <f>IF($B98="","",SUMIFS(Krankmeldungen!$AH$6:$AH$1005,Krankmeldungen!$A$6:$A$1005,$A98))</f>
        <v/>
      </c>
      <c r="N98" s="58">
        <f>IF($B98="","",SUMIFS(Krankmeldungen!$AI$6:$AI$1005,Krankmeldungen!$A$6:$A$1005,$A98))</f>
        <v/>
      </c>
      <c r="O98" s="65">
        <f>IF($B98="","",SUM(C98:N98))</f>
        <v/>
      </c>
      <c r="P98" s="57">
        <f>'KQuote Mitarbeiter'!D98</f>
        <v/>
      </c>
      <c r="Q98" s="67">
        <f>'KQuote Mitarbeiter'!J98</f>
        <v/>
      </c>
    </row>
    <row r="99">
      <c r="A99" s="61">
        <f>'KQuote Mitarbeiter'!A99</f>
        <v/>
      </c>
      <c r="B99" s="62">
        <f>'KQuote Mitarbeiter'!B99</f>
        <v/>
      </c>
      <c r="C99" s="58">
        <f>IF($B99="","",SUMIFS(Krankmeldungen!$X$6:$X$1005,Krankmeldungen!$A$6:$A$1005,$A99))</f>
        <v/>
      </c>
      <c r="D99" s="58">
        <f>IF($B99="","",SUMIFS(Krankmeldungen!$Y$6:$Y$1005,Krankmeldungen!$A$6:$A$1005,$A99))</f>
        <v/>
      </c>
      <c r="E99" s="58">
        <f>IF($B99="","",SUMIFS(Krankmeldungen!$Z$6:$Z$1005,Krankmeldungen!$A$6:$A$1005,$A99))</f>
        <v/>
      </c>
      <c r="F99" s="58">
        <f>IF($B99="","",SUMIFS(Krankmeldungen!$AA$6:$AA$1005,Krankmeldungen!$A$6:$A$1005,$A99))</f>
        <v/>
      </c>
      <c r="G99" s="58">
        <f>IF($B99="","",SUMIFS(Krankmeldungen!$AB$6:$AB$1005,Krankmeldungen!$A$6:$A$1005,$A99))</f>
        <v/>
      </c>
      <c r="H99" s="58">
        <f>IF($B99="","",SUMIFS(Krankmeldungen!$AC$6:$AC$1005,Krankmeldungen!$A$6:$A$1005,$A99))</f>
        <v/>
      </c>
      <c r="I99" s="58">
        <f>IF($B99="","",SUMIFS(Krankmeldungen!$AD$6:$AD$1005,Krankmeldungen!$A$6:$A$1005,$A99))</f>
        <v/>
      </c>
      <c r="J99" s="58">
        <f>IF($B99="","",SUMIFS(Krankmeldungen!$AE$6:$AE$1005,Krankmeldungen!$A$6:$A$1005,$A99))</f>
        <v/>
      </c>
      <c r="K99" s="58">
        <f>IF($B99="","",SUMIFS(Krankmeldungen!$AF$6:$AF$1005,Krankmeldungen!$A$6:$A$1005,$A99))</f>
        <v/>
      </c>
      <c r="L99" s="58">
        <f>IF($B99="","",SUMIFS(Krankmeldungen!$AG$6:$AG$1005,Krankmeldungen!$A$6:$A$1005,$A99))</f>
        <v/>
      </c>
      <c r="M99" s="58">
        <f>IF($B99="","",SUMIFS(Krankmeldungen!$AH$6:$AH$1005,Krankmeldungen!$A$6:$A$1005,$A99))</f>
        <v/>
      </c>
      <c r="N99" s="58">
        <f>IF($B99="","",SUMIFS(Krankmeldungen!$AI$6:$AI$1005,Krankmeldungen!$A$6:$A$1005,$A99))</f>
        <v/>
      </c>
      <c r="O99" s="65">
        <f>IF($B99="","",SUM(C99:N99))</f>
        <v/>
      </c>
      <c r="P99" s="57">
        <f>'KQuote Mitarbeiter'!D99</f>
        <v/>
      </c>
      <c r="Q99" s="67">
        <f>'KQuote Mitarbeiter'!J99</f>
        <v/>
      </c>
    </row>
    <row r="100">
      <c r="A100" s="61">
        <f>'KQuote Mitarbeiter'!A100</f>
        <v/>
      </c>
      <c r="B100" s="62">
        <f>'KQuote Mitarbeiter'!B100</f>
        <v/>
      </c>
      <c r="C100" s="58">
        <f>IF($B100="","",SUMIFS(Krankmeldungen!$X$6:$X$1005,Krankmeldungen!$A$6:$A$1005,$A100))</f>
        <v/>
      </c>
      <c r="D100" s="58">
        <f>IF($B100="","",SUMIFS(Krankmeldungen!$Y$6:$Y$1005,Krankmeldungen!$A$6:$A$1005,$A100))</f>
        <v/>
      </c>
      <c r="E100" s="58">
        <f>IF($B100="","",SUMIFS(Krankmeldungen!$Z$6:$Z$1005,Krankmeldungen!$A$6:$A$1005,$A100))</f>
        <v/>
      </c>
      <c r="F100" s="58">
        <f>IF($B100="","",SUMIFS(Krankmeldungen!$AA$6:$AA$1005,Krankmeldungen!$A$6:$A$1005,$A100))</f>
        <v/>
      </c>
      <c r="G100" s="58">
        <f>IF($B100="","",SUMIFS(Krankmeldungen!$AB$6:$AB$1005,Krankmeldungen!$A$6:$A$1005,$A100))</f>
        <v/>
      </c>
      <c r="H100" s="58">
        <f>IF($B100="","",SUMIFS(Krankmeldungen!$AC$6:$AC$1005,Krankmeldungen!$A$6:$A$1005,$A100))</f>
        <v/>
      </c>
      <c r="I100" s="58">
        <f>IF($B100="","",SUMIFS(Krankmeldungen!$AD$6:$AD$1005,Krankmeldungen!$A$6:$A$1005,$A100))</f>
        <v/>
      </c>
      <c r="J100" s="58">
        <f>IF($B100="","",SUMIFS(Krankmeldungen!$AE$6:$AE$1005,Krankmeldungen!$A$6:$A$1005,$A100))</f>
        <v/>
      </c>
      <c r="K100" s="58">
        <f>IF($B100="","",SUMIFS(Krankmeldungen!$AF$6:$AF$1005,Krankmeldungen!$A$6:$A$1005,$A100))</f>
        <v/>
      </c>
      <c r="L100" s="58">
        <f>IF($B100="","",SUMIFS(Krankmeldungen!$AG$6:$AG$1005,Krankmeldungen!$A$6:$A$1005,$A100))</f>
        <v/>
      </c>
      <c r="M100" s="58">
        <f>IF($B100="","",SUMIFS(Krankmeldungen!$AH$6:$AH$1005,Krankmeldungen!$A$6:$A$1005,$A100))</f>
        <v/>
      </c>
      <c r="N100" s="58">
        <f>IF($B100="","",SUMIFS(Krankmeldungen!$AI$6:$AI$1005,Krankmeldungen!$A$6:$A$1005,$A100))</f>
        <v/>
      </c>
      <c r="O100" s="65">
        <f>IF($B100="","",SUM(C100:N100))</f>
        <v/>
      </c>
      <c r="P100" s="57">
        <f>'KQuote Mitarbeiter'!D100</f>
        <v/>
      </c>
      <c r="Q100" s="67">
        <f>'KQuote Mitarbeiter'!J100</f>
        <v/>
      </c>
    </row>
    <row r="101">
      <c r="A101" s="61">
        <f>'KQuote Mitarbeiter'!A101</f>
        <v/>
      </c>
      <c r="B101" s="62">
        <f>'KQuote Mitarbeiter'!B101</f>
        <v/>
      </c>
      <c r="C101" s="58">
        <f>IF($B101="","",SUMIFS(Krankmeldungen!$X$6:$X$1005,Krankmeldungen!$A$6:$A$1005,$A101))</f>
        <v/>
      </c>
      <c r="D101" s="58">
        <f>IF($B101="","",SUMIFS(Krankmeldungen!$Y$6:$Y$1005,Krankmeldungen!$A$6:$A$1005,$A101))</f>
        <v/>
      </c>
      <c r="E101" s="58">
        <f>IF($B101="","",SUMIFS(Krankmeldungen!$Z$6:$Z$1005,Krankmeldungen!$A$6:$A$1005,$A101))</f>
        <v/>
      </c>
      <c r="F101" s="58">
        <f>IF($B101="","",SUMIFS(Krankmeldungen!$AA$6:$AA$1005,Krankmeldungen!$A$6:$A$1005,$A101))</f>
        <v/>
      </c>
      <c r="G101" s="58">
        <f>IF($B101="","",SUMIFS(Krankmeldungen!$AB$6:$AB$1005,Krankmeldungen!$A$6:$A$1005,$A101))</f>
        <v/>
      </c>
      <c r="H101" s="58">
        <f>IF($B101="","",SUMIFS(Krankmeldungen!$AC$6:$AC$1005,Krankmeldungen!$A$6:$A$1005,$A101))</f>
        <v/>
      </c>
      <c r="I101" s="58">
        <f>IF($B101="","",SUMIFS(Krankmeldungen!$AD$6:$AD$1005,Krankmeldungen!$A$6:$A$1005,$A101))</f>
        <v/>
      </c>
      <c r="J101" s="58">
        <f>IF($B101="","",SUMIFS(Krankmeldungen!$AE$6:$AE$1005,Krankmeldungen!$A$6:$A$1005,$A101))</f>
        <v/>
      </c>
      <c r="K101" s="58">
        <f>IF($B101="","",SUMIFS(Krankmeldungen!$AF$6:$AF$1005,Krankmeldungen!$A$6:$A$1005,$A101))</f>
        <v/>
      </c>
      <c r="L101" s="58">
        <f>IF($B101="","",SUMIFS(Krankmeldungen!$AG$6:$AG$1005,Krankmeldungen!$A$6:$A$1005,$A101))</f>
        <v/>
      </c>
      <c r="M101" s="58">
        <f>IF($B101="","",SUMIFS(Krankmeldungen!$AH$6:$AH$1005,Krankmeldungen!$A$6:$A$1005,$A101))</f>
        <v/>
      </c>
      <c r="N101" s="58">
        <f>IF($B101="","",SUMIFS(Krankmeldungen!$AI$6:$AI$1005,Krankmeldungen!$A$6:$A$1005,$A101))</f>
        <v/>
      </c>
      <c r="O101" s="65">
        <f>IF($B101="","",SUM(C101:N101))</f>
        <v/>
      </c>
      <c r="P101" s="57">
        <f>'KQuote Mitarbeiter'!D101</f>
        <v/>
      </c>
      <c r="Q101" s="67">
        <f>'KQuote Mitarbeiter'!J101</f>
        <v/>
      </c>
    </row>
    <row r="102">
      <c r="A102" s="61">
        <f>'KQuote Mitarbeiter'!A102</f>
        <v/>
      </c>
      <c r="B102" s="62">
        <f>'KQuote Mitarbeiter'!B102</f>
        <v/>
      </c>
      <c r="C102" s="58">
        <f>IF($B102="","",SUMIFS(Krankmeldungen!$X$6:$X$1005,Krankmeldungen!$A$6:$A$1005,$A102))</f>
        <v/>
      </c>
      <c r="D102" s="58">
        <f>IF($B102="","",SUMIFS(Krankmeldungen!$Y$6:$Y$1005,Krankmeldungen!$A$6:$A$1005,$A102))</f>
        <v/>
      </c>
      <c r="E102" s="58">
        <f>IF($B102="","",SUMIFS(Krankmeldungen!$Z$6:$Z$1005,Krankmeldungen!$A$6:$A$1005,$A102))</f>
        <v/>
      </c>
      <c r="F102" s="58">
        <f>IF($B102="","",SUMIFS(Krankmeldungen!$AA$6:$AA$1005,Krankmeldungen!$A$6:$A$1005,$A102))</f>
        <v/>
      </c>
      <c r="G102" s="58">
        <f>IF($B102="","",SUMIFS(Krankmeldungen!$AB$6:$AB$1005,Krankmeldungen!$A$6:$A$1005,$A102))</f>
        <v/>
      </c>
      <c r="H102" s="58">
        <f>IF($B102="","",SUMIFS(Krankmeldungen!$AC$6:$AC$1005,Krankmeldungen!$A$6:$A$1005,$A102))</f>
        <v/>
      </c>
      <c r="I102" s="58">
        <f>IF($B102="","",SUMIFS(Krankmeldungen!$AD$6:$AD$1005,Krankmeldungen!$A$6:$A$1005,$A102))</f>
        <v/>
      </c>
      <c r="J102" s="58">
        <f>IF($B102="","",SUMIFS(Krankmeldungen!$AE$6:$AE$1005,Krankmeldungen!$A$6:$A$1005,$A102))</f>
        <v/>
      </c>
      <c r="K102" s="58">
        <f>IF($B102="","",SUMIFS(Krankmeldungen!$AF$6:$AF$1005,Krankmeldungen!$A$6:$A$1005,$A102))</f>
        <v/>
      </c>
      <c r="L102" s="58">
        <f>IF($B102="","",SUMIFS(Krankmeldungen!$AG$6:$AG$1005,Krankmeldungen!$A$6:$A$1005,$A102))</f>
        <v/>
      </c>
      <c r="M102" s="58">
        <f>IF($B102="","",SUMIFS(Krankmeldungen!$AH$6:$AH$1005,Krankmeldungen!$A$6:$A$1005,$A102))</f>
        <v/>
      </c>
      <c r="N102" s="58">
        <f>IF($B102="","",SUMIFS(Krankmeldungen!$AI$6:$AI$1005,Krankmeldungen!$A$6:$A$1005,$A102))</f>
        <v/>
      </c>
      <c r="O102" s="65">
        <f>IF($B102="","",SUM(C102:N102))</f>
        <v/>
      </c>
      <c r="P102" s="57">
        <f>'KQuote Mitarbeiter'!D102</f>
        <v/>
      </c>
      <c r="Q102" s="67">
        <f>'KQuote Mitarbeiter'!J102</f>
        <v/>
      </c>
    </row>
    <row r="103">
      <c r="A103" s="61">
        <f>'KQuote Mitarbeiter'!A103</f>
        <v/>
      </c>
      <c r="B103" s="62">
        <f>'KQuote Mitarbeiter'!B103</f>
        <v/>
      </c>
      <c r="C103" s="58">
        <f>IF($B103="","",SUMIFS(Krankmeldungen!$X$6:$X$1005,Krankmeldungen!$A$6:$A$1005,$A103))</f>
        <v/>
      </c>
      <c r="D103" s="58">
        <f>IF($B103="","",SUMIFS(Krankmeldungen!$Y$6:$Y$1005,Krankmeldungen!$A$6:$A$1005,$A103))</f>
        <v/>
      </c>
      <c r="E103" s="58">
        <f>IF($B103="","",SUMIFS(Krankmeldungen!$Z$6:$Z$1005,Krankmeldungen!$A$6:$A$1005,$A103))</f>
        <v/>
      </c>
      <c r="F103" s="58">
        <f>IF($B103="","",SUMIFS(Krankmeldungen!$AA$6:$AA$1005,Krankmeldungen!$A$6:$A$1005,$A103))</f>
        <v/>
      </c>
      <c r="G103" s="58">
        <f>IF($B103="","",SUMIFS(Krankmeldungen!$AB$6:$AB$1005,Krankmeldungen!$A$6:$A$1005,$A103))</f>
        <v/>
      </c>
      <c r="H103" s="58">
        <f>IF($B103="","",SUMIFS(Krankmeldungen!$AC$6:$AC$1005,Krankmeldungen!$A$6:$A$1005,$A103))</f>
        <v/>
      </c>
      <c r="I103" s="58">
        <f>IF($B103="","",SUMIFS(Krankmeldungen!$AD$6:$AD$1005,Krankmeldungen!$A$6:$A$1005,$A103))</f>
        <v/>
      </c>
      <c r="J103" s="58">
        <f>IF($B103="","",SUMIFS(Krankmeldungen!$AE$6:$AE$1005,Krankmeldungen!$A$6:$A$1005,$A103))</f>
        <v/>
      </c>
      <c r="K103" s="58">
        <f>IF($B103="","",SUMIFS(Krankmeldungen!$AF$6:$AF$1005,Krankmeldungen!$A$6:$A$1005,$A103))</f>
        <v/>
      </c>
      <c r="L103" s="58">
        <f>IF($B103="","",SUMIFS(Krankmeldungen!$AG$6:$AG$1005,Krankmeldungen!$A$6:$A$1005,$A103))</f>
        <v/>
      </c>
      <c r="M103" s="58">
        <f>IF($B103="","",SUMIFS(Krankmeldungen!$AH$6:$AH$1005,Krankmeldungen!$A$6:$A$1005,$A103))</f>
        <v/>
      </c>
      <c r="N103" s="58">
        <f>IF($B103="","",SUMIFS(Krankmeldungen!$AI$6:$AI$1005,Krankmeldungen!$A$6:$A$1005,$A103))</f>
        <v/>
      </c>
      <c r="O103" s="65">
        <f>IF($B103="","",SUM(C103:N103))</f>
        <v/>
      </c>
      <c r="P103" s="57">
        <f>'KQuote Mitarbeiter'!D103</f>
        <v/>
      </c>
      <c r="Q103" s="67">
        <f>'KQuote Mitarbeiter'!J103</f>
        <v/>
      </c>
    </row>
    <row r="104">
      <c r="A104" s="61">
        <f>'KQuote Mitarbeiter'!A104</f>
        <v/>
      </c>
      <c r="B104" s="62">
        <f>'KQuote Mitarbeiter'!B104</f>
        <v/>
      </c>
      <c r="C104" s="58">
        <f>IF($B104="","",SUMIFS(Krankmeldungen!$X$6:$X$1005,Krankmeldungen!$A$6:$A$1005,$A104))</f>
        <v/>
      </c>
      <c r="D104" s="58">
        <f>IF($B104="","",SUMIFS(Krankmeldungen!$Y$6:$Y$1005,Krankmeldungen!$A$6:$A$1005,$A104))</f>
        <v/>
      </c>
      <c r="E104" s="58">
        <f>IF($B104="","",SUMIFS(Krankmeldungen!$Z$6:$Z$1005,Krankmeldungen!$A$6:$A$1005,$A104))</f>
        <v/>
      </c>
      <c r="F104" s="58">
        <f>IF($B104="","",SUMIFS(Krankmeldungen!$AA$6:$AA$1005,Krankmeldungen!$A$6:$A$1005,$A104))</f>
        <v/>
      </c>
      <c r="G104" s="58">
        <f>IF($B104="","",SUMIFS(Krankmeldungen!$AB$6:$AB$1005,Krankmeldungen!$A$6:$A$1005,$A104))</f>
        <v/>
      </c>
      <c r="H104" s="58">
        <f>IF($B104="","",SUMIFS(Krankmeldungen!$AC$6:$AC$1005,Krankmeldungen!$A$6:$A$1005,$A104))</f>
        <v/>
      </c>
      <c r="I104" s="58">
        <f>IF($B104="","",SUMIFS(Krankmeldungen!$AD$6:$AD$1005,Krankmeldungen!$A$6:$A$1005,$A104))</f>
        <v/>
      </c>
      <c r="J104" s="58">
        <f>IF($B104="","",SUMIFS(Krankmeldungen!$AE$6:$AE$1005,Krankmeldungen!$A$6:$A$1005,$A104))</f>
        <v/>
      </c>
      <c r="K104" s="58">
        <f>IF($B104="","",SUMIFS(Krankmeldungen!$AF$6:$AF$1005,Krankmeldungen!$A$6:$A$1005,$A104))</f>
        <v/>
      </c>
      <c r="L104" s="58">
        <f>IF($B104="","",SUMIFS(Krankmeldungen!$AG$6:$AG$1005,Krankmeldungen!$A$6:$A$1005,$A104))</f>
        <v/>
      </c>
      <c r="M104" s="58">
        <f>IF($B104="","",SUMIFS(Krankmeldungen!$AH$6:$AH$1005,Krankmeldungen!$A$6:$A$1005,$A104))</f>
        <v/>
      </c>
      <c r="N104" s="58">
        <f>IF($B104="","",SUMIFS(Krankmeldungen!$AI$6:$AI$1005,Krankmeldungen!$A$6:$A$1005,$A104))</f>
        <v/>
      </c>
      <c r="O104" s="65">
        <f>IF($B104="","",SUM(C104:N104))</f>
        <v/>
      </c>
      <c r="P104" s="57">
        <f>'KQuote Mitarbeiter'!D104</f>
        <v/>
      </c>
      <c r="Q104" s="67">
        <f>'KQuote Mitarbeiter'!J104</f>
        <v/>
      </c>
    </row>
    <row r="105">
      <c r="A105" s="61">
        <f>'KQuote Mitarbeiter'!A105</f>
        <v/>
      </c>
      <c r="B105" s="62">
        <f>'KQuote Mitarbeiter'!B105</f>
        <v/>
      </c>
      <c r="C105" s="58">
        <f>IF($B105="","",SUMIFS(Krankmeldungen!$X$6:$X$1005,Krankmeldungen!$A$6:$A$1005,$A105))</f>
        <v/>
      </c>
      <c r="D105" s="58">
        <f>IF($B105="","",SUMIFS(Krankmeldungen!$Y$6:$Y$1005,Krankmeldungen!$A$6:$A$1005,$A105))</f>
        <v/>
      </c>
      <c r="E105" s="58">
        <f>IF($B105="","",SUMIFS(Krankmeldungen!$Z$6:$Z$1005,Krankmeldungen!$A$6:$A$1005,$A105))</f>
        <v/>
      </c>
      <c r="F105" s="58">
        <f>IF($B105="","",SUMIFS(Krankmeldungen!$AA$6:$AA$1005,Krankmeldungen!$A$6:$A$1005,$A105))</f>
        <v/>
      </c>
      <c r="G105" s="58">
        <f>IF($B105="","",SUMIFS(Krankmeldungen!$AB$6:$AB$1005,Krankmeldungen!$A$6:$A$1005,$A105))</f>
        <v/>
      </c>
      <c r="H105" s="58">
        <f>IF($B105="","",SUMIFS(Krankmeldungen!$AC$6:$AC$1005,Krankmeldungen!$A$6:$A$1005,$A105))</f>
        <v/>
      </c>
      <c r="I105" s="58">
        <f>IF($B105="","",SUMIFS(Krankmeldungen!$AD$6:$AD$1005,Krankmeldungen!$A$6:$A$1005,$A105))</f>
        <v/>
      </c>
      <c r="J105" s="58">
        <f>IF($B105="","",SUMIFS(Krankmeldungen!$AE$6:$AE$1005,Krankmeldungen!$A$6:$A$1005,$A105))</f>
        <v/>
      </c>
      <c r="K105" s="58">
        <f>IF($B105="","",SUMIFS(Krankmeldungen!$AF$6:$AF$1005,Krankmeldungen!$A$6:$A$1005,$A105))</f>
        <v/>
      </c>
      <c r="L105" s="58">
        <f>IF($B105="","",SUMIFS(Krankmeldungen!$AG$6:$AG$1005,Krankmeldungen!$A$6:$A$1005,$A105))</f>
        <v/>
      </c>
      <c r="M105" s="58">
        <f>IF($B105="","",SUMIFS(Krankmeldungen!$AH$6:$AH$1005,Krankmeldungen!$A$6:$A$1005,$A105))</f>
        <v/>
      </c>
      <c r="N105" s="58">
        <f>IF($B105="","",SUMIFS(Krankmeldungen!$AI$6:$AI$1005,Krankmeldungen!$A$6:$A$1005,$A105))</f>
        <v/>
      </c>
      <c r="O105" s="65">
        <f>IF($B105="","",SUM(C105:N105))</f>
        <v/>
      </c>
      <c r="P105" s="57">
        <f>'KQuote Mitarbeiter'!D105</f>
        <v/>
      </c>
      <c r="Q105" s="67">
        <f>'KQuote Mitarbeiter'!J105</f>
        <v/>
      </c>
    </row>
    <row r="106">
      <c r="A106" s="61">
        <f>'KQuote Mitarbeiter'!A106</f>
        <v/>
      </c>
      <c r="B106" s="62">
        <f>'KQuote Mitarbeiter'!B106</f>
        <v/>
      </c>
      <c r="C106" s="58">
        <f>IF($B106="","",SUMIFS(Krankmeldungen!$X$6:$X$1005,Krankmeldungen!$A$6:$A$1005,$A106))</f>
        <v/>
      </c>
      <c r="D106" s="58">
        <f>IF($B106="","",SUMIFS(Krankmeldungen!$Y$6:$Y$1005,Krankmeldungen!$A$6:$A$1005,$A106))</f>
        <v/>
      </c>
      <c r="E106" s="58">
        <f>IF($B106="","",SUMIFS(Krankmeldungen!$Z$6:$Z$1005,Krankmeldungen!$A$6:$A$1005,$A106))</f>
        <v/>
      </c>
      <c r="F106" s="58">
        <f>IF($B106="","",SUMIFS(Krankmeldungen!$AA$6:$AA$1005,Krankmeldungen!$A$6:$A$1005,$A106))</f>
        <v/>
      </c>
      <c r="G106" s="58">
        <f>IF($B106="","",SUMIFS(Krankmeldungen!$AB$6:$AB$1005,Krankmeldungen!$A$6:$A$1005,$A106))</f>
        <v/>
      </c>
      <c r="H106" s="58">
        <f>IF($B106="","",SUMIFS(Krankmeldungen!$AC$6:$AC$1005,Krankmeldungen!$A$6:$A$1005,$A106))</f>
        <v/>
      </c>
      <c r="I106" s="58">
        <f>IF($B106="","",SUMIFS(Krankmeldungen!$AD$6:$AD$1005,Krankmeldungen!$A$6:$A$1005,$A106))</f>
        <v/>
      </c>
      <c r="J106" s="58">
        <f>IF($B106="","",SUMIFS(Krankmeldungen!$AE$6:$AE$1005,Krankmeldungen!$A$6:$A$1005,$A106))</f>
        <v/>
      </c>
      <c r="K106" s="58">
        <f>IF($B106="","",SUMIFS(Krankmeldungen!$AF$6:$AF$1005,Krankmeldungen!$A$6:$A$1005,$A106))</f>
        <v/>
      </c>
      <c r="L106" s="58">
        <f>IF($B106="","",SUMIFS(Krankmeldungen!$AG$6:$AG$1005,Krankmeldungen!$A$6:$A$1005,$A106))</f>
        <v/>
      </c>
      <c r="M106" s="58">
        <f>IF($B106="","",SUMIFS(Krankmeldungen!$AH$6:$AH$1005,Krankmeldungen!$A$6:$A$1005,$A106))</f>
        <v/>
      </c>
      <c r="N106" s="58">
        <f>IF($B106="","",SUMIFS(Krankmeldungen!$AI$6:$AI$1005,Krankmeldungen!$A$6:$A$1005,$A106))</f>
        <v/>
      </c>
      <c r="O106" s="65">
        <f>IF($B106="","",SUM(C106:N106))</f>
        <v/>
      </c>
      <c r="P106" s="57">
        <f>'KQuote Mitarbeiter'!D106</f>
        <v/>
      </c>
      <c r="Q106" s="67">
        <f>'KQuote Mitarbeiter'!J106</f>
        <v/>
      </c>
    </row>
    <row r="107">
      <c r="A107" s="61">
        <f>'KQuote Mitarbeiter'!A107</f>
        <v/>
      </c>
      <c r="B107" s="62">
        <f>'KQuote Mitarbeiter'!B107</f>
        <v/>
      </c>
      <c r="C107" s="58">
        <f>IF($B107="","",SUMIFS(Krankmeldungen!$X$6:$X$1005,Krankmeldungen!$A$6:$A$1005,$A107))</f>
        <v/>
      </c>
      <c r="D107" s="58">
        <f>IF($B107="","",SUMIFS(Krankmeldungen!$Y$6:$Y$1005,Krankmeldungen!$A$6:$A$1005,$A107))</f>
        <v/>
      </c>
      <c r="E107" s="58">
        <f>IF($B107="","",SUMIFS(Krankmeldungen!$Z$6:$Z$1005,Krankmeldungen!$A$6:$A$1005,$A107))</f>
        <v/>
      </c>
      <c r="F107" s="58">
        <f>IF($B107="","",SUMIFS(Krankmeldungen!$AA$6:$AA$1005,Krankmeldungen!$A$6:$A$1005,$A107))</f>
        <v/>
      </c>
      <c r="G107" s="58">
        <f>IF($B107="","",SUMIFS(Krankmeldungen!$AB$6:$AB$1005,Krankmeldungen!$A$6:$A$1005,$A107))</f>
        <v/>
      </c>
      <c r="H107" s="58">
        <f>IF($B107="","",SUMIFS(Krankmeldungen!$AC$6:$AC$1005,Krankmeldungen!$A$6:$A$1005,$A107))</f>
        <v/>
      </c>
      <c r="I107" s="58">
        <f>IF($B107="","",SUMIFS(Krankmeldungen!$AD$6:$AD$1005,Krankmeldungen!$A$6:$A$1005,$A107))</f>
        <v/>
      </c>
      <c r="J107" s="58">
        <f>IF($B107="","",SUMIFS(Krankmeldungen!$AE$6:$AE$1005,Krankmeldungen!$A$6:$A$1005,$A107))</f>
        <v/>
      </c>
      <c r="K107" s="58">
        <f>IF($B107="","",SUMIFS(Krankmeldungen!$AF$6:$AF$1005,Krankmeldungen!$A$6:$A$1005,$A107))</f>
        <v/>
      </c>
      <c r="L107" s="58">
        <f>IF($B107="","",SUMIFS(Krankmeldungen!$AG$6:$AG$1005,Krankmeldungen!$A$6:$A$1005,$A107))</f>
        <v/>
      </c>
      <c r="M107" s="58">
        <f>IF($B107="","",SUMIFS(Krankmeldungen!$AH$6:$AH$1005,Krankmeldungen!$A$6:$A$1005,$A107))</f>
        <v/>
      </c>
      <c r="N107" s="58">
        <f>IF($B107="","",SUMIFS(Krankmeldungen!$AI$6:$AI$1005,Krankmeldungen!$A$6:$A$1005,$A107))</f>
        <v/>
      </c>
      <c r="O107" s="65">
        <f>IF($B107="","",SUM(C107:N107))</f>
        <v/>
      </c>
      <c r="P107" s="57">
        <f>'KQuote Mitarbeiter'!D107</f>
        <v/>
      </c>
      <c r="Q107" s="67">
        <f>'KQuote Mitarbeiter'!J107</f>
        <v/>
      </c>
    </row>
    <row r="108">
      <c r="A108" s="61">
        <f>'KQuote Mitarbeiter'!A108</f>
        <v/>
      </c>
      <c r="B108" s="62">
        <f>'KQuote Mitarbeiter'!B108</f>
        <v/>
      </c>
      <c r="C108" s="58">
        <f>IF($B108="","",SUMIFS(Krankmeldungen!$X$6:$X$1005,Krankmeldungen!$A$6:$A$1005,$A108))</f>
        <v/>
      </c>
      <c r="D108" s="58">
        <f>IF($B108="","",SUMIFS(Krankmeldungen!$Y$6:$Y$1005,Krankmeldungen!$A$6:$A$1005,$A108))</f>
        <v/>
      </c>
      <c r="E108" s="58">
        <f>IF($B108="","",SUMIFS(Krankmeldungen!$Z$6:$Z$1005,Krankmeldungen!$A$6:$A$1005,$A108))</f>
        <v/>
      </c>
      <c r="F108" s="58">
        <f>IF($B108="","",SUMIFS(Krankmeldungen!$AA$6:$AA$1005,Krankmeldungen!$A$6:$A$1005,$A108))</f>
        <v/>
      </c>
      <c r="G108" s="58">
        <f>IF($B108="","",SUMIFS(Krankmeldungen!$AB$6:$AB$1005,Krankmeldungen!$A$6:$A$1005,$A108))</f>
        <v/>
      </c>
      <c r="H108" s="58">
        <f>IF($B108="","",SUMIFS(Krankmeldungen!$AC$6:$AC$1005,Krankmeldungen!$A$6:$A$1005,$A108))</f>
        <v/>
      </c>
      <c r="I108" s="58">
        <f>IF($B108="","",SUMIFS(Krankmeldungen!$AD$6:$AD$1005,Krankmeldungen!$A$6:$A$1005,$A108))</f>
        <v/>
      </c>
      <c r="J108" s="58">
        <f>IF($B108="","",SUMIFS(Krankmeldungen!$AE$6:$AE$1005,Krankmeldungen!$A$6:$A$1005,$A108))</f>
        <v/>
      </c>
      <c r="K108" s="58">
        <f>IF($B108="","",SUMIFS(Krankmeldungen!$AF$6:$AF$1005,Krankmeldungen!$A$6:$A$1005,$A108))</f>
        <v/>
      </c>
      <c r="L108" s="58">
        <f>IF($B108="","",SUMIFS(Krankmeldungen!$AG$6:$AG$1005,Krankmeldungen!$A$6:$A$1005,$A108))</f>
        <v/>
      </c>
      <c r="M108" s="58">
        <f>IF($B108="","",SUMIFS(Krankmeldungen!$AH$6:$AH$1005,Krankmeldungen!$A$6:$A$1005,$A108))</f>
        <v/>
      </c>
      <c r="N108" s="58">
        <f>IF($B108="","",SUMIFS(Krankmeldungen!$AI$6:$AI$1005,Krankmeldungen!$A$6:$A$1005,$A108))</f>
        <v/>
      </c>
      <c r="O108" s="65">
        <f>IF($B108="","",SUM(C108:N108))</f>
        <v/>
      </c>
      <c r="P108" s="57">
        <f>'KQuote Mitarbeiter'!D108</f>
        <v/>
      </c>
      <c r="Q108" s="67">
        <f>'KQuote Mitarbeiter'!J108</f>
        <v/>
      </c>
    </row>
    <row r="109">
      <c r="A109" s="61">
        <f>'KQuote Mitarbeiter'!A109</f>
        <v/>
      </c>
      <c r="B109" s="62">
        <f>'KQuote Mitarbeiter'!B109</f>
        <v/>
      </c>
      <c r="C109" s="58">
        <f>IF($B109="","",SUMIFS(Krankmeldungen!$X$6:$X$1005,Krankmeldungen!$A$6:$A$1005,$A109))</f>
        <v/>
      </c>
      <c r="D109" s="58">
        <f>IF($B109="","",SUMIFS(Krankmeldungen!$Y$6:$Y$1005,Krankmeldungen!$A$6:$A$1005,$A109))</f>
        <v/>
      </c>
      <c r="E109" s="58">
        <f>IF($B109="","",SUMIFS(Krankmeldungen!$Z$6:$Z$1005,Krankmeldungen!$A$6:$A$1005,$A109))</f>
        <v/>
      </c>
      <c r="F109" s="58">
        <f>IF($B109="","",SUMIFS(Krankmeldungen!$AA$6:$AA$1005,Krankmeldungen!$A$6:$A$1005,$A109))</f>
        <v/>
      </c>
      <c r="G109" s="58">
        <f>IF($B109="","",SUMIFS(Krankmeldungen!$AB$6:$AB$1005,Krankmeldungen!$A$6:$A$1005,$A109))</f>
        <v/>
      </c>
      <c r="H109" s="58">
        <f>IF($B109="","",SUMIFS(Krankmeldungen!$AC$6:$AC$1005,Krankmeldungen!$A$6:$A$1005,$A109))</f>
        <v/>
      </c>
      <c r="I109" s="58">
        <f>IF($B109="","",SUMIFS(Krankmeldungen!$AD$6:$AD$1005,Krankmeldungen!$A$6:$A$1005,$A109))</f>
        <v/>
      </c>
      <c r="J109" s="58">
        <f>IF($B109="","",SUMIFS(Krankmeldungen!$AE$6:$AE$1005,Krankmeldungen!$A$6:$A$1005,$A109))</f>
        <v/>
      </c>
      <c r="K109" s="58">
        <f>IF($B109="","",SUMIFS(Krankmeldungen!$AF$6:$AF$1005,Krankmeldungen!$A$6:$A$1005,$A109))</f>
        <v/>
      </c>
      <c r="L109" s="58">
        <f>IF($B109="","",SUMIFS(Krankmeldungen!$AG$6:$AG$1005,Krankmeldungen!$A$6:$A$1005,$A109))</f>
        <v/>
      </c>
      <c r="M109" s="58">
        <f>IF($B109="","",SUMIFS(Krankmeldungen!$AH$6:$AH$1005,Krankmeldungen!$A$6:$A$1005,$A109))</f>
        <v/>
      </c>
      <c r="N109" s="58">
        <f>IF($B109="","",SUMIFS(Krankmeldungen!$AI$6:$AI$1005,Krankmeldungen!$A$6:$A$1005,$A109))</f>
        <v/>
      </c>
      <c r="O109" s="65">
        <f>IF($B109="","",SUM(C109:N109))</f>
        <v/>
      </c>
      <c r="P109" s="57">
        <f>'KQuote Mitarbeiter'!D109</f>
        <v/>
      </c>
      <c r="Q109" s="67">
        <f>'KQuote Mitarbeiter'!J109</f>
        <v/>
      </c>
    </row>
    <row r="110">
      <c r="A110" s="61">
        <f>'KQuote Mitarbeiter'!A110</f>
        <v/>
      </c>
      <c r="B110" s="62">
        <f>'KQuote Mitarbeiter'!B110</f>
        <v/>
      </c>
      <c r="C110" s="58">
        <f>IF($B110="","",SUMIFS(Krankmeldungen!$X$6:$X$1005,Krankmeldungen!$A$6:$A$1005,$A110))</f>
        <v/>
      </c>
      <c r="D110" s="58">
        <f>IF($B110="","",SUMIFS(Krankmeldungen!$Y$6:$Y$1005,Krankmeldungen!$A$6:$A$1005,$A110))</f>
        <v/>
      </c>
      <c r="E110" s="58">
        <f>IF($B110="","",SUMIFS(Krankmeldungen!$Z$6:$Z$1005,Krankmeldungen!$A$6:$A$1005,$A110))</f>
        <v/>
      </c>
      <c r="F110" s="58">
        <f>IF($B110="","",SUMIFS(Krankmeldungen!$AA$6:$AA$1005,Krankmeldungen!$A$6:$A$1005,$A110))</f>
        <v/>
      </c>
      <c r="G110" s="58">
        <f>IF($B110="","",SUMIFS(Krankmeldungen!$AB$6:$AB$1005,Krankmeldungen!$A$6:$A$1005,$A110))</f>
        <v/>
      </c>
      <c r="H110" s="58">
        <f>IF($B110="","",SUMIFS(Krankmeldungen!$AC$6:$AC$1005,Krankmeldungen!$A$6:$A$1005,$A110))</f>
        <v/>
      </c>
      <c r="I110" s="58">
        <f>IF($B110="","",SUMIFS(Krankmeldungen!$AD$6:$AD$1005,Krankmeldungen!$A$6:$A$1005,$A110))</f>
        <v/>
      </c>
      <c r="J110" s="58">
        <f>IF($B110="","",SUMIFS(Krankmeldungen!$AE$6:$AE$1005,Krankmeldungen!$A$6:$A$1005,$A110))</f>
        <v/>
      </c>
      <c r="K110" s="58">
        <f>IF($B110="","",SUMIFS(Krankmeldungen!$AF$6:$AF$1005,Krankmeldungen!$A$6:$A$1005,$A110))</f>
        <v/>
      </c>
      <c r="L110" s="58">
        <f>IF($B110="","",SUMIFS(Krankmeldungen!$AG$6:$AG$1005,Krankmeldungen!$A$6:$A$1005,$A110))</f>
        <v/>
      </c>
      <c r="M110" s="58">
        <f>IF($B110="","",SUMIFS(Krankmeldungen!$AH$6:$AH$1005,Krankmeldungen!$A$6:$A$1005,$A110))</f>
        <v/>
      </c>
      <c r="N110" s="58">
        <f>IF($B110="","",SUMIFS(Krankmeldungen!$AI$6:$AI$1005,Krankmeldungen!$A$6:$A$1005,$A110))</f>
        <v/>
      </c>
      <c r="O110" s="65">
        <f>IF($B110="","",SUM(C110:N110))</f>
        <v/>
      </c>
      <c r="P110" s="57">
        <f>'KQuote Mitarbeiter'!D110</f>
        <v/>
      </c>
      <c r="Q110" s="67">
        <f>'KQuote Mitarbeiter'!J110</f>
        <v/>
      </c>
    </row>
    <row r="111">
      <c r="A111" s="61">
        <f>'KQuote Mitarbeiter'!A111</f>
        <v/>
      </c>
      <c r="B111" s="62">
        <f>'KQuote Mitarbeiter'!B111</f>
        <v/>
      </c>
      <c r="C111" s="58">
        <f>IF($B111="","",SUMIFS(Krankmeldungen!$X$6:$X$1005,Krankmeldungen!$A$6:$A$1005,$A111))</f>
        <v/>
      </c>
      <c r="D111" s="58">
        <f>IF($B111="","",SUMIFS(Krankmeldungen!$Y$6:$Y$1005,Krankmeldungen!$A$6:$A$1005,$A111))</f>
        <v/>
      </c>
      <c r="E111" s="58">
        <f>IF($B111="","",SUMIFS(Krankmeldungen!$Z$6:$Z$1005,Krankmeldungen!$A$6:$A$1005,$A111))</f>
        <v/>
      </c>
      <c r="F111" s="58">
        <f>IF($B111="","",SUMIFS(Krankmeldungen!$AA$6:$AA$1005,Krankmeldungen!$A$6:$A$1005,$A111))</f>
        <v/>
      </c>
      <c r="G111" s="58">
        <f>IF($B111="","",SUMIFS(Krankmeldungen!$AB$6:$AB$1005,Krankmeldungen!$A$6:$A$1005,$A111))</f>
        <v/>
      </c>
      <c r="H111" s="58">
        <f>IF($B111="","",SUMIFS(Krankmeldungen!$AC$6:$AC$1005,Krankmeldungen!$A$6:$A$1005,$A111))</f>
        <v/>
      </c>
      <c r="I111" s="58">
        <f>IF($B111="","",SUMIFS(Krankmeldungen!$AD$6:$AD$1005,Krankmeldungen!$A$6:$A$1005,$A111))</f>
        <v/>
      </c>
      <c r="J111" s="58">
        <f>IF($B111="","",SUMIFS(Krankmeldungen!$AE$6:$AE$1005,Krankmeldungen!$A$6:$A$1005,$A111))</f>
        <v/>
      </c>
      <c r="K111" s="58">
        <f>IF($B111="","",SUMIFS(Krankmeldungen!$AF$6:$AF$1005,Krankmeldungen!$A$6:$A$1005,$A111))</f>
        <v/>
      </c>
      <c r="L111" s="58">
        <f>IF($B111="","",SUMIFS(Krankmeldungen!$AG$6:$AG$1005,Krankmeldungen!$A$6:$A$1005,$A111))</f>
        <v/>
      </c>
      <c r="M111" s="58">
        <f>IF($B111="","",SUMIFS(Krankmeldungen!$AH$6:$AH$1005,Krankmeldungen!$A$6:$A$1005,$A111))</f>
        <v/>
      </c>
      <c r="N111" s="58">
        <f>IF($B111="","",SUMIFS(Krankmeldungen!$AI$6:$AI$1005,Krankmeldungen!$A$6:$A$1005,$A111))</f>
        <v/>
      </c>
      <c r="O111" s="65">
        <f>IF($B111="","",SUM(C111:N111))</f>
        <v/>
      </c>
      <c r="P111" s="57">
        <f>'KQuote Mitarbeiter'!D111</f>
        <v/>
      </c>
      <c r="Q111" s="67">
        <f>'KQuote Mitarbeiter'!J111</f>
        <v/>
      </c>
    </row>
    <row r="112">
      <c r="A112" s="61">
        <f>'KQuote Mitarbeiter'!A112</f>
        <v/>
      </c>
      <c r="B112" s="62">
        <f>'KQuote Mitarbeiter'!B112</f>
        <v/>
      </c>
      <c r="C112" s="58">
        <f>IF($B112="","",SUMIFS(Krankmeldungen!$X$6:$X$1005,Krankmeldungen!$A$6:$A$1005,$A112))</f>
        <v/>
      </c>
      <c r="D112" s="58">
        <f>IF($B112="","",SUMIFS(Krankmeldungen!$Y$6:$Y$1005,Krankmeldungen!$A$6:$A$1005,$A112))</f>
        <v/>
      </c>
      <c r="E112" s="58">
        <f>IF($B112="","",SUMIFS(Krankmeldungen!$Z$6:$Z$1005,Krankmeldungen!$A$6:$A$1005,$A112))</f>
        <v/>
      </c>
      <c r="F112" s="58">
        <f>IF($B112="","",SUMIFS(Krankmeldungen!$AA$6:$AA$1005,Krankmeldungen!$A$6:$A$1005,$A112))</f>
        <v/>
      </c>
      <c r="G112" s="58">
        <f>IF($B112="","",SUMIFS(Krankmeldungen!$AB$6:$AB$1005,Krankmeldungen!$A$6:$A$1005,$A112))</f>
        <v/>
      </c>
      <c r="H112" s="58">
        <f>IF($B112="","",SUMIFS(Krankmeldungen!$AC$6:$AC$1005,Krankmeldungen!$A$6:$A$1005,$A112))</f>
        <v/>
      </c>
      <c r="I112" s="58">
        <f>IF($B112="","",SUMIFS(Krankmeldungen!$AD$6:$AD$1005,Krankmeldungen!$A$6:$A$1005,$A112))</f>
        <v/>
      </c>
      <c r="J112" s="58">
        <f>IF($B112="","",SUMIFS(Krankmeldungen!$AE$6:$AE$1005,Krankmeldungen!$A$6:$A$1005,$A112))</f>
        <v/>
      </c>
      <c r="K112" s="58">
        <f>IF($B112="","",SUMIFS(Krankmeldungen!$AF$6:$AF$1005,Krankmeldungen!$A$6:$A$1005,$A112))</f>
        <v/>
      </c>
      <c r="L112" s="58">
        <f>IF($B112="","",SUMIFS(Krankmeldungen!$AG$6:$AG$1005,Krankmeldungen!$A$6:$A$1005,$A112))</f>
        <v/>
      </c>
      <c r="M112" s="58">
        <f>IF($B112="","",SUMIFS(Krankmeldungen!$AH$6:$AH$1005,Krankmeldungen!$A$6:$A$1005,$A112))</f>
        <v/>
      </c>
      <c r="N112" s="58">
        <f>IF($B112="","",SUMIFS(Krankmeldungen!$AI$6:$AI$1005,Krankmeldungen!$A$6:$A$1005,$A112))</f>
        <v/>
      </c>
      <c r="O112" s="65">
        <f>IF($B112="","",SUM(C112:N112))</f>
        <v/>
      </c>
      <c r="P112" s="57">
        <f>'KQuote Mitarbeiter'!D112</f>
        <v/>
      </c>
      <c r="Q112" s="67">
        <f>'KQuote Mitarbeiter'!J112</f>
        <v/>
      </c>
    </row>
    <row r="113">
      <c r="A113" s="61">
        <f>'KQuote Mitarbeiter'!A113</f>
        <v/>
      </c>
      <c r="B113" s="62">
        <f>'KQuote Mitarbeiter'!B113</f>
        <v/>
      </c>
      <c r="C113" s="58">
        <f>IF($B113="","",SUMIFS(Krankmeldungen!$X$6:$X$1005,Krankmeldungen!$A$6:$A$1005,$A113))</f>
        <v/>
      </c>
      <c r="D113" s="58">
        <f>IF($B113="","",SUMIFS(Krankmeldungen!$Y$6:$Y$1005,Krankmeldungen!$A$6:$A$1005,$A113))</f>
        <v/>
      </c>
      <c r="E113" s="58">
        <f>IF($B113="","",SUMIFS(Krankmeldungen!$Z$6:$Z$1005,Krankmeldungen!$A$6:$A$1005,$A113))</f>
        <v/>
      </c>
      <c r="F113" s="58">
        <f>IF($B113="","",SUMIFS(Krankmeldungen!$AA$6:$AA$1005,Krankmeldungen!$A$6:$A$1005,$A113))</f>
        <v/>
      </c>
      <c r="G113" s="58">
        <f>IF($B113="","",SUMIFS(Krankmeldungen!$AB$6:$AB$1005,Krankmeldungen!$A$6:$A$1005,$A113))</f>
        <v/>
      </c>
      <c r="H113" s="58">
        <f>IF($B113="","",SUMIFS(Krankmeldungen!$AC$6:$AC$1005,Krankmeldungen!$A$6:$A$1005,$A113))</f>
        <v/>
      </c>
      <c r="I113" s="58">
        <f>IF($B113="","",SUMIFS(Krankmeldungen!$AD$6:$AD$1005,Krankmeldungen!$A$6:$A$1005,$A113))</f>
        <v/>
      </c>
      <c r="J113" s="58">
        <f>IF($B113="","",SUMIFS(Krankmeldungen!$AE$6:$AE$1005,Krankmeldungen!$A$6:$A$1005,$A113))</f>
        <v/>
      </c>
      <c r="K113" s="58">
        <f>IF($B113="","",SUMIFS(Krankmeldungen!$AF$6:$AF$1005,Krankmeldungen!$A$6:$A$1005,$A113))</f>
        <v/>
      </c>
      <c r="L113" s="58">
        <f>IF($B113="","",SUMIFS(Krankmeldungen!$AG$6:$AG$1005,Krankmeldungen!$A$6:$A$1005,$A113))</f>
        <v/>
      </c>
      <c r="M113" s="58">
        <f>IF($B113="","",SUMIFS(Krankmeldungen!$AH$6:$AH$1005,Krankmeldungen!$A$6:$A$1005,$A113))</f>
        <v/>
      </c>
      <c r="N113" s="58">
        <f>IF($B113="","",SUMIFS(Krankmeldungen!$AI$6:$AI$1005,Krankmeldungen!$A$6:$A$1005,$A113))</f>
        <v/>
      </c>
      <c r="O113" s="65">
        <f>IF($B113="","",SUM(C113:N113))</f>
        <v/>
      </c>
      <c r="P113" s="57">
        <f>'KQuote Mitarbeiter'!D113</f>
        <v/>
      </c>
      <c r="Q113" s="67">
        <f>'KQuote Mitarbeiter'!J113</f>
        <v/>
      </c>
    </row>
    <row r="114">
      <c r="A114" s="61">
        <f>'KQuote Mitarbeiter'!A114</f>
        <v/>
      </c>
      <c r="B114" s="62">
        <f>'KQuote Mitarbeiter'!B114</f>
        <v/>
      </c>
      <c r="C114" s="58">
        <f>IF($B114="","",SUMIFS(Krankmeldungen!$X$6:$X$1005,Krankmeldungen!$A$6:$A$1005,$A114))</f>
        <v/>
      </c>
      <c r="D114" s="58">
        <f>IF($B114="","",SUMIFS(Krankmeldungen!$Y$6:$Y$1005,Krankmeldungen!$A$6:$A$1005,$A114))</f>
        <v/>
      </c>
      <c r="E114" s="58">
        <f>IF($B114="","",SUMIFS(Krankmeldungen!$Z$6:$Z$1005,Krankmeldungen!$A$6:$A$1005,$A114))</f>
        <v/>
      </c>
      <c r="F114" s="58">
        <f>IF($B114="","",SUMIFS(Krankmeldungen!$AA$6:$AA$1005,Krankmeldungen!$A$6:$A$1005,$A114))</f>
        <v/>
      </c>
      <c r="G114" s="58">
        <f>IF($B114="","",SUMIFS(Krankmeldungen!$AB$6:$AB$1005,Krankmeldungen!$A$6:$A$1005,$A114))</f>
        <v/>
      </c>
      <c r="H114" s="58">
        <f>IF($B114="","",SUMIFS(Krankmeldungen!$AC$6:$AC$1005,Krankmeldungen!$A$6:$A$1005,$A114))</f>
        <v/>
      </c>
      <c r="I114" s="58">
        <f>IF($B114="","",SUMIFS(Krankmeldungen!$AD$6:$AD$1005,Krankmeldungen!$A$6:$A$1005,$A114))</f>
        <v/>
      </c>
      <c r="J114" s="58">
        <f>IF($B114="","",SUMIFS(Krankmeldungen!$AE$6:$AE$1005,Krankmeldungen!$A$6:$A$1005,$A114))</f>
        <v/>
      </c>
      <c r="K114" s="58">
        <f>IF($B114="","",SUMIFS(Krankmeldungen!$AF$6:$AF$1005,Krankmeldungen!$A$6:$A$1005,$A114))</f>
        <v/>
      </c>
      <c r="L114" s="58">
        <f>IF($B114="","",SUMIFS(Krankmeldungen!$AG$6:$AG$1005,Krankmeldungen!$A$6:$A$1005,$A114))</f>
        <v/>
      </c>
      <c r="M114" s="58">
        <f>IF($B114="","",SUMIFS(Krankmeldungen!$AH$6:$AH$1005,Krankmeldungen!$A$6:$A$1005,$A114))</f>
        <v/>
      </c>
      <c r="N114" s="58">
        <f>IF($B114="","",SUMIFS(Krankmeldungen!$AI$6:$AI$1005,Krankmeldungen!$A$6:$A$1005,$A114))</f>
        <v/>
      </c>
      <c r="O114" s="65">
        <f>IF($B114="","",SUM(C114:N114))</f>
        <v/>
      </c>
      <c r="P114" s="57">
        <f>'KQuote Mitarbeiter'!D114</f>
        <v/>
      </c>
      <c r="Q114" s="67">
        <f>'KQuote Mitarbeiter'!J114</f>
        <v/>
      </c>
    </row>
    <row r="115">
      <c r="A115" s="61">
        <f>'KQuote Mitarbeiter'!A115</f>
        <v/>
      </c>
      <c r="B115" s="62">
        <f>'KQuote Mitarbeiter'!B115</f>
        <v/>
      </c>
      <c r="C115" s="58">
        <f>IF($B115="","",SUMIFS(Krankmeldungen!$X$6:$X$1005,Krankmeldungen!$A$6:$A$1005,$A115))</f>
        <v/>
      </c>
      <c r="D115" s="58">
        <f>IF($B115="","",SUMIFS(Krankmeldungen!$Y$6:$Y$1005,Krankmeldungen!$A$6:$A$1005,$A115))</f>
        <v/>
      </c>
      <c r="E115" s="58">
        <f>IF($B115="","",SUMIFS(Krankmeldungen!$Z$6:$Z$1005,Krankmeldungen!$A$6:$A$1005,$A115))</f>
        <v/>
      </c>
      <c r="F115" s="58">
        <f>IF($B115="","",SUMIFS(Krankmeldungen!$AA$6:$AA$1005,Krankmeldungen!$A$6:$A$1005,$A115))</f>
        <v/>
      </c>
      <c r="G115" s="58">
        <f>IF($B115="","",SUMIFS(Krankmeldungen!$AB$6:$AB$1005,Krankmeldungen!$A$6:$A$1005,$A115))</f>
        <v/>
      </c>
      <c r="H115" s="58">
        <f>IF($B115="","",SUMIFS(Krankmeldungen!$AC$6:$AC$1005,Krankmeldungen!$A$6:$A$1005,$A115))</f>
        <v/>
      </c>
      <c r="I115" s="58">
        <f>IF($B115="","",SUMIFS(Krankmeldungen!$AD$6:$AD$1005,Krankmeldungen!$A$6:$A$1005,$A115))</f>
        <v/>
      </c>
      <c r="J115" s="58">
        <f>IF($B115="","",SUMIFS(Krankmeldungen!$AE$6:$AE$1005,Krankmeldungen!$A$6:$A$1005,$A115))</f>
        <v/>
      </c>
      <c r="K115" s="58">
        <f>IF($B115="","",SUMIFS(Krankmeldungen!$AF$6:$AF$1005,Krankmeldungen!$A$6:$A$1005,$A115))</f>
        <v/>
      </c>
      <c r="L115" s="58">
        <f>IF($B115="","",SUMIFS(Krankmeldungen!$AG$6:$AG$1005,Krankmeldungen!$A$6:$A$1005,$A115))</f>
        <v/>
      </c>
      <c r="M115" s="58">
        <f>IF($B115="","",SUMIFS(Krankmeldungen!$AH$6:$AH$1005,Krankmeldungen!$A$6:$A$1005,$A115))</f>
        <v/>
      </c>
      <c r="N115" s="58">
        <f>IF($B115="","",SUMIFS(Krankmeldungen!$AI$6:$AI$1005,Krankmeldungen!$A$6:$A$1005,$A115))</f>
        <v/>
      </c>
      <c r="O115" s="65">
        <f>IF($B115="","",SUM(C115:N115))</f>
        <v/>
      </c>
      <c r="P115" s="57">
        <f>'KQuote Mitarbeiter'!D115</f>
        <v/>
      </c>
      <c r="Q115" s="67">
        <f>'KQuote Mitarbeiter'!J115</f>
        <v/>
      </c>
    </row>
    <row r="116">
      <c r="A116" s="61">
        <f>'KQuote Mitarbeiter'!A116</f>
        <v/>
      </c>
      <c r="B116" s="62">
        <f>'KQuote Mitarbeiter'!B116</f>
        <v/>
      </c>
      <c r="C116" s="58">
        <f>IF($B116="","",SUMIFS(Krankmeldungen!$X$6:$X$1005,Krankmeldungen!$A$6:$A$1005,$A116))</f>
        <v/>
      </c>
      <c r="D116" s="58">
        <f>IF($B116="","",SUMIFS(Krankmeldungen!$Y$6:$Y$1005,Krankmeldungen!$A$6:$A$1005,$A116))</f>
        <v/>
      </c>
      <c r="E116" s="58">
        <f>IF($B116="","",SUMIFS(Krankmeldungen!$Z$6:$Z$1005,Krankmeldungen!$A$6:$A$1005,$A116))</f>
        <v/>
      </c>
      <c r="F116" s="58">
        <f>IF($B116="","",SUMIFS(Krankmeldungen!$AA$6:$AA$1005,Krankmeldungen!$A$6:$A$1005,$A116))</f>
        <v/>
      </c>
      <c r="G116" s="58">
        <f>IF($B116="","",SUMIFS(Krankmeldungen!$AB$6:$AB$1005,Krankmeldungen!$A$6:$A$1005,$A116))</f>
        <v/>
      </c>
      <c r="H116" s="58">
        <f>IF($B116="","",SUMIFS(Krankmeldungen!$AC$6:$AC$1005,Krankmeldungen!$A$6:$A$1005,$A116))</f>
        <v/>
      </c>
      <c r="I116" s="58">
        <f>IF($B116="","",SUMIFS(Krankmeldungen!$AD$6:$AD$1005,Krankmeldungen!$A$6:$A$1005,$A116))</f>
        <v/>
      </c>
      <c r="J116" s="58">
        <f>IF($B116="","",SUMIFS(Krankmeldungen!$AE$6:$AE$1005,Krankmeldungen!$A$6:$A$1005,$A116))</f>
        <v/>
      </c>
      <c r="K116" s="58">
        <f>IF($B116="","",SUMIFS(Krankmeldungen!$AF$6:$AF$1005,Krankmeldungen!$A$6:$A$1005,$A116))</f>
        <v/>
      </c>
      <c r="L116" s="58">
        <f>IF($B116="","",SUMIFS(Krankmeldungen!$AG$6:$AG$1005,Krankmeldungen!$A$6:$A$1005,$A116))</f>
        <v/>
      </c>
      <c r="M116" s="58">
        <f>IF($B116="","",SUMIFS(Krankmeldungen!$AH$6:$AH$1005,Krankmeldungen!$A$6:$A$1005,$A116))</f>
        <v/>
      </c>
      <c r="N116" s="58">
        <f>IF($B116="","",SUMIFS(Krankmeldungen!$AI$6:$AI$1005,Krankmeldungen!$A$6:$A$1005,$A116))</f>
        <v/>
      </c>
      <c r="O116" s="65">
        <f>IF($B116="","",SUM(C116:N116))</f>
        <v/>
      </c>
      <c r="P116" s="57">
        <f>'KQuote Mitarbeiter'!D116</f>
        <v/>
      </c>
      <c r="Q116" s="67">
        <f>'KQuote Mitarbeiter'!J116</f>
        <v/>
      </c>
    </row>
    <row r="117">
      <c r="A117" s="61">
        <f>'KQuote Mitarbeiter'!A117</f>
        <v/>
      </c>
      <c r="B117" s="62">
        <f>'KQuote Mitarbeiter'!B117</f>
        <v/>
      </c>
      <c r="C117" s="58">
        <f>IF($B117="","",SUMIFS(Krankmeldungen!$X$6:$X$1005,Krankmeldungen!$A$6:$A$1005,$A117))</f>
        <v/>
      </c>
      <c r="D117" s="58">
        <f>IF($B117="","",SUMIFS(Krankmeldungen!$Y$6:$Y$1005,Krankmeldungen!$A$6:$A$1005,$A117))</f>
        <v/>
      </c>
      <c r="E117" s="58">
        <f>IF($B117="","",SUMIFS(Krankmeldungen!$Z$6:$Z$1005,Krankmeldungen!$A$6:$A$1005,$A117))</f>
        <v/>
      </c>
      <c r="F117" s="58">
        <f>IF($B117="","",SUMIFS(Krankmeldungen!$AA$6:$AA$1005,Krankmeldungen!$A$6:$A$1005,$A117))</f>
        <v/>
      </c>
      <c r="G117" s="58">
        <f>IF($B117="","",SUMIFS(Krankmeldungen!$AB$6:$AB$1005,Krankmeldungen!$A$6:$A$1005,$A117))</f>
        <v/>
      </c>
      <c r="H117" s="58">
        <f>IF($B117="","",SUMIFS(Krankmeldungen!$AC$6:$AC$1005,Krankmeldungen!$A$6:$A$1005,$A117))</f>
        <v/>
      </c>
      <c r="I117" s="58">
        <f>IF($B117="","",SUMIFS(Krankmeldungen!$AD$6:$AD$1005,Krankmeldungen!$A$6:$A$1005,$A117))</f>
        <v/>
      </c>
      <c r="J117" s="58">
        <f>IF($B117="","",SUMIFS(Krankmeldungen!$AE$6:$AE$1005,Krankmeldungen!$A$6:$A$1005,$A117))</f>
        <v/>
      </c>
      <c r="K117" s="58">
        <f>IF($B117="","",SUMIFS(Krankmeldungen!$AF$6:$AF$1005,Krankmeldungen!$A$6:$A$1005,$A117))</f>
        <v/>
      </c>
      <c r="L117" s="58">
        <f>IF($B117="","",SUMIFS(Krankmeldungen!$AG$6:$AG$1005,Krankmeldungen!$A$6:$A$1005,$A117))</f>
        <v/>
      </c>
      <c r="M117" s="58">
        <f>IF($B117="","",SUMIFS(Krankmeldungen!$AH$6:$AH$1005,Krankmeldungen!$A$6:$A$1005,$A117))</f>
        <v/>
      </c>
      <c r="N117" s="58">
        <f>IF($B117="","",SUMIFS(Krankmeldungen!$AI$6:$AI$1005,Krankmeldungen!$A$6:$A$1005,$A117))</f>
        <v/>
      </c>
      <c r="O117" s="65">
        <f>IF($B117="","",SUM(C117:N117))</f>
        <v/>
      </c>
      <c r="P117" s="57">
        <f>'KQuote Mitarbeiter'!D117</f>
        <v/>
      </c>
      <c r="Q117" s="67">
        <f>'KQuote Mitarbeiter'!J117</f>
        <v/>
      </c>
    </row>
    <row r="118">
      <c r="A118" s="61">
        <f>'KQuote Mitarbeiter'!A118</f>
        <v/>
      </c>
      <c r="B118" s="62">
        <f>'KQuote Mitarbeiter'!B118</f>
        <v/>
      </c>
      <c r="C118" s="58">
        <f>IF($B118="","",SUMIFS(Krankmeldungen!$X$6:$X$1005,Krankmeldungen!$A$6:$A$1005,$A118))</f>
        <v/>
      </c>
      <c r="D118" s="58">
        <f>IF($B118="","",SUMIFS(Krankmeldungen!$Y$6:$Y$1005,Krankmeldungen!$A$6:$A$1005,$A118))</f>
        <v/>
      </c>
      <c r="E118" s="58">
        <f>IF($B118="","",SUMIFS(Krankmeldungen!$Z$6:$Z$1005,Krankmeldungen!$A$6:$A$1005,$A118))</f>
        <v/>
      </c>
      <c r="F118" s="58">
        <f>IF($B118="","",SUMIFS(Krankmeldungen!$AA$6:$AA$1005,Krankmeldungen!$A$6:$A$1005,$A118))</f>
        <v/>
      </c>
      <c r="G118" s="58">
        <f>IF($B118="","",SUMIFS(Krankmeldungen!$AB$6:$AB$1005,Krankmeldungen!$A$6:$A$1005,$A118))</f>
        <v/>
      </c>
      <c r="H118" s="58">
        <f>IF($B118="","",SUMIFS(Krankmeldungen!$AC$6:$AC$1005,Krankmeldungen!$A$6:$A$1005,$A118))</f>
        <v/>
      </c>
      <c r="I118" s="58">
        <f>IF($B118="","",SUMIFS(Krankmeldungen!$AD$6:$AD$1005,Krankmeldungen!$A$6:$A$1005,$A118))</f>
        <v/>
      </c>
      <c r="J118" s="58">
        <f>IF($B118="","",SUMIFS(Krankmeldungen!$AE$6:$AE$1005,Krankmeldungen!$A$6:$A$1005,$A118))</f>
        <v/>
      </c>
      <c r="K118" s="58">
        <f>IF($B118="","",SUMIFS(Krankmeldungen!$AF$6:$AF$1005,Krankmeldungen!$A$6:$A$1005,$A118))</f>
        <v/>
      </c>
      <c r="L118" s="58">
        <f>IF($B118="","",SUMIFS(Krankmeldungen!$AG$6:$AG$1005,Krankmeldungen!$A$6:$A$1005,$A118))</f>
        <v/>
      </c>
      <c r="M118" s="58">
        <f>IF($B118="","",SUMIFS(Krankmeldungen!$AH$6:$AH$1005,Krankmeldungen!$A$6:$A$1005,$A118))</f>
        <v/>
      </c>
      <c r="N118" s="58">
        <f>IF($B118="","",SUMIFS(Krankmeldungen!$AI$6:$AI$1005,Krankmeldungen!$A$6:$A$1005,$A118))</f>
        <v/>
      </c>
      <c r="O118" s="65">
        <f>IF($B118="","",SUM(C118:N118))</f>
        <v/>
      </c>
      <c r="P118" s="57">
        <f>'KQuote Mitarbeiter'!D118</f>
        <v/>
      </c>
      <c r="Q118" s="67">
        <f>'KQuote Mitarbeiter'!J118</f>
        <v/>
      </c>
    </row>
    <row r="119">
      <c r="A119" s="61">
        <f>'KQuote Mitarbeiter'!A119</f>
        <v/>
      </c>
      <c r="B119" s="62">
        <f>'KQuote Mitarbeiter'!B119</f>
        <v/>
      </c>
      <c r="C119" s="58">
        <f>IF($B119="","",SUMIFS(Krankmeldungen!$X$6:$X$1005,Krankmeldungen!$A$6:$A$1005,$A119))</f>
        <v/>
      </c>
      <c r="D119" s="58">
        <f>IF($B119="","",SUMIFS(Krankmeldungen!$Y$6:$Y$1005,Krankmeldungen!$A$6:$A$1005,$A119))</f>
        <v/>
      </c>
      <c r="E119" s="58">
        <f>IF($B119="","",SUMIFS(Krankmeldungen!$Z$6:$Z$1005,Krankmeldungen!$A$6:$A$1005,$A119))</f>
        <v/>
      </c>
      <c r="F119" s="58">
        <f>IF($B119="","",SUMIFS(Krankmeldungen!$AA$6:$AA$1005,Krankmeldungen!$A$6:$A$1005,$A119))</f>
        <v/>
      </c>
      <c r="G119" s="58">
        <f>IF($B119="","",SUMIFS(Krankmeldungen!$AB$6:$AB$1005,Krankmeldungen!$A$6:$A$1005,$A119))</f>
        <v/>
      </c>
      <c r="H119" s="58">
        <f>IF($B119="","",SUMIFS(Krankmeldungen!$AC$6:$AC$1005,Krankmeldungen!$A$6:$A$1005,$A119))</f>
        <v/>
      </c>
      <c r="I119" s="58">
        <f>IF($B119="","",SUMIFS(Krankmeldungen!$AD$6:$AD$1005,Krankmeldungen!$A$6:$A$1005,$A119))</f>
        <v/>
      </c>
      <c r="J119" s="58">
        <f>IF($B119="","",SUMIFS(Krankmeldungen!$AE$6:$AE$1005,Krankmeldungen!$A$6:$A$1005,$A119))</f>
        <v/>
      </c>
      <c r="K119" s="58">
        <f>IF($B119="","",SUMIFS(Krankmeldungen!$AF$6:$AF$1005,Krankmeldungen!$A$6:$A$1005,$A119))</f>
        <v/>
      </c>
      <c r="L119" s="58">
        <f>IF($B119="","",SUMIFS(Krankmeldungen!$AG$6:$AG$1005,Krankmeldungen!$A$6:$A$1005,$A119))</f>
        <v/>
      </c>
      <c r="M119" s="58">
        <f>IF($B119="","",SUMIFS(Krankmeldungen!$AH$6:$AH$1005,Krankmeldungen!$A$6:$A$1005,$A119))</f>
        <v/>
      </c>
      <c r="N119" s="58">
        <f>IF($B119="","",SUMIFS(Krankmeldungen!$AI$6:$AI$1005,Krankmeldungen!$A$6:$A$1005,$A119))</f>
        <v/>
      </c>
      <c r="O119" s="65">
        <f>IF($B119="","",SUM(C119:N119))</f>
        <v/>
      </c>
      <c r="P119" s="57">
        <f>'KQuote Mitarbeiter'!D119</f>
        <v/>
      </c>
      <c r="Q119" s="67">
        <f>'KQuote Mitarbeiter'!J119</f>
        <v/>
      </c>
    </row>
    <row r="120">
      <c r="A120" s="61">
        <f>'KQuote Mitarbeiter'!A120</f>
        <v/>
      </c>
      <c r="B120" s="62">
        <f>'KQuote Mitarbeiter'!B120</f>
        <v/>
      </c>
      <c r="C120" s="58">
        <f>IF($B120="","",SUMIFS(Krankmeldungen!$X$6:$X$1005,Krankmeldungen!$A$6:$A$1005,$A120))</f>
        <v/>
      </c>
      <c r="D120" s="58">
        <f>IF($B120="","",SUMIFS(Krankmeldungen!$Y$6:$Y$1005,Krankmeldungen!$A$6:$A$1005,$A120))</f>
        <v/>
      </c>
      <c r="E120" s="58">
        <f>IF($B120="","",SUMIFS(Krankmeldungen!$Z$6:$Z$1005,Krankmeldungen!$A$6:$A$1005,$A120))</f>
        <v/>
      </c>
      <c r="F120" s="58">
        <f>IF($B120="","",SUMIFS(Krankmeldungen!$AA$6:$AA$1005,Krankmeldungen!$A$6:$A$1005,$A120))</f>
        <v/>
      </c>
      <c r="G120" s="58">
        <f>IF($B120="","",SUMIFS(Krankmeldungen!$AB$6:$AB$1005,Krankmeldungen!$A$6:$A$1005,$A120))</f>
        <v/>
      </c>
      <c r="H120" s="58">
        <f>IF($B120="","",SUMIFS(Krankmeldungen!$AC$6:$AC$1005,Krankmeldungen!$A$6:$A$1005,$A120))</f>
        <v/>
      </c>
      <c r="I120" s="58">
        <f>IF($B120="","",SUMIFS(Krankmeldungen!$AD$6:$AD$1005,Krankmeldungen!$A$6:$A$1005,$A120))</f>
        <v/>
      </c>
      <c r="J120" s="58">
        <f>IF($B120="","",SUMIFS(Krankmeldungen!$AE$6:$AE$1005,Krankmeldungen!$A$6:$A$1005,$A120))</f>
        <v/>
      </c>
      <c r="K120" s="58">
        <f>IF($B120="","",SUMIFS(Krankmeldungen!$AF$6:$AF$1005,Krankmeldungen!$A$6:$A$1005,$A120))</f>
        <v/>
      </c>
      <c r="L120" s="58">
        <f>IF($B120="","",SUMIFS(Krankmeldungen!$AG$6:$AG$1005,Krankmeldungen!$A$6:$A$1005,$A120))</f>
        <v/>
      </c>
      <c r="M120" s="58">
        <f>IF($B120="","",SUMIFS(Krankmeldungen!$AH$6:$AH$1005,Krankmeldungen!$A$6:$A$1005,$A120))</f>
        <v/>
      </c>
      <c r="N120" s="58">
        <f>IF($B120="","",SUMIFS(Krankmeldungen!$AI$6:$AI$1005,Krankmeldungen!$A$6:$A$1005,$A120))</f>
        <v/>
      </c>
      <c r="O120" s="65">
        <f>IF($B120="","",SUM(C120:N120))</f>
        <v/>
      </c>
      <c r="P120" s="57">
        <f>'KQuote Mitarbeiter'!D120</f>
        <v/>
      </c>
      <c r="Q120" s="67">
        <f>'KQuote Mitarbeiter'!J120</f>
        <v/>
      </c>
    </row>
    <row r="121">
      <c r="A121" s="61">
        <f>'KQuote Mitarbeiter'!A121</f>
        <v/>
      </c>
      <c r="B121" s="62">
        <f>'KQuote Mitarbeiter'!B121</f>
        <v/>
      </c>
      <c r="C121" s="58">
        <f>IF($B121="","",SUMIFS(Krankmeldungen!$X$6:$X$1005,Krankmeldungen!$A$6:$A$1005,$A121))</f>
        <v/>
      </c>
      <c r="D121" s="58">
        <f>IF($B121="","",SUMIFS(Krankmeldungen!$Y$6:$Y$1005,Krankmeldungen!$A$6:$A$1005,$A121))</f>
        <v/>
      </c>
      <c r="E121" s="58">
        <f>IF($B121="","",SUMIFS(Krankmeldungen!$Z$6:$Z$1005,Krankmeldungen!$A$6:$A$1005,$A121))</f>
        <v/>
      </c>
      <c r="F121" s="58">
        <f>IF($B121="","",SUMIFS(Krankmeldungen!$AA$6:$AA$1005,Krankmeldungen!$A$6:$A$1005,$A121))</f>
        <v/>
      </c>
      <c r="G121" s="58">
        <f>IF($B121="","",SUMIFS(Krankmeldungen!$AB$6:$AB$1005,Krankmeldungen!$A$6:$A$1005,$A121))</f>
        <v/>
      </c>
      <c r="H121" s="58">
        <f>IF($B121="","",SUMIFS(Krankmeldungen!$AC$6:$AC$1005,Krankmeldungen!$A$6:$A$1005,$A121))</f>
        <v/>
      </c>
      <c r="I121" s="58">
        <f>IF($B121="","",SUMIFS(Krankmeldungen!$AD$6:$AD$1005,Krankmeldungen!$A$6:$A$1005,$A121))</f>
        <v/>
      </c>
      <c r="J121" s="58">
        <f>IF($B121="","",SUMIFS(Krankmeldungen!$AE$6:$AE$1005,Krankmeldungen!$A$6:$A$1005,$A121))</f>
        <v/>
      </c>
      <c r="K121" s="58">
        <f>IF($B121="","",SUMIFS(Krankmeldungen!$AF$6:$AF$1005,Krankmeldungen!$A$6:$A$1005,$A121))</f>
        <v/>
      </c>
      <c r="L121" s="58">
        <f>IF($B121="","",SUMIFS(Krankmeldungen!$AG$6:$AG$1005,Krankmeldungen!$A$6:$A$1005,$A121))</f>
        <v/>
      </c>
      <c r="M121" s="58">
        <f>IF($B121="","",SUMIFS(Krankmeldungen!$AH$6:$AH$1005,Krankmeldungen!$A$6:$A$1005,$A121))</f>
        <v/>
      </c>
      <c r="N121" s="58">
        <f>IF($B121="","",SUMIFS(Krankmeldungen!$AI$6:$AI$1005,Krankmeldungen!$A$6:$A$1005,$A121))</f>
        <v/>
      </c>
      <c r="O121" s="65">
        <f>IF($B121="","",SUM(C121:N121))</f>
        <v/>
      </c>
      <c r="P121" s="57">
        <f>'KQuote Mitarbeiter'!D121</f>
        <v/>
      </c>
      <c r="Q121" s="67">
        <f>'KQuote Mitarbeiter'!J121</f>
        <v/>
      </c>
    </row>
    <row r="122">
      <c r="A122" s="61">
        <f>'KQuote Mitarbeiter'!A122</f>
        <v/>
      </c>
      <c r="B122" s="62">
        <f>'KQuote Mitarbeiter'!B122</f>
        <v/>
      </c>
      <c r="C122" s="58">
        <f>IF($B122="","",SUMIFS(Krankmeldungen!$X$6:$X$1005,Krankmeldungen!$A$6:$A$1005,$A122))</f>
        <v/>
      </c>
      <c r="D122" s="58">
        <f>IF($B122="","",SUMIFS(Krankmeldungen!$Y$6:$Y$1005,Krankmeldungen!$A$6:$A$1005,$A122))</f>
        <v/>
      </c>
      <c r="E122" s="58">
        <f>IF($B122="","",SUMIFS(Krankmeldungen!$Z$6:$Z$1005,Krankmeldungen!$A$6:$A$1005,$A122))</f>
        <v/>
      </c>
      <c r="F122" s="58">
        <f>IF($B122="","",SUMIFS(Krankmeldungen!$AA$6:$AA$1005,Krankmeldungen!$A$6:$A$1005,$A122))</f>
        <v/>
      </c>
      <c r="G122" s="58">
        <f>IF($B122="","",SUMIFS(Krankmeldungen!$AB$6:$AB$1005,Krankmeldungen!$A$6:$A$1005,$A122))</f>
        <v/>
      </c>
      <c r="H122" s="58">
        <f>IF($B122="","",SUMIFS(Krankmeldungen!$AC$6:$AC$1005,Krankmeldungen!$A$6:$A$1005,$A122))</f>
        <v/>
      </c>
      <c r="I122" s="58">
        <f>IF($B122="","",SUMIFS(Krankmeldungen!$AD$6:$AD$1005,Krankmeldungen!$A$6:$A$1005,$A122))</f>
        <v/>
      </c>
      <c r="J122" s="58">
        <f>IF($B122="","",SUMIFS(Krankmeldungen!$AE$6:$AE$1005,Krankmeldungen!$A$6:$A$1005,$A122))</f>
        <v/>
      </c>
      <c r="K122" s="58">
        <f>IF($B122="","",SUMIFS(Krankmeldungen!$AF$6:$AF$1005,Krankmeldungen!$A$6:$A$1005,$A122))</f>
        <v/>
      </c>
      <c r="L122" s="58">
        <f>IF($B122="","",SUMIFS(Krankmeldungen!$AG$6:$AG$1005,Krankmeldungen!$A$6:$A$1005,$A122))</f>
        <v/>
      </c>
      <c r="M122" s="58">
        <f>IF($B122="","",SUMIFS(Krankmeldungen!$AH$6:$AH$1005,Krankmeldungen!$A$6:$A$1005,$A122))</f>
        <v/>
      </c>
      <c r="N122" s="58">
        <f>IF($B122="","",SUMIFS(Krankmeldungen!$AI$6:$AI$1005,Krankmeldungen!$A$6:$A$1005,$A122))</f>
        <v/>
      </c>
      <c r="O122" s="65">
        <f>IF($B122="","",SUM(C122:N122))</f>
        <v/>
      </c>
      <c r="P122" s="57">
        <f>'KQuote Mitarbeiter'!D122</f>
        <v/>
      </c>
      <c r="Q122" s="67">
        <f>'KQuote Mitarbeiter'!J122</f>
        <v/>
      </c>
    </row>
    <row r="123">
      <c r="A123" s="61">
        <f>'KQuote Mitarbeiter'!A123</f>
        <v/>
      </c>
      <c r="B123" s="62">
        <f>'KQuote Mitarbeiter'!B123</f>
        <v/>
      </c>
      <c r="C123" s="58">
        <f>IF($B123="","",SUMIFS(Krankmeldungen!$X$6:$X$1005,Krankmeldungen!$A$6:$A$1005,$A123))</f>
        <v/>
      </c>
      <c r="D123" s="58">
        <f>IF($B123="","",SUMIFS(Krankmeldungen!$Y$6:$Y$1005,Krankmeldungen!$A$6:$A$1005,$A123))</f>
        <v/>
      </c>
      <c r="E123" s="58">
        <f>IF($B123="","",SUMIFS(Krankmeldungen!$Z$6:$Z$1005,Krankmeldungen!$A$6:$A$1005,$A123))</f>
        <v/>
      </c>
      <c r="F123" s="58">
        <f>IF($B123="","",SUMIFS(Krankmeldungen!$AA$6:$AA$1005,Krankmeldungen!$A$6:$A$1005,$A123))</f>
        <v/>
      </c>
      <c r="G123" s="58">
        <f>IF($B123="","",SUMIFS(Krankmeldungen!$AB$6:$AB$1005,Krankmeldungen!$A$6:$A$1005,$A123))</f>
        <v/>
      </c>
      <c r="H123" s="58">
        <f>IF($B123="","",SUMIFS(Krankmeldungen!$AC$6:$AC$1005,Krankmeldungen!$A$6:$A$1005,$A123))</f>
        <v/>
      </c>
      <c r="I123" s="58">
        <f>IF($B123="","",SUMIFS(Krankmeldungen!$AD$6:$AD$1005,Krankmeldungen!$A$6:$A$1005,$A123))</f>
        <v/>
      </c>
      <c r="J123" s="58">
        <f>IF($B123="","",SUMIFS(Krankmeldungen!$AE$6:$AE$1005,Krankmeldungen!$A$6:$A$1005,$A123))</f>
        <v/>
      </c>
      <c r="K123" s="58">
        <f>IF($B123="","",SUMIFS(Krankmeldungen!$AF$6:$AF$1005,Krankmeldungen!$A$6:$A$1005,$A123))</f>
        <v/>
      </c>
      <c r="L123" s="58">
        <f>IF($B123="","",SUMIFS(Krankmeldungen!$AG$6:$AG$1005,Krankmeldungen!$A$6:$A$1005,$A123))</f>
        <v/>
      </c>
      <c r="M123" s="58">
        <f>IF($B123="","",SUMIFS(Krankmeldungen!$AH$6:$AH$1005,Krankmeldungen!$A$6:$A$1005,$A123))</f>
        <v/>
      </c>
      <c r="N123" s="58">
        <f>IF($B123="","",SUMIFS(Krankmeldungen!$AI$6:$AI$1005,Krankmeldungen!$A$6:$A$1005,$A123))</f>
        <v/>
      </c>
      <c r="O123" s="65">
        <f>IF($B123="","",SUM(C123:N123))</f>
        <v/>
      </c>
      <c r="P123" s="57">
        <f>'KQuote Mitarbeiter'!D123</f>
        <v/>
      </c>
      <c r="Q123" s="67">
        <f>'KQuote Mitarbeiter'!J123</f>
        <v/>
      </c>
    </row>
    <row r="124">
      <c r="A124" s="61">
        <f>'KQuote Mitarbeiter'!A124</f>
        <v/>
      </c>
      <c r="B124" s="62">
        <f>'KQuote Mitarbeiter'!B124</f>
        <v/>
      </c>
      <c r="C124" s="58">
        <f>IF($B124="","",SUMIFS(Krankmeldungen!$X$6:$X$1005,Krankmeldungen!$A$6:$A$1005,$A124))</f>
        <v/>
      </c>
      <c r="D124" s="58">
        <f>IF($B124="","",SUMIFS(Krankmeldungen!$Y$6:$Y$1005,Krankmeldungen!$A$6:$A$1005,$A124))</f>
        <v/>
      </c>
      <c r="E124" s="58">
        <f>IF($B124="","",SUMIFS(Krankmeldungen!$Z$6:$Z$1005,Krankmeldungen!$A$6:$A$1005,$A124))</f>
        <v/>
      </c>
      <c r="F124" s="58">
        <f>IF($B124="","",SUMIFS(Krankmeldungen!$AA$6:$AA$1005,Krankmeldungen!$A$6:$A$1005,$A124))</f>
        <v/>
      </c>
      <c r="G124" s="58">
        <f>IF($B124="","",SUMIFS(Krankmeldungen!$AB$6:$AB$1005,Krankmeldungen!$A$6:$A$1005,$A124))</f>
        <v/>
      </c>
      <c r="H124" s="58">
        <f>IF($B124="","",SUMIFS(Krankmeldungen!$AC$6:$AC$1005,Krankmeldungen!$A$6:$A$1005,$A124))</f>
        <v/>
      </c>
      <c r="I124" s="58">
        <f>IF($B124="","",SUMIFS(Krankmeldungen!$AD$6:$AD$1005,Krankmeldungen!$A$6:$A$1005,$A124))</f>
        <v/>
      </c>
      <c r="J124" s="58">
        <f>IF($B124="","",SUMIFS(Krankmeldungen!$AE$6:$AE$1005,Krankmeldungen!$A$6:$A$1005,$A124))</f>
        <v/>
      </c>
      <c r="K124" s="58">
        <f>IF($B124="","",SUMIFS(Krankmeldungen!$AF$6:$AF$1005,Krankmeldungen!$A$6:$A$1005,$A124))</f>
        <v/>
      </c>
      <c r="L124" s="58">
        <f>IF($B124="","",SUMIFS(Krankmeldungen!$AG$6:$AG$1005,Krankmeldungen!$A$6:$A$1005,$A124))</f>
        <v/>
      </c>
      <c r="M124" s="58">
        <f>IF($B124="","",SUMIFS(Krankmeldungen!$AH$6:$AH$1005,Krankmeldungen!$A$6:$A$1005,$A124))</f>
        <v/>
      </c>
      <c r="N124" s="58">
        <f>IF($B124="","",SUMIFS(Krankmeldungen!$AI$6:$AI$1005,Krankmeldungen!$A$6:$A$1005,$A124))</f>
        <v/>
      </c>
      <c r="O124" s="65">
        <f>IF($B124="","",SUM(C124:N124))</f>
        <v/>
      </c>
      <c r="P124" s="57">
        <f>'KQuote Mitarbeiter'!D124</f>
        <v/>
      </c>
      <c r="Q124" s="67">
        <f>'KQuote Mitarbeiter'!J124</f>
        <v/>
      </c>
    </row>
    <row r="125">
      <c r="A125" s="61">
        <f>'KQuote Mitarbeiter'!A125</f>
        <v/>
      </c>
      <c r="B125" s="62">
        <f>'KQuote Mitarbeiter'!B125</f>
        <v/>
      </c>
      <c r="C125" s="58">
        <f>IF($B125="","",SUMIFS(Krankmeldungen!$X$6:$X$1005,Krankmeldungen!$A$6:$A$1005,$A125))</f>
        <v/>
      </c>
      <c r="D125" s="58">
        <f>IF($B125="","",SUMIFS(Krankmeldungen!$Y$6:$Y$1005,Krankmeldungen!$A$6:$A$1005,$A125))</f>
        <v/>
      </c>
      <c r="E125" s="58">
        <f>IF($B125="","",SUMIFS(Krankmeldungen!$Z$6:$Z$1005,Krankmeldungen!$A$6:$A$1005,$A125))</f>
        <v/>
      </c>
      <c r="F125" s="58">
        <f>IF($B125="","",SUMIFS(Krankmeldungen!$AA$6:$AA$1005,Krankmeldungen!$A$6:$A$1005,$A125))</f>
        <v/>
      </c>
      <c r="G125" s="58">
        <f>IF($B125="","",SUMIFS(Krankmeldungen!$AB$6:$AB$1005,Krankmeldungen!$A$6:$A$1005,$A125))</f>
        <v/>
      </c>
      <c r="H125" s="58">
        <f>IF($B125="","",SUMIFS(Krankmeldungen!$AC$6:$AC$1005,Krankmeldungen!$A$6:$A$1005,$A125))</f>
        <v/>
      </c>
      <c r="I125" s="58">
        <f>IF($B125="","",SUMIFS(Krankmeldungen!$AD$6:$AD$1005,Krankmeldungen!$A$6:$A$1005,$A125))</f>
        <v/>
      </c>
      <c r="J125" s="58">
        <f>IF($B125="","",SUMIFS(Krankmeldungen!$AE$6:$AE$1005,Krankmeldungen!$A$6:$A$1005,$A125))</f>
        <v/>
      </c>
      <c r="K125" s="58">
        <f>IF($B125="","",SUMIFS(Krankmeldungen!$AF$6:$AF$1005,Krankmeldungen!$A$6:$A$1005,$A125))</f>
        <v/>
      </c>
      <c r="L125" s="58">
        <f>IF($B125="","",SUMIFS(Krankmeldungen!$AG$6:$AG$1005,Krankmeldungen!$A$6:$A$1005,$A125))</f>
        <v/>
      </c>
      <c r="M125" s="58">
        <f>IF($B125="","",SUMIFS(Krankmeldungen!$AH$6:$AH$1005,Krankmeldungen!$A$6:$A$1005,$A125))</f>
        <v/>
      </c>
      <c r="N125" s="58">
        <f>IF($B125="","",SUMIFS(Krankmeldungen!$AI$6:$AI$1005,Krankmeldungen!$A$6:$A$1005,$A125))</f>
        <v/>
      </c>
      <c r="O125" s="65">
        <f>IF($B125="","",SUM(C125:N125))</f>
        <v/>
      </c>
      <c r="P125" s="57">
        <f>'KQuote Mitarbeiter'!D125</f>
        <v/>
      </c>
      <c r="Q125" s="67">
        <f>'KQuote Mitarbeiter'!J125</f>
        <v/>
      </c>
    </row>
    <row r="126">
      <c r="A126" s="61">
        <f>'KQuote Mitarbeiter'!A126</f>
        <v/>
      </c>
      <c r="B126" s="62">
        <f>'KQuote Mitarbeiter'!B126</f>
        <v/>
      </c>
      <c r="C126" s="58">
        <f>IF($B126="","",SUMIFS(Krankmeldungen!$X$6:$X$1005,Krankmeldungen!$A$6:$A$1005,$A126))</f>
        <v/>
      </c>
      <c r="D126" s="58">
        <f>IF($B126="","",SUMIFS(Krankmeldungen!$Y$6:$Y$1005,Krankmeldungen!$A$6:$A$1005,$A126))</f>
        <v/>
      </c>
      <c r="E126" s="58">
        <f>IF($B126="","",SUMIFS(Krankmeldungen!$Z$6:$Z$1005,Krankmeldungen!$A$6:$A$1005,$A126))</f>
        <v/>
      </c>
      <c r="F126" s="58">
        <f>IF($B126="","",SUMIFS(Krankmeldungen!$AA$6:$AA$1005,Krankmeldungen!$A$6:$A$1005,$A126))</f>
        <v/>
      </c>
      <c r="G126" s="58">
        <f>IF($B126="","",SUMIFS(Krankmeldungen!$AB$6:$AB$1005,Krankmeldungen!$A$6:$A$1005,$A126))</f>
        <v/>
      </c>
      <c r="H126" s="58">
        <f>IF($B126="","",SUMIFS(Krankmeldungen!$AC$6:$AC$1005,Krankmeldungen!$A$6:$A$1005,$A126))</f>
        <v/>
      </c>
      <c r="I126" s="58">
        <f>IF($B126="","",SUMIFS(Krankmeldungen!$AD$6:$AD$1005,Krankmeldungen!$A$6:$A$1005,$A126))</f>
        <v/>
      </c>
      <c r="J126" s="58">
        <f>IF($B126="","",SUMIFS(Krankmeldungen!$AE$6:$AE$1005,Krankmeldungen!$A$6:$A$1005,$A126))</f>
        <v/>
      </c>
      <c r="K126" s="58">
        <f>IF($B126="","",SUMIFS(Krankmeldungen!$AF$6:$AF$1005,Krankmeldungen!$A$6:$A$1005,$A126))</f>
        <v/>
      </c>
      <c r="L126" s="58">
        <f>IF($B126="","",SUMIFS(Krankmeldungen!$AG$6:$AG$1005,Krankmeldungen!$A$6:$A$1005,$A126))</f>
        <v/>
      </c>
      <c r="M126" s="58">
        <f>IF($B126="","",SUMIFS(Krankmeldungen!$AH$6:$AH$1005,Krankmeldungen!$A$6:$A$1005,$A126))</f>
        <v/>
      </c>
      <c r="N126" s="58">
        <f>IF($B126="","",SUMIFS(Krankmeldungen!$AI$6:$AI$1005,Krankmeldungen!$A$6:$A$1005,$A126))</f>
        <v/>
      </c>
      <c r="O126" s="65">
        <f>IF($B126="","",SUM(C126:N126))</f>
        <v/>
      </c>
      <c r="P126" s="57">
        <f>'KQuote Mitarbeiter'!D126</f>
        <v/>
      </c>
      <c r="Q126" s="67">
        <f>'KQuote Mitarbeiter'!J126</f>
        <v/>
      </c>
    </row>
    <row r="127">
      <c r="A127" s="61">
        <f>'KQuote Mitarbeiter'!A127</f>
        <v/>
      </c>
      <c r="B127" s="62">
        <f>'KQuote Mitarbeiter'!B127</f>
        <v/>
      </c>
      <c r="C127" s="58">
        <f>IF($B127="","",SUMIFS(Krankmeldungen!$X$6:$X$1005,Krankmeldungen!$A$6:$A$1005,$A127))</f>
        <v/>
      </c>
      <c r="D127" s="58">
        <f>IF($B127="","",SUMIFS(Krankmeldungen!$Y$6:$Y$1005,Krankmeldungen!$A$6:$A$1005,$A127))</f>
        <v/>
      </c>
      <c r="E127" s="58">
        <f>IF($B127="","",SUMIFS(Krankmeldungen!$Z$6:$Z$1005,Krankmeldungen!$A$6:$A$1005,$A127))</f>
        <v/>
      </c>
      <c r="F127" s="58">
        <f>IF($B127="","",SUMIFS(Krankmeldungen!$AA$6:$AA$1005,Krankmeldungen!$A$6:$A$1005,$A127))</f>
        <v/>
      </c>
      <c r="G127" s="58">
        <f>IF($B127="","",SUMIFS(Krankmeldungen!$AB$6:$AB$1005,Krankmeldungen!$A$6:$A$1005,$A127))</f>
        <v/>
      </c>
      <c r="H127" s="58">
        <f>IF($B127="","",SUMIFS(Krankmeldungen!$AC$6:$AC$1005,Krankmeldungen!$A$6:$A$1005,$A127))</f>
        <v/>
      </c>
      <c r="I127" s="58">
        <f>IF($B127="","",SUMIFS(Krankmeldungen!$AD$6:$AD$1005,Krankmeldungen!$A$6:$A$1005,$A127))</f>
        <v/>
      </c>
      <c r="J127" s="58">
        <f>IF($B127="","",SUMIFS(Krankmeldungen!$AE$6:$AE$1005,Krankmeldungen!$A$6:$A$1005,$A127))</f>
        <v/>
      </c>
      <c r="K127" s="58">
        <f>IF($B127="","",SUMIFS(Krankmeldungen!$AF$6:$AF$1005,Krankmeldungen!$A$6:$A$1005,$A127))</f>
        <v/>
      </c>
      <c r="L127" s="58">
        <f>IF($B127="","",SUMIFS(Krankmeldungen!$AG$6:$AG$1005,Krankmeldungen!$A$6:$A$1005,$A127))</f>
        <v/>
      </c>
      <c r="M127" s="58">
        <f>IF($B127="","",SUMIFS(Krankmeldungen!$AH$6:$AH$1005,Krankmeldungen!$A$6:$A$1005,$A127))</f>
        <v/>
      </c>
      <c r="N127" s="58">
        <f>IF($B127="","",SUMIFS(Krankmeldungen!$AI$6:$AI$1005,Krankmeldungen!$A$6:$A$1005,$A127))</f>
        <v/>
      </c>
      <c r="O127" s="65">
        <f>IF($B127="","",SUM(C127:N127))</f>
        <v/>
      </c>
      <c r="P127" s="57">
        <f>'KQuote Mitarbeiter'!D127</f>
        <v/>
      </c>
      <c r="Q127" s="67">
        <f>'KQuote Mitarbeiter'!J127</f>
        <v/>
      </c>
    </row>
    <row r="128">
      <c r="A128" s="61">
        <f>'KQuote Mitarbeiter'!A128</f>
        <v/>
      </c>
      <c r="B128" s="62">
        <f>'KQuote Mitarbeiter'!B128</f>
        <v/>
      </c>
      <c r="C128" s="58">
        <f>IF($B128="","",SUMIFS(Krankmeldungen!$X$6:$X$1005,Krankmeldungen!$A$6:$A$1005,$A128))</f>
        <v/>
      </c>
      <c r="D128" s="58">
        <f>IF($B128="","",SUMIFS(Krankmeldungen!$Y$6:$Y$1005,Krankmeldungen!$A$6:$A$1005,$A128))</f>
        <v/>
      </c>
      <c r="E128" s="58">
        <f>IF($B128="","",SUMIFS(Krankmeldungen!$Z$6:$Z$1005,Krankmeldungen!$A$6:$A$1005,$A128))</f>
        <v/>
      </c>
      <c r="F128" s="58">
        <f>IF($B128="","",SUMIFS(Krankmeldungen!$AA$6:$AA$1005,Krankmeldungen!$A$6:$A$1005,$A128))</f>
        <v/>
      </c>
      <c r="G128" s="58">
        <f>IF($B128="","",SUMIFS(Krankmeldungen!$AB$6:$AB$1005,Krankmeldungen!$A$6:$A$1005,$A128))</f>
        <v/>
      </c>
      <c r="H128" s="58">
        <f>IF($B128="","",SUMIFS(Krankmeldungen!$AC$6:$AC$1005,Krankmeldungen!$A$6:$A$1005,$A128))</f>
        <v/>
      </c>
      <c r="I128" s="58">
        <f>IF($B128="","",SUMIFS(Krankmeldungen!$AD$6:$AD$1005,Krankmeldungen!$A$6:$A$1005,$A128))</f>
        <v/>
      </c>
      <c r="J128" s="58">
        <f>IF($B128="","",SUMIFS(Krankmeldungen!$AE$6:$AE$1005,Krankmeldungen!$A$6:$A$1005,$A128))</f>
        <v/>
      </c>
      <c r="K128" s="58">
        <f>IF($B128="","",SUMIFS(Krankmeldungen!$AF$6:$AF$1005,Krankmeldungen!$A$6:$A$1005,$A128))</f>
        <v/>
      </c>
      <c r="L128" s="58">
        <f>IF($B128="","",SUMIFS(Krankmeldungen!$AG$6:$AG$1005,Krankmeldungen!$A$6:$A$1005,$A128))</f>
        <v/>
      </c>
      <c r="M128" s="58">
        <f>IF($B128="","",SUMIFS(Krankmeldungen!$AH$6:$AH$1005,Krankmeldungen!$A$6:$A$1005,$A128))</f>
        <v/>
      </c>
      <c r="N128" s="58">
        <f>IF($B128="","",SUMIFS(Krankmeldungen!$AI$6:$AI$1005,Krankmeldungen!$A$6:$A$1005,$A128))</f>
        <v/>
      </c>
      <c r="O128" s="65">
        <f>IF($B128="","",SUM(C128:N128))</f>
        <v/>
      </c>
      <c r="P128" s="57">
        <f>'KQuote Mitarbeiter'!D128</f>
        <v/>
      </c>
      <c r="Q128" s="67">
        <f>'KQuote Mitarbeiter'!J128</f>
        <v/>
      </c>
    </row>
    <row r="129">
      <c r="A129" s="61">
        <f>'KQuote Mitarbeiter'!A129</f>
        <v/>
      </c>
      <c r="B129" s="62">
        <f>'KQuote Mitarbeiter'!B129</f>
        <v/>
      </c>
      <c r="C129" s="58">
        <f>IF($B129="","",SUMIFS(Krankmeldungen!$X$6:$X$1005,Krankmeldungen!$A$6:$A$1005,$A129))</f>
        <v/>
      </c>
      <c r="D129" s="58">
        <f>IF($B129="","",SUMIFS(Krankmeldungen!$Y$6:$Y$1005,Krankmeldungen!$A$6:$A$1005,$A129))</f>
        <v/>
      </c>
      <c r="E129" s="58">
        <f>IF($B129="","",SUMIFS(Krankmeldungen!$Z$6:$Z$1005,Krankmeldungen!$A$6:$A$1005,$A129))</f>
        <v/>
      </c>
      <c r="F129" s="58">
        <f>IF($B129="","",SUMIFS(Krankmeldungen!$AA$6:$AA$1005,Krankmeldungen!$A$6:$A$1005,$A129))</f>
        <v/>
      </c>
      <c r="G129" s="58">
        <f>IF($B129="","",SUMIFS(Krankmeldungen!$AB$6:$AB$1005,Krankmeldungen!$A$6:$A$1005,$A129))</f>
        <v/>
      </c>
      <c r="H129" s="58">
        <f>IF($B129="","",SUMIFS(Krankmeldungen!$AC$6:$AC$1005,Krankmeldungen!$A$6:$A$1005,$A129))</f>
        <v/>
      </c>
      <c r="I129" s="58">
        <f>IF($B129="","",SUMIFS(Krankmeldungen!$AD$6:$AD$1005,Krankmeldungen!$A$6:$A$1005,$A129))</f>
        <v/>
      </c>
      <c r="J129" s="58">
        <f>IF($B129="","",SUMIFS(Krankmeldungen!$AE$6:$AE$1005,Krankmeldungen!$A$6:$A$1005,$A129))</f>
        <v/>
      </c>
      <c r="K129" s="58">
        <f>IF($B129="","",SUMIFS(Krankmeldungen!$AF$6:$AF$1005,Krankmeldungen!$A$6:$A$1005,$A129))</f>
        <v/>
      </c>
      <c r="L129" s="58">
        <f>IF($B129="","",SUMIFS(Krankmeldungen!$AG$6:$AG$1005,Krankmeldungen!$A$6:$A$1005,$A129))</f>
        <v/>
      </c>
      <c r="M129" s="58">
        <f>IF($B129="","",SUMIFS(Krankmeldungen!$AH$6:$AH$1005,Krankmeldungen!$A$6:$A$1005,$A129))</f>
        <v/>
      </c>
      <c r="N129" s="58">
        <f>IF($B129="","",SUMIFS(Krankmeldungen!$AI$6:$AI$1005,Krankmeldungen!$A$6:$A$1005,$A129))</f>
        <v/>
      </c>
      <c r="O129" s="65">
        <f>IF($B129="","",SUM(C129:N129))</f>
        <v/>
      </c>
      <c r="P129" s="57">
        <f>'KQuote Mitarbeiter'!D129</f>
        <v/>
      </c>
      <c r="Q129" s="67">
        <f>'KQuote Mitarbeiter'!J129</f>
        <v/>
      </c>
    </row>
    <row r="130">
      <c r="A130" s="61">
        <f>'KQuote Mitarbeiter'!A130</f>
        <v/>
      </c>
      <c r="B130" s="62">
        <f>'KQuote Mitarbeiter'!B130</f>
        <v/>
      </c>
      <c r="C130" s="58">
        <f>IF($B130="","",SUMIFS(Krankmeldungen!$X$6:$X$1005,Krankmeldungen!$A$6:$A$1005,$A130))</f>
        <v/>
      </c>
      <c r="D130" s="58">
        <f>IF($B130="","",SUMIFS(Krankmeldungen!$Y$6:$Y$1005,Krankmeldungen!$A$6:$A$1005,$A130))</f>
        <v/>
      </c>
      <c r="E130" s="58">
        <f>IF($B130="","",SUMIFS(Krankmeldungen!$Z$6:$Z$1005,Krankmeldungen!$A$6:$A$1005,$A130))</f>
        <v/>
      </c>
      <c r="F130" s="58">
        <f>IF($B130="","",SUMIFS(Krankmeldungen!$AA$6:$AA$1005,Krankmeldungen!$A$6:$A$1005,$A130))</f>
        <v/>
      </c>
      <c r="G130" s="58">
        <f>IF($B130="","",SUMIFS(Krankmeldungen!$AB$6:$AB$1005,Krankmeldungen!$A$6:$A$1005,$A130))</f>
        <v/>
      </c>
      <c r="H130" s="58">
        <f>IF($B130="","",SUMIFS(Krankmeldungen!$AC$6:$AC$1005,Krankmeldungen!$A$6:$A$1005,$A130))</f>
        <v/>
      </c>
      <c r="I130" s="58">
        <f>IF($B130="","",SUMIFS(Krankmeldungen!$AD$6:$AD$1005,Krankmeldungen!$A$6:$A$1005,$A130))</f>
        <v/>
      </c>
      <c r="J130" s="58">
        <f>IF($B130="","",SUMIFS(Krankmeldungen!$AE$6:$AE$1005,Krankmeldungen!$A$6:$A$1005,$A130))</f>
        <v/>
      </c>
      <c r="K130" s="58">
        <f>IF($B130="","",SUMIFS(Krankmeldungen!$AF$6:$AF$1005,Krankmeldungen!$A$6:$A$1005,$A130))</f>
        <v/>
      </c>
      <c r="L130" s="58">
        <f>IF($B130="","",SUMIFS(Krankmeldungen!$AG$6:$AG$1005,Krankmeldungen!$A$6:$A$1005,$A130))</f>
        <v/>
      </c>
      <c r="M130" s="58">
        <f>IF($B130="","",SUMIFS(Krankmeldungen!$AH$6:$AH$1005,Krankmeldungen!$A$6:$A$1005,$A130))</f>
        <v/>
      </c>
      <c r="N130" s="58">
        <f>IF($B130="","",SUMIFS(Krankmeldungen!$AI$6:$AI$1005,Krankmeldungen!$A$6:$A$1005,$A130))</f>
        <v/>
      </c>
      <c r="O130" s="65">
        <f>IF($B130="","",SUM(C130:N130))</f>
        <v/>
      </c>
      <c r="P130" s="57">
        <f>'KQuote Mitarbeiter'!D130</f>
        <v/>
      </c>
      <c r="Q130" s="67">
        <f>'KQuote Mitarbeiter'!J130</f>
        <v/>
      </c>
    </row>
    <row r="131">
      <c r="A131" s="61">
        <f>'KQuote Mitarbeiter'!A131</f>
        <v/>
      </c>
      <c r="B131" s="62">
        <f>'KQuote Mitarbeiter'!B131</f>
        <v/>
      </c>
      <c r="C131" s="58">
        <f>IF($B131="","",SUMIFS(Krankmeldungen!$X$6:$X$1005,Krankmeldungen!$A$6:$A$1005,$A131))</f>
        <v/>
      </c>
      <c r="D131" s="58">
        <f>IF($B131="","",SUMIFS(Krankmeldungen!$Y$6:$Y$1005,Krankmeldungen!$A$6:$A$1005,$A131))</f>
        <v/>
      </c>
      <c r="E131" s="58">
        <f>IF($B131="","",SUMIFS(Krankmeldungen!$Z$6:$Z$1005,Krankmeldungen!$A$6:$A$1005,$A131))</f>
        <v/>
      </c>
      <c r="F131" s="58">
        <f>IF($B131="","",SUMIFS(Krankmeldungen!$AA$6:$AA$1005,Krankmeldungen!$A$6:$A$1005,$A131))</f>
        <v/>
      </c>
      <c r="G131" s="58">
        <f>IF($B131="","",SUMIFS(Krankmeldungen!$AB$6:$AB$1005,Krankmeldungen!$A$6:$A$1005,$A131))</f>
        <v/>
      </c>
      <c r="H131" s="58">
        <f>IF($B131="","",SUMIFS(Krankmeldungen!$AC$6:$AC$1005,Krankmeldungen!$A$6:$A$1005,$A131))</f>
        <v/>
      </c>
      <c r="I131" s="58">
        <f>IF($B131="","",SUMIFS(Krankmeldungen!$AD$6:$AD$1005,Krankmeldungen!$A$6:$A$1005,$A131))</f>
        <v/>
      </c>
      <c r="J131" s="58">
        <f>IF($B131="","",SUMIFS(Krankmeldungen!$AE$6:$AE$1005,Krankmeldungen!$A$6:$A$1005,$A131))</f>
        <v/>
      </c>
      <c r="K131" s="58">
        <f>IF($B131="","",SUMIFS(Krankmeldungen!$AF$6:$AF$1005,Krankmeldungen!$A$6:$A$1005,$A131))</f>
        <v/>
      </c>
      <c r="L131" s="58">
        <f>IF($B131="","",SUMIFS(Krankmeldungen!$AG$6:$AG$1005,Krankmeldungen!$A$6:$A$1005,$A131))</f>
        <v/>
      </c>
      <c r="M131" s="58">
        <f>IF($B131="","",SUMIFS(Krankmeldungen!$AH$6:$AH$1005,Krankmeldungen!$A$6:$A$1005,$A131))</f>
        <v/>
      </c>
      <c r="N131" s="58">
        <f>IF($B131="","",SUMIFS(Krankmeldungen!$AI$6:$AI$1005,Krankmeldungen!$A$6:$A$1005,$A131))</f>
        <v/>
      </c>
      <c r="O131" s="65">
        <f>IF($B131="","",SUM(C131:N131))</f>
        <v/>
      </c>
      <c r="P131" s="57">
        <f>'KQuote Mitarbeiter'!D131</f>
        <v/>
      </c>
      <c r="Q131" s="67">
        <f>'KQuote Mitarbeiter'!J131</f>
        <v/>
      </c>
    </row>
    <row r="132">
      <c r="A132" s="61">
        <f>'KQuote Mitarbeiter'!A132</f>
        <v/>
      </c>
      <c r="B132" s="62">
        <f>'KQuote Mitarbeiter'!B132</f>
        <v/>
      </c>
      <c r="C132" s="58">
        <f>IF($B132="","",SUMIFS(Krankmeldungen!$X$6:$X$1005,Krankmeldungen!$A$6:$A$1005,$A132))</f>
        <v/>
      </c>
      <c r="D132" s="58">
        <f>IF($B132="","",SUMIFS(Krankmeldungen!$Y$6:$Y$1005,Krankmeldungen!$A$6:$A$1005,$A132))</f>
        <v/>
      </c>
      <c r="E132" s="58">
        <f>IF($B132="","",SUMIFS(Krankmeldungen!$Z$6:$Z$1005,Krankmeldungen!$A$6:$A$1005,$A132))</f>
        <v/>
      </c>
      <c r="F132" s="58">
        <f>IF($B132="","",SUMIFS(Krankmeldungen!$AA$6:$AA$1005,Krankmeldungen!$A$6:$A$1005,$A132))</f>
        <v/>
      </c>
      <c r="G132" s="58">
        <f>IF($B132="","",SUMIFS(Krankmeldungen!$AB$6:$AB$1005,Krankmeldungen!$A$6:$A$1005,$A132))</f>
        <v/>
      </c>
      <c r="H132" s="58">
        <f>IF($B132="","",SUMIFS(Krankmeldungen!$AC$6:$AC$1005,Krankmeldungen!$A$6:$A$1005,$A132))</f>
        <v/>
      </c>
      <c r="I132" s="58">
        <f>IF($B132="","",SUMIFS(Krankmeldungen!$AD$6:$AD$1005,Krankmeldungen!$A$6:$A$1005,$A132))</f>
        <v/>
      </c>
      <c r="J132" s="58">
        <f>IF($B132="","",SUMIFS(Krankmeldungen!$AE$6:$AE$1005,Krankmeldungen!$A$6:$A$1005,$A132))</f>
        <v/>
      </c>
      <c r="K132" s="58">
        <f>IF($B132="","",SUMIFS(Krankmeldungen!$AF$6:$AF$1005,Krankmeldungen!$A$6:$A$1005,$A132))</f>
        <v/>
      </c>
      <c r="L132" s="58">
        <f>IF($B132="","",SUMIFS(Krankmeldungen!$AG$6:$AG$1005,Krankmeldungen!$A$6:$A$1005,$A132))</f>
        <v/>
      </c>
      <c r="M132" s="58">
        <f>IF($B132="","",SUMIFS(Krankmeldungen!$AH$6:$AH$1005,Krankmeldungen!$A$6:$A$1005,$A132))</f>
        <v/>
      </c>
      <c r="N132" s="58">
        <f>IF($B132="","",SUMIFS(Krankmeldungen!$AI$6:$AI$1005,Krankmeldungen!$A$6:$A$1005,$A132))</f>
        <v/>
      </c>
      <c r="O132" s="65">
        <f>IF($B132="","",SUM(C132:N132))</f>
        <v/>
      </c>
      <c r="P132" s="57">
        <f>'KQuote Mitarbeiter'!D132</f>
        <v/>
      </c>
      <c r="Q132" s="67">
        <f>'KQuote Mitarbeiter'!J132</f>
        <v/>
      </c>
    </row>
    <row r="133">
      <c r="A133" s="61">
        <f>'KQuote Mitarbeiter'!A133</f>
        <v/>
      </c>
      <c r="B133" s="62">
        <f>'KQuote Mitarbeiter'!B133</f>
        <v/>
      </c>
      <c r="C133" s="58">
        <f>IF($B133="","",SUMIFS(Krankmeldungen!$X$6:$X$1005,Krankmeldungen!$A$6:$A$1005,$A133))</f>
        <v/>
      </c>
      <c r="D133" s="58">
        <f>IF($B133="","",SUMIFS(Krankmeldungen!$Y$6:$Y$1005,Krankmeldungen!$A$6:$A$1005,$A133))</f>
        <v/>
      </c>
      <c r="E133" s="58">
        <f>IF($B133="","",SUMIFS(Krankmeldungen!$Z$6:$Z$1005,Krankmeldungen!$A$6:$A$1005,$A133))</f>
        <v/>
      </c>
      <c r="F133" s="58">
        <f>IF($B133="","",SUMIFS(Krankmeldungen!$AA$6:$AA$1005,Krankmeldungen!$A$6:$A$1005,$A133))</f>
        <v/>
      </c>
      <c r="G133" s="58">
        <f>IF($B133="","",SUMIFS(Krankmeldungen!$AB$6:$AB$1005,Krankmeldungen!$A$6:$A$1005,$A133))</f>
        <v/>
      </c>
      <c r="H133" s="58">
        <f>IF($B133="","",SUMIFS(Krankmeldungen!$AC$6:$AC$1005,Krankmeldungen!$A$6:$A$1005,$A133))</f>
        <v/>
      </c>
      <c r="I133" s="58">
        <f>IF($B133="","",SUMIFS(Krankmeldungen!$AD$6:$AD$1005,Krankmeldungen!$A$6:$A$1005,$A133))</f>
        <v/>
      </c>
      <c r="J133" s="58">
        <f>IF($B133="","",SUMIFS(Krankmeldungen!$AE$6:$AE$1005,Krankmeldungen!$A$6:$A$1005,$A133))</f>
        <v/>
      </c>
      <c r="K133" s="58">
        <f>IF($B133="","",SUMIFS(Krankmeldungen!$AF$6:$AF$1005,Krankmeldungen!$A$6:$A$1005,$A133))</f>
        <v/>
      </c>
      <c r="L133" s="58">
        <f>IF($B133="","",SUMIFS(Krankmeldungen!$AG$6:$AG$1005,Krankmeldungen!$A$6:$A$1005,$A133))</f>
        <v/>
      </c>
      <c r="M133" s="58">
        <f>IF($B133="","",SUMIFS(Krankmeldungen!$AH$6:$AH$1005,Krankmeldungen!$A$6:$A$1005,$A133))</f>
        <v/>
      </c>
      <c r="N133" s="58">
        <f>IF($B133="","",SUMIFS(Krankmeldungen!$AI$6:$AI$1005,Krankmeldungen!$A$6:$A$1005,$A133))</f>
        <v/>
      </c>
      <c r="O133" s="65">
        <f>IF($B133="","",SUM(C133:N133))</f>
        <v/>
      </c>
      <c r="P133" s="57">
        <f>'KQuote Mitarbeiter'!D133</f>
        <v/>
      </c>
      <c r="Q133" s="67">
        <f>'KQuote Mitarbeiter'!J133</f>
        <v/>
      </c>
    </row>
    <row r="134">
      <c r="A134" s="61">
        <f>'KQuote Mitarbeiter'!A134</f>
        <v/>
      </c>
      <c r="B134" s="62">
        <f>'KQuote Mitarbeiter'!B134</f>
        <v/>
      </c>
      <c r="C134" s="58">
        <f>IF($B134="","",SUMIFS(Krankmeldungen!$X$6:$X$1005,Krankmeldungen!$A$6:$A$1005,$A134))</f>
        <v/>
      </c>
      <c r="D134" s="58">
        <f>IF($B134="","",SUMIFS(Krankmeldungen!$Y$6:$Y$1005,Krankmeldungen!$A$6:$A$1005,$A134))</f>
        <v/>
      </c>
      <c r="E134" s="58">
        <f>IF($B134="","",SUMIFS(Krankmeldungen!$Z$6:$Z$1005,Krankmeldungen!$A$6:$A$1005,$A134))</f>
        <v/>
      </c>
      <c r="F134" s="58">
        <f>IF($B134="","",SUMIFS(Krankmeldungen!$AA$6:$AA$1005,Krankmeldungen!$A$6:$A$1005,$A134))</f>
        <v/>
      </c>
      <c r="G134" s="58">
        <f>IF($B134="","",SUMIFS(Krankmeldungen!$AB$6:$AB$1005,Krankmeldungen!$A$6:$A$1005,$A134))</f>
        <v/>
      </c>
      <c r="H134" s="58">
        <f>IF($B134="","",SUMIFS(Krankmeldungen!$AC$6:$AC$1005,Krankmeldungen!$A$6:$A$1005,$A134))</f>
        <v/>
      </c>
      <c r="I134" s="58">
        <f>IF($B134="","",SUMIFS(Krankmeldungen!$AD$6:$AD$1005,Krankmeldungen!$A$6:$A$1005,$A134))</f>
        <v/>
      </c>
      <c r="J134" s="58">
        <f>IF($B134="","",SUMIFS(Krankmeldungen!$AE$6:$AE$1005,Krankmeldungen!$A$6:$A$1005,$A134))</f>
        <v/>
      </c>
      <c r="K134" s="58">
        <f>IF($B134="","",SUMIFS(Krankmeldungen!$AF$6:$AF$1005,Krankmeldungen!$A$6:$A$1005,$A134))</f>
        <v/>
      </c>
      <c r="L134" s="58">
        <f>IF($B134="","",SUMIFS(Krankmeldungen!$AG$6:$AG$1005,Krankmeldungen!$A$6:$A$1005,$A134))</f>
        <v/>
      </c>
      <c r="M134" s="58">
        <f>IF($B134="","",SUMIFS(Krankmeldungen!$AH$6:$AH$1005,Krankmeldungen!$A$6:$A$1005,$A134))</f>
        <v/>
      </c>
      <c r="N134" s="58">
        <f>IF($B134="","",SUMIFS(Krankmeldungen!$AI$6:$AI$1005,Krankmeldungen!$A$6:$A$1005,$A134))</f>
        <v/>
      </c>
      <c r="O134" s="65">
        <f>IF($B134="","",SUM(C134:N134))</f>
        <v/>
      </c>
      <c r="P134" s="57">
        <f>'KQuote Mitarbeiter'!D134</f>
        <v/>
      </c>
      <c r="Q134" s="67">
        <f>'KQuote Mitarbeiter'!J134</f>
        <v/>
      </c>
    </row>
    <row r="135">
      <c r="A135" s="61">
        <f>'KQuote Mitarbeiter'!A135</f>
        <v/>
      </c>
      <c r="B135" s="62">
        <f>'KQuote Mitarbeiter'!B135</f>
        <v/>
      </c>
      <c r="C135" s="58">
        <f>IF($B135="","",SUMIFS(Krankmeldungen!$X$6:$X$1005,Krankmeldungen!$A$6:$A$1005,$A135))</f>
        <v/>
      </c>
      <c r="D135" s="58">
        <f>IF($B135="","",SUMIFS(Krankmeldungen!$Y$6:$Y$1005,Krankmeldungen!$A$6:$A$1005,$A135))</f>
        <v/>
      </c>
      <c r="E135" s="58">
        <f>IF($B135="","",SUMIFS(Krankmeldungen!$Z$6:$Z$1005,Krankmeldungen!$A$6:$A$1005,$A135))</f>
        <v/>
      </c>
      <c r="F135" s="58">
        <f>IF($B135="","",SUMIFS(Krankmeldungen!$AA$6:$AA$1005,Krankmeldungen!$A$6:$A$1005,$A135))</f>
        <v/>
      </c>
      <c r="G135" s="58">
        <f>IF($B135="","",SUMIFS(Krankmeldungen!$AB$6:$AB$1005,Krankmeldungen!$A$6:$A$1005,$A135))</f>
        <v/>
      </c>
      <c r="H135" s="58">
        <f>IF($B135="","",SUMIFS(Krankmeldungen!$AC$6:$AC$1005,Krankmeldungen!$A$6:$A$1005,$A135))</f>
        <v/>
      </c>
      <c r="I135" s="58">
        <f>IF($B135="","",SUMIFS(Krankmeldungen!$AD$6:$AD$1005,Krankmeldungen!$A$6:$A$1005,$A135))</f>
        <v/>
      </c>
      <c r="J135" s="58">
        <f>IF($B135="","",SUMIFS(Krankmeldungen!$AE$6:$AE$1005,Krankmeldungen!$A$6:$A$1005,$A135))</f>
        <v/>
      </c>
      <c r="K135" s="58">
        <f>IF($B135="","",SUMIFS(Krankmeldungen!$AF$6:$AF$1005,Krankmeldungen!$A$6:$A$1005,$A135))</f>
        <v/>
      </c>
      <c r="L135" s="58">
        <f>IF($B135="","",SUMIFS(Krankmeldungen!$AG$6:$AG$1005,Krankmeldungen!$A$6:$A$1005,$A135))</f>
        <v/>
      </c>
      <c r="M135" s="58">
        <f>IF($B135="","",SUMIFS(Krankmeldungen!$AH$6:$AH$1005,Krankmeldungen!$A$6:$A$1005,$A135))</f>
        <v/>
      </c>
      <c r="N135" s="58">
        <f>IF($B135="","",SUMIFS(Krankmeldungen!$AI$6:$AI$1005,Krankmeldungen!$A$6:$A$1005,$A135))</f>
        <v/>
      </c>
      <c r="O135" s="65">
        <f>IF($B135="","",SUM(C135:N135))</f>
        <v/>
      </c>
      <c r="P135" s="57">
        <f>'KQuote Mitarbeiter'!D135</f>
        <v/>
      </c>
      <c r="Q135" s="67">
        <f>'KQuote Mitarbeiter'!J135</f>
        <v/>
      </c>
    </row>
    <row r="136">
      <c r="A136" s="61">
        <f>'KQuote Mitarbeiter'!A136</f>
        <v/>
      </c>
      <c r="B136" s="62">
        <f>'KQuote Mitarbeiter'!B136</f>
        <v/>
      </c>
      <c r="C136" s="58">
        <f>IF($B136="","",SUMIFS(Krankmeldungen!$X$6:$X$1005,Krankmeldungen!$A$6:$A$1005,$A136))</f>
        <v/>
      </c>
      <c r="D136" s="58">
        <f>IF($B136="","",SUMIFS(Krankmeldungen!$Y$6:$Y$1005,Krankmeldungen!$A$6:$A$1005,$A136))</f>
        <v/>
      </c>
      <c r="E136" s="58">
        <f>IF($B136="","",SUMIFS(Krankmeldungen!$Z$6:$Z$1005,Krankmeldungen!$A$6:$A$1005,$A136))</f>
        <v/>
      </c>
      <c r="F136" s="58">
        <f>IF($B136="","",SUMIFS(Krankmeldungen!$AA$6:$AA$1005,Krankmeldungen!$A$6:$A$1005,$A136))</f>
        <v/>
      </c>
      <c r="G136" s="58">
        <f>IF($B136="","",SUMIFS(Krankmeldungen!$AB$6:$AB$1005,Krankmeldungen!$A$6:$A$1005,$A136))</f>
        <v/>
      </c>
      <c r="H136" s="58">
        <f>IF($B136="","",SUMIFS(Krankmeldungen!$AC$6:$AC$1005,Krankmeldungen!$A$6:$A$1005,$A136))</f>
        <v/>
      </c>
      <c r="I136" s="58">
        <f>IF($B136="","",SUMIFS(Krankmeldungen!$AD$6:$AD$1005,Krankmeldungen!$A$6:$A$1005,$A136))</f>
        <v/>
      </c>
      <c r="J136" s="58">
        <f>IF($B136="","",SUMIFS(Krankmeldungen!$AE$6:$AE$1005,Krankmeldungen!$A$6:$A$1005,$A136))</f>
        <v/>
      </c>
      <c r="K136" s="58">
        <f>IF($B136="","",SUMIFS(Krankmeldungen!$AF$6:$AF$1005,Krankmeldungen!$A$6:$A$1005,$A136))</f>
        <v/>
      </c>
      <c r="L136" s="58">
        <f>IF($B136="","",SUMIFS(Krankmeldungen!$AG$6:$AG$1005,Krankmeldungen!$A$6:$A$1005,$A136))</f>
        <v/>
      </c>
      <c r="M136" s="58">
        <f>IF($B136="","",SUMIFS(Krankmeldungen!$AH$6:$AH$1005,Krankmeldungen!$A$6:$A$1005,$A136))</f>
        <v/>
      </c>
      <c r="N136" s="58">
        <f>IF($B136="","",SUMIFS(Krankmeldungen!$AI$6:$AI$1005,Krankmeldungen!$A$6:$A$1005,$A136))</f>
        <v/>
      </c>
      <c r="O136" s="65">
        <f>IF($B136="","",SUM(C136:N136))</f>
        <v/>
      </c>
      <c r="P136" s="57">
        <f>'KQuote Mitarbeiter'!D136</f>
        <v/>
      </c>
      <c r="Q136" s="67">
        <f>'KQuote Mitarbeiter'!J136</f>
        <v/>
      </c>
    </row>
    <row r="137">
      <c r="A137" s="61">
        <f>'KQuote Mitarbeiter'!A137</f>
        <v/>
      </c>
      <c r="B137" s="62">
        <f>'KQuote Mitarbeiter'!B137</f>
        <v/>
      </c>
      <c r="C137" s="58">
        <f>IF($B137="","",SUMIFS(Krankmeldungen!$X$6:$X$1005,Krankmeldungen!$A$6:$A$1005,$A137))</f>
        <v/>
      </c>
      <c r="D137" s="58">
        <f>IF($B137="","",SUMIFS(Krankmeldungen!$Y$6:$Y$1005,Krankmeldungen!$A$6:$A$1005,$A137))</f>
        <v/>
      </c>
      <c r="E137" s="58">
        <f>IF($B137="","",SUMIFS(Krankmeldungen!$Z$6:$Z$1005,Krankmeldungen!$A$6:$A$1005,$A137))</f>
        <v/>
      </c>
      <c r="F137" s="58">
        <f>IF($B137="","",SUMIFS(Krankmeldungen!$AA$6:$AA$1005,Krankmeldungen!$A$6:$A$1005,$A137))</f>
        <v/>
      </c>
      <c r="G137" s="58">
        <f>IF($B137="","",SUMIFS(Krankmeldungen!$AB$6:$AB$1005,Krankmeldungen!$A$6:$A$1005,$A137))</f>
        <v/>
      </c>
      <c r="H137" s="58">
        <f>IF($B137="","",SUMIFS(Krankmeldungen!$AC$6:$AC$1005,Krankmeldungen!$A$6:$A$1005,$A137))</f>
        <v/>
      </c>
      <c r="I137" s="58">
        <f>IF($B137="","",SUMIFS(Krankmeldungen!$AD$6:$AD$1005,Krankmeldungen!$A$6:$A$1005,$A137))</f>
        <v/>
      </c>
      <c r="J137" s="58">
        <f>IF($B137="","",SUMIFS(Krankmeldungen!$AE$6:$AE$1005,Krankmeldungen!$A$6:$A$1005,$A137))</f>
        <v/>
      </c>
      <c r="K137" s="58">
        <f>IF($B137="","",SUMIFS(Krankmeldungen!$AF$6:$AF$1005,Krankmeldungen!$A$6:$A$1005,$A137))</f>
        <v/>
      </c>
      <c r="L137" s="58">
        <f>IF($B137="","",SUMIFS(Krankmeldungen!$AG$6:$AG$1005,Krankmeldungen!$A$6:$A$1005,$A137))</f>
        <v/>
      </c>
      <c r="M137" s="58">
        <f>IF($B137="","",SUMIFS(Krankmeldungen!$AH$6:$AH$1005,Krankmeldungen!$A$6:$A$1005,$A137))</f>
        <v/>
      </c>
      <c r="N137" s="58">
        <f>IF($B137="","",SUMIFS(Krankmeldungen!$AI$6:$AI$1005,Krankmeldungen!$A$6:$A$1005,$A137))</f>
        <v/>
      </c>
      <c r="O137" s="65">
        <f>IF($B137="","",SUM(C137:N137))</f>
        <v/>
      </c>
      <c r="P137" s="57">
        <f>'KQuote Mitarbeiter'!D137</f>
        <v/>
      </c>
      <c r="Q137" s="67">
        <f>'KQuote Mitarbeiter'!J137</f>
        <v/>
      </c>
    </row>
    <row r="138">
      <c r="A138" s="61">
        <f>'KQuote Mitarbeiter'!A138</f>
        <v/>
      </c>
      <c r="B138" s="62">
        <f>'KQuote Mitarbeiter'!B138</f>
        <v/>
      </c>
      <c r="C138" s="58">
        <f>IF($B138="","",SUMIFS(Krankmeldungen!$X$6:$X$1005,Krankmeldungen!$A$6:$A$1005,$A138))</f>
        <v/>
      </c>
      <c r="D138" s="58">
        <f>IF($B138="","",SUMIFS(Krankmeldungen!$Y$6:$Y$1005,Krankmeldungen!$A$6:$A$1005,$A138))</f>
        <v/>
      </c>
      <c r="E138" s="58">
        <f>IF($B138="","",SUMIFS(Krankmeldungen!$Z$6:$Z$1005,Krankmeldungen!$A$6:$A$1005,$A138))</f>
        <v/>
      </c>
      <c r="F138" s="58">
        <f>IF($B138="","",SUMIFS(Krankmeldungen!$AA$6:$AA$1005,Krankmeldungen!$A$6:$A$1005,$A138))</f>
        <v/>
      </c>
      <c r="G138" s="58">
        <f>IF($B138="","",SUMIFS(Krankmeldungen!$AB$6:$AB$1005,Krankmeldungen!$A$6:$A$1005,$A138))</f>
        <v/>
      </c>
      <c r="H138" s="58">
        <f>IF($B138="","",SUMIFS(Krankmeldungen!$AC$6:$AC$1005,Krankmeldungen!$A$6:$A$1005,$A138))</f>
        <v/>
      </c>
      <c r="I138" s="58">
        <f>IF($B138="","",SUMIFS(Krankmeldungen!$AD$6:$AD$1005,Krankmeldungen!$A$6:$A$1005,$A138))</f>
        <v/>
      </c>
      <c r="J138" s="58">
        <f>IF($B138="","",SUMIFS(Krankmeldungen!$AE$6:$AE$1005,Krankmeldungen!$A$6:$A$1005,$A138))</f>
        <v/>
      </c>
      <c r="K138" s="58">
        <f>IF($B138="","",SUMIFS(Krankmeldungen!$AF$6:$AF$1005,Krankmeldungen!$A$6:$A$1005,$A138))</f>
        <v/>
      </c>
      <c r="L138" s="58">
        <f>IF($B138="","",SUMIFS(Krankmeldungen!$AG$6:$AG$1005,Krankmeldungen!$A$6:$A$1005,$A138))</f>
        <v/>
      </c>
      <c r="M138" s="58">
        <f>IF($B138="","",SUMIFS(Krankmeldungen!$AH$6:$AH$1005,Krankmeldungen!$A$6:$A$1005,$A138))</f>
        <v/>
      </c>
      <c r="N138" s="58">
        <f>IF($B138="","",SUMIFS(Krankmeldungen!$AI$6:$AI$1005,Krankmeldungen!$A$6:$A$1005,$A138))</f>
        <v/>
      </c>
      <c r="O138" s="65">
        <f>IF($B138="","",SUM(C138:N138))</f>
        <v/>
      </c>
      <c r="P138" s="57">
        <f>'KQuote Mitarbeiter'!D138</f>
        <v/>
      </c>
      <c r="Q138" s="67">
        <f>'KQuote Mitarbeiter'!J138</f>
        <v/>
      </c>
    </row>
    <row r="139">
      <c r="A139" s="61">
        <f>'KQuote Mitarbeiter'!A139</f>
        <v/>
      </c>
      <c r="B139" s="62">
        <f>'KQuote Mitarbeiter'!B139</f>
        <v/>
      </c>
      <c r="C139" s="58">
        <f>IF($B139="","",SUMIFS(Krankmeldungen!$X$6:$X$1005,Krankmeldungen!$A$6:$A$1005,$A139))</f>
        <v/>
      </c>
      <c r="D139" s="58">
        <f>IF($B139="","",SUMIFS(Krankmeldungen!$Y$6:$Y$1005,Krankmeldungen!$A$6:$A$1005,$A139))</f>
        <v/>
      </c>
      <c r="E139" s="58">
        <f>IF($B139="","",SUMIFS(Krankmeldungen!$Z$6:$Z$1005,Krankmeldungen!$A$6:$A$1005,$A139))</f>
        <v/>
      </c>
      <c r="F139" s="58">
        <f>IF($B139="","",SUMIFS(Krankmeldungen!$AA$6:$AA$1005,Krankmeldungen!$A$6:$A$1005,$A139))</f>
        <v/>
      </c>
      <c r="G139" s="58">
        <f>IF($B139="","",SUMIFS(Krankmeldungen!$AB$6:$AB$1005,Krankmeldungen!$A$6:$A$1005,$A139))</f>
        <v/>
      </c>
      <c r="H139" s="58">
        <f>IF($B139="","",SUMIFS(Krankmeldungen!$AC$6:$AC$1005,Krankmeldungen!$A$6:$A$1005,$A139))</f>
        <v/>
      </c>
      <c r="I139" s="58">
        <f>IF($B139="","",SUMIFS(Krankmeldungen!$AD$6:$AD$1005,Krankmeldungen!$A$6:$A$1005,$A139))</f>
        <v/>
      </c>
      <c r="J139" s="58">
        <f>IF($B139="","",SUMIFS(Krankmeldungen!$AE$6:$AE$1005,Krankmeldungen!$A$6:$A$1005,$A139))</f>
        <v/>
      </c>
      <c r="K139" s="58">
        <f>IF($B139="","",SUMIFS(Krankmeldungen!$AF$6:$AF$1005,Krankmeldungen!$A$6:$A$1005,$A139))</f>
        <v/>
      </c>
      <c r="L139" s="58">
        <f>IF($B139="","",SUMIFS(Krankmeldungen!$AG$6:$AG$1005,Krankmeldungen!$A$6:$A$1005,$A139))</f>
        <v/>
      </c>
      <c r="M139" s="58">
        <f>IF($B139="","",SUMIFS(Krankmeldungen!$AH$6:$AH$1005,Krankmeldungen!$A$6:$A$1005,$A139))</f>
        <v/>
      </c>
      <c r="N139" s="58">
        <f>IF($B139="","",SUMIFS(Krankmeldungen!$AI$6:$AI$1005,Krankmeldungen!$A$6:$A$1005,$A139))</f>
        <v/>
      </c>
      <c r="O139" s="65">
        <f>IF($B139="","",SUM(C139:N139))</f>
        <v/>
      </c>
      <c r="P139" s="57">
        <f>'KQuote Mitarbeiter'!D139</f>
        <v/>
      </c>
      <c r="Q139" s="67">
        <f>'KQuote Mitarbeiter'!J139</f>
        <v/>
      </c>
    </row>
    <row r="140">
      <c r="A140" s="61">
        <f>'KQuote Mitarbeiter'!A140</f>
        <v/>
      </c>
      <c r="B140" s="62">
        <f>'KQuote Mitarbeiter'!B140</f>
        <v/>
      </c>
      <c r="C140" s="58">
        <f>IF($B140="","",SUMIFS(Krankmeldungen!$X$6:$X$1005,Krankmeldungen!$A$6:$A$1005,$A140))</f>
        <v/>
      </c>
      <c r="D140" s="58">
        <f>IF($B140="","",SUMIFS(Krankmeldungen!$Y$6:$Y$1005,Krankmeldungen!$A$6:$A$1005,$A140))</f>
        <v/>
      </c>
      <c r="E140" s="58">
        <f>IF($B140="","",SUMIFS(Krankmeldungen!$Z$6:$Z$1005,Krankmeldungen!$A$6:$A$1005,$A140))</f>
        <v/>
      </c>
      <c r="F140" s="58">
        <f>IF($B140="","",SUMIFS(Krankmeldungen!$AA$6:$AA$1005,Krankmeldungen!$A$6:$A$1005,$A140))</f>
        <v/>
      </c>
      <c r="G140" s="58">
        <f>IF($B140="","",SUMIFS(Krankmeldungen!$AB$6:$AB$1005,Krankmeldungen!$A$6:$A$1005,$A140))</f>
        <v/>
      </c>
      <c r="H140" s="58">
        <f>IF($B140="","",SUMIFS(Krankmeldungen!$AC$6:$AC$1005,Krankmeldungen!$A$6:$A$1005,$A140))</f>
        <v/>
      </c>
      <c r="I140" s="58">
        <f>IF($B140="","",SUMIFS(Krankmeldungen!$AD$6:$AD$1005,Krankmeldungen!$A$6:$A$1005,$A140))</f>
        <v/>
      </c>
      <c r="J140" s="58">
        <f>IF($B140="","",SUMIFS(Krankmeldungen!$AE$6:$AE$1005,Krankmeldungen!$A$6:$A$1005,$A140))</f>
        <v/>
      </c>
      <c r="K140" s="58">
        <f>IF($B140="","",SUMIFS(Krankmeldungen!$AF$6:$AF$1005,Krankmeldungen!$A$6:$A$1005,$A140))</f>
        <v/>
      </c>
      <c r="L140" s="58">
        <f>IF($B140="","",SUMIFS(Krankmeldungen!$AG$6:$AG$1005,Krankmeldungen!$A$6:$A$1005,$A140))</f>
        <v/>
      </c>
      <c r="M140" s="58">
        <f>IF($B140="","",SUMIFS(Krankmeldungen!$AH$6:$AH$1005,Krankmeldungen!$A$6:$A$1005,$A140))</f>
        <v/>
      </c>
      <c r="N140" s="58">
        <f>IF($B140="","",SUMIFS(Krankmeldungen!$AI$6:$AI$1005,Krankmeldungen!$A$6:$A$1005,$A140))</f>
        <v/>
      </c>
      <c r="O140" s="65">
        <f>IF($B140="","",SUM(C140:N140))</f>
        <v/>
      </c>
      <c r="P140" s="57">
        <f>'KQuote Mitarbeiter'!D140</f>
        <v/>
      </c>
      <c r="Q140" s="67">
        <f>'KQuote Mitarbeiter'!J140</f>
        <v/>
      </c>
    </row>
    <row r="141">
      <c r="A141" s="61">
        <f>'KQuote Mitarbeiter'!A141</f>
        <v/>
      </c>
      <c r="B141" s="62">
        <f>'KQuote Mitarbeiter'!B141</f>
        <v/>
      </c>
      <c r="C141" s="58">
        <f>IF($B141="","",SUMIFS(Krankmeldungen!$X$6:$X$1005,Krankmeldungen!$A$6:$A$1005,$A141))</f>
        <v/>
      </c>
      <c r="D141" s="58">
        <f>IF($B141="","",SUMIFS(Krankmeldungen!$Y$6:$Y$1005,Krankmeldungen!$A$6:$A$1005,$A141))</f>
        <v/>
      </c>
      <c r="E141" s="58">
        <f>IF($B141="","",SUMIFS(Krankmeldungen!$Z$6:$Z$1005,Krankmeldungen!$A$6:$A$1005,$A141))</f>
        <v/>
      </c>
      <c r="F141" s="58">
        <f>IF($B141="","",SUMIFS(Krankmeldungen!$AA$6:$AA$1005,Krankmeldungen!$A$6:$A$1005,$A141))</f>
        <v/>
      </c>
      <c r="G141" s="58">
        <f>IF($B141="","",SUMIFS(Krankmeldungen!$AB$6:$AB$1005,Krankmeldungen!$A$6:$A$1005,$A141))</f>
        <v/>
      </c>
      <c r="H141" s="58">
        <f>IF($B141="","",SUMIFS(Krankmeldungen!$AC$6:$AC$1005,Krankmeldungen!$A$6:$A$1005,$A141))</f>
        <v/>
      </c>
      <c r="I141" s="58">
        <f>IF($B141="","",SUMIFS(Krankmeldungen!$AD$6:$AD$1005,Krankmeldungen!$A$6:$A$1005,$A141))</f>
        <v/>
      </c>
      <c r="J141" s="58">
        <f>IF($B141="","",SUMIFS(Krankmeldungen!$AE$6:$AE$1005,Krankmeldungen!$A$6:$A$1005,$A141))</f>
        <v/>
      </c>
      <c r="K141" s="58">
        <f>IF($B141="","",SUMIFS(Krankmeldungen!$AF$6:$AF$1005,Krankmeldungen!$A$6:$A$1005,$A141))</f>
        <v/>
      </c>
      <c r="L141" s="58">
        <f>IF($B141="","",SUMIFS(Krankmeldungen!$AG$6:$AG$1005,Krankmeldungen!$A$6:$A$1005,$A141))</f>
        <v/>
      </c>
      <c r="M141" s="58">
        <f>IF($B141="","",SUMIFS(Krankmeldungen!$AH$6:$AH$1005,Krankmeldungen!$A$6:$A$1005,$A141))</f>
        <v/>
      </c>
      <c r="N141" s="58">
        <f>IF($B141="","",SUMIFS(Krankmeldungen!$AI$6:$AI$1005,Krankmeldungen!$A$6:$A$1005,$A141))</f>
        <v/>
      </c>
      <c r="O141" s="65">
        <f>IF($B141="","",SUM(C141:N141))</f>
        <v/>
      </c>
      <c r="P141" s="57">
        <f>'KQuote Mitarbeiter'!D141</f>
        <v/>
      </c>
      <c r="Q141" s="67">
        <f>'KQuote Mitarbeiter'!J141</f>
        <v/>
      </c>
    </row>
    <row r="142">
      <c r="A142" s="61">
        <f>'KQuote Mitarbeiter'!A142</f>
        <v/>
      </c>
      <c r="B142" s="62">
        <f>'KQuote Mitarbeiter'!B142</f>
        <v/>
      </c>
      <c r="C142" s="58">
        <f>IF($B142="","",SUMIFS(Krankmeldungen!$X$6:$X$1005,Krankmeldungen!$A$6:$A$1005,$A142))</f>
        <v/>
      </c>
      <c r="D142" s="58">
        <f>IF($B142="","",SUMIFS(Krankmeldungen!$Y$6:$Y$1005,Krankmeldungen!$A$6:$A$1005,$A142))</f>
        <v/>
      </c>
      <c r="E142" s="58">
        <f>IF($B142="","",SUMIFS(Krankmeldungen!$Z$6:$Z$1005,Krankmeldungen!$A$6:$A$1005,$A142))</f>
        <v/>
      </c>
      <c r="F142" s="58">
        <f>IF($B142="","",SUMIFS(Krankmeldungen!$AA$6:$AA$1005,Krankmeldungen!$A$6:$A$1005,$A142))</f>
        <v/>
      </c>
      <c r="G142" s="58">
        <f>IF($B142="","",SUMIFS(Krankmeldungen!$AB$6:$AB$1005,Krankmeldungen!$A$6:$A$1005,$A142))</f>
        <v/>
      </c>
      <c r="H142" s="58">
        <f>IF($B142="","",SUMIFS(Krankmeldungen!$AC$6:$AC$1005,Krankmeldungen!$A$6:$A$1005,$A142))</f>
        <v/>
      </c>
      <c r="I142" s="58">
        <f>IF($B142="","",SUMIFS(Krankmeldungen!$AD$6:$AD$1005,Krankmeldungen!$A$6:$A$1005,$A142))</f>
        <v/>
      </c>
      <c r="J142" s="58">
        <f>IF($B142="","",SUMIFS(Krankmeldungen!$AE$6:$AE$1005,Krankmeldungen!$A$6:$A$1005,$A142))</f>
        <v/>
      </c>
      <c r="K142" s="58">
        <f>IF($B142="","",SUMIFS(Krankmeldungen!$AF$6:$AF$1005,Krankmeldungen!$A$6:$A$1005,$A142))</f>
        <v/>
      </c>
      <c r="L142" s="58">
        <f>IF($B142="","",SUMIFS(Krankmeldungen!$AG$6:$AG$1005,Krankmeldungen!$A$6:$A$1005,$A142))</f>
        <v/>
      </c>
      <c r="M142" s="58">
        <f>IF($B142="","",SUMIFS(Krankmeldungen!$AH$6:$AH$1005,Krankmeldungen!$A$6:$A$1005,$A142))</f>
        <v/>
      </c>
      <c r="N142" s="58">
        <f>IF($B142="","",SUMIFS(Krankmeldungen!$AI$6:$AI$1005,Krankmeldungen!$A$6:$A$1005,$A142))</f>
        <v/>
      </c>
      <c r="O142" s="65">
        <f>IF($B142="","",SUM(C142:N142))</f>
        <v/>
      </c>
      <c r="P142" s="57">
        <f>'KQuote Mitarbeiter'!D142</f>
        <v/>
      </c>
      <c r="Q142" s="67">
        <f>'KQuote Mitarbeiter'!J142</f>
        <v/>
      </c>
    </row>
    <row r="143">
      <c r="A143" s="61">
        <f>'KQuote Mitarbeiter'!A143</f>
        <v/>
      </c>
      <c r="B143" s="62">
        <f>'KQuote Mitarbeiter'!B143</f>
        <v/>
      </c>
      <c r="C143" s="58">
        <f>IF($B143="","",SUMIFS(Krankmeldungen!$X$6:$X$1005,Krankmeldungen!$A$6:$A$1005,$A143))</f>
        <v/>
      </c>
      <c r="D143" s="58">
        <f>IF($B143="","",SUMIFS(Krankmeldungen!$Y$6:$Y$1005,Krankmeldungen!$A$6:$A$1005,$A143))</f>
        <v/>
      </c>
      <c r="E143" s="58">
        <f>IF($B143="","",SUMIFS(Krankmeldungen!$Z$6:$Z$1005,Krankmeldungen!$A$6:$A$1005,$A143))</f>
        <v/>
      </c>
      <c r="F143" s="58">
        <f>IF($B143="","",SUMIFS(Krankmeldungen!$AA$6:$AA$1005,Krankmeldungen!$A$6:$A$1005,$A143))</f>
        <v/>
      </c>
      <c r="G143" s="58">
        <f>IF($B143="","",SUMIFS(Krankmeldungen!$AB$6:$AB$1005,Krankmeldungen!$A$6:$A$1005,$A143))</f>
        <v/>
      </c>
      <c r="H143" s="58">
        <f>IF($B143="","",SUMIFS(Krankmeldungen!$AC$6:$AC$1005,Krankmeldungen!$A$6:$A$1005,$A143))</f>
        <v/>
      </c>
      <c r="I143" s="58">
        <f>IF($B143="","",SUMIFS(Krankmeldungen!$AD$6:$AD$1005,Krankmeldungen!$A$6:$A$1005,$A143))</f>
        <v/>
      </c>
      <c r="J143" s="58">
        <f>IF($B143="","",SUMIFS(Krankmeldungen!$AE$6:$AE$1005,Krankmeldungen!$A$6:$A$1005,$A143))</f>
        <v/>
      </c>
      <c r="K143" s="58">
        <f>IF($B143="","",SUMIFS(Krankmeldungen!$AF$6:$AF$1005,Krankmeldungen!$A$6:$A$1005,$A143))</f>
        <v/>
      </c>
      <c r="L143" s="58">
        <f>IF($B143="","",SUMIFS(Krankmeldungen!$AG$6:$AG$1005,Krankmeldungen!$A$6:$A$1005,$A143))</f>
        <v/>
      </c>
      <c r="M143" s="58">
        <f>IF($B143="","",SUMIFS(Krankmeldungen!$AH$6:$AH$1005,Krankmeldungen!$A$6:$A$1005,$A143))</f>
        <v/>
      </c>
      <c r="N143" s="58">
        <f>IF($B143="","",SUMIFS(Krankmeldungen!$AI$6:$AI$1005,Krankmeldungen!$A$6:$A$1005,$A143))</f>
        <v/>
      </c>
      <c r="O143" s="65">
        <f>IF($B143="","",SUM(C143:N143))</f>
        <v/>
      </c>
      <c r="P143" s="57">
        <f>'KQuote Mitarbeiter'!D143</f>
        <v/>
      </c>
      <c r="Q143" s="67">
        <f>'KQuote Mitarbeiter'!J143</f>
        <v/>
      </c>
    </row>
    <row r="144">
      <c r="A144" s="61">
        <f>'KQuote Mitarbeiter'!A144</f>
        <v/>
      </c>
      <c r="B144" s="62">
        <f>'KQuote Mitarbeiter'!B144</f>
        <v/>
      </c>
      <c r="C144" s="58">
        <f>IF($B144="","",SUMIFS(Krankmeldungen!$X$6:$X$1005,Krankmeldungen!$A$6:$A$1005,$A144))</f>
        <v/>
      </c>
      <c r="D144" s="58">
        <f>IF($B144="","",SUMIFS(Krankmeldungen!$Y$6:$Y$1005,Krankmeldungen!$A$6:$A$1005,$A144))</f>
        <v/>
      </c>
      <c r="E144" s="58">
        <f>IF($B144="","",SUMIFS(Krankmeldungen!$Z$6:$Z$1005,Krankmeldungen!$A$6:$A$1005,$A144))</f>
        <v/>
      </c>
      <c r="F144" s="58">
        <f>IF($B144="","",SUMIFS(Krankmeldungen!$AA$6:$AA$1005,Krankmeldungen!$A$6:$A$1005,$A144))</f>
        <v/>
      </c>
      <c r="G144" s="58">
        <f>IF($B144="","",SUMIFS(Krankmeldungen!$AB$6:$AB$1005,Krankmeldungen!$A$6:$A$1005,$A144))</f>
        <v/>
      </c>
      <c r="H144" s="58">
        <f>IF($B144="","",SUMIFS(Krankmeldungen!$AC$6:$AC$1005,Krankmeldungen!$A$6:$A$1005,$A144))</f>
        <v/>
      </c>
      <c r="I144" s="58">
        <f>IF($B144="","",SUMIFS(Krankmeldungen!$AD$6:$AD$1005,Krankmeldungen!$A$6:$A$1005,$A144))</f>
        <v/>
      </c>
      <c r="J144" s="58">
        <f>IF($B144="","",SUMIFS(Krankmeldungen!$AE$6:$AE$1005,Krankmeldungen!$A$6:$A$1005,$A144))</f>
        <v/>
      </c>
      <c r="K144" s="58">
        <f>IF($B144="","",SUMIFS(Krankmeldungen!$AF$6:$AF$1005,Krankmeldungen!$A$6:$A$1005,$A144))</f>
        <v/>
      </c>
      <c r="L144" s="58">
        <f>IF($B144="","",SUMIFS(Krankmeldungen!$AG$6:$AG$1005,Krankmeldungen!$A$6:$A$1005,$A144))</f>
        <v/>
      </c>
      <c r="M144" s="58">
        <f>IF($B144="","",SUMIFS(Krankmeldungen!$AH$6:$AH$1005,Krankmeldungen!$A$6:$A$1005,$A144))</f>
        <v/>
      </c>
      <c r="N144" s="58">
        <f>IF($B144="","",SUMIFS(Krankmeldungen!$AI$6:$AI$1005,Krankmeldungen!$A$6:$A$1005,$A144))</f>
        <v/>
      </c>
      <c r="O144" s="65">
        <f>IF($B144="","",SUM(C144:N144))</f>
        <v/>
      </c>
      <c r="P144" s="57">
        <f>'KQuote Mitarbeiter'!D144</f>
        <v/>
      </c>
      <c r="Q144" s="67">
        <f>'KQuote Mitarbeiter'!J144</f>
        <v/>
      </c>
    </row>
    <row r="145">
      <c r="A145" s="61">
        <f>'KQuote Mitarbeiter'!A145</f>
        <v/>
      </c>
      <c r="B145" s="62">
        <f>'KQuote Mitarbeiter'!B145</f>
        <v/>
      </c>
      <c r="C145" s="58">
        <f>IF($B145="","",SUMIFS(Krankmeldungen!$X$6:$X$1005,Krankmeldungen!$A$6:$A$1005,$A145))</f>
        <v/>
      </c>
      <c r="D145" s="58">
        <f>IF($B145="","",SUMIFS(Krankmeldungen!$Y$6:$Y$1005,Krankmeldungen!$A$6:$A$1005,$A145))</f>
        <v/>
      </c>
      <c r="E145" s="58">
        <f>IF($B145="","",SUMIFS(Krankmeldungen!$Z$6:$Z$1005,Krankmeldungen!$A$6:$A$1005,$A145))</f>
        <v/>
      </c>
      <c r="F145" s="58">
        <f>IF($B145="","",SUMIFS(Krankmeldungen!$AA$6:$AA$1005,Krankmeldungen!$A$6:$A$1005,$A145))</f>
        <v/>
      </c>
      <c r="G145" s="58">
        <f>IF($B145="","",SUMIFS(Krankmeldungen!$AB$6:$AB$1005,Krankmeldungen!$A$6:$A$1005,$A145))</f>
        <v/>
      </c>
      <c r="H145" s="58">
        <f>IF($B145="","",SUMIFS(Krankmeldungen!$AC$6:$AC$1005,Krankmeldungen!$A$6:$A$1005,$A145))</f>
        <v/>
      </c>
      <c r="I145" s="58">
        <f>IF($B145="","",SUMIFS(Krankmeldungen!$AD$6:$AD$1005,Krankmeldungen!$A$6:$A$1005,$A145))</f>
        <v/>
      </c>
      <c r="J145" s="58">
        <f>IF($B145="","",SUMIFS(Krankmeldungen!$AE$6:$AE$1005,Krankmeldungen!$A$6:$A$1005,$A145))</f>
        <v/>
      </c>
      <c r="K145" s="58">
        <f>IF($B145="","",SUMIFS(Krankmeldungen!$AF$6:$AF$1005,Krankmeldungen!$A$6:$A$1005,$A145))</f>
        <v/>
      </c>
      <c r="L145" s="58">
        <f>IF($B145="","",SUMIFS(Krankmeldungen!$AG$6:$AG$1005,Krankmeldungen!$A$6:$A$1005,$A145))</f>
        <v/>
      </c>
      <c r="M145" s="58">
        <f>IF($B145="","",SUMIFS(Krankmeldungen!$AH$6:$AH$1005,Krankmeldungen!$A$6:$A$1005,$A145))</f>
        <v/>
      </c>
      <c r="N145" s="58">
        <f>IF($B145="","",SUMIFS(Krankmeldungen!$AI$6:$AI$1005,Krankmeldungen!$A$6:$A$1005,$A145))</f>
        <v/>
      </c>
      <c r="O145" s="65">
        <f>IF($B145="","",SUM(C145:N145))</f>
        <v/>
      </c>
      <c r="P145" s="57">
        <f>'KQuote Mitarbeiter'!D145</f>
        <v/>
      </c>
      <c r="Q145" s="67">
        <f>'KQuote Mitarbeiter'!J145</f>
        <v/>
      </c>
    </row>
    <row r="146">
      <c r="A146" s="61">
        <f>'KQuote Mitarbeiter'!A146</f>
        <v/>
      </c>
      <c r="B146" s="62">
        <f>'KQuote Mitarbeiter'!B146</f>
        <v/>
      </c>
      <c r="C146" s="58">
        <f>IF($B146="","",SUMIFS(Krankmeldungen!$X$6:$X$1005,Krankmeldungen!$A$6:$A$1005,$A146))</f>
        <v/>
      </c>
      <c r="D146" s="58">
        <f>IF($B146="","",SUMIFS(Krankmeldungen!$Y$6:$Y$1005,Krankmeldungen!$A$6:$A$1005,$A146))</f>
        <v/>
      </c>
      <c r="E146" s="58">
        <f>IF($B146="","",SUMIFS(Krankmeldungen!$Z$6:$Z$1005,Krankmeldungen!$A$6:$A$1005,$A146))</f>
        <v/>
      </c>
      <c r="F146" s="58">
        <f>IF($B146="","",SUMIFS(Krankmeldungen!$AA$6:$AA$1005,Krankmeldungen!$A$6:$A$1005,$A146))</f>
        <v/>
      </c>
      <c r="G146" s="58">
        <f>IF($B146="","",SUMIFS(Krankmeldungen!$AB$6:$AB$1005,Krankmeldungen!$A$6:$A$1005,$A146))</f>
        <v/>
      </c>
      <c r="H146" s="58">
        <f>IF($B146="","",SUMIFS(Krankmeldungen!$AC$6:$AC$1005,Krankmeldungen!$A$6:$A$1005,$A146))</f>
        <v/>
      </c>
      <c r="I146" s="58">
        <f>IF($B146="","",SUMIFS(Krankmeldungen!$AD$6:$AD$1005,Krankmeldungen!$A$6:$A$1005,$A146))</f>
        <v/>
      </c>
      <c r="J146" s="58">
        <f>IF($B146="","",SUMIFS(Krankmeldungen!$AE$6:$AE$1005,Krankmeldungen!$A$6:$A$1005,$A146))</f>
        <v/>
      </c>
      <c r="K146" s="58">
        <f>IF($B146="","",SUMIFS(Krankmeldungen!$AF$6:$AF$1005,Krankmeldungen!$A$6:$A$1005,$A146))</f>
        <v/>
      </c>
      <c r="L146" s="58">
        <f>IF($B146="","",SUMIFS(Krankmeldungen!$AG$6:$AG$1005,Krankmeldungen!$A$6:$A$1005,$A146))</f>
        <v/>
      </c>
      <c r="M146" s="58">
        <f>IF($B146="","",SUMIFS(Krankmeldungen!$AH$6:$AH$1005,Krankmeldungen!$A$6:$A$1005,$A146))</f>
        <v/>
      </c>
      <c r="N146" s="58">
        <f>IF($B146="","",SUMIFS(Krankmeldungen!$AI$6:$AI$1005,Krankmeldungen!$A$6:$A$1005,$A146))</f>
        <v/>
      </c>
      <c r="O146" s="65">
        <f>IF($B146="","",SUM(C146:N146))</f>
        <v/>
      </c>
      <c r="P146" s="57">
        <f>'KQuote Mitarbeiter'!D146</f>
        <v/>
      </c>
      <c r="Q146" s="67">
        <f>'KQuote Mitarbeiter'!J146</f>
        <v/>
      </c>
    </row>
    <row r="147">
      <c r="A147" s="61">
        <f>'KQuote Mitarbeiter'!A147</f>
        <v/>
      </c>
      <c r="B147" s="62">
        <f>'KQuote Mitarbeiter'!B147</f>
        <v/>
      </c>
      <c r="C147" s="58">
        <f>IF($B147="","",SUMIFS(Krankmeldungen!$X$6:$X$1005,Krankmeldungen!$A$6:$A$1005,$A147))</f>
        <v/>
      </c>
      <c r="D147" s="58">
        <f>IF($B147="","",SUMIFS(Krankmeldungen!$Y$6:$Y$1005,Krankmeldungen!$A$6:$A$1005,$A147))</f>
        <v/>
      </c>
      <c r="E147" s="58">
        <f>IF($B147="","",SUMIFS(Krankmeldungen!$Z$6:$Z$1005,Krankmeldungen!$A$6:$A$1005,$A147))</f>
        <v/>
      </c>
      <c r="F147" s="58">
        <f>IF($B147="","",SUMIFS(Krankmeldungen!$AA$6:$AA$1005,Krankmeldungen!$A$6:$A$1005,$A147))</f>
        <v/>
      </c>
      <c r="G147" s="58">
        <f>IF($B147="","",SUMIFS(Krankmeldungen!$AB$6:$AB$1005,Krankmeldungen!$A$6:$A$1005,$A147))</f>
        <v/>
      </c>
      <c r="H147" s="58">
        <f>IF($B147="","",SUMIFS(Krankmeldungen!$AC$6:$AC$1005,Krankmeldungen!$A$6:$A$1005,$A147))</f>
        <v/>
      </c>
      <c r="I147" s="58">
        <f>IF($B147="","",SUMIFS(Krankmeldungen!$AD$6:$AD$1005,Krankmeldungen!$A$6:$A$1005,$A147))</f>
        <v/>
      </c>
      <c r="J147" s="58">
        <f>IF($B147="","",SUMIFS(Krankmeldungen!$AE$6:$AE$1005,Krankmeldungen!$A$6:$A$1005,$A147))</f>
        <v/>
      </c>
      <c r="K147" s="58">
        <f>IF($B147="","",SUMIFS(Krankmeldungen!$AF$6:$AF$1005,Krankmeldungen!$A$6:$A$1005,$A147))</f>
        <v/>
      </c>
      <c r="L147" s="58">
        <f>IF($B147="","",SUMIFS(Krankmeldungen!$AG$6:$AG$1005,Krankmeldungen!$A$6:$A$1005,$A147))</f>
        <v/>
      </c>
      <c r="M147" s="58">
        <f>IF($B147="","",SUMIFS(Krankmeldungen!$AH$6:$AH$1005,Krankmeldungen!$A$6:$A$1005,$A147))</f>
        <v/>
      </c>
      <c r="N147" s="58">
        <f>IF($B147="","",SUMIFS(Krankmeldungen!$AI$6:$AI$1005,Krankmeldungen!$A$6:$A$1005,$A147))</f>
        <v/>
      </c>
      <c r="O147" s="65">
        <f>IF($B147="","",SUM(C147:N147))</f>
        <v/>
      </c>
      <c r="P147" s="57">
        <f>'KQuote Mitarbeiter'!D147</f>
        <v/>
      </c>
      <c r="Q147" s="67">
        <f>'KQuote Mitarbeiter'!J147</f>
        <v/>
      </c>
    </row>
    <row r="148">
      <c r="A148" s="61">
        <f>'KQuote Mitarbeiter'!A148</f>
        <v/>
      </c>
      <c r="B148" s="62">
        <f>'KQuote Mitarbeiter'!B148</f>
        <v/>
      </c>
      <c r="C148" s="58">
        <f>IF($B148="","",SUMIFS(Krankmeldungen!$X$6:$X$1005,Krankmeldungen!$A$6:$A$1005,$A148))</f>
        <v/>
      </c>
      <c r="D148" s="58">
        <f>IF($B148="","",SUMIFS(Krankmeldungen!$Y$6:$Y$1005,Krankmeldungen!$A$6:$A$1005,$A148))</f>
        <v/>
      </c>
      <c r="E148" s="58">
        <f>IF($B148="","",SUMIFS(Krankmeldungen!$Z$6:$Z$1005,Krankmeldungen!$A$6:$A$1005,$A148))</f>
        <v/>
      </c>
      <c r="F148" s="58">
        <f>IF($B148="","",SUMIFS(Krankmeldungen!$AA$6:$AA$1005,Krankmeldungen!$A$6:$A$1005,$A148))</f>
        <v/>
      </c>
      <c r="G148" s="58">
        <f>IF($B148="","",SUMIFS(Krankmeldungen!$AB$6:$AB$1005,Krankmeldungen!$A$6:$A$1005,$A148))</f>
        <v/>
      </c>
      <c r="H148" s="58">
        <f>IF($B148="","",SUMIFS(Krankmeldungen!$AC$6:$AC$1005,Krankmeldungen!$A$6:$A$1005,$A148))</f>
        <v/>
      </c>
      <c r="I148" s="58">
        <f>IF($B148="","",SUMIFS(Krankmeldungen!$AD$6:$AD$1005,Krankmeldungen!$A$6:$A$1005,$A148))</f>
        <v/>
      </c>
      <c r="J148" s="58">
        <f>IF($B148="","",SUMIFS(Krankmeldungen!$AE$6:$AE$1005,Krankmeldungen!$A$6:$A$1005,$A148))</f>
        <v/>
      </c>
      <c r="K148" s="58">
        <f>IF($B148="","",SUMIFS(Krankmeldungen!$AF$6:$AF$1005,Krankmeldungen!$A$6:$A$1005,$A148))</f>
        <v/>
      </c>
      <c r="L148" s="58">
        <f>IF($B148="","",SUMIFS(Krankmeldungen!$AG$6:$AG$1005,Krankmeldungen!$A$6:$A$1005,$A148))</f>
        <v/>
      </c>
      <c r="M148" s="58">
        <f>IF($B148="","",SUMIFS(Krankmeldungen!$AH$6:$AH$1005,Krankmeldungen!$A$6:$A$1005,$A148))</f>
        <v/>
      </c>
      <c r="N148" s="58">
        <f>IF($B148="","",SUMIFS(Krankmeldungen!$AI$6:$AI$1005,Krankmeldungen!$A$6:$A$1005,$A148))</f>
        <v/>
      </c>
      <c r="O148" s="65">
        <f>IF($B148="","",SUM(C148:N148))</f>
        <v/>
      </c>
      <c r="P148" s="57">
        <f>'KQuote Mitarbeiter'!D148</f>
        <v/>
      </c>
      <c r="Q148" s="67">
        <f>'KQuote Mitarbeiter'!J148</f>
        <v/>
      </c>
    </row>
    <row r="149">
      <c r="A149" s="61">
        <f>'KQuote Mitarbeiter'!A149</f>
        <v/>
      </c>
      <c r="B149" s="62">
        <f>'KQuote Mitarbeiter'!B149</f>
        <v/>
      </c>
      <c r="C149" s="58">
        <f>IF($B149="","",SUMIFS(Krankmeldungen!$X$6:$X$1005,Krankmeldungen!$A$6:$A$1005,$A149))</f>
        <v/>
      </c>
      <c r="D149" s="58">
        <f>IF($B149="","",SUMIFS(Krankmeldungen!$Y$6:$Y$1005,Krankmeldungen!$A$6:$A$1005,$A149))</f>
        <v/>
      </c>
      <c r="E149" s="58">
        <f>IF($B149="","",SUMIFS(Krankmeldungen!$Z$6:$Z$1005,Krankmeldungen!$A$6:$A$1005,$A149))</f>
        <v/>
      </c>
      <c r="F149" s="58">
        <f>IF($B149="","",SUMIFS(Krankmeldungen!$AA$6:$AA$1005,Krankmeldungen!$A$6:$A$1005,$A149))</f>
        <v/>
      </c>
      <c r="G149" s="58">
        <f>IF($B149="","",SUMIFS(Krankmeldungen!$AB$6:$AB$1005,Krankmeldungen!$A$6:$A$1005,$A149))</f>
        <v/>
      </c>
      <c r="H149" s="58">
        <f>IF($B149="","",SUMIFS(Krankmeldungen!$AC$6:$AC$1005,Krankmeldungen!$A$6:$A$1005,$A149))</f>
        <v/>
      </c>
      <c r="I149" s="58">
        <f>IF($B149="","",SUMIFS(Krankmeldungen!$AD$6:$AD$1005,Krankmeldungen!$A$6:$A$1005,$A149))</f>
        <v/>
      </c>
      <c r="J149" s="58">
        <f>IF($B149="","",SUMIFS(Krankmeldungen!$AE$6:$AE$1005,Krankmeldungen!$A$6:$A$1005,$A149))</f>
        <v/>
      </c>
      <c r="K149" s="58">
        <f>IF($B149="","",SUMIFS(Krankmeldungen!$AF$6:$AF$1005,Krankmeldungen!$A$6:$A$1005,$A149))</f>
        <v/>
      </c>
      <c r="L149" s="58">
        <f>IF($B149="","",SUMIFS(Krankmeldungen!$AG$6:$AG$1005,Krankmeldungen!$A$6:$A$1005,$A149))</f>
        <v/>
      </c>
      <c r="M149" s="58">
        <f>IF($B149="","",SUMIFS(Krankmeldungen!$AH$6:$AH$1005,Krankmeldungen!$A$6:$A$1005,$A149))</f>
        <v/>
      </c>
      <c r="N149" s="58">
        <f>IF($B149="","",SUMIFS(Krankmeldungen!$AI$6:$AI$1005,Krankmeldungen!$A$6:$A$1005,$A149))</f>
        <v/>
      </c>
      <c r="O149" s="65">
        <f>IF($B149="","",SUM(C149:N149))</f>
        <v/>
      </c>
      <c r="P149" s="57">
        <f>'KQuote Mitarbeiter'!D149</f>
        <v/>
      </c>
      <c r="Q149" s="67">
        <f>'KQuote Mitarbeiter'!J149</f>
        <v/>
      </c>
    </row>
    <row r="150">
      <c r="A150" s="61">
        <f>'KQuote Mitarbeiter'!A150</f>
        <v/>
      </c>
      <c r="B150" s="62">
        <f>'KQuote Mitarbeiter'!B150</f>
        <v/>
      </c>
      <c r="C150" s="58">
        <f>IF($B150="","",SUMIFS(Krankmeldungen!$X$6:$X$1005,Krankmeldungen!$A$6:$A$1005,$A150))</f>
        <v/>
      </c>
      <c r="D150" s="58">
        <f>IF($B150="","",SUMIFS(Krankmeldungen!$Y$6:$Y$1005,Krankmeldungen!$A$6:$A$1005,$A150))</f>
        <v/>
      </c>
      <c r="E150" s="58">
        <f>IF($B150="","",SUMIFS(Krankmeldungen!$Z$6:$Z$1005,Krankmeldungen!$A$6:$A$1005,$A150))</f>
        <v/>
      </c>
      <c r="F150" s="58">
        <f>IF($B150="","",SUMIFS(Krankmeldungen!$AA$6:$AA$1005,Krankmeldungen!$A$6:$A$1005,$A150))</f>
        <v/>
      </c>
      <c r="G150" s="58">
        <f>IF($B150="","",SUMIFS(Krankmeldungen!$AB$6:$AB$1005,Krankmeldungen!$A$6:$A$1005,$A150))</f>
        <v/>
      </c>
      <c r="H150" s="58">
        <f>IF($B150="","",SUMIFS(Krankmeldungen!$AC$6:$AC$1005,Krankmeldungen!$A$6:$A$1005,$A150))</f>
        <v/>
      </c>
      <c r="I150" s="58">
        <f>IF($B150="","",SUMIFS(Krankmeldungen!$AD$6:$AD$1005,Krankmeldungen!$A$6:$A$1005,$A150))</f>
        <v/>
      </c>
      <c r="J150" s="58">
        <f>IF($B150="","",SUMIFS(Krankmeldungen!$AE$6:$AE$1005,Krankmeldungen!$A$6:$A$1005,$A150))</f>
        <v/>
      </c>
      <c r="K150" s="58">
        <f>IF($B150="","",SUMIFS(Krankmeldungen!$AF$6:$AF$1005,Krankmeldungen!$A$6:$A$1005,$A150))</f>
        <v/>
      </c>
      <c r="L150" s="58">
        <f>IF($B150="","",SUMIFS(Krankmeldungen!$AG$6:$AG$1005,Krankmeldungen!$A$6:$A$1005,$A150))</f>
        <v/>
      </c>
      <c r="M150" s="58">
        <f>IF($B150="","",SUMIFS(Krankmeldungen!$AH$6:$AH$1005,Krankmeldungen!$A$6:$A$1005,$A150))</f>
        <v/>
      </c>
      <c r="N150" s="58">
        <f>IF($B150="","",SUMIFS(Krankmeldungen!$AI$6:$AI$1005,Krankmeldungen!$A$6:$A$1005,$A150))</f>
        <v/>
      </c>
      <c r="O150" s="65">
        <f>IF($B150="","",SUM(C150:N150))</f>
        <v/>
      </c>
      <c r="P150" s="57">
        <f>'KQuote Mitarbeiter'!D150</f>
        <v/>
      </c>
      <c r="Q150" s="67">
        <f>'KQuote Mitarbeiter'!J150</f>
        <v/>
      </c>
    </row>
    <row r="151">
      <c r="A151" s="61">
        <f>'KQuote Mitarbeiter'!A151</f>
        <v/>
      </c>
      <c r="B151" s="62">
        <f>'KQuote Mitarbeiter'!B151</f>
        <v/>
      </c>
      <c r="C151" s="58">
        <f>IF($B151="","",SUMIFS(Krankmeldungen!$X$6:$X$1005,Krankmeldungen!$A$6:$A$1005,$A151))</f>
        <v/>
      </c>
      <c r="D151" s="58">
        <f>IF($B151="","",SUMIFS(Krankmeldungen!$Y$6:$Y$1005,Krankmeldungen!$A$6:$A$1005,$A151))</f>
        <v/>
      </c>
      <c r="E151" s="58">
        <f>IF($B151="","",SUMIFS(Krankmeldungen!$Z$6:$Z$1005,Krankmeldungen!$A$6:$A$1005,$A151))</f>
        <v/>
      </c>
      <c r="F151" s="58">
        <f>IF($B151="","",SUMIFS(Krankmeldungen!$AA$6:$AA$1005,Krankmeldungen!$A$6:$A$1005,$A151))</f>
        <v/>
      </c>
      <c r="G151" s="58">
        <f>IF($B151="","",SUMIFS(Krankmeldungen!$AB$6:$AB$1005,Krankmeldungen!$A$6:$A$1005,$A151))</f>
        <v/>
      </c>
      <c r="H151" s="58">
        <f>IF($B151="","",SUMIFS(Krankmeldungen!$AC$6:$AC$1005,Krankmeldungen!$A$6:$A$1005,$A151))</f>
        <v/>
      </c>
      <c r="I151" s="58">
        <f>IF($B151="","",SUMIFS(Krankmeldungen!$AD$6:$AD$1005,Krankmeldungen!$A$6:$A$1005,$A151))</f>
        <v/>
      </c>
      <c r="J151" s="58">
        <f>IF($B151="","",SUMIFS(Krankmeldungen!$AE$6:$AE$1005,Krankmeldungen!$A$6:$A$1005,$A151))</f>
        <v/>
      </c>
      <c r="K151" s="58">
        <f>IF($B151="","",SUMIFS(Krankmeldungen!$AF$6:$AF$1005,Krankmeldungen!$A$6:$A$1005,$A151))</f>
        <v/>
      </c>
      <c r="L151" s="58">
        <f>IF($B151="","",SUMIFS(Krankmeldungen!$AG$6:$AG$1005,Krankmeldungen!$A$6:$A$1005,$A151))</f>
        <v/>
      </c>
      <c r="M151" s="58">
        <f>IF($B151="","",SUMIFS(Krankmeldungen!$AH$6:$AH$1005,Krankmeldungen!$A$6:$A$1005,$A151))</f>
        <v/>
      </c>
      <c r="N151" s="58">
        <f>IF($B151="","",SUMIFS(Krankmeldungen!$AI$6:$AI$1005,Krankmeldungen!$A$6:$A$1005,$A151))</f>
        <v/>
      </c>
      <c r="O151" s="65">
        <f>IF($B151="","",SUM(C151:N151))</f>
        <v/>
      </c>
      <c r="P151" s="57">
        <f>'KQuote Mitarbeiter'!D151</f>
        <v/>
      </c>
      <c r="Q151" s="67">
        <f>'KQuote Mitarbeiter'!J151</f>
        <v/>
      </c>
    </row>
    <row r="152">
      <c r="A152" s="61">
        <f>'KQuote Mitarbeiter'!A152</f>
        <v/>
      </c>
      <c r="B152" s="62">
        <f>'KQuote Mitarbeiter'!B152</f>
        <v/>
      </c>
      <c r="C152" s="58">
        <f>IF($B152="","",SUMIFS(Krankmeldungen!$X$6:$X$1005,Krankmeldungen!$A$6:$A$1005,$A152))</f>
        <v/>
      </c>
      <c r="D152" s="58">
        <f>IF($B152="","",SUMIFS(Krankmeldungen!$Y$6:$Y$1005,Krankmeldungen!$A$6:$A$1005,$A152))</f>
        <v/>
      </c>
      <c r="E152" s="58">
        <f>IF($B152="","",SUMIFS(Krankmeldungen!$Z$6:$Z$1005,Krankmeldungen!$A$6:$A$1005,$A152))</f>
        <v/>
      </c>
      <c r="F152" s="58">
        <f>IF($B152="","",SUMIFS(Krankmeldungen!$AA$6:$AA$1005,Krankmeldungen!$A$6:$A$1005,$A152))</f>
        <v/>
      </c>
      <c r="G152" s="58">
        <f>IF($B152="","",SUMIFS(Krankmeldungen!$AB$6:$AB$1005,Krankmeldungen!$A$6:$A$1005,$A152))</f>
        <v/>
      </c>
      <c r="H152" s="58">
        <f>IF($B152="","",SUMIFS(Krankmeldungen!$AC$6:$AC$1005,Krankmeldungen!$A$6:$A$1005,$A152))</f>
        <v/>
      </c>
      <c r="I152" s="58">
        <f>IF($B152="","",SUMIFS(Krankmeldungen!$AD$6:$AD$1005,Krankmeldungen!$A$6:$A$1005,$A152))</f>
        <v/>
      </c>
      <c r="J152" s="58">
        <f>IF($B152="","",SUMIFS(Krankmeldungen!$AE$6:$AE$1005,Krankmeldungen!$A$6:$A$1005,$A152))</f>
        <v/>
      </c>
      <c r="K152" s="58">
        <f>IF($B152="","",SUMIFS(Krankmeldungen!$AF$6:$AF$1005,Krankmeldungen!$A$6:$A$1005,$A152))</f>
        <v/>
      </c>
      <c r="L152" s="58">
        <f>IF($B152="","",SUMIFS(Krankmeldungen!$AG$6:$AG$1005,Krankmeldungen!$A$6:$A$1005,$A152))</f>
        <v/>
      </c>
      <c r="M152" s="58">
        <f>IF($B152="","",SUMIFS(Krankmeldungen!$AH$6:$AH$1005,Krankmeldungen!$A$6:$A$1005,$A152))</f>
        <v/>
      </c>
      <c r="N152" s="58">
        <f>IF($B152="","",SUMIFS(Krankmeldungen!$AI$6:$AI$1005,Krankmeldungen!$A$6:$A$1005,$A152))</f>
        <v/>
      </c>
      <c r="O152" s="65">
        <f>IF($B152="","",SUM(C152:N152))</f>
        <v/>
      </c>
      <c r="P152" s="57">
        <f>'KQuote Mitarbeiter'!D152</f>
        <v/>
      </c>
      <c r="Q152" s="67">
        <f>'KQuote Mitarbeiter'!J152</f>
        <v/>
      </c>
    </row>
    <row r="153">
      <c r="A153" s="61">
        <f>'KQuote Mitarbeiter'!A153</f>
        <v/>
      </c>
      <c r="B153" s="62">
        <f>'KQuote Mitarbeiter'!B153</f>
        <v/>
      </c>
      <c r="C153" s="58">
        <f>IF($B153="","",SUMIFS(Krankmeldungen!$X$6:$X$1005,Krankmeldungen!$A$6:$A$1005,$A153))</f>
        <v/>
      </c>
      <c r="D153" s="58">
        <f>IF($B153="","",SUMIFS(Krankmeldungen!$Y$6:$Y$1005,Krankmeldungen!$A$6:$A$1005,$A153))</f>
        <v/>
      </c>
      <c r="E153" s="58">
        <f>IF($B153="","",SUMIFS(Krankmeldungen!$Z$6:$Z$1005,Krankmeldungen!$A$6:$A$1005,$A153))</f>
        <v/>
      </c>
      <c r="F153" s="58">
        <f>IF($B153="","",SUMIFS(Krankmeldungen!$AA$6:$AA$1005,Krankmeldungen!$A$6:$A$1005,$A153))</f>
        <v/>
      </c>
      <c r="G153" s="58">
        <f>IF($B153="","",SUMIFS(Krankmeldungen!$AB$6:$AB$1005,Krankmeldungen!$A$6:$A$1005,$A153))</f>
        <v/>
      </c>
      <c r="H153" s="58">
        <f>IF($B153="","",SUMIFS(Krankmeldungen!$AC$6:$AC$1005,Krankmeldungen!$A$6:$A$1005,$A153))</f>
        <v/>
      </c>
      <c r="I153" s="58">
        <f>IF($B153="","",SUMIFS(Krankmeldungen!$AD$6:$AD$1005,Krankmeldungen!$A$6:$A$1005,$A153))</f>
        <v/>
      </c>
      <c r="J153" s="58">
        <f>IF($B153="","",SUMIFS(Krankmeldungen!$AE$6:$AE$1005,Krankmeldungen!$A$6:$A$1005,$A153))</f>
        <v/>
      </c>
      <c r="K153" s="58">
        <f>IF($B153="","",SUMIFS(Krankmeldungen!$AF$6:$AF$1005,Krankmeldungen!$A$6:$A$1005,$A153))</f>
        <v/>
      </c>
      <c r="L153" s="58">
        <f>IF($B153="","",SUMIFS(Krankmeldungen!$AG$6:$AG$1005,Krankmeldungen!$A$6:$A$1005,$A153))</f>
        <v/>
      </c>
      <c r="M153" s="58">
        <f>IF($B153="","",SUMIFS(Krankmeldungen!$AH$6:$AH$1005,Krankmeldungen!$A$6:$A$1005,$A153))</f>
        <v/>
      </c>
      <c r="N153" s="58">
        <f>IF($B153="","",SUMIFS(Krankmeldungen!$AI$6:$AI$1005,Krankmeldungen!$A$6:$A$1005,$A153))</f>
        <v/>
      </c>
      <c r="O153" s="65">
        <f>IF($B153="","",SUM(C153:N153))</f>
        <v/>
      </c>
      <c r="P153" s="57">
        <f>'KQuote Mitarbeiter'!D153</f>
        <v/>
      </c>
      <c r="Q153" s="67">
        <f>'KQuote Mitarbeiter'!J153</f>
        <v/>
      </c>
    </row>
    <row r="154">
      <c r="A154" s="61">
        <f>'KQuote Mitarbeiter'!A154</f>
        <v/>
      </c>
      <c r="B154" s="62">
        <f>'KQuote Mitarbeiter'!B154</f>
        <v/>
      </c>
      <c r="C154" s="58">
        <f>IF($B154="","",SUMIFS(Krankmeldungen!$X$6:$X$1005,Krankmeldungen!$A$6:$A$1005,$A154))</f>
        <v/>
      </c>
      <c r="D154" s="58">
        <f>IF($B154="","",SUMIFS(Krankmeldungen!$Y$6:$Y$1005,Krankmeldungen!$A$6:$A$1005,$A154))</f>
        <v/>
      </c>
      <c r="E154" s="58">
        <f>IF($B154="","",SUMIFS(Krankmeldungen!$Z$6:$Z$1005,Krankmeldungen!$A$6:$A$1005,$A154))</f>
        <v/>
      </c>
      <c r="F154" s="58">
        <f>IF($B154="","",SUMIFS(Krankmeldungen!$AA$6:$AA$1005,Krankmeldungen!$A$6:$A$1005,$A154))</f>
        <v/>
      </c>
      <c r="G154" s="58">
        <f>IF($B154="","",SUMIFS(Krankmeldungen!$AB$6:$AB$1005,Krankmeldungen!$A$6:$A$1005,$A154))</f>
        <v/>
      </c>
      <c r="H154" s="58">
        <f>IF($B154="","",SUMIFS(Krankmeldungen!$AC$6:$AC$1005,Krankmeldungen!$A$6:$A$1005,$A154))</f>
        <v/>
      </c>
      <c r="I154" s="58">
        <f>IF($B154="","",SUMIFS(Krankmeldungen!$AD$6:$AD$1005,Krankmeldungen!$A$6:$A$1005,$A154))</f>
        <v/>
      </c>
      <c r="J154" s="58">
        <f>IF($B154="","",SUMIFS(Krankmeldungen!$AE$6:$AE$1005,Krankmeldungen!$A$6:$A$1005,$A154))</f>
        <v/>
      </c>
      <c r="K154" s="58">
        <f>IF($B154="","",SUMIFS(Krankmeldungen!$AF$6:$AF$1005,Krankmeldungen!$A$6:$A$1005,$A154))</f>
        <v/>
      </c>
      <c r="L154" s="58">
        <f>IF($B154="","",SUMIFS(Krankmeldungen!$AG$6:$AG$1005,Krankmeldungen!$A$6:$A$1005,$A154))</f>
        <v/>
      </c>
      <c r="M154" s="58">
        <f>IF($B154="","",SUMIFS(Krankmeldungen!$AH$6:$AH$1005,Krankmeldungen!$A$6:$A$1005,$A154))</f>
        <v/>
      </c>
      <c r="N154" s="58">
        <f>IF($B154="","",SUMIFS(Krankmeldungen!$AI$6:$AI$1005,Krankmeldungen!$A$6:$A$1005,$A154))</f>
        <v/>
      </c>
      <c r="O154" s="65">
        <f>IF($B154="","",SUM(C154:N154))</f>
        <v/>
      </c>
      <c r="P154" s="57">
        <f>'KQuote Mitarbeiter'!D154</f>
        <v/>
      </c>
      <c r="Q154" s="67">
        <f>'KQuote Mitarbeiter'!J154</f>
        <v/>
      </c>
    </row>
    <row r="155">
      <c r="A155" s="61">
        <f>'KQuote Mitarbeiter'!A155</f>
        <v/>
      </c>
      <c r="B155" s="62">
        <f>'KQuote Mitarbeiter'!B155</f>
        <v/>
      </c>
      <c r="C155" s="58">
        <f>IF($B155="","",SUMIFS(Krankmeldungen!$X$6:$X$1005,Krankmeldungen!$A$6:$A$1005,$A155))</f>
        <v/>
      </c>
      <c r="D155" s="58">
        <f>IF($B155="","",SUMIFS(Krankmeldungen!$Y$6:$Y$1005,Krankmeldungen!$A$6:$A$1005,$A155))</f>
        <v/>
      </c>
      <c r="E155" s="58">
        <f>IF($B155="","",SUMIFS(Krankmeldungen!$Z$6:$Z$1005,Krankmeldungen!$A$6:$A$1005,$A155))</f>
        <v/>
      </c>
      <c r="F155" s="58">
        <f>IF($B155="","",SUMIFS(Krankmeldungen!$AA$6:$AA$1005,Krankmeldungen!$A$6:$A$1005,$A155))</f>
        <v/>
      </c>
      <c r="G155" s="58">
        <f>IF($B155="","",SUMIFS(Krankmeldungen!$AB$6:$AB$1005,Krankmeldungen!$A$6:$A$1005,$A155))</f>
        <v/>
      </c>
      <c r="H155" s="58">
        <f>IF($B155="","",SUMIFS(Krankmeldungen!$AC$6:$AC$1005,Krankmeldungen!$A$6:$A$1005,$A155))</f>
        <v/>
      </c>
      <c r="I155" s="58">
        <f>IF($B155="","",SUMIFS(Krankmeldungen!$AD$6:$AD$1005,Krankmeldungen!$A$6:$A$1005,$A155))</f>
        <v/>
      </c>
      <c r="J155" s="58">
        <f>IF($B155="","",SUMIFS(Krankmeldungen!$AE$6:$AE$1005,Krankmeldungen!$A$6:$A$1005,$A155))</f>
        <v/>
      </c>
      <c r="K155" s="58">
        <f>IF($B155="","",SUMIFS(Krankmeldungen!$AF$6:$AF$1005,Krankmeldungen!$A$6:$A$1005,$A155))</f>
        <v/>
      </c>
      <c r="L155" s="58">
        <f>IF($B155="","",SUMIFS(Krankmeldungen!$AG$6:$AG$1005,Krankmeldungen!$A$6:$A$1005,$A155))</f>
        <v/>
      </c>
      <c r="M155" s="58">
        <f>IF($B155="","",SUMIFS(Krankmeldungen!$AH$6:$AH$1005,Krankmeldungen!$A$6:$A$1005,$A155))</f>
        <v/>
      </c>
      <c r="N155" s="58">
        <f>IF($B155="","",SUMIFS(Krankmeldungen!$AI$6:$AI$1005,Krankmeldungen!$A$6:$A$1005,$A155))</f>
        <v/>
      </c>
      <c r="O155" s="65">
        <f>IF($B155="","",SUM(C155:N155))</f>
        <v/>
      </c>
      <c r="P155" s="57">
        <f>'KQuote Mitarbeiter'!D155</f>
        <v/>
      </c>
      <c r="Q155" s="67">
        <f>'KQuote Mitarbeiter'!J155</f>
        <v/>
      </c>
    </row>
    <row r="156">
      <c r="A156" s="61">
        <f>'KQuote Mitarbeiter'!A156</f>
        <v/>
      </c>
      <c r="B156" s="62">
        <f>'KQuote Mitarbeiter'!B156</f>
        <v/>
      </c>
      <c r="C156" s="58">
        <f>IF($B156="","",SUMIFS(Krankmeldungen!$X$6:$X$1005,Krankmeldungen!$A$6:$A$1005,$A156))</f>
        <v/>
      </c>
      <c r="D156" s="58">
        <f>IF($B156="","",SUMIFS(Krankmeldungen!$Y$6:$Y$1005,Krankmeldungen!$A$6:$A$1005,$A156))</f>
        <v/>
      </c>
      <c r="E156" s="58">
        <f>IF($B156="","",SUMIFS(Krankmeldungen!$Z$6:$Z$1005,Krankmeldungen!$A$6:$A$1005,$A156))</f>
        <v/>
      </c>
      <c r="F156" s="58">
        <f>IF($B156="","",SUMIFS(Krankmeldungen!$AA$6:$AA$1005,Krankmeldungen!$A$6:$A$1005,$A156))</f>
        <v/>
      </c>
      <c r="G156" s="58">
        <f>IF($B156="","",SUMIFS(Krankmeldungen!$AB$6:$AB$1005,Krankmeldungen!$A$6:$A$1005,$A156))</f>
        <v/>
      </c>
      <c r="H156" s="58">
        <f>IF($B156="","",SUMIFS(Krankmeldungen!$AC$6:$AC$1005,Krankmeldungen!$A$6:$A$1005,$A156))</f>
        <v/>
      </c>
      <c r="I156" s="58">
        <f>IF($B156="","",SUMIFS(Krankmeldungen!$AD$6:$AD$1005,Krankmeldungen!$A$6:$A$1005,$A156))</f>
        <v/>
      </c>
      <c r="J156" s="58">
        <f>IF($B156="","",SUMIFS(Krankmeldungen!$AE$6:$AE$1005,Krankmeldungen!$A$6:$A$1005,$A156))</f>
        <v/>
      </c>
      <c r="K156" s="58">
        <f>IF($B156="","",SUMIFS(Krankmeldungen!$AF$6:$AF$1005,Krankmeldungen!$A$6:$A$1005,$A156))</f>
        <v/>
      </c>
      <c r="L156" s="58">
        <f>IF($B156="","",SUMIFS(Krankmeldungen!$AG$6:$AG$1005,Krankmeldungen!$A$6:$A$1005,$A156))</f>
        <v/>
      </c>
      <c r="M156" s="58">
        <f>IF($B156="","",SUMIFS(Krankmeldungen!$AH$6:$AH$1005,Krankmeldungen!$A$6:$A$1005,$A156))</f>
        <v/>
      </c>
      <c r="N156" s="58">
        <f>IF($B156="","",SUMIFS(Krankmeldungen!$AI$6:$AI$1005,Krankmeldungen!$A$6:$A$1005,$A156))</f>
        <v/>
      </c>
      <c r="O156" s="65">
        <f>IF($B156="","",SUM(C156:N156))</f>
        <v/>
      </c>
      <c r="P156" s="57">
        <f>'KQuote Mitarbeiter'!D156</f>
        <v/>
      </c>
      <c r="Q156" s="67">
        <f>'KQuote Mitarbeiter'!J156</f>
        <v/>
      </c>
    </row>
    <row r="157">
      <c r="A157" s="61">
        <f>'KQuote Mitarbeiter'!A157</f>
        <v/>
      </c>
      <c r="B157" s="62">
        <f>'KQuote Mitarbeiter'!B157</f>
        <v/>
      </c>
      <c r="C157" s="58">
        <f>IF($B157="","",SUMIFS(Krankmeldungen!$X$6:$X$1005,Krankmeldungen!$A$6:$A$1005,$A157))</f>
        <v/>
      </c>
      <c r="D157" s="58">
        <f>IF($B157="","",SUMIFS(Krankmeldungen!$Y$6:$Y$1005,Krankmeldungen!$A$6:$A$1005,$A157))</f>
        <v/>
      </c>
      <c r="E157" s="58">
        <f>IF($B157="","",SUMIFS(Krankmeldungen!$Z$6:$Z$1005,Krankmeldungen!$A$6:$A$1005,$A157))</f>
        <v/>
      </c>
      <c r="F157" s="58">
        <f>IF($B157="","",SUMIFS(Krankmeldungen!$AA$6:$AA$1005,Krankmeldungen!$A$6:$A$1005,$A157))</f>
        <v/>
      </c>
      <c r="G157" s="58">
        <f>IF($B157="","",SUMIFS(Krankmeldungen!$AB$6:$AB$1005,Krankmeldungen!$A$6:$A$1005,$A157))</f>
        <v/>
      </c>
      <c r="H157" s="58">
        <f>IF($B157="","",SUMIFS(Krankmeldungen!$AC$6:$AC$1005,Krankmeldungen!$A$6:$A$1005,$A157))</f>
        <v/>
      </c>
      <c r="I157" s="58">
        <f>IF($B157="","",SUMIFS(Krankmeldungen!$AD$6:$AD$1005,Krankmeldungen!$A$6:$A$1005,$A157))</f>
        <v/>
      </c>
      <c r="J157" s="58">
        <f>IF($B157="","",SUMIFS(Krankmeldungen!$AE$6:$AE$1005,Krankmeldungen!$A$6:$A$1005,$A157))</f>
        <v/>
      </c>
      <c r="K157" s="58">
        <f>IF($B157="","",SUMIFS(Krankmeldungen!$AF$6:$AF$1005,Krankmeldungen!$A$6:$A$1005,$A157))</f>
        <v/>
      </c>
      <c r="L157" s="58">
        <f>IF($B157="","",SUMIFS(Krankmeldungen!$AG$6:$AG$1005,Krankmeldungen!$A$6:$A$1005,$A157))</f>
        <v/>
      </c>
      <c r="M157" s="58">
        <f>IF($B157="","",SUMIFS(Krankmeldungen!$AH$6:$AH$1005,Krankmeldungen!$A$6:$A$1005,$A157))</f>
        <v/>
      </c>
      <c r="N157" s="58">
        <f>IF($B157="","",SUMIFS(Krankmeldungen!$AI$6:$AI$1005,Krankmeldungen!$A$6:$A$1005,$A157))</f>
        <v/>
      </c>
      <c r="O157" s="65">
        <f>IF($B157="","",SUM(C157:N157))</f>
        <v/>
      </c>
      <c r="P157" s="57">
        <f>'KQuote Mitarbeiter'!D157</f>
        <v/>
      </c>
      <c r="Q157" s="67">
        <f>'KQuote Mitarbeiter'!J157</f>
        <v/>
      </c>
    </row>
    <row r="158">
      <c r="A158" s="61">
        <f>'KQuote Mitarbeiter'!A158</f>
        <v/>
      </c>
      <c r="B158" s="62">
        <f>'KQuote Mitarbeiter'!B158</f>
        <v/>
      </c>
      <c r="C158" s="58">
        <f>IF($B158="","",SUMIFS(Krankmeldungen!$X$6:$X$1005,Krankmeldungen!$A$6:$A$1005,$A158))</f>
        <v/>
      </c>
      <c r="D158" s="58">
        <f>IF($B158="","",SUMIFS(Krankmeldungen!$Y$6:$Y$1005,Krankmeldungen!$A$6:$A$1005,$A158))</f>
        <v/>
      </c>
      <c r="E158" s="58">
        <f>IF($B158="","",SUMIFS(Krankmeldungen!$Z$6:$Z$1005,Krankmeldungen!$A$6:$A$1005,$A158))</f>
        <v/>
      </c>
      <c r="F158" s="58">
        <f>IF($B158="","",SUMIFS(Krankmeldungen!$AA$6:$AA$1005,Krankmeldungen!$A$6:$A$1005,$A158))</f>
        <v/>
      </c>
      <c r="G158" s="58">
        <f>IF($B158="","",SUMIFS(Krankmeldungen!$AB$6:$AB$1005,Krankmeldungen!$A$6:$A$1005,$A158))</f>
        <v/>
      </c>
      <c r="H158" s="58">
        <f>IF($B158="","",SUMIFS(Krankmeldungen!$AC$6:$AC$1005,Krankmeldungen!$A$6:$A$1005,$A158))</f>
        <v/>
      </c>
      <c r="I158" s="58">
        <f>IF($B158="","",SUMIFS(Krankmeldungen!$AD$6:$AD$1005,Krankmeldungen!$A$6:$A$1005,$A158))</f>
        <v/>
      </c>
      <c r="J158" s="58">
        <f>IF($B158="","",SUMIFS(Krankmeldungen!$AE$6:$AE$1005,Krankmeldungen!$A$6:$A$1005,$A158))</f>
        <v/>
      </c>
      <c r="K158" s="58">
        <f>IF($B158="","",SUMIFS(Krankmeldungen!$AF$6:$AF$1005,Krankmeldungen!$A$6:$A$1005,$A158))</f>
        <v/>
      </c>
      <c r="L158" s="58">
        <f>IF($B158="","",SUMIFS(Krankmeldungen!$AG$6:$AG$1005,Krankmeldungen!$A$6:$A$1005,$A158))</f>
        <v/>
      </c>
      <c r="M158" s="58">
        <f>IF($B158="","",SUMIFS(Krankmeldungen!$AH$6:$AH$1005,Krankmeldungen!$A$6:$A$1005,$A158))</f>
        <v/>
      </c>
      <c r="N158" s="58">
        <f>IF($B158="","",SUMIFS(Krankmeldungen!$AI$6:$AI$1005,Krankmeldungen!$A$6:$A$1005,$A158))</f>
        <v/>
      </c>
      <c r="O158" s="65">
        <f>IF($B158="","",SUM(C158:N158))</f>
        <v/>
      </c>
      <c r="P158" s="57">
        <f>'KQuote Mitarbeiter'!D158</f>
        <v/>
      </c>
      <c r="Q158" s="67">
        <f>'KQuote Mitarbeiter'!J158</f>
        <v/>
      </c>
    </row>
    <row r="159">
      <c r="A159" s="61">
        <f>'KQuote Mitarbeiter'!A159</f>
        <v/>
      </c>
      <c r="B159" s="62">
        <f>'KQuote Mitarbeiter'!B159</f>
        <v/>
      </c>
      <c r="C159" s="58">
        <f>IF($B159="","",SUMIFS(Krankmeldungen!$X$6:$X$1005,Krankmeldungen!$A$6:$A$1005,$A159))</f>
        <v/>
      </c>
      <c r="D159" s="58">
        <f>IF($B159="","",SUMIFS(Krankmeldungen!$Y$6:$Y$1005,Krankmeldungen!$A$6:$A$1005,$A159))</f>
        <v/>
      </c>
      <c r="E159" s="58">
        <f>IF($B159="","",SUMIFS(Krankmeldungen!$Z$6:$Z$1005,Krankmeldungen!$A$6:$A$1005,$A159))</f>
        <v/>
      </c>
      <c r="F159" s="58">
        <f>IF($B159="","",SUMIFS(Krankmeldungen!$AA$6:$AA$1005,Krankmeldungen!$A$6:$A$1005,$A159))</f>
        <v/>
      </c>
      <c r="G159" s="58">
        <f>IF($B159="","",SUMIFS(Krankmeldungen!$AB$6:$AB$1005,Krankmeldungen!$A$6:$A$1005,$A159))</f>
        <v/>
      </c>
      <c r="H159" s="58">
        <f>IF($B159="","",SUMIFS(Krankmeldungen!$AC$6:$AC$1005,Krankmeldungen!$A$6:$A$1005,$A159))</f>
        <v/>
      </c>
      <c r="I159" s="58">
        <f>IF($B159="","",SUMIFS(Krankmeldungen!$AD$6:$AD$1005,Krankmeldungen!$A$6:$A$1005,$A159))</f>
        <v/>
      </c>
      <c r="J159" s="58">
        <f>IF($B159="","",SUMIFS(Krankmeldungen!$AE$6:$AE$1005,Krankmeldungen!$A$6:$A$1005,$A159))</f>
        <v/>
      </c>
      <c r="K159" s="58">
        <f>IF($B159="","",SUMIFS(Krankmeldungen!$AF$6:$AF$1005,Krankmeldungen!$A$6:$A$1005,$A159))</f>
        <v/>
      </c>
      <c r="L159" s="58">
        <f>IF($B159="","",SUMIFS(Krankmeldungen!$AG$6:$AG$1005,Krankmeldungen!$A$6:$A$1005,$A159))</f>
        <v/>
      </c>
      <c r="M159" s="58">
        <f>IF($B159="","",SUMIFS(Krankmeldungen!$AH$6:$AH$1005,Krankmeldungen!$A$6:$A$1005,$A159))</f>
        <v/>
      </c>
      <c r="N159" s="58">
        <f>IF($B159="","",SUMIFS(Krankmeldungen!$AI$6:$AI$1005,Krankmeldungen!$A$6:$A$1005,$A159))</f>
        <v/>
      </c>
      <c r="O159" s="65">
        <f>IF($B159="","",SUM(C159:N159))</f>
        <v/>
      </c>
      <c r="P159" s="57">
        <f>'KQuote Mitarbeiter'!D159</f>
        <v/>
      </c>
      <c r="Q159" s="67">
        <f>'KQuote Mitarbeiter'!J159</f>
        <v/>
      </c>
    </row>
    <row r="160">
      <c r="A160" s="61">
        <f>'KQuote Mitarbeiter'!A160</f>
        <v/>
      </c>
      <c r="B160" s="62">
        <f>'KQuote Mitarbeiter'!B160</f>
        <v/>
      </c>
      <c r="C160" s="58">
        <f>IF($B160="","",SUMIFS(Krankmeldungen!$X$6:$X$1005,Krankmeldungen!$A$6:$A$1005,$A160))</f>
        <v/>
      </c>
      <c r="D160" s="58">
        <f>IF($B160="","",SUMIFS(Krankmeldungen!$Y$6:$Y$1005,Krankmeldungen!$A$6:$A$1005,$A160))</f>
        <v/>
      </c>
      <c r="E160" s="58">
        <f>IF($B160="","",SUMIFS(Krankmeldungen!$Z$6:$Z$1005,Krankmeldungen!$A$6:$A$1005,$A160))</f>
        <v/>
      </c>
      <c r="F160" s="58">
        <f>IF($B160="","",SUMIFS(Krankmeldungen!$AA$6:$AA$1005,Krankmeldungen!$A$6:$A$1005,$A160))</f>
        <v/>
      </c>
      <c r="G160" s="58">
        <f>IF($B160="","",SUMIFS(Krankmeldungen!$AB$6:$AB$1005,Krankmeldungen!$A$6:$A$1005,$A160))</f>
        <v/>
      </c>
      <c r="H160" s="58">
        <f>IF($B160="","",SUMIFS(Krankmeldungen!$AC$6:$AC$1005,Krankmeldungen!$A$6:$A$1005,$A160))</f>
        <v/>
      </c>
      <c r="I160" s="58">
        <f>IF($B160="","",SUMIFS(Krankmeldungen!$AD$6:$AD$1005,Krankmeldungen!$A$6:$A$1005,$A160))</f>
        <v/>
      </c>
      <c r="J160" s="58">
        <f>IF($B160="","",SUMIFS(Krankmeldungen!$AE$6:$AE$1005,Krankmeldungen!$A$6:$A$1005,$A160))</f>
        <v/>
      </c>
      <c r="K160" s="58">
        <f>IF($B160="","",SUMIFS(Krankmeldungen!$AF$6:$AF$1005,Krankmeldungen!$A$6:$A$1005,$A160))</f>
        <v/>
      </c>
      <c r="L160" s="58">
        <f>IF($B160="","",SUMIFS(Krankmeldungen!$AG$6:$AG$1005,Krankmeldungen!$A$6:$A$1005,$A160))</f>
        <v/>
      </c>
      <c r="M160" s="58">
        <f>IF($B160="","",SUMIFS(Krankmeldungen!$AH$6:$AH$1005,Krankmeldungen!$A$6:$A$1005,$A160))</f>
        <v/>
      </c>
      <c r="N160" s="58">
        <f>IF($B160="","",SUMIFS(Krankmeldungen!$AI$6:$AI$1005,Krankmeldungen!$A$6:$A$1005,$A160))</f>
        <v/>
      </c>
      <c r="O160" s="65">
        <f>IF($B160="","",SUM(C160:N160))</f>
        <v/>
      </c>
      <c r="P160" s="57">
        <f>'KQuote Mitarbeiter'!D160</f>
        <v/>
      </c>
      <c r="Q160" s="67">
        <f>'KQuote Mitarbeiter'!J160</f>
        <v/>
      </c>
    </row>
    <row r="161">
      <c r="A161" s="61">
        <f>'KQuote Mitarbeiter'!A161</f>
        <v/>
      </c>
      <c r="B161" s="62">
        <f>'KQuote Mitarbeiter'!B161</f>
        <v/>
      </c>
      <c r="C161" s="58">
        <f>IF($B161="","",SUMIFS(Krankmeldungen!$X$6:$X$1005,Krankmeldungen!$A$6:$A$1005,$A161))</f>
        <v/>
      </c>
      <c r="D161" s="58">
        <f>IF($B161="","",SUMIFS(Krankmeldungen!$Y$6:$Y$1005,Krankmeldungen!$A$6:$A$1005,$A161))</f>
        <v/>
      </c>
      <c r="E161" s="58">
        <f>IF($B161="","",SUMIFS(Krankmeldungen!$Z$6:$Z$1005,Krankmeldungen!$A$6:$A$1005,$A161))</f>
        <v/>
      </c>
      <c r="F161" s="58">
        <f>IF($B161="","",SUMIFS(Krankmeldungen!$AA$6:$AA$1005,Krankmeldungen!$A$6:$A$1005,$A161))</f>
        <v/>
      </c>
      <c r="G161" s="58">
        <f>IF($B161="","",SUMIFS(Krankmeldungen!$AB$6:$AB$1005,Krankmeldungen!$A$6:$A$1005,$A161))</f>
        <v/>
      </c>
      <c r="H161" s="58">
        <f>IF($B161="","",SUMIFS(Krankmeldungen!$AC$6:$AC$1005,Krankmeldungen!$A$6:$A$1005,$A161))</f>
        <v/>
      </c>
      <c r="I161" s="58">
        <f>IF($B161="","",SUMIFS(Krankmeldungen!$AD$6:$AD$1005,Krankmeldungen!$A$6:$A$1005,$A161))</f>
        <v/>
      </c>
      <c r="J161" s="58">
        <f>IF($B161="","",SUMIFS(Krankmeldungen!$AE$6:$AE$1005,Krankmeldungen!$A$6:$A$1005,$A161))</f>
        <v/>
      </c>
      <c r="K161" s="58">
        <f>IF($B161="","",SUMIFS(Krankmeldungen!$AF$6:$AF$1005,Krankmeldungen!$A$6:$A$1005,$A161))</f>
        <v/>
      </c>
      <c r="L161" s="58">
        <f>IF($B161="","",SUMIFS(Krankmeldungen!$AG$6:$AG$1005,Krankmeldungen!$A$6:$A$1005,$A161))</f>
        <v/>
      </c>
      <c r="M161" s="58">
        <f>IF($B161="","",SUMIFS(Krankmeldungen!$AH$6:$AH$1005,Krankmeldungen!$A$6:$A$1005,$A161))</f>
        <v/>
      </c>
      <c r="N161" s="58">
        <f>IF($B161="","",SUMIFS(Krankmeldungen!$AI$6:$AI$1005,Krankmeldungen!$A$6:$A$1005,$A161))</f>
        <v/>
      </c>
      <c r="O161" s="65">
        <f>IF($B161="","",SUM(C161:N161))</f>
        <v/>
      </c>
      <c r="P161" s="57">
        <f>'KQuote Mitarbeiter'!D161</f>
        <v/>
      </c>
      <c r="Q161" s="67">
        <f>'KQuote Mitarbeiter'!J161</f>
        <v/>
      </c>
    </row>
    <row r="162">
      <c r="A162" s="61">
        <f>'KQuote Mitarbeiter'!A162</f>
        <v/>
      </c>
      <c r="B162" s="62">
        <f>'KQuote Mitarbeiter'!B162</f>
        <v/>
      </c>
      <c r="C162" s="58">
        <f>IF($B162="","",SUMIFS(Krankmeldungen!$X$6:$X$1005,Krankmeldungen!$A$6:$A$1005,$A162))</f>
        <v/>
      </c>
      <c r="D162" s="58">
        <f>IF($B162="","",SUMIFS(Krankmeldungen!$Y$6:$Y$1005,Krankmeldungen!$A$6:$A$1005,$A162))</f>
        <v/>
      </c>
      <c r="E162" s="58">
        <f>IF($B162="","",SUMIFS(Krankmeldungen!$Z$6:$Z$1005,Krankmeldungen!$A$6:$A$1005,$A162))</f>
        <v/>
      </c>
      <c r="F162" s="58">
        <f>IF($B162="","",SUMIFS(Krankmeldungen!$AA$6:$AA$1005,Krankmeldungen!$A$6:$A$1005,$A162))</f>
        <v/>
      </c>
      <c r="G162" s="58">
        <f>IF($B162="","",SUMIFS(Krankmeldungen!$AB$6:$AB$1005,Krankmeldungen!$A$6:$A$1005,$A162))</f>
        <v/>
      </c>
      <c r="H162" s="58">
        <f>IF($B162="","",SUMIFS(Krankmeldungen!$AC$6:$AC$1005,Krankmeldungen!$A$6:$A$1005,$A162))</f>
        <v/>
      </c>
      <c r="I162" s="58">
        <f>IF($B162="","",SUMIFS(Krankmeldungen!$AD$6:$AD$1005,Krankmeldungen!$A$6:$A$1005,$A162))</f>
        <v/>
      </c>
      <c r="J162" s="58">
        <f>IF($B162="","",SUMIFS(Krankmeldungen!$AE$6:$AE$1005,Krankmeldungen!$A$6:$A$1005,$A162))</f>
        <v/>
      </c>
      <c r="K162" s="58">
        <f>IF($B162="","",SUMIFS(Krankmeldungen!$AF$6:$AF$1005,Krankmeldungen!$A$6:$A$1005,$A162))</f>
        <v/>
      </c>
      <c r="L162" s="58">
        <f>IF($B162="","",SUMIFS(Krankmeldungen!$AG$6:$AG$1005,Krankmeldungen!$A$6:$A$1005,$A162))</f>
        <v/>
      </c>
      <c r="M162" s="58">
        <f>IF($B162="","",SUMIFS(Krankmeldungen!$AH$6:$AH$1005,Krankmeldungen!$A$6:$A$1005,$A162))</f>
        <v/>
      </c>
      <c r="N162" s="58">
        <f>IF($B162="","",SUMIFS(Krankmeldungen!$AI$6:$AI$1005,Krankmeldungen!$A$6:$A$1005,$A162))</f>
        <v/>
      </c>
      <c r="O162" s="65">
        <f>IF($B162="","",SUM(C162:N162))</f>
        <v/>
      </c>
      <c r="P162" s="57">
        <f>'KQuote Mitarbeiter'!D162</f>
        <v/>
      </c>
      <c r="Q162" s="67">
        <f>'KQuote Mitarbeiter'!J162</f>
        <v/>
      </c>
    </row>
    <row r="163">
      <c r="A163" s="61">
        <f>'KQuote Mitarbeiter'!A163</f>
        <v/>
      </c>
      <c r="B163" s="62">
        <f>'KQuote Mitarbeiter'!B163</f>
        <v/>
      </c>
      <c r="C163" s="58">
        <f>IF($B163="","",SUMIFS(Krankmeldungen!$X$6:$X$1005,Krankmeldungen!$A$6:$A$1005,$A163))</f>
        <v/>
      </c>
      <c r="D163" s="58">
        <f>IF($B163="","",SUMIFS(Krankmeldungen!$Y$6:$Y$1005,Krankmeldungen!$A$6:$A$1005,$A163))</f>
        <v/>
      </c>
      <c r="E163" s="58">
        <f>IF($B163="","",SUMIFS(Krankmeldungen!$Z$6:$Z$1005,Krankmeldungen!$A$6:$A$1005,$A163))</f>
        <v/>
      </c>
      <c r="F163" s="58">
        <f>IF($B163="","",SUMIFS(Krankmeldungen!$AA$6:$AA$1005,Krankmeldungen!$A$6:$A$1005,$A163))</f>
        <v/>
      </c>
      <c r="G163" s="58">
        <f>IF($B163="","",SUMIFS(Krankmeldungen!$AB$6:$AB$1005,Krankmeldungen!$A$6:$A$1005,$A163))</f>
        <v/>
      </c>
      <c r="H163" s="58">
        <f>IF($B163="","",SUMIFS(Krankmeldungen!$AC$6:$AC$1005,Krankmeldungen!$A$6:$A$1005,$A163))</f>
        <v/>
      </c>
      <c r="I163" s="58">
        <f>IF($B163="","",SUMIFS(Krankmeldungen!$AD$6:$AD$1005,Krankmeldungen!$A$6:$A$1005,$A163))</f>
        <v/>
      </c>
      <c r="J163" s="58">
        <f>IF($B163="","",SUMIFS(Krankmeldungen!$AE$6:$AE$1005,Krankmeldungen!$A$6:$A$1005,$A163))</f>
        <v/>
      </c>
      <c r="K163" s="58">
        <f>IF($B163="","",SUMIFS(Krankmeldungen!$AF$6:$AF$1005,Krankmeldungen!$A$6:$A$1005,$A163))</f>
        <v/>
      </c>
      <c r="L163" s="58">
        <f>IF($B163="","",SUMIFS(Krankmeldungen!$AG$6:$AG$1005,Krankmeldungen!$A$6:$A$1005,$A163))</f>
        <v/>
      </c>
      <c r="M163" s="58">
        <f>IF($B163="","",SUMIFS(Krankmeldungen!$AH$6:$AH$1005,Krankmeldungen!$A$6:$A$1005,$A163))</f>
        <v/>
      </c>
      <c r="N163" s="58">
        <f>IF($B163="","",SUMIFS(Krankmeldungen!$AI$6:$AI$1005,Krankmeldungen!$A$6:$A$1005,$A163))</f>
        <v/>
      </c>
      <c r="O163" s="65">
        <f>IF($B163="","",SUM(C163:N163))</f>
        <v/>
      </c>
      <c r="P163" s="57">
        <f>'KQuote Mitarbeiter'!D163</f>
        <v/>
      </c>
      <c r="Q163" s="67">
        <f>'KQuote Mitarbeiter'!J163</f>
        <v/>
      </c>
    </row>
    <row r="164">
      <c r="A164" s="61">
        <f>'KQuote Mitarbeiter'!A164</f>
        <v/>
      </c>
      <c r="B164" s="62">
        <f>'KQuote Mitarbeiter'!B164</f>
        <v/>
      </c>
      <c r="C164" s="58">
        <f>IF($B164="","",SUMIFS(Krankmeldungen!$X$6:$X$1005,Krankmeldungen!$A$6:$A$1005,$A164))</f>
        <v/>
      </c>
      <c r="D164" s="58">
        <f>IF($B164="","",SUMIFS(Krankmeldungen!$Y$6:$Y$1005,Krankmeldungen!$A$6:$A$1005,$A164))</f>
        <v/>
      </c>
      <c r="E164" s="58">
        <f>IF($B164="","",SUMIFS(Krankmeldungen!$Z$6:$Z$1005,Krankmeldungen!$A$6:$A$1005,$A164))</f>
        <v/>
      </c>
      <c r="F164" s="58">
        <f>IF($B164="","",SUMIFS(Krankmeldungen!$AA$6:$AA$1005,Krankmeldungen!$A$6:$A$1005,$A164))</f>
        <v/>
      </c>
      <c r="G164" s="58">
        <f>IF($B164="","",SUMIFS(Krankmeldungen!$AB$6:$AB$1005,Krankmeldungen!$A$6:$A$1005,$A164))</f>
        <v/>
      </c>
      <c r="H164" s="58">
        <f>IF($B164="","",SUMIFS(Krankmeldungen!$AC$6:$AC$1005,Krankmeldungen!$A$6:$A$1005,$A164))</f>
        <v/>
      </c>
      <c r="I164" s="58">
        <f>IF($B164="","",SUMIFS(Krankmeldungen!$AD$6:$AD$1005,Krankmeldungen!$A$6:$A$1005,$A164))</f>
        <v/>
      </c>
      <c r="J164" s="58">
        <f>IF($B164="","",SUMIFS(Krankmeldungen!$AE$6:$AE$1005,Krankmeldungen!$A$6:$A$1005,$A164))</f>
        <v/>
      </c>
      <c r="K164" s="58">
        <f>IF($B164="","",SUMIFS(Krankmeldungen!$AF$6:$AF$1005,Krankmeldungen!$A$6:$A$1005,$A164))</f>
        <v/>
      </c>
      <c r="L164" s="58">
        <f>IF($B164="","",SUMIFS(Krankmeldungen!$AG$6:$AG$1005,Krankmeldungen!$A$6:$A$1005,$A164))</f>
        <v/>
      </c>
      <c r="M164" s="58">
        <f>IF($B164="","",SUMIFS(Krankmeldungen!$AH$6:$AH$1005,Krankmeldungen!$A$6:$A$1005,$A164))</f>
        <v/>
      </c>
      <c r="N164" s="58">
        <f>IF($B164="","",SUMIFS(Krankmeldungen!$AI$6:$AI$1005,Krankmeldungen!$A$6:$A$1005,$A164))</f>
        <v/>
      </c>
      <c r="O164" s="65">
        <f>IF($B164="","",SUM(C164:N164))</f>
        <v/>
      </c>
      <c r="P164" s="57">
        <f>'KQuote Mitarbeiter'!D164</f>
        <v/>
      </c>
      <c r="Q164" s="67">
        <f>'KQuote Mitarbeiter'!J164</f>
        <v/>
      </c>
    </row>
    <row r="165">
      <c r="A165" s="61">
        <f>'KQuote Mitarbeiter'!A165</f>
        <v/>
      </c>
      <c r="B165" s="62">
        <f>'KQuote Mitarbeiter'!B165</f>
        <v/>
      </c>
      <c r="C165" s="58">
        <f>IF($B165="","",SUMIFS(Krankmeldungen!$X$6:$X$1005,Krankmeldungen!$A$6:$A$1005,$A165))</f>
        <v/>
      </c>
      <c r="D165" s="58">
        <f>IF($B165="","",SUMIFS(Krankmeldungen!$Y$6:$Y$1005,Krankmeldungen!$A$6:$A$1005,$A165))</f>
        <v/>
      </c>
      <c r="E165" s="58">
        <f>IF($B165="","",SUMIFS(Krankmeldungen!$Z$6:$Z$1005,Krankmeldungen!$A$6:$A$1005,$A165))</f>
        <v/>
      </c>
      <c r="F165" s="58">
        <f>IF($B165="","",SUMIFS(Krankmeldungen!$AA$6:$AA$1005,Krankmeldungen!$A$6:$A$1005,$A165))</f>
        <v/>
      </c>
      <c r="G165" s="58">
        <f>IF($B165="","",SUMIFS(Krankmeldungen!$AB$6:$AB$1005,Krankmeldungen!$A$6:$A$1005,$A165))</f>
        <v/>
      </c>
      <c r="H165" s="58">
        <f>IF($B165="","",SUMIFS(Krankmeldungen!$AC$6:$AC$1005,Krankmeldungen!$A$6:$A$1005,$A165))</f>
        <v/>
      </c>
      <c r="I165" s="58">
        <f>IF($B165="","",SUMIFS(Krankmeldungen!$AD$6:$AD$1005,Krankmeldungen!$A$6:$A$1005,$A165))</f>
        <v/>
      </c>
      <c r="J165" s="58">
        <f>IF($B165="","",SUMIFS(Krankmeldungen!$AE$6:$AE$1005,Krankmeldungen!$A$6:$A$1005,$A165))</f>
        <v/>
      </c>
      <c r="K165" s="58">
        <f>IF($B165="","",SUMIFS(Krankmeldungen!$AF$6:$AF$1005,Krankmeldungen!$A$6:$A$1005,$A165))</f>
        <v/>
      </c>
      <c r="L165" s="58">
        <f>IF($B165="","",SUMIFS(Krankmeldungen!$AG$6:$AG$1005,Krankmeldungen!$A$6:$A$1005,$A165))</f>
        <v/>
      </c>
      <c r="M165" s="58">
        <f>IF($B165="","",SUMIFS(Krankmeldungen!$AH$6:$AH$1005,Krankmeldungen!$A$6:$A$1005,$A165))</f>
        <v/>
      </c>
      <c r="N165" s="58">
        <f>IF($B165="","",SUMIFS(Krankmeldungen!$AI$6:$AI$1005,Krankmeldungen!$A$6:$A$1005,$A165))</f>
        <v/>
      </c>
      <c r="O165" s="65">
        <f>IF($B165="","",SUM(C165:N165))</f>
        <v/>
      </c>
      <c r="P165" s="57">
        <f>'KQuote Mitarbeiter'!D165</f>
        <v/>
      </c>
      <c r="Q165" s="67">
        <f>'KQuote Mitarbeiter'!J165</f>
        <v/>
      </c>
    </row>
    <row r="166">
      <c r="A166" s="61">
        <f>'KQuote Mitarbeiter'!A166</f>
        <v/>
      </c>
      <c r="B166" s="62">
        <f>'KQuote Mitarbeiter'!B166</f>
        <v/>
      </c>
      <c r="C166" s="58">
        <f>IF($B166="","",SUMIFS(Krankmeldungen!$X$6:$X$1005,Krankmeldungen!$A$6:$A$1005,$A166))</f>
        <v/>
      </c>
      <c r="D166" s="58">
        <f>IF($B166="","",SUMIFS(Krankmeldungen!$Y$6:$Y$1005,Krankmeldungen!$A$6:$A$1005,$A166))</f>
        <v/>
      </c>
      <c r="E166" s="58">
        <f>IF($B166="","",SUMIFS(Krankmeldungen!$Z$6:$Z$1005,Krankmeldungen!$A$6:$A$1005,$A166))</f>
        <v/>
      </c>
      <c r="F166" s="58">
        <f>IF($B166="","",SUMIFS(Krankmeldungen!$AA$6:$AA$1005,Krankmeldungen!$A$6:$A$1005,$A166))</f>
        <v/>
      </c>
      <c r="G166" s="58">
        <f>IF($B166="","",SUMIFS(Krankmeldungen!$AB$6:$AB$1005,Krankmeldungen!$A$6:$A$1005,$A166))</f>
        <v/>
      </c>
      <c r="H166" s="58">
        <f>IF($B166="","",SUMIFS(Krankmeldungen!$AC$6:$AC$1005,Krankmeldungen!$A$6:$A$1005,$A166))</f>
        <v/>
      </c>
      <c r="I166" s="58">
        <f>IF($B166="","",SUMIFS(Krankmeldungen!$AD$6:$AD$1005,Krankmeldungen!$A$6:$A$1005,$A166))</f>
        <v/>
      </c>
      <c r="J166" s="58">
        <f>IF($B166="","",SUMIFS(Krankmeldungen!$AE$6:$AE$1005,Krankmeldungen!$A$6:$A$1005,$A166))</f>
        <v/>
      </c>
      <c r="K166" s="58">
        <f>IF($B166="","",SUMIFS(Krankmeldungen!$AF$6:$AF$1005,Krankmeldungen!$A$6:$A$1005,$A166))</f>
        <v/>
      </c>
      <c r="L166" s="58">
        <f>IF($B166="","",SUMIFS(Krankmeldungen!$AG$6:$AG$1005,Krankmeldungen!$A$6:$A$1005,$A166))</f>
        <v/>
      </c>
      <c r="M166" s="58">
        <f>IF($B166="","",SUMIFS(Krankmeldungen!$AH$6:$AH$1005,Krankmeldungen!$A$6:$A$1005,$A166))</f>
        <v/>
      </c>
      <c r="N166" s="58">
        <f>IF($B166="","",SUMIFS(Krankmeldungen!$AI$6:$AI$1005,Krankmeldungen!$A$6:$A$1005,$A166))</f>
        <v/>
      </c>
      <c r="O166" s="65">
        <f>IF($B166="","",SUM(C166:N166))</f>
        <v/>
      </c>
      <c r="P166" s="57">
        <f>'KQuote Mitarbeiter'!D166</f>
        <v/>
      </c>
      <c r="Q166" s="67">
        <f>'KQuote Mitarbeiter'!J166</f>
        <v/>
      </c>
    </row>
    <row r="167">
      <c r="A167" s="61">
        <f>'KQuote Mitarbeiter'!A167</f>
        <v/>
      </c>
      <c r="B167" s="62">
        <f>'KQuote Mitarbeiter'!B167</f>
        <v/>
      </c>
      <c r="C167" s="58">
        <f>IF($B167="","",SUMIFS(Krankmeldungen!$X$6:$X$1005,Krankmeldungen!$A$6:$A$1005,$A167))</f>
        <v/>
      </c>
      <c r="D167" s="58">
        <f>IF($B167="","",SUMIFS(Krankmeldungen!$Y$6:$Y$1005,Krankmeldungen!$A$6:$A$1005,$A167))</f>
        <v/>
      </c>
      <c r="E167" s="58">
        <f>IF($B167="","",SUMIFS(Krankmeldungen!$Z$6:$Z$1005,Krankmeldungen!$A$6:$A$1005,$A167))</f>
        <v/>
      </c>
      <c r="F167" s="58">
        <f>IF($B167="","",SUMIFS(Krankmeldungen!$AA$6:$AA$1005,Krankmeldungen!$A$6:$A$1005,$A167))</f>
        <v/>
      </c>
      <c r="G167" s="58">
        <f>IF($B167="","",SUMIFS(Krankmeldungen!$AB$6:$AB$1005,Krankmeldungen!$A$6:$A$1005,$A167))</f>
        <v/>
      </c>
      <c r="H167" s="58">
        <f>IF($B167="","",SUMIFS(Krankmeldungen!$AC$6:$AC$1005,Krankmeldungen!$A$6:$A$1005,$A167))</f>
        <v/>
      </c>
      <c r="I167" s="58">
        <f>IF($B167="","",SUMIFS(Krankmeldungen!$AD$6:$AD$1005,Krankmeldungen!$A$6:$A$1005,$A167))</f>
        <v/>
      </c>
      <c r="J167" s="58">
        <f>IF($B167="","",SUMIFS(Krankmeldungen!$AE$6:$AE$1005,Krankmeldungen!$A$6:$A$1005,$A167))</f>
        <v/>
      </c>
      <c r="K167" s="58">
        <f>IF($B167="","",SUMIFS(Krankmeldungen!$AF$6:$AF$1005,Krankmeldungen!$A$6:$A$1005,$A167))</f>
        <v/>
      </c>
      <c r="L167" s="58">
        <f>IF($B167="","",SUMIFS(Krankmeldungen!$AG$6:$AG$1005,Krankmeldungen!$A$6:$A$1005,$A167))</f>
        <v/>
      </c>
      <c r="M167" s="58">
        <f>IF($B167="","",SUMIFS(Krankmeldungen!$AH$6:$AH$1005,Krankmeldungen!$A$6:$A$1005,$A167))</f>
        <v/>
      </c>
      <c r="N167" s="58">
        <f>IF($B167="","",SUMIFS(Krankmeldungen!$AI$6:$AI$1005,Krankmeldungen!$A$6:$A$1005,$A167))</f>
        <v/>
      </c>
      <c r="O167" s="65">
        <f>IF($B167="","",SUM(C167:N167))</f>
        <v/>
      </c>
      <c r="P167" s="57">
        <f>'KQuote Mitarbeiter'!D167</f>
        <v/>
      </c>
      <c r="Q167" s="67">
        <f>'KQuote Mitarbeiter'!J167</f>
        <v/>
      </c>
    </row>
    <row r="168">
      <c r="A168" s="61">
        <f>'KQuote Mitarbeiter'!A168</f>
        <v/>
      </c>
      <c r="B168" s="62">
        <f>'KQuote Mitarbeiter'!B168</f>
        <v/>
      </c>
      <c r="C168" s="58">
        <f>IF($B168="","",SUMIFS(Krankmeldungen!$X$6:$X$1005,Krankmeldungen!$A$6:$A$1005,$A168))</f>
        <v/>
      </c>
      <c r="D168" s="58">
        <f>IF($B168="","",SUMIFS(Krankmeldungen!$Y$6:$Y$1005,Krankmeldungen!$A$6:$A$1005,$A168))</f>
        <v/>
      </c>
      <c r="E168" s="58">
        <f>IF($B168="","",SUMIFS(Krankmeldungen!$Z$6:$Z$1005,Krankmeldungen!$A$6:$A$1005,$A168))</f>
        <v/>
      </c>
      <c r="F168" s="58">
        <f>IF($B168="","",SUMIFS(Krankmeldungen!$AA$6:$AA$1005,Krankmeldungen!$A$6:$A$1005,$A168))</f>
        <v/>
      </c>
      <c r="G168" s="58">
        <f>IF($B168="","",SUMIFS(Krankmeldungen!$AB$6:$AB$1005,Krankmeldungen!$A$6:$A$1005,$A168))</f>
        <v/>
      </c>
      <c r="H168" s="58">
        <f>IF($B168="","",SUMIFS(Krankmeldungen!$AC$6:$AC$1005,Krankmeldungen!$A$6:$A$1005,$A168))</f>
        <v/>
      </c>
      <c r="I168" s="58">
        <f>IF($B168="","",SUMIFS(Krankmeldungen!$AD$6:$AD$1005,Krankmeldungen!$A$6:$A$1005,$A168))</f>
        <v/>
      </c>
      <c r="J168" s="58">
        <f>IF($B168="","",SUMIFS(Krankmeldungen!$AE$6:$AE$1005,Krankmeldungen!$A$6:$A$1005,$A168))</f>
        <v/>
      </c>
      <c r="K168" s="58">
        <f>IF($B168="","",SUMIFS(Krankmeldungen!$AF$6:$AF$1005,Krankmeldungen!$A$6:$A$1005,$A168))</f>
        <v/>
      </c>
      <c r="L168" s="58">
        <f>IF($B168="","",SUMIFS(Krankmeldungen!$AG$6:$AG$1005,Krankmeldungen!$A$6:$A$1005,$A168))</f>
        <v/>
      </c>
      <c r="M168" s="58">
        <f>IF($B168="","",SUMIFS(Krankmeldungen!$AH$6:$AH$1005,Krankmeldungen!$A$6:$A$1005,$A168))</f>
        <v/>
      </c>
      <c r="N168" s="58">
        <f>IF($B168="","",SUMIFS(Krankmeldungen!$AI$6:$AI$1005,Krankmeldungen!$A$6:$A$1005,$A168))</f>
        <v/>
      </c>
      <c r="O168" s="65">
        <f>IF($B168="","",SUM(C168:N168))</f>
        <v/>
      </c>
      <c r="P168" s="57">
        <f>'KQuote Mitarbeiter'!D168</f>
        <v/>
      </c>
      <c r="Q168" s="67">
        <f>'KQuote Mitarbeiter'!J168</f>
        <v/>
      </c>
    </row>
    <row r="169">
      <c r="A169" s="61">
        <f>'KQuote Mitarbeiter'!A169</f>
        <v/>
      </c>
      <c r="B169" s="62">
        <f>'KQuote Mitarbeiter'!B169</f>
        <v/>
      </c>
      <c r="C169" s="58">
        <f>IF($B169="","",SUMIFS(Krankmeldungen!$X$6:$X$1005,Krankmeldungen!$A$6:$A$1005,$A169))</f>
        <v/>
      </c>
      <c r="D169" s="58">
        <f>IF($B169="","",SUMIFS(Krankmeldungen!$Y$6:$Y$1005,Krankmeldungen!$A$6:$A$1005,$A169))</f>
        <v/>
      </c>
      <c r="E169" s="58">
        <f>IF($B169="","",SUMIFS(Krankmeldungen!$Z$6:$Z$1005,Krankmeldungen!$A$6:$A$1005,$A169))</f>
        <v/>
      </c>
      <c r="F169" s="58">
        <f>IF($B169="","",SUMIFS(Krankmeldungen!$AA$6:$AA$1005,Krankmeldungen!$A$6:$A$1005,$A169))</f>
        <v/>
      </c>
      <c r="G169" s="58">
        <f>IF($B169="","",SUMIFS(Krankmeldungen!$AB$6:$AB$1005,Krankmeldungen!$A$6:$A$1005,$A169))</f>
        <v/>
      </c>
      <c r="H169" s="58">
        <f>IF($B169="","",SUMIFS(Krankmeldungen!$AC$6:$AC$1005,Krankmeldungen!$A$6:$A$1005,$A169))</f>
        <v/>
      </c>
      <c r="I169" s="58">
        <f>IF($B169="","",SUMIFS(Krankmeldungen!$AD$6:$AD$1005,Krankmeldungen!$A$6:$A$1005,$A169))</f>
        <v/>
      </c>
      <c r="J169" s="58">
        <f>IF($B169="","",SUMIFS(Krankmeldungen!$AE$6:$AE$1005,Krankmeldungen!$A$6:$A$1005,$A169))</f>
        <v/>
      </c>
      <c r="K169" s="58">
        <f>IF($B169="","",SUMIFS(Krankmeldungen!$AF$6:$AF$1005,Krankmeldungen!$A$6:$A$1005,$A169))</f>
        <v/>
      </c>
      <c r="L169" s="58">
        <f>IF($B169="","",SUMIFS(Krankmeldungen!$AG$6:$AG$1005,Krankmeldungen!$A$6:$A$1005,$A169))</f>
        <v/>
      </c>
      <c r="M169" s="58">
        <f>IF($B169="","",SUMIFS(Krankmeldungen!$AH$6:$AH$1005,Krankmeldungen!$A$6:$A$1005,$A169))</f>
        <v/>
      </c>
      <c r="N169" s="58">
        <f>IF($B169="","",SUMIFS(Krankmeldungen!$AI$6:$AI$1005,Krankmeldungen!$A$6:$A$1005,$A169))</f>
        <v/>
      </c>
      <c r="O169" s="65">
        <f>IF($B169="","",SUM(C169:N169))</f>
        <v/>
      </c>
      <c r="P169" s="57">
        <f>'KQuote Mitarbeiter'!D169</f>
        <v/>
      </c>
      <c r="Q169" s="67">
        <f>'KQuote Mitarbeiter'!J169</f>
        <v/>
      </c>
    </row>
    <row r="170">
      <c r="A170" s="61">
        <f>'KQuote Mitarbeiter'!A170</f>
        <v/>
      </c>
      <c r="B170" s="62">
        <f>'KQuote Mitarbeiter'!B170</f>
        <v/>
      </c>
      <c r="C170" s="58">
        <f>IF($B170="","",SUMIFS(Krankmeldungen!$X$6:$X$1005,Krankmeldungen!$A$6:$A$1005,$A170))</f>
        <v/>
      </c>
      <c r="D170" s="58">
        <f>IF($B170="","",SUMIFS(Krankmeldungen!$Y$6:$Y$1005,Krankmeldungen!$A$6:$A$1005,$A170))</f>
        <v/>
      </c>
      <c r="E170" s="58">
        <f>IF($B170="","",SUMIFS(Krankmeldungen!$Z$6:$Z$1005,Krankmeldungen!$A$6:$A$1005,$A170))</f>
        <v/>
      </c>
      <c r="F170" s="58">
        <f>IF($B170="","",SUMIFS(Krankmeldungen!$AA$6:$AA$1005,Krankmeldungen!$A$6:$A$1005,$A170))</f>
        <v/>
      </c>
      <c r="G170" s="58">
        <f>IF($B170="","",SUMIFS(Krankmeldungen!$AB$6:$AB$1005,Krankmeldungen!$A$6:$A$1005,$A170))</f>
        <v/>
      </c>
      <c r="H170" s="58">
        <f>IF($B170="","",SUMIFS(Krankmeldungen!$AC$6:$AC$1005,Krankmeldungen!$A$6:$A$1005,$A170))</f>
        <v/>
      </c>
      <c r="I170" s="58">
        <f>IF($B170="","",SUMIFS(Krankmeldungen!$AD$6:$AD$1005,Krankmeldungen!$A$6:$A$1005,$A170))</f>
        <v/>
      </c>
      <c r="J170" s="58">
        <f>IF($B170="","",SUMIFS(Krankmeldungen!$AE$6:$AE$1005,Krankmeldungen!$A$6:$A$1005,$A170))</f>
        <v/>
      </c>
      <c r="K170" s="58">
        <f>IF($B170="","",SUMIFS(Krankmeldungen!$AF$6:$AF$1005,Krankmeldungen!$A$6:$A$1005,$A170))</f>
        <v/>
      </c>
      <c r="L170" s="58">
        <f>IF($B170="","",SUMIFS(Krankmeldungen!$AG$6:$AG$1005,Krankmeldungen!$A$6:$A$1005,$A170))</f>
        <v/>
      </c>
      <c r="M170" s="58">
        <f>IF($B170="","",SUMIFS(Krankmeldungen!$AH$6:$AH$1005,Krankmeldungen!$A$6:$A$1005,$A170))</f>
        <v/>
      </c>
      <c r="N170" s="58">
        <f>IF($B170="","",SUMIFS(Krankmeldungen!$AI$6:$AI$1005,Krankmeldungen!$A$6:$A$1005,$A170))</f>
        <v/>
      </c>
      <c r="O170" s="65">
        <f>IF($B170="","",SUM(C170:N170))</f>
        <v/>
      </c>
      <c r="P170" s="57">
        <f>'KQuote Mitarbeiter'!D170</f>
        <v/>
      </c>
      <c r="Q170" s="67">
        <f>'KQuote Mitarbeiter'!J170</f>
        <v/>
      </c>
    </row>
    <row r="171">
      <c r="A171" s="61">
        <f>'KQuote Mitarbeiter'!A171</f>
        <v/>
      </c>
      <c r="B171" s="62">
        <f>'KQuote Mitarbeiter'!B171</f>
        <v/>
      </c>
      <c r="C171" s="58">
        <f>IF($B171="","",SUMIFS(Krankmeldungen!$X$6:$X$1005,Krankmeldungen!$A$6:$A$1005,$A171))</f>
        <v/>
      </c>
      <c r="D171" s="58">
        <f>IF($B171="","",SUMIFS(Krankmeldungen!$Y$6:$Y$1005,Krankmeldungen!$A$6:$A$1005,$A171))</f>
        <v/>
      </c>
      <c r="E171" s="58">
        <f>IF($B171="","",SUMIFS(Krankmeldungen!$Z$6:$Z$1005,Krankmeldungen!$A$6:$A$1005,$A171))</f>
        <v/>
      </c>
      <c r="F171" s="58">
        <f>IF($B171="","",SUMIFS(Krankmeldungen!$AA$6:$AA$1005,Krankmeldungen!$A$6:$A$1005,$A171))</f>
        <v/>
      </c>
      <c r="G171" s="58">
        <f>IF($B171="","",SUMIFS(Krankmeldungen!$AB$6:$AB$1005,Krankmeldungen!$A$6:$A$1005,$A171))</f>
        <v/>
      </c>
      <c r="H171" s="58">
        <f>IF($B171="","",SUMIFS(Krankmeldungen!$AC$6:$AC$1005,Krankmeldungen!$A$6:$A$1005,$A171))</f>
        <v/>
      </c>
      <c r="I171" s="58">
        <f>IF($B171="","",SUMIFS(Krankmeldungen!$AD$6:$AD$1005,Krankmeldungen!$A$6:$A$1005,$A171))</f>
        <v/>
      </c>
      <c r="J171" s="58">
        <f>IF($B171="","",SUMIFS(Krankmeldungen!$AE$6:$AE$1005,Krankmeldungen!$A$6:$A$1005,$A171))</f>
        <v/>
      </c>
      <c r="K171" s="58">
        <f>IF($B171="","",SUMIFS(Krankmeldungen!$AF$6:$AF$1005,Krankmeldungen!$A$6:$A$1005,$A171))</f>
        <v/>
      </c>
      <c r="L171" s="58">
        <f>IF($B171="","",SUMIFS(Krankmeldungen!$AG$6:$AG$1005,Krankmeldungen!$A$6:$A$1005,$A171))</f>
        <v/>
      </c>
      <c r="M171" s="58">
        <f>IF($B171="","",SUMIFS(Krankmeldungen!$AH$6:$AH$1005,Krankmeldungen!$A$6:$A$1005,$A171))</f>
        <v/>
      </c>
      <c r="N171" s="58">
        <f>IF($B171="","",SUMIFS(Krankmeldungen!$AI$6:$AI$1005,Krankmeldungen!$A$6:$A$1005,$A171))</f>
        <v/>
      </c>
      <c r="O171" s="65">
        <f>IF($B171="","",SUM(C171:N171))</f>
        <v/>
      </c>
      <c r="P171" s="57">
        <f>'KQuote Mitarbeiter'!D171</f>
        <v/>
      </c>
      <c r="Q171" s="67">
        <f>'KQuote Mitarbeiter'!J171</f>
        <v/>
      </c>
    </row>
    <row r="172">
      <c r="A172" s="61">
        <f>'KQuote Mitarbeiter'!A172</f>
        <v/>
      </c>
      <c r="B172" s="62">
        <f>'KQuote Mitarbeiter'!B172</f>
        <v/>
      </c>
      <c r="C172" s="58">
        <f>IF($B172="","",SUMIFS(Krankmeldungen!$X$6:$X$1005,Krankmeldungen!$A$6:$A$1005,$A172))</f>
        <v/>
      </c>
      <c r="D172" s="58">
        <f>IF($B172="","",SUMIFS(Krankmeldungen!$Y$6:$Y$1005,Krankmeldungen!$A$6:$A$1005,$A172))</f>
        <v/>
      </c>
      <c r="E172" s="58">
        <f>IF($B172="","",SUMIFS(Krankmeldungen!$Z$6:$Z$1005,Krankmeldungen!$A$6:$A$1005,$A172))</f>
        <v/>
      </c>
      <c r="F172" s="58">
        <f>IF($B172="","",SUMIFS(Krankmeldungen!$AA$6:$AA$1005,Krankmeldungen!$A$6:$A$1005,$A172))</f>
        <v/>
      </c>
      <c r="G172" s="58">
        <f>IF($B172="","",SUMIFS(Krankmeldungen!$AB$6:$AB$1005,Krankmeldungen!$A$6:$A$1005,$A172))</f>
        <v/>
      </c>
      <c r="H172" s="58">
        <f>IF($B172="","",SUMIFS(Krankmeldungen!$AC$6:$AC$1005,Krankmeldungen!$A$6:$A$1005,$A172))</f>
        <v/>
      </c>
      <c r="I172" s="58">
        <f>IF($B172="","",SUMIFS(Krankmeldungen!$AD$6:$AD$1005,Krankmeldungen!$A$6:$A$1005,$A172))</f>
        <v/>
      </c>
      <c r="J172" s="58">
        <f>IF($B172="","",SUMIFS(Krankmeldungen!$AE$6:$AE$1005,Krankmeldungen!$A$6:$A$1005,$A172))</f>
        <v/>
      </c>
      <c r="K172" s="58">
        <f>IF($B172="","",SUMIFS(Krankmeldungen!$AF$6:$AF$1005,Krankmeldungen!$A$6:$A$1005,$A172))</f>
        <v/>
      </c>
      <c r="L172" s="58">
        <f>IF($B172="","",SUMIFS(Krankmeldungen!$AG$6:$AG$1005,Krankmeldungen!$A$6:$A$1005,$A172))</f>
        <v/>
      </c>
      <c r="M172" s="58">
        <f>IF($B172="","",SUMIFS(Krankmeldungen!$AH$6:$AH$1005,Krankmeldungen!$A$6:$A$1005,$A172))</f>
        <v/>
      </c>
      <c r="N172" s="58">
        <f>IF($B172="","",SUMIFS(Krankmeldungen!$AI$6:$AI$1005,Krankmeldungen!$A$6:$A$1005,$A172))</f>
        <v/>
      </c>
      <c r="O172" s="65">
        <f>IF($B172="","",SUM(C172:N172))</f>
        <v/>
      </c>
      <c r="P172" s="57">
        <f>'KQuote Mitarbeiter'!D172</f>
        <v/>
      </c>
      <c r="Q172" s="67">
        <f>'KQuote Mitarbeiter'!J172</f>
        <v/>
      </c>
    </row>
    <row r="173">
      <c r="A173" s="61">
        <f>'KQuote Mitarbeiter'!A173</f>
        <v/>
      </c>
      <c r="B173" s="62">
        <f>'KQuote Mitarbeiter'!B173</f>
        <v/>
      </c>
      <c r="C173" s="58">
        <f>IF($B173="","",SUMIFS(Krankmeldungen!$X$6:$X$1005,Krankmeldungen!$A$6:$A$1005,$A173))</f>
        <v/>
      </c>
      <c r="D173" s="58">
        <f>IF($B173="","",SUMIFS(Krankmeldungen!$Y$6:$Y$1005,Krankmeldungen!$A$6:$A$1005,$A173))</f>
        <v/>
      </c>
      <c r="E173" s="58">
        <f>IF($B173="","",SUMIFS(Krankmeldungen!$Z$6:$Z$1005,Krankmeldungen!$A$6:$A$1005,$A173))</f>
        <v/>
      </c>
      <c r="F173" s="58">
        <f>IF($B173="","",SUMIFS(Krankmeldungen!$AA$6:$AA$1005,Krankmeldungen!$A$6:$A$1005,$A173))</f>
        <v/>
      </c>
      <c r="G173" s="58">
        <f>IF($B173="","",SUMIFS(Krankmeldungen!$AB$6:$AB$1005,Krankmeldungen!$A$6:$A$1005,$A173))</f>
        <v/>
      </c>
      <c r="H173" s="58">
        <f>IF($B173="","",SUMIFS(Krankmeldungen!$AC$6:$AC$1005,Krankmeldungen!$A$6:$A$1005,$A173))</f>
        <v/>
      </c>
      <c r="I173" s="58">
        <f>IF($B173="","",SUMIFS(Krankmeldungen!$AD$6:$AD$1005,Krankmeldungen!$A$6:$A$1005,$A173))</f>
        <v/>
      </c>
      <c r="J173" s="58">
        <f>IF($B173="","",SUMIFS(Krankmeldungen!$AE$6:$AE$1005,Krankmeldungen!$A$6:$A$1005,$A173))</f>
        <v/>
      </c>
      <c r="K173" s="58">
        <f>IF($B173="","",SUMIFS(Krankmeldungen!$AF$6:$AF$1005,Krankmeldungen!$A$6:$A$1005,$A173))</f>
        <v/>
      </c>
      <c r="L173" s="58">
        <f>IF($B173="","",SUMIFS(Krankmeldungen!$AG$6:$AG$1005,Krankmeldungen!$A$6:$A$1005,$A173))</f>
        <v/>
      </c>
      <c r="M173" s="58">
        <f>IF($B173="","",SUMIFS(Krankmeldungen!$AH$6:$AH$1005,Krankmeldungen!$A$6:$A$1005,$A173))</f>
        <v/>
      </c>
      <c r="N173" s="58">
        <f>IF($B173="","",SUMIFS(Krankmeldungen!$AI$6:$AI$1005,Krankmeldungen!$A$6:$A$1005,$A173))</f>
        <v/>
      </c>
      <c r="O173" s="65">
        <f>IF($B173="","",SUM(C173:N173))</f>
        <v/>
      </c>
      <c r="P173" s="57">
        <f>'KQuote Mitarbeiter'!D173</f>
        <v/>
      </c>
      <c r="Q173" s="67">
        <f>'KQuote Mitarbeiter'!J173</f>
        <v/>
      </c>
    </row>
    <row r="174">
      <c r="A174" s="61">
        <f>'KQuote Mitarbeiter'!A174</f>
        <v/>
      </c>
      <c r="B174" s="62">
        <f>'KQuote Mitarbeiter'!B174</f>
        <v/>
      </c>
      <c r="C174" s="58">
        <f>IF($B174="","",SUMIFS(Krankmeldungen!$X$6:$X$1005,Krankmeldungen!$A$6:$A$1005,$A174))</f>
        <v/>
      </c>
      <c r="D174" s="58">
        <f>IF($B174="","",SUMIFS(Krankmeldungen!$Y$6:$Y$1005,Krankmeldungen!$A$6:$A$1005,$A174))</f>
        <v/>
      </c>
      <c r="E174" s="58">
        <f>IF($B174="","",SUMIFS(Krankmeldungen!$Z$6:$Z$1005,Krankmeldungen!$A$6:$A$1005,$A174))</f>
        <v/>
      </c>
      <c r="F174" s="58">
        <f>IF($B174="","",SUMIFS(Krankmeldungen!$AA$6:$AA$1005,Krankmeldungen!$A$6:$A$1005,$A174))</f>
        <v/>
      </c>
      <c r="G174" s="58">
        <f>IF($B174="","",SUMIFS(Krankmeldungen!$AB$6:$AB$1005,Krankmeldungen!$A$6:$A$1005,$A174))</f>
        <v/>
      </c>
      <c r="H174" s="58">
        <f>IF($B174="","",SUMIFS(Krankmeldungen!$AC$6:$AC$1005,Krankmeldungen!$A$6:$A$1005,$A174))</f>
        <v/>
      </c>
      <c r="I174" s="58">
        <f>IF($B174="","",SUMIFS(Krankmeldungen!$AD$6:$AD$1005,Krankmeldungen!$A$6:$A$1005,$A174))</f>
        <v/>
      </c>
      <c r="J174" s="58">
        <f>IF($B174="","",SUMIFS(Krankmeldungen!$AE$6:$AE$1005,Krankmeldungen!$A$6:$A$1005,$A174))</f>
        <v/>
      </c>
      <c r="K174" s="58">
        <f>IF($B174="","",SUMIFS(Krankmeldungen!$AF$6:$AF$1005,Krankmeldungen!$A$6:$A$1005,$A174))</f>
        <v/>
      </c>
      <c r="L174" s="58">
        <f>IF($B174="","",SUMIFS(Krankmeldungen!$AG$6:$AG$1005,Krankmeldungen!$A$6:$A$1005,$A174))</f>
        <v/>
      </c>
      <c r="M174" s="58">
        <f>IF($B174="","",SUMIFS(Krankmeldungen!$AH$6:$AH$1005,Krankmeldungen!$A$6:$A$1005,$A174))</f>
        <v/>
      </c>
      <c r="N174" s="58">
        <f>IF($B174="","",SUMIFS(Krankmeldungen!$AI$6:$AI$1005,Krankmeldungen!$A$6:$A$1005,$A174))</f>
        <v/>
      </c>
      <c r="O174" s="65">
        <f>IF($B174="","",SUM(C174:N174))</f>
        <v/>
      </c>
      <c r="P174" s="57">
        <f>'KQuote Mitarbeiter'!D174</f>
        <v/>
      </c>
      <c r="Q174" s="67">
        <f>'KQuote Mitarbeiter'!J174</f>
        <v/>
      </c>
    </row>
    <row r="175">
      <c r="A175" s="61">
        <f>'KQuote Mitarbeiter'!A175</f>
        <v/>
      </c>
      <c r="B175" s="62">
        <f>'KQuote Mitarbeiter'!B175</f>
        <v/>
      </c>
      <c r="C175" s="58">
        <f>IF($B175="","",SUMIFS(Krankmeldungen!$X$6:$X$1005,Krankmeldungen!$A$6:$A$1005,$A175))</f>
        <v/>
      </c>
      <c r="D175" s="58">
        <f>IF($B175="","",SUMIFS(Krankmeldungen!$Y$6:$Y$1005,Krankmeldungen!$A$6:$A$1005,$A175))</f>
        <v/>
      </c>
      <c r="E175" s="58">
        <f>IF($B175="","",SUMIFS(Krankmeldungen!$Z$6:$Z$1005,Krankmeldungen!$A$6:$A$1005,$A175))</f>
        <v/>
      </c>
      <c r="F175" s="58">
        <f>IF($B175="","",SUMIFS(Krankmeldungen!$AA$6:$AA$1005,Krankmeldungen!$A$6:$A$1005,$A175))</f>
        <v/>
      </c>
      <c r="G175" s="58">
        <f>IF($B175="","",SUMIFS(Krankmeldungen!$AB$6:$AB$1005,Krankmeldungen!$A$6:$A$1005,$A175))</f>
        <v/>
      </c>
      <c r="H175" s="58">
        <f>IF($B175="","",SUMIFS(Krankmeldungen!$AC$6:$AC$1005,Krankmeldungen!$A$6:$A$1005,$A175))</f>
        <v/>
      </c>
      <c r="I175" s="58">
        <f>IF($B175="","",SUMIFS(Krankmeldungen!$AD$6:$AD$1005,Krankmeldungen!$A$6:$A$1005,$A175))</f>
        <v/>
      </c>
      <c r="J175" s="58">
        <f>IF($B175="","",SUMIFS(Krankmeldungen!$AE$6:$AE$1005,Krankmeldungen!$A$6:$A$1005,$A175))</f>
        <v/>
      </c>
      <c r="K175" s="58">
        <f>IF($B175="","",SUMIFS(Krankmeldungen!$AF$6:$AF$1005,Krankmeldungen!$A$6:$A$1005,$A175))</f>
        <v/>
      </c>
      <c r="L175" s="58">
        <f>IF($B175="","",SUMIFS(Krankmeldungen!$AG$6:$AG$1005,Krankmeldungen!$A$6:$A$1005,$A175))</f>
        <v/>
      </c>
      <c r="M175" s="58">
        <f>IF($B175="","",SUMIFS(Krankmeldungen!$AH$6:$AH$1005,Krankmeldungen!$A$6:$A$1005,$A175))</f>
        <v/>
      </c>
      <c r="N175" s="58">
        <f>IF($B175="","",SUMIFS(Krankmeldungen!$AI$6:$AI$1005,Krankmeldungen!$A$6:$A$1005,$A175))</f>
        <v/>
      </c>
      <c r="O175" s="65">
        <f>IF($B175="","",SUM(C175:N175))</f>
        <v/>
      </c>
      <c r="P175" s="57">
        <f>'KQuote Mitarbeiter'!D175</f>
        <v/>
      </c>
      <c r="Q175" s="67">
        <f>'KQuote Mitarbeiter'!J175</f>
        <v/>
      </c>
    </row>
    <row r="176">
      <c r="A176" s="61">
        <f>'KQuote Mitarbeiter'!A176</f>
        <v/>
      </c>
      <c r="B176" s="62">
        <f>'KQuote Mitarbeiter'!B176</f>
        <v/>
      </c>
      <c r="C176" s="58">
        <f>IF($B176="","",SUMIFS(Krankmeldungen!$X$6:$X$1005,Krankmeldungen!$A$6:$A$1005,$A176))</f>
        <v/>
      </c>
      <c r="D176" s="58">
        <f>IF($B176="","",SUMIFS(Krankmeldungen!$Y$6:$Y$1005,Krankmeldungen!$A$6:$A$1005,$A176))</f>
        <v/>
      </c>
      <c r="E176" s="58">
        <f>IF($B176="","",SUMIFS(Krankmeldungen!$Z$6:$Z$1005,Krankmeldungen!$A$6:$A$1005,$A176))</f>
        <v/>
      </c>
      <c r="F176" s="58">
        <f>IF($B176="","",SUMIFS(Krankmeldungen!$AA$6:$AA$1005,Krankmeldungen!$A$6:$A$1005,$A176))</f>
        <v/>
      </c>
      <c r="G176" s="58">
        <f>IF($B176="","",SUMIFS(Krankmeldungen!$AB$6:$AB$1005,Krankmeldungen!$A$6:$A$1005,$A176))</f>
        <v/>
      </c>
      <c r="H176" s="58">
        <f>IF($B176="","",SUMIFS(Krankmeldungen!$AC$6:$AC$1005,Krankmeldungen!$A$6:$A$1005,$A176))</f>
        <v/>
      </c>
      <c r="I176" s="58">
        <f>IF($B176="","",SUMIFS(Krankmeldungen!$AD$6:$AD$1005,Krankmeldungen!$A$6:$A$1005,$A176))</f>
        <v/>
      </c>
      <c r="J176" s="58">
        <f>IF($B176="","",SUMIFS(Krankmeldungen!$AE$6:$AE$1005,Krankmeldungen!$A$6:$A$1005,$A176))</f>
        <v/>
      </c>
      <c r="K176" s="58">
        <f>IF($B176="","",SUMIFS(Krankmeldungen!$AF$6:$AF$1005,Krankmeldungen!$A$6:$A$1005,$A176))</f>
        <v/>
      </c>
      <c r="L176" s="58">
        <f>IF($B176="","",SUMIFS(Krankmeldungen!$AG$6:$AG$1005,Krankmeldungen!$A$6:$A$1005,$A176))</f>
        <v/>
      </c>
      <c r="M176" s="58">
        <f>IF($B176="","",SUMIFS(Krankmeldungen!$AH$6:$AH$1005,Krankmeldungen!$A$6:$A$1005,$A176))</f>
        <v/>
      </c>
      <c r="N176" s="58">
        <f>IF($B176="","",SUMIFS(Krankmeldungen!$AI$6:$AI$1005,Krankmeldungen!$A$6:$A$1005,$A176))</f>
        <v/>
      </c>
      <c r="O176" s="65">
        <f>IF($B176="","",SUM(C176:N176))</f>
        <v/>
      </c>
      <c r="P176" s="57">
        <f>'KQuote Mitarbeiter'!D176</f>
        <v/>
      </c>
      <c r="Q176" s="67">
        <f>'KQuote Mitarbeiter'!J176</f>
        <v/>
      </c>
    </row>
    <row r="177">
      <c r="A177" s="61">
        <f>'KQuote Mitarbeiter'!A177</f>
        <v/>
      </c>
      <c r="B177" s="62">
        <f>'KQuote Mitarbeiter'!B177</f>
        <v/>
      </c>
      <c r="C177" s="58">
        <f>IF($B177="","",SUMIFS(Krankmeldungen!$X$6:$X$1005,Krankmeldungen!$A$6:$A$1005,$A177))</f>
        <v/>
      </c>
      <c r="D177" s="58">
        <f>IF($B177="","",SUMIFS(Krankmeldungen!$Y$6:$Y$1005,Krankmeldungen!$A$6:$A$1005,$A177))</f>
        <v/>
      </c>
      <c r="E177" s="58">
        <f>IF($B177="","",SUMIFS(Krankmeldungen!$Z$6:$Z$1005,Krankmeldungen!$A$6:$A$1005,$A177))</f>
        <v/>
      </c>
      <c r="F177" s="58">
        <f>IF($B177="","",SUMIFS(Krankmeldungen!$AA$6:$AA$1005,Krankmeldungen!$A$6:$A$1005,$A177))</f>
        <v/>
      </c>
      <c r="G177" s="58">
        <f>IF($B177="","",SUMIFS(Krankmeldungen!$AB$6:$AB$1005,Krankmeldungen!$A$6:$A$1005,$A177))</f>
        <v/>
      </c>
      <c r="H177" s="58">
        <f>IF($B177="","",SUMIFS(Krankmeldungen!$AC$6:$AC$1005,Krankmeldungen!$A$6:$A$1005,$A177))</f>
        <v/>
      </c>
      <c r="I177" s="58">
        <f>IF($B177="","",SUMIFS(Krankmeldungen!$AD$6:$AD$1005,Krankmeldungen!$A$6:$A$1005,$A177))</f>
        <v/>
      </c>
      <c r="J177" s="58">
        <f>IF($B177="","",SUMIFS(Krankmeldungen!$AE$6:$AE$1005,Krankmeldungen!$A$6:$A$1005,$A177))</f>
        <v/>
      </c>
      <c r="K177" s="58">
        <f>IF($B177="","",SUMIFS(Krankmeldungen!$AF$6:$AF$1005,Krankmeldungen!$A$6:$A$1005,$A177))</f>
        <v/>
      </c>
      <c r="L177" s="58">
        <f>IF($B177="","",SUMIFS(Krankmeldungen!$AG$6:$AG$1005,Krankmeldungen!$A$6:$A$1005,$A177))</f>
        <v/>
      </c>
      <c r="M177" s="58">
        <f>IF($B177="","",SUMIFS(Krankmeldungen!$AH$6:$AH$1005,Krankmeldungen!$A$6:$A$1005,$A177))</f>
        <v/>
      </c>
      <c r="N177" s="58">
        <f>IF($B177="","",SUMIFS(Krankmeldungen!$AI$6:$AI$1005,Krankmeldungen!$A$6:$A$1005,$A177))</f>
        <v/>
      </c>
      <c r="O177" s="65">
        <f>IF($B177="","",SUM(C177:N177))</f>
        <v/>
      </c>
      <c r="P177" s="57">
        <f>'KQuote Mitarbeiter'!D177</f>
        <v/>
      </c>
      <c r="Q177" s="67">
        <f>'KQuote Mitarbeiter'!J177</f>
        <v/>
      </c>
    </row>
    <row r="178">
      <c r="A178" s="61">
        <f>'KQuote Mitarbeiter'!A178</f>
        <v/>
      </c>
      <c r="B178" s="62">
        <f>'KQuote Mitarbeiter'!B178</f>
        <v/>
      </c>
      <c r="C178" s="58">
        <f>IF($B178="","",SUMIFS(Krankmeldungen!$X$6:$X$1005,Krankmeldungen!$A$6:$A$1005,$A178))</f>
        <v/>
      </c>
      <c r="D178" s="58">
        <f>IF($B178="","",SUMIFS(Krankmeldungen!$Y$6:$Y$1005,Krankmeldungen!$A$6:$A$1005,$A178))</f>
        <v/>
      </c>
      <c r="E178" s="58">
        <f>IF($B178="","",SUMIFS(Krankmeldungen!$Z$6:$Z$1005,Krankmeldungen!$A$6:$A$1005,$A178))</f>
        <v/>
      </c>
      <c r="F178" s="58">
        <f>IF($B178="","",SUMIFS(Krankmeldungen!$AA$6:$AA$1005,Krankmeldungen!$A$6:$A$1005,$A178))</f>
        <v/>
      </c>
      <c r="G178" s="58">
        <f>IF($B178="","",SUMIFS(Krankmeldungen!$AB$6:$AB$1005,Krankmeldungen!$A$6:$A$1005,$A178))</f>
        <v/>
      </c>
      <c r="H178" s="58">
        <f>IF($B178="","",SUMIFS(Krankmeldungen!$AC$6:$AC$1005,Krankmeldungen!$A$6:$A$1005,$A178))</f>
        <v/>
      </c>
      <c r="I178" s="58">
        <f>IF($B178="","",SUMIFS(Krankmeldungen!$AD$6:$AD$1005,Krankmeldungen!$A$6:$A$1005,$A178))</f>
        <v/>
      </c>
      <c r="J178" s="58">
        <f>IF($B178="","",SUMIFS(Krankmeldungen!$AE$6:$AE$1005,Krankmeldungen!$A$6:$A$1005,$A178))</f>
        <v/>
      </c>
      <c r="K178" s="58">
        <f>IF($B178="","",SUMIFS(Krankmeldungen!$AF$6:$AF$1005,Krankmeldungen!$A$6:$A$1005,$A178))</f>
        <v/>
      </c>
      <c r="L178" s="58">
        <f>IF($B178="","",SUMIFS(Krankmeldungen!$AG$6:$AG$1005,Krankmeldungen!$A$6:$A$1005,$A178))</f>
        <v/>
      </c>
      <c r="M178" s="58">
        <f>IF($B178="","",SUMIFS(Krankmeldungen!$AH$6:$AH$1005,Krankmeldungen!$A$6:$A$1005,$A178))</f>
        <v/>
      </c>
      <c r="N178" s="58">
        <f>IF($B178="","",SUMIFS(Krankmeldungen!$AI$6:$AI$1005,Krankmeldungen!$A$6:$A$1005,$A178))</f>
        <v/>
      </c>
      <c r="O178" s="65">
        <f>IF($B178="","",SUM(C178:N178))</f>
        <v/>
      </c>
      <c r="P178" s="57">
        <f>'KQuote Mitarbeiter'!D178</f>
        <v/>
      </c>
      <c r="Q178" s="67">
        <f>'KQuote Mitarbeiter'!J178</f>
        <v/>
      </c>
    </row>
    <row r="179">
      <c r="A179" s="61">
        <f>'KQuote Mitarbeiter'!A179</f>
        <v/>
      </c>
      <c r="B179" s="62">
        <f>'KQuote Mitarbeiter'!B179</f>
        <v/>
      </c>
      <c r="C179" s="58">
        <f>IF($B179="","",SUMIFS(Krankmeldungen!$X$6:$X$1005,Krankmeldungen!$A$6:$A$1005,$A179))</f>
        <v/>
      </c>
      <c r="D179" s="58">
        <f>IF($B179="","",SUMIFS(Krankmeldungen!$Y$6:$Y$1005,Krankmeldungen!$A$6:$A$1005,$A179))</f>
        <v/>
      </c>
      <c r="E179" s="58">
        <f>IF($B179="","",SUMIFS(Krankmeldungen!$Z$6:$Z$1005,Krankmeldungen!$A$6:$A$1005,$A179))</f>
        <v/>
      </c>
      <c r="F179" s="58">
        <f>IF($B179="","",SUMIFS(Krankmeldungen!$AA$6:$AA$1005,Krankmeldungen!$A$6:$A$1005,$A179))</f>
        <v/>
      </c>
      <c r="G179" s="58">
        <f>IF($B179="","",SUMIFS(Krankmeldungen!$AB$6:$AB$1005,Krankmeldungen!$A$6:$A$1005,$A179))</f>
        <v/>
      </c>
      <c r="H179" s="58">
        <f>IF($B179="","",SUMIFS(Krankmeldungen!$AC$6:$AC$1005,Krankmeldungen!$A$6:$A$1005,$A179))</f>
        <v/>
      </c>
      <c r="I179" s="58">
        <f>IF($B179="","",SUMIFS(Krankmeldungen!$AD$6:$AD$1005,Krankmeldungen!$A$6:$A$1005,$A179))</f>
        <v/>
      </c>
      <c r="J179" s="58">
        <f>IF($B179="","",SUMIFS(Krankmeldungen!$AE$6:$AE$1005,Krankmeldungen!$A$6:$A$1005,$A179))</f>
        <v/>
      </c>
      <c r="K179" s="58">
        <f>IF($B179="","",SUMIFS(Krankmeldungen!$AF$6:$AF$1005,Krankmeldungen!$A$6:$A$1005,$A179))</f>
        <v/>
      </c>
      <c r="L179" s="58">
        <f>IF($B179="","",SUMIFS(Krankmeldungen!$AG$6:$AG$1005,Krankmeldungen!$A$6:$A$1005,$A179))</f>
        <v/>
      </c>
      <c r="M179" s="58">
        <f>IF($B179="","",SUMIFS(Krankmeldungen!$AH$6:$AH$1005,Krankmeldungen!$A$6:$A$1005,$A179))</f>
        <v/>
      </c>
      <c r="N179" s="58">
        <f>IF($B179="","",SUMIFS(Krankmeldungen!$AI$6:$AI$1005,Krankmeldungen!$A$6:$A$1005,$A179))</f>
        <v/>
      </c>
      <c r="O179" s="65">
        <f>IF($B179="","",SUM(C179:N179))</f>
        <v/>
      </c>
      <c r="P179" s="57">
        <f>'KQuote Mitarbeiter'!D179</f>
        <v/>
      </c>
      <c r="Q179" s="67">
        <f>'KQuote Mitarbeiter'!J179</f>
        <v/>
      </c>
    </row>
    <row r="180">
      <c r="A180" s="61">
        <f>'KQuote Mitarbeiter'!A180</f>
        <v/>
      </c>
      <c r="B180" s="62">
        <f>'KQuote Mitarbeiter'!B180</f>
        <v/>
      </c>
      <c r="C180" s="58">
        <f>IF($B180="","",SUMIFS(Krankmeldungen!$X$6:$X$1005,Krankmeldungen!$A$6:$A$1005,$A180))</f>
        <v/>
      </c>
      <c r="D180" s="58">
        <f>IF($B180="","",SUMIFS(Krankmeldungen!$Y$6:$Y$1005,Krankmeldungen!$A$6:$A$1005,$A180))</f>
        <v/>
      </c>
      <c r="E180" s="58">
        <f>IF($B180="","",SUMIFS(Krankmeldungen!$Z$6:$Z$1005,Krankmeldungen!$A$6:$A$1005,$A180))</f>
        <v/>
      </c>
      <c r="F180" s="58">
        <f>IF($B180="","",SUMIFS(Krankmeldungen!$AA$6:$AA$1005,Krankmeldungen!$A$6:$A$1005,$A180))</f>
        <v/>
      </c>
      <c r="G180" s="58">
        <f>IF($B180="","",SUMIFS(Krankmeldungen!$AB$6:$AB$1005,Krankmeldungen!$A$6:$A$1005,$A180))</f>
        <v/>
      </c>
      <c r="H180" s="58">
        <f>IF($B180="","",SUMIFS(Krankmeldungen!$AC$6:$AC$1005,Krankmeldungen!$A$6:$A$1005,$A180))</f>
        <v/>
      </c>
      <c r="I180" s="58">
        <f>IF($B180="","",SUMIFS(Krankmeldungen!$AD$6:$AD$1005,Krankmeldungen!$A$6:$A$1005,$A180))</f>
        <v/>
      </c>
      <c r="J180" s="58">
        <f>IF($B180="","",SUMIFS(Krankmeldungen!$AE$6:$AE$1005,Krankmeldungen!$A$6:$A$1005,$A180))</f>
        <v/>
      </c>
      <c r="K180" s="58">
        <f>IF($B180="","",SUMIFS(Krankmeldungen!$AF$6:$AF$1005,Krankmeldungen!$A$6:$A$1005,$A180))</f>
        <v/>
      </c>
      <c r="L180" s="58">
        <f>IF($B180="","",SUMIFS(Krankmeldungen!$AG$6:$AG$1005,Krankmeldungen!$A$6:$A$1005,$A180))</f>
        <v/>
      </c>
      <c r="M180" s="58">
        <f>IF($B180="","",SUMIFS(Krankmeldungen!$AH$6:$AH$1005,Krankmeldungen!$A$6:$A$1005,$A180))</f>
        <v/>
      </c>
      <c r="N180" s="58">
        <f>IF($B180="","",SUMIFS(Krankmeldungen!$AI$6:$AI$1005,Krankmeldungen!$A$6:$A$1005,$A180))</f>
        <v/>
      </c>
      <c r="O180" s="65">
        <f>IF($B180="","",SUM(C180:N180))</f>
        <v/>
      </c>
      <c r="P180" s="57">
        <f>'KQuote Mitarbeiter'!D180</f>
        <v/>
      </c>
      <c r="Q180" s="67">
        <f>'KQuote Mitarbeiter'!J180</f>
        <v/>
      </c>
    </row>
    <row r="181">
      <c r="A181" s="61">
        <f>'KQuote Mitarbeiter'!A181</f>
        <v/>
      </c>
      <c r="B181" s="62">
        <f>'KQuote Mitarbeiter'!B181</f>
        <v/>
      </c>
      <c r="C181" s="58">
        <f>IF($B181="","",SUMIFS(Krankmeldungen!$X$6:$X$1005,Krankmeldungen!$A$6:$A$1005,$A181))</f>
        <v/>
      </c>
      <c r="D181" s="58">
        <f>IF($B181="","",SUMIFS(Krankmeldungen!$Y$6:$Y$1005,Krankmeldungen!$A$6:$A$1005,$A181))</f>
        <v/>
      </c>
      <c r="E181" s="58">
        <f>IF($B181="","",SUMIFS(Krankmeldungen!$Z$6:$Z$1005,Krankmeldungen!$A$6:$A$1005,$A181))</f>
        <v/>
      </c>
      <c r="F181" s="58">
        <f>IF($B181="","",SUMIFS(Krankmeldungen!$AA$6:$AA$1005,Krankmeldungen!$A$6:$A$1005,$A181))</f>
        <v/>
      </c>
      <c r="G181" s="58">
        <f>IF($B181="","",SUMIFS(Krankmeldungen!$AB$6:$AB$1005,Krankmeldungen!$A$6:$A$1005,$A181))</f>
        <v/>
      </c>
      <c r="H181" s="58">
        <f>IF($B181="","",SUMIFS(Krankmeldungen!$AC$6:$AC$1005,Krankmeldungen!$A$6:$A$1005,$A181))</f>
        <v/>
      </c>
      <c r="I181" s="58">
        <f>IF($B181="","",SUMIFS(Krankmeldungen!$AD$6:$AD$1005,Krankmeldungen!$A$6:$A$1005,$A181))</f>
        <v/>
      </c>
      <c r="J181" s="58">
        <f>IF($B181="","",SUMIFS(Krankmeldungen!$AE$6:$AE$1005,Krankmeldungen!$A$6:$A$1005,$A181))</f>
        <v/>
      </c>
      <c r="K181" s="58">
        <f>IF($B181="","",SUMIFS(Krankmeldungen!$AF$6:$AF$1005,Krankmeldungen!$A$6:$A$1005,$A181))</f>
        <v/>
      </c>
      <c r="L181" s="58">
        <f>IF($B181="","",SUMIFS(Krankmeldungen!$AG$6:$AG$1005,Krankmeldungen!$A$6:$A$1005,$A181))</f>
        <v/>
      </c>
      <c r="M181" s="58">
        <f>IF($B181="","",SUMIFS(Krankmeldungen!$AH$6:$AH$1005,Krankmeldungen!$A$6:$A$1005,$A181))</f>
        <v/>
      </c>
      <c r="N181" s="58">
        <f>IF($B181="","",SUMIFS(Krankmeldungen!$AI$6:$AI$1005,Krankmeldungen!$A$6:$A$1005,$A181))</f>
        <v/>
      </c>
      <c r="O181" s="65">
        <f>IF($B181="","",SUM(C181:N181))</f>
        <v/>
      </c>
      <c r="P181" s="57">
        <f>'KQuote Mitarbeiter'!D181</f>
        <v/>
      </c>
      <c r="Q181" s="67">
        <f>'KQuote Mitarbeiter'!J181</f>
        <v/>
      </c>
    </row>
    <row r="182">
      <c r="A182" s="61">
        <f>'KQuote Mitarbeiter'!A182</f>
        <v/>
      </c>
      <c r="B182" s="62">
        <f>'KQuote Mitarbeiter'!B182</f>
        <v/>
      </c>
      <c r="C182" s="58">
        <f>IF($B182="","",SUMIFS(Krankmeldungen!$X$6:$X$1005,Krankmeldungen!$A$6:$A$1005,$A182))</f>
        <v/>
      </c>
      <c r="D182" s="58">
        <f>IF($B182="","",SUMIFS(Krankmeldungen!$Y$6:$Y$1005,Krankmeldungen!$A$6:$A$1005,$A182))</f>
        <v/>
      </c>
      <c r="E182" s="58">
        <f>IF($B182="","",SUMIFS(Krankmeldungen!$Z$6:$Z$1005,Krankmeldungen!$A$6:$A$1005,$A182))</f>
        <v/>
      </c>
      <c r="F182" s="58">
        <f>IF($B182="","",SUMIFS(Krankmeldungen!$AA$6:$AA$1005,Krankmeldungen!$A$6:$A$1005,$A182))</f>
        <v/>
      </c>
      <c r="G182" s="58">
        <f>IF($B182="","",SUMIFS(Krankmeldungen!$AB$6:$AB$1005,Krankmeldungen!$A$6:$A$1005,$A182))</f>
        <v/>
      </c>
      <c r="H182" s="58">
        <f>IF($B182="","",SUMIFS(Krankmeldungen!$AC$6:$AC$1005,Krankmeldungen!$A$6:$A$1005,$A182))</f>
        <v/>
      </c>
      <c r="I182" s="58">
        <f>IF($B182="","",SUMIFS(Krankmeldungen!$AD$6:$AD$1005,Krankmeldungen!$A$6:$A$1005,$A182))</f>
        <v/>
      </c>
      <c r="J182" s="58">
        <f>IF($B182="","",SUMIFS(Krankmeldungen!$AE$6:$AE$1005,Krankmeldungen!$A$6:$A$1005,$A182))</f>
        <v/>
      </c>
      <c r="K182" s="58">
        <f>IF($B182="","",SUMIFS(Krankmeldungen!$AF$6:$AF$1005,Krankmeldungen!$A$6:$A$1005,$A182))</f>
        <v/>
      </c>
      <c r="L182" s="58">
        <f>IF($B182="","",SUMIFS(Krankmeldungen!$AG$6:$AG$1005,Krankmeldungen!$A$6:$A$1005,$A182))</f>
        <v/>
      </c>
      <c r="M182" s="58">
        <f>IF($B182="","",SUMIFS(Krankmeldungen!$AH$6:$AH$1005,Krankmeldungen!$A$6:$A$1005,$A182))</f>
        <v/>
      </c>
      <c r="N182" s="58">
        <f>IF($B182="","",SUMIFS(Krankmeldungen!$AI$6:$AI$1005,Krankmeldungen!$A$6:$A$1005,$A182))</f>
        <v/>
      </c>
      <c r="O182" s="65">
        <f>IF($B182="","",SUM(C182:N182))</f>
        <v/>
      </c>
      <c r="P182" s="57">
        <f>'KQuote Mitarbeiter'!D182</f>
        <v/>
      </c>
      <c r="Q182" s="67">
        <f>'KQuote Mitarbeiter'!J182</f>
        <v/>
      </c>
    </row>
    <row r="183">
      <c r="A183" s="61">
        <f>'KQuote Mitarbeiter'!A183</f>
        <v/>
      </c>
      <c r="B183" s="62">
        <f>'KQuote Mitarbeiter'!B183</f>
        <v/>
      </c>
      <c r="C183" s="58">
        <f>IF($B183="","",SUMIFS(Krankmeldungen!$X$6:$X$1005,Krankmeldungen!$A$6:$A$1005,$A183))</f>
        <v/>
      </c>
      <c r="D183" s="58">
        <f>IF($B183="","",SUMIFS(Krankmeldungen!$Y$6:$Y$1005,Krankmeldungen!$A$6:$A$1005,$A183))</f>
        <v/>
      </c>
      <c r="E183" s="58">
        <f>IF($B183="","",SUMIFS(Krankmeldungen!$Z$6:$Z$1005,Krankmeldungen!$A$6:$A$1005,$A183))</f>
        <v/>
      </c>
      <c r="F183" s="58">
        <f>IF($B183="","",SUMIFS(Krankmeldungen!$AA$6:$AA$1005,Krankmeldungen!$A$6:$A$1005,$A183))</f>
        <v/>
      </c>
      <c r="G183" s="58">
        <f>IF($B183="","",SUMIFS(Krankmeldungen!$AB$6:$AB$1005,Krankmeldungen!$A$6:$A$1005,$A183))</f>
        <v/>
      </c>
      <c r="H183" s="58">
        <f>IF($B183="","",SUMIFS(Krankmeldungen!$AC$6:$AC$1005,Krankmeldungen!$A$6:$A$1005,$A183))</f>
        <v/>
      </c>
      <c r="I183" s="58">
        <f>IF($B183="","",SUMIFS(Krankmeldungen!$AD$6:$AD$1005,Krankmeldungen!$A$6:$A$1005,$A183))</f>
        <v/>
      </c>
      <c r="J183" s="58">
        <f>IF($B183="","",SUMIFS(Krankmeldungen!$AE$6:$AE$1005,Krankmeldungen!$A$6:$A$1005,$A183))</f>
        <v/>
      </c>
      <c r="K183" s="58">
        <f>IF($B183="","",SUMIFS(Krankmeldungen!$AF$6:$AF$1005,Krankmeldungen!$A$6:$A$1005,$A183))</f>
        <v/>
      </c>
      <c r="L183" s="58">
        <f>IF($B183="","",SUMIFS(Krankmeldungen!$AG$6:$AG$1005,Krankmeldungen!$A$6:$A$1005,$A183))</f>
        <v/>
      </c>
      <c r="M183" s="58">
        <f>IF($B183="","",SUMIFS(Krankmeldungen!$AH$6:$AH$1005,Krankmeldungen!$A$6:$A$1005,$A183))</f>
        <v/>
      </c>
      <c r="N183" s="58">
        <f>IF($B183="","",SUMIFS(Krankmeldungen!$AI$6:$AI$1005,Krankmeldungen!$A$6:$A$1005,$A183))</f>
        <v/>
      </c>
      <c r="O183" s="65">
        <f>IF($B183="","",SUM(C183:N183))</f>
        <v/>
      </c>
      <c r="P183" s="57">
        <f>'KQuote Mitarbeiter'!D183</f>
        <v/>
      </c>
      <c r="Q183" s="67">
        <f>'KQuote Mitarbeiter'!J183</f>
        <v/>
      </c>
    </row>
    <row r="184">
      <c r="A184" s="61">
        <f>'KQuote Mitarbeiter'!A184</f>
        <v/>
      </c>
      <c r="B184" s="62">
        <f>'KQuote Mitarbeiter'!B184</f>
        <v/>
      </c>
      <c r="C184" s="58">
        <f>IF($B184="","",SUMIFS(Krankmeldungen!$X$6:$X$1005,Krankmeldungen!$A$6:$A$1005,$A184))</f>
        <v/>
      </c>
      <c r="D184" s="58">
        <f>IF($B184="","",SUMIFS(Krankmeldungen!$Y$6:$Y$1005,Krankmeldungen!$A$6:$A$1005,$A184))</f>
        <v/>
      </c>
      <c r="E184" s="58">
        <f>IF($B184="","",SUMIFS(Krankmeldungen!$Z$6:$Z$1005,Krankmeldungen!$A$6:$A$1005,$A184))</f>
        <v/>
      </c>
      <c r="F184" s="58">
        <f>IF($B184="","",SUMIFS(Krankmeldungen!$AA$6:$AA$1005,Krankmeldungen!$A$6:$A$1005,$A184))</f>
        <v/>
      </c>
      <c r="G184" s="58">
        <f>IF($B184="","",SUMIFS(Krankmeldungen!$AB$6:$AB$1005,Krankmeldungen!$A$6:$A$1005,$A184))</f>
        <v/>
      </c>
      <c r="H184" s="58">
        <f>IF($B184="","",SUMIFS(Krankmeldungen!$AC$6:$AC$1005,Krankmeldungen!$A$6:$A$1005,$A184))</f>
        <v/>
      </c>
      <c r="I184" s="58">
        <f>IF($B184="","",SUMIFS(Krankmeldungen!$AD$6:$AD$1005,Krankmeldungen!$A$6:$A$1005,$A184))</f>
        <v/>
      </c>
      <c r="J184" s="58">
        <f>IF($B184="","",SUMIFS(Krankmeldungen!$AE$6:$AE$1005,Krankmeldungen!$A$6:$A$1005,$A184))</f>
        <v/>
      </c>
      <c r="K184" s="58">
        <f>IF($B184="","",SUMIFS(Krankmeldungen!$AF$6:$AF$1005,Krankmeldungen!$A$6:$A$1005,$A184))</f>
        <v/>
      </c>
      <c r="L184" s="58">
        <f>IF($B184="","",SUMIFS(Krankmeldungen!$AG$6:$AG$1005,Krankmeldungen!$A$6:$A$1005,$A184))</f>
        <v/>
      </c>
      <c r="M184" s="58">
        <f>IF($B184="","",SUMIFS(Krankmeldungen!$AH$6:$AH$1005,Krankmeldungen!$A$6:$A$1005,$A184))</f>
        <v/>
      </c>
      <c r="N184" s="58">
        <f>IF($B184="","",SUMIFS(Krankmeldungen!$AI$6:$AI$1005,Krankmeldungen!$A$6:$A$1005,$A184))</f>
        <v/>
      </c>
      <c r="O184" s="65">
        <f>IF($B184="","",SUM(C184:N184))</f>
        <v/>
      </c>
      <c r="P184" s="57">
        <f>'KQuote Mitarbeiter'!D184</f>
        <v/>
      </c>
      <c r="Q184" s="67">
        <f>'KQuote Mitarbeiter'!J184</f>
        <v/>
      </c>
    </row>
    <row r="185">
      <c r="A185" s="61">
        <f>'KQuote Mitarbeiter'!A185</f>
        <v/>
      </c>
      <c r="B185" s="62">
        <f>'KQuote Mitarbeiter'!B185</f>
        <v/>
      </c>
      <c r="C185" s="58">
        <f>IF($B185="","",SUMIFS(Krankmeldungen!$X$6:$X$1005,Krankmeldungen!$A$6:$A$1005,$A185))</f>
        <v/>
      </c>
      <c r="D185" s="58">
        <f>IF($B185="","",SUMIFS(Krankmeldungen!$Y$6:$Y$1005,Krankmeldungen!$A$6:$A$1005,$A185))</f>
        <v/>
      </c>
      <c r="E185" s="58">
        <f>IF($B185="","",SUMIFS(Krankmeldungen!$Z$6:$Z$1005,Krankmeldungen!$A$6:$A$1005,$A185))</f>
        <v/>
      </c>
      <c r="F185" s="58">
        <f>IF($B185="","",SUMIFS(Krankmeldungen!$AA$6:$AA$1005,Krankmeldungen!$A$6:$A$1005,$A185))</f>
        <v/>
      </c>
      <c r="G185" s="58">
        <f>IF($B185="","",SUMIFS(Krankmeldungen!$AB$6:$AB$1005,Krankmeldungen!$A$6:$A$1005,$A185))</f>
        <v/>
      </c>
      <c r="H185" s="58">
        <f>IF($B185="","",SUMIFS(Krankmeldungen!$AC$6:$AC$1005,Krankmeldungen!$A$6:$A$1005,$A185))</f>
        <v/>
      </c>
      <c r="I185" s="58">
        <f>IF($B185="","",SUMIFS(Krankmeldungen!$AD$6:$AD$1005,Krankmeldungen!$A$6:$A$1005,$A185))</f>
        <v/>
      </c>
      <c r="J185" s="58">
        <f>IF($B185="","",SUMIFS(Krankmeldungen!$AE$6:$AE$1005,Krankmeldungen!$A$6:$A$1005,$A185))</f>
        <v/>
      </c>
      <c r="K185" s="58">
        <f>IF($B185="","",SUMIFS(Krankmeldungen!$AF$6:$AF$1005,Krankmeldungen!$A$6:$A$1005,$A185))</f>
        <v/>
      </c>
      <c r="L185" s="58">
        <f>IF($B185="","",SUMIFS(Krankmeldungen!$AG$6:$AG$1005,Krankmeldungen!$A$6:$A$1005,$A185))</f>
        <v/>
      </c>
      <c r="M185" s="58">
        <f>IF($B185="","",SUMIFS(Krankmeldungen!$AH$6:$AH$1005,Krankmeldungen!$A$6:$A$1005,$A185))</f>
        <v/>
      </c>
      <c r="N185" s="58">
        <f>IF($B185="","",SUMIFS(Krankmeldungen!$AI$6:$AI$1005,Krankmeldungen!$A$6:$A$1005,$A185))</f>
        <v/>
      </c>
      <c r="O185" s="65">
        <f>IF($B185="","",SUM(C185:N185))</f>
        <v/>
      </c>
      <c r="P185" s="57">
        <f>'KQuote Mitarbeiter'!D185</f>
        <v/>
      </c>
      <c r="Q185" s="67">
        <f>'KQuote Mitarbeiter'!J185</f>
        <v/>
      </c>
    </row>
    <row r="186">
      <c r="A186" s="61">
        <f>'KQuote Mitarbeiter'!A186</f>
        <v/>
      </c>
      <c r="B186" s="62">
        <f>'KQuote Mitarbeiter'!B186</f>
        <v/>
      </c>
      <c r="C186" s="58">
        <f>IF($B186="","",SUMIFS(Krankmeldungen!$X$6:$X$1005,Krankmeldungen!$A$6:$A$1005,$A186))</f>
        <v/>
      </c>
      <c r="D186" s="58">
        <f>IF($B186="","",SUMIFS(Krankmeldungen!$Y$6:$Y$1005,Krankmeldungen!$A$6:$A$1005,$A186))</f>
        <v/>
      </c>
      <c r="E186" s="58">
        <f>IF($B186="","",SUMIFS(Krankmeldungen!$Z$6:$Z$1005,Krankmeldungen!$A$6:$A$1005,$A186))</f>
        <v/>
      </c>
      <c r="F186" s="58">
        <f>IF($B186="","",SUMIFS(Krankmeldungen!$AA$6:$AA$1005,Krankmeldungen!$A$6:$A$1005,$A186))</f>
        <v/>
      </c>
      <c r="G186" s="58">
        <f>IF($B186="","",SUMIFS(Krankmeldungen!$AB$6:$AB$1005,Krankmeldungen!$A$6:$A$1005,$A186))</f>
        <v/>
      </c>
      <c r="H186" s="58">
        <f>IF($B186="","",SUMIFS(Krankmeldungen!$AC$6:$AC$1005,Krankmeldungen!$A$6:$A$1005,$A186))</f>
        <v/>
      </c>
      <c r="I186" s="58">
        <f>IF($B186="","",SUMIFS(Krankmeldungen!$AD$6:$AD$1005,Krankmeldungen!$A$6:$A$1005,$A186))</f>
        <v/>
      </c>
      <c r="J186" s="58">
        <f>IF($B186="","",SUMIFS(Krankmeldungen!$AE$6:$AE$1005,Krankmeldungen!$A$6:$A$1005,$A186))</f>
        <v/>
      </c>
      <c r="K186" s="58">
        <f>IF($B186="","",SUMIFS(Krankmeldungen!$AF$6:$AF$1005,Krankmeldungen!$A$6:$A$1005,$A186))</f>
        <v/>
      </c>
      <c r="L186" s="58">
        <f>IF($B186="","",SUMIFS(Krankmeldungen!$AG$6:$AG$1005,Krankmeldungen!$A$6:$A$1005,$A186))</f>
        <v/>
      </c>
      <c r="M186" s="58">
        <f>IF($B186="","",SUMIFS(Krankmeldungen!$AH$6:$AH$1005,Krankmeldungen!$A$6:$A$1005,$A186))</f>
        <v/>
      </c>
      <c r="N186" s="58">
        <f>IF($B186="","",SUMIFS(Krankmeldungen!$AI$6:$AI$1005,Krankmeldungen!$A$6:$A$1005,$A186))</f>
        <v/>
      </c>
      <c r="O186" s="65">
        <f>IF($B186="","",SUM(C186:N186))</f>
        <v/>
      </c>
      <c r="P186" s="57">
        <f>'KQuote Mitarbeiter'!D186</f>
        <v/>
      </c>
      <c r="Q186" s="67">
        <f>'KQuote Mitarbeiter'!J186</f>
        <v/>
      </c>
    </row>
    <row r="187">
      <c r="A187" s="61">
        <f>'KQuote Mitarbeiter'!A187</f>
        <v/>
      </c>
      <c r="B187" s="62">
        <f>'KQuote Mitarbeiter'!B187</f>
        <v/>
      </c>
      <c r="C187" s="58">
        <f>IF($B187="","",SUMIFS(Krankmeldungen!$X$6:$X$1005,Krankmeldungen!$A$6:$A$1005,$A187))</f>
        <v/>
      </c>
      <c r="D187" s="58">
        <f>IF($B187="","",SUMIFS(Krankmeldungen!$Y$6:$Y$1005,Krankmeldungen!$A$6:$A$1005,$A187))</f>
        <v/>
      </c>
      <c r="E187" s="58">
        <f>IF($B187="","",SUMIFS(Krankmeldungen!$Z$6:$Z$1005,Krankmeldungen!$A$6:$A$1005,$A187))</f>
        <v/>
      </c>
      <c r="F187" s="58">
        <f>IF($B187="","",SUMIFS(Krankmeldungen!$AA$6:$AA$1005,Krankmeldungen!$A$6:$A$1005,$A187))</f>
        <v/>
      </c>
      <c r="G187" s="58">
        <f>IF($B187="","",SUMIFS(Krankmeldungen!$AB$6:$AB$1005,Krankmeldungen!$A$6:$A$1005,$A187))</f>
        <v/>
      </c>
      <c r="H187" s="58">
        <f>IF($B187="","",SUMIFS(Krankmeldungen!$AC$6:$AC$1005,Krankmeldungen!$A$6:$A$1005,$A187))</f>
        <v/>
      </c>
      <c r="I187" s="58">
        <f>IF($B187="","",SUMIFS(Krankmeldungen!$AD$6:$AD$1005,Krankmeldungen!$A$6:$A$1005,$A187))</f>
        <v/>
      </c>
      <c r="J187" s="58">
        <f>IF($B187="","",SUMIFS(Krankmeldungen!$AE$6:$AE$1005,Krankmeldungen!$A$6:$A$1005,$A187))</f>
        <v/>
      </c>
      <c r="K187" s="58">
        <f>IF($B187="","",SUMIFS(Krankmeldungen!$AF$6:$AF$1005,Krankmeldungen!$A$6:$A$1005,$A187))</f>
        <v/>
      </c>
      <c r="L187" s="58">
        <f>IF($B187="","",SUMIFS(Krankmeldungen!$AG$6:$AG$1005,Krankmeldungen!$A$6:$A$1005,$A187))</f>
        <v/>
      </c>
      <c r="M187" s="58">
        <f>IF($B187="","",SUMIFS(Krankmeldungen!$AH$6:$AH$1005,Krankmeldungen!$A$6:$A$1005,$A187))</f>
        <v/>
      </c>
      <c r="N187" s="58">
        <f>IF($B187="","",SUMIFS(Krankmeldungen!$AI$6:$AI$1005,Krankmeldungen!$A$6:$A$1005,$A187))</f>
        <v/>
      </c>
      <c r="O187" s="65">
        <f>IF($B187="","",SUM(C187:N187))</f>
        <v/>
      </c>
      <c r="P187" s="57">
        <f>'KQuote Mitarbeiter'!D187</f>
        <v/>
      </c>
      <c r="Q187" s="67">
        <f>'KQuote Mitarbeiter'!J187</f>
        <v/>
      </c>
    </row>
    <row r="188">
      <c r="A188" s="61">
        <f>'KQuote Mitarbeiter'!A188</f>
        <v/>
      </c>
      <c r="B188" s="62">
        <f>'KQuote Mitarbeiter'!B188</f>
        <v/>
      </c>
      <c r="C188" s="58">
        <f>IF($B188="","",SUMIFS(Krankmeldungen!$X$6:$X$1005,Krankmeldungen!$A$6:$A$1005,$A188))</f>
        <v/>
      </c>
      <c r="D188" s="58">
        <f>IF($B188="","",SUMIFS(Krankmeldungen!$Y$6:$Y$1005,Krankmeldungen!$A$6:$A$1005,$A188))</f>
        <v/>
      </c>
      <c r="E188" s="58">
        <f>IF($B188="","",SUMIFS(Krankmeldungen!$Z$6:$Z$1005,Krankmeldungen!$A$6:$A$1005,$A188))</f>
        <v/>
      </c>
      <c r="F188" s="58">
        <f>IF($B188="","",SUMIFS(Krankmeldungen!$AA$6:$AA$1005,Krankmeldungen!$A$6:$A$1005,$A188))</f>
        <v/>
      </c>
      <c r="G188" s="58">
        <f>IF($B188="","",SUMIFS(Krankmeldungen!$AB$6:$AB$1005,Krankmeldungen!$A$6:$A$1005,$A188))</f>
        <v/>
      </c>
      <c r="H188" s="58">
        <f>IF($B188="","",SUMIFS(Krankmeldungen!$AC$6:$AC$1005,Krankmeldungen!$A$6:$A$1005,$A188))</f>
        <v/>
      </c>
      <c r="I188" s="58">
        <f>IF($B188="","",SUMIFS(Krankmeldungen!$AD$6:$AD$1005,Krankmeldungen!$A$6:$A$1005,$A188))</f>
        <v/>
      </c>
      <c r="J188" s="58">
        <f>IF($B188="","",SUMIFS(Krankmeldungen!$AE$6:$AE$1005,Krankmeldungen!$A$6:$A$1005,$A188))</f>
        <v/>
      </c>
      <c r="K188" s="58">
        <f>IF($B188="","",SUMIFS(Krankmeldungen!$AF$6:$AF$1005,Krankmeldungen!$A$6:$A$1005,$A188))</f>
        <v/>
      </c>
      <c r="L188" s="58">
        <f>IF($B188="","",SUMIFS(Krankmeldungen!$AG$6:$AG$1005,Krankmeldungen!$A$6:$A$1005,$A188))</f>
        <v/>
      </c>
      <c r="M188" s="58">
        <f>IF($B188="","",SUMIFS(Krankmeldungen!$AH$6:$AH$1005,Krankmeldungen!$A$6:$A$1005,$A188))</f>
        <v/>
      </c>
      <c r="N188" s="58">
        <f>IF($B188="","",SUMIFS(Krankmeldungen!$AI$6:$AI$1005,Krankmeldungen!$A$6:$A$1005,$A188))</f>
        <v/>
      </c>
      <c r="O188" s="65">
        <f>IF($B188="","",SUM(C188:N188))</f>
        <v/>
      </c>
      <c r="P188" s="57">
        <f>'KQuote Mitarbeiter'!D188</f>
        <v/>
      </c>
      <c r="Q188" s="67">
        <f>'KQuote Mitarbeiter'!J188</f>
        <v/>
      </c>
    </row>
    <row r="189">
      <c r="A189" s="61">
        <f>'KQuote Mitarbeiter'!A189</f>
        <v/>
      </c>
      <c r="B189" s="62">
        <f>'KQuote Mitarbeiter'!B189</f>
        <v/>
      </c>
      <c r="C189" s="58">
        <f>IF($B189="","",SUMIFS(Krankmeldungen!$X$6:$X$1005,Krankmeldungen!$A$6:$A$1005,$A189))</f>
        <v/>
      </c>
      <c r="D189" s="58">
        <f>IF($B189="","",SUMIFS(Krankmeldungen!$Y$6:$Y$1005,Krankmeldungen!$A$6:$A$1005,$A189))</f>
        <v/>
      </c>
      <c r="E189" s="58">
        <f>IF($B189="","",SUMIFS(Krankmeldungen!$Z$6:$Z$1005,Krankmeldungen!$A$6:$A$1005,$A189))</f>
        <v/>
      </c>
      <c r="F189" s="58">
        <f>IF($B189="","",SUMIFS(Krankmeldungen!$AA$6:$AA$1005,Krankmeldungen!$A$6:$A$1005,$A189))</f>
        <v/>
      </c>
      <c r="G189" s="58">
        <f>IF($B189="","",SUMIFS(Krankmeldungen!$AB$6:$AB$1005,Krankmeldungen!$A$6:$A$1005,$A189))</f>
        <v/>
      </c>
      <c r="H189" s="58">
        <f>IF($B189="","",SUMIFS(Krankmeldungen!$AC$6:$AC$1005,Krankmeldungen!$A$6:$A$1005,$A189))</f>
        <v/>
      </c>
      <c r="I189" s="58">
        <f>IF($B189="","",SUMIFS(Krankmeldungen!$AD$6:$AD$1005,Krankmeldungen!$A$6:$A$1005,$A189))</f>
        <v/>
      </c>
      <c r="J189" s="58">
        <f>IF($B189="","",SUMIFS(Krankmeldungen!$AE$6:$AE$1005,Krankmeldungen!$A$6:$A$1005,$A189))</f>
        <v/>
      </c>
      <c r="K189" s="58">
        <f>IF($B189="","",SUMIFS(Krankmeldungen!$AF$6:$AF$1005,Krankmeldungen!$A$6:$A$1005,$A189))</f>
        <v/>
      </c>
      <c r="L189" s="58">
        <f>IF($B189="","",SUMIFS(Krankmeldungen!$AG$6:$AG$1005,Krankmeldungen!$A$6:$A$1005,$A189))</f>
        <v/>
      </c>
      <c r="M189" s="58">
        <f>IF($B189="","",SUMIFS(Krankmeldungen!$AH$6:$AH$1005,Krankmeldungen!$A$6:$A$1005,$A189))</f>
        <v/>
      </c>
      <c r="N189" s="58">
        <f>IF($B189="","",SUMIFS(Krankmeldungen!$AI$6:$AI$1005,Krankmeldungen!$A$6:$A$1005,$A189))</f>
        <v/>
      </c>
      <c r="O189" s="65">
        <f>IF($B189="","",SUM(C189:N189))</f>
        <v/>
      </c>
      <c r="P189" s="57">
        <f>'KQuote Mitarbeiter'!D189</f>
        <v/>
      </c>
      <c r="Q189" s="67">
        <f>'KQuote Mitarbeiter'!J189</f>
        <v/>
      </c>
    </row>
    <row r="190">
      <c r="A190" s="61">
        <f>'KQuote Mitarbeiter'!A190</f>
        <v/>
      </c>
      <c r="B190" s="62">
        <f>'KQuote Mitarbeiter'!B190</f>
        <v/>
      </c>
      <c r="C190" s="58">
        <f>IF($B190="","",SUMIFS(Krankmeldungen!$X$6:$X$1005,Krankmeldungen!$A$6:$A$1005,$A190))</f>
        <v/>
      </c>
      <c r="D190" s="58">
        <f>IF($B190="","",SUMIFS(Krankmeldungen!$Y$6:$Y$1005,Krankmeldungen!$A$6:$A$1005,$A190))</f>
        <v/>
      </c>
      <c r="E190" s="58">
        <f>IF($B190="","",SUMIFS(Krankmeldungen!$Z$6:$Z$1005,Krankmeldungen!$A$6:$A$1005,$A190))</f>
        <v/>
      </c>
      <c r="F190" s="58">
        <f>IF($B190="","",SUMIFS(Krankmeldungen!$AA$6:$AA$1005,Krankmeldungen!$A$6:$A$1005,$A190))</f>
        <v/>
      </c>
      <c r="G190" s="58">
        <f>IF($B190="","",SUMIFS(Krankmeldungen!$AB$6:$AB$1005,Krankmeldungen!$A$6:$A$1005,$A190))</f>
        <v/>
      </c>
      <c r="H190" s="58">
        <f>IF($B190="","",SUMIFS(Krankmeldungen!$AC$6:$AC$1005,Krankmeldungen!$A$6:$A$1005,$A190))</f>
        <v/>
      </c>
      <c r="I190" s="58">
        <f>IF($B190="","",SUMIFS(Krankmeldungen!$AD$6:$AD$1005,Krankmeldungen!$A$6:$A$1005,$A190))</f>
        <v/>
      </c>
      <c r="J190" s="58">
        <f>IF($B190="","",SUMIFS(Krankmeldungen!$AE$6:$AE$1005,Krankmeldungen!$A$6:$A$1005,$A190))</f>
        <v/>
      </c>
      <c r="K190" s="58">
        <f>IF($B190="","",SUMIFS(Krankmeldungen!$AF$6:$AF$1005,Krankmeldungen!$A$6:$A$1005,$A190))</f>
        <v/>
      </c>
      <c r="L190" s="58">
        <f>IF($B190="","",SUMIFS(Krankmeldungen!$AG$6:$AG$1005,Krankmeldungen!$A$6:$A$1005,$A190))</f>
        <v/>
      </c>
      <c r="M190" s="58">
        <f>IF($B190="","",SUMIFS(Krankmeldungen!$AH$6:$AH$1005,Krankmeldungen!$A$6:$A$1005,$A190))</f>
        <v/>
      </c>
      <c r="N190" s="58">
        <f>IF($B190="","",SUMIFS(Krankmeldungen!$AI$6:$AI$1005,Krankmeldungen!$A$6:$A$1005,$A190))</f>
        <v/>
      </c>
      <c r="O190" s="65">
        <f>IF($B190="","",SUM(C190:N190))</f>
        <v/>
      </c>
      <c r="P190" s="57">
        <f>'KQuote Mitarbeiter'!D190</f>
        <v/>
      </c>
      <c r="Q190" s="67">
        <f>'KQuote Mitarbeiter'!J190</f>
        <v/>
      </c>
    </row>
    <row r="191">
      <c r="A191" s="61">
        <f>'KQuote Mitarbeiter'!A191</f>
        <v/>
      </c>
      <c r="B191" s="62">
        <f>'KQuote Mitarbeiter'!B191</f>
        <v/>
      </c>
      <c r="C191" s="58">
        <f>IF($B191="","",SUMIFS(Krankmeldungen!$X$6:$X$1005,Krankmeldungen!$A$6:$A$1005,$A191))</f>
        <v/>
      </c>
      <c r="D191" s="58">
        <f>IF($B191="","",SUMIFS(Krankmeldungen!$Y$6:$Y$1005,Krankmeldungen!$A$6:$A$1005,$A191))</f>
        <v/>
      </c>
      <c r="E191" s="58">
        <f>IF($B191="","",SUMIFS(Krankmeldungen!$Z$6:$Z$1005,Krankmeldungen!$A$6:$A$1005,$A191))</f>
        <v/>
      </c>
      <c r="F191" s="58">
        <f>IF($B191="","",SUMIFS(Krankmeldungen!$AA$6:$AA$1005,Krankmeldungen!$A$6:$A$1005,$A191))</f>
        <v/>
      </c>
      <c r="G191" s="58">
        <f>IF($B191="","",SUMIFS(Krankmeldungen!$AB$6:$AB$1005,Krankmeldungen!$A$6:$A$1005,$A191))</f>
        <v/>
      </c>
      <c r="H191" s="58">
        <f>IF($B191="","",SUMIFS(Krankmeldungen!$AC$6:$AC$1005,Krankmeldungen!$A$6:$A$1005,$A191))</f>
        <v/>
      </c>
      <c r="I191" s="58">
        <f>IF($B191="","",SUMIFS(Krankmeldungen!$AD$6:$AD$1005,Krankmeldungen!$A$6:$A$1005,$A191))</f>
        <v/>
      </c>
      <c r="J191" s="58">
        <f>IF($B191="","",SUMIFS(Krankmeldungen!$AE$6:$AE$1005,Krankmeldungen!$A$6:$A$1005,$A191))</f>
        <v/>
      </c>
      <c r="K191" s="58">
        <f>IF($B191="","",SUMIFS(Krankmeldungen!$AF$6:$AF$1005,Krankmeldungen!$A$6:$A$1005,$A191))</f>
        <v/>
      </c>
      <c r="L191" s="58">
        <f>IF($B191="","",SUMIFS(Krankmeldungen!$AG$6:$AG$1005,Krankmeldungen!$A$6:$A$1005,$A191))</f>
        <v/>
      </c>
      <c r="M191" s="58">
        <f>IF($B191="","",SUMIFS(Krankmeldungen!$AH$6:$AH$1005,Krankmeldungen!$A$6:$A$1005,$A191))</f>
        <v/>
      </c>
      <c r="N191" s="58">
        <f>IF($B191="","",SUMIFS(Krankmeldungen!$AI$6:$AI$1005,Krankmeldungen!$A$6:$A$1005,$A191))</f>
        <v/>
      </c>
      <c r="O191" s="65">
        <f>IF($B191="","",SUM(C191:N191))</f>
        <v/>
      </c>
      <c r="P191" s="57">
        <f>'KQuote Mitarbeiter'!D191</f>
        <v/>
      </c>
      <c r="Q191" s="67">
        <f>'KQuote Mitarbeiter'!J191</f>
        <v/>
      </c>
    </row>
    <row r="192">
      <c r="A192" s="61">
        <f>'KQuote Mitarbeiter'!A192</f>
        <v/>
      </c>
      <c r="B192" s="62">
        <f>'KQuote Mitarbeiter'!B192</f>
        <v/>
      </c>
      <c r="C192" s="58">
        <f>IF($B192="","",SUMIFS(Krankmeldungen!$X$6:$X$1005,Krankmeldungen!$A$6:$A$1005,$A192))</f>
        <v/>
      </c>
      <c r="D192" s="58">
        <f>IF($B192="","",SUMIFS(Krankmeldungen!$Y$6:$Y$1005,Krankmeldungen!$A$6:$A$1005,$A192))</f>
        <v/>
      </c>
      <c r="E192" s="58">
        <f>IF($B192="","",SUMIFS(Krankmeldungen!$Z$6:$Z$1005,Krankmeldungen!$A$6:$A$1005,$A192))</f>
        <v/>
      </c>
      <c r="F192" s="58">
        <f>IF($B192="","",SUMIFS(Krankmeldungen!$AA$6:$AA$1005,Krankmeldungen!$A$6:$A$1005,$A192))</f>
        <v/>
      </c>
      <c r="G192" s="58">
        <f>IF($B192="","",SUMIFS(Krankmeldungen!$AB$6:$AB$1005,Krankmeldungen!$A$6:$A$1005,$A192))</f>
        <v/>
      </c>
      <c r="H192" s="58">
        <f>IF($B192="","",SUMIFS(Krankmeldungen!$AC$6:$AC$1005,Krankmeldungen!$A$6:$A$1005,$A192))</f>
        <v/>
      </c>
      <c r="I192" s="58">
        <f>IF($B192="","",SUMIFS(Krankmeldungen!$AD$6:$AD$1005,Krankmeldungen!$A$6:$A$1005,$A192))</f>
        <v/>
      </c>
      <c r="J192" s="58">
        <f>IF($B192="","",SUMIFS(Krankmeldungen!$AE$6:$AE$1005,Krankmeldungen!$A$6:$A$1005,$A192))</f>
        <v/>
      </c>
      <c r="K192" s="58">
        <f>IF($B192="","",SUMIFS(Krankmeldungen!$AF$6:$AF$1005,Krankmeldungen!$A$6:$A$1005,$A192))</f>
        <v/>
      </c>
      <c r="L192" s="58">
        <f>IF($B192="","",SUMIFS(Krankmeldungen!$AG$6:$AG$1005,Krankmeldungen!$A$6:$A$1005,$A192))</f>
        <v/>
      </c>
      <c r="M192" s="58">
        <f>IF($B192="","",SUMIFS(Krankmeldungen!$AH$6:$AH$1005,Krankmeldungen!$A$6:$A$1005,$A192))</f>
        <v/>
      </c>
      <c r="N192" s="58">
        <f>IF($B192="","",SUMIFS(Krankmeldungen!$AI$6:$AI$1005,Krankmeldungen!$A$6:$A$1005,$A192))</f>
        <v/>
      </c>
      <c r="O192" s="65">
        <f>IF($B192="","",SUM(C192:N192))</f>
        <v/>
      </c>
      <c r="P192" s="57">
        <f>'KQuote Mitarbeiter'!D192</f>
        <v/>
      </c>
      <c r="Q192" s="67">
        <f>'KQuote Mitarbeiter'!J192</f>
        <v/>
      </c>
    </row>
    <row r="193">
      <c r="A193" s="61">
        <f>'KQuote Mitarbeiter'!A193</f>
        <v/>
      </c>
      <c r="B193" s="62">
        <f>'KQuote Mitarbeiter'!B193</f>
        <v/>
      </c>
      <c r="C193" s="58">
        <f>IF($B193="","",SUMIFS(Krankmeldungen!$X$6:$X$1005,Krankmeldungen!$A$6:$A$1005,$A193))</f>
        <v/>
      </c>
      <c r="D193" s="58">
        <f>IF($B193="","",SUMIFS(Krankmeldungen!$Y$6:$Y$1005,Krankmeldungen!$A$6:$A$1005,$A193))</f>
        <v/>
      </c>
      <c r="E193" s="58">
        <f>IF($B193="","",SUMIFS(Krankmeldungen!$Z$6:$Z$1005,Krankmeldungen!$A$6:$A$1005,$A193))</f>
        <v/>
      </c>
      <c r="F193" s="58">
        <f>IF($B193="","",SUMIFS(Krankmeldungen!$AA$6:$AA$1005,Krankmeldungen!$A$6:$A$1005,$A193))</f>
        <v/>
      </c>
      <c r="G193" s="58">
        <f>IF($B193="","",SUMIFS(Krankmeldungen!$AB$6:$AB$1005,Krankmeldungen!$A$6:$A$1005,$A193))</f>
        <v/>
      </c>
      <c r="H193" s="58">
        <f>IF($B193="","",SUMIFS(Krankmeldungen!$AC$6:$AC$1005,Krankmeldungen!$A$6:$A$1005,$A193))</f>
        <v/>
      </c>
      <c r="I193" s="58">
        <f>IF($B193="","",SUMIFS(Krankmeldungen!$AD$6:$AD$1005,Krankmeldungen!$A$6:$A$1005,$A193))</f>
        <v/>
      </c>
      <c r="J193" s="58">
        <f>IF($B193="","",SUMIFS(Krankmeldungen!$AE$6:$AE$1005,Krankmeldungen!$A$6:$A$1005,$A193))</f>
        <v/>
      </c>
      <c r="K193" s="58">
        <f>IF($B193="","",SUMIFS(Krankmeldungen!$AF$6:$AF$1005,Krankmeldungen!$A$6:$A$1005,$A193))</f>
        <v/>
      </c>
      <c r="L193" s="58">
        <f>IF($B193="","",SUMIFS(Krankmeldungen!$AG$6:$AG$1005,Krankmeldungen!$A$6:$A$1005,$A193))</f>
        <v/>
      </c>
      <c r="M193" s="58">
        <f>IF($B193="","",SUMIFS(Krankmeldungen!$AH$6:$AH$1005,Krankmeldungen!$A$6:$A$1005,$A193))</f>
        <v/>
      </c>
      <c r="N193" s="58">
        <f>IF($B193="","",SUMIFS(Krankmeldungen!$AI$6:$AI$1005,Krankmeldungen!$A$6:$A$1005,$A193))</f>
        <v/>
      </c>
      <c r="O193" s="65">
        <f>IF($B193="","",SUM(C193:N193))</f>
        <v/>
      </c>
      <c r="P193" s="57">
        <f>'KQuote Mitarbeiter'!D193</f>
        <v/>
      </c>
      <c r="Q193" s="67">
        <f>'KQuote Mitarbeiter'!J193</f>
        <v/>
      </c>
    </row>
    <row r="194">
      <c r="A194" s="61">
        <f>'KQuote Mitarbeiter'!A194</f>
        <v/>
      </c>
      <c r="B194" s="62">
        <f>'KQuote Mitarbeiter'!B194</f>
        <v/>
      </c>
      <c r="C194" s="58">
        <f>IF($B194="","",SUMIFS(Krankmeldungen!$X$6:$X$1005,Krankmeldungen!$A$6:$A$1005,$A194))</f>
        <v/>
      </c>
      <c r="D194" s="58">
        <f>IF($B194="","",SUMIFS(Krankmeldungen!$Y$6:$Y$1005,Krankmeldungen!$A$6:$A$1005,$A194))</f>
        <v/>
      </c>
      <c r="E194" s="58">
        <f>IF($B194="","",SUMIFS(Krankmeldungen!$Z$6:$Z$1005,Krankmeldungen!$A$6:$A$1005,$A194))</f>
        <v/>
      </c>
      <c r="F194" s="58">
        <f>IF($B194="","",SUMIFS(Krankmeldungen!$AA$6:$AA$1005,Krankmeldungen!$A$6:$A$1005,$A194))</f>
        <v/>
      </c>
      <c r="G194" s="58">
        <f>IF($B194="","",SUMIFS(Krankmeldungen!$AB$6:$AB$1005,Krankmeldungen!$A$6:$A$1005,$A194))</f>
        <v/>
      </c>
      <c r="H194" s="58">
        <f>IF($B194="","",SUMIFS(Krankmeldungen!$AC$6:$AC$1005,Krankmeldungen!$A$6:$A$1005,$A194))</f>
        <v/>
      </c>
      <c r="I194" s="58">
        <f>IF($B194="","",SUMIFS(Krankmeldungen!$AD$6:$AD$1005,Krankmeldungen!$A$6:$A$1005,$A194))</f>
        <v/>
      </c>
      <c r="J194" s="58">
        <f>IF($B194="","",SUMIFS(Krankmeldungen!$AE$6:$AE$1005,Krankmeldungen!$A$6:$A$1005,$A194))</f>
        <v/>
      </c>
      <c r="K194" s="58">
        <f>IF($B194="","",SUMIFS(Krankmeldungen!$AF$6:$AF$1005,Krankmeldungen!$A$6:$A$1005,$A194))</f>
        <v/>
      </c>
      <c r="L194" s="58">
        <f>IF($B194="","",SUMIFS(Krankmeldungen!$AG$6:$AG$1005,Krankmeldungen!$A$6:$A$1005,$A194))</f>
        <v/>
      </c>
      <c r="M194" s="58">
        <f>IF($B194="","",SUMIFS(Krankmeldungen!$AH$6:$AH$1005,Krankmeldungen!$A$6:$A$1005,$A194))</f>
        <v/>
      </c>
      <c r="N194" s="58">
        <f>IF($B194="","",SUMIFS(Krankmeldungen!$AI$6:$AI$1005,Krankmeldungen!$A$6:$A$1005,$A194))</f>
        <v/>
      </c>
      <c r="O194" s="65">
        <f>IF($B194="","",SUM(C194:N194))</f>
        <v/>
      </c>
      <c r="P194" s="57">
        <f>'KQuote Mitarbeiter'!D194</f>
        <v/>
      </c>
      <c r="Q194" s="67">
        <f>'KQuote Mitarbeiter'!J194</f>
        <v/>
      </c>
    </row>
    <row r="195">
      <c r="A195" s="61">
        <f>'KQuote Mitarbeiter'!A195</f>
        <v/>
      </c>
      <c r="B195" s="62">
        <f>'KQuote Mitarbeiter'!B195</f>
        <v/>
      </c>
      <c r="C195" s="58">
        <f>IF($B195="","",SUMIFS(Krankmeldungen!$X$6:$X$1005,Krankmeldungen!$A$6:$A$1005,$A195))</f>
        <v/>
      </c>
      <c r="D195" s="58">
        <f>IF($B195="","",SUMIFS(Krankmeldungen!$Y$6:$Y$1005,Krankmeldungen!$A$6:$A$1005,$A195))</f>
        <v/>
      </c>
      <c r="E195" s="58">
        <f>IF($B195="","",SUMIFS(Krankmeldungen!$Z$6:$Z$1005,Krankmeldungen!$A$6:$A$1005,$A195))</f>
        <v/>
      </c>
      <c r="F195" s="58">
        <f>IF($B195="","",SUMIFS(Krankmeldungen!$AA$6:$AA$1005,Krankmeldungen!$A$6:$A$1005,$A195))</f>
        <v/>
      </c>
      <c r="G195" s="58">
        <f>IF($B195="","",SUMIFS(Krankmeldungen!$AB$6:$AB$1005,Krankmeldungen!$A$6:$A$1005,$A195))</f>
        <v/>
      </c>
      <c r="H195" s="58">
        <f>IF($B195="","",SUMIFS(Krankmeldungen!$AC$6:$AC$1005,Krankmeldungen!$A$6:$A$1005,$A195))</f>
        <v/>
      </c>
      <c r="I195" s="58">
        <f>IF($B195="","",SUMIFS(Krankmeldungen!$AD$6:$AD$1005,Krankmeldungen!$A$6:$A$1005,$A195))</f>
        <v/>
      </c>
      <c r="J195" s="58">
        <f>IF($B195="","",SUMIFS(Krankmeldungen!$AE$6:$AE$1005,Krankmeldungen!$A$6:$A$1005,$A195))</f>
        <v/>
      </c>
      <c r="K195" s="58">
        <f>IF($B195="","",SUMIFS(Krankmeldungen!$AF$6:$AF$1005,Krankmeldungen!$A$6:$A$1005,$A195))</f>
        <v/>
      </c>
      <c r="L195" s="58">
        <f>IF($B195="","",SUMIFS(Krankmeldungen!$AG$6:$AG$1005,Krankmeldungen!$A$6:$A$1005,$A195))</f>
        <v/>
      </c>
      <c r="M195" s="58">
        <f>IF($B195="","",SUMIFS(Krankmeldungen!$AH$6:$AH$1005,Krankmeldungen!$A$6:$A$1005,$A195))</f>
        <v/>
      </c>
      <c r="N195" s="58">
        <f>IF($B195="","",SUMIFS(Krankmeldungen!$AI$6:$AI$1005,Krankmeldungen!$A$6:$A$1005,$A195))</f>
        <v/>
      </c>
      <c r="O195" s="65">
        <f>IF($B195="","",SUM(C195:N195))</f>
        <v/>
      </c>
      <c r="P195" s="57">
        <f>'KQuote Mitarbeiter'!D195</f>
        <v/>
      </c>
      <c r="Q195" s="67">
        <f>'KQuote Mitarbeiter'!J195</f>
        <v/>
      </c>
    </row>
    <row r="196">
      <c r="A196" s="61">
        <f>'KQuote Mitarbeiter'!A196</f>
        <v/>
      </c>
      <c r="B196" s="62">
        <f>'KQuote Mitarbeiter'!B196</f>
        <v/>
      </c>
      <c r="C196" s="58">
        <f>IF($B196="","",SUMIFS(Krankmeldungen!$X$6:$X$1005,Krankmeldungen!$A$6:$A$1005,$A196))</f>
        <v/>
      </c>
      <c r="D196" s="58">
        <f>IF($B196="","",SUMIFS(Krankmeldungen!$Y$6:$Y$1005,Krankmeldungen!$A$6:$A$1005,$A196))</f>
        <v/>
      </c>
      <c r="E196" s="58">
        <f>IF($B196="","",SUMIFS(Krankmeldungen!$Z$6:$Z$1005,Krankmeldungen!$A$6:$A$1005,$A196))</f>
        <v/>
      </c>
      <c r="F196" s="58">
        <f>IF($B196="","",SUMIFS(Krankmeldungen!$AA$6:$AA$1005,Krankmeldungen!$A$6:$A$1005,$A196))</f>
        <v/>
      </c>
      <c r="G196" s="58">
        <f>IF($B196="","",SUMIFS(Krankmeldungen!$AB$6:$AB$1005,Krankmeldungen!$A$6:$A$1005,$A196))</f>
        <v/>
      </c>
      <c r="H196" s="58">
        <f>IF($B196="","",SUMIFS(Krankmeldungen!$AC$6:$AC$1005,Krankmeldungen!$A$6:$A$1005,$A196))</f>
        <v/>
      </c>
      <c r="I196" s="58">
        <f>IF($B196="","",SUMIFS(Krankmeldungen!$AD$6:$AD$1005,Krankmeldungen!$A$6:$A$1005,$A196))</f>
        <v/>
      </c>
      <c r="J196" s="58">
        <f>IF($B196="","",SUMIFS(Krankmeldungen!$AE$6:$AE$1005,Krankmeldungen!$A$6:$A$1005,$A196))</f>
        <v/>
      </c>
      <c r="K196" s="58">
        <f>IF($B196="","",SUMIFS(Krankmeldungen!$AF$6:$AF$1005,Krankmeldungen!$A$6:$A$1005,$A196))</f>
        <v/>
      </c>
      <c r="L196" s="58">
        <f>IF($B196="","",SUMIFS(Krankmeldungen!$AG$6:$AG$1005,Krankmeldungen!$A$6:$A$1005,$A196))</f>
        <v/>
      </c>
      <c r="M196" s="58">
        <f>IF($B196="","",SUMIFS(Krankmeldungen!$AH$6:$AH$1005,Krankmeldungen!$A$6:$A$1005,$A196))</f>
        <v/>
      </c>
      <c r="N196" s="58">
        <f>IF($B196="","",SUMIFS(Krankmeldungen!$AI$6:$AI$1005,Krankmeldungen!$A$6:$A$1005,$A196))</f>
        <v/>
      </c>
      <c r="O196" s="65">
        <f>IF($B196="","",SUM(C196:N196))</f>
        <v/>
      </c>
      <c r="P196" s="57">
        <f>'KQuote Mitarbeiter'!D196</f>
        <v/>
      </c>
      <c r="Q196" s="67">
        <f>'KQuote Mitarbeiter'!J196</f>
        <v/>
      </c>
    </row>
    <row r="197">
      <c r="A197" s="61">
        <f>'KQuote Mitarbeiter'!A197</f>
        <v/>
      </c>
      <c r="B197" s="62">
        <f>'KQuote Mitarbeiter'!B197</f>
        <v/>
      </c>
      <c r="C197" s="58">
        <f>IF($B197="","",SUMIFS(Krankmeldungen!$X$6:$X$1005,Krankmeldungen!$A$6:$A$1005,$A197))</f>
        <v/>
      </c>
      <c r="D197" s="58">
        <f>IF($B197="","",SUMIFS(Krankmeldungen!$Y$6:$Y$1005,Krankmeldungen!$A$6:$A$1005,$A197))</f>
        <v/>
      </c>
      <c r="E197" s="58">
        <f>IF($B197="","",SUMIFS(Krankmeldungen!$Z$6:$Z$1005,Krankmeldungen!$A$6:$A$1005,$A197))</f>
        <v/>
      </c>
      <c r="F197" s="58">
        <f>IF($B197="","",SUMIFS(Krankmeldungen!$AA$6:$AA$1005,Krankmeldungen!$A$6:$A$1005,$A197))</f>
        <v/>
      </c>
      <c r="G197" s="58">
        <f>IF($B197="","",SUMIFS(Krankmeldungen!$AB$6:$AB$1005,Krankmeldungen!$A$6:$A$1005,$A197))</f>
        <v/>
      </c>
      <c r="H197" s="58">
        <f>IF($B197="","",SUMIFS(Krankmeldungen!$AC$6:$AC$1005,Krankmeldungen!$A$6:$A$1005,$A197))</f>
        <v/>
      </c>
      <c r="I197" s="58">
        <f>IF($B197="","",SUMIFS(Krankmeldungen!$AD$6:$AD$1005,Krankmeldungen!$A$6:$A$1005,$A197))</f>
        <v/>
      </c>
      <c r="J197" s="58">
        <f>IF($B197="","",SUMIFS(Krankmeldungen!$AE$6:$AE$1005,Krankmeldungen!$A$6:$A$1005,$A197))</f>
        <v/>
      </c>
      <c r="K197" s="58">
        <f>IF($B197="","",SUMIFS(Krankmeldungen!$AF$6:$AF$1005,Krankmeldungen!$A$6:$A$1005,$A197))</f>
        <v/>
      </c>
      <c r="L197" s="58">
        <f>IF($B197="","",SUMIFS(Krankmeldungen!$AG$6:$AG$1005,Krankmeldungen!$A$6:$A$1005,$A197))</f>
        <v/>
      </c>
      <c r="M197" s="58">
        <f>IF($B197="","",SUMIFS(Krankmeldungen!$AH$6:$AH$1005,Krankmeldungen!$A$6:$A$1005,$A197))</f>
        <v/>
      </c>
      <c r="N197" s="58">
        <f>IF($B197="","",SUMIFS(Krankmeldungen!$AI$6:$AI$1005,Krankmeldungen!$A$6:$A$1005,$A197))</f>
        <v/>
      </c>
      <c r="O197" s="65">
        <f>IF($B197="","",SUM(C197:N197))</f>
        <v/>
      </c>
      <c r="P197" s="57">
        <f>'KQuote Mitarbeiter'!D197</f>
        <v/>
      </c>
      <c r="Q197" s="67">
        <f>'KQuote Mitarbeiter'!J197</f>
        <v/>
      </c>
    </row>
    <row r="198">
      <c r="A198" s="61">
        <f>'KQuote Mitarbeiter'!A198</f>
        <v/>
      </c>
      <c r="B198" s="62">
        <f>'KQuote Mitarbeiter'!B198</f>
        <v/>
      </c>
      <c r="C198" s="58">
        <f>IF($B198="","",SUMIFS(Krankmeldungen!$X$6:$X$1005,Krankmeldungen!$A$6:$A$1005,$A198))</f>
        <v/>
      </c>
      <c r="D198" s="58">
        <f>IF($B198="","",SUMIFS(Krankmeldungen!$Y$6:$Y$1005,Krankmeldungen!$A$6:$A$1005,$A198))</f>
        <v/>
      </c>
      <c r="E198" s="58">
        <f>IF($B198="","",SUMIFS(Krankmeldungen!$Z$6:$Z$1005,Krankmeldungen!$A$6:$A$1005,$A198))</f>
        <v/>
      </c>
      <c r="F198" s="58">
        <f>IF($B198="","",SUMIFS(Krankmeldungen!$AA$6:$AA$1005,Krankmeldungen!$A$6:$A$1005,$A198))</f>
        <v/>
      </c>
      <c r="G198" s="58">
        <f>IF($B198="","",SUMIFS(Krankmeldungen!$AB$6:$AB$1005,Krankmeldungen!$A$6:$A$1005,$A198))</f>
        <v/>
      </c>
      <c r="H198" s="58">
        <f>IF($B198="","",SUMIFS(Krankmeldungen!$AC$6:$AC$1005,Krankmeldungen!$A$6:$A$1005,$A198))</f>
        <v/>
      </c>
      <c r="I198" s="58">
        <f>IF($B198="","",SUMIFS(Krankmeldungen!$AD$6:$AD$1005,Krankmeldungen!$A$6:$A$1005,$A198))</f>
        <v/>
      </c>
      <c r="J198" s="58">
        <f>IF($B198="","",SUMIFS(Krankmeldungen!$AE$6:$AE$1005,Krankmeldungen!$A$6:$A$1005,$A198))</f>
        <v/>
      </c>
      <c r="K198" s="58">
        <f>IF($B198="","",SUMIFS(Krankmeldungen!$AF$6:$AF$1005,Krankmeldungen!$A$6:$A$1005,$A198))</f>
        <v/>
      </c>
      <c r="L198" s="58">
        <f>IF($B198="","",SUMIFS(Krankmeldungen!$AG$6:$AG$1005,Krankmeldungen!$A$6:$A$1005,$A198))</f>
        <v/>
      </c>
      <c r="M198" s="58">
        <f>IF($B198="","",SUMIFS(Krankmeldungen!$AH$6:$AH$1005,Krankmeldungen!$A$6:$A$1005,$A198))</f>
        <v/>
      </c>
      <c r="N198" s="58">
        <f>IF($B198="","",SUMIFS(Krankmeldungen!$AI$6:$AI$1005,Krankmeldungen!$A$6:$A$1005,$A198))</f>
        <v/>
      </c>
      <c r="O198" s="65">
        <f>IF($B198="","",SUM(C198:N198))</f>
        <v/>
      </c>
      <c r="P198" s="57">
        <f>'KQuote Mitarbeiter'!D198</f>
        <v/>
      </c>
      <c r="Q198" s="67">
        <f>'KQuote Mitarbeiter'!J198</f>
        <v/>
      </c>
    </row>
    <row r="199">
      <c r="A199" s="61">
        <f>'KQuote Mitarbeiter'!A199</f>
        <v/>
      </c>
      <c r="B199" s="62">
        <f>'KQuote Mitarbeiter'!B199</f>
        <v/>
      </c>
      <c r="C199" s="58">
        <f>IF($B199="","",SUMIFS(Krankmeldungen!$X$6:$X$1005,Krankmeldungen!$A$6:$A$1005,$A199))</f>
        <v/>
      </c>
      <c r="D199" s="58">
        <f>IF($B199="","",SUMIFS(Krankmeldungen!$Y$6:$Y$1005,Krankmeldungen!$A$6:$A$1005,$A199))</f>
        <v/>
      </c>
      <c r="E199" s="58">
        <f>IF($B199="","",SUMIFS(Krankmeldungen!$Z$6:$Z$1005,Krankmeldungen!$A$6:$A$1005,$A199))</f>
        <v/>
      </c>
      <c r="F199" s="58">
        <f>IF($B199="","",SUMIFS(Krankmeldungen!$AA$6:$AA$1005,Krankmeldungen!$A$6:$A$1005,$A199))</f>
        <v/>
      </c>
      <c r="G199" s="58">
        <f>IF($B199="","",SUMIFS(Krankmeldungen!$AB$6:$AB$1005,Krankmeldungen!$A$6:$A$1005,$A199))</f>
        <v/>
      </c>
      <c r="H199" s="58">
        <f>IF($B199="","",SUMIFS(Krankmeldungen!$AC$6:$AC$1005,Krankmeldungen!$A$6:$A$1005,$A199))</f>
        <v/>
      </c>
      <c r="I199" s="58">
        <f>IF($B199="","",SUMIFS(Krankmeldungen!$AD$6:$AD$1005,Krankmeldungen!$A$6:$A$1005,$A199))</f>
        <v/>
      </c>
      <c r="J199" s="58">
        <f>IF($B199="","",SUMIFS(Krankmeldungen!$AE$6:$AE$1005,Krankmeldungen!$A$6:$A$1005,$A199))</f>
        <v/>
      </c>
      <c r="K199" s="58">
        <f>IF($B199="","",SUMIFS(Krankmeldungen!$AF$6:$AF$1005,Krankmeldungen!$A$6:$A$1005,$A199))</f>
        <v/>
      </c>
      <c r="L199" s="58">
        <f>IF($B199="","",SUMIFS(Krankmeldungen!$AG$6:$AG$1005,Krankmeldungen!$A$6:$A$1005,$A199))</f>
        <v/>
      </c>
      <c r="M199" s="58">
        <f>IF($B199="","",SUMIFS(Krankmeldungen!$AH$6:$AH$1005,Krankmeldungen!$A$6:$A$1005,$A199))</f>
        <v/>
      </c>
      <c r="N199" s="58">
        <f>IF($B199="","",SUMIFS(Krankmeldungen!$AI$6:$AI$1005,Krankmeldungen!$A$6:$A$1005,$A199))</f>
        <v/>
      </c>
      <c r="O199" s="65">
        <f>IF($B199="","",SUM(C199:N199))</f>
        <v/>
      </c>
      <c r="P199" s="57">
        <f>'KQuote Mitarbeiter'!D199</f>
        <v/>
      </c>
      <c r="Q199" s="67">
        <f>'KQuote Mitarbeiter'!J199</f>
        <v/>
      </c>
    </row>
    <row r="200">
      <c r="A200" s="61">
        <f>'KQuote Mitarbeiter'!A200</f>
        <v/>
      </c>
      <c r="B200" s="62">
        <f>'KQuote Mitarbeiter'!B200</f>
        <v/>
      </c>
      <c r="C200" s="58">
        <f>IF($B200="","",SUMIFS(Krankmeldungen!$X$6:$X$1005,Krankmeldungen!$A$6:$A$1005,$A200))</f>
        <v/>
      </c>
      <c r="D200" s="58">
        <f>IF($B200="","",SUMIFS(Krankmeldungen!$Y$6:$Y$1005,Krankmeldungen!$A$6:$A$1005,$A200))</f>
        <v/>
      </c>
      <c r="E200" s="58">
        <f>IF($B200="","",SUMIFS(Krankmeldungen!$Z$6:$Z$1005,Krankmeldungen!$A$6:$A$1005,$A200))</f>
        <v/>
      </c>
      <c r="F200" s="58">
        <f>IF($B200="","",SUMIFS(Krankmeldungen!$AA$6:$AA$1005,Krankmeldungen!$A$6:$A$1005,$A200))</f>
        <v/>
      </c>
      <c r="G200" s="58">
        <f>IF($B200="","",SUMIFS(Krankmeldungen!$AB$6:$AB$1005,Krankmeldungen!$A$6:$A$1005,$A200))</f>
        <v/>
      </c>
      <c r="H200" s="58">
        <f>IF($B200="","",SUMIFS(Krankmeldungen!$AC$6:$AC$1005,Krankmeldungen!$A$6:$A$1005,$A200))</f>
        <v/>
      </c>
      <c r="I200" s="58">
        <f>IF($B200="","",SUMIFS(Krankmeldungen!$AD$6:$AD$1005,Krankmeldungen!$A$6:$A$1005,$A200))</f>
        <v/>
      </c>
      <c r="J200" s="58">
        <f>IF($B200="","",SUMIFS(Krankmeldungen!$AE$6:$AE$1005,Krankmeldungen!$A$6:$A$1005,$A200))</f>
        <v/>
      </c>
      <c r="K200" s="58">
        <f>IF($B200="","",SUMIFS(Krankmeldungen!$AF$6:$AF$1005,Krankmeldungen!$A$6:$A$1005,$A200))</f>
        <v/>
      </c>
      <c r="L200" s="58">
        <f>IF($B200="","",SUMIFS(Krankmeldungen!$AG$6:$AG$1005,Krankmeldungen!$A$6:$A$1005,$A200))</f>
        <v/>
      </c>
      <c r="M200" s="58">
        <f>IF($B200="","",SUMIFS(Krankmeldungen!$AH$6:$AH$1005,Krankmeldungen!$A$6:$A$1005,$A200))</f>
        <v/>
      </c>
      <c r="N200" s="58">
        <f>IF($B200="","",SUMIFS(Krankmeldungen!$AI$6:$AI$1005,Krankmeldungen!$A$6:$A$1005,$A200))</f>
        <v/>
      </c>
      <c r="O200" s="65">
        <f>IF($B200="","",SUM(C200:N200))</f>
        <v/>
      </c>
      <c r="P200" s="57">
        <f>'KQuote Mitarbeiter'!D200</f>
        <v/>
      </c>
      <c r="Q200" s="67">
        <f>'KQuote Mitarbeiter'!J200</f>
        <v/>
      </c>
    </row>
    <row r="201">
      <c r="A201" s="61">
        <f>'KQuote Mitarbeiter'!A201</f>
        <v/>
      </c>
      <c r="B201" s="62">
        <f>'KQuote Mitarbeiter'!B201</f>
        <v/>
      </c>
      <c r="C201" s="58">
        <f>IF($B201="","",SUMIFS(Krankmeldungen!$X$6:$X$1005,Krankmeldungen!$A$6:$A$1005,$A201))</f>
        <v/>
      </c>
      <c r="D201" s="58">
        <f>IF($B201="","",SUMIFS(Krankmeldungen!$Y$6:$Y$1005,Krankmeldungen!$A$6:$A$1005,$A201))</f>
        <v/>
      </c>
      <c r="E201" s="58">
        <f>IF($B201="","",SUMIFS(Krankmeldungen!$Z$6:$Z$1005,Krankmeldungen!$A$6:$A$1005,$A201))</f>
        <v/>
      </c>
      <c r="F201" s="58">
        <f>IF($B201="","",SUMIFS(Krankmeldungen!$AA$6:$AA$1005,Krankmeldungen!$A$6:$A$1005,$A201))</f>
        <v/>
      </c>
      <c r="G201" s="58">
        <f>IF($B201="","",SUMIFS(Krankmeldungen!$AB$6:$AB$1005,Krankmeldungen!$A$6:$A$1005,$A201))</f>
        <v/>
      </c>
      <c r="H201" s="58">
        <f>IF($B201="","",SUMIFS(Krankmeldungen!$AC$6:$AC$1005,Krankmeldungen!$A$6:$A$1005,$A201))</f>
        <v/>
      </c>
      <c r="I201" s="58">
        <f>IF($B201="","",SUMIFS(Krankmeldungen!$AD$6:$AD$1005,Krankmeldungen!$A$6:$A$1005,$A201))</f>
        <v/>
      </c>
      <c r="J201" s="58">
        <f>IF($B201="","",SUMIFS(Krankmeldungen!$AE$6:$AE$1005,Krankmeldungen!$A$6:$A$1005,$A201))</f>
        <v/>
      </c>
      <c r="K201" s="58">
        <f>IF($B201="","",SUMIFS(Krankmeldungen!$AF$6:$AF$1005,Krankmeldungen!$A$6:$A$1005,$A201))</f>
        <v/>
      </c>
      <c r="L201" s="58">
        <f>IF($B201="","",SUMIFS(Krankmeldungen!$AG$6:$AG$1005,Krankmeldungen!$A$6:$A$1005,$A201))</f>
        <v/>
      </c>
      <c r="M201" s="58">
        <f>IF($B201="","",SUMIFS(Krankmeldungen!$AH$6:$AH$1005,Krankmeldungen!$A$6:$A$1005,$A201))</f>
        <v/>
      </c>
      <c r="N201" s="58">
        <f>IF($B201="","",SUMIFS(Krankmeldungen!$AI$6:$AI$1005,Krankmeldungen!$A$6:$A$1005,$A201))</f>
        <v/>
      </c>
      <c r="O201" s="65">
        <f>IF($B201="","",SUM(C201:N201))</f>
        <v/>
      </c>
      <c r="P201" s="57">
        <f>'KQuote Mitarbeiter'!D201</f>
        <v/>
      </c>
      <c r="Q201" s="67">
        <f>'KQuote Mitarbeiter'!J201</f>
        <v/>
      </c>
    </row>
    <row r="202">
      <c r="A202" s="61">
        <f>'KQuote Mitarbeiter'!A202</f>
        <v/>
      </c>
      <c r="B202" s="62">
        <f>'KQuote Mitarbeiter'!B202</f>
        <v/>
      </c>
      <c r="C202" s="58">
        <f>IF($B202="","",SUMIFS(Krankmeldungen!$X$6:$X$1005,Krankmeldungen!$A$6:$A$1005,$A202))</f>
        <v/>
      </c>
      <c r="D202" s="58">
        <f>IF($B202="","",SUMIFS(Krankmeldungen!$Y$6:$Y$1005,Krankmeldungen!$A$6:$A$1005,$A202))</f>
        <v/>
      </c>
      <c r="E202" s="58">
        <f>IF($B202="","",SUMIFS(Krankmeldungen!$Z$6:$Z$1005,Krankmeldungen!$A$6:$A$1005,$A202))</f>
        <v/>
      </c>
      <c r="F202" s="58">
        <f>IF($B202="","",SUMIFS(Krankmeldungen!$AA$6:$AA$1005,Krankmeldungen!$A$6:$A$1005,$A202))</f>
        <v/>
      </c>
      <c r="G202" s="58">
        <f>IF($B202="","",SUMIFS(Krankmeldungen!$AB$6:$AB$1005,Krankmeldungen!$A$6:$A$1005,$A202))</f>
        <v/>
      </c>
      <c r="H202" s="58">
        <f>IF($B202="","",SUMIFS(Krankmeldungen!$AC$6:$AC$1005,Krankmeldungen!$A$6:$A$1005,$A202))</f>
        <v/>
      </c>
      <c r="I202" s="58">
        <f>IF($B202="","",SUMIFS(Krankmeldungen!$AD$6:$AD$1005,Krankmeldungen!$A$6:$A$1005,$A202))</f>
        <v/>
      </c>
      <c r="J202" s="58">
        <f>IF($B202="","",SUMIFS(Krankmeldungen!$AE$6:$AE$1005,Krankmeldungen!$A$6:$A$1005,$A202))</f>
        <v/>
      </c>
      <c r="K202" s="58">
        <f>IF($B202="","",SUMIFS(Krankmeldungen!$AF$6:$AF$1005,Krankmeldungen!$A$6:$A$1005,$A202))</f>
        <v/>
      </c>
      <c r="L202" s="58">
        <f>IF($B202="","",SUMIFS(Krankmeldungen!$AG$6:$AG$1005,Krankmeldungen!$A$6:$A$1005,$A202))</f>
        <v/>
      </c>
      <c r="M202" s="58">
        <f>IF($B202="","",SUMIFS(Krankmeldungen!$AH$6:$AH$1005,Krankmeldungen!$A$6:$A$1005,$A202))</f>
        <v/>
      </c>
      <c r="N202" s="58">
        <f>IF($B202="","",SUMIFS(Krankmeldungen!$AI$6:$AI$1005,Krankmeldungen!$A$6:$A$1005,$A202))</f>
        <v/>
      </c>
      <c r="O202" s="65">
        <f>IF($B202="","",SUM(C202:N202))</f>
        <v/>
      </c>
      <c r="P202" s="57">
        <f>'KQuote Mitarbeiter'!D202</f>
        <v/>
      </c>
      <c r="Q202" s="67">
        <f>'KQuote Mitarbeiter'!J202</f>
        <v/>
      </c>
    </row>
    <row r="203">
      <c r="A203" s="61">
        <f>'KQuote Mitarbeiter'!A203</f>
        <v/>
      </c>
      <c r="B203" s="62">
        <f>'KQuote Mitarbeiter'!B203</f>
        <v/>
      </c>
      <c r="C203" s="58">
        <f>IF($B203="","",SUMIFS(Krankmeldungen!$X$6:$X$1005,Krankmeldungen!$A$6:$A$1005,$A203))</f>
        <v/>
      </c>
      <c r="D203" s="58">
        <f>IF($B203="","",SUMIFS(Krankmeldungen!$Y$6:$Y$1005,Krankmeldungen!$A$6:$A$1005,$A203))</f>
        <v/>
      </c>
      <c r="E203" s="58">
        <f>IF($B203="","",SUMIFS(Krankmeldungen!$Z$6:$Z$1005,Krankmeldungen!$A$6:$A$1005,$A203))</f>
        <v/>
      </c>
      <c r="F203" s="58">
        <f>IF($B203="","",SUMIFS(Krankmeldungen!$AA$6:$AA$1005,Krankmeldungen!$A$6:$A$1005,$A203))</f>
        <v/>
      </c>
      <c r="G203" s="58">
        <f>IF($B203="","",SUMIFS(Krankmeldungen!$AB$6:$AB$1005,Krankmeldungen!$A$6:$A$1005,$A203))</f>
        <v/>
      </c>
      <c r="H203" s="58">
        <f>IF($B203="","",SUMIFS(Krankmeldungen!$AC$6:$AC$1005,Krankmeldungen!$A$6:$A$1005,$A203))</f>
        <v/>
      </c>
      <c r="I203" s="58">
        <f>IF($B203="","",SUMIFS(Krankmeldungen!$AD$6:$AD$1005,Krankmeldungen!$A$6:$A$1005,$A203))</f>
        <v/>
      </c>
      <c r="J203" s="58">
        <f>IF($B203="","",SUMIFS(Krankmeldungen!$AE$6:$AE$1005,Krankmeldungen!$A$6:$A$1005,$A203))</f>
        <v/>
      </c>
      <c r="K203" s="58">
        <f>IF($B203="","",SUMIFS(Krankmeldungen!$AF$6:$AF$1005,Krankmeldungen!$A$6:$A$1005,$A203))</f>
        <v/>
      </c>
      <c r="L203" s="58">
        <f>IF($B203="","",SUMIFS(Krankmeldungen!$AG$6:$AG$1005,Krankmeldungen!$A$6:$A$1005,$A203))</f>
        <v/>
      </c>
      <c r="M203" s="58">
        <f>IF($B203="","",SUMIFS(Krankmeldungen!$AH$6:$AH$1005,Krankmeldungen!$A$6:$A$1005,$A203))</f>
        <v/>
      </c>
      <c r="N203" s="58">
        <f>IF($B203="","",SUMIFS(Krankmeldungen!$AI$6:$AI$1005,Krankmeldungen!$A$6:$A$1005,$A203))</f>
        <v/>
      </c>
      <c r="O203" s="65">
        <f>IF($B203="","",SUM(C203:N203))</f>
        <v/>
      </c>
      <c r="P203" s="57">
        <f>'KQuote Mitarbeiter'!D203</f>
        <v/>
      </c>
      <c r="Q203" s="67">
        <f>'KQuote Mitarbeiter'!J203</f>
        <v/>
      </c>
    </row>
    <row r="204">
      <c r="A204" s="61">
        <f>'KQuote Mitarbeiter'!A204</f>
        <v/>
      </c>
      <c r="B204" s="62">
        <f>'KQuote Mitarbeiter'!B204</f>
        <v/>
      </c>
      <c r="C204" s="58">
        <f>IF($B204="","",SUMIFS(Krankmeldungen!$X$6:$X$1005,Krankmeldungen!$A$6:$A$1005,$A204))</f>
        <v/>
      </c>
      <c r="D204" s="58">
        <f>IF($B204="","",SUMIFS(Krankmeldungen!$Y$6:$Y$1005,Krankmeldungen!$A$6:$A$1005,$A204))</f>
        <v/>
      </c>
      <c r="E204" s="58">
        <f>IF($B204="","",SUMIFS(Krankmeldungen!$Z$6:$Z$1005,Krankmeldungen!$A$6:$A$1005,$A204))</f>
        <v/>
      </c>
      <c r="F204" s="58">
        <f>IF($B204="","",SUMIFS(Krankmeldungen!$AA$6:$AA$1005,Krankmeldungen!$A$6:$A$1005,$A204))</f>
        <v/>
      </c>
      <c r="G204" s="58">
        <f>IF($B204="","",SUMIFS(Krankmeldungen!$AB$6:$AB$1005,Krankmeldungen!$A$6:$A$1005,$A204))</f>
        <v/>
      </c>
      <c r="H204" s="58">
        <f>IF($B204="","",SUMIFS(Krankmeldungen!$AC$6:$AC$1005,Krankmeldungen!$A$6:$A$1005,$A204))</f>
        <v/>
      </c>
      <c r="I204" s="58">
        <f>IF($B204="","",SUMIFS(Krankmeldungen!$AD$6:$AD$1005,Krankmeldungen!$A$6:$A$1005,$A204))</f>
        <v/>
      </c>
      <c r="J204" s="58">
        <f>IF($B204="","",SUMIFS(Krankmeldungen!$AE$6:$AE$1005,Krankmeldungen!$A$6:$A$1005,$A204))</f>
        <v/>
      </c>
      <c r="K204" s="58">
        <f>IF($B204="","",SUMIFS(Krankmeldungen!$AF$6:$AF$1005,Krankmeldungen!$A$6:$A$1005,$A204))</f>
        <v/>
      </c>
      <c r="L204" s="58">
        <f>IF($B204="","",SUMIFS(Krankmeldungen!$AG$6:$AG$1005,Krankmeldungen!$A$6:$A$1005,$A204))</f>
        <v/>
      </c>
      <c r="M204" s="58">
        <f>IF($B204="","",SUMIFS(Krankmeldungen!$AH$6:$AH$1005,Krankmeldungen!$A$6:$A$1005,$A204))</f>
        <v/>
      </c>
      <c r="N204" s="58">
        <f>IF($B204="","",SUMIFS(Krankmeldungen!$AI$6:$AI$1005,Krankmeldungen!$A$6:$A$1005,$A204))</f>
        <v/>
      </c>
      <c r="O204" s="65">
        <f>IF($B204="","",SUM(C204:N204))</f>
        <v/>
      </c>
      <c r="P204" s="57">
        <f>'KQuote Mitarbeiter'!D204</f>
        <v/>
      </c>
      <c r="Q204" s="67">
        <f>'KQuote Mitarbeiter'!J204</f>
        <v/>
      </c>
    </row>
    <row r="205">
      <c r="A205" s="61">
        <f>'KQuote Mitarbeiter'!A205</f>
        <v/>
      </c>
      <c r="B205" s="62">
        <f>'KQuote Mitarbeiter'!B205</f>
        <v/>
      </c>
      <c r="C205" s="58">
        <f>IF($B205="","",SUMIFS(Krankmeldungen!$X$6:$X$1005,Krankmeldungen!$A$6:$A$1005,$A205))</f>
        <v/>
      </c>
      <c r="D205" s="58">
        <f>IF($B205="","",SUMIFS(Krankmeldungen!$Y$6:$Y$1005,Krankmeldungen!$A$6:$A$1005,$A205))</f>
        <v/>
      </c>
      <c r="E205" s="58">
        <f>IF($B205="","",SUMIFS(Krankmeldungen!$Z$6:$Z$1005,Krankmeldungen!$A$6:$A$1005,$A205))</f>
        <v/>
      </c>
      <c r="F205" s="58">
        <f>IF($B205="","",SUMIFS(Krankmeldungen!$AA$6:$AA$1005,Krankmeldungen!$A$6:$A$1005,$A205))</f>
        <v/>
      </c>
      <c r="G205" s="58">
        <f>IF($B205="","",SUMIFS(Krankmeldungen!$AB$6:$AB$1005,Krankmeldungen!$A$6:$A$1005,$A205))</f>
        <v/>
      </c>
      <c r="H205" s="58">
        <f>IF($B205="","",SUMIFS(Krankmeldungen!$AC$6:$AC$1005,Krankmeldungen!$A$6:$A$1005,$A205))</f>
        <v/>
      </c>
      <c r="I205" s="58">
        <f>IF($B205="","",SUMIFS(Krankmeldungen!$AD$6:$AD$1005,Krankmeldungen!$A$6:$A$1005,$A205))</f>
        <v/>
      </c>
      <c r="J205" s="58">
        <f>IF($B205="","",SUMIFS(Krankmeldungen!$AE$6:$AE$1005,Krankmeldungen!$A$6:$A$1005,$A205))</f>
        <v/>
      </c>
      <c r="K205" s="58">
        <f>IF($B205="","",SUMIFS(Krankmeldungen!$AF$6:$AF$1005,Krankmeldungen!$A$6:$A$1005,$A205))</f>
        <v/>
      </c>
      <c r="L205" s="58">
        <f>IF($B205="","",SUMIFS(Krankmeldungen!$AG$6:$AG$1005,Krankmeldungen!$A$6:$A$1005,$A205))</f>
        <v/>
      </c>
      <c r="M205" s="58">
        <f>IF($B205="","",SUMIFS(Krankmeldungen!$AH$6:$AH$1005,Krankmeldungen!$A$6:$A$1005,$A205))</f>
        <v/>
      </c>
      <c r="N205" s="58">
        <f>IF($B205="","",SUMIFS(Krankmeldungen!$AI$6:$AI$1005,Krankmeldungen!$A$6:$A$1005,$A205))</f>
        <v/>
      </c>
      <c r="O205" s="65">
        <f>IF($B205="","",SUM(C205:N205))</f>
        <v/>
      </c>
      <c r="P205" s="57">
        <f>'KQuote Mitarbeiter'!D205</f>
        <v/>
      </c>
      <c r="Q205" s="67">
        <f>'KQuote Mitarbeiter'!J205</f>
        <v/>
      </c>
    </row>
    <row r="206">
      <c r="A206" s="42" t="n"/>
      <c r="B206" s="42" t="inlineStr">
        <is>
          <t>Summe</t>
        </is>
      </c>
      <c r="C206" s="43">
        <f>SUM(C6:C205)</f>
        <v/>
      </c>
      <c r="D206" s="43">
        <f>SUM(D6:D205)</f>
        <v/>
      </c>
      <c r="E206" s="43">
        <f>SUM(E6:E205)</f>
        <v/>
      </c>
      <c r="F206" s="43">
        <f>SUM(F6:F205)</f>
        <v/>
      </c>
      <c r="G206" s="43">
        <f>SUM(G6:G205)</f>
        <v/>
      </c>
      <c r="H206" s="43">
        <f>SUM(H6:H205)</f>
        <v/>
      </c>
      <c r="I206" s="43">
        <f>SUM(I6:I205)</f>
        <v/>
      </c>
      <c r="J206" s="43">
        <f>SUM(J6:J205)</f>
        <v/>
      </c>
      <c r="K206" s="43">
        <f>SUM(K6:K205)</f>
        <v/>
      </c>
      <c r="L206" s="43">
        <f>SUM(L6:L205)</f>
        <v/>
      </c>
      <c r="M206" s="43">
        <f>SUM(M6:M205)</f>
        <v/>
      </c>
      <c r="N206" s="43">
        <f>SUM(N6:N205)</f>
        <v/>
      </c>
      <c r="O206" s="43">
        <f>SUM(O6:O205)</f>
        <v/>
      </c>
      <c r="P206" s="43">
        <f>SUM(P6:P205)</f>
        <v/>
      </c>
      <c r="Q206" s="72">
        <f>IF(P206&gt;0,O206/P206,0)</f>
        <v/>
      </c>
    </row>
  </sheetData>
  <mergeCells count="1">
    <mergeCell ref="A2:R2"/>
  </mergeCells>
  <hyperlinks>
    <hyperlink xmlns:r="http://schemas.openxmlformats.org/officeDocument/2006/relationships" ref="N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2026-10-03T10:26:32Z</dcterms:created>
  <dcterms:modified xsi:type="dcterms:W3CDTF">2026-10-03T10:26:33Z</dcterms:modified>
</cp:coreProperties>
</file>