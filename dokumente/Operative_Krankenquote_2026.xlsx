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rklärung" sheetId="1" state="visible" r:id="rId1"/>
    <sheet name="Krankenquote Objekte" sheetId="2" state="visible" r:id="rId2"/>
    <sheet name="KQuote Mitarbeiter" sheetId="3" state="visible" r:id="rId3"/>
    <sheet name="Auswertung Objekte" sheetId="4" state="visible" r:id="rId4"/>
    <sheet name="Stundenauswertun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-#,##0;&quot;-&quot;"/>
    <numFmt numFmtId="165" formatCode="#,##0.0;-#,##0.0;&quot;-&quot;"/>
    <numFmt numFmtId="166" formatCode="0.0%;-0.0%;&quot;-&quot;"/>
    <numFmt numFmtId="167" formatCode="+0.0%;-0.0%;&quot;±0,0%&quot;"/>
    <numFmt numFmtId="168" formatCode="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0000FF"/>
      <sz val="11"/>
    </font>
    <font>
      <name val="Arial"/>
      <sz val="10"/>
    </font>
    <font>
      <name val="Arial"/>
      <color rgb="00008000"/>
      <sz val="10"/>
    </font>
    <font>
      <name val="Arial"/>
      <b val="1"/>
      <color rgb="00008000"/>
      <sz val="11"/>
    </font>
    <font>
      <name val="Arial"/>
      <b val="1"/>
      <color rgb="00FFFFFF"/>
      <sz val="11"/>
    </font>
    <font>
      <name val="Arial"/>
      <b val="1"/>
      <color rgb="00006100"/>
    </font>
    <font>
      <name val="Arial"/>
      <b val="1"/>
      <color rgb="009C5700"/>
    </font>
    <font>
      <name val="Arial"/>
      <b val="1"/>
      <color rgb="009C0006"/>
    </font>
    <font>
      <name val="Arial"/>
      <color rgb="000563C1"/>
      <sz val="10"/>
      <u val="single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2F5597"/>
      </patternFill>
    </fill>
    <fill>
      <patternFill patternType="solid">
        <fgColor rgb="00C55A11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10" fillId="2" borderId="1" pivotButton="0" quotePrefix="0" xfId="0"/>
    <xf numFmtId="0" fontId="4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 wrapText="1"/>
    </xf>
    <xf numFmtId="0" fontId="7" fillId="0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center" vertical="center" wrapText="1"/>
    </xf>
    <xf numFmtId="0" fontId="13" fillId="11" borderId="1" applyAlignment="1" pivotButton="0" quotePrefix="0" xfId="0">
      <alignment horizontal="center" vertical="center" wrapText="1"/>
    </xf>
    <xf numFmtId="0" fontId="14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right"/>
    </xf>
    <xf numFmtId="164" fontId="5" fillId="3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6" fillId="3" borderId="1" pivotButton="0" quotePrefix="0" xfId="0"/>
    <xf numFmtId="0" fontId="7" fillId="4" borderId="1" pivotButton="0" quotePrefix="0" xfId="0"/>
    <xf numFmtId="1" fontId="5" fillId="0" borderId="1" applyAlignment="1" pivotButton="0" quotePrefix="0" xfId="0">
      <alignment horizontal="center" vertical="center" wrapText="1"/>
    </xf>
    <xf numFmtId="0" fontId="5" fillId="0" borderId="1" pivotButton="0" quotePrefix="0" xfId="0"/>
    <xf numFmtId="9" fontId="5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4" fillId="5" borderId="1" pivotButton="0" quotePrefix="0" xfId="0"/>
    <xf numFmtId="0" fontId="4" fillId="5" borderId="1" applyAlignment="1" pivotButton="0" quotePrefix="0" xfId="0">
      <alignment horizontal="center" vertical="center" wrapText="1"/>
    </xf>
    <xf numFmtId="2" fontId="4" fillId="5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center" vertical="center" wrapText="1"/>
    </xf>
    <xf numFmtId="166" fontId="4" fillId="5" borderId="1" applyAlignment="1" pivotButton="0" quotePrefix="0" xfId="0">
      <alignment horizontal="center" vertical="center" wrapText="1"/>
    </xf>
    <xf numFmtId="0" fontId="7" fillId="5" borderId="1" pivotButton="0" quotePrefix="0" xfId="0"/>
    <xf numFmtId="0" fontId="4" fillId="6" borderId="1" pivotButton="0" quotePrefix="0" xfId="0"/>
    <xf numFmtId="0" fontId="7" fillId="6" borderId="1" pivotButton="0" quotePrefix="0" xfId="0"/>
    <xf numFmtId="0" fontId="3" fillId="2" borderId="1" pivotButton="0" quotePrefix="0" xfId="0"/>
    <xf numFmtId="2" fontId="3" fillId="2" borderId="1" applyAlignment="1" pivotButton="0" quotePrefix="0" xfId="0">
      <alignment horizontal="center" vertical="center" wrapText="1"/>
    </xf>
    <xf numFmtId="165" fontId="3" fillId="2" borderId="1" applyAlignment="1" pivotButton="0" quotePrefix="0" xfId="0">
      <alignment horizontal="center" vertical="center" wrapText="1"/>
    </xf>
    <xf numFmtId="164" fontId="3" fillId="2" borderId="1" applyAlignment="1" pivotButton="0" quotePrefix="0" xfId="0">
      <alignment horizontal="center" vertical="center" wrapText="1"/>
    </xf>
    <xf numFmtId="166" fontId="3" fillId="2" borderId="1" applyAlignment="1" pivotButton="0" quotePrefix="0" xfId="0">
      <alignment horizontal="center" vertical="center" wrapText="1"/>
    </xf>
    <xf numFmtId="1" fontId="8" fillId="0" borderId="1" applyAlignment="1" pivotButton="0" quotePrefix="0" xfId="0">
      <alignment horizontal="center" vertical="center" wrapText="1"/>
    </xf>
    <xf numFmtId="0" fontId="8" fillId="0" borderId="1" pivotButton="0" quotePrefix="0" xfId="0"/>
    <xf numFmtId="165" fontId="8" fillId="0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 wrapText="1"/>
    </xf>
    <xf numFmtId="1" fontId="7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2" fillId="0" borderId="1" pivotButton="0" quotePrefix="0" xfId="0"/>
    <xf numFmtId="165" fontId="4" fillId="0" borderId="1" applyAlignment="1" pivotButton="0" quotePrefix="0" xfId="0">
      <alignment horizontal="center" vertical="center" wrapText="1"/>
    </xf>
    <xf numFmtId="0" fontId="8" fillId="4" borderId="1" pivotButton="0" quotePrefix="0" xfId="0"/>
    <xf numFmtId="166" fontId="7" fillId="0" borderId="1" applyAlignment="1" pivotButton="0" quotePrefix="0" xfId="0">
      <alignment horizontal="center" vertical="center" wrapText="1"/>
    </xf>
    <xf numFmtId="167" fontId="7" fillId="0" borderId="1" applyAlignment="1" pivotButton="0" quotePrefix="0" xfId="0">
      <alignment horizontal="center" vertical="center" wrapText="1"/>
    </xf>
    <xf numFmtId="0" fontId="8" fillId="6" borderId="1" pivotButton="0" quotePrefix="0" xfId="0"/>
    <xf numFmtId="0" fontId="4" fillId="0" borderId="0" pivotButton="0" quotePrefix="0" xfId="0"/>
    <xf numFmtId="166" fontId="8" fillId="0" borderId="1" applyAlignment="1" pivotButton="0" quotePrefix="0" xfId="0">
      <alignment horizontal="center" vertical="center" wrapText="1"/>
    </xf>
    <xf numFmtId="0" fontId="4" fillId="0" borderId="1" pivotButton="0" quotePrefix="0" xfId="0"/>
    <xf numFmtId="168" fontId="5" fillId="3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9" fillId="4" borderId="1" pivotButton="0" quotePrefix="0" xfId="0"/>
    <xf numFmtId="2" fontId="5" fillId="3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wrapText="1"/>
    </xf>
    <xf numFmtId="0" fontId="9" fillId="6" borderId="1" pivotButton="0" quotePrefix="0" xfId="0"/>
    <xf numFmtId="2" fontId="7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Krankenquote je Mitarbeiter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'KQuote Mitarbeiter'!F3</f>
            </strRef>
          </tx>
          <spPr>
            <a:solidFill>
              <a:srgbClr val="1F3864"/>
            </a:solidFill>
            <a:ln>
              <a:prstDash val="solid"/>
            </a:ln>
          </spPr>
          <cat>
            <numRef>
              <f>'KQuote Mitarbeiter'!$B$4:$B$103</f>
            </numRef>
          </cat>
          <val>
            <numRef>
              <f>'KQuote Mitarbeiter'!$F$4:$F$103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Quote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Verteilung Bewertung</a:t>
            </a:r>
          </a:p>
        </rich>
      </tx>
    </title>
    <plotArea>
      <pieChart>
        <varyColors val="1"/>
        <ser>
          <idx val="0"/>
          <order val="0"/>
          <tx>
            <strRef>
              <f>'KQuote Mitarbeiter'!K24</f>
            </strRef>
          </tx>
          <spPr>
            <a:ln>
              <a:prstDash val="solid"/>
            </a:ln>
          </spPr>
          <dPt>
            <idx val="0"/>
            <spPr>
              <a:solidFill>
                <a:srgbClr val="70AD47"/>
              </a:solidFill>
              <a:ln>
                <a:prstDash val="solid"/>
              </a:ln>
            </spPr>
          </dPt>
          <dPt>
            <idx val="1"/>
            <spPr>
              <a:solidFill>
                <a:srgbClr val="FFC000"/>
              </a:solidFill>
              <a:ln>
                <a:prstDash val="solid"/>
              </a:ln>
            </spPr>
          </dPt>
          <dPt>
            <idx val="2"/>
            <spPr>
              <a:solidFill>
                <a:srgbClr val="C00000"/>
              </a:solidFill>
              <a:ln>
                <a:prstDash val="solid"/>
              </a:ln>
            </spPr>
          </dPt>
          <cat>
            <numRef>
              <f>'KQuote Mitarbeiter'!$J$25:$J$27</f>
            </numRef>
          </cat>
          <val>
            <numRef>
              <f>'KQuote Mitarbeiter'!$K$25:$K$27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Anteil Krankheitstage je Objekt</a:t>
            </a:r>
          </a:p>
        </rich>
      </tx>
    </title>
    <plotArea>
      <pieChart>
        <varyColors val="1"/>
        <ser>
          <idx val="0"/>
          <order val="0"/>
          <tx>
            <strRef>
              <f>'Auswertung Objekte'!D3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F3864"/>
              </a:solidFill>
              <a:ln>
                <a:prstDash val="solid"/>
              </a:ln>
            </spPr>
          </dPt>
          <dPt>
            <idx val="1"/>
            <spPr>
              <a:solidFill>
                <a:srgbClr val="70AD47"/>
              </a:solidFill>
              <a:ln>
                <a:prstDash val="solid"/>
              </a:ln>
            </spPr>
          </dPt>
          <cat>
            <numRef>
              <f>'Auswertung Objekte'!$A$4:$A$5</f>
            </numRef>
          </cat>
          <val>
            <numRef>
              <f>'Auswertung Objekte'!$D$4:$D$5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Verteilung Mitarbeiter je Objekt</a:t>
            </a:r>
          </a:p>
        </rich>
      </tx>
    </title>
    <plotArea>
      <pieChart>
        <varyColors val="1"/>
        <ser>
          <idx val="0"/>
          <order val="0"/>
          <tx>
            <strRef>
              <f>'Auswertung Objekte'!B3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F3864"/>
              </a:solidFill>
              <a:ln>
                <a:prstDash val="solid"/>
              </a:ln>
            </spPr>
          </dPt>
          <dPt>
            <idx val="1"/>
            <spPr>
              <a:solidFill>
                <a:srgbClr val="70AD47"/>
              </a:solidFill>
              <a:ln>
                <a:prstDash val="solid"/>
              </a:ln>
            </spPr>
          </dPt>
          <cat>
            <numRef>
              <f>'Auswertung Objekte'!$A$4:$A$5</f>
            </numRef>
          </cat>
          <val>
            <numRef>
              <f>'Auswertung Objekte'!$B$4:$B$5</f>
            </numRef>
          </val>
        </ser>
        <dLbls>
          <showVal val="1"/>
          <showCatName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Monatsquote je Objekt</a:t>
            </a:r>
          </a:p>
        </rich>
      </tx>
    </title>
    <plotArea>
      <lineChart>
        <grouping val="standard"/>
        <ser>
          <idx val="0"/>
          <order val="0"/>
          <tx>
            <strRef>
              <f>'Auswertung Objekte'!B10</f>
            </strRef>
          </tx>
          <spPr>
            <a:ln w="22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'Auswertung Objekte'!$A$11:$A$22</f>
            </numRef>
          </cat>
          <val>
            <numRef>
              <f>'Auswertung Objekte'!$B$11:$B$22</f>
            </numRef>
          </val>
        </ser>
        <ser>
          <idx val="1"/>
          <order val="1"/>
          <tx>
            <strRef>
              <f>'Auswertung Objekte'!C10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'Auswertung Objekte'!$A$11:$A$22</f>
            </numRef>
          </cat>
          <val>
            <numRef>
              <f>'Auswertung Objekte'!$C$11:$C$22</f>
            </numRef>
          </val>
        </ser>
        <ser>
          <idx val="2"/>
          <order val="2"/>
          <tx>
            <strRef>
              <f>'Auswertung Objekte'!D10</f>
            </strRef>
          </tx>
          <spPr>
            <a:ln w="22000">
              <a:solidFill>
                <a:srgbClr val="A5A5A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'Auswertung Objekte'!$A$11:$A$22</f>
            </numRef>
          </cat>
          <val>
            <numRef>
              <f>'Auswertung Objekte'!$D$11:$D$22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Quote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Anteil Krankheitsstunden je Objekt</a:t>
            </a:r>
          </a:p>
        </rich>
      </tx>
    </title>
    <plotArea>
      <pieChart>
        <varyColors val="1"/>
        <ser>
          <idx val="0"/>
          <order val="0"/>
          <tx>
            <strRef>
              <f>'Stundenauswertung'!C118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F3864"/>
              </a:solidFill>
              <a:ln>
                <a:prstDash val="solid"/>
              </a:ln>
            </spPr>
          </dPt>
          <dPt>
            <idx val="1"/>
            <spPr>
              <a:solidFill>
                <a:srgbClr val="70AD47"/>
              </a:solidFill>
              <a:ln>
                <a:prstDash val="solid"/>
              </a:ln>
            </spPr>
          </dPt>
          <cat>
            <numRef>
              <f>'Stundenauswertung'!$A$119:$A$120</f>
            </numRef>
          </cat>
          <val>
            <numRef>
              <f>'Stundenauswertung'!$C$119:$C$120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Geleistete Stunden je Objekt</a:t>
            </a:r>
          </a:p>
        </rich>
      </tx>
    </title>
    <plotArea>
      <pieChart>
        <varyColors val="1"/>
        <ser>
          <idx val="0"/>
          <order val="0"/>
          <tx>
            <strRef>
              <f>'Stundenauswertung'!B118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F3864"/>
              </a:solidFill>
              <a:ln>
                <a:prstDash val="solid"/>
              </a:ln>
            </spPr>
          </dPt>
          <dPt>
            <idx val="1"/>
            <spPr>
              <a:solidFill>
                <a:srgbClr val="70AD47"/>
              </a:solidFill>
              <a:ln>
                <a:prstDash val="solid"/>
              </a:ln>
            </spPr>
          </dPt>
          <cat>
            <numRef>
              <f>'Stundenauswertung'!$A$119:$A$120</f>
            </numRef>
          </cat>
          <val>
            <numRef>
              <f>'Stundenauswertung'!$B$119:$B$120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Krankstunden je Monat und Objekt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'Stundenauswertung'!C125</f>
            </strRef>
          </tx>
          <spPr>
            <a:solidFill>
              <a:srgbClr val="1F3864"/>
            </a:solidFill>
            <a:ln>
              <a:prstDash val="solid"/>
            </a:ln>
          </spPr>
          <cat>
            <numRef>
              <f>'Stundenauswertung'!$A$126:$A$137</f>
            </numRef>
          </cat>
          <val>
            <numRef>
              <f>'Stundenauswertung'!$C$126:$C$137</f>
            </numRef>
          </val>
        </ser>
        <ser>
          <idx val="1"/>
          <order val="1"/>
          <tx>
            <strRef>
              <f>'Stundenauswertung'!E125</f>
            </strRef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'Stundenauswertung'!$A$126:$A$137</f>
            </numRef>
          </cat>
          <val>
            <numRef>
              <f>'Stundenauswertung'!$E$126:$E$137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Stunden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Claude</author>
  </authors>
  <commentList>
    <comment ref="F4" authorId="0" shapeId="0">
      <text>
        <t>Arbeitstage 2026 (Mo–Fr abzgl. bundesweiter Feiertage) als Richtwert – bitte an Bundesland/Schichtmodell anpassen.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K4" authorId="0" shapeId="0">
      <text>
        <t>Schwellwerte frei wählbar (Richtwert: Bundesdurchschnitt liegt je nach Branche bei ca. 5–7 %).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C3" authorId="0" shapeId="0">
      <text>
        <t>Annahme 40 Std./Woche (5-Tage-Woche) – bitte an Tarif/Arbeitsvertrag anpassen. Wird nur zur Umrechnung Krankheitstage → Krankstunden genutzt.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Relationship Type="http://schemas.openxmlformats.org/officeDocument/2006/relationships/chart" Target="/xl/charts/chart8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760000" cy="86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29</row>
      <rowOff>0</rowOff>
    </from>
    <ext cx="36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43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21</row>
      <rowOff>0</rowOff>
    </from>
    <ext cx="43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24</row>
      <rowOff>0</rowOff>
    </from>
    <ext cx="576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116</row>
      <rowOff>0</rowOff>
    </from>
    <ext cx="43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19</col>
      <colOff>0</colOff>
      <row>116</row>
      <rowOff>0</rowOff>
    </from>
    <ext cx="43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123</row>
      <rowOff>0</rowOff>
    </from>
    <ext cx="576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Erkl&#228;rung'!A1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#'Erkl&#228;rung'!A1" TargetMode="External" Id="rId1" /><Relationship Type="http://schemas.openxmlformats.org/officeDocument/2006/relationships/drawing" Target="/xl/drawings/drawing1.xml" Id="rId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#'Erkl&#228;rung'!A1" TargetMode="External" Id="rId1" /><Relationship Type="http://schemas.openxmlformats.org/officeDocument/2006/relationships/drawing" Target="/xl/drawings/drawing2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#'Erkl&#228;rung'!A1" TargetMode="External" Id="rId1" /><Relationship Type="http://schemas.openxmlformats.org/officeDocument/2006/relationships/drawing" Target="/xl/drawings/drawing3.xml" Id="rId2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5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1">
      <c r="B1" s="1" t="inlineStr">
        <is>
          <t>Erklärung – Operative Krankenquote 2026</t>
        </is>
      </c>
    </row>
    <row r="4">
      <c r="B4" s="2" t="inlineStr">
        <is>
          <t>Zweck der Datei</t>
        </is>
      </c>
      <c r="C4" s="2" t="n"/>
    </row>
    <row r="5" ht="45" customHeight="1">
      <c r="B5" s="3" t="inlineStr">
        <is>
          <t>Wofür?</t>
        </is>
      </c>
      <c r="C5" s="4" t="inlineStr">
        <is>
          <t>Erfassung der Krankheitstage je Mitarbeiter und Monat für zwei Objekte. Daraus berechnet die Datei automatisch die Krankenquote je Mitarbeiter, je Objekt und gesamt – nach Tagen und nach Stunden – inkl. Diagrammen.</t>
        </is>
      </c>
    </row>
    <row r="7">
      <c r="B7" s="2" t="inlineStr">
        <is>
          <t>So wird die Datei bedient</t>
        </is>
      </c>
      <c r="C7" s="2" t="n"/>
    </row>
    <row r="8" ht="30" customHeight="1">
      <c r="B8" s="3" t="inlineStr">
        <is>
          <t>Eingabefelder</t>
        </is>
      </c>
      <c r="C8" s="4" t="inlineStr">
        <is>
          <t>Nur Zellen mit BLAUER Schrift bzw. GELBEM Hintergrund ausfüllen. Alle anderen Zellen sind Formeln und rechnen automatisch – bitte nicht überschreiben.</t>
        </is>
      </c>
    </row>
    <row r="9" ht="15" customHeight="1">
      <c r="B9" s="3" t="inlineStr">
        <is>
          <t>Grüne Schrift</t>
        </is>
      </c>
      <c r="C9" s="4" t="inlineStr">
        <is>
          <t>Wert wird aus einem anderen Tab übernommen (Verknüpfung).</t>
        </is>
      </c>
    </row>
    <row r="10" ht="15" customHeight="1">
      <c r="B10" s="3" t="inlineStr">
        <is>
          <t>Schritt 1</t>
        </is>
      </c>
      <c r="C10" s="4" t="inlineStr">
        <is>
          <t>Tab „Krankenquote Objekte“: Objektnamen in die gelben Felder neben „Objekt:“ eintragen.</t>
        </is>
      </c>
    </row>
    <row r="11" ht="15" customHeight="1">
      <c r="B11" s="3" t="inlineStr">
        <is>
          <t>Schritt 2</t>
        </is>
      </c>
      <c r="C11" s="4" t="inlineStr">
        <is>
          <t>Zeile 4: Arbeitstage je Monat prüfen und an Bundesland / Schichtmodell anpassen.</t>
        </is>
      </c>
    </row>
    <row r="12" ht="15" customHeight="1">
      <c r="B12" s="3" t="inlineStr">
        <is>
          <t>Schritt 3</t>
        </is>
      </c>
      <c r="C12" s="4" t="inlineStr">
        <is>
          <t>Je Mitarbeiter: Pers.-Nr., Name, Beschäftigungsgrad (100 % = Vollzeit, 50 % = halbe Stelle) eintragen.</t>
        </is>
      </c>
    </row>
    <row r="13" ht="15" customHeight="1">
      <c r="B13" s="3" t="inlineStr">
        <is>
          <t>Schritt 4</t>
        </is>
      </c>
      <c r="C13" s="4" t="inlineStr">
        <is>
          <t>Je Monat die Krankheitstage eintragen (nur ganze Zahlen 0–31; 0 = nicht krank).</t>
        </is>
      </c>
    </row>
    <row r="14" ht="30" customHeight="1">
      <c r="B14" s="3" t="inlineStr">
        <is>
          <t>Schritt 5</t>
        </is>
      </c>
      <c r="C14" s="4" t="inlineStr">
        <is>
          <t>Tab „Stundenauswertung“: geleistete Stunden je Monat eintragen und Vollzeit-Wochenstunden prüfen. Optional: Tab „KQuote Mitarbeiter“ – Schwellwerte der Ampel anpassen.</t>
        </is>
      </c>
    </row>
    <row r="15" ht="15" customHeight="1">
      <c r="B15" s="3" t="inlineStr">
        <is>
          <t>Beispieldaten</t>
        </is>
      </c>
      <c r="C15" s="4" t="inlineStr">
        <is>
          <t>Alle Namen und Zahlen sind Beispiele (Mitarbeiter 01–30) und können einfach überschrieben werden.</t>
        </is>
      </c>
    </row>
    <row r="17">
      <c r="B17" s="2" t="inlineStr">
        <is>
          <t>Die Tabs im Überblick</t>
        </is>
      </c>
      <c r="C17" s="2" t="n"/>
    </row>
    <row r="18" ht="30" customHeight="1">
      <c r="B18" s="3" t="inlineStr">
        <is>
          <t>Krankenquote Objekte</t>
        </is>
      </c>
      <c r="C18" s="4" t="inlineStr">
        <is>
          <t>Haupterfassung, sortiert nach Objekt (je Objekt ein Block mit 50 Zeilen, davon 15 mit Beispieldaten). Pro Block: Summenzeile und Monatsquote; ganz unten die Gesamtsumme beider Objekte.</t>
        </is>
      </c>
    </row>
    <row r="19" ht="45" customHeight="1">
      <c r="B19" s="3" t="inlineStr">
        <is>
          <t>KQuote Mitarbeiter</t>
        </is>
      </c>
      <c r="C19" s="4" t="inlineStr">
        <is>
          <t>Alle Mitarbeiter in einer Liste mit Quote, Rang (1 = höchste Quote) und Ampel-Bewertung. Rechts: Kennzahlen (Ø, Median, Max/Min, Anzahl je Ampelstufe), Balkendiagramm aller Quoten und Kuchendiagramm der Bewertungsverteilung.</t>
        </is>
      </c>
    </row>
    <row r="20" ht="45" customHeight="1">
      <c r="B20" s="3" t="inlineStr">
        <is>
          <t>Auswertung Objekte</t>
        </is>
      </c>
      <c r="C20" s="4" t="inlineStr">
        <is>
          <t>Vergleich der Objekte: Anzahl MA, Soll-Tage, Krankheitstage, Quote, Anteil an allen Krankheitstagen, Ø Tage je MA, kritische MA und Abweichung zur Gesamtquote. Kuchendiagramme (Krankheitstage, Mitarbeiter je Objekt) und Liniendiagramm Monatsverlauf.</t>
        </is>
      </c>
    </row>
    <row r="21" ht="45" customHeight="1">
      <c r="B21" s="3" t="inlineStr">
        <is>
          <t>Stundenauswertung</t>
        </is>
      </c>
      <c r="C21" s="4" t="inlineStr">
        <is>
          <t>Geleistete Stunden je Mitarbeiter und Monat (Eingabe, z. B. aus der Zeiterfassung) und daraus berechnete Krankstunden. Stundenbasierte Quote, Ausfall in Vollzeit-Tagen und -Stellen; Kuchendiagramme Krankstunden und geleistete Stunden je Objekt, Säulendiagramm Krankstunden je Monat.</t>
        </is>
      </c>
    </row>
    <row r="23">
      <c r="B23" s="2" t="inlineStr">
        <is>
          <t>Formeln &amp; Begriffe</t>
        </is>
      </c>
      <c r="C23" s="2" t="n"/>
    </row>
    <row r="24" ht="15" customHeight="1">
      <c r="B24" s="3" t="inlineStr">
        <is>
          <t>Soll-Arbeitstage</t>
        </is>
      </c>
      <c r="C24" s="4" t="inlineStr">
        <is>
          <t>Summe Arbeitstage des Jahres (Zeile 4) × Beschäftigungsgrad.</t>
        </is>
      </c>
    </row>
    <row r="25" ht="15" customHeight="1">
      <c r="B25" s="3" t="inlineStr">
        <is>
          <t>Krankenquote (Tage)</t>
        </is>
      </c>
      <c r="C25" s="4" t="inlineStr">
        <is>
          <t>Krankheitstage ÷ Soll-Arbeitstage. Beispiel: 11 Krankheitstage ÷ 250 Soll-Tage = 4,4 %.</t>
        </is>
      </c>
    </row>
    <row r="26" ht="15" customHeight="1">
      <c r="B26" s="3" t="inlineStr">
        <is>
          <t>Monatsquote</t>
        </is>
      </c>
      <c r="C26" s="4" t="inlineStr">
        <is>
          <t>Krankheitstage des Monats ÷ (Arbeitstage des Monats × Summe Beschäftigungsgrade des Objekts).</t>
        </is>
      </c>
    </row>
    <row r="27" ht="15" customHeight="1">
      <c r="B27" s="3" t="inlineStr">
        <is>
          <t>Krank-Monate</t>
        </is>
      </c>
      <c r="C27" s="4" t="inlineStr">
        <is>
          <t>Anzahl Monate mit mindestens einem Krankheitstag – Hinweis auf häufige Kurzerkrankungen.</t>
        </is>
      </c>
    </row>
    <row r="28" ht="15" customHeight="1">
      <c r="B28" s="3" t="inlineStr">
        <is>
          <t>Rang</t>
        </is>
      </c>
      <c r="C28" s="4" t="inlineStr">
        <is>
          <t>Platzierung nach Quote, 1 = höchste Krankenquote.</t>
        </is>
      </c>
    </row>
    <row r="29" ht="30" customHeight="1">
      <c r="B29" s="3" t="inlineStr">
        <is>
          <t>Ampel-Bewertung</t>
        </is>
      </c>
      <c r="C29" s="4" t="inlineStr">
        <is>
          <t>unauffällig = Quote bis Schwellwert 1 (Standard 3 %); auffällig = bis Schwellwert 2 (Standard 6 %); kritisch = darüber.</t>
        </is>
      </c>
    </row>
    <row r="30" ht="30" customHeight="1">
      <c r="B30" s="3" t="inlineStr">
        <is>
          <t>Ø gewichtet / je MA</t>
        </is>
      </c>
      <c r="C30" s="4" t="inlineStr">
        <is>
          <t>Gewichtet = alle Krankheitstage ÷ alle Soll-Tage (aussagekräftiger). Je MA = einfacher Durchschnitt der Einzelquoten.</t>
        </is>
      </c>
    </row>
    <row r="31" ht="15" customHeight="1">
      <c r="B31" s="3" t="inlineStr">
        <is>
          <t>Std./Tag</t>
        </is>
      </c>
      <c r="C31" s="4" t="inlineStr">
        <is>
          <t>Vollzeit-Wochenstunden ÷ 5 × Beschäftigungsgrad (z. B. 40 ÷ 5 × 75 % = 6 Std.).</t>
        </is>
      </c>
    </row>
    <row r="32" ht="15" customHeight="1">
      <c r="B32" s="3" t="inlineStr">
        <is>
          <t>Krankstunden</t>
        </is>
      </c>
      <c r="C32" s="4" t="inlineStr">
        <is>
          <t>Krankheitstage × Std./Tag.</t>
        </is>
      </c>
    </row>
    <row r="33" ht="15" customHeight="1">
      <c r="B33" s="3" t="inlineStr">
        <is>
          <t>Geleistete Stunden</t>
        </is>
      </c>
      <c r="C33" s="4" t="inlineStr">
        <is>
          <t>Tatsächlich gearbeitete Stunden je Monat – Eingabe im Tab „Stundenauswertung“ (ohne Krankstunden).</t>
        </is>
      </c>
    </row>
    <row r="34" ht="30" customHeight="1">
      <c r="B34" s="3" t="inlineStr">
        <is>
          <t>Krankenquote (Std.)</t>
        </is>
      </c>
      <c r="C34" s="4" t="inlineStr">
        <is>
          <t>Krankstunden ÷ (geleistete Stunden + Krankstunden). Weicht von der Quote nach Tagen ab, weil Teilzeit-Krankheitstage nur mit ihren tatsächlichen Stunden zählen.</t>
        </is>
      </c>
    </row>
    <row r="35" ht="15" customHeight="1">
      <c r="B35" s="3" t="inlineStr">
        <is>
          <t>Ausfall VZ-Tage</t>
        </is>
      </c>
      <c r="C35" s="4" t="inlineStr">
        <is>
          <t>Krankstunden ÷ Tagesstunden einer Vollzeitkraft = verlorene Vollzeit-Arbeitstage.</t>
        </is>
      </c>
    </row>
    <row r="36" ht="30" customHeight="1">
      <c r="B36" s="3" t="inlineStr">
        <is>
          <t>Ausfall VZ-Stellen</t>
        </is>
      </c>
      <c r="C36" s="4" t="inlineStr">
        <is>
          <t>Krankstunden ÷ Jahres-Sollstunden einer Vollzeitkraft = wie viele Vollzeitstellen rechnerisch das ganze Jahr gefehlt haben.</t>
        </is>
      </c>
    </row>
    <row r="38">
      <c r="B38" s="2" t="inlineStr">
        <is>
          <t>Annahmen &amp; Hinweise</t>
        </is>
      </c>
      <c r="C38" s="2" t="n"/>
    </row>
    <row r="39" ht="15" customHeight="1">
      <c r="B39" s="3" t="inlineStr">
        <is>
          <t>Arbeitstage 2026</t>
        </is>
      </c>
      <c r="C39" s="4" t="inlineStr">
        <is>
          <t>Mo–Fr abzüglich bundesweiter Feiertage (Richtwert). Landesspezifische Feiertage sind nicht abgezogen.</t>
        </is>
      </c>
    </row>
    <row r="40" ht="15" customHeight="1">
      <c r="B40" s="3" t="inlineStr">
        <is>
          <t>Wochenstunden</t>
        </is>
      </c>
      <c r="C40" s="4" t="inlineStr">
        <is>
          <t>Standard 40 Std. bei 5-Tage-Woche – an Tarif/Arbeitsvertrag anpassen.</t>
        </is>
      </c>
    </row>
    <row r="41" ht="15" customHeight="1">
      <c r="B41" s="3" t="inlineStr">
        <is>
          <t>Schwellwerte</t>
        </is>
      </c>
      <c r="C41" s="4" t="inlineStr">
        <is>
          <t>3 % / 6 % sind frei gewählte Richtwerte, keine gesetzlichen Vorgaben.</t>
        </is>
      </c>
    </row>
    <row r="42" ht="45" customHeight="1">
      <c r="B42" s="3" t="inlineStr">
        <is>
          <t>Mehr Mitarbeiter?</t>
        </is>
      </c>
      <c r="C42" s="4" t="inlineStr">
        <is>
          <t>Je Objekt stehen 50 Zeilen bereit – leere Zeilen werden in allen Auswertungen ignoriert. Reicht das nicht: weitere Zeilen innerhalb eines Objekt-Blocks einfügen (oberhalb der Summenzeile); Formeln der Nachbarzeile nach unten kopieren und die Liste in „KQuote Mitarbeiter“ entsprechend ergänzen.</t>
        </is>
      </c>
    </row>
    <row r="43" ht="30" customHeight="1">
      <c r="B43" s="3" t="inlineStr">
        <is>
          <t>Datenschutz</t>
        </is>
      </c>
      <c r="C43" s="4" t="inlineStr">
        <is>
          <t>Gesundheitsdaten sind besonders schützenswert (Art. 9 DSGVO). Datei nur berechtigten Personen zugänglich machen, ggf. mit Passwort schützen.</t>
        </is>
      </c>
    </row>
    <row r="45">
      <c r="B45" s="2" t="inlineStr">
        <is>
          <t>Farblegende</t>
        </is>
      </c>
      <c r="C45" s="2" t="n"/>
    </row>
    <row r="46">
      <c r="B46" s="5" t="inlineStr">
        <is>
          <t>123</t>
        </is>
      </c>
      <c r="C46" s="6" t="inlineStr">
        <is>
          <t>Eingabe (blau / gelb)</t>
        </is>
      </c>
    </row>
    <row r="47">
      <c r="B47" s="7" t="inlineStr">
        <is>
          <t>123</t>
        </is>
      </c>
      <c r="C47" s="6" t="inlineStr">
        <is>
          <t>Verknüpfung aus anderem Tab (grün)</t>
        </is>
      </c>
    </row>
    <row r="48">
      <c r="B48" s="8" t="inlineStr">
        <is>
          <t>123</t>
        </is>
      </c>
      <c r="C48" s="6" t="inlineStr">
        <is>
          <t>Berechnete Formel (schwarz)</t>
        </is>
      </c>
    </row>
    <row r="49">
      <c r="B49" s="9" t="inlineStr">
        <is>
          <t>unauffällig</t>
        </is>
      </c>
      <c r="C49" s="6" t="inlineStr">
        <is>
          <t>Ampel grün</t>
        </is>
      </c>
    </row>
    <row r="50">
      <c r="B50" s="10" t="inlineStr">
        <is>
          <t>auffällig</t>
        </is>
      </c>
      <c r="C50" s="6" t="inlineStr">
        <is>
          <t>Ampel gelb</t>
        </is>
      </c>
    </row>
    <row r="51">
      <c r="B51" s="11" t="inlineStr">
        <is>
          <t>kritisch</t>
        </is>
      </c>
      <c r="C51" s="6" t="inlineStr">
        <is>
          <t>Ampel rot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1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11" customWidth="1" min="3" max="3"/>
    <col width="8" customWidth="1" min="4" max="4"/>
    <col width="10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9" customWidth="1" min="18" max="18"/>
    <col width="9" customWidth="1" min="19" max="19"/>
    <col width="8" customWidth="1" min="20" max="20"/>
  </cols>
  <sheetData>
    <row r="1">
      <c r="A1" s="1" t="inlineStr">
        <is>
          <t>Operative Krankenquote 2026 – sortiert nach Objekt</t>
        </is>
      </c>
      <c r="V1" s="12" t="inlineStr">
        <is>
          <t>→ Erklärung</t>
        </is>
      </c>
    </row>
    <row r="2">
      <c r="A2" s="13" t="inlineStr">
        <is>
          <t>Eingabe: blaue Schrift / gelbe Felder (Objektnamen, Arbeitstage je Monat, Mitarbeiter, Beschäftigungsgrad, Krankheitstage). Alle übrigen Werte werden berechnet. Beispieldaten bitte überschreiben.</t>
        </is>
      </c>
    </row>
    <row r="4">
      <c r="E4" s="14" t="inlineStr">
        <is>
          <t>Arbeitstage/Monat →</t>
        </is>
      </c>
      <c r="F4" s="15" t="n">
        <v>21</v>
      </c>
      <c r="G4" s="15" t="n">
        <v>20</v>
      </c>
      <c r="H4" s="15" t="n">
        <v>22</v>
      </c>
      <c r="I4" s="15" t="n">
        <v>20</v>
      </c>
      <c r="J4" s="15" t="n">
        <v>18</v>
      </c>
      <c r="K4" s="15" t="n">
        <v>21</v>
      </c>
      <c r="L4" s="15" t="n">
        <v>23</v>
      </c>
      <c r="M4" s="15" t="n">
        <v>21</v>
      </c>
      <c r="N4" s="15" t="n">
        <v>22</v>
      </c>
      <c r="O4" s="15" t="n">
        <v>21</v>
      </c>
      <c r="P4" s="15" t="n">
        <v>21</v>
      </c>
      <c r="Q4" s="15" t="n">
        <v>20</v>
      </c>
      <c r="R4" s="16">
        <f>SUM(F4:Q4)</f>
        <v/>
      </c>
    </row>
    <row r="5" ht="30" customHeight="1">
      <c r="A5" s="17" t="inlineStr">
        <is>
          <t>Pers.-Nr.</t>
        </is>
      </c>
      <c r="B5" s="17" t="inlineStr">
        <is>
          <t>Name</t>
        </is>
      </c>
      <c r="C5" s="17" t="inlineStr">
        <is>
          <t>Objekt</t>
        </is>
      </c>
      <c r="D5" s="17" t="inlineStr">
        <is>
          <t>Besch.-
grad</t>
        </is>
      </c>
      <c r="E5" s="17" t="inlineStr">
        <is>
          <t>Soll-
Arbeitstage</t>
        </is>
      </c>
      <c r="F5" s="17" t="inlineStr">
        <is>
          <t>Jan</t>
        </is>
      </c>
      <c r="G5" s="17" t="inlineStr">
        <is>
          <t>Feb</t>
        </is>
      </c>
      <c r="H5" s="17" t="inlineStr">
        <is>
          <t>Mär</t>
        </is>
      </c>
      <c r="I5" s="17" t="inlineStr">
        <is>
          <t>Apr</t>
        </is>
      </c>
      <c r="J5" s="17" t="inlineStr">
        <is>
          <t>Mai</t>
        </is>
      </c>
      <c r="K5" s="17" t="inlineStr">
        <is>
          <t>Jun</t>
        </is>
      </c>
      <c r="L5" s="17" t="inlineStr">
        <is>
          <t>Jul</t>
        </is>
      </c>
      <c r="M5" s="17" t="inlineStr">
        <is>
          <t>Aug</t>
        </is>
      </c>
      <c r="N5" s="17" t="inlineStr">
        <is>
          <t>Sep</t>
        </is>
      </c>
      <c r="O5" s="17" t="inlineStr">
        <is>
          <t>Okt</t>
        </is>
      </c>
      <c r="P5" s="17" t="inlineStr">
        <is>
          <t>Nov</t>
        </is>
      </c>
      <c r="Q5" s="17" t="inlineStr">
        <is>
          <t>Dez</t>
        </is>
      </c>
      <c r="R5" s="17" t="inlineStr">
        <is>
          <t>Krank-
tage ges.</t>
        </is>
      </c>
      <c r="S5" s="17" t="inlineStr">
        <is>
          <t>Kranken-
quote</t>
        </is>
      </c>
      <c r="T5" s="17" t="inlineStr">
        <is>
          <t>Krank-
monate</t>
        </is>
      </c>
    </row>
    <row r="6">
      <c r="A6" s="18" t="inlineStr">
        <is>
          <t>Objekt:</t>
        </is>
      </c>
      <c r="B6" s="19" t="inlineStr">
        <is>
          <t>Objekt 1</t>
        </is>
      </c>
      <c r="C6" s="20" t="n"/>
      <c r="D6" s="20" t="n"/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</row>
    <row r="7">
      <c r="A7" s="21" t="n">
        <v>1001</v>
      </c>
      <c r="B7" s="22" t="inlineStr">
        <is>
          <t>Mitarbeiter 01</t>
        </is>
      </c>
      <c r="C7" s="8">
        <f>IF(B7="","",$B$6)</f>
        <v/>
      </c>
      <c r="D7" s="23" t="n">
        <v>1</v>
      </c>
      <c r="E7" s="24">
        <f>$R$4*D7</f>
        <v/>
      </c>
      <c r="F7" s="25" t="n">
        <v>0</v>
      </c>
      <c r="G7" s="25" t="n">
        <v>0</v>
      </c>
      <c r="H7" s="25" t="n">
        <v>2</v>
      </c>
      <c r="I7" s="25" t="n">
        <v>3</v>
      </c>
      <c r="J7" s="25" t="n">
        <v>2</v>
      </c>
      <c r="K7" s="25" t="n">
        <v>0</v>
      </c>
      <c r="L7" s="25" t="n">
        <v>0</v>
      </c>
      <c r="M7" s="25" t="n">
        <v>2</v>
      </c>
      <c r="N7" s="25" t="n">
        <v>3</v>
      </c>
      <c r="O7" s="25" t="n">
        <v>0</v>
      </c>
      <c r="P7" s="25" t="n">
        <v>3</v>
      </c>
      <c r="Q7" s="25" t="n">
        <v>3</v>
      </c>
      <c r="R7" s="16">
        <f>SUM(F7:Q7)</f>
        <v/>
      </c>
      <c r="S7" s="26">
        <f>IF(E7&gt;0,R7/E7,0)</f>
        <v/>
      </c>
      <c r="T7" s="27">
        <f>COUNTIF(F7:Q7,"&gt;0")</f>
        <v/>
      </c>
    </row>
    <row r="8">
      <c r="A8" s="21" t="n">
        <v>1002</v>
      </c>
      <c r="B8" s="22" t="inlineStr">
        <is>
          <t>Mitarbeiter 02</t>
        </is>
      </c>
      <c r="C8" s="8">
        <f>IF(B8="","",$B$6)</f>
        <v/>
      </c>
      <c r="D8" s="23" t="n">
        <v>1</v>
      </c>
      <c r="E8" s="24">
        <f>$R$4*D8</f>
        <v/>
      </c>
      <c r="F8" s="25" t="n">
        <v>0</v>
      </c>
      <c r="G8" s="25" t="n">
        <v>0</v>
      </c>
      <c r="H8" s="25" t="n">
        <v>0</v>
      </c>
      <c r="I8" s="25" t="n">
        <v>3</v>
      </c>
      <c r="J8" s="25" t="n">
        <v>5</v>
      </c>
      <c r="K8" s="25" t="n">
        <v>3</v>
      </c>
      <c r="L8" s="25" t="n">
        <v>0</v>
      </c>
      <c r="M8" s="25" t="n">
        <v>2</v>
      </c>
      <c r="N8" s="25" t="n">
        <v>3</v>
      </c>
      <c r="O8" s="25" t="n">
        <v>0</v>
      </c>
      <c r="P8" s="25" t="n">
        <v>2</v>
      </c>
      <c r="Q8" s="25" t="n">
        <v>0</v>
      </c>
      <c r="R8" s="16">
        <f>SUM(F8:Q8)</f>
        <v/>
      </c>
      <c r="S8" s="26">
        <f>IF(E8&gt;0,R8/E8,0)</f>
        <v/>
      </c>
      <c r="T8" s="27">
        <f>COUNTIF(F8:Q8,"&gt;0")</f>
        <v/>
      </c>
    </row>
    <row r="9">
      <c r="A9" s="21" t="n">
        <v>1003</v>
      </c>
      <c r="B9" s="22" t="inlineStr">
        <is>
          <t>Mitarbeiter 03</t>
        </is>
      </c>
      <c r="C9" s="8">
        <f>IF(B9="","",$B$6)</f>
        <v/>
      </c>
      <c r="D9" s="23" t="n">
        <v>1</v>
      </c>
      <c r="E9" s="24">
        <f>$R$4*D9</f>
        <v/>
      </c>
      <c r="F9" s="25" t="n">
        <v>0</v>
      </c>
      <c r="G9" s="25" t="n">
        <v>0</v>
      </c>
      <c r="H9" s="25" t="n">
        <v>0</v>
      </c>
      <c r="I9" s="25" t="n">
        <v>0</v>
      </c>
      <c r="J9" s="25" t="n">
        <v>0</v>
      </c>
      <c r="K9" s="25" t="n">
        <v>0</v>
      </c>
      <c r="L9" s="25" t="n">
        <v>0</v>
      </c>
      <c r="M9" s="25" t="n">
        <v>0</v>
      </c>
      <c r="N9" s="25" t="n">
        <v>0</v>
      </c>
      <c r="O9" s="25" t="n">
        <v>1</v>
      </c>
      <c r="P9" s="25" t="n">
        <v>5</v>
      </c>
      <c r="Q9" s="25" t="n">
        <v>2</v>
      </c>
      <c r="R9" s="16">
        <f>SUM(F9:Q9)</f>
        <v/>
      </c>
      <c r="S9" s="26">
        <f>IF(E9&gt;0,R9/E9,0)</f>
        <v/>
      </c>
      <c r="T9" s="27">
        <f>COUNTIF(F9:Q9,"&gt;0")</f>
        <v/>
      </c>
    </row>
    <row r="10">
      <c r="A10" s="21" t="n">
        <v>1004</v>
      </c>
      <c r="B10" s="22" t="inlineStr">
        <is>
          <t>Mitarbeiter 04</t>
        </is>
      </c>
      <c r="C10" s="8">
        <f>IF(B10="","",$B$6)</f>
        <v/>
      </c>
      <c r="D10" s="23" t="n">
        <v>1</v>
      </c>
      <c r="E10" s="24">
        <f>$R$4*D10</f>
        <v/>
      </c>
      <c r="F10" s="25" t="n">
        <v>0</v>
      </c>
      <c r="G10" s="25" t="n">
        <v>3</v>
      </c>
      <c r="H10" s="25" t="n">
        <v>1</v>
      </c>
      <c r="I10" s="25" t="n">
        <v>0</v>
      </c>
      <c r="J10" s="25" t="n">
        <v>1</v>
      </c>
      <c r="K10" s="25" t="n">
        <v>0</v>
      </c>
      <c r="L10" s="25" t="n">
        <v>0</v>
      </c>
      <c r="M10" s="25" t="n">
        <v>5</v>
      </c>
      <c r="N10" s="25" t="n">
        <v>0</v>
      </c>
      <c r="O10" s="25" t="n">
        <v>5</v>
      </c>
      <c r="P10" s="25" t="n">
        <v>1</v>
      </c>
      <c r="Q10" s="25" t="n">
        <v>3</v>
      </c>
      <c r="R10" s="16">
        <f>SUM(F10:Q10)</f>
        <v/>
      </c>
      <c r="S10" s="26">
        <f>IF(E10&gt;0,R10/E10,0)</f>
        <v/>
      </c>
      <c r="T10" s="27">
        <f>COUNTIF(F10:Q10,"&gt;0")</f>
        <v/>
      </c>
    </row>
    <row r="11">
      <c r="A11" s="21" t="n">
        <v>1005</v>
      </c>
      <c r="B11" s="22" t="inlineStr">
        <is>
          <t>Mitarbeiter 05</t>
        </is>
      </c>
      <c r="C11" s="8">
        <f>IF(B11="","",$B$6)</f>
        <v/>
      </c>
      <c r="D11" s="23" t="n">
        <v>1</v>
      </c>
      <c r="E11" s="24">
        <f>$R$4*D11</f>
        <v/>
      </c>
      <c r="F11" s="25" t="n">
        <v>0</v>
      </c>
      <c r="G11" s="25" t="n">
        <v>0</v>
      </c>
      <c r="H11" s="25" t="n">
        <v>0</v>
      </c>
      <c r="I11" s="25" t="n">
        <v>1</v>
      </c>
      <c r="J11" s="25" t="n">
        <v>1</v>
      </c>
      <c r="K11" s="25" t="n">
        <v>0</v>
      </c>
      <c r="L11" s="25" t="n">
        <v>0</v>
      </c>
      <c r="M11" s="25" t="n">
        <v>0</v>
      </c>
      <c r="N11" s="25" t="n">
        <v>0</v>
      </c>
      <c r="O11" s="25" t="n">
        <v>0</v>
      </c>
      <c r="P11" s="25" t="n">
        <v>0</v>
      </c>
      <c r="Q11" s="25" t="n">
        <v>0</v>
      </c>
      <c r="R11" s="16">
        <f>SUM(F11:Q11)</f>
        <v/>
      </c>
      <c r="S11" s="26">
        <f>IF(E11&gt;0,R11/E11,0)</f>
        <v/>
      </c>
      <c r="T11" s="27">
        <f>COUNTIF(F11:Q11,"&gt;0")</f>
        <v/>
      </c>
    </row>
    <row r="12">
      <c r="A12" s="21" t="n">
        <v>1006</v>
      </c>
      <c r="B12" s="22" t="inlineStr">
        <is>
          <t>Mitarbeiter 06</t>
        </is>
      </c>
      <c r="C12" s="8">
        <f>IF(B12="","",$B$6)</f>
        <v/>
      </c>
      <c r="D12" s="23" t="n">
        <v>1</v>
      </c>
      <c r="E12" s="24">
        <f>$R$4*D12</f>
        <v/>
      </c>
      <c r="F12" s="25" t="n">
        <v>0</v>
      </c>
      <c r="G12" s="25" t="n">
        <v>3</v>
      </c>
      <c r="H12" s="25" t="n">
        <v>0</v>
      </c>
      <c r="I12" s="25" t="n">
        <v>0</v>
      </c>
      <c r="J12" s="25" t="n">
        <v>3</v>
      </c>
      <c r="K12" s="25" t="n">
        <v>0</v>
      </c>
      <c r="L12" s="25" t="n">
        <v>2</v>
      </c>
      <c r="M12" s="25" t="n">
        <v>5</v>
      </c>
      <c r="N12" s="25" t="n">
        <v>0</v>
      </c>
      <c r="O12" s="25" t="n">
        <v>5</v>
      </c>
      <c r="P12" s="25" t="n">
        <v>0</v>
      </c>
      <c r="Q12" s="25" t="n">
        <v>0</v>
      </c>
      <c r="R12" s="16">
        <f>SUM(F12:Q12)</f>
        <v/>
      </c>
      <c r="S12" s="26">
        <f>IF(E12&gt;0,R12/E12,0)</f>
        <v/>
      </c>
      <c r="T12" s="27">
        <f>COUNTIF(F12:Q12,"&gt;0")</f>
        <v/>
      </c>
    </row>
    <row r="13">
      <c r="A13" s="21" t="n">
        <v>1007</v>
      </c>
      <c r="B13" s="22" t="inlineStr">
        <is>
          <t>Mitarbeiter 07</t>
        </is>
      </c>
      <c r="C13" s="8">
        <f>IF(B13="","",$B$6)</f>
        <v/>
      </c>
      <c r="D13" s="23" t="n">
        <v>0.5</v>
      </c>
      <c r="E13" s="24">
        <f>$R$4*D13</f>
        <v/>
      </c>
      <c r="F13" s="25" t="n">
        <v>0</v>
      </c>
      <c r="G13" s="25" t="n">
        <v>0</v>
      </c>
      <c r="H13" s="25" t="n">
        <v>1</v>
      </c>
      <c r="I13" s="25" t="n">
        <v>0</v>
      </c>
      <c r="J13" s="25" t="n">
        <v>0</v>
      </c>
      <c r="K13" s="25" t="n">
        <v>0</v>
      </c>
      <c r="L13" s="25" t="n">
        <v>0</v>
      </c>
      <c r="M13" s="25" t="n">
        <v>0</v>
      </c>
      <c r="N13" s="25" t="n">
        <v>3</v>
      </c>
      <c r="O13" s="25" t="n">
        <v>5</v>
      </c>
      <c r="P13" s="25" t="n">
        <v>0</v>
      </c>
      <c r="Q13" s="25" t="n">
        <v>1</v>
      </c>
      <c r="R13" s="16">
        <f>SUM(F13:Q13)</f>
        <v/>
      </c>
      <c r="S13" s="26">
        <f>IF(E13&gt;0,R13/E13,0)</f>
        <v/>
      </c>
      <c r="T13" s="27">
        <f>COUNTIF(F13:Q13,"&gt;0")</f>
        <v/>
      </c>
    </row>
    <row r="14">
      <c r="A14" s="21" t="n">
        <v>1008</v>
      </c>
      <c r="B14" s="22" t="inlineStr">
        <is>
          <t>Mitarbeiter 08</t>
        </is>
      </c>
      <c r="C14" s="8">
        <f>IF(B14="","",$B$6)</f>
        <v/>
      </c>
      <c r="D14" s="23" t="n">
        <v>1</v>
      </c>
      <c r="E14" s="24">
        <f>$R$4*D14</f>
        <v/>
      </c>
      <c r="F14" s="25" t="n">
        <v>1</v>
      </c>
      <c r="G14" s="25" t="n">
        <v>0</v>
      </c>
      <c r="H14" s="25" t="n">
        <v>0</v>
      </c>
      <c r="I14" s="25" t="n">
        <v>0</v>
      </c>
      <c r="J14" s="25" t="n">
        <v>0</v>
      </c>
      <c r="K14" s="25" t="n">
        <v>0</v>
      </c>
      <c r="L14" s="25" t="n">
        <v>2</v>
      </c>
      <c r="M14" s="25" t="n">
        <v>2</v>
      </c>
      <c r="N14" s="25" t="n">
        <v>2</v>
      </c>
      <c r="O14" s="25" t="n">
        <v>5</v>
      </c>
      <c r="P14" s="25" t="n">
        <v>0</v>
      </c>
      <c r="Q14" s="25" t="n">
        <v>0</v>
      </c>
      <c r="R14" s="16">
        <f>SUM(F14:Q14)</f>
        <v/>
      </c>
      <c r="S14" s="26">
        <f>IF(E14&gt;0,R14/E14,0)</f>
        <v/>
      </c>
      <c r="T14" s="27">
        <f>COUNTIF(F14:Q14,"&gt;0")</f>
        <v/>
      </c>
    </row>
    <row r="15">
      <c r="A15" s="21" t="n">
        <v>1009</v>
      </c>
      <c r="B15" s="22" t="inlineStr">
        <is>
          <t>Mitarbeiter 09</t>
        </is>
      </c>
      <c r="C15" s="8">
        <f>IF(B15="","",$B$6)</f>
        <v/>
      </c>
      <c r="D15" s="23" t="n">
        <v>1</v>
      </c>
      <c r="E15" s="24">
        <f>$R$4*D15</f>
        <v/>
      </c>
      <c r="F15" s="25" t="n">
        <v>2</v>
      </c>
      <c r="G15" s="25" t="n">
        <v>2</v>
      </c>
      <c r="H15" s="25" t="n">
        <v>0</v>
      </c>
      <c r="I15" s="25" t="n">
        <v>0</v>
      </c>
      <c r="J15" s="25" t="n">
        <v>0</v>
      </c>
      <c r="K15" s="25" t="n">
        <v>0</v>
      </c>
      <c r="L15" s="25" t="n">
        <v>1</v>
      </c>
      <c r="M15" s="25" t="n">
        <v>0</v>
      </c>
      <c r="N15" s="25" t="n">
        <v>0</v>
      </c>
      <c r="O15" s="25" t="n">
        <v>0</v>
      </c>
      <c r="P15" s="25" t="n">
        <v>0</v>
      </c>
      <c r="Q15" s="25" t="n">
        <v>0</v>
      </c>
      <c r="R15" s="16">
        <f>SUM(F15:Q15)</f>
        <v/>
      </c>
      <c r="S15" s="26">
        <f>IF(E15&gt;0,R15/E15,0)</f>
        <v/>
      </c>
      <c r="T15" s="27">
        <f>COUNTIF(F15:Q15,"&gt;0")</f>
        <v/>
      </c>
    </row>
    <row r="16">
      <c r="A16" s="21" t="n">
        <v>1010</v>
      </c>
      <c r="B16" s="22" t="inlineStr">
        <is>
          <t>Mitarbeiter 10</t>
        </is>
      </c>
      <c r="C16" s="8">
        <f>IF(B16="","",$B$6)</f>
        <v/>
      </c>
      <c r="D16" s="23" t="n">
        <v>1</v>
      </c>
      <c r="E16" s="24">
        <f>$R$4*D16</f>
        <v/>
      </c>
      <c r="F16" s="25" t="n">
        <v>0</v>
      </c>
      <c r="G16" s="25" t="n">
        <v>0</v>
      </c>
      <c r="H16" s="25" t="n">
        <v>0</v>
      </c>
      <c r="I16" s="25" t="n">
        <v>3</v>
      </c>
      <c r="J16" s="25" t="n">
        <v>3</v>
      </c>
      <c r="K16" s="25" t="n">
        <v>1</v>
      </c>
      <c r="L16" s="25" t="n">
        <v>0</v>
      </c>
      <c r="M16" s="25" t="n">
        <v>0</v>
      </c>
      <c r="N16" s="25" t="n">
        <v>0</v>
      </c>
      <c r="O16" s="25" t="n">
        <v>0</v>
      </c>
      <c r="P16" s="25" t="n">
        <v>0</v>
      </c>
      <c r="Q16" s="25" t="n">
        <v>5</v>
      </c>
      <c r="R16" s="16">
        <f>SUM(F16:Q16)</f>
        <v/>
      </c>
      <c r="S16" s="26">
        <f>IF(E16&gt;0,R16/E16,0)</f>
        <v/>
      </c>
      <c r="T16" s="27">
        <f>COUNTIF(F16:Q16,"&gt;0")</f>
        <v/>
      </c>
    </row>
    <row r="17">
      <c r="A17" s="21" t="n">
        <v>1011</v>
      </c>
      <c r="B17" s="22" t="inlineStr">
        <is>
          <t>Mitarbeiter 11</t>
        </is>
      </c>
      <c r="C17" s="8">
        <f>IF(B17="","",$B$6)</f>
        <v/>
      </c>
      <c r="D17" s="23" t="n">
        <v>0.5</v>
      </c>
      <c r="E17" s="24">
        <f>$R$4*D17</f>
        <v/>
      </c>
      <c r="F17" s="25" t="n">
        <v>0</v>
      </c>
      <c r="G17" s="25" t="n">
        <v>0</v>
      </c>
      <c r="H17" s="25" t="n">
        <v>0</v>
      </c>
      <c r="I17" s="25" t="n">
        <v>0</v>
      </c>
      <c r="J17" s="25" t="n">
        <v>1</v>
      </c>
      <c r="K17" s="25" t="n">
        <v>0</v>
      </c>
      <c r="L17" s="25" t="n">
        <v>3</v>
      </c>
      <c r="M17" s="25" t="n">
        <v>5</v>
      </c>
      <c r="N17" s="25" t="n">
        <v>0</v>
      </c>
      <c r="O17" s="25" t="n">
        <v>0</v>
      </c>
      <c r="P17" s="25" t="n">
        <v>5</v>
      </c>
      <c r="Q17" s="25" t="n">
        <v>0</v>
      </c>
      <c r="R17" s="16">
        <f>SUM(F17:Q17)</f>
        <v/>
      </c>
      <c r="S17" s="26">
        <f>IF(E17&gt;0,R17/E17,0)</f>
        <v/>
      </c>
      <c r="T17" s="27">
        <f>COUNTIF(F17:Q17,"&gt;0")</f>
        <v/>
      </c>
    </row>
    <row r="18">
      <c r="A18" s="21" t="n">
        <v>1012</v>
      </c>
      <c r="B18" s="22" t="inlineStr">
        <is>
          <t>Mitarbeiter 12</t>
        </is>
      </c>
      <c r="C18" s="8">
        <f>IF(B18="","",$B$6)</f>
        <v/>
      </c>
      <c r="D18" s="23" t="n">
        <v>1</v>
      </c>
      <c r="E18" s="24">
        <f>$R$4*D18</f>
        <v/>
      </c>
      <c r="F18" s="25" t="n">
        <v>0</v>
      </c>
      <c r="G18" s="25" t="n">
        <v>0</v>
      </c>
      <c r="H18" s="25" t="n">
        <v>0</v>
      </c>
      <c r="I18" s="25" t="n">
        <v>0</v>
      </c>
      <c r="J18" s="25" t="n">
        <v>0</v>
      </c>
      <c r="K18" s="25" t="n">
        <v>0</v>
      </c>
      <c r="L18" s="25" t="n">
        <v>0</v>
      </c>
      <c r="M18" s="25" t="n">
        <v>5</v>
      </c>
      <c r="N18" s="25" t="n">
        <v>2</v>
      </c>
      <c r="O18" s="25" t="n">
        <v>2</v>
      </c>
      <c r="P18" s="25" t="n">
        <v>0</v>
      </c>
      <c r="Q18" s="25" t="n">
        <v>0</v>
      </c>
      <c r="R18" s="16">
        <f>SUM(F18:Q18)</f>
        <v/>
      </c>
      <c r="S18" s="26">
        <f>IF(E18&gt;0,R18/E18,0)</f>
        <v/>
      </c>
      <c r="T18" s="27">
        <f>COUNTIF(F18:Q18,"&gt;0")</f>
        <v/>
      </c>
    </row>
    <row r="19">
      <c r="A19" s="21" t="n">
        <v>1013</v>
      </c>
      <c r="B19" s="22" t="inlineStr">
        <is>
          <t>Mitarbeiter 13</t>
        </is>
      </c>
      <c r="C19" s="8">
        <f>IF(B19="","",$B$6)</f>
        <v/>
      </c>
      <c r="D19" s="23" t="n">
        <v>1</v>
      </c>
      <c r="E19" s="24">
        <f>$R$4*D19</f>
        <v/>
      </c>
      <c r="F19" s="25" t="n">
        <v>3</v>
      </c>
      <c r="G19" s="25" t="n">
        <v>0</v>
      </c>
      <c r="H19" s="25" t="n">
        <v>1</v>
      </c>
      <c r="I19" s="25" t="n">
        <v>0</v>
      </c>
      <c r="J19" s="25" t="n">
        <v>0</v>
      </c>
      <c r="K19" s="25" t="n">
        <v>2</v>
      </c>
      <c r="L19" s="25" t="n">
        <v>0</v>
      </c>
      <c r="M19" s="25" t="n">
        <v>0</v>
      </c>
      <c r="N19" s="25" t="n">
        <v>0</v>
      </c>
      <c r="O19" s="25" t="n">
        <v>0</v>
      </c>
      <c r="P19" s="25" t="n">
        <v>2</v>
      </c>
      <c r="Q19" s="25" t="n">
        <v>0</v>
      </c>
      <c r="R19" s="16">
        <f>SUM(F19:Q19)</f>
        <v/>
      </c>
      <c r="S19" s="26">
        <f>IF(E19&gt;0,R19/E19,0)</f>
        <v/>
      </c>
      <c r="T19" s="27">
        <f>COUNTIF(F19:Q19,"&gt;0")</f>
        <v/>
      </c>
    </row>
    <row r="20">
      <c r="A20" s="21" t="n">
        <v>1014</v>
      </c>
      <c r="B20" s="22" t="inlineStr">
        <is>
          <t>Mitarbeiter 14</t>
        </is>
      </c>
      <c r="C20" s="8">
        <f>IF(B20="","",$B$6)</f>
        <v/>
      </c>
      <c r="D20" s="23" t="n">
        <v>0.75</v>
      </c>
      <c r="E20" s="24">
        <f>$R$4*D20</f>
        <v/>
      </c>
      <c r="F20" s="25" t="n">
        <v>2</v>
      </c>
      <c r="G20" s="25" t="n">
        <v>0</v>
      </c>
      <c r="H20" s="25" t="n">
        <v>1</v>
      </c>
      <c r="I20" s="25" t="n">
        <v>1</v>
      </c>
      <c r="J20" s="25" t="n">
        <v>0</v>
      </c>
      <c r="K20" s="25" t="n">
        <v>0</v>
      </c>
      <c r="L20" s="25" t="n">
        <v>0</v>
      </c>
      <c r="M20" s="25" t="n">
        <v>0</v>
      </c>
      <c r="N20" s="25" t="n">
        <v>0</v>
      </c>
      <c r="O20" s="25" t="n">
        <v>0</v>
      </c>
      <c r="P20" s="25" t="n">
        <v>0</v>
      </c>
      <c r="Q20" s="25" t="n">
        <v>5</v>
      </c>
      <c r="R20" s="16">
        <f>SUM(F20:Q20)</f>
        <v/>
      </c>
      <c r="S20" s="26">
        <f>IF(E20&gt;0,R20/E20,0)</f>
        <v/>
      </c>
      <c r="T20" s="27">
        <f>COUNTIF(F20:Q20,"&gt;0")</f>
        <v/>
      </c>
    </row>
    <row r="21">
      <c r="A21" s="21" t="n">
        <v>1015</v>
      </c>
      <c r="B21" s="22" t="inlineStr">
        <is>
          <t>Mitarbeiter 15</t>
        </is>
      </c>
      <c r="C21" s="8">
        <f>IF(B21="","",$B$6)</f>
        <v/>
      </c>
      <c r="D21" s="23" t="n">
        <v>1</v>
      </c>
      <c r="E21" s="24">
        <f>$R$4*D21</f>
        <v/>
      </c>
      <c r="F21" s="25" t="n">
        <v>0</v>
      </c>
      <c r="G21" s="25" t="n">
        <v>5</v>
      </c>
      <c r="H21" s="25" t="n">
        <v>0</v>
      </c>
      <c r="I21" s="25" t="n">
        <v>0</v>
      </c>
      <c r="J21" s="25" t="n">
        <v>0</v>
      </c>
      <c r="K21" s="25" t="n">
        <v>0</v>
      </c>
      <c r="L21" s="25" t="n">
        <v>1</v>
      </c>
      <c r="M21" s="25" t="n">
        <v>5</v>
      </c>
      <c r="N21" s="25" t="n">
        <v>0</v>
      </c>
      <c r="O21" s="25" t="n">
        <v>2</v>
      </c>
      <c r="P21" s="25" t="n">
        <v>0</v>
      </c>
      <c r="Q21" s="25" t="n">
        <v>0</v>
      </c>
      <c r="R21" s="16">
        <f>SUM(F21:Q21)</f>
        <v/>
      </c>
      <c r="S21" s="26">
        <f>IF(E21&gt;0,R21/E21,0)</f>
        <v/>
      </c>
      <c r="T21" s="27">
        <f>COUNTIF(F21:Q21,"&gt;0")</f>
        <v/>
      </c>
    </row>
    <row r="22">
      <c r="A22" s="21" t="n"/>
      <c r="B22" s="22" t="n"/>
      <c r="C22" s="8">
        <f>IF(B22="","",$B$6)</f>
        <v/>
      </c>
      <c r="D22" s="23" t="n"/>
      <c r="E22" s="24">
        <f>$R$4*D22</f>
        <v/>
      </c>
      <c r="F22" s="25" t="n"/>
      <c r="G22" s="25" t="n"/>
      <c r="H22" s="25" t="n"/>
      <c r="I22" s="25" t="n"/>
      <c r="J22" s="25" t="n"/>
      <c r="K22" s="25" t="n"/>
      <c r="L22" s="25" t="n"/>
      <c r="M22" s="25" t="n"/>
      <c r="N22" s="25" t="n"/>
      <c r="O22" s="25" t="n"/>
      <c r="P22" s="25" t="n"/>
      <c r="Q22" s="25" t="n"/>
      <c r="R22" s="16">
        <f>SUM(F22:Q22)</f>
        <v/>
      </c>
      <c r="S22" s="26">
        <f>IF(E22&gt;0,R22/E22,0)</f>
        <v/>
      </c>
      <c r="T22" s="27">
        <f>COUNTIF(F22:Q22,"&gt;0")</f>
        <v/>
      </c>
    </row>
    <row r="23">
      <c r="A23" s="21" t="n"/>
      <c r="B23" s="22" t="n"/>
      <c r="C23" s="8">
        <f>IF(B23="","",$B$6)</f>
        <v/>
      </c>
      <c r="D23" s="23" t="n"/>
      <c r="E23" s="24">
        <f>$R$4*D23</f>
        <v/>
      </c>
      <c r="F23" s="25" t="n"/>
      <c r="G23" s="25" t="n"/>
      <c r="H23" s="25" t="n"/>
      <c r="I23" s="25" t="n"/>
      <c r="J23" s="25" t="n"/>
      <c r="K23" s="25" t="n"/>
      <c r="L23" s="25" t="n"/>
      <c r="M23" s="25" t="n"/>
      <c r="N23" s="25" t="n"/>
      <c r="O23" s="25" t="n"/>
      <c r="P23" s="25" t="n"/>
      <c r="Q23" s="25" t="n"/>
      <c r="R23" s="16">
        <f>SUM(F23:Q23)</f>
        <v/>
      </c>
      <c r="S23" s="26">
        <f>IF(E23&gt;0,R23/E23,0)</f>
        <v/>
      </c>
      <c r="T23" s="27">
        <f>COUNTIF(F23:Q23,"&gt;0")</f>
        <v/>
      </c>
    </row>
    <row r="24">
      <c r="A24" s="21" t="n"/>
      <c r="B24" s="22" t="n"/>
      <c r="C24" s="8">
        <f>IF(B24="","",$B$6)</f>
        <v/>
      </c>
      <c r="D24" s="23" t="n"/>
      <c r="E24" s="24">
        <f>$R$4*D24</f>
        <v/>
      </c>
      <c r="F24" s="25" t="n"/>
      <c r="G24" s="25" t="n"/>
      <c r="H24" s="25" t="n"/>
      <c r="I24" s="25" t="n"/>
      <c r="J24" s="25" t="n"/>
      <c r="K24" s="25" t="n"/>
      <c r="L24" s="25" t="n"/>
      <c r="M24" s="25" t="n"/>
      <c r="N24" s="25" t="n"/>
      <c r="O24" s="25" t="n"/>
      <c r="P24" s="25" t="n"/>
      <c r="Q24" s="25" t="n"/>
      <c r="R24" s="16">
        <f>SUM(F24:Q24)</f>
        <v/>
      </c>
      <c r="S24" s="26">
        <f>IF(E24&gt;0,R24/E24,0)</f>
        <v/>
      </c>
      <c r="T24" s="27">
        <f>COUNTIF(F24:Q24,"&gt;0")</f>
        <v/>
      </c>
    </row>
    <row r="25">
      <c r="A25" s="21" t="n"/>
      <c r="B25" s="22" t="n"/>
      <c r="C25" s="8">
        <f>IF(B25="","",$B$6)</f>
        <v/>
      </c>
      <c r="D25" s="23" t="n"/>
      <c r="E25" s="24">
        <f>$R$4*D25</f>
        <v/>
      </c>
      <c r="F25" s="25" t="n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16">
        <f>SUM(F25:Q25)</f>
        <v/>
      </c>
      <c r="S25" s="26">
        <f>IF(E25&gt;0,R25/E25,0)</f>
        <v/>
      </c>
      <c r="T25" s="27">
        <f>COUNTIF(F25:Q25,"&gt;0")</f>
        <v/>
      </c>
    </row>
    <row r="26">
      <c r="A26" s="21" t="n"/>
      <c r="B26" s="22" t="n"/>
      <c r="C26" s="8">
        <f>IF(B26="","",$B$6)</f>
        <v/>
      </c>
      <c r="D26" s="23" t="n"/>
      <c r="E26" s="24">
        <f>$R$4*D26</f>
        <v/>
      </c>
      <c r="F26" s="25" t="n"/>
      <c r="G26" s="25" t="n"/>
      <c r="H26" s="25" t="n"/>
      <c r="I26" s="25" t="n"/>
      <c r="J26" s="25" t="n"/>
      <c r="K26" s="25" t="n"/>
      <c r="L26" s="25" t="n"/>
      <c r="M26" s="25" t="n"/>
      <c r="N26" s="25" t="n"/>
      <c r="O26" s="25" t="n"/>
      <c r="P26" s="25" t="n"/>
      <c r="Q26" s="25" t="n"/>
      <c r="R26" s="16">
        <f>SUM(F26:Q26)</f>
        <v/>
      </c>
      <c r="S26" s="26">
        <f>IF(E26&gt;0,R26/E26,0)</f>
        <v/>
      </c>
      <c r="T26" s="27">
        <f>COUNTIF(F26:Q26,"&gt;0")</f>
        <v/>
      </c>
    </row>
    <row r="27">
      <c r="A27" s="21" t="n"/>
      <c r="B27" s="22" t="n"/>
      <c r="C27" s="8">
        <f>IF(B27="","",$B$6)</f>
        <v/>
      </c>
      <c r="D27" s="23" t="n"/>
      <c r="E27" s="24">
        <f>$R$4*D27</f>
        <v/>
      </c>
      <c r="F27" s="25" t="n"/>
      <c r="G27" s="25" t="n"/>
      <c r="H27" s="25" t="n"/>
      <c r="I27" s="25" t="n"/>
      <c r="J27" s="25" t="n"/>
      <c r="K27" s="25" t="n"/>
      <c r="L27" s="25" t="n"/>
      <c r="M27" s="25" t="n"/>
      <c r="N27" s="25" t="n"/>
      <c r="O27" s="25" t="n"/>
      <c r="P27" s="25" t="n"/>
      <c r="Q27" s="25" t="n"/>
      <c r="R27" s="16">
        <f>SUM(F27:Q27)</f>
        <v/>
      </c>
      <c r="S27" s="26">
        <f>IF(E27&gt;0,R27/E27,0)</f>
        <v/>
      </c>
      <c r="T27" s="27">
        <f>COUNTIF(F27:Q27,"&gt;0")</f>
        <v/>
      </c>
    </row>
    <row r="28">
      <c r="A28" s="21" t="n"/>
      <c r="B28" s="22" t="n"/>
      <c r="C28" s="8">
        <f>IF(B28="","",$B$6)</f>
        <v/>
      </c>
      <c r="D28" s="23" t="n"/>
      <c r="E28" s="24">
        <f>$R$4*D28</f>
        <v/>
      </c>
      <c r="F28" s="25" t="n"/>
      <c r="G28" s="25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16">
        <f>SUM(F28:Q28)</f>
        <v/>
      </c>
      <c r="S28" s="26">
        <f>IF(E28&gt;0,R28/E28,0)</f>
        <v/>
      </c>
      <c r="T28" s="27">
        <f>COUNTIF(F28:Q28,"&gt;0")</f>
        <v/>
      </c>
    </row>
    <row r="29">
      <c r="A29" s="21" t="n"/>
      <c r="B29" s="22" t="n"/>
      <c r="C29" s="8">
        <f>IF(B29="","",$B$6)</f>
        <v/>
      </c>
      <c r="D29" s="23" t="n"/>
      <c r="E29" s="24">
        <f>$R$4*D29</f>
        <v/>
      </c>
      <c r="F29" s="25" t="n"/>
      <c r="G29" s="25" t="n"/>
      <c r="H29" s="25" t="n"/>
      <c r="I29" s="25" t="n"/>
      <c r="J29" s="25" t="n"/>
      <c r="K29" s="25" t="n"/>
      <c r="L29" s="25" t="n"/>
      <c r="M29" s="25" t="n"/>
      <c r="N29" s="25" t="n"/>
      <c r="O29" s="25" t="n"/>
      <c r="P29" s="25" t="n"/>
      <c r="Q29" s="25" t="n"/>
      <c r="R29" s="16">
        <f>SUM(F29:Q29)</f>
        <v/>
      </c>
      <c r="S29" s="26">
        <f>IF(E29&gt;0,R29/E29,0)</f>
        <v/>
      </c>
      <c r="T29" s="27">
        <f>COUNTIF(F29:Q29,"&gt;0")</f>
        <v/>
      </c>
    </row>
    <row r="30">
      <c r="A30" s="21" t="n"/>
      <c r="B30" s="22" t="n"/>
      <c r="C30" s="8">
        <f>IF(B30="","",$B$6)</f>
        <v/>
      </c>
      <c r="D30" s="23" t="n"/>
      <c r="E30" s="24">
        <f>$R$4*D30</f>
        <v/>
      </c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16">
        <f>SUM(F30:Q30)</f>
        <v/>
      </c>
      <c r="S30" s="26">
        <f>IF(E30&gt;0,R30/E30,0)</f>
        <v/>
      </c>
      <c r="T30" s="27">
        <f>COUNTIF(F30:Q30,"&gt;0")</f>
        <v/>
      </c>
    </row>
    <row r="31">
      <c r="A31" s="21" t="n"/>
      <c r="B31" s="22" t="n"/>
      <c r="C31" s="8">
        <f>IF(B31="","",$B$6)</f>
        <v/>
      </c>
      <c r="D31" s="23" t="n"/>
      <c r="E31" s="24">
        <f>$R$4*D31</f>
        <v/>
      </c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16">
        <f>SUM(F31:Q31)</f>
        <v/>
      </c>
      <c r="S31" s="26">
        <f>IF(E31&gt;0,R31/E31,0)</f>
        <v/>
      </c>
      <c r="T31" s="27">
        <f>COUNTIF(F31:Q31,"&gt;0")</f>
        <v/>
      </c>
    </row>
    <row r="32">
      <c r="A32" s="21" t="n"/>
      <c r="B32" s="22" t="n"/>
      <c r="C32" s="8">
        <f>IF(B32="","",$B$6)</f>
        <v/>
      </c>
      <c r="D32" s="23" t="n"/>
      <c r="E32" s="24">
        <f>$R$4*D32</f>
        <v/>
      </c>
      <c r="F32" s="25" t="n"/>
      <c r="G32" s="25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25" t="n"/>
      <c r="Q32" s="25" t="n"/>
      <c r="R32" s="16">
        <f>SUM(F32:Q32)</f>
        <v/>
      </c>
      <c r="S32" s="26">
        <f>IF(E32&gt;0,R32/E32,0)</f>
        <v/>
      </c>
      <c r="T32" s="27">
        <f>COUNTIF(F32:Q32,"&gt;0")</f>
        <v/>
      </c>
    </row>
    <row r="33">
      <c r="A33" s="21" t="n"/>
      <c r="B33" s="22" t="n"/>
      <c r="C33" s="8">
        <f>IF(B33="","",$B$6)</f>
        <v/>
      </c>
      <c r="D33" s="23" t="n"/>
      <c r="E33" s="24">
        <f>$R$4*D33</f>
        <v/>
      </c>
      <c r="F33" s="25" t="n"/>
      <c r="G33" s="25" t="n"/>
      <c r="H33" s="25" t="n"/>
      <c r="I33" s="25" t="n"/>
      <c r="J33" s="25" t="n"/>
      <c r="K33" s="25" t="n"/>
      <c r="L33" s="25" t="n"/>
      <c r="M33" s="25" t="n"/>
      <c r="N33" s="25" t="n"/>
      <c r="O33" s="25" t="n"/>
      <c r="P33" s="25" t="n"/>
      <c r="Q33" s="25" t="n"/>
      <c r="R33" s="16">
        <f>SUM(F33:Q33)</f>
        <v/>
      </c>
      <c r="S33" s="26">
        <f>IF(E33&gt;0,R33/E33,0)</f>
        <v/>
      </c>
      <c r="T33" s="27">
        <f>COUNTIF(F33:Q33,"&gt;0")</f>
        <v/>
      </c>
    </row>
    <row r="34">
      <c r="A34" s="21" t="n"/>
      <c r="B34" s="22" t="n"/>
      <c r="C34" s="8">
        <f>IF(B34="","",$B$6)</f>
        <v/>
      </c>
      <c r="D34" s="23" t="n"/>
      <c r="E34" s="24">
        <f>$R$4*D34</f>
        <v/>
      </c>
      <c r="F34" s="25" t="n"/>
      <c r="G34" s="25" t="n"/>
      <c r="H34" s="25" t="n"/>
      <c r="I34" s="25" t="n"/>
      <c r="J34" s="25" t="n"/>
      <c r="K34" s="25" t="n"/>
      <c r="L34" s="25" t="n"/>
      <c r="M34" s="25" t="n"/>
      <c r="N34" s="25" t="n"/>
      <c r="O34" s="25" t="n"/>
      <c r="P34" s="25" t="n"/>
      <c r="Q34" s="25" t="n"/>
      <c r="R34" s="16">
        <f>SUM(F34:Q34)</f>
        <v/>
      </c>
      <c r="S34" s="26">
        <f>IF(E34&gt;0,R34/E34,0)</f>
        <v/>
      </c>
      <c r="T34" s="27">
        <f>COUNTIF(F34:Q34,"&gt;0")</f>
        <v/>
      </c>
    </row>
    <row r="35">
      <c r="A35" s="21" t="n"/>
      <c r="B35" s="22" t="n"/>
      <c r="C35" s="8">
        <f>IF(B35="","",$B$6)</f>
        <v/>
      </c>
      <c r="D35" s="23" t="n"/>
      <c r="E35" s="24">
        <f>$R$4*D35</f>
        <v/>
      </c>
      <c r="F35" s="25" t="n"/>
      <c r="G35" s="25" t="n"/>
      <c r="H35" s="25" t="n"/>
      <c r="I35" s="25" t="n"/>
      <c r="J35" s="25" t="n"/>
      <c r="K35" s="25" t="n"/>
      <c r="L35" s="25" t="n"/>
      <c r="M35" s="25" t="n"/>
      <c r="N35" s="25" t="n"/>
      <c r="O35" s="25" t="n"/>
      <c r="P35" s="25" t="n"/>
      <c r="Q35" s="25" t="n"/>
      <c r="R35" s="16">
        <f>SUM(F35:Q35)</f>
        <v/>
      </c>
      <c r="S35" s="26">
        <f>IF(E35&gt;0,R35/E35,0)</f>
        <v/>
      </c>
      <c r="T35" s="27">
        <f>COUNTIF(F35:Q35,"&gt;0")</f>
        <v/>
      </c>
    </row>
    <row r="36">
      <c r="A36" s="21" t="n"/>
      <c r="B36" s="22" t="n"/>
      <c r="C36" s="8">
        <f>IF(B36="","",$B$6)</f>
        <v/>
      </c>
      <c r="D36" s="23" t="n"/>
      <c r="E36" s="24">
        <f>$R$4*D36</f>
        <v/>
      </c>
      <c r="F36" s="25" t="n"/>
      <c r="G36" s="25" t="n"/>
      <c r="H36" s="25" t="n"/>
      <c r="I36" s="25" t="n"/>
      <c r="J36" s="25" t="n"/>
      <c r="K36" s="25" t="n"/>
      <c r="L36" s="25" t="n"/>
      <c r="M36" s="25" t="n"/>
      <c r="N36" s="25" t="n"/>
      <c r="O36" s="25" t="n"/>
      <c r="P36" s="25" t="n"/>
      <c r="Q36" s="25" t="n"/>
      <c r="R36" s="16">
        <f>SUM(F36:Q36)</f>
        <v/>
      </c>
      <c r="S36" s="26">
        <f>IF(E36&gt;0,R36/E36,0)</f>
        <v/>
      </c>
      <c r="T36" s="27">
        <f>COUNTIF(F36:Q36,"&gt;0")</f>
        <v/>
      </c>
    </row>
    <row r="37">
      <c r="A37" s="21" t="n"/>
      <c r="B37" s="22" t="n"/>
      <c r="C37" s="8">
        <f>IF(B37="","",$B$6)</f>
        <v/>
      </c>
      <c r="D37" s="23" t="n"/>
      <c r="E37" s="24">
        <f>$R$4*D37</f>
        <v/>
      </c>
      <c r="F37" s="25" t="n"/>
      <c r="G37" s="25" t="n"/>
      <c r="H37" s="25" t="n"/>
      <c r="I37" s="25" t="n"/>
      <c r="J37" s="25" t="n"/>
      <c r="K37" s="25" t="n"/>
      <c r="L37" s="25" t="n"/>
      <c r="M37" s="25" t="n"/>
      <c r="N37" s="25" t="n"/>
      <c r="O37" s="25" t="n"/>
      <c r="P37" s="25" t="n"/>
      <c r="Q37" s="25" t="n"/>
      <c r="R37" s="16">
        <f>SUM(F37:Q37)</f>
        <v/>
      </c>
      <c r="S37" s="26">
        <f>IF(E37&gt;0,R37/E37,0)</f>
        <v/>
      </c>
      <c r="T37" s="27">
        <f>COUNTIF(F37:Q37,"&gt;0")</f>
        <v/>
      </c>
    </row>
    <row r="38">
      <c r="A38" s="21" t="n"/>
      <c r="B38" s="22" t="n"/>
      <c r="C38" s="8">
        <f>IF(B38="","",$B$6)</f>
        <v/>
      </c>
      <c r="D38" s="23" t="n"/>
      <c r="E38" s="24">
        <f>$R$4*D38</f>
        <v/>
      </c>
      <c r="F38" s="25" t="n"/>
      <c r="G38" s="25" t="n"/>
      <c r="H38" s="25" t="n"/>
      <c r="I38" s="25" t="n"/>
      <c r="J38" s="25" t="n"/>
      <c r="K38" s="25" t="n"/>
      <c r="L38" s="25" t="n"/>
      <c r="M38" s="25" t="n"/>
      <c r="N38" s="25" t="n"/>
      <c r="O38" s="25" t="n"/>
      <c r="P38" s="25" t="n"/>
      <c r="Q38" s="25" t="n"/>
      <c r="R38" s="16">
        <f>SUM(F38:Q38)</f>
        <v/>
      </c>
      <c r="S38" s="26">
        <f>IF(E38&gt;0,R38/E38,0)</f>
        <v/>
      </c>
      <c r="T38" s="27">
        <f>COUNTIF(F38:Q38,"&gt;0")</f>
        <v/>
      </c>
    </row>
    <row r="39">
      <c r="A39" s="21" t="n"/>
      <c r="B39" s="22" t="n"/>
      <c r="C39" s="8">
        <f>IF(B39="","",$B$6)</f>
        <v/>
      </c>
      <c r="D39" s="23" t="n"/>
      <c r="E39" s="24">
        <f>$R$4*D39</f>
        <v/>
      </c>
      <c r="F39" s="25" t="n"/>
      <c r="G39" s="25" t="n"/>
      <c r="H39" s="25" t="n"/>
      <c r="I39" s="25" t="n"/>
      <c r="J39" s="25" t="n"/>
      <c r="K39" s="25" t="n"/>
      <c r="L39" s="25" t="n"/>
      <c r="M39" s="25" t="n"/>
      <c r="N39" s="25" t="n"/>
      <c r="O39" s="25" t="n"/>
      <c r="P39" s="25" t="n"/>
      <c r="Q39" s="25" t="n"/>
      <c r="R39" s="16">
        <f>SUM(F39:Q39)</f>
        <v/>
      </c>
      <c r="S39" s="26">
        <f>IF(E39&gt;0,R39/E39,0)</f>
        <v/>
      </c>
      <c r="T39" s="27">
        <f>COUNTIF(F39:Q39,"&gt;0")</f>
        <v/>
      </c>
    </row>
    <row r="40">
      <c r="A40" s="21" t="n"/>
      <c r="B40" s="22" t="n"/>
      <c r="C40" s="8">
        <f>IF(B40="","",$B$6)</f>
        <v/>
      </c>
      <c r="D40" s="23" t="n"/>
      <c r="E40" s="24">
        <f>$R$4*D40</f>
        <v/>
      </c>
      <c r="F40" s="25" t="n"/>
      <c r="G40" s="25" t="n"/>
      <c r="H40" s="25" t="n"/>
      <c r="I40" s="25" t="n"/>
      <c r="J40" s="25" t="n"/>
      <c r="K40" s="25" t="n"/>
      <c r="L40" s="25" t="n"/>
      <c r="M40" s="25" t="n"/>
      <c r="N40" s="25" t="n"/>
      <c r="O40" s="25" t="n"/>
      <c r="P40" s="25" t="n"/>
      <c r="Q40" s="25" t="n"/>
      <c r="R40" s="16">
        <f>SUM(F40:Q40)</f>
        <v/>
      </c>
      <c r="S40" s="26">
        <f>IF(E40&gt;0,R40/E40,0)</f>
        <v/>
      </c>
      <c r="T40" s="27">
        <f>COUNTIF(F40:Q40,"&gt;0")</f>
        <v/>
      </c>
    </row>
    <row r="41">
      <c r="A41" s="21" t="n"/>
      <c r="B41" s="22" t="n"/>
      <c r="C41" s="8">
        <f>IF(B41="","",$B$6)</f>
        <v/>
      </c>
      <c r="D41" s="23" t="n"/>
      <c r="E41" s="24">
        <f>$R$4*D41</f>
        <v/>
      </c>
      <c r="F41" s="25" t="n"/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16">
        <f>SUM(F41:Q41)</f>
        <v/>
      </c>
      <c r="S41" s="26">
        <f>IF(E41&gt;0,R41/E41,0)</f>
        <v/>
      </c>
      <c r="T41" s="27">
        <f>COUNTIF(F41:Q41,"&gt;0")</f>
        <v/>
      </c>
    </row>
    <row r="42">
      <c r="A42" s="21" t="n"/>
      <c r="B42" s="22" t="n"/>
      <c r="C42" s="8">
        <f>IF(B42="","",$B$6)</f>
        <v/>
      </c>
      <c r="D42" s="23" t="n"/>
      <c r="E42" s="24">
        <f>$R$4*D42</f>
        <v/>
      </c>
      <c r="F42" s="25" t="n"/>
      <c r="G42" s="25" t="n"/>
      <c r="H42" s="25" t="n"/>
      <c r="I42" s="25" t="n"/>
      <c r="J42" s="25" t="n"/>
      <c r="K42" s="25" t="n"/>
      <c r="L42" s="25" t="n"/>
      <c r="M42" s="25" t="n"/>
      <c r="N42" s="25" t="n"/>
      <c r="O42" s="25" t="n"/>
      <c r="P42" s="25" t="n"/>
      <c r="Q42" s="25" t="n"/>
      <c r="R42" s="16">
        <f>SUM(F42:Q42)</f>
        <v/>
      </c>
      <c r="S42" s="26">
        <f>IF(E42&gt;0,R42/E42,0)</f>
        <v/>
      </c>
      <c r="T42" s="27">
        <f>COUNTIF(F42:Q42,"&gt;0")</f>
        <v/>
      </c>
    </row>
    <row r="43">
      <c r="A43" s="21" t="n"/>
      <c r="B43" s="22" t="n"/>
      <c r="C43" s="8">
        <f>IF(B43="","",$B$6)</f>
        <v/>
      </c>
      <c r="D43" s="23" t="n"/>
      <c r="E43" s="24">
        <f>$R$4*D43</f>
        <v/>
      </c>
      <c r="F43" s="25" t="n"/>
      <c r="G43" s="25" t="n"/>
      <c r="H43" s="25" t="n"/>
      <c r="I43" s="25" t="n"/>
      <c r="J43" s="25" t="n"/>
      <c r="K43" s="25" t="n"/>
      <c r="L43" s="25" t="n"/>
      <c r="M43" s="25" t="n"/>
      <c r="N43" s="25" t="n"/>
      <c r="O43" s="25" t="n"/>
      <c r="P43" s="25" t="n"/>
      <c r="Q43" s="25" t="n"/>
      <c r="R43" s="16">
        <f>SUM(F43:Q43)</f>
        <v/>
      </c>
      <c r="S43" s="26">
        <f>IF(E43&gt;0,R43/E43,0)</f>
        <v/>
      </c>
      <c r="T43" s="27">
        <f>COUNTIF(F43:Q43,"&gt;0")</f>
        <v/>
      </c>
    </row>
    <row r="44">
      <c r="A44" s="21" t="n"/>
      <c r="B44" s="22" t="n"/>
      <c r="C44" s="8">
        <f>IF(B44="","",$B$6)</f>
        <v/>
      </c>
      <c r="D44" s="23" t="n"/>
      <c r="E44" s="24">
        <f>$R$4*D44</f>
        <v/>
      </c>
      <c r="F44" s="25" t="n"/>
      <c r="G44" s="25" t="n"/>
      <c r="H44" s="25" t="n"/>
      <c r="I44" s="25" t="n"/>
      <c r="J44" s="25" t="n"/>
      <c r="K44" s="25" t="n"/>
      <c r="L44" s="25" t="n"/>
      <c r="M44" s="25" t="n"/>
      <c r="N44" s="25" t="n"/>
      <c r="O44" s="25" t="n"/>
      <c r="P44" s="25" t="n"/>
      <c r="Q44" s="25" t="n"/>
      <c r="R44" s="16">
        <f>SUM(F44:Q44)</f>
        <v/>
      </c>
      <c r="S44" s="26">
        <f>IF(E44&gt;0,R44/E44,0)</f>
        <v/>
      </c>
      <c r="T44" s="27">
        <f>COUNTIF(F44:Q44,"&gt;0")</f>
        <v/>
      </c>
    </row>
    <row r="45">
      <c r="A45" s="21" t="n"/>
      <c r="B45" s="22" t="n"/>
      <c r="C45" s="8">
        <f>IF(B45="","",$B$6)</f>
        <v/>
      </c>
      <c r="D45" s="23" t="n"/>
      <c r="E45" s="24">
        <f>$R$4*D45</f>
        <v/>
      </c>
      <c r="F45" s="25" t="n"/>
      <c r="G45" s="25" t="n"/>
      <c r="H45" s="25" t="n"/>
      <c r="I45" s="25" t="n"/>
      <c r="J45" s="25" t="n"/>
      <c r="K45" s="25" t="n"/>
      <c r="L45" s="25" t="n"/>
      <c r="M45" s="25" t="n"/>
      <c r="N45" s="25" t="n"/>
      <c r="O45" s="25" t="n"/>
      <c r="P45" s="25" t="n"/>
      <c r="Q45" s="25" t="n"/>
      <c r="R45" s="16">
        <f>SUM(F45:Q45)</f>
        <v/>
      </c>
      <c r="S45" s="26">
        <f>IF(E45&gt;0,R45/E45,0)</f>
        <v/>
      </c>
      <c r="T45" s="27">
        <f>COUNTIF(F45:Q45,"&gt;0")</f>
        <v/>
      </c>
    </row>
    <row r="46">
      <c r="A46" s="21" t="n"/>
      <c r="B46" s="22" t="n"/>
      <c r="C46" s="8">
        <f>IF(B46="","",$B$6)</f>
        <v/>
      </c>
      <c r="D46" s="23" t="n"/>
      <c r="E46" s="24">
        <f>$R$4*D46</f>
        <v/>
      </c>
      <c r="F46" s="25" t="n"/>
      <c r="G46" s="25" t="n"/>
      <c r="H46" s="25" t="n"/>
      <c r="I46" s="25" t="n"/>
      <c r="J46" s="25" t="n"/>
      <c r="K46" s="25" t="n"/>
      <c r="L46" s="25" t="n"/>
      <c r="M46" s="25" t="n"/>
      <c r="N46" s="25" t="n"/>
      <c r="O46" s="25" t="n"/>
      <c r="P46" s="25" t="n"/>
      <c r="Q46" s="25" t="n"/>
      <c r="R46" s="16">
        <f>SUM(F46:Q46)</f>
        <v/>
      </c>
      <c r="S46" s="26">
        <f>IF(E46&gt;0,R46/E46,0)</f>
        <v/>
      </c>
      <c r="T46" s="27">
        <f>COUNTIF(F46:Q46,"&gt;0")</f>
        <v/>
      </c>
    </row>
    <row r="47">
      <c r="A47" s="21" t="n"/>
      <c r="B47" s="22" t="n"/>
      <c r="C47" s="8">
        <f>IF(B47="","",$B$6)</f>
        <v/>
      </c>
      <c r="D47" s="23" t="n"/>
      <c r="E47" s="24">
        <f>$R$4*D47</f>
        <v/>
      </c>
      <c r="F47" s="25" t="n"/>
      <c r="G47" s="25" t="n"/>
      <c r="H47" s="25" t="n"/>
      <c r="I47" s="25" t="n"/>
      <c r="J47" s="25" t="n"/>
      <c r="K47" s="25" t="n"/>
      <c r="L47" s="25" t="n"/>
      <c r="M47" s="25" t="n"/>
      <c r="N47" s="25" t="n"/>
      <c r="O47" s="25" t="n"/>
      <c r="P47" s="25" t="n"/>
      <c r="Q47" s="25" t="n"/>
      <c r="R47" s="16">
        <f>SUM(F47:Q47)</f>
        <v/>
      </c>
      <c r="S47" s="26">
        <f>IF(E47&gt;0,R47/E47,0)</f>
        <v/>
      </c>
      <c r="T47" s="27">
        <f>COUNTIF(F47:Q47,"&gt;0")</f>
        <v/>
      </c>
    </row>
    <row r="48">
      <c r="A48" s="21" t="n"/>
      <c r="B48" s="22" t="n"/>
      <c r="C48" s="8">
        <f>IF(B48="","",$B$6)</f>
        <v/>
      </c>
      <c r="D48" s="23" t="n"/>
      <c r="E48" s="24">
        <f>$R$4*D48</f>
        <v/>
      </c>
      <c r="F48" s="25" t="n"/>
      <c r="G48" s="25" t="n"/>
      <c r="H48" s="25" t="n"/>
      <c r="I48" s="25" t="n"/>
      <c r="J48" s="25" t="n"/>
      <c r="K48" s="25" t="n"/>
      <c r="L48" s="25" t="n"/>
      <c r="M48" s="25" t="n"/>
      <c r="N48" s="25" t="n"/>
      <c r="O48" s="25" t="n"/>
      <c r="P48" s="25" t="n"/>
      <c r="Q48" s="25" t="n"/>
      <c r="R48" s="16">
        <f>SUM(F48:Q48)</f>
        <v/>
      </c>
      <c r="S48" s="26">
        <f>IF(E48&gt;0,R48/E48,0)</f>
        <v/>
      </c>
      <c r="T48" s="27">
        <f>COUNTIF(F48:Q48,"&gt;0")</f>
        <v/>
      </c>
    </row>
    <row r="49">
      <c r="A49" s="21" t="n"/>
      <c r="B49" s="22" t="n"/>
      <c r="C49" s="8">
        <f>IF(B49="","",$B$6)</f>
        <v/>
      </c>
      <c r="D49" s="23" t="n"/>
      <c r="E49" s="24">
        <f>$R$4*D49</f>
        <v/>
      </c>
      <c r="F49" s="25" t="n"/>
      <c r="G49" s="25" t="n"/>
      <c r="H49" s="25" t="n"/>
      <c r="I49" s="25" t="n"/>
      <c r="J49" s="25" t="n"/>
      <c r="K49" s="25" t="n"/>
      <c r="L49" s="25" t="n"/>
      <c r="M49" s="25" t="n"/>
      <c r="N49" s="25" t="n"/>
      <c r="O49" s="25" t="n"/>
      <c r="P49" s="25" t="n"/>
      <c r="Q49" s="25" t="n"/>
      <c r="R49" s="16">
        <f>SUM(F49:Q49)</f>
        <v/>
      </c>
      <c r="S49" s="26">
        <f>IF(E49&gt;0,R49/E49,0)</f>
        <v/>
      </c>
      <c r="T49" s="27">
        <f>COUNTIF(F49:Q49,"&gt;0")</f>
        <v/>
      </c>
    </row>
    <row r="50">
      <c r="A50" s="21" t="n"/>
      <c r="B50" s="22" t="n"/>
      <c r="C50" s="8">
        <f>IF(B50="","",$B$6)</f>
        <v/>
      </c>
      <c r="D50" s="23" t="n"/>
      <c r="E50" s="24">
        <f>$R$4*D50</f>
        <v/>
      </c>
      <c r="F50" s="25" t="n"/>
      <c r="G50" s="25" t="n"/>
      <c r="H50" s="25" t="n"/>
      <c r="I50" s="25" t="n"/>
      <c r="J50" s="25" t="n"/>
      <c r="K50" s="25" t="n"/>
      <c r="L50" s="25" t="n"/>
      <c r="M50" s="25" t="n"/>
      <c r="N50" s="25" t="n"/>
      <c r="O50" s="25" t="n"/>
      <c r="P50" s="25" t="n"/>
      <c r="Q50" s="25" t="n"/>
      <c r="R50" s="16">
        <f>SUM(F50:Q50)</f>
        <v/>
      </c>
      <c r="S50" s="26">
        <f>IF(E50&gt;0,R50/E50,0)</f>
        <v/>
      </c>
      <c r="T50" s="27">
        <f>COUNTIF(F50:Q50,"&gt;0")</f>
        <v/>
      </c>
    </row>
    <row r="51">
      <c r="A51" s="21" t="n"/>
      <c r="B51" s="22" t="n"/>
      <c r="C51" s="8">
        <f>IF(B51="","",$B$6)</f>
        <v/>
      </c>
      <c r="D51" s="23" t="n"/>
      <c r="E51" s="24">
        <f>$R$4*D51</f>
        <v/>
      </c>
      <c r="F51" s="25" t="n"/>
      <c r="G51" s="25" t="n"/>
      <c r="H51" s="25" t="n"/>
      <c r="I51" s="25" t="n"/>
      <c r="J51" s="25" t="n"/>
      <c r="K51" s="25" t="n"/>
      <c r="L51" s="25" t="n"/>
      <c r="M51" s="25" t="n"/>
      <c r="N51" s="25" t="n"/>
      <c r="O51" s="25" t="n"/>
      <c r="P51" s="25" t="n"/>
      <c r="Q51" s="25" t="n"/>
      <c r="R51" s="16">
        <f>SUM(F51:Q51)</f>
        <v/>
      </c>
      <c r="S51" s="26">
        <f>IF(E51&gt;0,R51/E51,0)</f>
        <v/>
      </c>
      <c r="T51" s="27">
        <f>COUNTIF(F51:Q51,"&gt;0")</f>
        <v/>
      </c>
    </row>
    <row r="52">
      <c r="A52" s="21" t="n"/>
      <c r="B52" s="22" t="n"/>
      <c r="C52" s="8">
        <f>IF(B52="","",$B$6)</f>
        <v/>
      </c>
      <c r="D52" s="23" t="n"/>
      <c r="E52" s="24">
        <f>$R$4*D52</f>
        <v/>
      </c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  <c r="O52" s="25" t="n"/>
      <c r="P52" s="25" t="n"/>
      <c r="Q52" s="25" t="n"/>
      <c r="R52" s="16">
        <f>SUM(F52:Q52)</f>
        <v/>
      </c>
      <c r="S52" s="26">
        <f>IF(E52&gt;0,R52/E52,0)</f>
        <v/>
      </c>
      <c r="T52" s="27">
        <f>COUNTIF(F52:Q52,"&gt;0")</f>
        <v/>
      </c>
    </row>
    <row r="53">
      <c r="A53" s="21" t="n"/>
      <c r="B53" s="22" t="n"/>
      <c r="C53" s="8">
        <f>IF(B53="","",$B$6)</f>
        <v/>
      </c>
      <c r="D53" s="23" t="n"/>
      <c r="E53" s="24">
        <f>$R$4*D53</f>
        <v/>
      </c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5" t="n"/>
      <c r="P53" s="25" t="n"/>
      <c r="Q53" s="25" t="n"/>
      <c r="R53" s="16">
        <f>SUM(F53:Q53)</f>
        <v/>
      </c>
      <c r="S53" s="26">
        <f>IF(E53&gt;0,R53/E53,0)</f>
        <v/>
      </c>
      <c r="T53" s="27">
        <f>COUNTIF(F53:Q53,"&gt;0")</f>
        <v/>
      </c>
    </row>
    <row r="54">
      <c r="A54" s="21" t="n"/>
      <c r="B54" s="22" t="n"/>
      <c r="C54" s="8">
        <f>IF(B54="","",$B$6)</f>
        <v/>
      </c>
      <c r="D54" s="23" t="n"/>
      <c r="E54" s="24">
        <f>$R$4*D54</f>
        <v/>
      </c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16">
        <f>SUM(F54:Q54)</f>
        <v/>
      </c>
      <c r="S54" s="26">
        <f>IF(E54&gt;0,R54/E54,0)</f>
        <v/>
      </c>
      <c r="T54" s="27">
        <f>COUNTIF(F54:Q54,"&gt;0")</f>
        <v/>
      </c>
    </row>
    <row r="55">
      <c r="A55" s="21" t="n"/>
      <c r="B55" s="22" t="n"/>
      <c r="C55" s="8">
        <f>IF(B55="","",$B$6)</f>
        <v/>
      </c>
      <c r="D55" s="23" t="n"/>
      <c r="E55" s="24">
        <f>$R$4*D55</f>
        <v/>
      </c>
      <c r="F55" s="25" t="n"/>
      <c r="G55" s="25" t="n"/>
      <c r="H55" s="25" t="n"/>
      <c r="I55" s="25" t="n"/>
      <c r="J55" s="25" t="n"/>
      <c r="K55" s="25" t="n"/>
      <c r="L55" s="25" t="n"/>
      <c r="M55" s="25" t="n"/>
      <c r="N55" s="25" t="n"/>
      <c r="O55" s="25" t="n"/>
      <c r="P55" s="25" t="n"/>
      <c r="Q55" s="25" t="n"/>
      <c r="R55" s="16">
        <f>SUM(F55:Q55)</f>
        <v/>
      </c>
      <c r="S55" s="26">
        <f>IF(E55&gt;0,R55/E55,0)</f>
        <v/>
      </c>
      <c r="T55" s="27">
        <f>COUNTIF(F55:Q55,"&gt;0")</f>
        <v/>
      </c>
    </row>
    <row r="56">
      <c r="A56" s="21" t="n"/>
      <c r="B56" s="22" t="n"/>
      <c r="C56" s="8">
        <f>IF(B56="","",$B$6)</f>
        <v/>
      </c>
      <c r="D56" s="23" t="n"/>
      <c r="E56" s="24">
        <f>$R$4*D56</f>
        <v/>
      </c>
      <c r="F56" s="25" t="n"/>
      <c r="G56" s="25" t="n"/>
      <c r="H56" s="25" t="n"/>
      <c r="I56" s="25" t="n"/>
      <c r="J56" s="25" t="n"/>
      <c r="K56" s="25" t="n"/>
      <c r="L56" s="25" t="n"/>
      <c r="M56" s="25" t="n"/>
      <c r="N56" s="25" t="n"/>
      <c r="O56" s="25" t="n"/>
      <c r="P56" s="25" t="n"/>
      <c r="Q56" s="25" t="n"/>
      <c r="R56" s="16">
        <f>SUM(F56:Q56)</f>
        <v/>
      </c>
      <c r="S56" s="26">
        <f>IF(E56&gt;0,R56/E56,0)</f>
        <v/>
      </c>
      <c r="T56" s="27">
        <f>COUNTIF(F56:Q56,"&gt;0")</f>
        <v/>
      </c>
    </row>
    <row r="57">
      <c r="A57" s="28" t="n"/>
      <c r="B57" s="28">
        <f>"Summe "&amp;$B$6</f>
        <v/>
      </c>
      <c r="C57" s="29">
        <f>COUNTA(B7:B56)&amp;" MA"</f>
        <v/>
      </c>
      <c r="D57" s="30">
        <f>SUM(D7:D56)</f>
        <v/>
      </c>
      <c r="E57" s="31">
        <f>SUM(E7:E56)</f>
        <v/>
      </c>
      <c r="F57" s="32">
        <f>SUM(F7:F56)</f>
        <v/>
      </c>
      <c r="G57" s="32">
        <f>SUM(G7:G56)</f>
        <v/>
      </c>
      <c r="H57" s="32">
        <f>SUM(H7:H56)</f>
        <v/>
      </c>
      <c r="I57" s="32">
        <f>SUM(I7:I56)</f>
        <v/>
      </c>
      <c r="J57" s="32">
        <f>SUM(J7:J56)</f>
        <v/>
      </c>
      <c r="K57" s="32">
        <f>SUM(K7:K56)</f>
        <v/>
      </c>
      <c r="L57" s="32">
        <f>SUM(L7:L56)</f>
        <v/>
      </c>
      <c r="M57" s="32">
        <f>SUM(M7:M56)</f>
        <v/>
      </c>
      <c r="N57" s="32">
        <f>SUM(N7:N56)</f>
        <v/>
      </c>
      <c r="O57" s="32">
        <f>SUM(O7:O56)</f>
        <v/>
      </c>
      <c r="P57" s="32">
        <f>SUM(P7:P56)</f>
        <v/>
      </c>
      <c r="Q57" s="32">
        <f>SUM(Q7:Q56)</f>
        <v/>
      </c>
      <c r="R57" s="32">
        <f>SUM(R7:R56)</f>
        <v/>
      </c>
      <c r="S57" s="33">
        <f>IF(E57&gt;0,R57/E57,0)</f>
        <v/>
      </c>
      <c r="T57" s="32">
        <f>SUM(T7:T56)</f>
        <v/>
      </c>
    </row>
    <row r="58">
      <c r="A58" s="34" t="n"/>
      <c r="B58" s="28" t="inlineStr">
        <is>
          <t>Monatsquote</t>
        </is>
      </c>
      <c r="C58" s="34" t="n"/>
      <c r="D58" s="34" t="n"/>
      <c r="E58" s="34" t="n"/>
      <c r="F58" s="33">
        <f>IF(F$4*$D57&gt;0,F57/(F$4*$D57),0)</f>
        <v/>
      </c>
      <c r="G58" s="33">
        <f>IF(G$4*$D57&gt;0,G57/(G$4*$D57),0)</f>
        <v/>
      </c>
      <c r="H58" s="33">
        <f>IF(H$4*$D57&gt;0,H57/(H$4*$D57),0)</f>
        <v/>
      </c>
      <c r="I58" s="33">
        <f>IF(I$4*$D57&gt;0,I57/(I$4*$D57),0)</f>
        <v/>
      </c>
      <c r="J58" s="33">
        <f>IF(J$4*$D57&gt;0,J57/(J$4*$D57),0)</f>
        <v/>
      </c>
      <c r="K58" s="33">
        <f>IF(K$4*$D57&gt;0,K57/(K$4*$D57),0)</f>
        <v/>
      </c>
      <c r="L58" s="33">
        <f>IF(L$4*$D57&gt;0,L57/(L$4*$D57),0)</f>
        <v/>
      </c>
      <c r="M58" s="33">
        <f>IF(M$4*$D57&gt;0,M57/(M$4*$D57),0)</f>
        <v/>
      </c>
      <c r="N58" s="33">
        <f>IF(N$4*$D57&gt;0,N57/(N$4*$D57),0)</f>
        <v/>
      </c>
      <c r="O58" s="33">
        <f>IF(O$4*$D57&gt;0,O57/(O$4*$D57),0)</f>
        <v/>
      </c>
      <c r="P58" s="33">
        <f>IF(P$4*$D57&gt;0,P57/(P$4*$D57),0)</f>
        <v/>
      </c>
      <c r="Q58" s="33">
        <f>IF(Q$4*$D57&gt;0,Q57/(Q$4*$D57),0)</f>
        <v/>
      </c>
      <c r="R58" s="34" t="n"/>
      <c r="S58" s="34" t="n"/>
      <c r="T58" s="34" t="n"/>
    </row>
    <row r="60">
      <c r="A60" s="35" t="inlineStr">
        <is>
          <t>Objekt:</t>
        </is>
      </c>
      <c r="B60" s="19" t="inlineStr">
        <is>
          <t>Objekt 2</t>
        </is>
      </c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6" t="n"/>
      <c r="T60" s="36" t="n"/>
    </row>
    <row r="61">
      <c r="A61" s="21" t="n">
        <v>1016</v>
      </c>
      <c r="B61" s="22" t="inlineStr">
        <is>
          <t>Mitarbeiter 16</t>
        </is>
      </c>
      <c r="C61" s="8">
        <f>IF(B61="","",$B$60)</f>
        <v/>
      </c>
      <c r="D61" s="23" t="n">
        <v>1</v>
      </c>
      <c r="E61" s="24">
        <f>$R$4*D61</f>
        <v/>
      </c>
      <c r="F61" s="25" t="n">
        <v>0</v>
      </c>
      <c r="G61" s="25" t="n">
        <v>5</v>
      </c>
      <c r="H61" s="25" t="n">
        <v>0</v>
      </c>
      <c r="I61" s="25" t="n">
        <v>0</v>
      </c>
      <c r="J61" s="25" t="n">
        <v>0</v>
      </c>
      <c r="K61" s="25" t="n">
        <v>0</v>
      </c>
      <c r="L61" s="25" t="n">
        <v>0</v>
      </c>
      <c r="M61" s="25" t="n">
        <v>0</v>
      </c>
      <c r="N61" s="25" t="n">
        <v>2</v>
      </c>
      <c r="O61" s="25" t="n">
        <v>5</v>
      </c>
      <c r="P61" s="25" t="n">
        <v>3</v>
      </c>
      <c r="Q61" s="25" t="n">
        <v>0</v>
      </c>
      <c r="R61" s="16">
        <f>SUM(F61:Q61)</f>
        <v/>
      </c>
      <c r="S61" s="26">
        <f>IF(E61&gt;0,R61/E61,0)</f>
        <v/>
      </c>
      <c r="T61" s="27">
        <f>COUNTIF(F61:Q61,"&gt;0")</f>
        <v/>
      </c>
    </row>
    <row r="62">
      <c r="A62" s="21" t="n">
        <v>1017</v>
      </c>
      <c r="B62" s="22" t="inlineStr">
        <is>
          <t>Mitarbeiter 17</t>
        </is>
      </c>
      <c r="C62" s="8">
        <f>IF(B62="","",$B$60)</f>
        <v/>
      </c>
      <c r="D62" s="23" t="n">
        <v>0.5</v>
      </c>
      <c r="E62" s="24">
        <f>$R$4*D62</f>
        <v/>
      </c>
      <c r="F62" s="25" t="n">
        <v>0</v>
      </c>
      <c r="G62" s="25" t="n">
        <v>0</v>
      </c>
      <c r="H62" s="25" t="n">
        <v>0</v>
      </c>
      <c r="I62" s="25" t="n">
        <v>0</v>
      </c>
      <c r="J62" s="25" t="n">
        <v>0</v>
      </c>
      <c r="K62" s="25" t="n">
        <v>3</v>
      </c>
      <c r="L62" s="25" t="n">
        <v>1</v>
      </c>
      <c r="M62" s="25" t="n">
        <v>3</v>
      </c>
      <c r="N62" s="25" t="n">
        <v>0</v>
      </c>
      <c r="O62" s="25" t="n">
        <v>2</v>
      </c>
      <c r="P62" s="25" t="n">
        <v>3</v>
      </c>
      <c r="Q62" s="25" t="n">
        <v>0</v>
      </c>
      <c r="R62" s="16">
        <f>SUM(F62:Q62)</f>
        <v/>
      </c>
      <c r="S62" s="26">
        <f>IF(E62&gt;0,R62/E62,0)</f>
        <v/>
      </c>
      <c r="T62" s="27">
        <f>COUNTIF(F62:Q62,"&gt;0")</f>
        <v/>
      </c>
    </row>
    <row r="63">
      <c r="A63" s="21" t="n">
        <v>1018</v>
      </c>
      <c r="B63" s="22" t="inlineStr">
        <is>
          <t>Mitarbeiter 18</t>
        </is>
      </c>
      <c r="C63" s="8">
        <f>IF(B63="","",$B$60)</f>
        <v/>
      </c>
      <c r="D63" s="23" t="n">
        <v>0.75</v>
      </c>
      <c r="E63" s="24">
        <f>$R$4*D63</f>
        <v/>
      </c>
      <c r="F63" s="25" t="n">
        <v>1</v>
      </c>
      <c r="G63" s="25" t="n">
        <v>0</v>
      </c>
      <c r="H63" s="25" t="n">
        <v>0</v>
      </c>
      <c r="I63" s="25" t="n">
        <v>2</v>
      </c>
      <c r="J63" s="25" t="n">
        <v>6</v>
      </c>
      <c r="K63" s="25" t="n">
        <v>5</v>
      </c>
      <c r="L63" s="25" t="n">
        <v>0</v>
      </c>
      <c r="M63" s="25" t="n">
        <v>1</v>
      </c>
      <c r="N63" s="25" t="n">
        <v>2</v>
      </c>
      <c r="O63" s="25" t="n">
        <v>3</v>
      </c>
      <c r="P63" s="25" t="n">
        <v>1</v>
      </c>
      <c r="Q63" s="25" t="n">
        <v>2</v>
      </c>
      <c r="R63" s="16">
        <f>SUM(F63:Q63)</f>
        <v/>
      </c>
      <c r="S63" s="26">
        <f>IF(E63&gt;0,R63/E63,0)</f>
        <v/>
      </c>
      <c r="T63" s="27">
        <f>COUNTIF(F63:Q63,"&gt;0")</f>
        <v/>
      </c>
    </row>
    <row r="64">
      <c r="A64" s="21" t="n">
        <v>1019</v>
      </c>
      <c r="B64" s="22" t="inlineStr">
        <is>
          <t>Mitarbeiter 19</t>
        </is>
      </c>
      <c r="C64" s="8">
        <f>IF(B64="","",$B$60)</f>
        <v/>
      </c>
      <c r="D64" s="23" t="n">
        <v>1</v>
      </c>
      <c r="E64" s="24">
        <f>$R$4*D64</f>
        <v/>
      </c>
      <c r="F64" s="25" t="n">
        <v>0</v>
      </c>
      <c r="G64" s="25" t="n">
        <v>1</v>
      </c>
      <c r="H64" s="25" t="n">
        <v>0</v>
      </c>
      <c r="I64" s="25" t="n">
        <v>0</v>
      </c>
      <c r="J64" s="25" t="n">
        <v>1</v>
      </c>
      <c r="K64" s="25" t="n">
        <v>2</v>
      </c>
      <c r="L64" s="25" t="n">
        <v>1</v>
      </c>
      <c r="M64" s="25" t="n">
        <v>0</v>
      </c>
      <c r="N64" s="25" t="n">
        <v>5</v>
      </c>
      <c r="O64" s="25" t="n">
        <v>5</v>
      </c>
      <c r="P64" s="25" t="n">
        <v>3</v>
      </c>
      <c r="Q64" s="25" t="n">
        <v>1</v>
      </c>
      <c r="R64" s="16">
        <f>SUM(F64:Q64)</f>
        <v/>
      </c>
      <c r="S64" s="26">
        <f>IF(E64&gt;0,R64/E64,0)</f>
        <v/>
      </c>
      <c r="T64" s="27">
        <f>COUNTIF(F64:Q64,"&gt;0")</f>
        <v/>
      </c>
    </row>
    <row r="65">
      <c r="A65" s="21" t="n">
        <v>1020</v>
      </c>
      <c r="B65" s="22" t="inlineStr">
        <is>
          <t>Mitarbeiter 20</t>
        </is>
      </c>
      <c r="C65" s="8">
        <f>IF(B65="","",$B$60)</f>
        <v/>
      </c>
      <c r="D65" s="23" t="n">
        <v>0.5</v>
      </c>
      <c r="E65" s="24">
        <f>$R$4*D65</f>
        <v/>
      </c>
      <c r="F65" s="25" t="n">
        <v>0</v>
      </c>
      <c r="G65" s="25" t="n">
        <v>1</v>
      </c>
      <c r="H65" s="25" t="n">
        <v>0</v>
      </c>
      <c r="I65" s="25" t="n">
        <v>0</v>
      </c>
      <c r="J65" s="25" t="n">
        <v>2</v>
      </c>
      <c r="K65" s="25" t="n">
        <v>5</v>
      </c>
      <c r="L65" s="25" t="n">
        <v>0</v>
      </c>
      <c r="M65" s="25" t="n">
        <v>0</v>
      </c>
      <c r="N65" s="25" t="n">
        <v>1</v>
      </c>
      <c r="O65" s="25" t="n">
        <v>0</v>
      </c>
      <c r="P65" s="25" t="n">
        <v>0</v>
      </c>
      <c r="Q65" s="25" t="n">
        <v>5</v>
      </c>
      <c r="R65" s="16">
        <f>SUM(F65:Q65)</f>
        <v/>
      </c>
      <c r="S65" s="26">
        <f>IF(E65&gt;0,R65/E65,0)</f>
        <v/>
      </c>
      <c r="T65" s="27">
        <f>COUNTIF(F65:Q65,"&gt;0")</f>
        <v/>
      </c>
    </row>
    <row r="66">
      <c r="A66" s="21" t="n">
        <v>1021</v>
      </c>
      <c r="B66" s="22" t="inlineStr">
        <is>
          <t>Mitarbeiter 21</t>
        </is>
      </c>
      <c r="C66" s="8">
        <f>IF(B66="","",$B$60)</f>
        <v/>
      </c>
      <c r="D66" s="23" t="n">
        <v>0.75</v>
      </c>
      <c r="E66" s="24">
        <f>$R$4*D66</f>
        <v/>
      </c>
      <c r="F66" s="25" t="n">
        <v>0</v>
      </c>
      <c r="G66" s="25" t="n">
        <v>1</v>
      </c>
      <c r="H66" s="25" t="n">
        <v>3</v>
      </c>
      <c r="I66" s="25" t="n">
        <v>0</v>
      </c>
      <c r="J66" s="25" t="n">
        <v>0</v>
      </c>
      <c r="K66" s="25" t="n">
        <v>0</v>
      </c>
      <c r="L66" s="25" t="n">
        <v>0</v>
      </c>
      <c r="M66" s="25" t="n">
        <v>0</v>
      </c>
      <c r="N66" s="25" t="n">
        <v>5</v>
      </c>
      <c r="O66" s="25" t="n">
        <v>5</v>
      </c>
      <c r="P66" s="25" t="n">
        <v>2</v>
      </c>
      <c r="Q66" s="25" t="n">
        <v>2</v>
      </c>
      <c r="R66" s="16">
        <f>SUM(F66:Q66)</f>
        <v/>
      </c>
      <c r="S66" s="26">
        <f>IF(E66&gt;0,R66/E66,0)</f>
        <v/>
      </c>
      <c r="T66" s="27">
        <f>COUNTIF(F66:Q66,"&gt;0")</f>
        <v/>
      </c>
    </row>
    <row r="67">
      <c r="A67" s="21" t="n">
        <v>1022</v>
      </c>
      <c r="B67" s="22" t="inlineStr">
        <is>
          <t>Mitarbeiter 22</t>
        </is>
      </c>
      <c r="C67" s="8">
        <f>IF(B67="","",$B$60)</f>
        <v/>
      </c>
      <c r="D67" s="23" t="n">
        <v>1</v>
      </c>
      <c r="E67" s="24">
        <f>$R$4*D67</f>
        <v/>
      </c>
      <c r="F67" s="25" t="n">
        <v>0</v>
      </c>
      <c r="G67" s="25" t="n">
        <v>0</v>
      </c>
      <c r="H67" s="25" t="n">
        <v>0</v>
      </c>
      <c r="I67" s="25" t="n">
        <v>0</v>
      </c>
      <c r="J67" s="25" t="n">
        <v>0</v>
      </c>
      <c r="K67" s="25" t="n">
        <v>1</v>
      </c>
      <c r="L67" s="25" t="n">
        <v>1</v>
      </c>
      <c r="M67" s="25" t="n">
        <v>3</v>
      </c>
      <c r="N67" s="25" t="n">
        <v>0</v>
      </c>
      <c r="O67" s="25" t="n">
        <v>1</v>
      </c>
      <c r="P67" s="25" t="n">
        <v>0</v>
      </c>
      <c r="Q67" s="25" t="n">
        <v>6</v>
      </c>
      <c r="R67" s="16">
        <f>SUM(F67:Q67)</f>
        <v/>
      </c>
      <c r="S67" s="26">
        <f>IF(E67&gt;0,R67/E67,0)</f>
        <v/>
      </c>
      <c r="T67" s="27">
        <f>COUNTIF(F67:Q67,"&gt;0")</f>
        <v/>
      </c>
    </row>
    <row r="68">
      <c r="A68" s="21" t="n">
        <v>1023</v>
      </c>
      <c r="B68" s="22" t="inlineStr">
        <is>
          <t>Mitarbeiter 23</t>
        </is>
      </c>
      <c r="C68" s="8">
        <f>IF(B68="","",$B$60)</f>
        <v/>
      </c>
      <c r="D68" s="23" t="n">
        <v>1</v>
      </c>
      <c r="E68" s="24">
        <f>$R$4*D68</f>
        <v/>
      </c>
      <c r="F68" s="25" t="n">
        <v>1</v>
      </c>
      <c r="G68" s="25" t="n">
        <v>3</v>
      </c>
      <c r="H68" s="25" t="n">
        <v>0</v>
      </c>
      <c r="I68" s="25" t="n">
        <v>2</v>
      </c>
      <c r="J68" s="25" t="n">
        <v>0</v>
      </c>
      <c r="K68" s="25" t="n">
        <v>1</v>
      </c>
      <c r="L68" s="25" t="n">
        <v>0</v>
      </c>
      <c r="M68" s="25" t="n">
        <v>1</v>
      </c>
      <c r="N68" s="25" t="n">
        <v>6</v>
      </c>
      <c r="O68" s="25" t="n">
        <v>5</v>
      </c>
      <c r="P68" s="25" t="n">
        <v>2</v>
      </c>
      <c r="Q68" s="25" t="n">
        <v>0</v>
      </c>
      <c r="R68" s="16">
        <f>SUM(F68:Q68)</f>
        <v/>
      </c>
      <c r="S68" s="26">
        <f>IF(E68&gt;0,R68/E68,0)</f>
        <v/>
      </c>
      <c r="T68" s="27">
        <f>COUNTIF(F68:Q68,"&gt;0")</f>
        <v/>
      </c>
    </row>
    <row r="69">
      <c r="A69" s="21" t="n">
        <v>1024</v>
      </c>
      <c r="B69" s="22" t="inlineStr">
        <is>
          <t>Mitarbeiter 24</t>
        </is>
      </c>
      <c r="C69" s="8">
        <f>IF(B69="","",$B$60)</f>
        <v/>
      </c>
      <c r="D69" s="23" t="n">
        <v>0.5</v>
      </c>
      <c r="E69" s="24">
        <f>$R$4*D69</f>
        <v/>
      </c>
      <c r="F69" s="25" t="n">
        <v>0</v>
      </c>
      <c r="G69" s="25" t="n">
        <v>0</v>
      </c>
      <c r="H69" s="25" t="n">
        <v>0</v>
      </c>
      <c r="I69" s="25" t="n">
        <v>1</v>
      </c>
      <c r="J69" s="25" t="n">
        <v>0</v>
      </c>
      <c r="K69" s="25" t="n">
        <v>3</v>
      </c>
      <c r="L69" s="25" t="n">
        <v>0</v>
      </c>
      <c r="M69" s="25" t="n">
        <v>0</v>
      </c>
      <c r="N69" s="25" t="n">
        <v>0</v>
      </c>
      <c r="O69" s="25" t="n">
        <v>0</v>
      </c>
      <c r="P69" s="25" t="n">
        <v>0</v>
      </c>
      <c r="Q69" s="25" t="n">
        <v>0</v>
      </c>
      <c r="R69" s="16">
        <f>SUM(F69:Q69)</f>
        <v/>
      </c>
      <c r="S69" s="26">
        <f>IF(E69&gt;0,R69/E69,0)</f>
        <v/>
      </c>
      <c r="T69" s="27">
        <f>COUNTIF(F69:Q69,"&gt;0")</f>
        <v/>
      </c>
    </row>
    <row r="70">
      <c r="A70" s="21" t="n">
        <v>1025</v>
      </c>
      <c r="B70" s="22" t="inlineStr">
        <is>
          <t>Mitarbeiter 25</t>
        </is>
      </c>
      <c r="C70" s="8">
        <f>IF(B70="","",$B$60)</f>
        <v/>
      </c>
      <c r="D70" s="23" t="n">
        <v>1</v>
      </c>
      <c r="E70" s="24">
        <f>$R$4*D70</f>
        <v/>
      </c>
      <c r="F70" s="25" t="n">
        <v>3</v>
      </c>
      <c r="G70" s="25" t="n">
        <v>0</v>
      </c>
      <c r="H70" s="25" t="n">
        <v>2</v>
      </c>
      <c r="I70" s="25" t="n">
        <v>1</v>
      </c>
      <c r="J70" s="25" t="n">
        <v>2</v>
      </c>
      <c r="K70" s="25" t="n">
        <v>0</v>
      </c>
      <c r="L70" s="25" t="n">
        <v>3</v>
      </c>
      <c r="M70" s="25" t="n">
        <v>2</v>
      </c>
      <c r="N70" s="25" t="n">
        <v>0</v>
      </c>
      <c r="O70" s="25" t="n">
        <v>0</v>
      </c>
      <c r="P70" s="25" t="n">
        <v>0</v>
      </c>
      <c r="Q70" s="25" t="n">
        <v>0</v>
      </c>
      <c r="R70" s="16">
        <f>SUM(F70:Q70)</f>
        <v/>
      </c>
      <c r="S70" s="26">
        <f>IF(E70&gt;0,R70/E70,0)</f>
        <v/>
      </c>
      <c r="T70" s="27">
        <f>COUNTIF(F70:Q70,"&gt;0")</f>
        <v/>
      </c>
    </row>
    <row r="71">
      <c r="A71" s="21" t="n">
        <v>1026</v>
      </c>
      <c r="B71" s="22" t="inlineStr">
        <is>
          <t>Mitarbeiter 26</t>
        </is>
      </c>
      <c r="C71" s="8">
        <f>IF(B71="","",$B$60)</f>
        <v/>
      </c>
      <c r="D71" s="23" t="n">
        <v>1</v>
      </c>
      <c r="E71" s="24">
        <f>$R$4*D71</f>
        <v/>
      </c>
      <c r="F71" s="25" t="n">
        <v>1</v>
      </c>
      <c r="G71" s="25" t="n">
        <v>2</v>
      </c>
      <c r="H71" s="25" t="n">
        <v>5</v>
      </c>
      <c r="I71" s="25" t="n">
        <v>0</v>
      </c>
      <c r="J71" s="25" t="n">
        <v>0</v>
      </c>
      <c r="K71" s="25" t="n">
        <v>0</v>
      </c>
      <c r="L71" s="25" t="n">
        <v>6</v>
      </c>
      <c r="M71" s="25" t="n">
        <v>0</v>
      </c>
      <c r="N71" s="25" t="n">
        <v>0</v>
      </c>
      <c r="O71" s="25" t="n">
        <v>2</v>
      </c>
      <c r="P71" s="25" t="n">
        <v>5</v>
      </c>
      <c r="Q71" s="25" t="n">
        <v>2</v>
      </c>
      <c r="R71" s="16">
        <f>SUM(F71:Q71)</f>
        <v/>
      </c>
      <c r="S71" s="26">
        <f>IF(E71&gt;0,R71/E71,0)</f>
        <v/>
      </c>
      <c r="T71" s="27">
        <f>COUNTIF(F71:Q71,"&gt;0")</f>
        <v/>
      </c>
    </row>
    <row r="72">
      <c r="A72" s="21" t="n">
        <v>1027</v>
      </c>
      <c r="B72" s="22" t="inlineStr">
        <is>
          <t>Mitarbeiter 27</t>
        </is>
      </c>
      <c r="C72" s="8">
        <f>IF(B72="","",$B$60)</f>
        <v/>
      </c>
      <c r="D72" s="23" t="n">
        <v>0.75</v>
      </c>
      <c r="E72" s="24">
        <f>$R$4*D72</f>
        <v/>
      </c>
      <c r="F72" s="25" t="n">
        <v>3</v>
      </c>
      <c r="G72" s="25" t="n">
        <v>0</v>
      </c>
      <c r="H72" s="25" t="n">
        <v>2</v>
      </c>
      <c r="I72" s="25" t="n">
        <v>1</v>
      </c>
      <c r="J72" s="25" t="n">
        <v>0</v>
      </c>
      <c r="K72" s="25" t="n">
        <v>1</v>
      </c>
      <c r="L72" s="25" t="n">
        <v>0</v>
      </c>
      <c r="M72" s="25" t="n">
        <v>0</v>
      </c>
      <c r="N72" s="25" t="n">
        <v>5</v>
      </c>
      <c r="O72" s="25" t="n">
        <v>0</v>
      </c>
      <c r="P72" s="25" t="n">
        <v>0</v>
      </c>
      <c r="Q72" s="25" t="n">
        <v>3</v>
      </c>
      <c r="R72" s="16">
        <f>SUM(F72:Q72)</f>
        <v/>
      </c>
      <c r="S72" s="26">
        <f>IF(E72&gt;0,R72/E72,0)</f>
        <v/>
      </c>
      <c r="T72" s="27">
        <f>COUNTIF(F72:Q72,"&gt;0")</f>
        <v/>
      </c>
    </row>
    <row r="73">
      <c r="A73" s="21" t="n">
        <v>1028</v>
      </c>
      <c r="B73" s="22" t="inlineStr">
        <is>
          <t>Mitarbeiter 28</t>
        </is>
      </c>
      <c r="C73" s="8">
        <f>IF(B73="","",$B$60)</f>
        <v/>
      </c>
      <c r="D73" s="23" t="n">
        <v>1</v>
      </c>
      <c r="E73" s="24">
        <f>$R$4*D73</f>
        <v/>
      </c>
      <c r="F73" s="25" t="n">
        <v>0</v>
      </c>
      <c r="G73" s="25" t="n">
        <v>3</v>
      </c>
      <c r="H73" s="25" t="n">
        <v>0</v>
      </c>
      <c r="I73" s="25" t="n">
        <v>0</v>
      </c>
      <c r="J73" s="25" t="n">
        <v>0</v>
      </c>
      <c r="K73" s="25" t="n">
        <v>6</v>
      </c>
      <c r="L73" s="25" t="n">
        <v>0</v>
      </c>
      <c r="M73" s="25" t="n">
        <v>0</v>
      </c>
      <c r="N73" s="25" t="n">
        <v>0</v>
      </c>
      <c r="O73" s="25" t="n">
        <v>1</v>
      </c>
      <c r="P73" s="25" t="n">
        <v>0</v>
      </c>
      <c r="Q73" s="25" t="n">
        <v>0</v>
      </c>
      <c r="R73" s="16">
        <f>SUM(F73:Q73)</f>
        <v/>
      </c>
      <c r="S73" s="26">
        <f>IF(E73&gt;0,R73/E73,0)</f>
        <v/>
      </c>
      <c r="T73" s="27">
        <f>COUNTIF(F73:Q73,"&gt;0")</f>
        <v/>
      </c>
    </row>
    <row r="74">
      <c r="A74" s="21" t="n">
        <v>1029</v>
      </c>
      <c r="B74" s="22" t="inlineStr">
        <is>
          <t>Mitarbeiter 29</t>
        </is>
      </c>
      <c r="C74" s="8">
        <f>IF(B74="","",$B$60)</f>
        <v/>
      </c>
      <c r="D74" s="23" t="n">
        <v>1</v>
      </c>
      <c r="E74" s="24">
        <f>$R$4*D74</f>
        <v/>
      </c>
      <c r="F74" s="25" t="n">
        <v>0</v>
      </c>
      <c r="G74" s="25" t="n">
        <v>0</v>
      </c>
      <c r="H74" s="25" t="n">
        <v>2</v>
      </c>
      <c r="I74" s="25" t="n">
        <v>0</v>
      </c>
      <c r="J74" s="25" t="n">
        <v>0</v>
      </c>
      <c r="K74" s="25" t="n">
        <v>1</v>
      </c>
      <c r="L74" s="25" t="n">
        <v>0</v>
      </c>
      <c r="M74" s="25" t="n">
        <v>0</v>
      </c>
      <c r="N74" s="25" t="n">
        <v>3</v>
      </c>
      <c r="O74" s="25" t="n">
        <v>0</v>
      </c>
      <c r="P74" s="25" t="n">
        <v>5</v>
      </c>
      <c r="Q74" s="25" t="n">
        <v>5</v>
      </c>
      <c r="R74" s="16">
        <f>SUM(F74:Q74)</f>
        <v/>
      </c>
      <c r="S74" s="26">
        <f>IF(E74&gt;0,R74/E74,0)</f>
        <v/>
      </c>
      <c r="T74" s="27">
        <f>COUNTIF(F74:Q74,"&gt;0")</f>
        <v/>
      </c>
    </row>
    <row r="75">
      <c r="A75" s="21" t="n">
        <v>1030</v>
      </c>
      <c r="B75" s="22" t="inlineStr">
        <is>
          <t>Mitarbeiter 30</t>
        </is>
      </c>
      <c r="C75" s="8">
        <f>IF(B75="","",$B$60)</f>
        <v/>
      </c>
      <c r="D75" s="23" t="n">
        <v>1</v>
      </c>
      <c r="E75" s="24">
        <f>$R$4*D75</f>
        <v/>
      </c>
      <c r="F75" s="25" t="n">
        <v>5</v>
      </c>
      <c r="G75" s="25" t="n">
        <v>0</v>
      </c>
      <c r="H75" s="25" t="n">
        <v>0</v>
      </c>
      <c r="I75" s="25" t="n">
        <v>0</v>
      </c>
      <c r="J75" s="25" t="n">
        <v>0</v>
      </c>
      <c r="K75" s="25" t="n">
        <v>5</v>
      </c>
      <c r="L75" s="25" t="n">
        <v>0</v>
      </c>
      <c r="M75" s="25" t="n">
        <v>0</v>
      </c>
      <c r="N75" s="25" t="n">
        <v>0</v>
      </c>
      <c r="O75" s="25" t="n">
        <v>5</v>
      </c>
      <c r="P75" s="25" t="n">
        <v>0</v>
      </c>
      <c r="Q75" s="25" t="n">
        <v>0</v>
      </c>
      <c r="R75" s="16">
        <f>SUM(F75:Q75)</f>
        <v/>
      </c>
      <c r="S75" s="26">
        <f>IF(E75&gt;0,R75/E75,0)</f>
        <v/>
      </c>
      <c r="T75" s="27">
        <f>COUNTIF(F75:Q75,"&gt;0")</f>
        <v/>
      </c>
    </row>
    <row r="76">
      <c r="A76" s="21" t="n"/>
      <c r="B76" s="22" t="n"/>
      <c r="C76" s="8">
        <f>IF(B76="","",$B$60)</f>
        <v/>
      </c>
      <c r="D76" s="23" t="n"/>
      <c r="E76" s="24">
        <f>$R$4*D76</f>
        <v/>
      </c>
      <c r="F76" s="25" t="n"/>
      <c r="G76" s="25" t="n"/>
      <c r="H76" s="25" t="n"/>
      <c r="I76" s="25" t="n"/>
      <c r="J76" s="25" t="n"/>
      <c r="K76" s="25" t="n"/>
      <c r="L76" s="25" t="n"/>
      <c r="M76" s="25" t="n"/>
      <c r="N76" s="25" t="n"/>
      <c r="O76" s="25" t="n"/>
      <c r="P76" s="25" t="n"/>
      <c r="Q76" s="25" t="n"/>
      <c r="R76" s="16">
        <f>SUM(F76:Q76)</f>
        <v/>
      </c>
      <c r="S76" s="26">
        <f>IF(E76&gt;0,R76/E76,0)</f>
        <v/>
      </c>
      <c r="T76" s="27">
        <f>COUNTIF(F76:Q76,"&gt;0")</f>
        <v/>
      </c>
    </row>
    <row r="77">
      <c r="A77" s="21" t="n"/>
      <c r="B77" s="22" t="n"/>
      <c r="C77" s="8">
        <f>IF(B77="","",$B$60)</f>
        <v/>
      </c>
      <c r="D77" s="23" t="n"/>
      <c r="E77" s="24">
        <f>$R$4*D77</f>
        <v/>
      </c>
      <c r="F77" s="25" t="n"/>
      <c r="G77" s="25" t="n"/>
      <c r="H77" s="25" t="n"/>
      <c r="I77" s="25" t="n"/>
      <c r="J77" s="25" t="n"/>
      <c r="K77" s="25" t="n"/>
      <c r="L77" s="25" t="n"/>
      <c r="M77" s="25" t="n"/>
      <c r="N77" s="25" t="n"/>
      <c r="O77" s="25" t="n"/>
      <c r="P77" s="25" t="n"/>
      <c r="Q77" s="25" t="n"/>
      <c r="R77" s="16">
        <f>SUM(F77:Q77)</f>
        <v/>
      </c>
      <c r="S77" s="26">
        <f>IF(E77&gt;0,R77/E77,0)</f>
        <v/>
      </c>
      <c r="T77" s="27">
        <f>COUNTIF(F77:Q77,"&gt;0")</f>
        <v/>
      </c>
    </row>
    <row r="78">
      <c r="A78" s="21" t="n"/>
      <c r="B78" s="22" t="n"/>
      <c r="C78" s="8">
        <f>IF(B78="","",$B$60)</f>
        <v/>
      </c>
      <c r="D78" s="23" t="n"/>
      <c r="E78" s="24">
        <f>$R$4*D78</f>
        <v/>
      </c>
      <c r="F78" s="25" t="n"/>
      <c r="G78" s="25" t="n"/>
      <c r="H78" s="25" t="n"/>
      <c r="I78" s="25" t="n"/>
      <c r="J78" s="25" t="n"/>
      <c r="K78" s="25" t="n"/>
      <c r="L78" s="25" t="n"/>
      <c r="M78" s="25" t="n"/>
      <c r="N78" s="25" t="n"/>
      <c r="O78" s="25" t="n"/>
      <c r="P78" s="25" t="n"/>
      <c r="Q78" s="25" t="n"/>
      <c r="R78" s="16">
        <f>SUM(F78:Q78)</f>
        <v/>
      </c>
      <c r="S78" s="26">
        <f>IF(E78&gt;0,R78/E78,0)</f>
        <v/>
      </c>
      <c r="T78" s="27">
        <f>COUNTIF(F78:Q78,"&gt;0")</f>
        <v/>
      </c>
    </row>
    <row r="79">
      <c r="A79" s="21" t="n"/>
      <c r="B79" s="22" t="n"/>
      <c r="C79" s="8">
        <f>IF(B79="","",$B$60)</f>
        <v/>
      </c>
      <c r="D79" s="23" t="n"/>
      <c r="E79" s="24">
        <f>$R$4*D79</f>
        <v/>
      </c>
      <c r="F79" s="25" t="n"/>
      <c r="G79" s="25" t="n"/>
      <c r="H79" s="25" t="n"/>
      <c r="I79" s="25" t="n"/>
      <c r="J79" s="25" t="n"/>
      <c r="K79" s="25" t="n"/>
      <c r="L79" s="25" t="n"/>
      <c r="M79" s="25" t="n"/>
      <c r="N79" s="25" t="n"/>
      <c r="O79" s="25" t="n"/>
      <c r="P79" s="25" t="n"/>
      <c r="Q79" s="25" t="n"/>
      <c r="R79" s="16">
        <f>SUM(F79:Q79)</f>
        <v/>
      </c>
      <c r="S79" s="26">
        <f>IF(E79&gt;0,R79/E79,0)</f>
        <v/>
      </c>
      <c r="T79" s="27">
        <f>COUNTIF(F79:Q79,"&gt;0")</f>
        <v/>
      </c>
    </row>
    <row r="80">
      <c r="A80" s="21" t="n"/>
      <c r="B80" s="22" t="n"/>
      <c r="C80" s="8">
        <f>IF(B80="","",$B$60)</f>
        <v/>
      </c>
      <c r="D80" s="23" t="n"/>
      <c r="E80" s="24">
        <f>$R$4*D80</f>
        <v/>
      </c>
      <c r="F80" s="25" t="n"/>
      <c r="G80" s="25" t="n"/>
      <c r="H80" s="25" t="n"/>
      <c r="I80" s="25" t="n"/>
      <c r="J80" s="25" t="n"/>
      <c r="K80" s="25" t="n"/>
      <c r="L80" s="25" t="n"/>
      <c r="M80" s="25" t="n"/>
      <c r="N80" s="25" t="n"/>
      <c r="O80" s="25" t="n"/>
      <c r="P80" s="25" t="n"/>
      <c r="Q80" s="25" t="n"/>
      <c r="R80" s="16">
        <f>SUM(F80:Q80)</f>
        <v/>
      </c>
      <c r="S80" s="26">
        <f>IF(E80&gt;0,R80/E80,0)</f>
        <v/>
      </c>
      <c r="T80" s="27">
        <f>COUNTIF(F80:Q80,"&gt;0")</f>
        <v/>
      </c>
    </row>
    <row r="81">
      <c r="A81" s="21" t="n"/>
      <c r="B81" s="22" t="n"/>
      <c r="C81" s="8">
        <f>IF(B81="","",$B$60)</f>
        <v/>
      </c>
      <c r="D81" s="23" t="n"/>
      <c r="E81" s="24">
        <f>$R$4*D81</f>
        <v/>
      </c>
      <c r="F81" s="25" t="n"/>
      <c r="G81" s="25" t="n"/>
      <c r="H81" s="25" t="n"/>
      <c r="I81" s="25" t="n"/>
      <c r="J81" s="25" t="n"/>
      <c r="K81" s="25" t="n"/>
      <c r="L81" s="25" t="n"/>
      <c r="M81" s="25" t="n"/>
      <c r="N81" s="25" t="n"/>
      <c r="O81" s="25" t="n"/>
      <c r="P81" s="25" t="n"/>
      <c r="Q81" s="25" t="n"/>
      <c r="R81" s="16">
        <f>SUM(F81:Q81)</f>
        <v/>
      </c>
      <c r="S81" s="26">
        <f>IF(E81&gt;0,R81/E81,0)</f>
        <v/>
      </c>
      <c r="T81" s="27">
        <f>COUNTIF(F81:Q81,"&gt;0")</f>
        <v/>
      </c>
    </row>
    <row r="82">
      <c r="A82" s="21" t="n"/>
      <c r="B82" s="22" t="n"/>
      <c r="C82" s="8">
        <f>IF(B82="","",$B$60)</f>
        <v/>
      </c>
      <c r="D82" s="23" t="n"/>
      <c r="E82" s="24">
        <f>$R$4*D82</f>
        <v/>
      </c>
      <c r="F82" s="25" t="n"/>
      <c r="G82" s="25" t="n"/>
      <c r="H82" s="25" t="n"/>
      <c r="I82" s="25" t="n"/>
      <c r="J82" s="25" t="n"/>
      <c r="K82" s="25" t="n"/>
      <c r="L82" s="25" t="n"/>
      <c r="M82" s="25" t="n"/>
      <c r="N82" s="25" t="n"/>
      <c r="O82" s="25" t="n"/>
      <c r="P82" s="25" t="n"/>
      <c r="Q82" s="25" t="n"/>
      <c r="R82" s="16">
        <f>SUM(F82:Q82)</f>
        <v/>
      </c>
      <c r="S82" s="26">
        <f>IF(E82&gt;0,R82/E82,0)</f>
        <v/>
      </c>
      <c r="T82" s="27">
        <f>COUNTIF(F82:Q82,"&gt;0")</f>
        <v/>
      </c>
    </row>
    <row r="83">
      <c r="A83" s="21" t="n"/>
      <c r="B83" s="22" t="n"/>
      <c r="C83" s="8">
        <f>IF(B83="","",$B$60)</f>
        <v/>
      </c>
      <c r="D83" s="23" t="n"/>
      <c r="E83" s="24">
        <f>$R$4*D83</f>
        <v/>
      </c>
      <c r="F83" s="25" t="n"/>
      <c r="G83" s="25" t="n"/>
      <c r="H83" s="25" t="n"/>
      <c r="I83" s="25" t="n"/>
      <c r="J83" s="25" t="n"/>
      <c r="K83" s="25" t="n"/>
      <c r="L83" s="25" t="n"/>
      <c r="M83" s="25" t="n"/>
      <c r="N83" s="25" t="n"/>
      <c r="O83" s="25" t="n"/>
      <c r="P83" s="25" t="n"/>
      <c r="Q83" s="25" t="n"/>
      <c r="R83" s="16">
        <f>SUM(F83:Q83)</f>
        <v/>
      </c>
      <c r="S83" s="26">
        <f>IF(E83&gt;0,R83/E83,0)</f>
        <v/>
      </c>
      <c r="T83" s="27">
        <f>COUNTIF(F83:Q83,"&gt;0")</f>
        <v/>
      </c>
    </row>
    <row r="84">
      <c r="A84" s="21" t="n"/>
      <c r="B84" s="22" t="n"/>
      <c r="C84" s="8">
        <f>IF(B84="","",$B$60)</f>
        <v/>
      </c>
      <c r="D84" s="23" t="n"/>
      <c r="E84" s="24">
        <f>$R$4*D84</f>
        <v/>
      </c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  <c r="Q84" s="25" t="n"/>
      <c r="R84" s="16">
        <f>SUM(F84:Q84)</f>
        <v/>
      </c>
      <c r="S84" s="26">
        <f>IF(E84&gt;0,R84/E84,0)</f>
        <v/>
      </c>
      <c r="T84" s="27">
        <f>COUNTIF(F84:Q84,"&gt;0")</f>
        <v/>
      </c>
    </row>
    <row r="85">
      <c r="A85" s="21" t="n"/>
      <c r="B85" s="22" t="n"/>
      <c r="C85" s="8">
        <f>IF(B85="","",$B$60)</f>
        <v/>
      </c>
      <c r="D85" s="23" t="n"/>
      <c r="E85" s="24">
        <f>$R$4*D85</f>
        <v/>
      </c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16">
        <f>SUM(F85:Q85)</f>
        <v/>
      </c>
      <c r="S85" s="26">
        <f>IF(E85&gt;0,R85/E85,0)</f>
        <v/>
      </c>
      <c r="T85" s="27">
        <f>COUNTIF(F85:Q85,"&gt;0")</f>
        <v/>
      </c>
    </row>
    <row r="86">
      <c r="A86" s="21" t="n"/>
      <c r="B86" s="22" t="n"/>
      <c r="C86" s="8">
        <f>IF(B86="","",$B$60)</f>
        <v/>
      </c>
      <c r="D86" s="23" t="n"/>
      <c r="E86" s="24">
        <f>$R$4*D86</f>
        <v/>
      </c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16">
        <f>SUM(F86:Q86)</f>
        <v/>
      </c>
      <c r="S86" s="26">
        <f>IF(E86&gt;0,R86/E86,0)</f>
        <v/>
      </c>
      <c r="T86" s="27">
        <f>COUNTIF(F86:Q86,"&gt;0")</f>
        <v/>
      </c>
    </row>
    <row r="87">
      <c r="A87" s="21" t="n"/>
      <c r="B87" s="22" t="n"/>
      <c r="C87" s="8">
        <f>IF(B87="","",$B$60)</f>
        <v/>
      </c>
      <c r="D87" s="23" t="n"/>
      <c r="E87" s="24">
        <f>$R$4*D87</f>
        <v/>
      </c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16">
        <f>SUM(F87:Q87)</f>
        <v/>
      </c>
      <c r="S87" s="26">
        <f>IF(E87&gt;0,R87/E87,0)</f>
        <v/>
      </c>
      <c r="T87" s="27">
        <f>COUNTIF(F87:Q87,"&gt;0")</f>
        <v/>
      </c>
    </row>
    <row r="88">
      <c r="A88" s="21" t="n"/>
      <c r="B88" s="22" t="n"/>
      <c r="C88" s="8">
        <f>IF(B88="","",$B$60)</f>
        <v/>
      </c>
      <c r="D88" s="23" t="n"/>
      <c r="E88" s="24">
        <f>$R$4*D88</f>
        <v/>
      </c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16">
        <f>SUM(F88:Q88)</f>
        <v/>
      </c>
      <c r="S88" s="26">
        <f>IF(E88&gt;0,R88/E88,0)</f>
        <v/>
      </c>
      <c r="T88" s="27">
        <f>COUNTIF(F88:Q88,"&gt;0")</f>
        <v/>
      </c>
    </row>
    <row r="89">
      <c r="A89" s="21" t="n"/>
      <c r="B89" s="22" t="n"/>
      <c r="C89" s="8">
        <f>IF(B89="","",$B$60)</f>
        <v/>
      </c>
      <c r="D89" s="23" t="n"/>
      <c r="E89" s="24">
        <f>$R$4*D89</f>
        <v/>
      </c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16">
        <f>SUM(F89:Q89)</f>
        <v/>
      </c>
      <c r="S89" s="26">
        <f>IF(E89&gt;0,R89/E89,0)</f>
        <v/>
      </c>
      <c r="T89" s="27">
        <f>COUNTIF(F89:Q89,"&gt;0")</f>
        <v/>
      </c>
    </row>
    <row r="90">
      <c r="A90" s="21" t="n"/>
      <c r="B90" s="22" t="n"/>
      <c r="C90" s="8">
        <f>IF(B90="","",$B$60)</f>
        <v/>
      </c>
      <c r="D90" s="23" t="n"/>
      <c r="E90" s="24">
        <f>$R$4*D90</f>
        <v/>
      </c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16">
        <f>SUM(F90:Q90)</f>
        <v/>
      </c>
      <c r="S90" s="26">
        <f>IF(E90&gt;0,R90/E90,0)</f>
        <v/>
      </c>
      <c r="T90" s="27">
        <f>COUNTIF(F90:Q90,"&gt;0")</f>
        <v/>
      </c>
    </row>
    <row r="91">
      <c r="A91" s="21" t="n"/>
      <c r="B91" s="22" t="n"/>
      <c r="C91" s="8">
        <f>IF(B91="","",$B$60)</f>
        <v/>
      </c>
      <c r="D91" s="23" t="n"/>
      <c r="E91" s="24">
        <f>$R$4*D91</f>
        <v/>
      </c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16">
        <f>SUM(F91:Q91)</f>
        <v/>
      </c>
      <c r="S91" s="26">
        <f>IF(E91&gt;0,R91/E91,0)</f>
        <v/>
      </c>
      <c r="T91" s="27">
        <f>COUNTIF(F91:Q91,"&gt;0")</f>
        <v/>
      </c>
    </row>
    <row r="92">
      <c r="A92" s="21" t="n"/>
      <c r="B92" s="22" t="n"/>
      <c r="C92" s="8">
        <f>IF(B92="","",$B$60)</f>
        <v/>
      </c>
      <c r="D92" s="23" t="n"/>
      <c r="E92" s="24">
        <f>$R$4*D92</f>
        <v/>
      </c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16">
        <f>SUM(F92:Q92)</f>
        <v/>
      </c>
      <c r="S92" s="26">
        <f>IF(E92&gt;0,R92/E92,0)</f>
        <v/>
      </c>
      <c r="T92" s="27">
        <f>COUNTIF(F92:Q92,"&gt;0")</f>
        <v/>
      </c>
    </row>
    <row r="93">
      <c r="A93" s="21" t="n"/>
      <c r="B93" s="22" t="n"/>
      <c r="C93" s="8">
        <f>IF(B93="","",$B$60)</f>
        <v/>
      </c>
      <c r="D93" s="23" t="n"/>
      <c r="E93" s="24">
        <f>$R$4*D93</f>
        <v/>
      </c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16">
        <f>SUM(F93:Q93)</f>
        <v/>
      </c>
      <c r="S93" s="26">
        <f>IF(E93&gt;0,R93/E93,0)</f>
        <v/>
      </c>
      <c r="T93" s="27">
        <f>COUNTIF(F93:Q93,"&gt;0")</f>
        <v/>
      </c>
    </row>
    <row r="94">
      <c r="A94" s="21" t="n"/>
      <c r="B94" s="22" t="n"/>
      <c r="C94" s="8">
        <f>IF(B94="","",$B$60)</f>
        <v/>
      </c>
      <c r="D94" s="23" t="n"/>
      <c r="E94" s="24">
        <f>$R$4*D94</f>
        <v/>
      </c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16">
        <f>SUM(F94:Q94)</f>
        <v/>
      </c>
      <c r="S94" s="26">
        <f>IF(E94&gt;0,R94/E94,0)</f>
        <v/>
      </c>
      <c r="T94" s="27">
        <f>COUNTIF(F94:Q94,"&gt;0")</f>
        <v/>
      </c>
    </row>
    <row r="95">
      <c r="A95" s="21" t="n"/>
      <c r="B95" s="22" t="n"/>
      <c r="C95" s="8">
        <f>IF(B95="","",$B$60)</f>
        <v/>
      </c>
      <c r="D95" s="23" t="n"/>
      <c r="E95" s="24">
        <f>$R$4*D95</f>
        <v/>
      </c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16">
        <f>SUM(F95:Q95)</f>
        <v/>
      </c>
      <c r="S95" s="26">
        <f>IF(E95&gt;0,R95/E95,0)</f>
        <v/>
      </c>
      <c r="T95" s="27">
        <f>COUNTIF(F95:Q95,"&gt;0")</f>
        <v/>
      </c>
    </row>
    <row r="96">
      <c r="A96" s="21" t="n"/>
      <c r="B96" s="22" t="n"/>
      <c r="C96" s="8">
        <f>IF(B96="","",$B$60)</f>
        <v/>
      </c>
      <c r="D96" s="23" t="n"/>
      <c r="E96" s="24">
        <f>$R$4*D96</f>
        <v/>
      </c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16">
        <f>SUM(F96:Q96)</f>
        <v/>
      </c>
      <c r="S96" s="26">
        <f>IF(E96&gt;0,R96/E96,0)</f>
        <v/>
      </c>
      <c r="T96" s="27">
        <f>COUNTIF(F96:Q96,"&gt;0")</f>
        <v/>
      </c>
    </row>
    <row r="97">
      <c r="A97" s="21" t="n"/>
      <c r="B97" s="22" t="n"/>
      <c r="C97" s="8">
        <f>IF(B97="","",$B$60)</f>
        <v/>
      </c>
      <c r="D97" s="23" t="n"/>
      <c r="E97" s="24">
        <f>$R$4*D97</f>
        <v/>
      </c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25" t="n"/>
      <c r="P97" s="25" t="n"/>
      <c r="Q97" s="25" t="n"/>
      <c r="R97" s="16">
        <f>SUM(F97:Q97)</f>
        <v/>
      </c>
      <c r="S97" s="26">
        <f>IF(E97&gt;0,R97/E97,0)</f>
        <v/>
      </c>
      <c r="T97" s="27">
        <f>COUNTIF(F97:Q97,"&gt;0")</f>
        <v/>
      </c>
    </row>
    <row r="98">
      <c r="A98" s="21" t="n"/>
      <c r="B98" s="22" t="n"/>
      <c r="C98" s="8">
        <f>IF(B98="","",$B$60)</f>
        <v/>
      </c>
      <c r="D98" s="23" t="n"/>
      <c r="E98" s="24">
        <f>$R$4*D98</f>
        <v/>
      </c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25" t="n"/>
      <c r="P98" s="25" t="n"/>
      <c r="Q98" s="25" t="n"/>
      <c r="R98" s="16">
        <f>SUM(F98:Q98)</f>
        <v/>
      </c>
      <c r="S98" s="26">
        <f>IF(E98&gt;0,R98/E98,0)</f>
        <v/>
      </c>
      <c r="T98" s="27">
        <f>COUNTIF(F98:Q98,"&gt;0")</f>
        <v/>
      </c>
    </row>
    <row r="99">
      <c r="A99" s="21" t="n"/>
      <c r="B99" s="22" t="n"/>
      <c r="C99" s="8">
        <f>IF(B99="","",$B$60)</f>
        <v/>
      </c>
      <c r="D99" s="23" t="n"/>
      <c r="E99" s="24">
        <f>$R$4*D99</f>
        <v/>
      </c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25" t="n"/>
      <c r="P99" s="25" t="n"/>
      <c r="Q99" s="25" t="n"/>
      <c r="R99" s="16">
        <f>SUM(F99:Q99)</f>
        <v/>
      </c>
      <c r="S99" s="26">
        <f>IF(E99&gt;0,R99/E99,0)</f>
        <v/>
      </c>
      <c r="T99" s="27">
        <f>COUNTIF(F99:Q99,"&gt;0")</f>
        <v/>
      </c>
    </row>
    <row r="100">
      <c r="A100" s="21" t="n"/>
      <c r="B100" s="22" t="n"/>
      <c r="C100" s="8">
        <f>IF(B100="","",$B$60)</f>
        <v/>
      </c>
      <c r="D100" s="23" t="n"/>
      <c r="E100" s="24">
        <f>$R$4*D100</f>
        <v/>
      </c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25" t="n"/>
      <c r="P100" s="25" t="n"/>
      <c r="Q100" s="25" t="n"/>
      <c r="R100" s="16">
        <f>SUM(F100:Q100)</f>
        <v/>
      </c>
      <c r="S100" s="26">
        <f>IF(E100&gt;0,R100/E100,0)</f>
        <v/>
      </c>
      <c r="T100" s="27">
        <f>COUNTIF(F100:Q100,"&gt;0")</f>
        <v/>
      </c>
    </row>
    <row r="101">
      <c r="A101" s="21" t="n"/>
      <c r="B101" s="22" t="n"/>
      <c r="C101" s="8">
        <f>IF(B101="","",$B$60)</f>
        <v/>
      </c>
      <c r="D101" s="23" t="n"/>
      <c r="E101" s="24">
        <f>$R$4*D101</f>
        <v/>
      </c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25" t="n"/>
      <c r="P101" s="25" t="n"/>
      <c r="Q101" s="25" t="n"/>
      <c r="R101" s="16">
        <f>SUM(F101:Q101)</f>
        <v/>
      </c>
      <c r="S101" s="26">
        <f>IF(E101&gt;0,R101/E101,0)</f>
        <v/>
      </c>
      <c r="T101" s="27">
        <f>COUNTIF(F101:Q101,"&gt;0")</f>
        <v/>
      </c>
    </row>
    <row r="102">
      <c r="A102" s="21" t="n"/>
      <c r="B102" s="22" t="n"/>
      <c r="C102" s="8">
        <f>IF(B102="","",$B$60)</f>
        <v/>
      </c>
      <c r="D102" s="23" t="n"/>
      <c r="E102" s="24">
        <f>$R$4*D102</f>
        <v/>
      </c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25" t="n"/>
      <c r="P102" s="25" t="n"/>
      <c r="Q102" s="25" t="n"/>
      <c r="R102" s="16">
        <f>SUM(F102:Q102)</f>
        <v/>
      </c>
      <c r="S102" s="26">
        <f>IF(E102&gt;0,R102/E102,0)</f>
        <v/>
      </c>
      <c r="T102" s="27">
        <f>COUNTIF(F102:Q102,"&gt;0")</f>
        <v/>
      </c>
    </row>
    <row r="103">
      <c r="A103" s="21" t="n"/>
      <c r="B103" s="22" t="n"/>
      <c r="C103" s="8">
        <f>IF(B103="","",$B$60)</f>
        <v/>
      </c>
      <c r="D103" s="23" t="n"/>
      <c r="E103" s="24">
        <f>$R$4*D103</f>
        <v/>
      </c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25" t="n"/>
      <c r="P103" s="25" t="n"/>
      <c r="Q103" s="25" t="n"/>
      <c r="R103" s="16">
        <f>SUM(F103:Q103)</f>
        <v/>
      </c>
      <c r="S103" s="26">
        <f>IF(E103&gt;0,R103/E103,0)</f>
        <v/>
      </c>
      <c r="T103" s="27">
        <f>COUNTIF(F103:Q103,"&gt;0")</f>
        <v/>
      </c>
    </row>
    <row r="104">
      <c r="A104" s="21" t="n"/>
      <c r="B104" s="22" t="n"/>
      <c r="C104" s="8">
        <f>IF(B104="","",$B$60)</f>
        <v/>
      </c>
      <c r="D104" s="23" t="n"/>
      <c r="E104" s="24">
        <f>$R$4*D104</f>
        <v/>
      </c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25" t="n"/>
      <c r="P104" s="25" t="n"/>
      <c r="Q104" s="25" t="n"/>
      <c r="R104" s="16">
        <f>SUM(F104:Q104)</f>
        <v/>
      </c>
      <c r="S104" s="26">
        <f>IF(E104&gt;0,R104/E104,0)</f>
        <v/>
      </c>
      <c r="T104" s="27">
        <f>COUNTIF(F104:Q104,"&gt;0")</f>
        <v/>
      </c>
    </row>
    <row r="105">
      <c r="A105" s="21" t="n"/>
      <c r="B105" s="22" t="n"/>
      <c r="C105" s="8">
        <f>IF(B105="","",$B$60)</f>
        <v/>
      </c>
      <c r="D105" s="23" t="n"/>
      <c r="E105" s="24">
        <f>$R$4*D105</f>
        <v/>
      </c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25" t="n"/>
      <c r="P105" s="25" t="n"/>
      <c r="Q105" s="25" t="n"/>
      <c r="R105" s="16">
        <f>SUM(F105:Q105)</f>
        <v/>
      </c>
      <c r="S105" s="26">
        <f>IF(E105&gt;0,R105/E105,0)</f>
        <v/>
      </c>
      <c r="T105" s="27">
        <f>COUNTIF(F105:Q105,"&gt;0")</f>
        <v/>
      </c>
    </row>
    <row r="106">
      <c r="A106" s="21" t="n"/>
      <c r="B106" s="22" t="n"/>
      <c r="C106" s="8">
        <f>IF(B106="","",$B$60)</f>
        <v/>
      </c>
      <c r="D106" s="23" t="n"/>
      <c r="E106" s="24">
        <f>$R$4*D106</f>
        <v/>
      </c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25" t="n"/>
      <c r="P106" s="25" t="n"/>
      <c r="Q106" s="25" t="n"/>
      <c r="R106" s="16">
        <f>SUM(F106:Q106)</f>
        <v/>
      </c>
      <c r="S106" s="26">
        <f>IF(E106&gt;0,R106/E106,0)</f>
        <v/>
      </c>
      <c r="T106" s="27">
        <f>COUNTIF(F106:Q106,"&gt;0")</f>
        <v/>
      </c>
    </row>
    <row r="107">
      <c r="A107" s="21" t="n"/>
      <c r="B107" s="22" t="n"/>
      <c r="C107" s="8">
        <f>IF(B107="","",$B$60)</f>
        <v/>
      </c>
      <c r="D107" s="23" t="n"/>
      <c r="E107" s="24">
        <f>$R$4*D107</f>
        <v/>
      </c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25" t="n"/>
      <c r="P107" s="25" t="n"/>
      <c r="Q107" s="25" t="n"/>
      <c r="R107" s="16">
        <f>SUM(F107:Q107)</f>
        <v/>
      </c>
      <c r="S107" s="26">
        <f>IF(E107&gt;0,R107/E107,0)</f>
        <v/>
      </c>
      <c r="T107" s="27">
        <f>COUNTIF(F107:Q107,"&gt;0")</f>
        <v/>
      </c>
    </row>
    <row r="108">
      <c r="A108" s="21" t="n"/>
      <c r="B108" s="22" t="n"/>
      <c r="C108" s="8">
        <f>IF(B108="","",$B$60)</f>
        <v/>
      </c>
      <c r="D108" s="23" t="n"/>
      <c r="E108" s="24">
        <f>$R$4*D108</f>
        <v/>
      </c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25" t="n"/>
      <c r="P108" s="25" t="n"/>
      <c r="Q108" s="25" t="n"/>
      <c r="R108" s="16">
        <f>SUM(F108:Q108)</f>
        <v/>
      </c>
      <c r="S108" s="26">
        <f>IF(E108&gt;0,R108/E108,0)</f>
        <v/>
      </c>
      <c r="T108" s="27">
        <f>COUNTIF(F108:Q108,"&gt;0")</f>
        <v/>
      </c>
    </row>
    <row r="109">
      <c r="A109" s="21" t="n"/>
      <c r="B109" s="22" t="n"/>
      <c r="C109" s="8">
        <f>IF(B109="","",$B$60)</f>
        <v/>
      </c>
      <c r="D109" s="23" t="n"/>
      <c r="E109" s="24">
        <f>$R$4*D109</f>
        <v/>
      </c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25" t="n"/>
      <c r="P109" s="25" t="n"/>
      <c r="Q109" s="25" t="n"/>
      <c r="R109" s="16">
        <f>SUM(F109:Q109)</f>
        <v/>
      </c>
      <c r="S109" s="26">
        <f>IF(E109&gt;0,R109/E109,0)</f>
        <v/>
      </c>
      <c r="T109" s="27">
        <f>COUNTIF(F109:Q109,"&gt;0")</f>
        <v/>
      </c>
    </row>
    <row r="110">
      <c r="A110" s="21" t="n"/>
      <c r="B110" s="22" t="n"/>
      <c r="C110" s="8">
        <f>IF(B110="","",$B$60)</f>
        <v/>
      </c>
      <c r="D110" s="23" t="n"/>
      <c r="E110" s="24">
        <f>$R$4*D110</f>
        <v/>
      </c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25" t="n"/>
      <c r="P110" s="25" t="n"/>
      <c r="Q110" s="25" t="n"/>
      <c r="R110" s="16">
        <f>SUM(F110:Q110)</f>
        <v/>
      </c>
      <c r="S110" s="26">
        <f>IF(E110&gt;0,R110/E110,0)</f>
        <v/>
      </c>
      <c r="T110" s="27">
        <f>COUNTIF(F110:Q110,"&gt;0")</f>
        <v/>
      </c>
    </row>
    <row r="111">
      <c r="A111" s="28" t="n"/>
      <c r="B111" s="28">
        <f>"Summe "&amp;$B$60</f>
        <v/>
      </c>
      <c r="C111" s="29">
        <f>COUNTA(B61:B110)&amp;" MA"</f>
        <v/>
      </c>
      <c r="D111" s="30">
        <f>SUM(D61:D110)</f>
        <v/>
      </c>
      <c r="E111" s="31">
        <f>SUM(E61:E110)</f>
        <v/>
      </c>
      <c r="F111" s="32">
        <f>SUM(F61:F110)</f>
        <v/>
      </c>
      <c r="G111" s="32">
        <f>SUM(G61:G110)</f>
        <v/>
      </c>
      <c r="H111" s="32">
        <f>SUM(H61:H110)</f>
        <v/>
      </c>
      <c r="I111" s="32">
        <f>SUM(I61:I110)</f>
        <v/>
      </c>
      <c r="J111" s="32">
        <f>SUM(J61:J110)</f>
        <v/>
      </c>
      <c r="K111" s="32">
        <f>SUM(K61:K110)</f>
        <v/>
      </c>
      <c r="L111" s="32">
        <f>SUM(L61:L110)</f>
        <v/>
      </c>
      <c r="M111" s="32">
        <f>SUM(M61:M110)</f>
        <v/>
      </c>
      <c r="N111" s="32">
        <f>SUM(N61:N110)</f>
        <v/>
      </c>
      <c r="O111" s="32">
        <f>SUM(O61:O110)</f>
        <v/>
      </c>
      <c r="P111" s="32">
        <f>SUM(P61:P110)</f>
        <v/>
      </c>
      <c r="Q111" s="32">
        <f>SUM(Q61:Q110)</f>
        <v/>
      </c>
      <c r="R111" s="32">
        <f>SUM(R61:R110)</f>
        <v/>
      </c>
      <c r="S111" s="33">
        <f>IF(E111&gt;0,R111/E111,0)</f>
        <v/>
      </c>
      <c r="T111" s="32">
        <f>SUM(T61:T110)</f>
        <v/>
      </c>
    </row>
    <row r="112">
      <c r="A112" s="34" t="n"/>
      <c r="B112" s="28" t="inlineStr">
        <is>
          <t>Monatsquote</t>
        </is>
      </c>
      <c r="C112" s="34" t="n"/>
      <c r="D112" s="34" t="n"/>
      <c r="E112" s="34" t="n"/>
      <c r="F112" s="33">
        <f>IF(F$4*$D111&gt;0,F111/(F$4*$D111),0)</f>
        <v/>
      </c>
      <c r="G112" s="33">
        <f>IF(G$4*$D111&gt;0,G111/(G$4*$D111),0)</f>
        <v/>
      </c>
      <c r="H112" s="33">
        <f>IF(H$4*$D111&gt;0,H111/(H$4*$D111),0)</f>
        <v/>
      </c>
      <c r="I112" s="33">
        <f>IF(I$4*$D111&gt;0,I111/(I$4*$D111),0)</f>
        <v/>
      </c>
      <c r="J112" s="33">
        <f>IF(J$4*$D111&gt;0,J111/(J$4*$D111),0)</f>
        <v/>
      </c>
      <c r="K112" s="33">
        <f>IF(K$4*$D111&gt;0,K111/(K$4*$D111),0)</f>
        <v/>
      </c>
      <c r="L112" s="33">
        <f>IF(L$4*$D111&gt;0,L111/(L$4*$D111),0)</f>
        <v/>
      </c>
      <c r="M112" s="33">
        <f>IF(M$4*$D111&gt;0,M111/(M$4*$D111),0)</f>
        <v/>
      </c>
      <c r="N112" s="33">
        <f>IF(N$4*$D111&gt;0,N111/(N$4*$D111),0)</f>
        <v/>
      </c>
      <c r="O112" s="33">
        <f>IF(O$4*$D111&gt;0,O111/(O$4*$D111),0)</f>
        <v/>
      </c>
      <c r="P112" s="33">
        <f>IF(P$4*$D111&gt;0,P111/(P$4*$D111),0)</f>
        <v/>
      </c>
      <c r="Q112" s="33">
        <f>IF(Q$4*$D111&gt;0,Q111/(Q$4*$D111),0)</f>
        <v/>
      </c>
      <c r="R112" s="34" t="n"/>
      <c r="S112" s="34" t="n"/>
      <c r="T112" s="34" t="n"/>
    </row>
    <row r="114">
      <c r="A114" s="37" t="n"/>
      <c r="B114" s="37" t="inlineStr">
        <is>
          <t>GESAMT alle Objekte</t>
        </is>
      </c>
      <c r="C114" s="37" t="n"/>
      <c r="D114" s="38">
        <f>D57+D111</f>
        <v/>
      </c>
      <c r="E114" s="39">
        <f>E57+E111</f>
        <v/>
      </c>
      <c r="F114" s="40">
        <f>F57+F111</f>
        <v/>
      </c>
      <c r="G114" s="40">
        <f>G57+G111</f>
        <v/>
      </c>
      <c r="H114" s="40">
        <f>H57+H111</f>
        <v/>
      </c>
      <c r="I114" s="40">
        <f>I57+I111</f>
        <v/>
      </c>
      <c r="J114" s="40">
        <f>J57+J111</f>
        <v/>
      </c>
      <c r="K114" s="40">
        <f>K57+K111</f>
        <v/>
      </c>
      <c r="L114" s="40">
        <f>L57+L111</f>
        <v/>
      </c>
      <c r="M114" s="40">
        <f>M57+M111</f>
        <v/>
      </c>
      <c r="N114" s="40">
        <f>N57+N111</f>
        <v/>
      </c>
      <c r="O114" s="40">
        <f>O57+O111</f>
        <v/>
      </c>
      <c r="P114" s="40">
        <f>P57+P111</f>
        <v/>
      </c>
      <c r="Q114" s="40">
        <f>Q57+Q111</f>
        <v/>
      </c>
      <c r="R114" s="40">
        <f>R57+R111</f>
        <v/>
      </c>
      <c r="S114" s="41">
        <f>IF(E114&gt;0,R114/E114,0)</f>
        <v/>
      </c>
      <c r="T114" s="40">
        <f>T57+T111</f>
        <v/>
      </c>
    </row>
    <row r="115">
      <c r="B115" s="28" t="inlineStr">
        <is>
          <t>Monatsquote gesamt</t>
        </is>
      </c>
      <c r="F115" s="33">
        <f>IF(F$4*$D114&gt;0,F114/(F$4*$D114),0)</f>
        <v/>
      </c>
      <c r="G115" s="33">
        <f>IF(G$4*$D114&gt;0,G114/(G$4*$D114),0)</f>
        <v/>
      </c>
      <c r="H115" s="33">
        <f>IF(H$4*$D114&gt;0,H114/(H$4*$D114),0)</f>
        <v/>
      </c>
      <c r="I115" s="33">
        <f>IF(I$4*$D114&gt;0,I114/(I$4*$D114),0)</f>
        <v/>
      </c>
      <c r="J115" s="33">
        <f>IF(J$4*$D114&gt;0,J114/(J$4*$D114),0)</f>
        <v/>
      </c>
      <c r="K115" s="33">
        <f>IF(K$4*$D114&gt;0,K114/(K$4*$D114),0)</f>
        <v/>
      </c>
      <c r="L115" s="33">
        <f>IF(L$4*$D114&gt;0,L114/(L$4*$D114),0)</f>
        <v/>
      </c>
      <c r="M115" s="33">
        <f>IF(M$4*$D114&gt;0,M114/(M$4*$D114),0)</f>
        <v/>
      </c>
      <c r="N115" s="33">
        <f>IF(N$4*$D114&gt;0,N114/(N$4*$D114),0)</f>
        <v/>
      </c>
      <c r="O115" s="33">
        <f>IF(O$4*$D114&gt;0,O114/(O$4*$D114),0)</f>
        <v/>
      </c>
      <c r="P115" s="33">
        <f>IF(P$4*$D114&gt;0,P114/(P$4*$D114),0)</f>
        <v/>
      </c>
      <c r="Q115" s="33">
        <f>IF(Q$4*$D114&gt;0,Q114/(Q$4*$D114),0)</f>
        <v/>
      </c>
    </row>
    <row r="117">
      <c r="A117" s="13" t="inlineStr">
        <is>
          <t>Formel Krankenquote = Krankheitstage ÷ Soll-Arbeitstage (Soll = Arbeitstage Jahr × Beschäftigungsgrad). Monatsquote = Krankheitstage Monat ÷ (Arbeitstage Monat × Summe Beschäftigungsgrad).</t>
        </is>
      </c>
    </row>
  </sheetData>
  <mergeCells count="1">
    <mergeCell ref="A2:T2"/>
  </mergeCells>
  <dataValidations count="2">
    <dataValidation sqref="D7:D56 D61:D110" showDropDown="0" showInputMessage="0" showErrorMessage="1" allowBlank="0" error="Beschäftigungsgrad zwischen 0 % und 100 %" type="decimal" operator="between">
      <formula1>0</formula1>
      <formula2>1</formula2>
    </dataValidation>
    <dataValidation sqref="F7:Q56 F61:Q110" showDropDown="0" showInputMessage="0" showErrorMessage="1" allowBlank="0" error="Krankheitstage 0–31" type="whole" operator="between">
      <formula1>0</formula1>
      <formula2>31</formula2>
    </dataValidation>
  </dataValidations>
  <hyperlinks>
    <hyperlink xmlns:r="http://schemas.openxmlformats.org/officeDocument/2006/relationships" ref="V1" r:id="rId1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1" customWidth="1" min="3" max="3"/>
    <col width="11" customWidth="1" min="4" max="4"/>
    <col width="8" customWidth="1" min="5" max="5"/>
    <col width="10" customWidth="1" min="6" max="6"/>
    <col width="8" customWidth="1" min="7" max="7"/>
    <col width="6" customWidth="1" min="8" max="8"/>
    <col width="13" customWidth="1" min="9" max="9"/>
    <col width="26" customWidth="1" min="10" max="10"/>
    <col width="12" customWidth="1" min="11" max="11"/>
  </cols>
  <sheetData>
    <row r="1">
      <c r="A1" s="1" t="inlineStr">
        <is>
          <t>Krankenquote nach Mitarbeitern – Auswertung</t>
        </is>
      </c>
      <c r="H1" s="12" t="inlineStr">
        <is>
          <t>→ Erklärung</t>
        </is>
      </c>
    </row>
    <row r="3" ht="30" customHeight="1">
      <c r="A3" s="17" t="inlineStr">
        <is>
          <t>Pers.-Nr.</t>
        </is>
      </c>
      <c r="B3" s="17" t="inlineStr">
        <is>
          <t>Name</t>
        </is>
      </c>
      <c r="C3" s="17" t="inlineStr">
        <is>
          <t>Objekt</t>
        </is>
      </c>
      <c r="D3" s="17" t="inlineStr">
        <is>
          <t>Soll-
Arbeitstage</t>
        </is>
      </c>
      <c r="E3" s="17" t="inlineStr">
        <is>
          <t>Krank-
tage</t>
        </is>
      </c>
      <c r="F3" s="17" t="inlineStr">
        <is>
          <t>Kranken-
quote</t>
        </is>
      </c>
      <c r="G3" s="17" t="inlineStr">
        <is>
          <t>Krank-
monate</t>
        </is>
      </c>
      <c r="H3" s="17" t="inlineStr">
        <is>
          <t>Rang</t>
        </is>
      </c>
      <c r="I3" s="17" t="inlineStr">
        <is>
          <t>Bewertung</t>
        </is>
      </c>
      <c r="J3" s="37" t="inlineStr">
        <is>
          <t>Schwellwerte (Eingabe)</t>
        </is>
      </c>
      <c r="K3" s="37" t="n"/>
    </row>
    <row r="4">
      <c r="A4" s="42">
        <f>IF('Krankenquote Objekte'!B7="","",'Krankenquote Objekte'!A7)</f>
        <v/>
      </c>
      <c r="B4" s="43">
        <f>IF('Krankenquote Objekte'!B7="","",'Krankenquote Objekte'!B7)</f>
        <v/>
      </c>
      <c r="C4" s="7">
        <f>IF('Krankenquote Objekte'!B7="","",'Krankenquote Objekte'!C7)</f>
        <v/>
      </c>
      <c r="D4" s="44">
        <f>IF('Krankenquote Objekte'!B7="","",'Krankenquote Objekte'!E7)</f>
        <v/>
      </c>
      <c r="E4" s="45">
        <f>IF('Krankenquote Objekte'!B7="","",'Krankenquote Objekte'!R7)</f>
        <v/>
      </c>
      <c r="F4" s="26">
        <f>IF(B4="","",IF(D4&gt;0,E4/D4,0))</f>
        <v/>
      </c>
      <c r="G4" s="45">
        <f>IF('Krankenquote Objekte'!B7="","",'Krankenquote Objekte'!T7)</f>
        <v/>
      </c>
      <c r="H4" s="46">
        <f>IF(B4="","",RANK(F4,$F$4:$F$103,0))</f>
        <v/>
      </c>
      <c r="I4" s="47">
        <f>IF(B4="","",IF(F4&lt;=$K$4,"unauffällig",IF(F4&lt;=$K$5,"auffällig","kritisch")))</f>
        <v/>
      </c>
      <c r="J4" s="6" t="inlineStr">
        <is>
          <t>Unauffällig bis</t>
        </is>
      </c>
      <c r="K4" s="48" t="n">
        <v>0.03</v>
      </c>
    </row>
    <row r="5">
      <c r="A5" s="42">
        <f>IF('Krankenquote Objekte'!B8="","",'Krankenquote Objekte'!A8)</f>
        <v/>
      </c>
      <c r="B5" s="43">
        <f>IF('Krankenquote Objekte'!B8="","",'Krankenquote Objekte'!B8)</f>
        <v/>
      </c>
      <c r="C5" s="7">
        <f>IF('Krankenquote Objekte'!B8="","",'Krankenquote Objekte'!C8)</f>
        <v/>
      </c>
      <c r="D5" s="44">
        <f>IF('Krankenquote Objekte'!B8="","",'Krankenquote Objekte'!E8)</f>
        <v/>
      </c>
      <c r="E5" s="45">
        <f>IF('Krankenquote Objekte'!B8="","",'Krankenquote Objekte'!R8)</f>
        <v/>
      </c>
      <c r="F5" s="26">
        <f>IF(B5="","",IF(D5&gt;0,E5/D5,0))</f>
        <v/>
      </c>
      <c r="G5" s="45">
        <f>IF('Krankenquote Objekte'!B8="","",'Krankenquote Objekte'!T8)</f>
        <v/>
      </c>
      <c r="H5" s="46">
        <f>IF(B5="","",RANK(F5,$F$4:$F$103,0))</f>
        <v/>
      </c>
      <c r="I5" s="47">
        <f>IF(B5="","",IF(F5&lt;=$K$4,"unauffällig",IF(F5&lt;=$K$5,"auffällig","kritisch")))</f>
        <v/>
      </c>
      <c r="J5" s="6" t="inlineStr">
        <is>
          <t>Auffällig bis</t>
        </is>
      </c>
      <c r="K5" s="48" t="n">
        <v>0.06</v>
      </c>
    </row>
    <row r="6">
      <c r="A6" s="42">
        <f>IF('Krankenquote Objekte'!B9="","",'Krankenquote Objekte'!A9)</f>
        <v/>
      </c>
      <c r="B6" s="43">
        <f>IF('Krankenquote Objekte'!B9="","",'Krankenquote Objekte'!B9)</f>
        <v/>
      </c>
      <c r="C6" s="7">
        <f>IF('Krankenquote Objekte'!B9="","",'Krankenquote Objekte'!C9)</f>
        <v/>
      </c>
      <c r="D6" s="44">
        <f>IF('Krankenquote Objekte'!B9="","",'Krankenquote Objekte'!E9)</f>
        <v/>
      </c>
      <c r="E6" s="45">
        <f>IF('Krankenquote Objekte'!B9="","",'Krankenquote Objekte'!R9)</f>
        <v/>
      </c>
      <c r="F6" s="26">
        <f>IF(B6="","",IF(D6&gt;0,E6/D6,0))</f>
        <v/>
      </c>
      <c r="G6" s="45">
        <f>IF('Krankenquote Objekte'!B9="","",'Krankenquote Objekte'!T9)</f>
        <v/>
      </c>
      <c r="H6" s="46">
        <f>IF(B6="","",RANK(F6,$F$4:$F$103,0))</f>
        <v/>
      </c>
      <c r="I6" s="47">
        <f>IF(B6="","",IF(F6&lt;=$K$4,"unauffällig",IF(F6&lt;=$K$5,"auffällig","kritisch")))</f>
        <v/>
      </c>
      <c r="J6" s="49" t="inlineStr">
        <is>
          <t>darüber = kritisch</t>
        </is>
      </c>
      <c r="K6" s="6" t="n"/>
    </row>
    <row r="7">
      <c r="A7" s="42">
        <f>IF('Krankenquote Objekte'!B10="","",'Krankenquote Objekte'!A10)</f>
        <v/>
      </c>
      <c r="B7" s="43">
        <f>IF('Krankenquote Objekte'!B10="","",'Krankenquote Objekte'!B10)</f>
        <v/>
      </c>
      <c r="C7" s="7">
        <f>IF('Krankenquote Objekte'!B10="","",'Krankenquote Objekte'!C10)</f>
        <v/>
      </c>
      <c r="D7" s="44">
        <f>IF('Krankenquote Objekte'!B10="","",'Krankenquote Objekte'!E10)</f>
        <v/>
      </c>
      <c r="E7" s="45">
        <f>IF('Krankenquote Objekte'!B10="","",'Krankenquote Objekte'!R10)</f>
        <v/>
      </c>
      <c r="F7" s="26">
        <f>IF(B7="","",IF(D7&gt;0,E7/D7,0))</f>
        <v/>
      </c>
      <c r="G7" s="45">
        <f>IF('Krankenquote Objekte'!B10="","",'Krankenquote Objekte'!T10)</f>
        <v/>
      </c>
      <c r="H7" s="46">
        <f>IF(B7="","",RANK(F7,$F$4:$F$103,0))</f>
        <v/>
      </c>
      <c r="I7" s="47">
        <f>IF(B7="","",IF(F7&lt;=$K$4,"unauffällig",IF(F7&lt;=$K$5,"auffällig","kritisch")))</f>
        <v/>
      </c>
    </row>
    <row r="8">
      <c r="A8" s="42">
        <f>IF('Krankenquote Objekte'!B11="","",'Krankenquote Objekte'!A11)</f>
        <v/>
      </c>
      <c r="B8" s="43">
        <f>IF('Krankenquote Objekte'!B11="","",'Krankenquote Objekte'!B11)</f>
        <v/>
      </c>
      <c r="C8" s="7">
        <f>IF('Krankenquote Objekte'!B11="","",'Krankenquote Objekte'!C11)</f>
        <v/>
      </c>
      <c r="D8" s="44">
        <f>IF('Krankenquote Objekte'!B11="","",'Krankenquote Objekte'!E11)</f>
        <v/>
      </c>
      <c r="E8" s="45">
        <f>IF('Krankenquote Objekte'!B11="","",'Krankenquote Objekte'!R11)</f>
        <v/>
      </c>
      <c r="F8" s="26">
        <f>IF(B8="","",IF(D8&gt;0,E8/D8,0))</f>
        <v/>
      </c>
      <c r="G8" s="45">
        <f>IF('Krankenquote Objekte'!B11="","",'Krankenquote Objekte'!T11)</f>
        <v/>
      </c>
      <c r="H8" s="46">
        <f>IF(B8="","",RANK(F8,$F$4:$F$103,0))</f>
        <v/>
      </c>
      <c r="I8" s="47">
        <f>IF(B8="","",IF(F8&lt;=$K$4,"unauffällig",IF(F8&lt;=$K$5,"auffällig","kritisch")))</f>
        <v/>
      </c>
      <c r="J8" s="37" t="inlineStr">
        <is>
          <t>Kennzahlen</t>
        </is>
      </c>
      <c r="K8" s="37" t="n"/>
    </row>
    <row r="9">
      <c r="A9" s="42">
        <f>IF('Krankenquote Objekte'!B12="","",'Krankenquote Objekte'!A12)</f>
        <v/>
      </c>
      <c r="B9" s="43">
        <f>IF('Krankenquote Objekte'!B12="","",'Krankenquote Objekte'!B12)</f>
        <v/>
      </c>
      <c r="C9" s="7">
        <f>IF('Krankenquote Objekte'!B12="","",'Krankenquote Objekte'!C12)</f>
        <v/>
      </c>
      <c r="D9" s="44">
        <f>IF('Krankenquote Objekte'!B12="","",'Krankenquote Objekte'!E12)</f>
        <v/>
      </c>
      <c r="E9" s="45">
        <f>IF('Krankenquote Objekte'!B12="","",'Krankenquote Objekte'!R12)</f>
        <v/>
      </c>
      <c r="F9" s="26">
        <f>IF(B9="","",IF(D9&gt;0,E9/D9,0))</f>
        <v/>
      </c>
      <c r="G9" s="45">
        <f>IF('Krankenquote Objekte'!B12="","",'Krankenquote Objekte'!T12)</f>
        <v/>
      </c>
      <c r="H9" s="46">
        <f>IF(B9="","",RANK(F9,$F$4:$F$103,0))</f>
        <v/>
      </c>
      <c r="I9" s="47">
        <f>IF(B9="","",IF(F9&lt;=$K$4,"unauffällig",IF(F9&lt;=$K$5,"auffällig","kritisch")))</f>
        <v/>
      </c>
      <c r="J9" s="6" t="inlineStr">
        <is>
          <t>Anzahl Mitarbeiter</t>
        </is>
      </c>
      <c r="K9" s="16">
        <f>COUNTA('Krankenquote Objekte'!B7:B56)+COUNTA('Krankenquote Objekte'!B61:B110)</f>
        <v/>
      </c>
    </row>
    <row r="10">
      <c r="A10" s="42">
        <f>IF('Krankenquote Objekte'!B13="","",'Krankenquote Objekte'!A13)</f>
        <v/>
      </c>
      <c r="B10" s="43">
        <f>IF('Krankenquote Objekte'!B13="","",'Krankenquote Objekte'!B13)</f>
        <v/>
      </c>
      <c r="C10" s="7">
        <f>IF('Krankenquote Objekte'!B13="","",'Krankenquote Objekte'!C13)</f>
        <v/>
      </c>
      <c r="D10" s="44">
        <f>IF('Krankenquote Objekte'!B13="","",'Krankenquote Objekte'!E13)</f>
        <v/>
      </c>
      <c r="E10" s="45">
        <f>IF('Krankenquote Objekte'!B13="","",'Krankenquote Objekte'!R13)</f>
        <v/>
      </c>
      <c r="F10" s="26">
        <f>IF(B10="","",IF(D10&gt;0,E10/D10,0))</f>
        <v/>
      </c>
      <c r="G10" s="45">
        <f>IF('Krankenquote Objekte'!B13="","",'Krankenquote Objekte'!T13)</f>
        <v/>
      </c>
      <c r="H10" s="46">
        <f>IF(B10="","",RANK(F10,$F$4:$F$103,0))</f>
        <v/>
      </c>
      <c r="I10" s="47">
        <f>IF(B10="","",IF(F10&lt;=$K$4,"unauffällig",IF(F10&lt;=$K$5,"auffällig","kritisch")))</f>
        <v/>
      </c>
      <c r="J10" s="6" t="inlineStr">
        <is>
          <t>Ø Krankenquote (gewichtet)</t>
        </is>
      </c>
      <c r="K10" s="26">
        <f>IF(SUM(D4:D103)&gt;0,SUM(E4:E103)/SUM(D4:D103),0)</f>
        <v/>
      </c>
    </row>
    <row r="11">
      <c r="A11" s="42">
        <f>IF('Krankenquote Objekte'!B14="","",'Krankenquote Objekte'!A14)</f>
        <v/>
      </c>
      <c r="B11" s="43">
        <f>IF('Krankenquote Objekte'!B14="","",'Krankenquote Objekte'!B14)</f>
        <v/>
      </c>
      <c r="C11" s="7">
        <f>IF('Krankenquote Objekte'!B14="","",'Krankenquote Objekte'!C14)</f>
        <v/>
      </c>
      <c r="D11" s="44">
        <f>IF('Krankenquote Objekte'!B14="","",'Krankenquote Objekte'!E14)</f>
        <v/>
      </c>
      <c r="E11" s="45">
        <f>IF('Krankenquote Objekte'!B14="","",'Krankenquote Objekte'!R14)</f>
        <v/>
      </c>
      <c r="F11" s="26">
        <f>IF(B11="","",IF(D11&gt;0,E11/D11,0))</f>
        <v/>
      </c>
      <c r="G11" s="45">
        <f>IF('Krankenquote Objekte'!B14="","",'Krankenquote Objekte'!T14)</f>
        <v/>
      </c>
      <c r="H11" s="46">
        <f>IF(B11="","",RANK(F11,$F$4:$F$103,0))</f>
        <v/>
      </c>
      <c r="I11" s="47">
        <f>IF(B11="","",IF(F11&lt;=$K$4,"unauffällig",IF(F11&lt;=$K$5,"auffällig","kritisch")))</f>
        <v/>
      </c>
      <c r="J11" s="6" t="inlineStr">
        <is>
          <t>Ø Krankenquote (je MA)</t>
        </is>
      </c>
      <c r="K11" s="26">
        <f>AVERAGE($F$4:$F$103)</f>
        <v/>
      </c>
    </row>
    <row r="12">
      <c r="A12" s="42">
        <f>IF('Krankenquote Objekte'!B15="","",'Krankenquote Objekte'!A15)</f>
        <v/>
      </c>
      <c r="B12" s="43">
        <f>IF('Krankenquote Objekte'!B15="","",'Krankenquote Objekte'!B15)</f>
        <v/>
      </c>
      <c r="C12" s="7">
        <f>IF('Krankenquote Objekte'!B15="","",'Krankenquote Objekte'!C15)</f>
        <v/>
      </c>
      <c r="D12" s="44">
        <f>IF('Krankenquote Objekte'!B15="","",'Krankenquote Objekte'!E15)</f>
        <v/>
      </c>
      <c r="E12" s="45">
        <f>IF('Krankenquote Objekte'!B15="","",'Krankenquote Objekte'!R15)</f>
        <v/>
      </c>
      <c r="F12" s="26">
        <f>IF(B12="","",IF(D12&gt;0,E12/D12,0))</f>
        <v/>
      </c>
      <c r="G12" s="45">
        <f>IF('Krankenquote Objekte'!B15="","",'Krankenquote Objekte'!T15)</f>
        <v/>
      </c>
      <c r="H12" s="46">
        <f>IF(B12="","",RANK(F12,$F$4:$F$103,0))</f>
        <v/>
      </c>
      <c r="I12" s="47">
        <f>IF(B12="","",IF(F12&lt;=$K$4,"unauffällig",IF(F12&lt;=$K$5,"auffällig","kritisch")))</f>
        <v/>
      </c>
      <c r="J12" s="6" t="inlineStr">
        <is>
          <t>Median</t>
        </is>
      </c>
      <c r="K12" s="26">
        <f>MEDIAN($F$4:$F$103)</f>
        <v/>
      </c>
    </row>
    <row r="13">
      <c r="A13" s="42">
        <f>IF('Krankenquote Objekte'!B16="","",'Krankenquote Objekte'!A16)</f>
        <v/>
      </c>
      <c r="B13" s="43">
        <f>IF('Krankenquote Objekte'!B16="","",'Krankenquote Objekte'!B16)</f>
        <v/>
      </c>
      <c r="C13" s="7">
        <f>IF('Krankenquote Objekte'!B16="","",'Krankenquote Objekte'!C16)</f>
        <v/>
      </c>
      <c r="D13" s="44">
        <f>IF('Krankenquote Objekte'!B16="","",'Krankenquote Objekte'!E16)</f>
        <v/>
      </c>
      <c r="E13" s="45">
        <f>IF('Krankenquote Objekte'!B16="","",'Krankenquote Objekte'!R16)</f>
        <v/>
      </c>
      <c r="F13" s="26">
        <f>IF(B13="","",IF(D13&gt;0,E13/D13,0))</f>
        <v/>
      </c>
      <c r="G13" s="45">
        <f>IF('Krankenquote Objekte'!B16="","",'Krankenquote Objekte'!T16)</f>
        <v/>
      </c>
      <c r="H13" s="46">
        <f>IF(B13="","",RANK(F13,$F$4:$F$103,0))</f>
        <v/>
      </c>
      <c r="I13" s="47">
        <f>IF(B13="","",IF(F13&lt;=$K$4,"unauffällig",IF(F13&lt;=$K$5,"auffällig","kritisch")))</f>
        <v/>
      </c>
      <c r="J13" s="6" t="inlineStr">
        <is>
          <t>Höchste Quote</t>
        </is>
      </c>
      <c r="K13" s="26">
        <f>MAX($F$4:$F$103)</f>
        <v/>
      </c>
    </row>
    <row r="14">
      <c r="A14" s="42">
        <f>IF('Krankenquote Objekte'!B17="","",'Krankenquote Objekte'!A17)</f>
        <v/>
      </c>
      <c r="B14" s="43">
        <f>IF('Krankenquote Objekte'!B17="","",'Krankenquote Objekte'!B17)</f>
        <v/>
      </c>
      <c r="C14" s="7">
        <f>IF('Krankenquote Objekte'!B17="","",'Krankenquote Objekte'!C17)</f>
        <v/>
      </c>
      <c r="D14" s="44">
        <f>IF('Krankenquote Objekte'!B17="","",'Krankenquote Objekte'!E17)</f>
        <v/>
      </c>
      <c r="E14" s="45">
        <f>IF('Krankenquote Objekte'!B17="","",'Krankenquote Objekte'!R17)</f>
        <v/>
      </c>
      <c r="F14" s="26">
        <f>IF(B14="","",IF(D14&gt;0,E14/D14,0))</f>
        <v/>
      </c>
      <c r="G14" s="45">
        <f>IF('Krankenquote Objekte'!B17="","",'Krankenquote Objekte'!T17)</f>
        <v/>
      </c>
      <c r="H14" s="46">
        <f>IF(B14="","",RANK(F14,$F$4:$F$103,0))</f>
        <v/>
      </c>
      <c r="I14" s="47">
        <f>IF(B14="","",IF(F14&lt;=$K$4,"unauffällig",IF(F14&lt;=$K$5,"auffällig","kritisch")))</f>
        <v/>
      </c>
      <c r="J14" s="6" t="inlineStr">
        <is>
          <t>… Mitarbeiter</t>
        </is>
      </c>
      <c r="K14" s="47">
        <f>INDEX(B4:B103,MATCH(MAX($F$4:$F$103),$F$4:$F$103,0))</f>
        <v/>
      </c>
    </row>
    <row r="15">
      <c r="A15" s="42">
        <f>IF('Krankenquote Objekte'!B18="","",'Krankenquote Objekte'!A18)</f>
        <v/>
      </c>
      <c r="B15" s="43">
        <f>IF('Krankenquote Objekte'!B18="","",'Krankenquote Objekte'!B18)</f>
        <v/>
      </c>
      <c r="C15" s="7">
        <f>IF('Krankenquote Objekte'!B18="","",'Krankenquote Objekte'!C18)</f>
        <v/>
      </c>
      <c r="D15" s="44">
        <f>IF('Krankenquote Objekte'!B18="","",'Krankenquote Objekte'!E18)</f>
        <v/>
      </c>
      <c r="E15" s="45">
        <f>IF('Krankenquote Objekte'!B18="","",'Krankenquote Objekte'!R18)</f>
        <v/>
      </c>
      <c r="F15" s="26">
        <f>IF(B15="","",IF(D15&gt;0,E15/D15,0))</f>
        <v/>
      </c>
      <c r="G15" s="45">
        <f>IF('Krankenquote Objekte'!B18="","",'Krankenquote Objekte'!T18)</f>
        <v/>
      </c>
      <c r="H15" s="46">
        <f>IF(B15="","",RANK(F15,$F$4:$F$103,0))</f>
        <v/>
      </c>
      <c r="I15" s="47">
        <f>IF(B15="","",IF(F15&lt;=$K$4,"unauffällig",IF(F15&lt;=$K$5,"auffällig","kritisch")))</f>
        <v/>
      </c>
      <c r="J15" s="6" t="inlineStr">
        <is>
          <t>Niedrigste Quote</t>
        </is>
      </c>
      <c r="K15" s="26">
        <f>MIN($F$4:$F$103)</f>
        <v/>
      </c>
    </row>
    <row r="16">
      <c r="A16" s="42">
        <f>IF('Krankenquote Objekte'!B19="","",'Krankenquote Objekte'!A19)</f>
        <v/>
      </c>
      <c r="B16" s="43">
        <f>IF('Krankenquote Objekte'!B19="","",'Krankenquote Objekte'!B19)</f>
        <v/>
      </c>
      <c r="C16" s="7">
        <f>IF('Krankenquote Objekte'!B19="","",'Krankenquote Objekte'!C19)</f>
        <v/>
      </c>
      <c r="D16" s="44">
        <f>IF('Krankenquote Objekte'!B19="","",'Krankenquote Objekte'!E19)</f>
        <v/>
      </c>
      <c r="E16" s="45">
        <f>IF('Krankenquote Objekte'!B19="","",'Krankenquote Objekte'!R19)</f>
        <v/>
      </c>
      <c r="F16" s="26">
        <f>IF(B16="","",IF(D16&gt;0,E16/D16,0))</f>
        <v/>
      </c>
      <c r="G16" s="45">
        <f>IF('Krankenquote Objekte'!B19="","",'Krankenquote Objekte'!T19)</f>
        <v/>
      </c>
      <c r="H16" s="46">
        <f>IF(B16="","",RANK(F16,$F$4:$F$103,0))</f>
        <v/>
      </c>
      <c r="I16" s="47">
        <f>IF(B16="","",IF(F16&lt;=$K$4,"unauffällig",IF(F16&lt;=$K$5,"auffällig","kritisch")))</f>
        <v/>
      </c>
      <c r="J16" s="6" t="inlineStr">
        <is>
          <t>MA ohne Krankheitstag</t>
        </is>
      </c>
      <c r="K16" s="16">
        <f>COUNTIF(E4:E103,0)</f>
        <v/>
      </c>
    </row>
    <row r="17">
      <c r="A17" s="42">
        <f>IF('Krankenquote Objekte'!B20="","",'Krankenquote Objekte'!A20)</f>
        <v/>
      </c>
      <c r="B17" s="43">
        <f>IF('Krankenquote Objekte'!B20="","",'Krankenquote Objekte'!B20)</f>
        <v/>
      </c>
      <c r="C17" s="7">
        <f>IF('Krankenquote Objekte'!B20="","",'Krankenquote Objekte'!C20)</f>
        <v/>
      </c>
      <c r="D17" s="44">
        <f>IF('Krankenquote Objekte'!B20="","",'Krankenquote Objekte'!E20)</f>
        <v/>
      </c>
      <c r="E17" s="45">
        <f>IF('Krankenquote Objekte'!B20="","",'Krankenquote Objekte'!R20)</f>
        <v/>
      </c>
      <c r="F17" s="26">
        <f>IF(B17="","",IF(D17&gt;0,E17/D17,0))</f>
        <v/>
      </c>
      <c r="G17" s="45">
        <f>IF('Krankenquote Objekte'!B20="","",'Krankenquote Objekte'!T20)</f>
        <v/>
      </c>
      <c r="H17" s="46">
        <f>IF(B17="","",RANK(F17,$F$4:$F$103,0))</f>
        <v/>
      </c>
      <c r="I17" s="47">
        <f>IF(B17="","",IF(F17&lt;=$K$4,"unauffällig",IF(F17&lt;=$K$5,"auffällig","kritisch")))</f>
        <v/>
      </c>
      <c r="J17" s="6" t="inlineStr">
        <is>
          <t>MA unauffällig</t>
        </is>
      </c>
      <c r="K17" s="16">
        <f>COUNTIF($I$4:$I$103,"unauffällig")</f>
        <v/>
      </c>
    </row>
    <row r="18">
      <c r="A18" s="42">
        <f>IF('Krankenquote Objekte'!B21="","",'Krankenquote Objekte'!A21)</f>
        <v/>
      </c>
      <c r="B18" s="43">
        <f>IF('Krankenquote Objekte'!B21="","",'Krankenquote Objekte'!B21)</f>
        <v/>
      </c>
      <c r="C18" s="7">
        <f>IF('Krankenquote Objekte'!B21="","",'Krankenquote Objekte'!C21)</f>
        <v/>
      </c>
      <c r="D18" s="44">
        <f>IF('Krankenquote Objekte'!B21="","",'Krankenquote Objekte'!E21)</f>
        <v/>
      </c>
      <c r="E18" s="45">
        <f>IF('Krankenquote Objekte'!B21="","",'Krankenquote Objekte'!R21)</f>
        <v/>
      </c>
      <c r="F18" s="26">
        <f>IF(B18="","",IF(D18&gt;0,E18/D18,0))</f>
        <v/>
      </c>
      <c r="G18" s="45">
        <f>IF('Krankenquote Objekte'!B21="","",'Krankenquote Objekte'!T21)</f>
        <v/>
      </c>
      <c r="H18" s="46">
        <f>IF(B18="","",RANK(F18,$F$4:$F$103,0))</f>
        <v/>
      </c>
      <c r="I18" s="47">
        <f>IF(B18="","",IF(F18&lt;=$K$4,"unauffällig",IF(F18&lt;=$K$5,"auffällig","kritisch")))</f>
        <v/>
      </c>
      <c r="J18" s="6" t="inlineStr">
        <is>
          <t>MA auffällig</t>
        </is>
      </c>
      <c r="K18" s="16">
        <f>COUNTIF($I$4:$I$103,"auffällig")</f>
        <v/>
      </c>
    </row>
    <row r="19">
      <c r="A19" s="42">
        <f>IF('Krankenquote Objekte'!B22="","",'Krankenquote Objekte'!A22)</f>
        <v/>
      </c>
      <c r="B19" s="43">
        <f>IF('Krankenquote Objekte'!B22="","",'Krankenquote Objekte'!B22)</f>
        <v/>
      </c>
      <c r="C19" s="7">
        <f>IF('Krankenquote Objekte'!B22="","",'Krankenquote Objekte'!C22)</f>
        <v/>
      </c>
      <c r="D19" s="44">
        <f>IF('Krankenquote Objekte'!B22="","",'Krankenquote Objekte'!E22)</f>
        <v/>
      </c>
      <c r="E19" s="45">
        <f>IF('Krankenquote Objekte'!B22="","",'Krankenquote Objekte'!R22)</f>
        <v/>
      </c>
      <c r="F19" s="26">
        <f>IF(B19="","",IF(D19&gt;0,E19/D19,0))</f>
        <v/>
      </c>
      <c r="G19" s="45">
        <f>IF('Krankenquote Objekte'!B22="","",'Krankenquote Objekte'!T22)</f>
        <v/>
      </c>
      <c r="H19" s="46">
        <f>IF(B19="","",RANK(F19,$F$4:$F$103,0))</f>
        <v/>
      </c>
      <c r="I19" s="47">
        <f>IF(B19="","",IF(F19&lt;=$K$4,"unauffällig",IF(F19&lt;=$K$5,"auffällig","kritisch")))</f>
        <v/>
      </c>
      <c r="J19" s="6" t="inlineStr">
        <is>
          <t>MA kritisch</t>
        </is>
      </c>
      <c r="K19" s="16">
        <f>COUNTIF($I$4:$I$103,"kritisch")</f>
        <v/>
      </c>
    </row>
    <row r="20">
      <c r="A20" s="42">
        <f>IF('Krankenquote Objekte'!B23="","",'Krankenquote Objekte'!A23)</f>
        <v/>
      </c>
      <c r="B20" s="43">
        <f>IF('Krankenquote Objekte'!B23="","",'Krankenquote Objekte'!B23)</f>
        <v/>
      </c>
      <c r="C20" s="7">
        <f>IF('Krankenquote Objekte'!B23="","",'Krankenquote Objekte'!C23)</f>
        <v/>
      </c>
      <c r="D20" s="44">
        <f>IF('Krankenquote Objekte'!B23="","",'Krankenquote Objekte'!E23)</f>
        <v/>
      </c>
      <c r="E20" s="45">
        <f>IF('Krankenquote Objekte'!B23="","",'Krankenquote Objekte'!R23)</f>
        <v/>
      </c>
      <c r="F20" s="26">
        <f>IF(B20="","",IF(D20&gt;0,E20/D20,0))</f>
        <v/>
      </c>
      <c r="G20" s="45">
        <f>IF('Krankenquote Objekte'!B23="","",'Krankenquote Objekte'!T23)</f>
        <v/>
      </c>
      <c r="H20" s="46">
        <f>IF(B20="","",RANK(F20,$F$4:$F$103,0))</f>
        <v/>
      </c>
      <c r="I20" s="47">
        <f>IF(B20="","",IF(F20&lt;=$K$4,"unauffällig",IF(F20&lt;=$K$5,"auffällig","kritisch")))</f>
        <v/>
      </c>
      <c r="J20" s="6" t="inlineStr">
        <is>
          <t>Anteil kritisch</t>
        </is>
      </c>
      <c r="K20" s="26">
        <f>IF(K9&gt;0,K19/K9,0)</f>
        <v/>
      </c>
    </row>
    <row r="21">
      <c r="A21" s="42">
        <f>IF('Krankenquote Objekte'!B24="","",'Krankenquote Objekte'!A24)</f>
        <v/>
      </c>
      <c r="B21" s="43">
        <f>IF('Krankenquote Objekte'!B24="","",'Krankenquote Objekte'!B24)</f>
        <v/>
      </c>
      <c r="C21" s="7">
        <f>IF('Krankenquote Objekte'!B24="","",'Krankenquote Objekte'!C24)</f>
        <v/>
      </c>
      <c r="D21" s="44">
        <f>IF('Krankenquote Objekte'!B24="","",'Krankenquote Objekte'!E24)</f>
        <v/>
      </c>
      <c r="E21" s="45">
        <f>IF('Krankenquote Objekte'!B24="","",'Krankenquote Objekte'!R24)</f>
        <v/>
      </c>
      <c r="F21" s="26">
        <f>IF(B21="","",IF(D21&gt;0,E21/D21,0))</f>
        <v/>
      </c>
      <c r="G21" s="45">
        <f>IF('Krankenquote Objekte'!B24="","",'Krankenquote Objekte'!T24)</f>
        <v/>
      </c>
      <c r="H21" s="46">
        <f>IF(B21="","",RANK(F21,$F$4:$F$103,0))</f>
        <v/>
      </c>
      <c r="I21" s="47">
        <f>IF(B21="","",IF(F21&lt;=$K$4,"unauffällig",IF(F21&lt;=$K$5,"auffällig","kritisch")))</f>
        <v/>
      </c>
      <c r="J21" s="6" t="inlineStr">
        <is>
          <t>Krankheitstage gesamt</t>
        </is>
      </c>
      <c r="K21" s="16">
        <f>SUM(E4:E103)</f>
        <v/>
      </c>
    </row>
    <row r="22">
      <c r="A22" s="42">
        <f>IF('Krankenquote Objekte'!B25="","",'Krankenquote Objekte'!A25)</f>
        <v/>
      </c>
      <c r="B22" s="43">
        <f>IF('Krankenquote Objekte'!B25="","",'Krankenquote Objekte'!B25)</f>
        <v/>
      </c>
      <c r="C22" s="7">
        <f>IF('Krankenquote Objekte'!B25="","",'Krankenquote Objekte'!C25)</f>
        <v/>
      </c>
      <c r="D22" s="44">
        <f>IF('Krankenquote Objekte'!B25="","",'Krankenquote Objekte'!E25)</f>
        <v/>
      </c>
      <c r="E22" s="45">
        <f>IF('Krankenquote Objekte'!B25="","",'Krankenquote Objekte'!R25)</f>
        <v/>
      </c>
      <c r="F22" s="26">
        <f>IF(B22="","",IF(D22&gt;0,E22/D22,0))</f>
        <v/>
      </c>
      <c r="G22" s="45">
        <f>IF('Krankenquote Objekte'!B25="","",'Krankenquote Objekte'!T25)</f>
        <v/>
      </c>
      <c r="H22" s="46">
        <f>IF(B22="","",RANK(F22,$F$4:$F$103,0))</f>
        <v/>
      </c>
      <c r="I22" s="47">
        <f>IF(B22="","",IF(F22&lt;=$K$4,"unauffällig",IF(F22&lt;=$K$5,"auffällig","kritisch")))</f>
        <v/>
      </c>
      <c r="J22" s="6" t="inlineStr">
        <is>
          <t>Ø Krankheitstage je MA</t>
        </is>
      </c>
      <c r="K22" s="50">
        <f>IF(K9&gt;0,K21/K9,0)</f>
        <v/>
      </c>
    </row>
    <row r="23">
      <c r="A23" s="42">
        <f>IF('Krankenquote Objekte'!B26="","",'Krankenquote Objekte'!A26)</f>
        <v/>
      </c>
      <c r="B23" s="43">
        <f>IF('Krankenquote Objekte'!B26="","",'Krankenquote Objekte'!B26)</f>
        <v/>
      </c>
      <c r="C23" s="7">
        <f>IF('Krankenquote Objekte'!B26="","",'Krankenquote Objekte'!C26)</f>
        <v/>
      </c>
      <c r="D23" s="44">
        <f>IF('Krankenquote Objekte'!B26="","",'Krankenquote Objekte'!E26)</f>
        <v/>
      </c>
      <c r="E23" s="45">
        <f>IF('Krankenquote Objekte'!B26="","",'Krankenquote Objekte'!R26)</f>
        <v/>
      </c>
      <c r="F23" s="26">
        <f>IF(B23="","",IF(D23&gt;0,E23/D23,0))</f>
        <v/>
      </c>
      <c r="G23" s="45">
        <f>IF('Krankenquote Objekte'!B26="","",'Krankenquote Objekte'!T26)</f>
        <v/>
      </c>
      <c r="H23" s="46">
        <f>IF(B23="","",RANK(F23,$F$4:$F$103,0))</f>
        <v/>
      </c>
      <c r="I23" s="47">
        <f>IF(B23="","",IF(F23&lt;=$K$4,"unauffällig",IF(F23&lt;=$K$5,"auffällig","kritisch")))</f>
        <v/>
      </c>
    </row>
    <row r="24">
      <c r="A24" s="42">
        <f>IF('Krankenquote Objekte'!B27="","",'Krankenquote Objekte'!A27)</f>
        <v/>
      </c>
      <c r="B24" s="43">
        <f>IF('Krankenquote Objekte'!B27="","",'Krankenquote Objekte'!B27)</f>
        <v/>
      </c>
      <c r="C24" s="7">
        <f>IF('Krankenquote Objekte'!B27="","",'Krankenquote Objekte'!C27)</f>
        <v/>
      </c>
      <c r="D24" s="44">
        <f>IF('Krankenquote Objekte'!B27="","",'Krankenquote Objekte'!E27)</f>
        <v/>
      </c>
      <c r="E24" s="45">
        <f>IF('Krankenquote Objekte'!B27="","",'Krankenquote Objekte'!R27)</f>
        <v/>
      </c>
      <c r="F24" s="26">
        <f>IF(B24="","",IF(D24&gt;0,E24/D24,0))</f>
        <v/>
      </c>
      <c r="G24" s="45">
        <f>IF('Krankenquote Objekte'!B27="","",'Krankenquote Objekte'!T27)</f>
        <v/>
      </c>
      <c r="H24" s="46">
        <f>IF(B24="","",RANK(F24,$F$4:$F$103,0))</f>
        <v/>
      </c>
      <c r="I24" s="47">
        <f>IF(B24="","",IF(F24&lt;=$K$4,"unauffällig",IF(F24&lt;=$K$5,"auffällig","kritisch")))</f>
        <v/>
      </c>
      <c r="J24" s="37" t="inlineStr">
        <is>
          <t>Verteilung</t>
        </is>
      </c>
      <c r="K24" s="17" t="inlineStr">
        <is>
          <t>Anzahl</t>
        </is>
      </c>
    </row>
    <row r="25">
      <c r="A25" s="42">
        <f>IF('Krankenquote Objekte'!B28="","",'Krankenquote Objekte'!A28)</f>
        <v/>
      </c>
      <c r="B25" s="43">
        <f>IF('Krankenquote Objekte'!B28="","",'Krankenquote Objekte'!B28)</f>
        <v/>
      </c>
      <c r="C25" s="7">
        <f>IF('Krankenquote Objekte'!B28="","",'Krankenquote Objekte'!C28)</f>
        <v/>
      </c>
      <c r="D25" s="44">
        <f>IF('Krankenquote Objekte'!B28="","",'Krankenquote Objekte'!E28)</f>
        <v/>
      </c>
      <c r="E25" s="45">
        <f>IF('Krankenquote Objekte'!B28="","",'Krankenquote Objekte'!R28)</f>
        <v/>
      </c>
      <c r="F25" s="26">
        <f>IF(B25="","",IF(D25&gt;0,E25/D25,0))</f>
        <v/>
      </c>
      <c r="G25" s="45">
        <f>IF('Krankenquote Objekte'!B28="","",'Krankenquote Objekte'!T28)</f>
        <v/>
      </c>
      <c r="H25" s="46">
        <f>IF(B25="","",RANK(F25,$F$4:$F$103,0))</f>
        <v/>
      </c>
      <c r="I25" s="47">
        <f>IF(B25="","",IF(F25&lt;=$K$4,"unauffällig",IF(F25&lt;=$K$5,"auffällig","kritisch")))</f>
        <v/>
      </c>
      <c r="J25" s="6" t="inlineStr">
        <is>
          <t>unauffällig</t>
        </is>
      </c>
      <c r="K25" s="16">
        <f>K17</f>
        <v/>
      </c>
    </row>
    <row r="26">
      <c r="A26" s="42">
        <f>IF('Krankenquote Objekte'!B29="","",'Krankenquote Objekte'!A29)</f>
        <v/>
      </c>
      <c r="B26" s="43">
        <f>IF('Krankenquote Objekte'!B29="","",'Krankenquote Objekte'!B29)</f>
        <v/>
      </c>
      <c r="C26" s="7">
        <f>IF('Krankenquote Objekte'!B29="","",'Krankenquote Objekte'!C29)</f>
        <v/>
      </c>
      <c r="D26" s="44">
        <f>IF('Krankenquote Objekte'!B29="","",'Krankenquote Objekte'!E29)</f>
        <v/>
      </c>
      <c r="E26" s="45">
        <f>IF('Krankenquote Objekte'!B29="","",'Krankenquote Objekte'!R29)</f>
        <v/>
      </c>
      <c r="F26" s="26">
        <f>IF(B26="","",IF(D26&gt;0,E26/D26,0))</f>
        <v/>
      </c>
      <c r="G26" s="45">
        <f>IF('Krankenquote Objekte'!B29="","",'Krankenquote Objekte'!T29)</f>
        <v/>
      </c>
      <c r="H26" s="46">
        <f>IF(B26="","",RANK(F26,$F$4:$F$103,0))</f>
        <v/>
      </c>
      <c r="I26" s="47">
        <f>IF(B26="","",IF(F26&lt;=$K$4,"unauffällig",IF(F26&lt;=$K$5,"auffällig","kritisch")))</f>
        <v/>
      </c>
      <c r="J26" s="6" t="inlineStr">
        <is>
          <t>auffällig</t>
        </is>
      </c>
      <c r="K26" s="16">
        <f>K18</f>
        <v/>
      </c>
    </row>
    <row r="27">
      <c r="A27" s="42">
        <f>IF('Krankenquote Objekte'!B30="","",'Krankenquote Objekte'!A30)</f>
        <v/>
      </c>
      <c r="B27" s="43">
        <f>IF('Krankenquote Objekte'!B30="","",'Krankenquote Objekte'!B30)</f>
        <v/>
      </c>
      <c r="C27" s="7">
        <f>IF('Krankenquote Objekte'!B30="","",'Krankenquote Objekte'!C30)</f>
        <v/>
      </c>
      <c r="D27" s="44">
        <f>IF('Krankenquote Objekte'!B30="","",'Krankenquote Objekte'!E30)</f>
        <v/>
      </c>
      <c r="E27" s="45">
        <f>IF('Krankenquote Objekte'!B30="","",'Krankenquote Objekte'!R30)</f>
        <v/>
      </c>
      <c r="F27" s="26">
        <f>IF(B27="","",IF(D27&gt;0,E27/D27,0))</f>
        <v/>
      </c>
      <c r="G27" s="45">
        <f>IF('Krankenquote Objekte'!B30="","",'Krankenquote Objekte'!T30)</f>
        <v/>
      </c>
      <c r="H27" s="46">
        <f>IF(B27="","",RANK(F27,$F$4:$F$103,0))</f>
        <v/>
      </c>
      <c r="I27" s="47">
        <f>IF(B27="","",IF(F27&lt;=$K$4,"unauffällig",IF(F27&lt;=$K$5,"auffällig","kritisch")))</f>
        <v/>
      </c>
      <c r="J27" s="6" t="inlineStr">
        <is>
          <t>kritisch</t>
        </is>
      </c>
      <c r="K27" s="16">
        <f>K19</f>
        <v/>
      </c>
    </row>
    <row r="28">
      <c r="A28" s="42">
        <f>IF('Krankenquote Objekte'!B31="","",'Krankenquote Objekte'!A31)</f>
        <v/>
      </c>
      <c r="B28" s="43">
        <f>IF('Krankenquote Objekte'!B31="","",'Krankenquote Objekte'!B31)</f>
        <v/>
      </c>
      <c r="C28" s="7">
        <f>IF('Krankenquote Objekte'!B31="","",'Krankenquote Objekte'!C31)</f>
        <v/>
      </c>
      <c r="D28" s="44">
        <f>IF('Krankenquote Objekte'!B31="","",'Krankenquote Objekte'!E31)</f>
        <v/>
      </c>
      <c r="E28" s="45">
        <f>IF('Krankenquote Objekte'!B31="","",'Krankenquote Objekte'!R31)</f>
        <v/>
      </c>
      <c r="F28" s="26">
        <f>IF(B28="","",IF(D28&gt;0,E28/D28,0))</f>
        <v/>
      </c>
      <c r="G28" s="45">
        <f>IF('Krankenquote Objekte'!B31="","",'Krankenquote Objekte'!T31)</f>
        <v/>
      </c>
      <c r="H28" s="46">
        <f>IF(B28="","",RANK(F28,$F$4:$F$103,0))</f>
        <v/>
      </c>
      <c r="I28" s="47">
        <f>IF(B28="","",IF(F28&lt;=$K$4,"unauffällig",IF(F28&lt;=$K$5,"auffällig","kritisch")))</f>
        <v/>
      </c>
    </row>
    <row r="29">
      <c r="A29" s="42">
        <f>IF('Krankenquote Objekte'!B32="","",'Krankenquote Objekte'!A32)</f>
        <v/>
      </c>
      <c r="B29" s="43">
        <f>IF('Krankenquote Objekte'!B32="","",'Krankenquote Objekte'!B32)</f>
        <v/>
      </c>
      <c r="C29" s="7">
        <f>IF('Krankenquote Objekte'!B32="","",'Krankenquote Objekte'!C32)</f>
        <v/>
      </c>
      <c r="D29" s="44">
        <f>IF('Krankenquote Objekte'!B32="","",'Krankenquote Objekte'!E32)</f>
        <v/>
      </c>
      <c r="E29" s="45">
        <f>IF('Krankenquote Objekte'!B32="","",'Krankenquote Objekte'!R32)</f>
        <v/>
      </c>
      <c r="F29" s="26">
        <f>IF(B29="","",IF(D29&gt;0,E29/D29,0))</f>
        <v/>
      </c>
      <c r="G29" s="45">
        <f>IF('Krankenquote Objekte'!B32="","",'Krankenquote Objekte'!T32)</f>
        <v/>
      </c>
      <c r="H29" s="46">
        <f>IF(B29="","",RANK(F29,$F$4:$F$103,0))</f>
        <v/>
      </c>
      <c r="I29" s="47">
        <f>IF(B29="","",IF(F29&lt;=$K$4,"unauffällig",IF(F29&lt;=$K$5,"auffällig","kritisch")))</f>
        <v/>
      </c>
    </row>
    <row r="30">
      <c r="A30" s="42">
        <f>IF('Krankenquote Objekte'!B33="","",'Krankenquote Objekte'!A33)</f>
        <v/>
      </c>
      <c r="B30" s="43">
        <f>IF('Krankenquote Objekte'!B33="","",'Krankenquote Objekte'!B33)</f>
        <v/>
      </c>
      <c r="C30" s="7">
        <f>IF('Krankenquote Objekte'!B33="","",'Krankenquote Objekte'!C33)</f>
        <v/>
      </c>
      <c r="D30" s="44">
        <f>IF('Krankenquote Objekte'!B33="","",'Krankenquote Objekte'!E33)</f>
        <v/>
      </c>
      <c r="E30" s="45">
        <f>IF('Krankenquote Objekte'!B33="","",'Krankenquote Objekte'!R33)</f>
        <v/>
      </c>
      <c r="F30" s="26">
        <f>IF(B30="","",IF(D30&gt;0,E30/D30,0))</f>
        <v/>
      </c>
      <c r="G30" s="45">
        <f>IF('Krankenquote Objekte'!B33="","",'Krankenquote Objekte'!T33)</f>
        <v/>
      </c>
      <c r="H30" s="46">
        <f>IF(B30="","",RANK(F30,$F$4:$F$103,0))</f>
        <v/>
      </c>
      <c r="I30" s="47">
        <f>IF(B30="","",IF(F30&lt;=$K$4,"unauffällig",IF(F30&lt;=$K$5,"auffällig","kritisch")))</f>
        <v/>
      </c>
    </row>
    <row r="31">
      <c r="A31" s="42">
        <f>IF('Krankenquote Objekte'!B34="","",'Krankenquote Objekte'!A34)</f>
        <v/>
      </c>
      <c r="B31" s="43">
        <f>IF('Krankenquote Objekte'!B34="","",'Krankenquote Objekte'!B34)</f>
        <v/>
      </c>
      <c r="C31" s="7">
        <f>IF('Krankenquote Objekte'!B34="","",'Krankenquote Objekte'!C34)</f>
        <v/>
      </c>
      <c r="D31" s="44">
        <f>IF('Krankenquote Objekte'!B34="","",'Krankenquote Objekte'!E34)</f>
        <v/>
      </c>
      <c r="E31" s="45">
        <f>IF('Krankenquote Objekte'!B34="","",'Krankenquote Objekte'!R34)</f>
        <v/>
      </c>
      <c r="F31" s="26">
        <f>IF(B31="","",IF(D31&gt;0,E31/D31,0))</f>
        <v/>
      </c>
      <c r="G31" s="45">
        <f>IF('Krankenquote Objekte'!B34="","",'Krankenquote Objekte'!T34)</f>
        <v/>
      </c>
      <c r="H31" s="46">
        <f>IF(B31="","",RANK(F31,$F$4:$F$103,0))</f>
        <v/>
      </c>
      <c r="I31" s="47">
        <f>IF(B31="","",IF(F31&lt;=$K$4,"unauffällig",IF(F31&lt;=$K$5,"auffällig","kritisch")))</f>
        <v/>
      </c>
    </row>
    <row r="32">
      <c r="A32" s="42">
        <f>IF('Krankenquote Objekte'!B35="","",'Krankenquote Objekte'!A35)</f>
        <v/>
      </c>
      <c r="B32" s="43">
        <f>IF('Krankenquote Objekte'!B35="","",'Krankenquote Objekte'!B35)</f>
        <v/>
      </c>
      <c r="C32" s="7">
        <f>IF('Krankenquote Objekte'!B35="","",'Krankenquote Objekte'!C35)</f>
        <v/>
      </c>
      <c r="D32" s="44">
        <f>IF('Krankenquote Objekte'!B35="","",'Krankenquote Objekte'!E35)</f>
        <v/>
      </c>
      <c r="E32" s="45">
        <f>IF('Krankenquote Objekte'!B35="","",'Krankenquote Objekte'!R35)</f>
        <v/>
      </c>
      <c r="F32" s="26">
        <f>IF(B32="","",IF(D32&gt;0,E32/D32,0))</f>
        <v/>
      </c>
      <c r="G32" s="45">
        <f>IF('Krankenquote Objekte'!B35="","",'Krankenquote Objekte'!T35)</f>
        <v/>
      </c>
      <c r="H32" s="46">
        <f>IF(B32="","",RANK(F32,$F$4:$F$103,0))</f>
        <v/>
      </c>
      <c r="I32" s="47">
        <f>IF(B32="","",IF(F32&lt;=$K$4,"unauffällig",IF(F32&lt;=$K$5,"auffällig","kritisch")))</f>
        <v/>
      </c>
    </row>
    <row r="33">
      <c r="A33" s="42">
        <f>IF('Krankenquote Objekte'!B36="","",'Krankenquote Objekte'!A36)</f>
        <v/>
      </c>
      <c r="B33" s="43">
        <f>IF('Krankenquote Objekte'!B36="","",'Krankenquote Objekte'!B36)</f>
        <v/>
      </c>
      <c r="C33" s="7">
        <f>IF('Krankenquote Objekte'!B36="","",'Krankenquote Objekte'!C36)</f>
        <v/>
      </c>
      <c r="D33" s="44">
        <f>IF('Krankenquote Objekte'!B36="","",'Krankenquote Objekte'!E36)</f>
        <v/>
      </c>
      <c r="E33" s="45">
        <f>IF('Krankenquote Objekte'!B36="","",'Krankenquote Objekte'!R36)</f>
        <v/>
      </c>
      <c r="F33" s="26">
        <f>IF(B33="","",IF(D33&gt;0,E33/D33,0))</f>
        <v/>
      </c>
      <c r="G33" s="45">
        <f>IF('Krankenquote Objekte'!B36="","",'Krankenquote Objekte'!T36)</f>
        <v/>
      </c>
      <c r="H33" s="46">
        <f>IF(B33="","",RANK(F33,$F$4:$F$103,0))</f>
        <v/>
      </c>
      <c r="I33" s="47">
        <f>IF(B33="","",IF(F33&lt;=$K$4,"unauffällig",IF(F33&lt;=$K$5,"auffällig","kritisch")))</f>
        <v/>
      </c>
    </row>
    <row r="34">
      <c r="A34" s="42">
        <f>IF('Krankenquote Objekte'!B37="","",'Krankenquote Objekte'!A37)</f>
        <v/>
      </c>
      <c r="B34" s="43">
        <f>IF('Krankenquote Objekte'!B37="","",'Krankenquote Objekte'!B37)</f>
        <v/>
      </c>
      <c r="C34" s="7">
        <f>IF('Krankenquote Objekte'!B37="","",'Krankenquote Objekte'!C37)</f>
        <v/>
      </c>
      <c r="D34" s="44">
        <f>IF('Krankenquote Objekte'!B37="","",'Krankenquote Objekte'!E37)</f>
        <v/>
      </c>
      <c r="E34" s="45">
        <f>IF('Krankenquote Objekte'!B37="","",'Krankenquote Objekte'!R37)</f>
        <v/>
      </c>
      <c r="F34" s="26">
        <f>IF(B34="","",IF(D34&gt;0,E34/D34,0))</f>
        <v/>
      </c>
      <c r="G34" s="45">
        <f>IF('Krankenquote Objekte'!B37="","",'Krankenquote Objekte'!T37)</f>
        <v/>
      </c>
      <c r="H34" s="46">
        <f>IF(B34="","",RANK(F34,$F$4:$F$103,0))</f>
        <v/>
      </c>
      <c r="I34" s="47">
        <f>IF(B34="","",IF(F34&lt;=$K$4,"unauffällig",IF(F34&lt;=$K$5,"auffällig","kritisch")))</f>
        <v/>
      </c>
    </row>
    <row r="35">
      <c r="A35" s="42">
        <f>IF('Krankenquote Objekte'!B38="","",'Krankenquote Objekte'!A38)</f>
        <v/>
      </c>
      <c r="B35" s="43">
        <f>IF('Krankenquote Objekte'!B38="","",'Krankenquote Objekte'!B38)</f>
        <v/>
      </c>
      <c r="C35" s="7">
        <f>IF('Krankenquote Objekte'!B38="","",'Krankenquote Objekte'!C38)</f>
        <v/>
      </c>
      <c r="D35" s="44">
        <f>IF('Krankenquote Objekte'!B38="","",'Krankenquote Objekte'!E38)</f>
        <v/>
      </c>
      <c r="E35" s="45">
        <f>IF('Krankenquote Objekte'!B38="","",'Krankenquote Objekte'!R38)</f>
        <v/>
      </c>
      <c r="F35" s="26">
        <f>IF(B35="","",IF(D35&gt;0,E35/D35,0))</f>
        <v/>
      </c>
      <c r="G35" s="45">
        <f>IF('Krankenquote Objekte'!B38="","",'Krankenquote Objekte'!T38)</f>
        <v/>
      </c>
      <c r="H35" s="46">
        <f>IF(B35="","",RANK(F35,$F$4:$F$103,0))</f>
        <v/>
      </c>
      <c r="I35" s="47">
        <f>IF(B35="","",IF(F35&lt;=$K$4,"unauffällig",IF(F35&lt;=$K$5,"auffällig","kritisch")))</f>
        <v/>
      </c>
    </row>
    <row r="36">
      <c r="A36" s="42">
        <f>IF('Krankenquote Objekte'!B39="","",'Krankenquote Objekte'!A39)</f>
        <v/>
      </c>
      <c r="B36" s="43">
        <f>IF('Krankenquote Objekte'!B39="","",'Krankenquote Objekte'!B39)</f>
        <v/>
      </c>
      <c r="C36" s="7">
        <f>IF('Krankenquote Objekte'!B39="","",'Krankenquote Objekte'!C39)</f>
        <v/>
      </c>
      <c r="D36" s="44">
        <f>IF('Krankenquote Objekte'!B39="","",'Krankenquote Objekte'!E39)</f>
        <v/>
      </c>
      <c r="E36" s="45">
        <f>IF('Krankenquote Objekte'!B39="","",'Krankenquote Objekte'!R39)</f>
        <v/>
      </c>
      <c r="F36" s="26">
        <f>IF(B36="","",IF(D36&gt;0,E36/D36,0))</f>
        <v/>
      </c>
      <c r="G36" s="45">
        <f>IF('Krankenquote Objekte'!B39="","",'Krankenquote Objekte'!T39)</f>
        <v/>
      </c>
      <c r="H36" s="46">
        <f>IF(B36="","",RANK(F36,$F$4:$F$103,0))</f>
        <v/>
      </c>
      <c r="I36" s="47">
        <f>IF(B36="","",IF(F36&lt;=$K$4,"unauffällig",IF(F36&lt;=$K$5,"auffällig","kritisch")))</f>
        <v/>
      </c>
    </row>
    <row r="37">
      <c r="A37" s="42">
        <f>IF('Krankenquote Objekte'!B40="","",'Krankenquote Objekte'!A40)</f>
        <v/>
      </c>
      <c r="B37" s="43">
        <f>IF('Krankenquote Objekte'!B40="","",'Krankenquote Objekte'!B40)</f>
        <v/>
      </c>
      <c r="C37" s="7">
        <f>IF('Krankenquote Objekte'!B40="","",'Krankenquote Objekte'!C40)</f>
        <v/>
      </c>
      <c r="D37" s="44">
        <f>IF('Krankenquote Objekte'!B40="","",'Krankenquote Objekte'!E40)</f>
        <v/>
      </c>
      <c r="E37" s="45">
        <f>IF('Krankenquote Objekte'!B40="","",'Krankenquote Objekte'!R40)</f>
        <v/>
      </c>
      <c r="F37" s="26">
        <f>IF(B37="","",IF(D37&gt;0,E37/D37,0))</f>
        <v/>
      </c>
      <c r="G37" s="45">
        <f>IF('Krankenquote Objekte'!B40="","",'Krankenquote Objekte'!T40)</f>
        <v/>
      </c>
      <c r="H37" s="46">
        <f>IF(B37="","",RANK(F37,$F$4:$F$103,0))</f>
        <v/>
      </c>
      <c r="I37" s="47">
        <f>IF(B37="","",IF(F37&lt;=$K$4,"unauffällig",IF(F37&lt;=$K$5,"auffällig","kritisch")))</f>
        <v/>
      </c>
    </row>
    <row r="38">
      <c r="A38" s="42">
        <f>IF('Krankenquote Objekte'!B41="","",'Krankenquote Objekte'!A41)</f>
        <v/>
      </c>
      <c r="B38" s="43">
        <f>IF('Krankenquote Objekte'!B41="","",'Krankenquote Objekte'!B41)</f>
        <v/>
      </c>
      <c r="C38" s="7">
        <f>IF('Krankenquote Objekte'!B41="","",'Krankenquote Objekte'!C41)</f>
        <v/>
      </c>
      <c r="D38" s="44">
        <f>IF('Krankenquote Objekte'!B41="","",'Krankenquote Objekte'!E41)</f>
        <v/>
      </c>
      <c r="E38" s="45">
        <f>IF('Krankenquote Objekte'!B41="","",'Krankenquote Objekte'!R41)</f>
        <v/>
      </c>
      <c r="F38" s="26">
        <f>IF(B38="","",IF(D38&gt;0,E38/D38,0))</f>
        <v/>
      </c>
      <c r="G38" s="45">
        <f>IF('Krankenquote Objekte'!B41="","",'Krankenquote Objekte'!T41)</f>
        <v/>
      </c>
      <c r="H38" s="46">
        <f>IF(B38="","",RANK(F38,$F$4:$F$103,0))</f>
        <v/>
      </c>
      <c r="I38" s="47">
        <f>IF(B38="","",IF(F38&lt;=$K$4,"unauffällig",IF(F38&lt;=$K$5,"auffällig","kritisch")))</f>
        <v/>
      </c>
    </row>
    <row r="39">
      <c r="A39" s="42">
        <f>IF('Krankenquote Objekte'!B42="","",'Krankenquote Objekte'!A42)</f>
        <v/>
      </c>
      <c r="B39" s="43">
        <f>IF('Krankenquote Objekte'!B42="","",'Krankenquote Objekte'!B42)</f>
        <v/>
      </c>
      <c r="C39" s="7">
        <f>IF('Krankenquote Objekte'!B42="","",'Krankenquote Objekte'!C42)</f>
        <v/>
      </c>
      <c r="D39" s="44">
        <f>IF('Krankenquote Objekte'!B42="","",'Krankenquote Objekte'!E42)</f>
        <v/>
      </c>
      <c r="E39" s="45">
        <f>IF('Krankenquote Objekte'!B42="","",'Krankenquote Objekte'!R42)</f>
        <v/>
      </c>
      <c r="F39" s="26">
        <f>IF(B39="","",IF(D39&gt;0,E39/D39,0))</f>
        <v/>
      </c>
      <c r="G39" s="45">
        <f>IF('Krankenquote Objekte'!B42="","",'Krankenquote Objekte'!T42)</f>
        <v/>
      </c>
      <c r="H39" s="46">
        <f>IF(B39="","",RANK(F39,$F$4:$F$103,0))</f>
        <v/>
      </c>
      <c r="I39" s="47">
        <f>IF(B39="","",IF(F39&lt;=$K$4,"unauffällig",IF(F39&lt;=$K$5,"auffällig","kritisch")))</f>
        <v/>
      </c>
    </row>
    <row r="40">
      <c r="A40" s="42">
        <f>IF('Krankenquote Objekte'!B43="","",'Krankenquote Objekte'!A43)</f>
        <v/>
      </c>
      <c r="B40" s="43">
        <f>IF('Krankenquote Objekte'!B43="","",'Krankenquote Objekte'!B43)</f>
        <v/>
      </c>
      <c r="C40" s="7">
        <f>IF('Krankenquote Objekte'!B43="","",'Krankenquote Objekte'!C43)</f>
        <v/>
      </c>
      <c r="D40" s="44">
        <f>IF('Krankenquote Objekte'!B43="","",'Krankenquote Objekte'!E43)</f>
        <v/>
      </c>
      <c r="E40" s="45">
        <f>IF('Krankenquote Objekte'!B43="","",'Krankenquote Objekte'!R43)</f>
        <v/>
      </c>
      <c r="F40" s="26">
        <f>IF(B40="","",IF(D40&gt;0,E40/D40,0))</f>
        <v/>
      </c>
      <c r="G40" s="45">
        <f>IF('Krankenquote Objekte'!B43="","",'Krankenquote Objekte'!T43)</f>
        <v/>
      </c>
      <c r="H40" s="46">
        <f>IF(B40="","",RANK(F40,$F$4:$F$103,0))</f>
        <v/>
      </c>
      <c r="I40" s="47">
        <f>IF(B40="","",IF(F40&lt;=$K$4,"unauffällig",IF(F40&lt;=$K$5,"auffällig","kritisch")))</f>
        <v/>
      </c>
    </row>
    <row r="41">
      <c r="A41" s="42">
        <f>IF('Krankenquote Objekte'!B44="","",'Krankenquote Objekte'!A44)</f>
        <v/>
      </c>
      <c r="B41" s="43">
        <f>IF('Krankenquote Objekte'!B44="","",'Krankenquote Objekte'!B44)</f>
        <v/>
      </c>
      <c r="C41" s="7">
        <f>IF('Krankenquote Objekte'!B44="","",'Krankenquote Objekte'!C44)</f>
        <v/>
      </c>
      <c r="D41" s="44">
        <f>IF('Krankenquote Objekte'!B44="","",'Krankenquote Objekte'!E44)</f>
        <v/>
      </c>
      <c r="E41" s="45">
        <f>IF('Krankenquote Objekte'!B44="","",'Krankenquote Objekte'!R44)</f>
        <v/>
      </c>
      <c r="F41" s="26">
        <f>IF(B41="","",IF(D41&gt;0,E41/D41,0))</f>
        <v/>
      </c>
      <c r="G41" s="45">
        <f>IF('Krankenquote Objekte'!B44="","",'Krankenquote Objekte'!T44)</f>
        <v/>
      </c>
      <c r="H41" s="46">
        <f>IF(B41="","",RANK(F41,$F$4:$F$103,0))</f>
        <v/>
      </c>
      <c r="I41" s="47">
        <f>IF(B41="","",IF(F41&lt;=$K$4,"unauffällig",IF(F41&lt;=$K$5,"auffällig","kritisch")))</f>
        <v/>
      </c>
    </row>
    <row r="42">
      <c r="A42" s="42">
        <f>IF('Krankenquote Objekte'!B45="","",'Krankenquote Objekte'!A45)</f>
        <v/>
      </c>
      <c r="B42" s="43">
        <f>IF('Krankenquote Objekte'!B45="","",'Krankenquote Objekte'!B45)</f>
        <v/>
      </c>
      <c r="C42" s="7">
        <f>IF('Krankenquote Objekte'!B45="","",'Krankenquote Objekte'!C45)</f>
        <v/>
      </c>
      <c r="D42" s="44">
        <f>IF('Krankenquote Objekte'!B45="","",'Krankenquote Objekte'!E45)</f>
        <v/>
      </c>
      <c r="E42" s="45">
        <f>IF('Krankenquote Objekte'!B45="","",'Krankenquote Objekte'!R45)</f>
        <v/>
      </c>
      <c r="F42" s="26">
        <f>IF(B42="","",IF(D42&gt;0,E42/D42,0))</f>
        <v/>
      </c>
      <c r="G42" s="45">
        <f>IF('Krankenquote Objekte'!B45="","",'Krankenquote Objekte'!T45)</f>
        <v/>
      </c>
      <c r="H42" s="46">
        <f>IF(B42="","",RANK(F42,$F$4:$F$103,0))</f>
        <v/>
      </c>
      <c r="I42" s="47">
        <f>IF(B42="","",IF(F42&lt;=$K$4,"unauffällig",IF(F42&lt;=$K$5,"auffällig","kritisch")))</f>
        <v/>
      </c>
    </row>
    <row r="43">
      <c r="A43" s="42">
        <f>IF('Krankenquote Objekte'!B46="","",'Krankenquote Objekte'!A46)</f>
        <v/>
      </c>
      <c r="B43" s="43">
        <f>IF('Krankenquote Objekte'!B46="","",'Krankenquote Objekte'!B46)</f>
        <v/>
      </c>
      <c r="C43" s="7">
        <f>IF('Krankenquote Objekte'!B46="","",'Krankenquote Objekte'!C46)</f>
        <v/>
      </c>
      <c r="D43" s="44">
        <f>IF('Krankenquote Objekte'!B46="","",'Krankenquote Objekte'!E46)</f>
        <v/>
      </c>
      <c r="E43" s="45">
        <f>IF('Krankenquote Objekte'!B46="","",'Krankenquote Objekte'!R46)</f>
        <v/>
      </c>
      <c r="F43" s="26">
        <f>IF(B43="","",IF(D43&gt;0,E43/D43,0))</f>
        <v/>
      </c>
      <c r="G43" s="45">
        <f>IF('Krankenquote Objekte'!B46="","",'Krankenquote Objekte'!T46)</f>
        <v/>
      </c>
      <c r="H43" s="46">
        <f>IF(B43="","",RANK(F43,$F$4:$F$103,0))</f>
        <v/>
      </c>
      <c r="I43" s="47">
        <f>IF(B43="","",IF(F43&lt;=$K$4,"unauffällig",IF(F43&lt;=$K$5,"auffällig","kritisch")))</f>
        <v/>
      </c>
    </row>
    <row r="44">
      <c r="A44" s="42">
        <f>IF('Krankenquote Objekte'!B47="","",'Krankenquote Objekte'!A47)</f>
        <v/>
      </c>
      <c r="B44" s="43">
        <f>IF('Krankenquote Objekte'!B47="","",'Krankenquote Objekte'!B47)</f>
        <v/>
      </c>
      <c r="C44" s="7">
        <f>IF('Krankenquote Objekte'!B47="","",'Krankenquote Objekte'!C47)</f>
        <v/>
      </c>
      <c r="D44" s="44">
        <f>IF('Krankenquote Objekte'!B47="","",'Krankenquote Objekte'!E47)</f>
        <v/>
      </c>
      <c r="E44" s="45">
        <f>IF('Krankenquote Objekte'!B47="","",'Krankenquote Objekte'!R47)</f>
        <v/>
      </c>
      <c r="F44" s="26">
        <f>IF(B44="","",IF(D44&gt;0,E44/D44,0))</f>
        <v/>
      </c>
      <c r="G44" s="45">
        <f>IF('Krankenquote Objekte'!B47="","",'Krankenquote Objekte'!T47)</f>
        <v/>
      </c>
      <c r="H44" s="46">
        <f>IF(B44="","",RANK(F44,$F$4:$F$103,0))</f>
        <v/>
      </c>
      <c r="I44" s="47">
        <f>IF(B44="","",IF(F44&lt;=$K$4,"unauffällig",IF(F44&lt;=$K$5,"auffällig","kritisch")))</f>
        <v/>
      </c>
    </row>
    <row r="45">
      <c r="A45" s="42">
        <f>IF('Krankenquote Objekte'!B48="","",'Krankenquote Objekte'!A48)</f>
        <v/>
      </c>
      <c r="B45" s="43">
        <f>IF('Krankenquote Objekte'!B48="","",'Krankenquote Objekte'!B48)</f>
        <v/>
      </c>
      <c r="C45" s="7">
        <f>IF('Krankenquote Objekte'!B48="","",'Krankenquote Objekte'!C48)</f>
        <v/>
      </c>
      <c r="D45" s="44">
        <f>IF('Krankenquote Objekte'!B48="","",'Krankenquote Objekte'!E48)</f>
        <v/>
      </c>
      <c r="E45" s="45">
        <f>IF('Krankenquote Objekte'!B48="","",'Krankenquote Objekte'!R48)</f>
        <v/>
      </c>
      <c r="F45" s="26">
        <f>IF(B45="","",IF(D45&gt;0,E45/D45,0))</f>
        <v/>
      </c>
      <c r="G45" s="45">
        <f>IF('Krankenquote Objekte'!B48="","",'Krankenquote Objekte'!T48)</f>
        <v/>
      </c>
      <c r="H45" s="46">
        <f>IF(B45="","",RANK(F45,$F$4:$F$103,0))</f>
        <v/>
      </c>
      <c r="I45" s="47">
        <f>IF(B45="","",IF(F45&lt;=$K$4,"unauffällig",IF(F45&lt;=$K$5,"auffällig","kritisch")))</f>
        <v/>
      </c>
    </row>
    <row r="46">
      <c r="A46" s="42">
        <f>IF('Krankenquote Objekte'!B49="","",'Krankenquote Objekte'!A49)</f>
        <v/>
      </c>
      <c r="B46" s="43">
        <f>IF('Krankenquote Objekte'!B49="","",'Krankenquote Objekte'!B49)</f>
        <v/>
      </c>
      <c r="C46" s="7">
        <f>IF('Krankenquote Objekte'!B49="","",'Krankenquote Objekte'!C49)</f>
        <v/>
      </c>
      <c r="D46" s="44">
        <f>IF('Krankenquote Objekte'!B49="","",'Krankenquote Objekte'!E49)</f>
        <v/>
      </c>
      <c r="E46" s="45">
        <f>IF('Krankenquote Objekte'!B49="","",'Krankenquote Objekte'!R49)</f>
        <v/>
      </c>
      <c r="F46" s="26">
        <f>IF(B46="","",IF(D46&gt;0,E46/D46,0))</f>
        <v/>
      </c>
      <c r="G46" s="45">
        <f>IF('Krankenquote Objekte'!B49="","",'Krankenquote Objekte'!T49)</f>
        <v/>
      </c>
      <c r="H46" s="46">
        <f>IF(B46="","",RANK(F46,$F$4:$F$103,0))</f>
        <v/>
      </c>
      <c r="I46" s="47">
        <f>IF(B46="","",IF(F46&lt;=$K$4,"unauffällig",IF(F46&lt;=$K$5,"auffällig","kritisch")))</f>
        <v/>
      </c>
    </row>
    <row r="47">
      <c r="A47" s="42">
        <f>IF('Krankenquote Objekte'!B50="","",'Krankenquote Objekte'!A50)</f>
        <v/>
      </c>
      <c r="B47" s="43">
        <f>IF('Krankenquote Objekte'!B50="","",'Krankenquote Objekte'!B50)</f>
        <v/>
      </c>
      <c r="C47" s="7">
        <f>IF('Krankenquote Objekte'!B50="","",'Krankenquote Objekte'!C50)</f>
        <v/>
      </c>
      <c r="D47" s="44">
        <f>IF('Krankenquote Objekte'!B50="","",'Krankenquote Objekte'!E50)</f>
        <v/>
      </c>
      <c r="E47" s="45">
        <f>IF('Krankenquote Objekte'!B50="","",'Krankenquote Objekte'!R50)</f>
        <v/>
      </c>
      <c r="F47" s="26">
        <f>IF(B47="","",IF(D47&gt;0,E47/D47,0))</f>
        <v/>
      </c>
      <c r="G47" s="45">
        <f>IF('Krankenquote Objekte'!B50="","",'Krankenquote Objekte'!T50)</f>
        <v/>
      </c>
      <c r="H47" s="46">
        <f>IF(B47="","",RANK(F47,$F$4:$F$103,0))</f>
        <v/>
      </c>
      <c r="I47" s="47">
        <f>IF(B47="","",IF(F47&lt;=$K$4,"unauffällig",IF(F47&lt;=$K$5,"auffällig","kritisch")))</f>
        <v/>
      </c>
    </row>
    <row r="48">
      <c r="A48" s="42">
        <f>IF('Krankenquote Objekte'!B51="","",'Krankenquote Objekte'!A51)</f>
        <v/>
      </c>
      <c r="B48" s="43">
        <f>IF('Krankenquote Objekte'!B51="","",'Krankenquote Objekte'!B51)</f>
        <v/>
      </c>
      <c r="C48" s="7">
        <f>IF('Krankenquote Objekte'!B51="","",'Krankenquote Objekte'!C51)</f>
        <v/>
      </c>
      <c r="D48" s="44">
        <f>IF('Krankenquote Objekte'!B51="","",'Krankenquote Objekte'!E51)</f>
        <v/>
      </c>
      <c r="E48" s="45">
        <f>IF('Krankenquote Objekte'!B51="","",'Krankenquote Objekte'!R51)</f>
        <v/>
      </c>
      <c r="F48" s="26">
        <f>IF(B48="","",IF(D48&gt;0,E48/D48,0))</f>
        <v/>
      </c>
      <c r="G48" s="45">
        <f>IF('Krankenquote Objekte'!B51="","",'Krankenquote Objekte'!T51)</f>
        <v/>
      </c>
      <c r="H48" s="46">
        <f>IF(B48="","",RANK(F48,$F$4:$F$103,0))</f>
        <v/>
      </c>
      <c r="I48" s="47">
        <f>IF(B48="","",IF(F48&lt;=$K$4,"unauffällig",IF(F48&lt;=$K$5,"auffällig","kritisch")))</f>
        <v/>
      </c>
    </row>
    <row r="49">
      <c r="A49" s="42">
        <f>IF('Krankenquote Objekte'!B52="","",'Krankenquote Objekte'!A52)</f>
        <v/>
      </c>
      <c r="B49" s="43">
        <f>IF('Krankenquote Objekte'!B52="","",'Krankenquote Objekte'!B52)</f>
        <v/>
      </c>
      <c r="C49" s="7">
        <f>IF('Krankenquote Objekte'!B52="","",'Krankenquote Objekte'!C52)</f>
        <v/>
      </c>
      <c r="D49" s="44">
        <f>IF('Krankenquote Objekte'!B52="","",'Krankenquote Objekte'!E52)</f>
        <v/>
      </c>
      <c r="E49" s="45">
        <f>IF('Krankenquote Objekte'!B52="","",'Krankenquote Objekte'!R52)</f>
        <v/>
      </c>
      <c r="F49" s="26">
        <f>IF(B49="","",IF(D49&gt;0,E49/D49,0))</f>
        <v/>
      </c>
      <c r="G49" s="45">
        <f>IF('Krankenquote Objekte'!B52="","",'Krankenquote Objekte'!T52)</f>
        <v/>
      </c>
      <c r="H49" s="46">
        <f>IF(B49="","",RANK(F49,$F$4:$F$103,0))</f>
        <v/>
      </c>
      <c r="I49" s="47">
        <f>IF(B49="","",IF(F49&lt;=$K$4,"unauffällig",IF(F49&lt;=$K$5,"auffällig","kritisch")))</f>
        <v/>
      </c>
    </row>
    <row r="50">
      <c r="A50" s="42">
        <f>IF('Krankenquote Objekte'!B53="","",'Krankenquote Objekte'!A53)</f>
        <v/>
      </c>
      <c r="B50" s="43">
        <f>IF('Krankenquote Objekte'!B53="","",'Krankenquote Objekte'!B53)</f>
        <v/>
      </c>
      <c r="C50" s="7">
        <f>IF('Krankenquote Objekte'!B53="","",'Krankenquote Objekte'!C53)</f>
        <v/>
      </c>
      <c r="D50" s="44">
        <f>IF('Krankenquote Objekte'!B53="","",'Krankenquote Objekte'!E53)</f>
        <v/>
      </c>
      <c r="E50" s="45">
        <f>IF('Krankenquote Objekte'!B53="","",'Krankenquote Objekte'!R53)</f>
        <v/>
      </c>
      <c r="F50" s="26">
        <f>IF(B50="","",IF(D50&gt;0,E50/D50,0))</f>
        <v/>
      </c>
      <c r="G50" s="45">
        <f>IF('Krankenquote Objekte'!B53="","",'Krankenquote Objekte'!T53)</f>
        <v/>
      </c>
      <c r="H50" s="46">
        <f>IF(B50="","",RANK(F50,$F$4:$F$103,0))</f>
        <v/>
      </c>
      <c r="I50" s="47">
        <f>IF(B50="","",IF(F50&lt;=$K$4,"unauffällig",IF(F50&lt;=$K$5,"auffällig","kritisch")))</f>
        <v/>
      </c>
    </row>
    <row r="51">
      <c r="A51" s="42">
        <f>IF('Krankenquote Objekte'!B54="","",'Krankenquote Objekte'!A54)</f>
        <v/>
      </c>
      <c r="B51" s="43">
        <f>IF('Krankenquote Objekte'!B54="","",'Krankenquote Objekte'!B54)</f>
        <v/>
      </c>
      <c r="C51" s="7">
        <f>IF('Krankenquote Objekte'!B54="","",'Krankenquote Objekte'!C54)</f>
        <v/>
      </c>
      <c r="D51" s="44">
        <f>IF('Krankenquote Objekte'!B54="","",'Krankenquote Objekte'!E54)</f>
        <v/>
      </c>
      <c r="E51" s="45">
        <f>IF('Krankenquote Objekte'!B54="","",'Krankenquote Objekte'!R54)</f>
        <v/>
      </c>
      <c r="F51" s="26">
        <f>IF(B51="","",IF(D51&gt;0,E51/D51,0))</f>
        <v/>
      </c>
      <c r="G51" s="45">
        <f>IF('Krankenquote Objekte'!B54="","",'Krankenquote Objekte'!T54)</f>
        <v/>
      </c>
      <c r="H51" s="46">
        <f>IF(B51="","",RANK(F51,$F$4:$F$103,0))</f>
        <v/>
      </c>
      <c r="I51" s="47">
        <f>IF(B51="","",IF(F51&lt;=$K$4,"unauffällig",IF(F51&lt;=$K$5,"auffällig","kritisch")))</f>
        <v/>
      </c>
    </row>
    <row r="52">
      <c r="A52" s="42">
        <f>IF('Krankenquote Objekte'!B55="","",'Krankenquote Objekte'!A55)</f>
        <v/>
      </c>
      <c r="B52" s="43">
        <f>IF('Krankenquote Objekte'!B55="","",'Krankenquote Objekte'!B55)</f>
        <v/>
      </c>
      <c r="C52" s="7">
        <f>IF('Krankenquote Objekte'!B55="","",'Krankenquote Objekte'!C55)</f>
        <v/>
      </c>
      <c r="D52" s="44">
        <f>IF('Krankenquote Objekte'!B55="","",'Krankenquote Objekte'!E55)</f>
        <v/>
      </c>
      <c r="E52" s="45">
        <f>IF('Krankenquote Objekte'!B55="","",'Krankenquote Objekte'!R55)</f>
        <v/>
      </c>
      <c r="F52" s="26">
        <f>IF(B52="","",IF(D52&gt;0,E52/D52,0))</f>
        <v/>
      </c>
      <c r="G52" s="45">
        <f>IF('Krankenquote Objekte'!B55="","",'Krankenquote Objekte'!T55)</f>
        <v/>
      </c>
      <c r="H52" s="46">
        <f>IF(B52="","",RANK(F52,$F$4:$F$103,0))</f>
        <v/>
      </c>
      <c r="I52" s="47">
        <f>IF(B52="","",IF(F52&lt;=$K$4,"unauffällig",IF(F52&lt;=$K$5,"auffällig","kritisch")))</f>
        <v/>
      </c>
    </row>
    <row r="53">
      <c r="A53" s="42">
        <f>IF('Krankenquote Objekte'!B56="","",'Krankenquote Objekte'!A56)</f>
        <v/>
      </c>
      <c r="B53" s="43">
        <f>IF('Krankenquote Objekte'!B56="","",'Krankenquote Objekte'!B56)</f>
        <v/>
      </c>
      <c r="C53" s="7">
        <f>IF('Krankenquote Objekte'!B56="","",'Krankenquote Objekte'!C56)</f>
        <v/>
      </c>
      <c r="D53" s="44">
        <f>IF('Krankenquote Objekte'!B56="","",'Krankenquote Objekte'!E56)</f>
        <v/>
      </c>
      <c r="E53" s="45">
        <f>IF('Krankenquote Objekte'!B56="","",'Krankenquote Objekte'!R56)</f>
        <v/>
      </c>
      <c r="F53" s="26">
        <f>IF(B53="","",IF(D53&gt;0,E53/D53,0))</f>
        <v/>
      </c>
      <c r="G53" s="45">
        <f>IF('Krankenquote Objekte'!B56="","",'Krankenquote Objekte'!T56)</f>
        <v/>
      </c>
      <c r="H53" s="46">
        <f>IF(B53="","",RANK(F53,$F$4:$F$103,0))</f>
        <v/>
      </c>
      <c r="I53" s="47">
        <f>IF(B53="","",IF(F53&lt;=$K$4,"unauffällig",IF(F53&lt;=$K$5,"auffällig","kritisch")))</f>
        <v/>
      </c>
    </row>
    <row r="54">
      <c r="A54" s="42">
        <f>IF('Krankenquote Objekte'!B61="","",'Krankenquote Objekte'!A61)</f>
        <v/>
      </c>
      <c r="B54" s="43">
        <f>IF('Krankenquote Objekte'!B61="","",'Krankenquote Objekte'!B61)</f>
        <v/>
      </c>
      <c r="C54" s="7">
        <f>IF('Krankenquote Objekte'!B61="","",'Krankenquote Objekte'!C61)</f>
        <v/>
      </c>
      <c r="D54" s="44">
        <f>IF('Krankenquote Objekte'!B61="","",'Krankenquote Objekte'!E61)</f>
        <v/>
      </c>
      <c r="E54" s="45">
        <f>IF('Krankenquote Objekte'!B61="","",'Krankenquote Objekte'!R61)</f>
        <v/>
      </c>
      <c r="F54" s="26">
        <f>IF(B54="","",IF(D54&gt;0,E54/D54,0))</f>
        <v/>
      </c>
      <c r="G54" s="45">
        <f>IF('Krankenquote Objekte'!B61="","",'Krankenquote Objekte'!T61)</f>
        <v/>
      </c>
      <c r="H54" s="46">
        <f>IF(B54="","",RANK(F54,$F$4:$F$103,0))</f>
        <v/>
      </c>
      <c r="I54" s="47">
        <f>IF(B54="","",IF(F54&lt;=$K$4,"unauffällig",IF(F54&lt;=$K$5,"auffällig","kritisch")))</f>
        <v/>
      </c>
    </row>
    <row r="55">
      <c r="A55" s="42">
        <f>IF('Krankenquote Objekte'!B62="","",'Krankenquote Objekte'!A62)</f>
        <v/>
      </c>
      <c r="B55" s="43">
        <f>IF('Krankenquote Objekte'!B62="","",'Krankenquote Objekte'!B62)</f>
        <v/>
      </c>
      <c r="C55" s="7">
        <f>IF('Krankenquote Objekte'!B62="","",'Krankenquote Objekte'!C62)</f>
        <v/>
      </c>
      <c r="D55" s="44">
        <f>IF('Krankenquote Objekte'!B62="","",'Krankenquote Objekte'!E62)</f>
        <v/>
      </c>
      <c r="E55" s="45">
        <f>IF('Krankenquote Objekte'!B62="","",'Krankenquote Objekte'!R62)</f>
        <v/>
      </c>
      <c r="F55" s="26">
        <f>IF(B55="","",IF(D55&gt;0,E55/D55,0))</f>
        <v/>
      </c>
      <c r="G55" s="45">
        <f>IF('Krankenquote Objekte'!B62="","",'Krankenquote Objekte'!T62)</f>
        <v/>
      </c>
      <c r="H55" s="46">
        <f>IF(B55="","",RANK(F55,$F$4:$F$103,0))</f>
        <v/>
      </c>
      <c r="I55" s="47">
        <f>IF(B55="","",IF(F55&lt;=$K$4,"unauffällig",IF(F55&lt;=$K$5,"auffällig","kritisch")))</f>
        <v/>
      </c>
    </row>
    <row r="56">
      <c r="A56" s="42">
        <f>IF('Krankenquote Objekte'!B63="","",'Krankenquote Objekte'!A63)</f>
        <v/>
      </c>
      <c r="B56" s="43">
        <f>IF('Krankenquote Objekte'!B63="","",'Krankenquote Objekte'!B63)</f>
        <v/>
      </c>
      <c r="C56" s="7">
        <f>IF('Krankenquote Objekte'!B63="","",'Krankenquote Objekte'!C63)</f>
        <v/>
      </c>
      <c r="D56" s="44">
        <f>IF('Krankenquote Objekte'!B63="","",'Krankenquote Objekte'!E63)</f>
        <v/>
      </c>
      <c r="E56" s="45">
        <f>IF('Krankenquote Objekte'!B63="","",'Krankenquote Objekte'!R63)</f>
        <v/>
      </c>
      <c r="F56" s="26">
        <f>IF(B56="","",IF(D56&gt;0,E56/D56,0))</f>
        <v/>
      </c>
      <c r="G56" s="45">
        <f>IF('Krankenquote Objekte'!B63="","",'Krankenquote Objekte'!T63)</f>
        <v/>
      </c>
      <c r="H56" s="46">
        <f>IF(B56="","",RANK(F56,$F$4:$F$103,0))</f>
        <v/>
      </c>
      <c r="I56" s="47">
        <f>IF(B56="","",IF(F56&lt;=$K$4,"unauffällig",IF(F56&lt;=$K$5,"auffällig","kritisch")))</f>
        <v/>
      </c>
    </row>
    <row r="57">
      <c r="A57" s="42">
        <f>IF('Krankenquote Objekte'!B64="","",'Krankenquote Objekte'!A64)</f>
        <v/>
      </c>
      <c r="B57" s="43">
        <f>IF('Krankenquote Objekte'!B64="","",'Krankenquote Objekte'!B64)</f>
        <v/>
      </c>
      <c r="C57" s="7">
        <f>IF('Krankenquote Objekte'!B64="","",'Krankenquote Objekte'!C64)</f>
        <v/>
      </c>
      <c r="D57" s="44">
        <f>IF('Krankenquote Objekte'!B64="","",'Krankenquote Objekte'!E64)</f>
        <v/>
      </c>
      <c r="E57" s="45">
        <f>IF('Krankenquote Objekte'!B64="","",'Krankenquote Objekte'!R64)</f>
        <v/>
      </c>
      <c r="F57" s="26">
        <f>IF(B57="","",IF(D57&gt;0,E57/D57,0))</f>
        <v/>
      </c>
      <c r="G57" s="45">
        <f>IF('Krankenquote Objekte'!B64="","",'Krankenquote Objekte'!T64)</f>
        <v/>
      </c>
      <c r="H57" s="46">
        <f>IF(B57="","",RANK(F57,$F$4:$F$103,0))</f>
        <v/>
      </c>
      <c r="I57" s="47">
        <f>IF(B57="","",IF(F57&lt;=$K$4,"unauffällig",IF(F57&lt;=$K$5,"auffällig","kritisch")))</f>
        <v/>
      </c>
    </row>
    <row r="58">
      <c r="A58" s="42">
        <f>IF('Krankenquote Objekte'!B65="","",'Krankenquote Objekte'!A65)</f>
        <v/>
      </c>
      <c r="B58" s="43">
        <f>IF('Krankenquote Objekte'!B65="","",'Krankenquote Objekte'!B65)</f>
        <v/>
      </c>
      <c r="C58" s="7">
        <f>IF('Krankenquote Objekte'!B65="","",'Krankenquote Objekte'!C65)</f>
        <v/>
      </c>
      <c r="D58" s="44">
        <f>IF('Krankenquote Objekte'!B65="","",'Krankenquote Objekte'!E65)</f>
        <v/>
      </c>
      <c r="E58" s="45">
        <f>IF('Krankenquote Objekte'!B65="","",'Krankenquote Objekte'!R65)</f>
        <v/>
      </c>
      <c r="F58" s="26">
        <f>IF(B58="","",IF(D58&gt;0,E58/D58,0))</f>
        <v/>
      </c>
      <c r="G58" s="45">
        <f>IF('Krankenquote Objekte'!B65="","",'Krankenquote Objekte'!T65)</f>
        <v/>
      </c>
      <c r="H58" s="46">
        <f>IF(B58="","",RANK(F58,$F$4:$F$103,0))</f>
        <v/>
      </c>
      <c r="I58" s="47">
        <f>IF(B58="","",IF(F58&lt;=$K$4,"unauffällig",IF(F58&lt;=$K$5,"auffällig","kritisch")))</f>
        <v/>
      </c>
    </row>
    <row r="59">
      <c r="A59" s="42">
        <f>IF('Krankenquote Objekte'!B66="","",'Krankenquote Objekte'!A66)</f>
        <v/>
      </c>
      <c r="B59" s="43">
        <f>IF('Krankenquote Objekte'!B66="","",'Krankenquote Objekte'!B66)</f>
        <v/>
      </c>
      <c r="C59" s="7">
        <f>IF('Krankenquote Objekte'!B66="","",'Krankenquote Objekte'!C66)</f>
        <v/>
      </c>
      <c r="D59" s="44">
        <f>IF('Krankenquote Objekte'!B66="","",'Krankenquote Objekte'!E66)</f>
        <v/>
      </c>
      <c r="E59" s="45">
        <f>IF('Krankenquote Objekte'!B66="","",'Krankenquote Objekte'!R66)</f>
        <v/>
      </c>
      <c r="F59" s="26">
        <f>IF(B59="","",IF(D59&gt;0,E59/D59,0))</f>
        <v/>
      </c>
      <c r="G59" s="45">
        <f>IF('Krankenquote Objekte'!B66="","",'Krankenquote Objekte'!T66)</f>
        <v/>
      </c>
      <c r="H59" s="46">
        <f>IF(B59="","",RANK(F59,$F$4:$F$103,0))</f>
        <v/>
      </c>
      <c r="I59" s="47">
        <f>IF(B59="","",IF(F59&lt;=$K$4,"unauffällig",IF(F59&lt;=$K$5,"auffällig","kritisch")))</f>
        <v/>
      </c>
    </row>
    <row r="60">
      <c r="A60" s="42">
        <f>IF('Krankenquote Objekte'!B67="","",'Krankenquote Objekte'!A67)</f>
        <v/>
      </c>
      <c r="B60" s="43">
        <f>IF('Krankenquote Objekte'!B67="","",'Krankenquote Objekte'!B67)</f>
        <v/>
      </c>
      <c r="C60" s="7">
        <f>IF('Krankenquote Objekte'!B67="","",'Krankenquote Objekte'!C67)</f>
        <v/>
      </c>
      <c r="D60" s="44">
        <f>IF('Krankenquote Objekte'!B67="","",'Krankenquote Objekte'!E67)</f>
        <v/>
      </c>
      <c r="E60" s="45">
        <f>IF('Krankenquote Objekte'!B67="","",'Krankenquote Objekte'!R67)</f>
        <v/>
      </c>
      <c r="F60" s="26">
        <f>IF(B60="","",IF(D60&gt;0,E60/D60,0))</f>
        <v/>
      </c>
      <c r="G60" s="45">
        <f>IF('Krankenquote Objekte'!B67="","",'Krankenquote Objekte'!T67)</f>
        <v/>
      </c>
      <c r="H60" s="46">
        <f>IF(B60="","",RANK(F60,$F$4:$F$103,0))</f>
        <v/>
      </c>
      <c r="I60" s="47">
        <f>IF(B60="","",IF(F60&lt;=$K$4,"unauffällig",IF(F60&lt;=$K$5,"auffällig","kritisch")))</f>
        <v/>
      </c>
    </row>
    <row r="61">
      <c r="A61" s="42">
        <f>IF('Krankenquote Objekte'!B68="","",'Krankenquote Objekte'!A68)</f>
        <v/>
      </c>
      <c r="B61" s="43">
        <f>IF('Krankenquote Objekte'!B68="","",'Krankenquote Objekte'!B68)</f>
        <v/>
      </c>
      <c r="C61" s="7">
        <f>IF('Krankenquote Objekte'!B68="","",'Krankenquote Objekte'!C68)</f>
        <v/>
      </c>
      <c r="D61" s="44">
        <f>IF('Krankenquote Objekte'!B68="","",'Krankenquote Objekte'!E68)</f>
        <v/>
      </c>
      <c r="E61" s="45">
        <f>IF('Krankenquote Objekte'!B68="","",'Krankenquote Objekte'!R68)</f>
        <v/>
      </c>
      <c r="F61" s="26">
        <f>IF(B61="","",IF(D61&gt;0,E61/D61,0))</f>
        <v/>
      </c>
      <c r="G61" s="45">
        <f>IF('Krankenquote Objekte'!B68="","",'Krankenquote Objekte'!T68)</f>
        <v/>
      </c>
      <c r="H61" s="46">
        <f>IF(B61="","",RANK(F61,$F$4:$F$103,0))</f>
        <v/>
      </c>
      <c r="I61" s="47">
        <f>IF(B61="","",IF(F61&lt;=$K$4,"unauffällig",IF(F61&lt;=$K$5,"auffällig","kritisch")))</f>
        <v/>
      </c>
    </row>
    <row r="62">
      <c r="A62" s="42">
        <f>IF('Krankenquote Objekte'!B69="","",'Krankenquote Objekte'!A69)</f>
        <v/>
      </c>
      <c r="B62" s="43">
        <f>IF('Krankenquote Objekte'!B69="","",'Krankenquote Objekte'!B69)</f>
        <v/>
      </c>
      <c r="C62" s="7">
        <f>IF('Krankenquote Objekte'!B69="","",'Krankenquote Objekte'!C69)</f>
        <v/>
      </c>
      <c r="D62" s="44">
        <f>IF('Krankenquote Objekte'!B69="","",'Krankenquote Objekte'!E69)</f>
        <v/>
      </c>
      <c r="E62" s="45">
        <f>IF('Krankenquote Objekte'!B69="","",'Krankenquote Objekte'!R69)</f>
        <v/>
      </c>
      <c r="F62" s="26">
        <f>IF(B62="","",IF(D62&gt;0,E62/D62,0))</f>
        <v/>
      </c>
      <c r="G62" s="45">
        <f>IF('Krankenquote Objekte'!B69="","",'Krankenquote Objekte'!T69)</f>
        <v/>
      </c>
      <c r="H62" s="46">
        <f>IF(B62="","",RANK(F62,$F$4:$F$103,0))</f>
        <v/>
      </c>
      <c r="I62" s="47">
        <f>IF(B62="","",IF(F62&lt;=$K$4,"unauffällig",IF(F62&lt;=$K$5,"auffällig","kritisch")))</f>
        <v/>
      </c>
    </row>
    <row r="63">
      <c r="A63" s="42">
        <f>IF('Krankenquote Objekte'!B70="","",'Krankenquote Objekte'!A70)</f>
        <v/>
      </c>
      <c r="B63" s="43">
        <f>IF('Krankenquote Objekte'!B70="","",'Krankenquote Objekte'!B70)</f>
        <v/>
      </c>
      <c r="C63" s="7">
        <f>IF('Krankenquote Objekte'!B70="","",'Krankenquote Objekte'!C70)</f>
        <v/>
      </c>
      <c r="D63" s="44">
        <f>IF('Krankenquote Objekte'!B70="","",'Krankenquote Objekte'!E70)</f>
        <v/>
      </c>
      <c r="E63" s="45">
        <f>IF('Krankenquote Objekte'!B70="","",'Krankenquote Objekte'!R70)</f>
        <v/>
      </c>
      <c r="F63" s="26">
        <f>IF(B63="","",IF(D63&gt;0,E63/D63,0))</f>
        <v/>
      </c>
      <c r="G63" s="45">
        <f>IF('Krankenquote Objekte'!B70="","",'Krankenquote Objekte'!T70)</f>
        <v/>
      </c>
      <c r="H63" s="46">
        <f>IF(B63="","",RANK(F63,$F$4:$F$103,0))</f>
        <v/>
      </c>
      <c r="I63" s="47">
        <f>IF(B63="","",IF(F63&lt;=$K$4,"unauffällig",IF(F63&lt;=$K$5,"auffällig","kritisch")))</f>
        <v/>
      </c>
    </row>
    <row r="64">
      <c r="A64" s="42">
        <f>IF('Krankenquote Objekte'!B71="","",'Krankenquote Objekte'!A71)</f>
        <v/>
      </c>
      <c r="B64" s="43">
        <f>IF('Krankenquote Objekte'!B71="","",'Krankenquote Objekte'!B71)</f>
        <v/>
      </c>
      <c r="C64" s="7">
        <f>IF('Krankenquote Objekte'!B71="","",'Krankenquote Objekte'!C71)</f>
        <v/>
      </c>
      <c r="D64" s="44">
        <f>IF('Krankenquote Objekte'!B71="","",'Krankenquote Objekte'!E71)</f>
        <v/>
      </c>
      <c r="E64" s="45">
        <f>IF('Krankenquote Objekte'!B71="","",'Krankenquote Objekte'!R71)</f>
        <v/>
      </c>
      <c r="F64" s="26">
        <f>IF(B64="","",IF(D64&gt;0,E64/D64,0))</f>
        <v/>
      </c>
      <c r="G64" s="45">
        <f>IF('Krankenquote Objekte'!B71="","",'Krankenquote Objekte'!T71)</f>
        <v/>
      </c>
      <c r="H64" s="46">
        <f>IF(B64="","",RANK(F64,$F$4:$F$103,0))</f>
        <v/>
      </c>
      <c r="I64" s="47">
        <f>IF(B64="","",IF(F64&lt;=$K$4,"unauffällig",IF(F64&lt;=$K$5,"auffällig","kritisch")))</f>
        <v/>
      </c>
    </row>
    <row r="65">
      <c r="A65" s="42">
        <f>IF('Krankenquote Objekte'!B72="","",'Krankenquote Objekte'!A72)</f>
        <v/>
      </c>
      <c r="B65" s="43">
        <f>IF('Krankenquote Objekte'!B72="","",'Krankenquote Objekte'!B72)</f>
        <v/>
      </c>
      <c r="C65" s="7">
        <f>IF('Krankenquote Objekte'!B72="","",'Krankenquote Objekte'!C72)</f>
        <v/>
      </c>
      <c r="D65" s="44">
        <f>IF('Krankenquote Objekte'!B72="","",'Krankenquote Objekte'!E72)</f>
        <v/>
      </c>
      <c r="E65" s="45">
        <f>IF('Krankenquote Objekte'!B72="","",'Krankenquote Objekte'!R72)</f>
        <v/>
      </c>
      <c r="F65" s="26">
        <f>IF(B65="","",IF(D65&gt;0,E65/D65,0))</f>
        <v/>
      </c>
      <c r="G65" s="45">
        <f>IF('Krankenquote Objekte'!B72="","",'Krankenquote Objekte'!T72)</f>
        <v/>
      </c>
      <c r="H65" s="46">
        <f>IF(B65="","",RANK(F65,$F$4:$F$103,0))</f>
        <v/>
      </c>
      <c r="I65" s="47">
        <f>IF(B65="","",IF(F65&lt;=$K$4,"unauffällig",IF(F65&lt;=$K$5,"auffällig","kritisch")))</f>
        <v/>
      </c>
    </row>
    <row r="66">
      <c r="A66" s="42">
        <f>IF('Krankenquote Objekte'!B73="","",'Krankenquote Objekte'!A73)</f>
        <v/>
      </c>
      <c r="B66" s="43">
        <f>IF('Krankenquote Objekte'!B73="","",'Krankenquote Objekte'!B73)</f>
        <v/>
      </c>
      <c r="C66" s="7">
        <f>IF('Krankenquote Objekte'!B73="","",'Krankenquote Objekte'!C73)</f>
        <v/>
      </c>
      <c r="D66" s="44">
        <f>IF('Krankenquote Objekte'!B73="","",'Krankenquote Objekte'!E73)</f>
        <v/>
      </c>
      <c r="E66" s="45">
        <f>IF('Krankenquote Objekte'!B73="","",'Krankenquote Objekte'!R73)</f>
        <v/>
      </c>
      <c r="F66" s="26">
        <f>IF(B66="","",IF(D66&gt;0,E66/D66,0))</f>
        <v/>
      </c>
      <c r="G66" s="45">
        <f>IF('Krankenquote Objekte'!B73="","",'Krankenquote Objekte'!T73)</f>
        <v/>
      </c>
      <c r="H66" s="46">
        <f>IF(B66="","",RANK(F66,$F$4:$F$103,0))</f>
        <v/>
      </c>
      <c r="I66" s="47">
        <f>IF(B66="","",IF(F66&lt;=$K$4,"unauffällig",IF(F66&lt;=$K$5,"auffällig","kritisch")))</f>
        <v/>
      </c>
    </row>
    <row r="67">
      <c r="A67" s="42">
        <f>IF('Krankenquote Objekte'!B74="","",'Krankenquote Objekte'!A74)</f>
        <v/>
      </c>
      <c r="B67" s="43">
        <f>IF('Krankenquote Objekte'!B74="","",'Krankenquote Objekte'!B74)</f>
        <v/>
      </c>
      <c r="C67" s="7">
        <f>IF('Krankenquote Objekte'!B74="","",'Krankenquote Objekte'!C74)</f>
        <v/>
      </c>
      <c r="D67" s="44">
        <f>IF('Krankenquote Objekte'!B74="","",'Krankenquote Objekte'!E74)</f>
        <v/>
      </c>
      <c r="E67" s="45">
        <f>IF('Krankenquote Objekte'!B74="","",'Krankenquote Objekte'!R74)</f>
        <v/>
      </c>
      <c r="F67" s="26">
        <f>IF(B67="","",IF(D67&gt;0,E67/D67,0))</f>
        <v/>
      </c>
      <c r="G67" s="45">
        <f>IF('Krankenquote Objekte'!B74="","",'Krankenquote Objekte'!T74)</f>
        <v/>
      </c>
      <c r="H67" s="46">
        <f>IF(B67="","",RANK(F67,$F$4:$F$103,0))</f>
        <v/>
      </c>
      <c r="I67" s="47">
        <f>IF(B67="","",IF(F67&lt;=$K$4,"unauffällig",IF(F67&lt;=$K$5,"auffällig","kritisch")))</f>
        <v/>
      </c>
    </row>
    <row r="68">
      <c r="A68" s="42">
        <f>IF('Krankenquote Objekte'!B75="","",'Krankenquote Objekte'!A75)</f>
        <v/>
      </c>
      <c r="B68" s="43">
        <f>IF('Krankenquote Objekte'!B75="","",'Krankenquote Objekte'!B75)</f>
        <v/>
      </c>
      <c r="C68" s="7">
        <f>IF('Krankenquote Objekte'!B75="","",'Krankenquote Objekte'!C75)</f>
        <v/>
      </c>
      <c r="D68" s="44">
        <f>IF('Krankenquote Objekte'!B75="","",'Krankenquote Objekte'!E75)</f>
        <v/>
      </c>
      <c r="E68" s="45">
        <f>IF('Krankenquote Objekte'!B75="","",'Krankenquote Objekte'!R75)</f>
        <v/>
      </c>
      <c r="F68" s="26">
        <f>IF(B68="","",IF(D68&gt;0,E68/D68,0))</f>
        <v/>
      </c>
      <c r="G68" s="45">
        <f>IF('Krankenquote Objekte'!B75="","",'Krankenquote Objekte'!T75)</f>
        <v/>
      </c>
      <c r="H68" s="46">
        <f>IF(B68="","",RANK(F68,$F$4:$F$103,0))</f>
        <v/>
      </c>
      <c r="I68" s="47">
        <f>IF(B68="","",IF(F68&lt;=$K$4,"unauffällig",IF(F68&lt;=$K$5,"auffällig","kritisch")))</f>
        <v/>
      </c>
    </row>
    <row r="69">
      <c r="A69" s="42">
        <f>IF('Krankenquote Objekte'!B76="","",'Krankenquote Objekte'!A76)</f>
        <v/>
      </c>
      <c r="B69" s="43">
        <f>IF('Krankenquote Objekte'!B76="","",'Krankenquote Objekte'!B76)</f>
        <v/>
      </c>
      <c r="C69" s="7">
        <f>IF('Krankenquote Objekte'!B76="","",'Krankenquote Objekte'!C76)</f>
        <v/>
      </c>
      <c r="D69" s="44">
        <f>IF('Krankenquote Objekte'!B76="","",'Krankenquote Objekte'!E76)</f>
        <v/>
      </c>
      <c r="E69" s="45">
        <f>IF('Krankenquote Objekte'!B76="","",'Krankenquote Objekte'!R76)</f>
        <v/>
      </c>
      <c r="F69" s="26">
        <f>IF(B69="","",IF(D69&gt;0,E69/D69,0))</f>
        <v/>
      </c>
      <c r="G69" s="45">
        <f>IF('Krankenquote Objekte'!B76="","",'Krankenquote Objekte'!T76)</f>
        <v/>
      </c>
      <c r="H69" s="46">
        <f>IF(B69="","",RANK(F69,$F$4:$F$103,0))</f>
        <v/>
      </c>
      <c r="I69" s="47">
        <f>IF(B69="","",IF(F69&lt;=$K$4,"unauffällig",IF(F69&lt;=$K$5,"auffällig","kritisch")))</f>
        <v/>
      </c>
    </row>
    <row r="70">
      <c r="A70" s="42">
        <f>IF('Krankenquote Objekte'!B77="","",'Krankenquote Objekte'!A77)</f>
        <v/>
      </c>
      <c r="B70" s="43">
        <f>IF('Krankenquote Objekte'!B77="","",'Krankenquote Objekte'!B77)</f>
        <v/>
      </c>
      <c r="C70" s="7">
        <f>IF('Krankenquote Objekte'!B77="","",'Krankenquote Objekte'!C77)</f>
        <v/>
      </c>
      <c r="D70" s="44">
        <f>IF('Krankenquote Objekte'!B77="","",'Krankenquote Objekte'!E77)</f>
        <v/>
      </c>
      <c r="E70" s="45">
        <f>IF('Krankenquote Objekte'!B77="","",'Krankenquote Objekte'!R77)</f>
        <v/>
      </c>
      <c r="F70" s="26">
        <f>IF(B70="","",IF(D70&gt;0,E70/D70,0))</f>
        <v/>
      </c>
      <c r="G70" s="45">
        <f>IF('Krankenquote Objekte'!B77="","",'Krankenquote Objekte'!T77)</f>
        <v/>
      </c>
      <c r="H70" s="46">
        <f>IF(B70="","",RANK(F70,$F$4:$F$103,0))</f>
        <v/>
      </c>
      <c r="I70" s="47">
        <f>IF(B70="","",IF(F70&lt;=$K$4,"unauffällig",IF(F70&lt;=$K$5,"auffällig","kritisch")))</f>
        <v/>
      </c>
    </row>
    <row r="71">
      <c r="A71" s="42">
        <f>IF('Krankenquote Objekte'!B78="","",'Krankenquote Objekte'!A78)</f>
        <v/>
      </c>
      <c r="B71" s="43">
        <f>IF('Krankenquote Objekte'!B78="","",'Krankenquote Objekte'!B78)</f>
        <v/>
      </c>
      <c r="C71" s="7">
        <f>IF('Krankenquote Objekte'!B78="","",'Krankenquote Objekte'!C78)</f>
        <v/>
      </c>
      <c r="D71" s="44">
        <f>IF('Krankenquote Objekte'!B78="","",'Krankenquote Objekte'!E78)</f>
        <v/>
      </c>
      <c r="E71" s="45">
        <f>IF('Krankenquote Objekte'!B78="","",'Krankenquote Objekte'!R78)</f>
        <v/>
      </c>
      <c r="F71" s="26">
        <f>IF(B71="","",IF(D71&gt;0,E71/D71,0))</f>
        <v/>
      </c>
      <c r="G71" s="45">
        <f>IF('Krankenquote Objekte'!B78="","",'Krankenquote Objekte'!T78)</f>
        <v/>
      </c>
      <c r="H71" s="46">
        <f>IF(B71="","",RANK(F71,$F$4:$F$103,0))</f>
        <v/>
      </c>
      <c r="I71" s="47">
        <f>IF(B71="","",IF(F71&lt;=$K$4,"unauffällig",IF(F71&lt;=$K$5,"auffällig","kritisch")))</f>
        <v/>
      </c>
    </row>
    <row r="72">
      <c r="A72" s="42">
        <f>IF('Krankenquote Objekte'!B79="","",'Krankenquote Objekte'!A79)</f>
        <v/>
      </c>
      <c r="B72" s="43">
        <f>IF('Krankenquote Objekte'!B79="","",'Krankenquote Objekte'!B79)</f>
        <v/>
      </c>
      <c r="C72" s="7">
        <f>IF('Krankenquote Objekte'!B79="","",'Krankenquote Objekte'!C79)</f>
        <v/>
      </c>
      <c r="D72" s="44">
        <f>IF('Krankenquote Objekte'!B79="","",'Krankenquote Objekte'!E79)</f>
        <v/>
      </c>
      <c r="E72" s="45">
        <f>IF('Krankenquote Objekte'!B79="","",'Krankenquote Objekte'!R79)</f>
        <v/>
      </c>
      <c r="F72" s="26">
        <f>IF(B72="","",IF(D72&gt;0,E72/D72,0))</f>
        <v/>
      </c>
      <c r="G72" s="45">
        <f>IF('Krankenquote Objekte'!B79="","",'Krankenquote Objekte'!T79)</f>
        <v/>
      </c>
      <c r="H72" s="46">
        <f>IF(B72="","",RANK(F72,$F$4:$F$103,0))</f>
        <v/>
      </c>
      <c r="I72" s="47">
        <f>IF(B72="","",IF(F72&lt;=$K$4,"unauffällig",IF(F72&lt;=$K$5,"auffällig","kritisch")))</f>
        <v/>
      </c>
    </row>
    <row r="73">
      <c r="A73" s="42">
        <f>IF('Krankenquote Objekte'!B80="","",'Krankenquote Objekte'!A80)</f>
        <v/>
      </c>
      <c r="B73" s="43">
        <f>IF('Krankenquote Objekte'!B80="","",'Krankenquote Objekte'!B80)</f>
        <v/>
      </c>
      <c r="C73" s="7">
        <f>IF('Krankenquote Objekte'!B80="","",'Krankenquote Objekte'!C80)</f>
        <v/>
      </c>
      <c r="D73" s="44">
        <f>IF('Krankenquote Objekte'!B80="","",'Krankenquote Objekte'!E80)</f>
        <v/>
      </c>
      <c r="E73" s="45">
        <f>IF('Krankenquote Objekte'!B80="","",'Krankenquote Objekte'!R80)</f>
        <v/>
      </c>
      <c r="F73" s="26">
        <f>IF(B73="","",IF(D73&gt;0,E73/D73,0))</f>
        <v/>
      </c>
      <c r="G73" s="45">
        <f>IF('Krankenquote Objekte'!B80="","",'Krankenquote Objekte'!T80)</f>
        <v/>
      </c>
      <c r="H73" s="46">
        <f>IF(B73="","",RANK(F73,$F$4:$F$103,0))</f>
        <v/>
      </c>
      <c r="I73" s="47">
        <f>IF(B73="","",IF(F73&lt;=$K$4,"unauffällig",IF(F73&lt;=$K$5,"auffällig","kritisch")))</f>
        <v/>
      </c>
    </row>
    <row r="74">
      <c r="A74" s="42">
        <f>IF('Krankenquote Objekte'!B81="","",'Krankenquote Objekte'!A81)</f>
        <v/>
      </c>
      <c r="B74" s="43">
        <f>IF('Krankenquote Objekte'!B81="","",'Krankenquote Objekte'!B81)</f>
        <v/>
      </c>
      <c r="C74" s="7">
        <f>IF('Krankenquote Objekte'!B81="","",'Krankenquote Objekte'!C81)</f>
        <v/>
      </c>
      <c r="D74" s="44">
        <f>IF('Krankenquote Objekte'!B81="","",'Krankenquote Objekte'!E81)</f>
        <v/>
      </c>
      <c r="E74" s="45">
        <f>IF('Krankenquote Objekte'!B81="","",'Krankenquote Objekte'!R81)</f>
        <v/>
      </c>
      <c r="F74" s="26">
        <f>IF(B74="","",IF(D74&gt;0,E74/D74,0))</f>
        <v/>
      </c>
      <c r="G74" s="45">
        <f>IF('Krankenquote Objekte'!B81="","",'Krankenquote Objekte'!T81)</f>
        <v/>
      </c>
      <c r="H74" s="46">
        <f>IF(B74="","",RANK(F74,$F$4:$F$103,0))</f>
        <v/>
      </c>
      <c r="I74" s="47">
        <f>IF(B74="","",IF(F74&lt;=$K$4,"unauffällig",IF(F74&lt;=$K$5,"auffällig","kritisch")))</f>
        <v/>
      </c>
    </row>
    <row r="75">
      <c r="A75" s="42">
        <f>IF('Krankenquote Objekte'!B82="","",'Krankenquote Objekte'!A82)</f>
        <v/>
      </c>
      <c r="B75" s="43">
        <f>IF('Krankenquote Objekte'!B82="","",'Krankenquote Objekte'!B82)</f>
        <v/>
      </c>
      <c r="C75" s="7">
        <f>IF('Krankenquote Objekte'!B82="","",'Krankenquote Objekte'!C82)</f>
        <v/>
      </c>
      <c r="D75" s="44">
        <f>IF('Krankenquote Objekte'!B82="","",'Krankenquote Objekte'!E82)</f>
        <v/>
      </c>
      <c r="E75" s="45">
        <f>IF('Krankenquote Objekte'!B82="","",'Krankenquote Objekte'!R82)</f>
        <v/>
      </c>
      <c r="F75" s="26">
        <f>IF(B75="","",IF(D75&gt;0,E75/D75,0))</f>
        <v/>
      </c>
      <c r="G75" s="45">
        <f>IF('Krankenquote Objekte'!B82="","",'Krankenquote Objekte'!T82)</f>
        <v/>
      </c>
      <c r="H75" s="46">
        <f>IF(B75="","",RANK(F75,$F$4:$F$103,0))</f>
        <v/>
      </c>
      <c r="I75" s="47">
        <f>IF(B75="","",IF(F75&lt;=$K$4,"unauffällig",IF(F75&lt;=$K$5,"auffällig","kritisch")))</f>
        <v/>
      </c>
    </row>
    <row r="76">
      <c r="A76" s="42">
        <f>IF('Krankenquote Objekte'!B83="","",'Krankenquote Objekte'!A83)</f>
        <v/>
      </c>
      <c r="B76" s="43">
        <f>IF('Krankenquote Objekte'!B83="","",'Krankenquote Objekte'!B83)</f>
        <v/>
      </c>
      <c r="C76" s="7">
        <f>IF('Krankenquote Objekte'!B83="","",'Krankenquote Objekte'!C83)</f>
        <v/>
      </c>
      <c r="D76" s="44">
        <f>IF('Krankenquote Objekte'!B83="","",'Krankenquote Objekte'!E83)</f>
        <v/>
      </c>
      <c r="E76" s="45">
        <f>IF('Krankenquote Objekte'!B83="","",'Krankenquote Objekte'!R83)</f>
        <v/>
      </c>
      <c r="F76" s="26">
        <f>IF(B76="","",IF(D76&gt;0,E76/D76,0))</f>
        <v/>
      </c>
      <c r="G76" s="45">
        <f>IF('Krankenquote Objekte'!B83="","",'Krankenquote Objekte'!T83)</f>
        <v/>
      </c>
      <c r="H76" s="46">
        <f>IF(B76="","",RANK(F76,$F$4:$F$103,0))</f>
        <v/>
      </c>
      <c r="I76" s="47">
        <f>IF(B76="","",IF(F76&lt;=$K$4,"unauffällig",IF(F76&lt;=$K$5,"auffällig","kritisch")))</f>
        <v/>
      </c>
    </row>
    <row r="77">
      <c r="A77" s="42">
        <f>IF('Krankenquote Objekte'!B84="","",'Krankenquote Objekte'!A84)</f>
        <v/>
      </c>
      <c r="B77" s="43">
        <f>IF('Krankenquote Objekte'!B84="","",'Krankenquote Objekte'!B84)</f>
        <v/>
      </c>
      <c r="C77" s="7">
        <f>IF('Krankenquote Objekte'!B84="","",'Krankenquote Objekte'!C84)</f>
        <v/>
      </c>
      <c r="D77" s="44">
        <f>IF('Krankenquote Objekte'!B84="","",'Krankenquote Objekte'!E84)</f>
        <v/>
      </c>
      <c r="E77" s="45">
        <f>IF('Krankenquote Objekte'!B84="","",'Krankenquote Objekte'!R84)</f>
        <v/>
      </c>
      <c r="F77" s="26">
        <f>IF(B77="","",IF(D77&gt;0,E77/D77,0))</f>
        <v/>
      </c>
      <c r="G77" s="45">
        <f>IF('Krankenquote Objekte'!B84="","",'Krankenquote Objekte'!T84)</f>
        <v/>
      </c>
      <c r="H77" s="46">
        <f>IF(B77="","",RANK(F77,$F$4:$F$103,0))</f>
        <v/>
      </c>
      <c r="I77" s="47">
        <f>IF(B77="","",IF(F77&lt;=$K$4,"unauffällig",IF(F77&lt;=$K$5,"auffällig","kritisch")))</f>
        <v/>
      </c>
    </row>
    <row r="78">
      <c r="A78" s="42">
        <f>IF('Krankenquote Objekte'!B85="","",'Krankenquote Objekte'!A85)</f>
        <v/>
      </c>
      <c r="B78" s="43">
        <f>IF('Krankenquote Objekte'!B85="","",'Krankenquote Objekte'!B85)</f>
        <v/>
      </c>
      <c r="C78" s="7">
        <f>IF('Krankenquote Objekte'!B85="","",'Krankenquote Objekte'!C85)</f>
        <v/>
      </c>
      <c r="D78" s="44">
        <f>IF('Krankenquote Objekte'!B85="","",'Krankenquote Objekte'!E85)</f>
        <v/>
      </c>
      <c r="E78" s="45">
        <f>IF('Krankenquote Objekte'!B85="","",'Krankenquote Objekte'!R85)</f>
        <v/>
      </c>
      <c r="F78" s="26">
        <f>IF(B78="","",IF(D78&gt;0,E78/D78,0))</f>
        <v/>
      </c>
      <c r="G78" s="45">
        <f>IF('Krankenquote Objekte'!B85="","",'Krankenquote Objekte'!T85)</f>
        <v/>
      </c>
      <c r="H78" s="46">
        <f>IF(B78="","",RANK(F78,$F$4:$F$103,0))</f>
        <v/>
      </c>
      <c r="I78" s="47">
        <f>IF(B78="","",IF(F78&lt;=$K$4,"unauffällig",IF(F78&lt;=$K$5,"auffällig","kritisch")))</f>
        <v/>
      </c>
    </row>
    <row r="79">
      <c r="A79" s="42">
        <f>IF('Krankenquote Objekte'!B86="","",'Krankenquote Objekte'!A86)</f>
        <v/>
      </c>
      <c r="B79" s="43">
        <f>IF('Krankenquote Objekte'!B86="","",'Krankenquote Objekte'!B86)</f>
        <v/>
      </c>
      <c r="C79" s="7">
        <f>IF('Krankenquote Objekte'!B86="","",'Krankenquote Objekte'!C86)</f>
        <v/>
      </c>
      <c r="D79" s="44">
        <f>IF('Krankenquote Objekte'!B86="","",'Krankenquote Objekte'!E86)</f>
        <v/>
      </c>
      <c r="E79" s="45">
        <f>IF('Krankenquote Objekte'!B86="","",'Krankenquote Objekte'!R86)</f>
        <v/>
      </c>
      <c r="F79" s="26">
        <f>IF(B79="","",IF(D79&gt;0,E79/D79,0))</f>
        <v/>
      </c>
      <c r="G79" s="45">
        <f>IF('Krankenquote Objekte'!B86="","",'Krankenquote Objekte'!T86)</f>
        <v/>
      </c>
      <c r="H79" s="46">
        <f>IF(B79="","",RANK(F79,$F$4:$F$103,0))</f>
        <v/>
      </c>
      <c r="I79" s="47">
        <f>IF(B79="","",IF(F79&lt;=$K$4,"unauffällig",IF(F79&lt;=$K$5,"auffällig","kritisch")))</f>
        <v/>
      </c>
    </row>
    <row r="80">
      <c r="A80" s="42">
        <f>IF('Krankenquote Objekte'!B87="","",'Krankenquote Objekte'!A87)</f>
        <v/>
      </c>
      <c r="B80" s="43">
        <f>IF('Krankenquote Objekte'!B87="","",'Krankenquote Objekte'!B87)</f>
        <v/>
      </c>
      <c r="C80" s="7">
        <f>IF('Krankenquote Objekte'!B87="","",'Krankenquote Objekte'!C87)</f>
        <v/>
      </c>
      <c r="D80" s="44">
        <f>IF('Krankenquote Objekte'!B87="","",'Krankenquote Objekte'!E87)</f>
        <v/>
      </c>
      <c r="E80" s="45">
        <f>IF('Krankenquote Objekte'!B87="","",'Krankenquote Objekte'!R87)</f>
        <v/>
      </c>
      <c r="F80" s="26">
        <f>IF(B80="","",IF(D80&gt;0,E80/D80,0))</f>
        <v/>
      </c>
      <c r="G80" s="45">
        <f>IF('Krankenquote Objekte'!B87="","",'Krankenquote Objekte'!T87)</f>
        <v/>
      </c>
      <c r="H80" s="46">
        <f>IF(B80="","",RANK(F80,$F$4:$F$103,0))</f>
        <v/>
      </c>
      <c r="I80" s="47">
        <f>IF(B80="","",IF(F80&lt;=$K$4,"unauffällig",IF(F80&lt;=$K$5,"auffällig","kritisch")))</f>
        <v/>
      </c>
    </row>
    <row r="81">
      <c r="A81" s="42">
        <f>IF('Krankenquote Objekte'!B88="","",'Krankenquote Objekte'!A88)</f>
        <v/>
      </c>
      <c r="B81" s="43">
        <f>IF('Krankenquote Objekte'!B88="","",'Krankenquote Objekte'!B88)</f>
        <v/>
      </c>
      <c r="C81" s="7">
        <f>IF('Krankenquote Objekte'!B88="","",'Krankenquote Objekte'!C88)</f>
        <v/>
      </c>
      <c r="D81" s="44">
        <f>IF('Krankenquote Objekte'!B88="","",'Krankenquote Objekte'!E88)</f>
        <v/>
      </c>
      <c r="E81" s="45">
        <f>IF('Krankenquote Objekte'!B88="","",'Krankenquote Objekte'!R88)</f>
        <v/>
      </c>
      <c r="F81" s="26">
        <f>IF(B81="","",IF(D81&gt;0,E81/D81,0))</f>
        <v/>
      </c>
      <c r="G81" s="45">
        <f>IF('Krankenquote Objekte'!B88="","",'Krankenquote Objekte'!T88)</f>
        <v/>
      </c>
      <c r="H81" s="46">
        <f>IF(B81="","",RANK(F81,$F$4:$F$103,0))</f>
        <v/>
      </c>
      <c r="I81" s="47">
        <f>IF(B81="","",IF(F81&lt;=$K$4,"unauffällig",IF(F81&lt;=$K$5,"auffällig","kritisch")))</f>
        <v/>
      </c>
    </row>
    <row r="82">
      <c r="A82" s="42">
        <f>IF('Krankenquote Objekte'!B89="","",'Krankenquote Objekte'!A89)</f>
        <v/>
      </c>
      <c r="B82" s="43">
        <f>IF('Krankenquote Objekte'!B89="","",'Krankenquote Objekte'!B89)</f>
        <v/>
      </c>
      <c r="C82" s="7">
        <f>IF('Krankenquote Objekte'!B89="","",'Krankenquote Objekte'!C89)</f>
        <v/>
      </c>
      <c r="D82" s="44">
        <f>IF('Krankenquote Objekte'!B89="","",'Krankenquote Objekte'!E89)</f>
        <v/>
      </c>
      <c r="E82" s="45">
        <f>IF('Krankenquote Objekte'!B89="","",'Krankenquote Objekte'!R89)</f>
        <v/>
      </c>
      <c r="F82" s="26">
        <f>IF(B82="","",IF(D82&gt;0,E82/D82,0))</f>
        <v/>
      </c>
      <c r="G82" s="45">
        <f>IF('Krankenquote Objekte'!B89="","",'Krankenquote Objekte'!T89)</f>
        <v/>
      </c>
      <c r="H82" s="46">
        <f>IF(B82="","",RANK(F82,$F$4:$F$103,0))</f>
        <v/>
      </c>
      <c r="I82" s="47">
        <f>IF(B82="","",IF(F82&lt;=$K$4,"unauffällig",IF(F82&lt;=$K$5,"auffällig","kritisch")))</f>
        <v/>
      </c>
    </row>
    <row r="83">
      <c r="A83" s="42">
        <f>IF('Krankenquote Objekte'!B90="","",'Krankenquote Objekte'!A90)</f>
        <v/>
      </c>
      <c r="B83" s="43">
        <f>IF('Krankenquote Objekte'!B90="","",'Krankenquote Objekte'!B90)</f>
        <v/>
      </c>
      <c r="C83" s="7">
        <f>IF('Krankenquote Objekte'!B90="","",'Krankenquote Objekte'!C90)</f>
        <v/>
      </c>
      <c r="D83" s="44">
        <f>IF('Krankenquote Objekte'!B90="","",'Krankenquote Objekte'!E90)</f>
        <v/>
      </c>
      <c r="E83" s="45">
        <f>IF('Krankenquote Objekte'!B90="","",'Krankenquote Objekte'!R90)</f>
        <v/>
      </c>
      <c r="F83" s="26">
        <f>IF(B83="","",IF(D83&gt;0,E83/D83,0))</f>
        <v/>
      </c>
      <c r="G83" s="45">
        <f>IF('Krankenquote Objekte'!B90="","",'Krankenquote Objekte'!T90)</f>
        <v/>
      </c>
      <c r="H83" s="46">
        <f>IF(B83="","",RANK(F83,$F$4:$F$103,0))</f>
        <v/>
      </c>
      <c r="I83" s="47">
        <f>IF(B83="","",IF(F83&lt;=$K$4,"unauffällig",IF(F83&lt;=$K$5,"auffällig","kritisch")))</f>
        <v/>
      </c>
    </row>
    <row r="84">
      <c r="A84" s="42">
        <f>IF('Krankenquote Objekte'!B91="","",'Krankenquote Objekte'!A91)</f>
        <v/>
      </c>
      <c r="B84" s="43">
        <f>IF('Krankenquote Objekte'!B91="","",'Krankenquote Objekte'!B91)</f>
        <v/>
      </c>
      <c r="C84" s="7">
        <f>IF('Krankenquote Objekte'!B91="","",'Krankenquote Objekte'!C91)</f>
        <v/>
      </c>
      <c r="D84" s="44">
        <f>IF('Krankenquote Objekte'!B91="","",'Krankenquote Objekte'!E91)</f>
        <v/>
      </c>
      <c r="E84" s="45">
        <f>IF('Krankenquote Objekte'!B91="","",'Krankenquote Objekte'!R91)</f>
        <v/>
      </c>
      <c r="F84" s="26">
        <f>IF(B84="","",IF(D84&gt;0,E84/D84,0))</f>
        <v/>
      </c>
      <c r="G84" s="45">
        <f>IF('Krankenquote Objekte'!B91="","",'Krankenquote Objekte'!T91)</f>
        <v/>
      </c>
      <c r="H84" s="46">
        <f>IF(B84="","",RANK(F84,$F$4:$F$103,0))</f>
        <v/>
      </c>
      <c r="I84" s="47">
        <f>IF(B84="","",IF(F84&lt;=$K$4,"unauffällig",IF(F84&lt;=$K$5,"auffällig","kritisch")))</f>
        <v/>
      </c>
    </row>
    <row r="85">
      <c r="A85" s="42">
        <f>IF('Krankenquote Objekte'!B92="","",'Krankenquote Objekte'!A92)</f>
        <v/>
      </c>
      <c r="B85" s="43">
        <f>IF('Krankenquote Objekte'!B92="","",'Krankenquote Objekte'!B92)</f>
        <v/>
      </c>
      <c r="C85" s="7">
        <f>IF('Krankenquote Objekte'!B92="","",'Krankenquote Objekte'!C92)</f>
        <v/>
      </c>
      <c r="D85" s="44">
        <f>IF('Krankenquote Objekte'!B92="","",'Krankenquote Objekte'!E92)</f>
        <v/>
      </c>
      <c r="E85" s="45">
        <f>IF('Krankenquote Objekte'!B92="","",'Krankenquote Objekte'!R92)</f>
        <v/>
      </c>
      <c r="F85" s="26">
        <f>IF(B85="","",IF(D85&gt;0,E85/D85,0))</f>
        <v/>
      </c>
      <c r="G85" s="45">
        <f>IF('Krankenquote Objekte'!B92="","",'Krankenquote Objekte'!T92)</f>
        <v/>
      </c>
      <c r="H85" s="46">
        <f>IF(B85="","",RANK(F85,$F$4:$F$103,0))</f>
        <v/>
      </c>
      <c r="I85" s="47">
        <f>IF(B85="","",IF(F85&lt;=$K$4,"unauffällig",IF(F85&lt;=$K$5,"auffällig","kritisch")))</f>
        <v/>
      </c>
    </row>
    <row r="86">
      <c r="A86" s="42">
        <f>IF('Krankenquote Objekte'!B93="","",'Krankenquote Objekte'!A93)</f>
        <v/>
      </c>
      <c r="B86" s="43">
        <f>IF('Krankenquote Objekte'!B93="","",'Krankenquote Objekte'!B93)</f>
        <v/>
      </c>
      <c r="C86" s="7">
        <f>IF('Krankenquote Objekte'!B93="","",'Krankenquote Objekte'!C93)</f>
        <v/>
      </c>
      <c r="D86" s="44">
        <f>IF('Krankenquote Objekte'!B93="","",'Krankenquote Objekte'!E93)</f>
        <v/>
      </c>
      <c r="E86" s="45">
        <f>IF('Krankenquote Objekte'!B93="","",'Krankenquote Objekte'!R93)</f>
        <v/>
      </c>
      <c r="F86" s="26">
        <f>IF(B86="","",IF(D86&gt;0,E86/D86,0))</f>
        <v/>
      </c>
      <c r="G86" s="45">
        <f>IF('Krankenquote Objekte'!B93="","",'Krankenquote Objekte'!T93)</f>
        <v/>
      </c>
      <c r="H86" s="46">
        <f>IF(B86="","",RANK(F86,$F$4:$F$103,0))</f>
        <v/>
      </c>
      <c r="I86" s="47">
        <f>IF(B86="","",IF(F86&lt;=$K$4,"unauffällig",IF(F86&lt;=$K$5,"auffällig","kritisch")))</f>
        <v/>
      </c>
    </row>
    <row r="87">
      <c r="A87" s="42">
        <f>IF('Krankenquote Objekte'!B94="","",'Krankenquote Objekte'!A94)</f>
        <v/>
      </c>
      <c r="B87" s="43">
        <f>IF('Krankenquote Objekte'!B94="","",'Krankenquote Objekte'!B94)</f>
        <v/>
      </c>
      <c r="C87" s="7">
        <f>IF('Krankenquote Objekte'!B94="","",'Krankenquote Objekte'!C94)</f>
        <v/>
      </c>
      <c r="D87" s="44">
        <f>IF('Krankenquote Objekte'!B94="","",'Krankenquote Objekte'!E94)</f>
        <v/>
      </c>
      <c r="E87" s="45">
        <f>IF('Krankenquote Objekte'!B94="","",'Krankenquote Objekte'!R94)</f>
        <v/>
      </c>
      <c r="F87" s="26">
        <f>IF(B87="","",IF(D87&gt;0,E87/D87,0))</f>
        <v/>
      </c>
      <c r="G87" s="45">
        <f>IF('Krankenquote Objekte'!B94="","",'Krankenquote Objekte'!T94)</f>
        <v/>
      </c>
      <c r="H87" s="46">
        <f>IF(B87="","",RANK(F87,$F$4:$F$103,0))</f>
        <v/>
      </c>
      <c r="I87" s="47">
        <f>IF(B87="","",IF(F87&lt;=$K$4,"unauffällig",IF(F87&lt;=$K$5,"auffällig","kritisch")))</f>
        <v/>
      </c>
    </row>
    <row r="88">
      <c r="A88" s="42">
        <f>IF('Krankenquote Objekte'!B95="","",'Krankenquote Objekte'!A95)</f>
        <v/>
      </c>
      <c r="B88" s="43">
        <f>IF('Krankenquote Objekte'!B95="","",'Krankenquote Objekte'!B95)</f>
        <v/>
      </c>
      <c r="C88" s="7">
        <f>IF('Krankenquote Objekte'!B95="","",'Krankenquote Objekte'!C95)</f>
        <v/>
      </c>
      <c r="D88" s="44">
        <f>IF('Krankenquote Objekte'!B95="","",'Krankenquote Objekte'!E95)</f>
        <v/>
      </c>
      <c r="E88" s="45">
        <f>IF('Krankenquote Objekte'!B95="","",'Krankenquote Objekte'!R95)</f>
        <v/>
      </c>
      <c r="F88" s="26">
        <f>IF(B88="","",IF(D88&gt;0,E88/D88,0))</f>
        <v/>
      </c>
      <c r="G88" s="45">
        <f>IF('Krankenquote Objekte'!B95="","",'Krankenquote Objekte'!T95)</f>
        <v/>
      </c>
      <c r="H88" s="46">
        <f>IF(B88="","",RANK(F88,$F$4:$F$103,0))</f>
        <v/>
      </c>
      <c r="I88" s="47">
        <f>IF(B88="","",IF(F88&lt;=$K$4,"unauffällig",IF(F88&lt;=$K$5,"auffällig","kritisch")))</f>
        <v/>
      </c>
    </row>
    <row r="89">
      <c r="A89" s="42">
        <f>IF('Krankenquote Objekte'!B96="","",'Krankenquote Objekte'!A96)</f>
        <v/>
      </c>
      <c r="B89" s="43">
        <f>IF('Krankenquote Objekte'!B96="","",'Krankenquote Objekte'!B96)</f>
        <v/>
      </c>
      <c r="C89" s="7">
        <f>IF('Krankenquote Objekte'!B96="","",'Krankenquote Objekte'!C96)</f>
        <v/>
      </c>
      <c r="D89" s="44">
        <f>IF('Krankenquote Objekte'!B96="","",'Krankenquote Objekte'!E96)</f>
        <v/>
      </c>
      <c r="E89" s="45">
        <f>IF('Krankenquote Objekte'!B96="","",'Krankenquote Objekte'!R96)</f>
        <v/>
      </c>
      <c r="F89" s="26">
        <f>IF(B89="","",IF(D89&gt;0,E89/D89,0))</f>
        <v/>
      </c>
      <c r="G89" s="45">
        <f>IF('Krankenquote Objekte'!B96="","",'Krankenquote Objekte'!T96)</f>
        <v/>
      </c>
      <c r="H89" s="46">
        <f>IF(B89="","",RANK(F89,$F$4:$F$103,0))</f>
        <v/>
      </c>
      <c r="I89" s="47">
        <f>IF(B89="","",IF(F89&lt;=$K$4,"unauffällig",IF(F89&lt;=$K$5,"auffällig","kritisch")))</f>
        <v/>
      </c>
    </row>
    <row r="90">
      <c r="A90" s="42">
        <f>IF('Krankenquote Objekte'!B97="","",'Krankenquote Objekte'!A97)</f>
        <v/>
      </c>
      <c r="B90" s="43">
        <f>IF('Krankenquote Objekte'!B97="","",'Krankenquote Objekte'!B97)</f>
        <v/>
      </c>
      <c r="C90" s="7">
        <f>IF('Krankenquote Objekte'!B97="","",'Krankenquote Objekte'!C97)</f>
        <v/>
      </c>
      <c r="D90" s="44">
        <f>IF('Krankenquote Objekte'!B97="","",'Krankenquote Objekte'!E97)</f>
        <v/>
      </c>
      <c r="E90" s="45">
        <f>IF('Krankenquote Objekte'!B97="","",'Krankenquote Objekte'!R97)</f>
        <v/>
      </c>
      <c r="F90" s="26">
        <f>IF(B90="","",IF(D90&gt;0,E90/D90,0))</f>
        <v/>
      </c>
      <c r="G90" s="45">
        <f>IF('Krankenquote Objekte'!B97="","",'Krankenquote Objekte'!T97)</f>
        <v/>
      </c>
      <c r="H90" s="46">
        <f>IF(B90="","",RANK(F90,$F$4:$F$103,0))</f>
        <v/>
      </c>
      <c r="I90" s="47">
        <f>IF(B90="","",IF(F90&lt;=$K$4,"unauffällig",IF(F90&lt;=$K$5,"auffällig","kritisch")))</f>
        <v/>
      </c>
    </row>
    <row r="91">
      <c r="A91" s="42">
        <f>IF('Krankenquote Objekte'!B98="","",'Krankenquote Objekte'!A98)</f>
        <v/>
      </c>
      <c r="B91" s="43">
        <f>IF('Krankenquote Objekte'!B98="","",'Krankenquote Objekte'!B98)</f>
        <v/>
      </c>
      <c r="C91" s="7">
        <f>IF('Krankenquote Objekte'!B98="","",'Krankenquote Objekte'!C98)</f>
        <v/>
      </c>
      <c r="D91" s="44">
        <f>IF('Krankenquote Objekte'!B98="","",'Krankenquote Objekte'!E98)</f>
        <v/>
      </c>
      <c r="E91" s="45">
        <f>IF('Krankenquote Objekte'!B98="","",'Krankenquote Objekte'!R98)</f>
        <v/>
      </c>
      <c r="F91" s="26">
        <f>IF(B91="","",IF(D91&gt;0,E91/D91,0))</f>
        <v/>
      </c>
      <c r="G91" s="45">
        <f>IF('Krankenquote Objekte'!B98="","",'Krankenquote Objekte'!T98)</f>
        <v/>
      </c>
      <c r="H91" s="46">
        <f>IF(B91="","",RANK(F91,$F$4:$F$103,0))</f>
        <v/>
      </c>
      <c r="I91" s="47">
        <f>IF(B91="","",IF(F91&lt;=$K$4,"unauffällig",IF(F91&lt;=$K$5,"auffällig","kritisch")))</f>
        <v/>
      </c>
    </row>
    <row r="92">
      <c r="A92" s="42">
        <f>IF('Krankenquote Objekte'!B99="","",'Krankenquote Objekte'!A99)</f>
        <v/>
      </c>
      <c r="B92" s="43">
        <f>IF('Krankenquote Objekte'!B99="","",'Krankenquote Objekte'!B99)</f>
        <v/>
      </c>
      <c r="C92" s="7">
        <f>IF('Krankenquote Objekte'!B99="","",'Krankenquote Objekte'!C99)</f>
        <v/>
      </c>
      <c r="D92" s="44">
        <f>IF('Krankenquote Objekte'!B99="","",'Krankenquote Objekte'!E99)</f>
        <v/>
      </c>
      <c r="E92" s="45">
        <f>IF('Krankenquote Objekte'!B99="","",'Krankenquote Objekte'!R99)</f>
        <v/>
      </c>
      <c r="F92" s="26">
        <f>IF(B92="","",IF(D92&gt;0,E92/D92,0))</f>
        <v/>
      </c>
      <c r="G92" s="45">
        <f>IF('Krankenquote Objekte'!B99="","",'Krankenquote Objekte'!T99)</f>
        <v/>
      </c>
      <c r="H92" s="46">
        <f>IF(B92="","",RANK(F92,$F$4:$F$103,0))</f>
        <v/>
      </c>
      <c r="I92" s="47">
        <f>IF(B92="","",IF(F92&lt;=$K$4,"unauffällig",IF(F92&lt;=$K$5,"auffällig","kritisch")))</f>
        <v/>
      </c>
    </row>
    <row r="93">
      <c r="A93" s="42">
        <f>IF('Krankenquote Objekte'!B100="","",'Krankenquote Objekte'!A100)</f>
        <v/>
      </c>
      <c r="B93" s="43">
        <f>IF('Krankenquote Objekte'!B100="","",'Krankenquote Objekte'!B100)</f>
        <v/>
      </c>
      <c r="C93" s="7">
        <f>IF('Krankenquote Objekte'!B100="","",'Krankenquote Objekte'!C100)</f>
        <v/>
      </c>
      <c r="D93" s="44">
        <f>IF('Krankenquote Objekte'!B100="","",'Krankenquote Objekte'!E100)</f>
        <v/>
      </c>
      <c r="E93" s="45">
        <f>IF('Krankenquote Objekte'!B100="","",'Krankenquote Objekte'!R100)</f>
        <v/>
      </c>
      <c r="F93" s="26">
        <f>IF(B93="","",IF(D93&gt;0,E93/D93,0))</f>
        <v/>
      </c>
      <c r="G93" s="45">
        <f>IF('Krankenquote Objekte'!B100="","",'Krankenquote Objekte'!T100)</f>
        <v/>
      </c>
      <c r="H93" s="46">
        <f>IF(B93="","",RANK(F93,$F$4:$F$103,0))</f>
        <v/>
      </c>
      <c r="I93" s="47">
        <f>IF(B93="","",IF(F93&lt;=$K$4,"unauffällig",IF(F93&lt;=$K$5,"auffällig","kritisch")))</f>
        <v/>
      </c>
    </row>
    <row r="94">
      <c r="A94" s="42">
        <f>IF('Krankenquote Objekte'!B101="","",'Krankenquote Objekte'!A101)</f>
        <v/>
      </c>
      <c r="B94" s="43">
        <f>IF('Krankenquote Objekte'!B101="","",'Krankenquote Objekte'!B101)</f>
        <v/>
      </c>
      <c r="C94" s="7">
        <f>IF('Krankenquote Objekte'!B101="","",'Krankenquote Objekte'!C101)</f>
        <v/>
      </c>
      <c r="D94" s="44">
        <f>IF('Krankenquote Objekte'!B101="","",'Krankenquote Objekte'!E101)</f>
        <v/>
      </c>
      <c r="E94" s="45">
        <f>IF('Krankenquote Objekte'!B101="","",'Krankenquote Objekte'!R101)</f>
        <v/>
      </c>
      <c r="F94" s="26">
        <f>IF(B94="","",IF(D94&gt;0,E94/D94,0))</f>
        <v/>
      </c>
      <c r="G94" s="45">
        <f>IF('Krankenquote Objekte'!B101="","",'Krankenquote Objekte'!T101)</f>
        <v/>
      </c>
      <c r="H94" s="46">
        <f>IF(B94="","",RANK(F94,$F$4:$F$103,0))</f>
        <v/>
      </c>
      <c r="I94" s="47">
        <f>IF(B94="","",IF(F94&lt;=$K$4,"unauffällig",IF(F94&lt;=$K$5,"auffällig","kritisch")))</f>
        <v/>
      </c>
    </row>
    <row r="95">
      <c r="A95" s="42">
        <f>IF('Krankenquote Objekte'!B102="","",'Krankenquote Objekte'!A102)</f>
        <v/>
      </c>
      <c r="B95" s="43">
        <f>IF('Krankenquote Objekte'!B102="","",'Krankenquote Objekte'!B102)</f>
        <v/>
      </c>
      <c r="C95" s="7">
        <f>IF('Krankenquote Objekte'!B102="","",'Krankenquote Objekte'!C102)</f>
        <v/>
      </c>
      <c r="D95" s="44">
        <f>IF('Krankenquote Objekte'!B102="","",'Krankenquote Objekte'!E102)</f>
        <v/>
      </c>
      <c r="E95" s="45">
        <f>IF('Krankenquote Objekte'!B102="","",'Krankenquote Objekte'!R102)</f>
        <v/>
      </c>
      <c r="F95" s="26">
        <f>IF(B95="","",IF(D95&gt;0,E95/D95,0))</f>
        <v/>
      </c>
      <c r="G95" s="45">
        <f>IF('Krankenquote Objekte'!B102="","",'Krankenquote Objekte'!T102)</f>
        <v/>
      </c>
      <c r="H95" s="46">
        <f>IF(B95="","",RANK(F95,$F$4:$F$103,0))</f>
        <v/>
      </c>
      <c r="I95" s="47">
        <f>IF(B95="","",IF(F95&lt;=$K$4,"unauffällig",IF(F95&lt;=$K$5,"auffällig","kritisch")))</f>
        <v/>
      </c>
    </row>
    <row r="96">
      <c r="A96" s="42">
        <f>IF('Krankenquote Objekte'!B103="","",'Krankenquote Objekte'!A103)</f>
        <v/>
      </c>
      <c r="B96" s="43">
        <f>IF('Krankenquote Objekte'!B103="","",'Krankenquote Objekte'!B103)</f>
        <v/>
      </c>
      <c r="C96" s="7">
        <f>IF('Krankenquote Objekte'!B103="","",'Krankenquote Objekte'!C103)</f>
        <v/>
      </c>
      <c r="D96" s="44">
        <f>IF('Krankenquote Objekte'!B103="","",'Krankenquote Objekte'!E103)</f>
        <v/>
      </c>
      <c r="E96" s="45">
        <f>IF('Krankenquote Objekte'!B103="","",'Krankenquote Objekte'!R103)</f>
        <v/>
      </c>
      <c r="F96" s="26">
        <f>IF(B96="","",IF(D96&gt;0,E96/D96,0))</f>
        <v/>
      </c>
      <c r="G96" s="45">
        <f>IF('Krankenquote Objekte'!B103="","",'Krankenquote Objekte'!T103)</f>
        <v/>
      </c>
      <c r="H96" s="46">
        <f>IF(B96="","",RANK(F96,$F$4:$F$103,0))</f>
        <v/>
      </c>
      <c r="I96" s="47">
        <f>IF(B96="","",IF(F96&lt;=$K$4,"unauffällig",IF(F96&lt;=$K$5,"auffällig","kritisch")))</f>
        <v/>
      </c>
    </row>
    <row r="97">
      <c r="A97" s="42">
        <f>IF('Krankenquote Objekte'!B104="","",'Krankenquote Objekte'!A104)</f>
        <v/>
      </c>
      <c r="B97" s="43">
        <f>IF('Krankenquote Objekte'!B104="","",'Krankenquote Objekte'!B104)</f>
        <v/>
      </c>
      <c r="C97" s="7">
        <f>IF('Krankenquote Objekte'!B104="","",'Krankenquote Objekte'!C104)</f>
        <v/>
      </c>
      <c r="D97" s="44">
        <f>IF('Krankenquote Objekte'!B104="","",'Krankenquote Objekte'!E104)</f>
        <v/>
      </c>
      <c r="E97" s="45">
        <f>IF('Krankenquote Objekte'!B104="","",'Krankenquote Objekte'!R104)</f>
        <v/>
      </c>
      <c r="F97" s="26">
        <f>IF(B97="","",IF(D97&gt;0,E97/D97,0))</f>
        <v/>
      </c>
      <c r="G97" s="45">
        <f>IF('Krankenquote Objekte'!B104="","",'Krankenquote Objekte'!T104)</f>
        <v/>
      </c>
      <c r="H97" s="46">
        <f>IF(B97="","",RANK(F97,$F$4:$F$103,0))</f>
        <v/>
      </c>
      <c r="I97" s="47">
        <f>IF(B97="","",IF(F97&lt;=$K$4,"unauffällig",IF(F97&lt;=$K$5,"auffällig","kritisch")))</f>
        <v/>
      </c>
    </row>
    <row r="98">
      <c r="A98" s="42">
        <f>IF('Krankenquote Objekte'!B105="","",'Krankenquote Objekte'!A105)</f>
        <v/>
      </c>
      <c r="B98" s="43">
        <f>IF('Krankenquote Objekte'!B105="","",'Krankenquote Objekte'!B105)</f>
        <v/>
      </c>
      <c r="C98" s="7">
        <f>IF('Krankenquote Objekte'!B105="","",'Krankenquote Objekte'!C105)</f>
        <v/>
      </c>
      <c r="D98" s="44">
        <f>IF('Krankenquote Objekte'!B105="","",'Krankenquote Objekte'!E105)</f>
        <v/>
      </c>
      <c r="E98" s="45">
        <f>IF('Krankenquote Objekte'!B105="","",'Krankenquote Objekte'!R105)</f>
        <v/>
      </c>
      <c r="F98" s="26">
        <f>IF(B98="","",IF(D98&gt;0,E98/D98,0))</f>
        <v/>
      </c>
      <c r="G98" s="45">
        <f>IF('Krankenquote Objekte'!B105="","",'Krankenquote Objekte'!T105)</f>
        <v/>
      </c>
      <c r="H98" s="46">
        <f>IF(B98="","",RANK(F98,$F$4:$F$103,0))</f>
        <v/>
      </c>
      <c r="I98" s="47">
        <f>IF(B98="","",IF(F98&lt;=$K$4,"unauffällig",IF(F98&lt;=$K$5,"auffällig","kritisch")))</f>
        <v/>
      </c>
    </row>
    <row r="99">
      <c r="A99" s="42">
        <f>IF('Krankenquote Objekte'!B106="","",'Krankenquote Objekte'!A106)</f>
        <v/>
      </c>
      <c r="B99" s="43">
        <f>IF('Krankenquote Objekte'!B106="","",'Krankenquote Objekte'!B106)</f>
        <v/>
      </c>
      <c r="C99" s="7">
        <f>IF('Krankenquote Objekte'!B106="","",'Krankenquote Objekte'!C106)</f>
        <v/>
      </c>
      <c r="D99" s="44">
        <f>IF('Krankenquote Objekte'!B106="","",'Krankenquote Objekte'!E106)</f>
        <v/>
      </c>
      <c r="E99" s="45">
        <f>IF('Krankenquote Objekte'!B106="","",'Krankenquote Objekte'!R106)</f>
        <v/>
      </c>
      <c r="F99" s="26">
        <f>IF(B99="","",IF(D99&gt;0,E99/D99,0))</f>
        <v/>
      </c>
      <c r="G99" s="45">
        <f>IF('Krankenquote Objekte'!B106="","",'Krankenquote Objekte'!T106)</f>
        <v/>
      </c>
      <c r="H99" s="46">
        <f>IF(B99="","",RANK(F99,$F$4:$F$103,0))</f>
        <v/>
      </c>
      <c r="I99" s="47">
        <f>IF(B99="","",IF(F99&lt;=$K$4,"unauffällig",IF(F99&lt;=$K$5,"auffällig","kritisch")))</f>
        <v/>
      </c>
    </row>
    <row r="100">
      <c r="A100" s="42">
        <f>IF('Krankenquote Objekte'!B107="","",'Krankenquote Objekte'!A107)</f>
        <v/>
      </c>
      <c r="B100" s="43">
        <f>IF('Krankenquote Objekte'!B107="","",'Krankenquote Objekte'!B107)</f>
        <v/>
      </c>
      <c r="C100" s="7">
        <f>IF('Krankenquote Objekte'!B107="","",'Krankenquote Objekte'!C107)</f>
        <v/>
      </c>
      <c r="D100" s="44">
        <f>IF('Krankenquote Objekte'!B107="","",'Krankenquote Objekte'!E107)</f>
        <v/>
      </c>
      <c r="E100" s="45">
        <f>IF('Krankenquote Objekte'!B107="","",'Krankenquote Objekte'!R107)</f>
        <v/>
      </c>
      <c r="F100" s="26">
        <f>IF(B100="","",IF(D100&gt;0,E100/D100,0))</f>
        <v/>
      </c>
      <c r="G100" s="45">
        <f>IF('Krankenquote Objekte'!B107="","",'Krankenquote Objekte'!T107)</f>
        <v/>
      </c>
      <c r="H100" s="46">
        <f>IF(B100="","",RANK(F100,$F$4:$F$103,0))</f>
        <v/>
      </c>
      <c r="I100" s="47">
        <f>IF(B100="","",IF(F100&lt;=$K$4,"unauffällig",IF(F100&lt;=$K$5,"auffällig","kritisch")))</f>
        <v/>
      </c>
    </row>
    <row r="101">
      <c r="A101" s="42">
        <f>IF('Krankenquote Objekte'!B108="","",'Krankenquote Objekte'!A108)</f>
        <v/>
      </c>
      <c r="B101" s="43">
        <f>IF('Krankenquote Objekte'!B108="","",'Krankenquote Objekte'!B108)</f>
        <v/>
      </c>
      <c r="C101" s="7">
        <f>IF('Krankenquote Objekte'!B108="","",'Krankenquote Objekte'!C108)</f>
        <v/>
      </c>
      <c r="D101" s="44">
        <f>IF('Krankenquote Objekte'!B108="","",'Krankenquote Objekte'!E108)</f>
        <v/>
      </c>
      <c r="E101" s="45">
        <f>IF('Krankenquote Objekte'!B108="","",'Krankenquote Objekte'!R108)</f>
        <v/>
      </c>
      <c r="F101" s="26">
        <f>IF(B101="","",IF(D101&gt;0,E101/D101,0))</f>
        <v/>
      </c>
      <c r="G101" s="45">
        <f>IF('Krankenquote Objekte'!B108="","",'Krankenquote Objekte'!T108)</f>
        <v/>
      </c>
      <c r="H101" s="46">
        <f>IF(B101="","",RANK(F101,$F$4:$F$103,0))</f>
        <v/>
      </c>
      <c r="I101" s="47">
        <f>IF(B101="","",IF(F101&lt;=$K$4,"unauffällig",IF(F101&lt;=$K$5,"auffällig","kritisch")))</f>
        <v/>
      </c>
    </row>
    <row r="102">
      <c r="A102" s="42">
        <f>IF('Krankenquote Objekte'!B109="","",'Krankenquote Objekte'!A109)</f>
        <v/>
      </c>
      <c r="B102" s="43">
        <f>IF('Krankenquote Objekte'!B109="","",'Krankenquote Objekte'!B109)</f>
        <v/>
      </c>
      <c r="C102" s="7">
        <f>IF('Krankenquote Objekte'!B109="","",'Krankenquote Objekte'!C109)</f>
        <v/>
      </c>
      <c r="D102" s="44">
        <f>IF('Krankenquote Objekte'!B109="","",'Krankenquote Objekte'!E109)</f>
        <v/>
      </c>
      <c r="E102" s="45">
        <f>IF('Krankenquote Objekte'!B109="","",'Krankenquote Objekte'!R109)</f>
        <v/>
      </c>
      <c r="F102" s="26">
        <f>IF(B102="","",IF(D102&gt;0,E102/D102,0))</f>
        <v/>
      </c>
      <c r="G102" s="45">
        <f>IF('Krankenquote Objekte'!B109="","",'Krankenquote Objekte'!T109)</f>
        <v/>
      </c>
      <c r="H102" s="46">
        <f>IF(B102="","",RANK(F102,$F$4:$F$103,0))</f>
        <v/>
      </c>
      <c r="I102" s="47">
        <f>IF(B102="","",IF(F102&lt;=$K$4,"unauffällig",IF(F102&lt;=$K$5,"auffällig","kritisch")))</f>
        <v/>
      </c>
    </row>
    <row r="103">
      <c r="A103" s="42">
        <f>IF('Krankenquote Objekte'!B110="","",'Krankenquote Objekte'!A110)</f>
        <v/>
      </c>
      <c r="B103" s="43">
        <f>IF('Krankenquote Objekte'!B110="","",'Krankenquote Objekte'!B110)</f>
        <v/>
      </c>
      <c r="C103" s="7">
        <f>IF('Krankenquote Objekte'!B110="","",'Krankenquote Objekte'!C110)</f>
        <v/>
      </c>
      <c r="D103" s="44">
        <f>IF('Krankenquote Objekte'!B110="","",'Krankenquote Objekte'!E110)</f>
        <v/>
      </c>
      <c r="E103" s="45">
        <f>IF('Krankenquote Objekte'!B110="","",'Krankenquote Objekte'!R110)</f>
        <v/>
      </c>
      <c r="F103" s="26">
        <f>IF(B103="","",IF(D103&gt;0,E103/D103,0))</f>
        <v/>
      </c>
      <c r="G103" s="45">
        <f>IF('Krankenquote Objekte'!B110="","",'Krankenquote Objekte'!T110)</f>
        <v/>
      </c>
      <c r="H103" s="46">
        <f>IF(B103="","",RANK(F103,$F$4:$F$103,0))</f>
        <v/>
      </c>
      <c r="I103" s="47">
        <f>IF(B103="","",IF(F103&lt;=$K$4,"unauffällig",IF(F103&lt;=$K$5,"auffällig","kritisch")))</f>
        <v/>
      </c>
    </row>
  </sheetData>
  <conditionalFormatting sqref="I4:I103">
    <cfRule type="cellIs" priority="1" operator="equal" dxfId="0">
      <formula>"unauffällig"</formula>
    </cfRule>
    <cfRule type="cellIs" priority="2" operator="equal" dxfId="1">
      <formula>"auffällig"</formula>
    </cfRule>
    <cfRule type="cellIs" priority="3" operator="equal" dxfId="2">
      <formula>"kritisch"</formula>
    </cfRule>
  </conditionalFormatting>
  <hyperlinks>
    <hyperlink xmlns:r="http://schemas.openxmlformats.org/officeDocument/2006/relationships" ref="H1" r:id="rId1"/>
  </hyperlinks>
  <pageMargins left="0.75" right="0.75" top="1" bottom="1" header="0.5" footer="0.5"/>
  <drawing xmlns:r="http://schemas.openxmlformats.org/officeDocument/2006/relationships" r:id="rId2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1" customWidth="1" min="3" max="3"/>
    <col width="9" customWidth="1" min="4" max="4"/>
    <col width="10" customWidth="1" min="5" max="5"/>
    <col width="13" customWidth="1" min="6" max="6"/>
    <col width="10" customWidth="1" min="7" max="7"/>
    <col width="9" customWidth="1" min="8" max="8"/>
    <col width="11" customWidth="1" min="9" max="9"/>
  </cols>
  <sheetData>
    <row r="1">
      <c r="A1" s="1" t="inlineStr">
        <is>
          <t>Auswertung der Objekte</t>
        </is>
      </c>
      <c r="H1" s="12" t="inlineStr">
        <is>
          <t>→ Erklärung</t>
        </is>
      </c>
    </row>
    <row r="3" ht="30" customHeight="1">
      <c r="A3" s="17" t="inlineStr">
        <is>
          <t>Objekt</t>
        </is>
      </c>
      <c r="B3" s="17" t="inlineStr">
        <is>
          <t>Anzahl MA</t>
        </is>
      </c>
      <c r="C3" s="17" t="inlineStr">
        <is>
          <t>Soll-
Arbeitstage</t>
        </is>
      </c>
      <c r="D3" s="17" t="inlineStr">
        <is>
          <t>Krank-
tage</t>
        </is>
      </c>
      <c r="E3" s="17" t="inlineStr">
        <is>
          <t>Kranken-
quote</t>
        </is>
      </c>
      <c r="F3" s="17" t="inlineStr">
        <is>
          <t>Anteil an
Krankheitstagen</t>
        </is>
      </c>
      <c r="G3" s="17" t="inlineStr">
        <is>
          <t>Ø Krank-
tage je MA</t>
        </is>
      </c>
      <c r="H3" s="17" t="inlineStr">
        <is>
          <t>MA
kritisch</t>
        </is>
      </c>
      <c r="I3" s="17" t="inlineStr">
        <is>
          <t>Abw. zur
Gesamtquote</t>
        </is>
      </c>
    </row>
    <row r="4">
      <c r="A4" s="51">
        <f>'Krankenquote Objekte'!B6</f>
        <v/>
      </c>
      <c r="B4" s="45">
        <f>COUNTA('Krankenquote Objekte'!B7:B56)</f>
        <v/>
      </c>
      <c r="C4" s="44">
        <f>'Krankenquote Objekte'!E57</f>
        <v/>
      </c>
      <c r="D4" s="45">
        <f>'Krankenquote Objekte'!R57</f>
        <v/>
      </c>
      <c r="E4" s="26">
        <f>IF(C4&gt;0,D4/C4,0)</f>
        <v/>
      </c>
      <c r="F4" s="52">
        <f>IF($D$6&gt;0,D4/$D$6,0)</f>
        <v/>
      </c>
      <c r="G4" s="24">
        <f>IF(B4&gt;0,D4/B4,0)</f>
        <v/>
      </c>
      <c r="H4" s="45">
        <f>COUNTIFS('KQuote Mitarbeiter'!$C$4:$C$103,A4,'KQuote Mitarbeiter'!$I$4:$I$103,"kritisch")</f>
        <v/>
      </c>
      <c r="I4" s="53">
        <f>E4-$E$6</f>
        <v/>
      </c>
    </row>
    <row r="5">
      <c r="A5" s="54">
        <f>'Krankenquote Objekte'!B60</f>
        <v/>
      </c>
      <c r="B5" s="45">
        <f>COUNTA('Krankenquote Objekte'!B61:B110)</f>
        <v/>
      </c>
      <c r="C5" s="44">
        <f>'Krankenquote Objekte'!E111</f>
        <v/>
      </c>
      <c r="D5" s="45">
        <f>'Krankenquote Objekte'!R111</f>
        <v/>
      </c>
      <c r="E5" s="26">
        <f>IF(C5&gt;0,D5/C5,0)</f>
        <v/>
      </c>
      <c r="F5" s="52">
        <f>IF($D$6&gt;0,D5/$D$6,0)</f>
        <v/>
      </c>
      <c r="G5" s="24">
        <f>IF(B5&gt;0,D5/B5,0)</f>
        <v/>
      </c>
      <c r="H5" s="45">
        <f>COUNTIFS('KQuote Mitarbeiter'!$C$4:$C$103,A5,'KQuote Mitarbeiter'!$I$4:$I$103,"kritisch")</f>
        <v/>
      </c>
      <c r="I5" s="53">
        <f>E5-$E$6</f>
        <v/>
      </c>
    </row>
    <row r="6">
      <c r="A6" s="37" t="inlineStr">
        <is>
          <t>Gesamt</t>
        </is>
      </c>
      <c r="B6" s="40">
        <f>SUM(B4:B5)</f>
        <v/>
      </c>
      <c r="C6" s="39">
        <f>SUM(C4:C5)</f>
        <v/>
      </c>
      <c r="D6" s="40">
        <f>SUM(D4:D5)</f>
        <v/>
      </c>
      <c r="E6" s="41">
        <f>IF(C6&gt;0,D6/C6,0)</f>
        <v/>
      </c>
      <c r="F6" s="41">
        <f>SUM(F4:F5)</f>
        <v/>
      </c>
      <c r="G6" s="39">
        <f>IF(B6&gt;0,D6/B6,0)</f>
        <v/>
      </c>
      <c r="H6" s="40">
        <f>SUM(H4:H5)</f>
        <v/>
      </c>
      <c r="I6" s="37" t="n"/>
    </row>
    <row r="7">
      <c r="A7" s="55" t="inlineStr">
        <is>
          <t>Objekt mit höchster Quote:</t>
        </is>
      </c>
      <c r="C7" s="55">
        <f>INDEX(A4:A5,MATCH(MAX(E4:E5),E4:E5,0))</f>
        <v/>
      </c>
    </row>
    <row r="9">
      <c r="A9" s="55" t="inlineStr">
        <is>
          <t>Krankenquote im Monatsverlauf</t>
        </is>
      </c>
    </row>
    <row r="10">
      <c r="A10" s="17" t="inlineStr">
        <is>
          <t>Monat</t>
        </is>
      </c>
      <c r="B10" s="17">
        <f>A4</f>
        <v/>
      </c>
      <c r="C10" s="17">
        <f>A5</f>
        <v/>
      </c>
      <c r="D10" s="17" t="inlineStr">
        <is>
          <t>Gesamt</t>
        </is>
      </c>
    </row>
    <row r="11">
      <c r="A11" s="8" t="inlineStr">
        <is>
          <t>Jan</t>
        </is>
      </c>
      <c r="B11" s="56">
        <f>'Krankenquote Objekte'!F58</f>
        <v/>
      </c>
      <c r="C11" s="56">
        <f>'Krankenquote Objekte'!F112</f>
        <v/>
      </c>
      <c r="D11" s="56">
        <f>'Krankenquote Objekte'!F115</f>
        <v/>
      </c>
    </row>
    <row r="12">
      <c r="A12" s="8" t="inlineStr">
        <is>
          <t>Feb</t>
        </is>
      </c>
      <c r="B12" s="56">
        <f>'Krankenquote Objekte'!G58</f>
        <v/>
      </c>
      <c r="C12" s="56">
        <f>'Krankenquote Objekte'!G112</f>
        <v/>
      </c>
      <c r="D12" s="56">
        <f>'Krankenquote Objekte'!G115</f>
        <v/>
      </c>
    </row>
    <row r="13">
      <c r="A13" s="8" t="inlineStr">
        <is>
          <t>Mär</t>
        </is>
      </c>
      <c r="B13" s="56">
        <f>'Krankenquote Objekte'!H58</f>
        <v/>
      </c>
      <c r="C13" s="56">
        <f>'Krankenquote Objekte'!H112</f>
        <v/>
      </c>
      <c r="D13" s="56">
        <f>'Krankenquote Objekte'!H115</f>
        <v/>
      </c>
    </row>
    <row r="14">
      <c r="A14" s="8" t="inlineStr">
        <is>
          <t>Apr</t>
        </is>
      </c>
      <c r="B14" s="56">
        <f>'Krankenquote Objekte'!I58</f>
        <v/>
      </c>
      <c r="C14" s="56">
        <f>'Krankenquote Objekte'!I112</f>
        <v/>
      </c>
      <c r="D14" s="56">
        <f>'Krankenquote Objekte'!I115</f>
        <v/>
      </c>
    </row>
    <row r="15">
      <c r="A15" s="8" t="inlineStr">
        <is>
          <t>Mai</t>
        </is>
      </c>
      <c r="B15" s="56">
        <f>'Krankenquote Objekte'!J58</f>
        <v/>
      </c>
      <c r="C15" s="56">
        <f>'Krankenquote Objekte'!J112</f>
        <v/>
      </c>
      <c r="D15" s="56">
        <f>'Krankenquote Objekte'!J115</f>
        <v/>
      </c>
    </row>
    <row r="16">
      <c r="A16" s="8" t="inlineStr">
        <is>
          <t>Jun</t>
        </is>
      </c>
      <c r="B16" s="56">
        <f>'Krankenquote Objekte'!K58</f>
        <v/>
      </c>
      <c r="C16" s="56">
        <f>'Krankenquote Objekte'!K112</f>
        <v/>
      </c>
      <c r="D16" s="56">
        <f>'Krankenquote Objekte'!K115</f>
        <v/>
      </c>
    </row>
    <row r="17">
      <c r="A17" s="8" t="inlineStr">
        <is>
          <t>Jul</t>
        </is>
      </c>
      <c r="B17" s="56">
        <f>'Krankenquote Objekte'!L58</f>
        <v/>
      </c>
      <c r="C17" s="56">
        <f>'Krankenquote Objekte'!L112</f>
        <v/>
      </c>
      <c r="D17" s="56">
        <f>'Krankenquote Objekte'!L115</f>
        <v/>
      </c>
    </row>
    <row r="18">
      <c r="A18" s="8" t="inlineStr">
        <is>
          <t>Aug</t>
        </is>
      </c>
      <c r="B18" s="56">
        <f>'Krankenquote Objekte'!M58</f>
        <v/>
      </c>
      <c r="C18" s="56">
        <f>'Krankenquote Objekte'!M112</f>
        <v/>
      </c>
      <c r="D18" s="56">
        <f>'Krankenquote Objekte'!M115</f>
        <v/>
      </c>
    </row>
    <row r="19">
      <c r="A19" s="8" t="inlineStr">
        <is>
          <t>Sep</t>
        </is>
      </c>
      <c r="B19" s="56">
        <f>'Krankenquote Objekte'!N58</f>
        <v/>
      </c>
      <c r="C19" s="56">
        <f>'Krankenquote Objekte'!N112</f>
        <v/>
      </c>
      <c r="D19" s="56">
        <f>'Krankenquote Objekte'!N115</f>
        <v/>
      </c>
    </row>
    <row r="20">
      <c r="A20" s="8" t="inlineStr">
        <is>
          <t>Okt</t>
        </is>
      </c>
      <c r="B20" s="56">
        <f>'Krankenquote Objekte'!O58</f>
        <v/>
      </c>
      <c r="C20" s="56">
        <f>'Krankenquote Objekte'!O112</f>
        <v/>
      </c>
      <c r="D20" s="56">
        <f>'Krankenquote Objekte'!O115</f>
        <v/>
      </c>
    </row>
    <row r="21">
      <c r="A21" s="8" t="inlineStr">
        <is>
          <t>Nov</t>
        </is>
      </c>
      <c r="B21" s="56">
        <f>'Krankenquote Objekte'!P58</f>
        <v/>
      </c>
      <c r="C21" s="56">
        <f>'Krankenquote Objekte'!P112</f>
        <v/>
      </c>
      <c r="D21" s="56">
        <f>'Krankenquote Objekte'!P115</f>
        <v/>
      </c>
    </row>
    <row r="22">
      <c r="A22" s="8" t="inlineStr">
        <is>
          <t>Dez</t>
        </is>
      </c>
      <c r="B22" s="56">
        <f>'Krankenquote Objekte'!Q58</f>
        <v/>
      </c>
      <c r="C22" s="56">
        <f>'Krankenquote Objekte'!Q112</f>
        <v/>
      </c>
      <c r="D22" s="56">
        <f>'Krankenquote Objekte'!Q115</f>
        <v/>
      </c>
    </row>
  </sheetData>
  <hyperlinks>
    <hyperlink xmlns:r="http://schemas.openxmlformats.org/officeDocument/2006/relationships" ref="H1" r:id="rId1"/>
  </hyperlinks>
  <pageMargins left="0.75" right="0.75" top="1" bottom="1" header="0.5" footer="0.5"/>
  <drawing xmlns:r="http://schemas.openxmlformats.org/officeDocument/2006/relationships" r:id="rId2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137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11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10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10" customWidth="1" min="30" max="30"/>
    <col width="11" customWidth="1" min="31" max="31"/>
    <col width="9" customWidth="1" min="32" max="32"/>
  </cols>
  <sheetData>
    <row r="1">
      <c r="A1" s="1" t="inlineStr">
        <is>
          <t>Stundenauswertung – geleistete Stunden, Krankheitsstunden &amp; stundenbasierte Krankenquote</t>
        </is>
      </c>
      <c r="V1" s="12" t="inlineStr">
        <is>
          <t>→ Erklärung</t>
        </is>
      </c>
    </row>
    <row r="2">
      <c r="A2" s="13" t="inlineStr">
        <is>
          <t>Geleistete Stunden je Monat eintragen (blau/gelb, z. B. aus der Zeiterfassung). Krankstunden = Krankheitstage aus Tab „Krankenquote Objekte“ × Std./Tag. Quote = Krankstunden ÷ (geleistete Std. + Krankstunden).</t>
        </is>
      </c>
    </row>
    <row r="3">
      <c r="B3" s="57" t="inlineStr">
        <is>
          <t>Vollzeit-Wochenstunden</t>
        </is>
      </c>
      <c r="C3" s="58" t="n">
        <v>40</v>
      </c>
    </row>
    <row r="4">
      <c r="E4" s="59" t="inlineStr">
        <is>
          <t>Geleistete Stunden (Eingabe)</t>
        </is>
      </c>
      <c r="R4" s="60" t="inlineStr">
        <is>
          <t>Krankstunden (berechnet)</t>
        </is>
      </c>
    </row>
    <row r="5" ht="30" customHeight="1">
      <c r="A5" s="17" t="inlineStr">
        <is>
          <t>Pers.-Nr.</t>
        </is>
      </c>
      <c r="B5" s="17" t="inlineStr">
        <is>
          <t>Name</t>
        </is>
      </c>
      <c r="C5" s="17" t="inlineStr">
        <is>
          <t>Objekt</t>
        </is>
      </c>
      <c r="D5" s="17" t="inlineStr">
        <is>
          <t>Std./
Tag</t>
        </is>
      </c>
      <c r="E5" s="17" t="inlineStr">
        <is>
          <t>Jan</t>
        </is>
      </c>
      <c r="F5" s="17" t="inlineStr">
        <is>
          <t>Feb</t>
        </is>
      </c>
      <c r="G5" s="17" t="inlineStr">
        <is>
          <t>Mär</t>
        </is>
      </c>
      <c r="H5" s="17" t="inlineStr">
        <is>
          <t>Apr</t>
        </is>
      </c>
      <c r="I5" s="17" t="inlineStr">
        <is>
          <t>Mai</t>
        </is>
      </c>
      <c r="J5" s="17" t="inlineStr">
        <is>
          <t>Jun</t>
        </is>
      </c>
      <c r="K5" s="17" t="inlineStr">
        <is>
          <t>Jul</t>
        </is>
      </c>
      <c r="L5" s="17" t="inlineStr">
        <is>
          <t>Aug</t>
        </is>
      </c>
      <c r="M5" s="17" t="inlineStr">
        <is>
          <t>Sep</t>
        </is>
      </c>
      <c r="N5" s="17" t="inlineStr">
        <is>
          <t>Okt</t>
        </is>
      </c>
      <c r="O5" s="17" t="inlineStr">
        <is>
          <t>Nov</t>
        </is>
      </c>
      <c r="P5" s="17" t="inlineStr">
        <is>
          <t>Dez</t>
        </is>
      </c>
      <c r="Q5" s="17" t="inlineStr">
        <is>
          <t>Geleistet
gesamt</t>
        </is>
      </c>
      <c r="R5" s="17" t="inlineStr">
        <is>
          <t>Jan</t>
        </is>
      </c>
      <c r="S5" s="17" t="inlineStr">
        <is>
          <t>Feb</t>
        </is>
      </c>
      <c r="T5" s="17" t="inlineStr">
        <is>
          <t>Mär</t>
        </is>
      </c>
      <c r="U5" s="17" t="inlineStr">
        <is>
          <t>Apr</t>
        </is>
      </c>
      <c r="V5" s="17" t="inlineStr">
        <is>
          <t>Mai</t>
        </is>
      </c>
      <c r="W5" s="17" t="inlineStr">
        <is>
          <t>Jun</t>
        </is>
      </c>
      <c r="X5" s="17" t="inlineStr">
        <is>
          <t>Jul</t>
        </is>
      </c>
      <c r="Y5" s="17" t="inlineStr">
        <is>
          <t>Aug</t>
        </is>
      </c>
      <c r="Z5" s="17" t="inlineStr">
        <is>
          <t>Sep</t>
        </is>
      </c>
      <c r="AA5" s="17" t="inlineStr">
        <is>
          <t>Okt</t>
        </is>
      </c>
      <c r="AB5" s="17" t="inlineStr">
        <is>
          <t>Nov</t>
        </is>
      </c>
      <c r="AC5" s="17" t="inlineStr">
        <is>
          <t>Dez</t>
        </is>
      </c>
      <c r="AD5" s="17" t="inlineStr">
        <is>
          <t>Krankstd.
gesamt</t>
        </is>
      </c>
      <c r="AE5" s="17" t="inlineStr">
        <is>
          <t>Kranken-
quote (Std.)</t>
        </is>
      </c>
      <c r="AF5" s="17" t="inlineStr">
        <is>
          <t>Ausfall
VZ-Tage</t>
        </is>
      </c>
    </row>
    <row r="6">
      <c r="A6" s="18" t="inlineStr">
        <is>
          <t>Objekt:</t>
        </is>
      </c>
      <c r="B6" s="61">
        <f>'Krankenquote Objekte'!B6</f>
        <v/>
      </c>
      <c r="C6" s="20" t="n"/>
      <c r="D6" s="20" t="n"/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  <c r="AE6" s="20" t="n"/>
      <c r="AF6" s="20" t="n"/>
    </row>
    <row r="7">
      <c r="A7" s="42">
        <f>IF('Krankenquote Objekte'!B7="","",'Krankenquote Objekte'!A7)</f>
        <v/>
      </c>
      <c r="B7" s="43">
        <f>IF('Krankenquote Objekte'!B7="","",'Krankenquote Objekte'!B7)</f>
        <v/>
      </c>
      <c r="C7" s="7">
        <f>IF('Krankenquote Objekte'!B7="","",'Krankenquote Objekte'!C7)</f>
        <v/>
      </c>
      <c r="D7" s="62">
        <f>$C$3/5*'Krankenquote Objekte'!D7</f>
        <v/>
      </c>
      <c r="E7" s="63" t="n">
        <v>169.5</v>
      </c>
      <c r="F7" s="63" t="n">
        <v>158.5</v>
      </c>
      <c r="G7" s="63" t="n">
        <v>161.5</v>
      </c>
      <c r="H7" s="63" t="n">
        <v>136</v>
      </c>
      <c r="I7" s="63" t="n">
        <v>126.5</v>
      </c>
      <c r="J7" s="63" t="n">
        <v>168</v>
      </c>
      <c r="K7" s="63" t="n">
        <v>184</v>
      </c>
      <c r="L7" s="63" t="n">
        <v>152</v>
      </c>
      <c r="M7" s="63" t="n">
        <v>153.5</v>
      </c>
      <c r="N7" s="63" t="n">
        <v>171</v>
      </c>
      <c r="O7" s="63" t="n">
        <v>147</v>
      </c>
      <c r="P7" s="63" t="n">
        <v>139</v>
      </c>
      <c r="Q7" s="50">
        <f>SUM(E7:P7)</f>
        <v/>
      </c>
      <c r="R7" s="24">
        <f>'Krankenquote Objekte'!F7*$D7</f>
        <v/>
      </c>
      <c r="S7" s="24">
        <f>'Krankenquote Objekte'!G7*$D7</f>
        <v/>
      </c>
      <c r="T7" s="24">
        <f>'Krankenquote Objekte'!H7*$D7</f>
        <v/>
      </c>
      <c r="U7" s="24">
        <f>'Krankenquote Objekte'!I7*$D7</f>
        <v/>
      </c>
      <c r="V7" s="24">
        <f>'Krankenquote Objekte'!J7*$D7</f>
        <v/>
      </c>
      <c r="W7" s="24">
        <f>'Krankenquote Objekte'!K7*$D7</f>
        <v/>
      </c>
      <c r="X7" s="24">
        <f>'Krankenquote Objekte'!L7*$D7</f>
        <v/>
      </c>
      <c r="Y7" s="24">
        <f>'Krankenquote Objekte'!M7*$D7</f>
        <v/>
      </c>
      <c r="Z7" s="24">
        <f>'Krankenquote Objekte'!N7*$D7</f>
        <v/>
      </c>
      <c r="AA7" s="24">
        <f>'Krankenquote Objekte'!O7*$D7</f>
        <v/>
      </c>
      <c r="AB7" s="24">
        <f>'Krankenquote Objekte'!P7*$D7</f>
        <v/>
      </c>
      <c r="AC7" s="24">
        <f>'Krankenquote Objekte'!Q7*$D7</f>
        <v/>
      </c>
      <c r="AD7" s="50">
        <f>SUM(R7:AC7)</f>
        <v/>
      </c>
      <c r="AE7" s="26">
        <f>IF(Q7+AD7&gt;0,AD7/(Q7+AD7),0)</f>
        <v/>
      </c>
      <c r="AF7" s="24">
        <f>IF($C$3&gt;0,AD7/($C$3/5),0)</f>
        <v/>
      </c>
    </row>
    <row r="8">
      <c r="A8" s="42">
        <f>IF('Krankenquote Objekte'!B8="","",'Krankenquote Objekte'!A8)</f>
        <v/>
      </c>
      <c r="B8" s="43">
        <f>IF('Krankenquote Objekte'!B8="","",'Krankenquote Objekte'!B8)</f>
        <v/>
      </c>
      <c r="C8" s="7">
        <f>IF('Krankenquote Objekte'!B8="","",'Krankenquote Objekte'!C8)</f>
        <v/>
      </c>
      <c r="D8" s="62">
        <f>$C$3/5*'Krankenquote Objekte'!D8</f>
        <v/>
      </c>
      <c r="E8" s="63" t="n">
        <v>169.5</v>
      </c>
      <c r="F8" s="63" t="n">
        <v>158.5</v>
      </c>
      <c r="G8" s="63" t="n">
        <v>176</v>
      </c>
      <c r="H8" s="63" t="n">
        <v>136</v>
      </c>
      <c r="I8" s="63" t="n">
        <v>102.5</v>
      </c>
      <c r="J8" s="63" t="n">
        <v>145.5</v>
      </c>
      <c r="K8" s="63" t="n">
        <v>185.5</v>
      </c>
      <c r="L8" s="63" t="n">
        <v>153.5</v>
      </c>
      <c r="M8" s="63" t="n">
        <v>152</v>
      </c>
      <c r="N8" s="63" t="n">
        <v>168</v>
      </c>
      <c r="O8" s="63" t="n">
        <v>155</v>
      </c>
      <c r="P8" s="63" t="n">
        <v>160</v>
      </c>
      <c r="Q8" s="50">
        <f>SUM(E8:P8)</f>
        <v/>
      </c>
      <c r="R8" s="24">
        <f>'Krankenquote Objekte'!F8*$D8</f>
        <v/>
      </c>
      <c r="S8" s="24">
        <f>'Krankenquote Objekte'!G8*$D8</f>
        <v/>
      </c>
      <c r="T8" s="24">
        <f>'Krankenquote Objekte'!H8*$D8</f>
        <v/>
      </c>
      <c r="U8" s="24">
        <f>'Krankenquote Objekte'!I8*$D8</f>
        <v/>
      </c>
      <c r="V8" s="24">
        <f>'Krankenquote Objekte'!J8*$D8</f>
        <v/>
      </c>
      <c r="W8" s="24">
        <f>'Krankenquote Objekte'!K8*$D8</f>
        <v/>
      </c>
      <c r="X8" s="24">
        <f>'Krankenquote Objekte'!L8*$D8</f>
        <v/>
      </c>
      <c r="Y8" s="24">
        <f>'Krankenquote Objekte'!M8*$D8</f>
        <v/>
      </c>
      <c r="Z8" s="24">
        <f>'Krankenquote Objekte'!N8*$D8</f>
        <v/>
      </c>
      <c r="AA8" s="24">
        <f>'Krankenquote Objekte'!O8*$D8</f>
        <v/>
      </c>
      <c r="AB8" s="24">
        <f>'Krankenquote Objekte'!P8*$D8</f>
        <v/>
      </c>
      <c r="AC8" s="24">
        <f>'Krankenquote Objekte'!Q8*$D8</f>
        <v/>
      </c>
      <c r="AD8" s="50">
        <f>SUM(R8:AC8)</f>
        <v/>
      </c>
      <c r="AE8" s="26">
        <f>IF(Q8+AD8&gt;0,AD8/(Q8+AD8),0)</f>
        <v/>
      </c>
      <c r="AF8" s="24">
        <f>IF($C$3&gt;0,AD8/($C$3/5),0)</f>
        <v/>
      </c>
    </row>
    <row r="9">
      <c r="A9" s="42">
        <f>IF('Krankenquote Objekte'!B9="","",'Krankenquote Objekte'!A9)</f>
        <v/>
      </c>
      <c r="B9" s="43">
        <f>IF('Krankenquote Objekte'!B9="","",'Krankenquote Objekte'!B9)</f>
        <v/>
      </c>
      <c r="C9" s="7">
        <f>IF('Krankenquote Objekte'!B9="","",'Krankenquote Objekte'!C9)</f>
        <v/>
      </c>
      <c r="D9" s="62">
        <f>$C$3/5*'Krankenquote Objekte'!D9</f>
        <v/>
      </c>
      <c r="E9" s="63" t="n">
        <v>168</v>
      </c>
      <c r="F9" s="63" t="n">
        <v>161.5</v>
      </c>
      <c r="G9" s="63" t="n">
        <v>179</v>
      </c>
      <c r="H9" s="63" t="n">
        <v>161.5</v>
      </c>
      <c r="I9" s="63" t="n">
        <v>147</v>
      </c>
      <c r="J9" s="63" t="n">
        <v>168</v>
      </c>
      <c r="K9" s="63" t="n">
        <v>184</v>
      </c>
      <c r="L9" s="63" t="n">
        <v>168</v>
      </c>
      <c r="M9" s="63" t="n">
        <v>176</v>
      </c>
      <c r="N9" s="63" t="n">
        <v>163</v>
      </c>
      <c r="O9" s="63" t="n">
        <v>128</v>
      </c>
      <c r="P9" s="63" t="n">
        <v>144</v>
      </c>
      <c r="Q9" s="50">
        <f>SUM(E9:P9)</f>
        <v/>
      </c>
      <c r="R9" s="24">
        <f>'Krankenquote Objekte'!F9*$D9</f>
        <v/>
      </c>
      <c r="S9" s="24">
        <f>'Krankenquote Objekte'!G9*$D9</f>
        <v/>
      </c>
      <c r="T9" s="24">
        <f>'Krankenquote Objekte'!H9*$D9</f>
        <v/>
      </c>
      <c r="U9" s="24">
        <f>'Krankenquote Objekte'!I9*$D9</f>
        <v/>
      </c>
      <c r="V9" s="24">
        <f>'Krankenquote Objekte'!J9*$D9</f>
        <v/>
      </c>
      <c r="W9" s="24">
        <f>'Krankenquote Objekte'!K9*$D9</f>
        <v/>
      </c>
      <c r="X9" s="24">
        <f>'Krankenquote Objekte'!L9*$D9</f>
        <v/>
      </c>
      <c r="Y9" s="24">
        <f>'Krankenquote Objekte'!M9*$D9</f>
        <v/>
      </c>
      <c r="Z9" s="24">
        <f>'Krankenquote Objekte'!N9*$D9</f>
        <v/>
      </c>
      <c r="AA9" s="24">
        <f>'Krankenquote Objekte'!O9*$D9</f>
        <v/>
      </c>
      <c r="AB9" s="24">
        <f>'Krankenquote Objekte'!P9*$D9</f>
        <v/>
      </c>
      <c r="AC9" s="24">
        <f>'Krankenquote Objekte'!Q9*$D9</f>
        <v/>
      </c>
      <c r="AD9" s="50">
        <f>SUM(R9:AC9)</f>
        <v/>
      </c>
      <c r="AE9" s="26">
        <f>IF(Q9+AD9&gt;0,AD9/(Q9+AD9),0)</f>
        <v/>
      </c>
      <c r="AF9" s="24">
        <f>IF($C$3&gt;0,AD9/($C$3/5),0)</f>
        <v/>
      </c>
    </row>
    <row r="10">
      <c r="A10" s="42">
        <f>IF('Krankenquote Objekte'!B10="","",'Krankenquote Objekte'!A10)</f>
        <v/>
      </c>
      <c r="B10" s="43">
        <f>IF('Krankenquote Objekte'!B10="","",'Krankenquote Objekte'!B10)</f>
        <v/>
      </c>
      <c r="C10" s="7">
        <f>IF('Krankenquote Objekte'!B10="","",'Krankenquote Objekte'!C10)</f>
        <v/>
      </c>
      <c r="D10" s="62">
        <f>$C$3/5*'Krankenquote Objekte'!D10</f>
        <v/>
      </c>
      <c r="E10" s="63" t="n">
        <v>168</v>
      </c>
      <c r="F10" s="63" t="n">
        <v>137.5</v>
      </c>
      <c r="G10" s="63" t="n">
        <v>168</v>
      </c>
      <c r="H10" s="63" t="n">
        <v>160</v>
      </c>
      <c r="I10" s="63" t="n">
        <v>136</v>
      </c>
      <c r="J10" s="63" t="n">
        <v>168</v>
      </c>
      <c r="K10" s="63" t="n">
        <v>187</v>
      </c>
      <c r="L10" s="63" t="n">
        <v>129.5</v>
      </c>
      <c r="M10" s="63" t="n">
        <v>176</v>
      </c>
      <c r="N10" s="63" t="n">
        <v>131</v>
      </c>
      <c r="O10" s="63" t="n">
        <v>160</v>
      </c>
      <c r="P10" s="63" t="n">
        <v>139</v>
      </c>
      <c r="Q10" s="50">
        <f>SUM(E10:P10)</f>
        <v/>
      </c>
      <c r="R10" s="24">
        <f>'Krankenquote Objekte'!F10*$D10</f>
        <v/>
      </c>
      <c r="S10" s="24">
        <f>'Krankenquote Objekte'!G10*$D10</f>
        <v/>
      </c>
      <c r="T10" s="24">
        <f>'Krankenquote Objekte'!H10*$D10</f>
        <v/>
      </c>
      <c r="U10" s="24">
        <f>'Krankenquote Objekte'!I10*$D10</f>
        <v/>
      </c>
      <c r="V10" s="24">
        <f>'Krankenquote Objekte'!J10*$D10</f>
        <v/>
      </c>
      <c r="W10" s="24">
        <f>'Krankenquote Objekte'!K10*$D10</f>
        <v/>
      </c>
      <c r="X10" s="24">
        <f>'Krankenquote Objekte'!L10*$D10</f>
        <v/>
      </c>
      <c r="Y10" s="24">
        <f>'Krankenquote Objekte'!M10*$D10</f>
        <v/>
      </c>
      <c r="Z10" s="24">
        <f>'Krankenquote Objekte'!N10*$D10</f>
        <v/>
      </c>
      <c r="AA10" s="24">
        <f>'Krankenquote Objekte'!O10*$D10</f>
        <v/>
      </c>
      <c r="AB10" s="24">
        <f>'Krankenquote Objekte'!P10*$D10</f>
        <v/>
      </c>
      <c r="AC10" s="24">
        <f>'Krankenquote Objekte'!Q10*$D10</f>
        <v/>
      </c>
      <c r="AD10" s="50">
        <f>SUM(R10:AC10)</f>
        <v/>
      </c>
      <c r="AE10" s="26">
        <f>IF(Q10+AD10&gt;0,AD10/(Q10+AD10),0)</f>
        <v/>
      </c>
      <c r="AF10" s="24">
        <f>IF($C$3&gt;0,AD10/($C$3/5),0)</f>
        <v/>
      </c>
    </row>
    <row r="11">
      <c r="A11" s="42">
        <f>IF('Krankenquote Objekte'!B11="","",'Krankenquote Objekte'!A11)</f>
        <v/>
      </c>
      <c r="B11" s="43">
        <f>IF('Krankenquote Objekte'!B11="","",'Krankenquote Objekte'!B11)</f>
        <v/>
      </c>
      <c r="C11" s="7">
        <f>IF('Krankenquote Objekte'!B11="","",'Krankenquote Objekte'!C11)</f>
        <v/>
      </c>
      <c r="D11" s="62">
        <f>$C$3/5*'Krankenquote Objekte'!D11</f>
        <v/>
      </c>
      <c r="E11" s="63" t="n">
        <v>171</v>
      </c>
      <c r="F11" s="63" t="n">
        <v>161.5</v>
      </c>
      <c r="G11" s="63" t="n">
        <v>179</v>
      </c>
      <c r="H11" s="63" t="n">
        <v>155</v>
      </c>
      <c r="I11" s="63" t="n">
        <v>134.5</v>
      </c>
      <c r="J11" s="63" t="n">
        <v>166.5</v>
      </c>
      <c r="K11" s="63" t="n">
        <v>185.5</v>
      </c>
      <c r="L11" s="63" t="n">
        <v>169.5</v>
      </c>
      <c r="M11" s="63" t="n">
        <v>177.5</v>
      </c>
      <c r="N11" s="63" t="n">
        <v>168</v>
      </c>
      <c r="O11" s="63" t="n">
        <v>168</v>
      </c>
      <c r="P11" s="63" t="n">
        <v>163</v>
      </c>
      <c r="Q11" s="50">
        <f>SUM(E11:P11)</f>
        <v/>
      </c>
      <c r="R11" s="24">
        <f>'Krankenquote Objekte'!F11*$D11</f>
        <v/>
      </c>
      <c r="S11" s="24">
        <f>'Krankenquote Objekte'!G11*$D11</f>
        <v/>
      </c>
      <c r="T11" s="24">
        <f>'Krankenquote Objekte'!H11*$D11</f>
        <v/>
      </c>
      <c r="U11" s="24">
        <f>'Krankenquote Objekte'!I11*$D11</f>
        <v/>
      </c>
      <c r="V11" s="24">
        <f>'Krankenquote Objekte'!J11*$D11</f>
        <v/>
      </c>
      <c r="W11" s="24">
        <f>'Krankenquote Objekte'!K11*$D11</f>
        <v/>
      </c>
      <c r="X11" s="24">
        <f>'Krankenquote Objekte'!L11*$D11</f>
        <v/>
      </c>
      <c r="Y11" s="24">
        <f>'Krankenquote Objekte'!M11*$D11</f>
        <v/>
      </c>
      <c r="Z11" s="24">
        <f>'Krankenquote Objekte'!N11*$D11</f>
        <v/>
      </c>
      <c r="AA11" s="24">
        <f>'Krankenquote Objekte'!O11*$D11</f>
        <v/>
      </c>
      <c r="AB11" s="24">
        <f>'Krankenquote Objekte'!P11*$D11</f>
        <v/>
      </c>
      <c r="AC11" s="24">
        <f>'Krankenquote Objekte'!Q11*$D11</f>
        <v/>
      </c>
      <c r="AD11" s="50">
        <f>SUM(R11:AC11)</f>
        <v/>
      </c>
      <c r="AE11" s="26">
        <f>IF(Q11+AD11&gt;0,AD11/(Q11+AD11),0)</f>
        <v/>
      </c>
      <c r="AF11" s="24">
        <f>IF($C$3&gt;0,AD11/($C$3/5),0)</f>
        <v/>
      </c>
    </row>
    <row r="12">
      <c r="A12" s="42">
        <f>IF('Krankenquote Objekte'!B12="","",'Krankenquote Objekte'!A12)</f>
        <v/>
      </c>
      <c r="B12" s="43">
        <f>IF('Krankenquote Objekte'!B12="","",'Krankenquote Objekte'!B12)</f>
        <v/>
      </c>
      <c r="C12" s="7">
        <f>IF('Krankenquote Objekte'!B12="","",'Krankenquote Objekte'!C12)</f>
        <v/>
      </c>
      <c r="D12" s="62">
        <f>$C$3/5*'Krankenquote Objekte'!D12</f>
        <v/>
      </c>
      <c r="E12" s="63" t="n">
        <v>166.5</v>
      </c>
      <c r="F12" s="63" t="n">
        <v>136</v>
      </c>
      <c r="G12" s="63" t="n">
        <v>177.5</v>
      </c>
      <c r="H12" s="63" t="n">
        <v>160</v>
      </c>
      <c r="I12" s="63" t="n">
        <v>118.5</v>
      </c>
      <c r="J12" s="63" t="n">
        <v>168</v>
      </c>
      <c r="K12" s="63" t="n">
        <v>171</v>
      </c>
      <c r="L12" s="63" t="n">
        <v>128</v>
      </c>
      <c r="M12" s="63" t="n">
        <v>176</v>
      </c>
      <c r="N12" s="63" t="n">
        <v>129.5</v>
      </c>
      <c r="O12" s="63" t="n">
        <v>168</v>
      </c>
      <c r="P12" s="63" t="n">
        <v>163</v>
      </c>
      <c r="Q12" s="50">
        <f>SUM(E12:P12)</f>
        <v/>
      </c>
      <c r="R12" s="24">
        <f>'Krankenquote Objekte'!F12*$D12</f>
        <v/>
      </c>
      <c r="S12" s="24">
        <f>'Krankenquote Objekte'!G12*$D12</f>
        <v/>
      </c>
      <c r="T12" s="24">
        <f>'Krankenquote Objekte'!H12*$D12</f>
        <v/>
      </c>
      <c r="U12" s="24">
        <f>'Krankenquote Objekte'!I12*$D12</f>
        <v/>
      </c>
      <c r="V12" s="24">
        <f>'Krankenquote Objekte'!J12*$D12</f>
        <v/>
      </c>
      <c r="W12" s="24">
        <f>'Krankenquote Objekte'!K12*$D12</f>
        <v/>
      </c>
      <c r="X12" s="24">
        <f>'Krankenquote Objekte'!L12*$D12</f>
        <v/>
      </c>
      <c r="Y12" s="24">
        <f>'Krankenquote Objekte'!M12*$D12</f>
        <v/>
      </c>
      <c r="Z12" s="24">
        <f>'Krankenquote Objekte'!N12*$D12</f>
        <v/>
      </c>
      <c r="AA12" s="24">
        <f>'Krankenquote Objekte'!O12*$D12</f>
        <v/>
      </c>
      <c r="AB12" s="24">
        <f>'Krankenquote Objekte'!P12*$D12</f>
        <v/>
      </c>
      <c r="AC12" s="24">
        <f>'Krankenquote Objekte'!Q12*$D12</f>
        <v/>
      </c>
      <c r="AD12" s="50">
        <f>SUM(R12:AC12)</f>
        <v/>
      </c>
      <c r="AE12" s="26">
        <f>IF(Q12+AD12&gt;0,AD12/(Q12+AD12),0)</f>
        <v/>
      </c>
      <c r="AF12" s="24">
        <f>IF($C$3&gt;0,AD12/($C$3/5),0)</f>
        <v/>
      </c>
    </row>
    <row r="13">
      <c r="A13" s="42">
        <f>IF('Krankenquote Objekte'!B13="","",'Krankenquote Objekte'!A13)</f>
        <v/>
      </c>
      <c r="B13" s="43">
        <f>IF('Krankenquote Objekte'!B13="","",'Krankenquote Objekte'!B13)</f>
        <v/>
      </c>
      <c r="C13" s="7">
        <f>IF('Krankenquote Objekte'!B13="","",'Krankenquote Objekte'!C13)</f>
        <v/>
      </c>
      <c r="D13" s="62">
        <f>$C$3/5*'Krankenquote Objekte'!D13</f>
        <v/>
      </c>
      <c r="E13" s="63" t="n">
        <v>85.5</v>
      </c>
      <c r="F13" s="63" t="n">
        <v>78.5</v>
      </c>
      <c r="G13" s="63" t="n">
        <v>87</v>
      </c>
      <c r="H13" s="63" t="n">
        <v>83</v>
      </c>
      <c r="I13" s="63" t="n">
        <v>72</v>
      </c>
      <c r="J13" s="63" t="n">
        <v>84</v>
      </c>
      <c r="K13" s="63" t="n">
        <v>93.5</v>
      </c>
      <c r="L13" s="63" t="n">
        <v>85.5</v>
      </c>
      <c r="M13" s="63" t="n">
        <v>77.5</v>
      </c>
      <c r="N13" s="63" t="n">
        <v>65.5</v>
      </c>
      <c r="O13" s="63" t="n">
        <v>87</v>
      </c>
      <c r="P13" s="63" t="n">
        <v>79</v>
      </c>
      <c r="Q13" s="50">
        <f>SUM(E13:P13)</f>
        <v/>
      </c>
      <c r="R13" s="24">
        <f>'Krankenquote Objekte'!F13*$D13</f>
        <v/>
      </c>
      <c r="S13" s="24">
        <f>'Krankenquote Objekte'!G13*$D13</f>
        <v/>
      </c>
      <c r="T13" s="24">
        <f>'Krankenquote Objekte'!H13*$D13</f>
        <v/>
      </c>
      <c r="U13" s="24">
        <f>'Krankenquote Objekte'!I13*$D13</f>
        <v/>
      </c>
      <c r="V13" s="24">
        <f>'Krankenquote Objekte'!J13*$D13</f>
        <v/>
      </c>
      <c r="W13" s="24">
        <f>'Krankenquote Objekte'!K13*$D13</f>
        <v/>
      </c>
      <c r="X13" s="24">
        <f>'Krankenquote Objekte'!L13*$D13</f>
        <v/>
      </c>
      <c r="Y13" s="24">
        <f>'Krankenquote Objekte'!M13*$D13</f>
        <v/>
      </c>
      <c r="Z13" s="24">
        <f>'Krankenquote Objekte'!N13*$D13</f>
        <v/>
      </c>
      <c r="AA13" s="24">
        <f>'Krankenquote Objekte'!O13*$D13</f>
        <v/>
      </c>
      <c r="AB13" s="24">
        <f>'Krankenquote Objekte'!P13*$D13</f>
        <v/>
      </c>
      <c r="AC13" s="24">
        <f>'Krankenquote Objekte'!Q13*$D13</f>
        <v/>
      </c>
      <c r="AD13" s="50">
        <f>SUM(R13:AC13)</f>
        <v/>
      </c>
      <c r="AE13" s="26">
        <f>IF(Q13+AD13&gt;0,AD13/(Q13+AD13),0)</f>
        <v/>
      </c>
      <c r="AF13" s="24">
        <f>IF($C$3&gt;0,AD13/($C$3/5),0)</f>
        <v/>
      </c>
    </row>
    <row r="14">
      <c r="A14" s="42">
        <f>IF('Krankenquote Objekte'!B14="","",'Krankenquote Objekte'!A14)</f>
        <v/>
      </c>
      <c r="B14" s="43">
        <f>IF('Krankenquote Objekte'!B14="","",'Krankenquote Objekte'!B14)</f>
        <v/>
      </c>
      <c r="C14" s="7">
        <f>IF('Krankenquote Objekte'!B14="","",'Krankenquote Objekte'!C14)</f>
        <v/>
      </c>
      <c r="D14" s="62">
        <f>$C$3/5*'Krankenquote Objekte'!D14</f>
        <v/>
      </c>
      <c r="E14" s="63" t="n">
        <v>160</v>
      </c>
      <c r="F14" s="63" t="n">
        <v>158.5</v>
      </c>
      <c r="G14" s="63" t="n">
        <v>179</v>
      </c>
      <c r="H14" s="63" t="n">
        <v>158.5</v>
      </c>
      <c r="I14" s="63" t="n">
        <v>144</v>
      </c>
      <c r="J14" s="63" t="n">
        <v>168</v>
      </c>
      <c r="K14" s="63" t="n">
        <v>168</v>
      </c>
      <c r="L14" s="63" t="n">
        <v>152</v>
      </c>
      <c r="M14" s="63" t="n">
        <v>160</v>
      </c>
      <c r="N14" s="63" t="n">
        <v>128</v>
      </c>
      <c r="O14" s="63" t="n">
        <v>168</v>
      </c>
      <c r="P14" s="63" t="n">
        <v>163</v>
      </c>
      <c r="Q14" s="50">
        <f>SUM(E14:P14)</f>
        <v/>
      </c>
      <c r="R14" s="24">
        <f>'Krankenquote Objekte'!F14*$D14</f>
        <v/>
      </c>
      <c r="S14" s="24">
        <f>'Krankenquote Objekte'!G14*$D14</f>
        <v/>
      </c>
      <c r="T14" s="24">
        <f>'Krankenquote Objekte'!H14*$D14</f>
        <v/>
      </c>
      <c r="U14" s="24">
        <f>'Krankenquote Objekte'!I14*$D14</f>
        <v/>
      </c>
      <c r="V14" s="24">
        <f>'Krankenquote Objekte'!J14*$D14</f>
        <v/>
      </c>
      <c r="W14" s="24">
        <f>'Krankenquote Objekte'!K14*$D14</f>
        <v/>
      </c>
      <c r="X14" s="24">
        <f>'Krankenquote Objekte'!L14*$D14</f>
        <v/>
      </c>
      <c r="Y14" s="24">
        <f>'Krankenquote Objekte'!M14*$D14</f>
        <v/>
      </c>
      <c r="Z14" s="24">
        <f>'Krankenquote Objekte'!N14*$D14</f>
        <v/>
      </c>
      <c r="AA14" s="24">
        <f>'Krankenquote Objekte'!O14*$D14</f>
        <v/>
      </c>
      <c r="AB14" s="24">
        <f>'Krankenquote Objekte'!P14*$D14</f>
        <v/>
      </c>
      <c r="AC14" s="24">
        <f>'Krankenquote Objekte'!Q14*$D14</f>
        <v/>
      </c>
      <c r="AD14" s="50">
        <f>SUM(R14:AC14)</f>
        <v/>
      </c>
      <c r="AE14" s="26">
        <f>IF(Q14+AD14&gt;0,AD14/(Q14+AD14),0)</f>
        <v/>
      </c>
      <c r="AF14" s="24">
        <f>IF($C$3&gt;0,AD14/($C$3/5),0)</f>
        <v/>
      </c>
    </row>
    <row r="15">
      <c r="A15" s="42">
        <f>IF('Krankenquote Objekte'!B15="","",'Krankenquote Objekte'!A15)</f>
        <v/>
      </c>
      <c r="B15" s="43">
        <f>IF('Krankenquote Objekte'!B15="","",'Krankenquote Objekte'!B15)</f>
        <v/>
      </c>
      <c r="C15" s="7">
        <f>IF('Krankenquote Objekte'!B15="","",'Krankenquote Objekte'!C15)</f>
        <v/>
      </c>
      <c r="D15" s="62">
        <f>$C$3/5*'Krankenquote Objekte'!D15</f>
        <v/>
      </c>
      <c r="E15" s="63" t="n">
        <v>152</v>
      </c>
      <c r="F15" s="63" t="n">
        <v>144</v>
      </c>
      <c r="G15" s="63" t="n">
        <v>174.5</v>
      </c>
      <c r="H15" s="63" t="n">
        <v>160</v>
      </c>
      <c r="I15" s="63" t="n">
        <v>142.5</v>
      </c>
      <c r="J15" s="63" t="n">
        <v>168</v>
      </c>
      <c r="K15" s="63" t="n">
        <v>179</v>
      </c>
      <c r="L15" s="63" t="n">
        <v>169.5</v>
      </c>
      <c r="M15" s="63" t="n">
        <v>174.5</v>
      </c>
      <c r="N15" s="63" t="n">
        <v>168</v>
      </c>
      <c r="O15" s="63" t="n">
        <v>171</v>
      </c>
      <c r="P15" s="63" t="n">
        <v>160</v>
      </c>
      <c r="Q15" s="50">
        <f>SUM(E15:P15)</f>
        <v/>
      </c>
      <c r="R15" s="24">
        <f>'Krankenquote Objekte'!F15*$D15</f>
        <v/>
      </c>
      <c r="S15" s="24">
        <f>'Krankenquote Objekte'!G15*$D15</f>
        <v/>
      </c>
      <c r="T15" s="24">
        <f>'Krankenquote Objekte'!H15*$D15</f>
        <v/>
      </c>
      <c r="U15" s="24">
        <f>'Krankenquote Objekte'!I15*$D15</f>
        <v/>
      </c>
      <c r="V15" s="24">
        <f>'Krankenquote Objekte'!J15*$D15</f>
        <v/>
      </c>
      <c r="W15" s="24">
        <f>'Krankenquote Objekte'!K15*$D15</f>
        <v/>
      </c>
      <c r="X15" s="24">
        <f>'Krankenquote Objekte'!L15*$D15</f>
        <v/>
      </c>
      <c r="Y15" s="24">
        <f>'Krankenquote Objekte'!M15*$D15</f>
        <v/>
      </c>
      <c r="Z15" s="24">
        <f>'Krankenquote Objekte'!N15*$D15</f>
        <v/>
      </c>
      <c r="AA15" s="24">
        <f>'Krankenquote Objekte'!O15*$D15</f>
        <v/>
      </c>
      <c r="AB15" s="24">
        <f>'Krankenquote Objekte'!P15*$D15</f>
        <v/>
      </c>
      <c r="AC15" s="24">
        <f>'Krankenquote Objekte'!Q15*$D15</f>
        <v/>
      </c>
      <c r="AD15" s="50">
        <f>SUM(R15:AC15)</f>
        <v/>
      </c>
      <c r="AE15" s="26">
        <f>IF(Q15+AD15&gt;0,AD15/(Q15+AD15),0)</f>
        <v/>
      </c>
      <c r="AF15" s="24">
        <f>IF($C$3&gt;0,AD15/($C$3/5),0)</f>
        <v/>
      </c>
    </row>
    <row r="16">
      <c r="A16" s="42">
        <f>IF('Krankenquote Objekte'!B16="","",'Krankenquote Objekte'!A16)</f>
        <v/>
      </c>
      <c r="B16" s="43">
        <f>IF('Krankenquote Objekte'!B16="","",'Krankenquote Objekte'!B16)</f>
        <v/>
      </c>
      <c r="C16" s="7">
        <f>IF('Krankenquote Objekte'!B16="","",'Krankenquote Objekte'!C16)</f>
        <v/>
      </c>
      <c r="D16" s="62">
        <f>$C$3/5*'Krankenquote Objekte'!D16</f>
        <v/>
      </c>
      <c r="E16" s="63" t="n">
        <v>171</v>
      </c>
      <c r="F16" s="63" t="n">
        <v>160</v>
      </c>
      <c r="G16" s="63" t="n">
        <v>179</v>
      </c>
      <c r="H16" s="63" t="n">
        <v>136</v>
      </c>
      <c r="I16" s="63" t="n">
        <v>121.5</v>
      </c>
      <c r="J16" s="63" t="n">
        <v>160</v>
      </c>
      <c r="K16" s="63" t="n">
        <v>184</v>
      </c>
      <c r="L16" s="63" t="n">
        <v>166.5</v>
      </c>
      <c r="M16" s="63" t="n">
        <v>179</v>
      </c>
      <c r="N16" s="63" t="n">
        <v>171</v>
      </c>
      <c r="O16" s="63" t="n">
        <v>168</v>
      </c>
      <c r="P16" s="63" t="n">
        <v>120</v>
      </c>
      <c r="Q16" s="50">
        <f>SUM(E16:P16)</f>
        <v/>
      </c>
      <c r="R16" s="24">
        <f>'Krankenquote Objekte'!F16*$D16</f>
        <v/>
      </c>
      <c r="S16" s="24">
        <f>'Krankenquote Objekte'!G16*$D16</f>
        <v/>
      </c>
      <c r="T16" s="24">
        <f>'Krankenquote Objekte'!H16*$D16</f>
        <v/>
      </c>
      <c r="U16" s="24">
        <f>'Krankenquote Objekte'!I16*$D16</f>
        <v/>
      </c>
      <c r="V16" s="24">
        <f>'Krankenquote Objekte'!J16*$D16</f>
        <v/>
      </c>
      <c r="W16" s="24">
        <f>'Krankenquote Objekte'!K16*$D16</f>
        <v/>
      </c>
      <c r="X16" s="24">
        <f>'Krankenquote Objekte'!L16*$D16</f>
        <v/>
      </c>
      <c r="Y16" s="24">
        <f>'Krankenquote Objekte'!M16*$D16</f>
        <v/>
      </c>
      <c r="Z16" s="24">
        <f>'Krankenquote Objekte'!N16*$D16</f>
        <v/>
      </c>
      <c r="AA16" s="24">
        <f>'Krankenquote Objekte'!O16*$D16</f>
        <v/>
      </c>
      <c r="AB16" s="24">
        <f>'Krankenquote Objekte'!P16*$D16</f>
        <v/>
      </c>
      <c r="AC16" s="24">
        <f>'Krankenquote Objekte'!Q16*$D16</f>
        <v/>
      </c>
      <c r="AD16" s="50">
        <f>SUM(R16:AC16)</f>
        <v/>
      </c>
      <c r="AE16" s="26">
        <f>IF(Q16+AD16&gt;0,AD16/(Q16+AD16),0)</f>
        <v/>
      </c>
      <c r="AF16" s="24">
        <f>IF($C$3&gt;0,AD16/($C$3/5),0)</f>
        <v/>
      </c>
    </row>
    <row r="17">
      <c r="A17" s="42">
        <f>IF('Krankenquote Objekte'!B17="","",'Krankenquote Objekte'!A17)</f>
        <v/>
      </c>
      <c r="B17" s="43">
        <f>IF('Krankenquote Objekte'!B17="","",'Krankenquote Objekte'!B17)</f>
        <v/>
      </c>
      <c r="C17" s="7">
        <f>IF('Krankenquote Objekte'!B17="","",'Krankenquote Objekte'!C17)</f>
        <v/>
      </c>
      <c r="D17" s="62">
        <f>$C$3/5*'Krankenquote Objekte'!D17</f>
        <v/>
      </c>
      <c r="E17" s="63" t="n">
        <v>87</v>
      </c>
      <c r="F17" s="63" t="n">
        <v>78.5</v>
      </c>
      <c r="G17" s="63" t="n">
        <v>86.5</v>
      </c>
      <c r="H17" s="63" t="n">
        <v>78.5</v>
      </c>
      <c r="I17" s="63" t="n">
        <v>68</v>
      </c>
      <c r="J17" s="63" t="n">
        <v>82.5</v>
      </c>
      <c r="K17" s="63" t="n">
        <v>81.5</v>
      </c>
      <c r="L17" s="63" t="n">
        <v>64</v>
      </c>
      <c r="M17" s="63" t="n">
        <v>88</v>
      </c>
      <c r="N17" s="63" t="n">
        <v>84</v>
      </c>
      <c r="O17" s="63" t="n">
        <v>62.5</v>
      </c>
      <c r="P17" s="63" t="n">
        <v>78.5</v>
      </c>
      <c r="Q17" s="50">
        <f>SUM(E17:P17)</f>
        <v/>
      </c>
      <c r="R17" s="24">
        <f>'Krankenquote Objekte'!F17*$D17</f>
        <v/>
      </c>
      <c r="S17" s="24">
        <f>'Krankenquote Objekte'!G17*$D17</f>
        <v/>
      </c>
      <c r="T17" s="24">
        <f>'Krankenquote Objekte'!H17*$D17</f>
        <v/>
      </c>
      <c r="U17" s="24">
        <f>'Krankenquote Objekte'!I17*$D17</f>
        <v/>
      </c>
      <c r="V17" s="24">
        <f>'Krankenquote Objekte'!J17*$D17</f>
        <v/>
      </c>
      <c r="W17" s="24">
        <f>'Krankenquote Objekte'!K17*$D17</f>
        <v/>
      </c>
      <c r="X17" s="24">
        <f>'Krankenquote Objekte'!L17*$D17</f>
        <v/>
      </c>
      <c r="Y17" s="24">
        <f>'Krankenquote Objekte'!M17*$D17</f>
        <v/>
      </c>
      <c r="Z17" s="24">
        <f>'Krankenquote Objekte'!N17*$D17</f>
        <v/>
      </c>
      <c r="AA17" s="24">
        <f>'Krankenquote Objekte'!O17*$D17</f>
        <v/>
      </c>
      <c r="AB17" s="24">
        <f>'Krankenquote Objekte'!P17*$D17</f>
        <v/>
      </c>
      <c r="AC17" s="24">
        <f>'Krankenquote Objekte'!Q17*$D17</f>
        <v/>
      </c>
      <c r="AD17" s="50">
        <f>SUM(R17:AC17)</f>
        <v/>
      </c>
      <c r="AE17" s="26">
        <f>IF(Q17+AD17&gt;0,AD17/(Q17+AD17),0)</f>
        <v/>
      </c>
      <c r="AF17" s="24">
        <f>IF($C$3&gt;0,AD17/($C$3/5),0)</f>
        <v/>
      </c>
    </row>
    <row r="18">
      <c r="A18" s="42">
        <f>IF('Krankenquote Objekte'!B18="","",'Krankenquote Objekte'!A18)</f>
        <v/>
      </c>
      <c r="B18" s="43">
        <f>IF('Krankenquote Objekte'!B18="","",'Krankenquote Objekte'!B18)</f>
        <v/>
      </c>
      <c r="C18" s="7">
        <f>IF('Krankenquote Objekte'!B18="","",'Krankenquote Objekte'!C18)</f>
        <v/>
      </c>
      <c r="D18" s="62">
        <f>$C$3/5*'Krankenquote Objekte'!D18</f>
        <v/>
      </c>
      <c r="E18" s="63" t="n">
        <v>171</v>
      </c>
      <c r="F18" s="63" t="n">
        <v>160</v>
      </c>
      <c r="G18" s="63" t="n">
        <v>176</v>
      </c>
      <c r="H18" s="63" t="n">
        <v>161.5</v>
      </c>
      <c r="I18" s="63" t="n">
        <v>144</v>
      </c>
      <c r="J18" s="63" t="n">
        <v>171</v>
      </c>
      <c r="K18" s="63" t="n">
        <v>184</v>
      </c>
      <c r="L18" s="63" t="n">
        <v>126.5</v>
      </c>
      <c r="M18" s="63" t="n">
        <v>160</v>
      </c>
      <c r="N18" s="63" t="n">
        <v>152</v>
      </c>
      <c r="O18" s="63" t="n">
        <v>168</v>
      </c>
      <c r="P18" s="63" t="n">
        <v>161.5</v>
      </c>
      <c r="Q18" s="50">
        <f>SUM(E18:P18)</f>
        <v/>
      </c>
      <c r="R18" s="24">
        <f>'Krankenquote Objekte'!F18*$D18</f>
        <v/>
      </c>
      <c r="S18" s="24">
        <f>'Krankenquote Objekte'!G18*$D18</f>
        <v/>
      </c>
      <c r="T18" s="24">
        <f>'Krankenquote Objekte'!H18*$D18</f>
        <v/>
      </c>
      <c r="U18" s="24">
        <f>'Krankenquote Objekte'!I18*$D18</f>
        <v/>
      </c>
      <c r="V18" s="24">
        <f>'Krankenquote Objekte'!J18*$D18</f>
        <v/>
      </c>
      <c r="W18" s="24">
        <f>'Krankenquote Objekte'!K18*$D18</f>
        <v/>
      </c>
      <c r="X18" s="24">
        <f>'Krankenquote Objekte'!L18*$D18</f>
        <v/>
      </c>
      <c r="Y18" s="24">
        <f>'Krankenquote Objekte'!M18*$D18</f>
        <v/>
      </c>
      <c r="Z18" s="24">
        <f>'Krankenquote Objekte'!N18*$D18</f>
        <v/>
      </c>
      <c r="AA18" s="24">
        <f>'Krankenquote Objekte'!O18*$D18</f>
        <v/>
      </c>
      <c r="AB18" s="24">
        <f>'Krankenquote Objekte'!P18*$D18</f>
        <v/>
      </c>
      <c r="AC18" s="24">
        <f>'Krankenquote Objekte'!Q18*$D18</f>
        <v/>
      </c>
      <c r="AD18" s="50">
        <f>SUM(R18:AC18)</f>
        <v/>
      </c>
      <c r="AE18" s="26">
        <f>IF(Q18+AD18&gt;0,AD18/(Q18+AD18),0)</f>
        <v/>
      </c>
      <c r="AF18" s="24">
        <f>IF($C$3&gt;0,AD18/($C$3/5),0)</f>
        <v/>
      </c>
    </row>
    <row r="19">
      <c r="A19" s="42">
        <f>IF('Krankenquote Objekte'!B19="","",'Krankenquote Objekte'!A19)</f>
        <v/>
      </c>
      <c r="B19" s="43">
        <f>IF('Krankenquote Objekte'!B19="","",'Krankenquote Objekte'!B19)</f>
        <v/>
      </c>
      <c r="C19" s="7">
        <f>IF('Krankenquote Objekte'!B19="","",'Krankenquote Objekte'!C19)</f>
        <v/>
      </c>
      <c r="D19" s="62">
        <f>$C$3/5*'Krankenquote Objekte'!D19</f>
        <v/>
      </c>
      <c r="E19" s="63" t="n">
        <v>147</v>
      </c>
      <c r="F19" s="63" t="n">
        <v>163</v>
      </c>
      <c r="G19" s="63" t="n">
        <v>168</v>
      </c>
      <c r="H19" s="63" t="n">
        <v>158.5</v>
      </c>
      <c r="I19" s="63" t="n">
        <v>147</v>
      </c>
      <c r="J19" s="63" t="n">
        <v>155</v>
      </c>
      <c r="K19" s="63" t="n">
        <v>184</v>
      </c>
      <c r="L19" s="63" t="n">
        <v>171</v>
      </c>
      <c r="M19" s="63" t="n">
        <v>176</v>
      </c>
      <c r="N19" s="63" t="n">
        <v>169.5</v>
      </c>
      <c r="O19" s="63" t="n">
        <v>155</v>
      </c>
      <c r="P19" s="63" t="n">
        <v>160</v>
      </c>
      <c r="Q19" s="50">
        <f>SUM(E19:P19)</f>
        <v/>
      </c>
      <c r="R19" s="24">
        <f>'Krankenquote Objekte'!F19*$D19</f>
        <v/>
      </c>
      <c r="S19" s="24">
        <f>'Krankenquote Objekte'!G19*$D19</f>
        <v/>
      </c>
      <c r="T19" s="24">
        <f>'Krankenquote Objekte'!H19*$D19</f>
        <v/>
      </c>
      <c r="U19" s="24">
        <f>'Krankenquote Objekte'!I19*$D19</f>
        <v/>
      </c>
      <c r="V19" s="24">
        <f>'Krankenquote Objekte'!J19*$D19</f>
        <v/>
      </c>
      <c r="W19" s="24">
        <f>'Krankenquote Objekte'!K19*$D19</f>
        <v/>
      </c>
      <c r="X19" s="24">
        <f>'Krankenquote Objekte'!L19*$D19</f>
        <v/>
      </c>
      <c r="Y19" s="24">
        <f>'Krankenquote Objekte'!M19*$D19</f>
        <v/>
      </c>
      <c r="Z19" s="24">
        <f>'Krankenquote Objekte'!N19*$D19</f>
        <v/>
      </c>
      <c r="AA19" s="24">
        <f>'Krankenquote Objekte'!O19*$D19</f>
        <v/>
      </c>
      <c r="AB19" s="24">
        <f>'Krankenquote Objekte'!P19*$D19</f>
        <v/>
      </c>
      <c r="AC19" s="24">
        <f>'Krankenquote Objekte'!Q19*$D19</f>
        <v/>
      </c>
      <c r="AD19" s="50">
        <f>SUM(R19:AC19)</f>
        <v/>
      </c>
      <c r="AE19" s="26">
        <f>IF(Q19+AD19&gt;0,AD19/(Q19+AD19),0)</f>
        <v/>
      </c>
      <c r="AF19" s="24">
        <f>IF($C$3&gt;0,AD19/($C$3/5),0)</f>
        <v/>
      </c>
    </row>
    <row r="20">
      <c r="A20" s="42">
        <f>IF('Krankenquote Objekte'!B20="","",'Krankenquote Objekte'!A20)</f>
        <v/>
      </c>
      <c r="B20" s="43">
        <f>IF('Krankenquote Objekte'!B20="","",'Krankenquote Objekte'!B20)</f>
        <v/>
      </c>
      <c r="C20" s="7">
        <f>IF('Krankenquote Objekte'!B20="","",'Krankenquote Objekte'!C20)</f>
        <v/>
      </c>
      <c r="D20" s="62">
        <f>$C$3/5*'Krankenquote Objekte'!D20</f>
        <v/>
      </c>
      <c r="E20" s="63" t="n">
        <v>114</v>
      </c>
      <c r="F20" s="63" t="n">
        <v>120</v>
      </c>
      <c r="G20" s="63" t="n">
        <v>129</v>
      </c>
      <c r="H20" s="63" t="n">
        <v>117</v>
      </c>
      <c r="I20" s="63" t="n">
        <v>108</v>
      </c>
      <c r="J20" s="63" t="n">
        <v>126</v>
      </c>
      <c r="K20" s="63" t="n">
        <v>138</v>
      </c>
      <c r="L20" s="63" t="n">
        <v>126</v>
      </c>
      <c r="M20" s="63" t="n">
        <v>132</v>
      </c>
      <c r="N20" s="63" t="n">
        <v>129</v>
      </c>
      <c r="O20" s="63" t="n">
        <v>127.5</v>
      </c>
      <c r="P20" s="63" t="n">
        <v>91.5</v>
      </c>
      <c r="Q20" s="50">
        <f>SUM(E20:P20)</f>
        <v/>
      </c>
      <c r="R20" s="24">
        <f>'Krankenquote Objekte'!F20*$D20</f>
        <v/>
      </c>
      <c r="S20" s="24">
        <f>'Krankenquote Objekte'!G20*$D20</f>
        <v/>
      </c>
      <c r="T20" s="24">
        <f>'Krankenquote Objekte'!H20*$D20</f>
        <v/>
      </c>
      <c r="U20" s="24">
        <f>'Krankenquote Objekte'!I20*$D20</f>
        <v/>
      </c>
      <c r="V20" s="24">
        <f>'Krankenquote Objekte'!J20*$D20</f>
        <v/>
      </c>
      <c r="W20" s="24">
        <f>'Krankenquote Objekte'!K20*$D20</f>
        <v/>
      </c>
      <c r="X20" s="24">
        <f>'Krankenquote Objekte'!L20*$D20</f>
        <v/>
      </c>
      <c r="Y20" s="24">
        <f>'Krankenquote Objekte'!M20*$D20</f>
        <v/>
      </c>
      <c r="Z20" s="24">
        <f>'Krankenquote Objekte'!N20*$D20</f>
        <v/>
      </c>
      <c r="AA20" s="24">
        <f>'Krankenquote Objekte'!O20*$D20</f>
        <v/>
      </c>
      <c r="AB20" s="24">
        <f>'Krankenquote Objekte'!P20*$D20</f>
        <v/>
      </c>
      <c r="AC20" s="24">
        <f>'Krankenquote Objekte'!Q20*$D20</f>
        <v/>
      </c>
      <c r="AD20" s="50">
        <f>SUM(R20:AC20)</f>
        <v/>
      </c>
      <c r="AE20" s="26">
        <f>IF(Q20+AD20&gt;0,AD20/(Q20+AD20),0)</f>
        <v/>
      </c>
      <c r="AF20" s="24">
        <f>IF($C$3&gt;0,AD20/($C$3/5),0)</f>
        <v/>
      </c>
    </row>
    <row r="21">
      <c r="A21" s="42">
        <f>IF('Krankenquote Objekte'!B21="","",'Krankenquote Objekte'!A21)</f>
        <v/>
      </c>
      <c r="B21" s="43">
        <f>IF('Krankenquote Objekte'!B21="","",'Krankenquote Objekte'!B21)</f>
        <v/>
      </c>
      <c r="C21" s="7">
        <f>IF('Krankenquote Objekte'!B21="","",'Krankenquote Objekte'!C21)</f>
        <v/>
      </c>
      <c r="D21" s="62">
        <f>$C$3/5*'Krankenquote Objekte'!D21</f>
        <v/>
      </c>
      <c r="E21" s="63" t="n">
        <v>171</v>
      </c>
      <c r="F21" s="63" t="n">
        <v>121.5</v>
      </c>
      <c r="G21" s="63" t="n">
        <v>176</v>
      </c>
      <c r="H21" s="63" t="n">
        <v>158.5</v>
      </c>
      <c r="I21" s="63" t="n">
        <v>144</v>
      </c>
      <c r="J21" s="63" t="n">
        <v>166.5</v>
      </c>
      <c r="K21" s="63" t="n">
        <v>179</v>
      </c>
      <c r="L21" s="63" t="n">
        <v>128</v>
      </c>
      <c r="M21" s="63" t="n">
        <v>176</v>
      </c>
      <c r="N21" s="63" t="n">
        <v>150.5</v>
      </c>
      <c r="O21" s="63" t="n">
        <v>168</v>
      </c>
      <c r="P21" s="63" t="n">
        <v>160</v>
      </c>
      <c r="Q21" s="50">
        <f>SUM(E21:P21)</f>
        <v/>
      </c>
      <c r="R21" s="24">
        <f>'Krankenquote Objekte'!F21*$D21</f>
        <v/>
      </c>
      <c r="S21" s="24">
        <f>'Krankenquote Objekte'!G21*$D21</f>
        <v/>
      </c>
      <c r="T21" s="24">
        <f>'Krankenquote Objekte'!H21*$D21</f>
        <v/>
      </c>
      <c r="U21" s="24">
        <f>'Krankenquote Objekte'!I21*$D21</f>
        <v/>
      </c>
      <c r="V21" s="24">
        <f>'Krankenquote Objekte'!J21*$D21</f>
        <v/>
      </c>
      <c r="W21" s="24">
        <f>'Krankenquote Objekte'!K21*$D21</f>
        <v/>
      </c>
      <c r="X21" s="24">
        <f>'Krankenquote Objekte'!L21*$D21</f>
        <v/>
      </c>
      <c r="Y21" s="24">
        <f>'Krankenquote Objekte'!M21*$D21</f>
        <v/>
      </c>
      <c r="Z21" s="24">
        <f>'Krankenquote Objekte'!N21*$D21</f>
        <v/>
      </c>
      <c r="AA21" s="24">
        <f>'Krankenquote Objekte'!O21*$D21</f>
        <v/>
      </c>
      <c r="AB21" s="24">
        <f>'Krankenquote Objekte'!P21*$D21</f>
        <v/>
      </c>
      <c r="AC21" s="24">
        <f>'Krankenquote Objekte'!Q21*$D21</f>
        <v/>
      </c>
      <c r="AD21" s="50">
        <f>SUM(R21:AC21)</f>
        <v/>
      </c>
      <c r="AE21" s="26">
        <f>IF(Q21+AD21&gt;0,AD21/(Q21+AD21),0)</f>
        <v/>
      </c>
      <c r="AF21" s="24">
        <f>IF($C$3&gt;0,AD21/($C$3/5),0)</f>
        <v/>
      </c>
    </row>
    <row r="22">
      <c r="A22" s="42">
        <f>IF('Krankenquote Objekte'!B22="","",'Krankenquote Objekte'!A22)</f>
        <v/>
      </c>
      <c r="B22" s="43">
        <f>IF('Krankenquote Objekte'!B22="","",'Krankenquote Objekte'!B22)</f>
        <v/>
      </c>
      <c r="C22" s="7">
        <f>IF('Krankenquote Objekte'!B22="","",'Krankenquote Objekte'!C22)</f>
        <v/>
      </c>
      <c r="D22" s="62">
        <f>$C$3/5*'Krankenquote Objekte'!D22</f>
        <v/>
      </c>
      <c r="E22" s="63" t="n"/>
      <c r="F22" s="63" t="n"/>
      <c r="G22" s="63" t="n"/>
      <c r="H22" s="63" t="n"/>
      <c r="I22" s="63" t="n"/>
      <c r="J22" s="63" t="n"/>
      <c r="K22" s="63" t="n"/>
      <c r="L22" s="63" t="n"/>
      <c r="M22" s="63" t="n"/>
      <c r="N22" s="63" t="n"/>
      <c r="O22" s="63" t="n"/>
      <c r="P22" s="63" t="n"/>
      <c r="Q22" s="50">
        <f>SUM(E22:P22)</f>
        <v/>
      </c>
      <c r="R22" s="24">
        <f>'Krankenquote Objekte'!F22*$D22</f>
        <v/>
      </c>
      <c r="S22" s="24">
        <f>'Krankenquote Objekte'!G22*$D22</f>
        <v/>
      </c>
      <c r="T22" s="24">
        <f>'Krankenquote Objekte'!H22*$D22</f>
        <v/>
      </c>
      <c r="U22" s="24">
        <f>'Krankenquote Objekte'!I22*$D22</f>
        <v/>
      </c>
      <c r="V22" s="24">
        <f>'Krankenquote Objekte'!J22*$D22</f>
        <v/>
      </c>
      <c r="W22" s="24">
        <f>'Krankenquote Objekte'!K22*$D22</f>
        <v/>
      </c>
      <c r="X22" s="24">
        <f>'Krankenquote Objekte'!L22*$D22</f>
        <v/>
      </c>
      <c r="Y22" s="24">
        <f>'Krankenquote Objekte'!M22*$D22</f>
        <v/>
      </c>
      <c r="Z22" s="24">
        <f>'Krankenquote Objekte'!N22*$D22</f>
        <v/>
      </c>
      <c r="AA22" s="24">
        <f>'Krankenquote Objekte'!O22*$D22</f>
        <v/>
      </c>
      <c r="AB22" s="24">
        <f>'Krankenquote Objekte'!P22*$D22</f>
        <v/>
      </c>
      <c r="AC22" s="24">
        <f>'Krankenquote Objekte'!Q22*$D22</f>
        <v/>
      </c>
      <c r="AD22" s="50">
        <f>SUM(R22:AC22)</f>
        <v/>
      </c>
      <c r="AE22" s="26">
        <f>IF(Q22+AD22&gt;0,AD22/(Q22+AD22),0)</f>
        <v/>
      </c>
      <c r="AF22" s="24">
        <f>IF($C$3&gt;0,AD22/($C$3/5),0)</f>
        <v/>
      </c>
    </row>
    <row r="23">
      <c r="A23" s="42">
        <f>IF('Krankenquote Objekte'!B23="","",'Krankenquote Objekte'!A23)</f>
        <v/>
      </c>
      <c r="B23" s="43">
        <f>IF('Krankenquote Objekte'!B23="","",'Krankenquote Objekte'!B23)</f>
        <v/>
      </c>
      <c r="C23" s="7">
        <f>IF('Krankenquote Objekte'!B23="","",'Krankenquote Objekte'!C23)</f>
        <v/>
      </c>
      <c r="D23" s="62">
        <f>$C$3/5*'Krankenquote Objekte'!D23</f>
        <v/>
      </c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50">
        <f>SUM(E23:P23)</f>
        <v/>
      </c>
      <c r="R23" s="24">
        <f>'Krankenquote Objekte'!F23*$D23</f>
        <v/>
      </c>
      <c r="S23" s="24">
        <f>'Krankenquote Objekte'!G23*$D23</f>
        <v/>
      </c>
      <c r="T23" s="24">
        <f>'Krankenquote Objekte'!H23*$D23</f>
        <v/>
      </c>
      <c r="U23" s="24">
        <f>'Krankenquote Objekte'!I23*$D23</f>
        <v/>
      </c>
      <c r="V23" s="24">
        <f>'Krankenquote Objekte'!J23*$D23</f>
        <v/>
      </c>
      <c r="W23" s="24">
        <f>'Krankenquote Objekte'!K23*$D23</f>
        <v/>
      </c>
      <c r="X23" s="24">
        <f>'Krankenquote Objekte'!L23*$D23</f>
        <v/>
      </c>
      <c r="Y23" s="24">
        <f>'Krankenquote Objekte'!M23*$D23</f>
        <v/>
      </c>
      <c r="Z23" s="24">
        <f>'Krankenquote Objekte'!N23*$D23</f>
        <v/>
      </c>
      <c r="AA23" s="24">
        <f>'Krankenquote Objekte'!O23*$D23</f>
        <v/>
      </c>
      <c r="AB23" s="24">
        <f>'Krankenquote Objekte'!P23*$D23</f>
        <v/>
      </c>
      <c r="AC23" s="24">
        <f>'Krankenquote Objekte'!Q23*$D23</f>
        <v/>
      </c>
      <c r="AD23" s="50">
        <f>SUM(R23:AC23)</f>
        <v/>
      </c>
      <c r="AE23" s="26">
        <f>IF(Q23+AD23&gt;0,AD23/(Q23+AD23),0)</f>
        <v/>
      </c>
      <c r="AF23" s="24">
        <f>IF($C$3&gt;0,AD23/($C$3/5),0)</f>
        <v/>
      </c>
    </row>
    <row r="24">
      <c r="A24" s="42">
        <f>IF('Krankenquote Objekte'!B24="","",'Krankenquote Objekte'!A24)</f>
        <v/>
      </c>
      <c r="B24" s="43">
        <f>IF('Krankenquote Objekte'!B24="","",'Krankenquote Objekte'!B24)</f>
        <v/>
      </c>
      <c r="C24" s="7">
        <f>IF('Krankenquote Objekte'!B24="","",'Krankenquote Objekte'!C24)</f>
        <v/>
      </c>
      <c r="D24" s="62">
        <f>$C$3/5*'Krankenquote Objekte'!D24</f>
        <v/>
      </c>
      <c r="E24" s="63" t="n"/>
      <c r="F24" s="63" t="n"/>
      <c r="G24" s="63" t="n"/>
      <c r="H24" s="63" t="n"/>
      <c r="I24" s="63" t="n"/>
      <c r="J24" s="63" t="n"/>
      <c r="K24" s="63" t="n"/>
      <c r="L24" s="63" t="n"/>
      <c r="M24" s="63" t="n"/>
      <c r="N24" s="63" t="n"/>
      <c r="O24" s="63" t="n"/>
      <c r="P24" s="63" t="n"/>
      <c r="Q24" s="50">
        <f>SUM(E24:P24)</f>
        <v/>
      </c>
      <c r="R24" s="24">
        <f>'Krankenquote Objekte'!F24*$D24</f>
        <v/>
      </c>
      <c r="S24" s="24">
        <f>'Krankenquote Objekte'!G24*$D24</f>
        <v/>
      </c>
      <c r="T24" s="24">
        <f>'Krankenquote Objekte'!H24*$D24</f>
        <v/>
      </c>
      <c r="U24" s="24">
        <f>'Krankenquote Objekte'!I24*$D24</f>
        <v/>
      </c>
      <c r="V24" s="24">
        <f>'Krankenquote Objekte'!J24*$D24</f>
        <v/>
      </c>
      <c r="W24" s="24">
        <f>'Krankenquote Objekte'!K24*$D24</f>
        <v/>
      </c>
      <c r="X24" s="24">
        <f>'Krankenquote Objekte'!L24*$D24</f>
        <v/>
      </c>
      <c r="Y24" s="24">
        <f>'Krankenquote Objekte'!M24*$D24</f>
        <v/>
      </c>
      <c r="Z24" s="24">
        <f>'Krankenquote Objekte'!N24*$D24</f>
        <v/>
      </c>
      <c r="AA24" s="24">
        <f>'Krankenquote Objekte'!O24*$D24</f>
        <v/>
      </c>
      <c r="AB24" s="24">
        <f>'Krankenquote Objekte'!P24*$D24</f>
        <v/>
      </c>
      <c r="AC24" s="24">
        <f>'Krankenquote Objekte'!Q24*$D24</f>
        <v/>
      </c>
      <c r="AD24" s="50">
        <f>SUM(R24:AC24)</f>
        <v/>
      </c>
      <c r="AE24" s="26">
        <f>IF(Q24+AD24&gt;0,AD24/(Q24+AD24),0)</f>
        <v/>
      </c>
      <c r="AF24" s="24">
        <f>IF($C$3&gt;0,AD24/($C$3/5),0)</f>
        <v/>
      </c>
    </row>
    <row r="25">
      <c r="A25" s="42">
        <f>IF('Krankenquote Objekte'!B25="","",'Krankenquote Objekte'!A25)</f>
        <v/>
      </c>
      <c r="B25" s="43">
        <f>IF('Krankenquote Objekte'!B25="","",'Krankenquote Objekte'!B25)</f>
        <v/>
      </c>
      <c r="C25" s="7">
        <f>IF('Krankenquote Objekte'!B25="","",'Krankenquote Objekte'!C25)</f>
        <v/>
      </c>
      <c r="D25" s="62">
        <f>$C$3/5*'Krankenquote Objekte'!D25</f>
        <v/>
      </c>
      <c r="E25" s="63" t="n"/>
      <c r="F25" s="63" t="n"/>
      <c r="G25" s="63" t="n"/>
      <c r="H25" s="63" t="n"/>
      <c r="I25" s="63" t="n"/>
      <c r="J25" s="63" t="n"/>
      <c r="K25" s="63" t="n"/>
      <c r="L25" s="63" t="n"/>
      <c r="M25" s="63" t="n"/>
      <c r="N25" s="63" t="n"/>
      <c r="O25" s="63" t="n"/>
      <c r="P25" s="63" t="n"/>
      <c r="Q25" s="50">
        <f>SUM(E25:P25)</f>
        <v/>
      </c>
      <c r="R25" s="24">
        <f>'Krankenquote Objekte'!F25*$D25</f>
        <v/>
      </c>
      <c r="S25" s="24">
        <f>'Krankenquote Objekte'!G25*$D25</f>
        <v/>
      </c>
      <c r="T25" s="24">
        <f>'Krankenquote Objekte'!H25*$D25</f>
        <v/>
      </c>
      <c r="U25" s="24">
        <f>'Krankenquote Objekte'!I25*$D25</f>
        <v/>
      </c>
      <c r="V25" s="24">
        <f>'Krankenquote Objekte'!J25*$D25</f>
        <v/>
      </c>
      <c r="W25" s="24">
        <f>'Krankenquote Objekte'!K25*$D25</f>
        <v/>
      </c>
      <c r="X25" s="24">
        <f>'Krankenquote Objekte'!L25*$D25</f>
        <v/>
      </c>
      <c r="Y25" s="24">
        <f>'Krankenquote Objekte'!M25*$D25</f>
        <v/>
      </c>
      <c r="Z25" s="24">
        <f>'Krankenquote Objekte'!N25*$D25</f>
        <v/>
      </c>
      <c r="AA25" s="24">
        <f>'Krankenquote Objekte'!O25*$D25</f>
        <v/>
      </c>
      <c r="AB25" s="24">
        <f>'Krankenquote Objekte'!P25*$D25</f>
        <v/>
      </c>
      <c r="AC25" s="24">
        <f>'Krankenquote Objekte'!Q25*$D25</f>
        <v/>
      </c>
      <c r="AD25" s="50">
        <f>SUM(R25:AC25)</f>
        <v/>
      </c>
      <c r="AE25" s="26">
        <f>IF(Q25+AD25&gt;0,AD25/(Q25+AD25),0)</f>
        <v/>
      </c>
      <c r="AF25" s="24">
        <f>IF($C$3&gt;0,AD25/($C$3/5),0)</f>
        <v/>
      </c>
    </row>
    <row r="26">
      <c r="A26" s="42">
        <f>IF('Krankenquote Objekte'!B26="","",'Krankenquote Objekte'!A26)</f>
        <v/>
      </c>
      <c r="B26" s="43">
        <f>IF('Krankenquote Objekte'!B26="","",'Krankenquote Objekte'!B26)</f>
        <v/>
      </c>
      <c r="C26" s="7">
        <f>IF('Krankenquote Objekte'!B26="","",'Krankenquote Objekte'!C26)</f>
        <v/>
      </c>
      <c r="D26" s="62">
        <f>$C$3/5*'Krankenquote Objekte'!D26</f>
        <v/>
      </c>
      <c r="E26" s="63" t="n"/>
      <c r="F26" s="63" t="n"/>
      <c r="G26" s="63" t="n"/>
      <c r="H26" s="63" t="n"/>
      <c r="I26" s="63" t="n"/>
      <c r="J26" s="63" t="n"/>
      <c r="K26" s="63" t="n"/>
      <c r="L26" s="63" t="n"/>
      <c r="M26" s="63" t="n"/>
      <c r="N26" s="63" t="n"/>
      <c r="O26" s="63" t="n"/>
      <c r="P26" s="63" t="n"/>
      <c r="Q26" s="50">
        <f>SUM(E26:P26)</f>
        <v/>
      </c>
      <c r="R26" s="24">
        <f>'Krankenquote Objekte'!F26*$D26</f>
        <v/>
      </c>
      <c r="S26" s="24">
        <f>'Krankenquote Objekte'!G26*$D26</f>
        <v/>
      </c>
      <c r="T26" s="24">
        <f>'Krankenquote Objekte'!H26*$D26</f>
        <v/>
      </c>
      <c r="U26" s="24">
        <f>'Krankenquote Objekte'!I26*$D26</f>
        <v/>
      </c>
      <c r="V26" s="24">
        <f>'Krankenquote Objekte'!J26*$D26</f>
        <v/>
      </c>
      <c r="W26" s="24">
        <f>'Krankenquote Objekte'!K26*$D26</f>
        <v/>
      </c>
      <c r="X26" s="24">
        <f>'Krankenquote Objekte'!L26*$D26</f>
        <v/>
      </c>
      <c r="Y26" s="24">
        <f>'Krankenquote Objekte'!M26*$D26</f>
        <v/>
      </c>
      <c r="Z26" s="24">
        <f>'Krankenquote Objekte'!N26*$D26</f>
        <v/>
      </c>
      <c r="AA26" s="24">
        <f>'Krankenquote Objekte'!O26*$D26</f>
        <v/>
      </c>
      <c r="AB26" s="24">
        <f>'Krankenquote Objekte'!P26*$D26</f>
        <v/>
      </c>
      <c r="AC26" s="24">
        <f>'Krankenquote Objekte'!Q26*$D26</f>
        <v/>
      </c>
      <c r="AD26" s="50">
        <f>SUM(R26:AC26)</f>
        <v/>
      </c>
      <c r="AE26" s="26">
        <f>IF(Q26+AD26&gt;0,AD26/(Q26+AD26),0)</f>
        <v/>
      </c>
      <c r="AF26" s="24">
        <f>IF($C$3&gt;0,AD26/($C$3/5),0)</f>
        <v/>
      </c>
    </row>
    <row r="27">
      <c r="A27" s="42">
        <f>IF('Krankenquote Objekte'!B27="","",'Krankenquote Objekte'!A27)</f>
        <v/>
      </c>
      <c r="B27" s="43">
        <f>IF('Krankenquote Objekte'!B27="","",'Krankenquote Objekte'!B27)</f>
        <v/>
      </c>
      <c r="C27" s="7">
        <f>IF('Krankenquote Objekte'!B27="","",'Krankenquote Objekte'!C27)</f>
        <v/>
      </c>
      <c r="D27" s="62">
        <f>$C$3/5*'Krankenquote Objekte'!D27</f>
        <v/>
      </c>
      <c r="E27" s="63" t="n"/>
      <c r="F27" s="63" t="n"/>
      <c r="G27" s="63" t="n"/>
      <c r="H27" s="63" t="n"/>
      <c r="I27" s="63" t="n"/>
      <c r="J27" s="63" t="n"/>
      <c r="K27" s="63" t="n"/>
      <c r="L27" s="63" t="n"/>
      <c r="M27" s="63" t="n"/>
      <c r="N27" s="63" t="n"/>
      <c r="O27" s="63" t="n"/>
      <c r="P27" s="63" t="n"/>
      <c r="Q27" s="50">
        <f>SUM(E27:P27)</f>
        <v/>
      </c>
      <c r="R27" s="24">
        <f>'Krankenquote Objekte'!F27*$D27</f>
        <v/>
      </c>
      <c r="S27" s="24">
        <f>'Krankenquote Objekte'!G27*$D27</f>
        <v/>
      </c>
      <c r="T27" s="24">
        <f>'Krankenquote Objekte'!H27*$D27</f>
        <v/>
      </c>
      <c r="U27" s="24">
        <f>'Krankenquote Objekte'!I27*$D27</f>
        <v/>
      </c>
      <c r="V27" s="24">
        <f>'Krankenquote Objekte'!J27*$D27</f>
        <v/>
      </c>
      <c r="W27" s="24">
        <f>'Krankenquote Objekte'!K27*$D27</f>
        <v/>
      </c>
      <c r="X27" s="24">
        <f>'Krankenquote Objekte'!L27*$D27</f>
        <v/>
      </c>
      <c r="Y27" s="24">
        <f>'Krankenquote Objekte'!M27*$D27</f>
        <v/>
      </c>
      <c r="Z27" s="24">
        <f>'Krankenquote Objekte'!N27*$D27</f>
        <v/>
      </c>
      <c r="AA27" s="24">
        <f>'Krankenquote Objekte'!O27*$D27</f>
        <v/>
      </c>
      <c r="AB27" s="24">
        <f>'Krankenquote Objekte'!P27*$D27</f>
        <v/>
      </c>
      <c r="AC27" s="24">
        <f>'Krankenquote Objekte'!Q27*$D27</f>
        <v/>
      </c>
      <c r="AD27" s="50">
        <f>SUM(R27:AC27)</f>
        <v/>
      </c>
      <c r="AE27" s="26">
        <f>IF(Q27+AD27&gt;0,AD27/(Q27+AD27),0)</f>
        <v/>
      </c>
      <c r="AF27" s="24">
        <f>IF($C$3&gt;0,AD27/($C$3/5),0)</f>
        <v/>
      </c>
    </row>
    <row r="28">
      <c r="A28" s="42">
        <f>IF('Krankenquote Objekte'!B28="","",'Krankenquote Objekte'!A28)</f>
        <v/>
      </c>
      <c r="B28" s="43">
        <f>IF('Krankenquote Objekte'!B28="","",'Krankenquote Objekte'!B28)</f>
        <v/>
      </c>
      <c r="C28" s="7">
        <f>IF('Krankenquote Objekte'!B28="","",'Krankenquote Objekte'!C28)</f>
        <v/>
      </c>
      <c r="D28" s="62">
        <f>$C$3/5*'Krankenquote Objekte'!D28</f>
        <v/>
      </c>
      <c r="E28" s="63" t="n"/>
      <c r="F28" s="63" t="n"/>
      <c r="G28" s="63" t="n"/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50">
        <f>SUM(E28:P28)</f>
        <v/>
      </c>
      <c r="R28" s="24">
        <f>'Krankenquote Objekte'!F28*$D28</f>
        <v/>
      </c>
      <c r="S28" s="24">
        <f>'Krankenquote Objekte'!G28*$D28</f>
        <v/>
      </c>
      <c r="T28" s="24">
        <f>'Krankenquote Objekte'!H28*$D28</f>
        <v/>
      </c>
      <c r="U28" s="24">
        <f>'Krankenquote Objekte'!I28*$D28</f>
        <v/>
      </c>
      <c r="V28" s="24">
        <f>'Krankenquote Objekte'!J28*$D28</f>
        <v/>
      </c>
      <c r="W28" s="24">
        <f>'Krankenquote Objekte'!K28*$D28</f>
        <v/>
      </c>
      <c r="X28" s="24">
        <f>'Krankenquote Objekte'!L28*$D28</f>
        <v/>
      </c>
      <c r="Y28" s="24">
        <f>'Krankenquote Objekte'!M28*$D28</f>
        <v/>
      </c>
      <c r="Z28" s="24">
        <f>'Krankenquote Objekte'!N28*$D28</f>
        <v/>
      </c>
      <c r="AA28" s="24">
        <f>'Krankenquote Objekte'!O28*$D28</f>
        <v/>
      </c>
      <c r="AB28" s="24">
        <f>'Krankenquote Objekte'!P28*$D28</f>
        <v/>
      </c>
      <c r="AC28" s="24">
        <f>'Krankenquote Objekte'!Q28*$D28</f>
        <v/>
      </c>
      <c r="AD28" s="50">
        <f>SUM(R28:AC28)</f>
        <v/>
      </c>
      <c r="AE28" s="26">
        <f>IF(Q28+AD28&gt;0,AD28/(Q28+AD28),0)</f>
        <v/>
      </c>
      <c r="AF28" s="24">
        <f>IF($C$3&gt;0,AD28/($C$3/5),0)</f>
        <v/>
      </c>
    </row>
    <row r="29">
      <c r="A29" s="42">
        <f>IF('Krankenquote Objekte'!B29="","",'Krankenquote Objekte'!A29)</f>
        <v/>
      </c>
      <c r="B29" s="43">
        <f>IF('Krankenquote Objekte'!B29="","",'Krankenquote Objekte'!B29)</f>
        <v/>
      </c>
      <c r="C29" s="7">
        <f>IF('Krankenquote Objekte'!B29="","",'Krankenquote Objekte'!C29)</f>
        <v/>
      </c>
      <c r="D29" s="62">
        <f>$C$3/5*'Krankenquote Objekte'!D29</f>
        <v/>
      </c>
      <c r="E29" s="63" t="n"/>
      <c r="F29" s="63" t="n"/>
      <c r="G29" s="63" t="n"/>
      <c r="H29" s="63" t="n"/>
      <c r="I29" s="63" t="n"/>
      <c r="J29" s="63" t="n"/>
      <c r="K29" s="63" t="n"/>
      <c r="L29" s="63" t="n"/>
      <c r="M29" s="63" t="n"/>
      <c r="N29" s="63" t="n"/>
      <c r="O29" s="63" t="n"/>
      <c r="P29" s="63" t="n"/>
      <c r="Q29" s="50">
        <f>SUM(E29:P29)</f>
        <v/>
      </c>
      <c r="R29" s="24">
        <f>'Krankenquote Objekte'!F29*$D29</f>
        <v/>
      </c>
      <c r="S29" s="24">
        <f>'Krankenquote Objekte'!G29*$D29</f>
        <v/>
      </c>
      <c r="T29" s="24">
        <f>'Krankenquote Objekte'!H29*$D29</f>
        <v/>
      </c>
      <c r="U29" s="24">
        <f>'Krankenquote Objekte'!I29*$D29</f>
        <v/>
      </c>
      <c r="V29" s="24">
        <f>'Krankenquote Objekte'!J29*$D29</f>
        <v/>
      </c>
      <c r="W29" s="24">
        <f>'Krankenquote Objekte'!K29*$D29</f>
        <v/>
      </c>
      <c r="X29" s="24">
        <f>'Krankenquote Objekte'!L29*$D29</f>
        <v/>
      </c>
      <c r="Y29" s="24">
        <f>'Krankenquote Objekte'!M29*$D29</f>
        <v/>
      </c>
      <c r="Z29" s="24">
        <f>'Krankenquote Objekte'!N29*$D29</f>
        <v/>
      </c>
      <c r="AA29" s="24">
        <f>'Krankenquote Objekte'!O29*$D29</f>
        <v/>
      </c>
      <c r="AB29" s="24">
        <f>'Krankenquote Objekte'!P29*$D29</f>
        <v/>
      </c>
      <c r="AC29" s="24">
        <f>'Krankenquote Objekte'!Q29*$D29</f>
        <v/>
      </c>
      <c r="AD29" s="50">
        <f>SUM(R29:AC29)</f>
        <v/>
      </c>
      <c r="AE29" s="26">
        <f>IF(Q29+AD29&gt;0,AD29/(Q29+AD29),0)</f>
        <v/>
      </c>
      <c r="AF29" s="24">
        <f>IF($C$3&gt;0,AD29/($C$3/5),0)</f>
        <v/>
      </c>
    </row>
    <row r="30">
      <c r="A30" s="42">
        <f>IF('Krankenquote Objekte'!B30="","",'Krankenquote Objekte'!A30)</f>
        <v/>
      </c>
      <c r="B30" s="43">
        <f>IF('Krankenquote Objekte'!B30="","",'Krankenquote Objekte'!B30)</f>
        <v/>
      </c>
      <c r="C30" s="7">
        <f>IF('Krankenquote Objekte'!B30="","",'Krankenquote Objekte'!C30)</f>
        <v/>
      </c>
      <c r="D30" s="62">
        <f>$C$3/5*'Krankenquote Objekte'!D30</f>
        <v/>
      </c>
      <c r="E30" s="63" t="n"/>
      <c r="F30" s="63" t="n"/>
      <c r="G30" s="63" t="n"/>
      <c r="H30" s="63" t="n"/>
      <c r="I30" s="63" t="n"/>
      <c r="J30" s="63" t="n"/>
      <c r="K30" s="63" t="n"/>
      <c r="L30" s="63" t="n"/>
      <c r="M30" s="63" t="n"/>
      <c r="N30" s="63" t="n"/>
      <c r="O30" s="63" t="n"/>
      <c r="P30" s="63" t="n"/>
      <c r="Q30" s="50">
        <f>SUM(E30:P30)</f>
        <v/>
      </c>
      <c r="R30" s="24">
        <f>'Krankenquote Objekte'!F30*$D30</f>
        <v/>
      </c>
      <c r="S30" s="24">
        <f>'Krankenquote Objekte'!G30*$D30</f>
        <v/>
      </c>
      <c r="T30" s="24">
        <f>'Krankenquote Objekte'!H30*$D30</f>
        <v/>
      </c>
      <c r="U30" s="24">
        <f>'Krankenquote Objekte'!I30*$D30</f>
        <v/>
      </c>
      <c r="V30" s="24">
        <f>'Krankenquote Objekte'!J30*$D30</f>
        <v/>
      </c>
      <c r="W30" s="24">
        <f>'Krankenquote Objekte'!K30*$D30</f>
        <v/>
      </c>
      <c r="X30" s="24">
        <f>'Krankenquote Objekte'!L30*$D30</f>
        <v/>
      </c>
      <c r="Y30" s="24">
        <f>'Krankenquote Objekte'!M30*$D30</f>
        <v/>
      </c>
      <c r="Z30" s="24">
        <f>'Krankenquote Objekte'!N30*$D30</f>
        <v/>
      </c>
      <c r="AA30" s="24">
        <f>'Krankenquote Objekte'!O30*$D30</f>
        <v/>
      </c>
      <c r="AB30" s="24">
        <f>'Krankenquote Objekte'!P30*$D30</f>
        <v/>
      </c>
      <c r="AC30" s="24">
        <f>'Krankenquote Objekte'!Q30*$D30</f>
        <v/>
      </c>
      <c r="AD30" s="50">
        <f>SUM(R30:AC30)</f>
        <v/>
      </c>
      <c r="AE30" s="26">
        <f>IF(Q30+AD30&gt;0,AD30/(Q30+AD30),0)</f>
        <v/>
      </c>
      <c r="AF30" s="24">
        <f>IF($C$3&gt;0,AD30/($C$3/5),0)</f>
        <v/>
      </c>
    </row>
    <row r="31">
      <c r="A31" s="42">
        <f>IF('Krankenquote Objekte'!B31="","",'Krankenquote Objekte'!A31)</f>
        <v/>
      </c>
      <c r="B31" s="43">
        <f>IF('Krankenquote Objekte'!B31="","",'Krankenquote Objekte'!B31)</f>
        <v/>
      </c>
      <c r="C31" s="7">
        <f>IF('Krankenquote Objekte'!B31="","",'Krankenquote Objekte'!C31)</f>
        <v/>
      </c>
      <c r="D31" s="62">
        <f>$C$3/5*'Krankenquote Objekte'!D31</f>
        <v/>
      </c>
      <c r="E31" s="63" t="n"/>
      <c r="F31" s="63" t="n"/>
      <c r="G31" s="63" t="n"/>
      <c r="H31" s="63" t="n"/>
      <c r="I31" s="63" t="n"/>
      <c r="J31" s="63" t="n"/>
      <c r="K31" s="63" t="n"/>
      <c r="L31" s="63" t="n"/>
      <c r="M31" s="63" t="n"/>
      <c r="N31" s="63" t="n"/>
      <c r="O31" s="63" t="n"/>
      <c r="P31" s="63" t="n"/>
      <c r="Q31" s="50">
        <f>SUM(E31:P31)</f>
        <v/>
      </c>
      <c r="R31" s="24">
        <f>'Krankenquote Objekte'!F31*$D31</f>
        <v/>
      </c>
      <c r="S31" s="24">
        <f>'Krankenquote Objekte'!G31*$D31</f>
        <v/>
      </c>
      <c r="T31" s="24">
        <f>'Krankenquote Objekte'!H31*$D31</f>
        <v/>
      </c>
      <c r="U31" s="24">
        <f>'Krankenquote Objekte'!I31*$D31</f>
        <v/>
      </c>
      <c r="V31" s="24">
        <f>'Krankenquote Objekte'!J31*$D31</f>
        <v/>
      </c>
      <c r="W31" s="24">
        <f>'Krankenquote Objekte'!K31*$D31</f>
        <v/>
      </c>
      <c r="X31" s="24">
        <f>'Krankenquote Objekte'!L31*$D31</f>
        <v/>
      </c>
      <c r="Y31" s="24">
        <f>'Krankenquote Objekte'!M31*$D31</f>
        <v/>
      </c>
      <c r="Z31" s="24">
        <f>'Krankenquote Objekte'!N31*$D31</f>
        <v/>
      </c>
      <c r="AA31" s="24">
        <f>'Krankenquote Objekte'!O31*$D31</f>
        <v/>
      </c>
      <c r="AB31" s="24">
        <f>'Krankenquote Objekte'!P31*$D31</f>
        <v/>
      </c>
      <c r="AC31" s="24">
        <f>'Krankenquote Objekte'!Q31*$D31</f>
        <v/>
      </c>
      <c r="AD31" s="50">
        <f>SUM(R31:AC31)</f>
        <v/>
      </c>
      <c r="AE31" s="26">
        <f>IF(Q31+AD31&gt;0,AD31/(Q31+AD31),0)</f>
        <v/>
      </c>
      <c r="AF31" s="24">
        <f>IF($C$3&gt;0,AD31/($C$3/5),0)</f>
        <v/>
      </c>
    </row>
    <row r="32">
      <c r="A32" s="42">
        <f>IF('Krankenquote Objekte'!B32="","",'Krankenquote Objekte'!A32)</f>
        <v/>
      </c>
      <c r="B32" s="43">
        <f>IF('Krankenquote Objekte'!B32="","",'Krankenquote Objekte'!B32)</f>
        <v/>
      </c>
      <c r="C32" s="7">
        <f>IF('Krankenquote Objekte'!B32="","",'Krankenquote Objekte'!C32)</f>
        <v/>
      </c>
      <c r="D32" s="62">
        <f>$C$3/5*'Krankenquote Objekte'!D32</f>
        <v/>
      </c>
      <c r="E32" s="63" t="n"/>
      <c r="F32" s="63" t="n"/>
      <c r="G32" s="63" t="n"/>
      <c r="H32" s="63" t="n"/>
      <c r="I32" s="63" t="n"/>
      <c r="J32" s="63" t="n"/>
      <c r="K32" s="63" t="n"/>
      <c r="L32" s="63" t="n"/>
      <c r="M32" s="63" t="n"/>
      <c r="N32" s="63" t="n"/>
      <c r="O32" s="63" t="n"/>
      <c r="P32" s="63" t="n"/>
      <c r="Q32" s="50">
        <f>SUM(E32:P32)</f>
        <v/>
      </c>
      <c r="R32" s="24">
        <f>'Krankenquote Objekte'!F32*$D32</f>
        <v/>
      </c>
      <c r="S32" s="24">
        <f>'Krankenquote Objekte'!G32*$D32</f>
        <v/>
      </c>
      <c r="T32" s="24">
        <f>'Krankenquote Objekte'!H32*$D32</f>
        <v/>
      </c>
      <c r="U32" s="24">
        <f>'Krankenquote Objekte'!I32*$D32</f>
        <v/>
      </c>
      <c r="V32" s="24">
        <f>'Krankenquote Objekte'!J32*$D32</f>
        <v/>
      </c>
      <c r="W32" s="24">
        <f>'Krankenquote Objekte'!K32*$D32</f>
        <v/>
      </c>
      <c r="X32" s="24">
        <f>'Krankenquote Objekte'!L32*$D32</f>
        <v/>
      </c>
      <c r="Y32" s="24">
        <f>'Krankenquote Objekte'!M32*$D32</f>
        <v/>
      </c>
      <c r="Z32" s="24">
        <f>'Krankenquote Objekte'!N32*$D32</f>
        <v/>
      </c>
      <c r="AA32" s="24">
        <f>'Krankenquote Objekte'!O32*$D32</f>
        <v/>
      </c>
      <c r="AB32" s="24">
        <f>'Krankenquote Objekte'!P32*$D32</f>
        <v/>
      </c>
      <c r="AC32" s="24">
        <f>'Krankenquote Objekte'!Q32*$D32</f>
        <v/>
      </c>
      <c r="AD32" s="50">
        <f>SUM(R32:AC32)</f>
        <v/>
      </c>
      <c r="AE32" s="26">
        <f>IF(Q32+AD32&gt;0,AD32/(Q32+AD32),0)</f>
        <v/>
      </c>
      <c r="AF32" s="24">
        <f>IF($C$3&gt;0,AD32/($C$3/5),0)</f>
        <v/>
      </c>
    </row>
    <row r="33">
      <c r="A33" s="42">
        <f>IF('Krankenquote Objekte'!B33="","",'Krankenquote Objekte'!A33)</f>
        <v/>
      </c>
      <c r="B33" s="43">
        <f>IF('Krankenquote Objekte'!B33="","",'Krankenquote Objekte'!B33)</f>
        <v/>
      </c>
      <c r="C33" s="7">
        <f>IF('Krankenquote Objekte'!B33="","",'Krankenquote Objekte'!C33)</f>
        <v/>
      </c>
      <c r="D33" s="62">
        <f>$C$3/5*'Krankenquote Objekte'!D33</f>
        <v/>
      </c>
      <c r="E33" s="63" t="n"/>
      <c r="F33" s="63" t="n"/>
      <c r="G33" s="63" t="n"/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50">
        <f>SUM(E33:P33)</f>
        <v/>
      </c>
      <c r="R33" s="24">
        <f>'Krankenquote Objekte'!F33*$D33</f>
        <v/>
      </c>
      <c r="S33" s="24">
        <f>'Krankenquote Objekte'!G33*$D33</f>
        <v/>
      </c>
      <c r="T33" s="24">
        <f>'Krankenquote Objekte'!H33*$D33</f>
        <v/>
      </c>
      <c r="U33" s="24">
        <f>'Krankenquote Objekte'!I33*$D33</f>
        <v/>
      </c>
      <c r="V33" s="24">
        <f>'Krankenquote Objekte'!J33*$D33</f>
        <v/>
      </c>
      <c r="W33" s="24">
        <f>'Krankenquote Objekte'!K33*$D33</f>
        <v/>
      </c>
      <c r="X33" s="24">
        <f>'Krankenquote Objekte'!L33*$D33</f>
        <v/>
      </c>
      <c r="Y33" s="24">
        <f>'Krankenquote Objekte'!M33*$D33</f>
        <v/>
      </c>
      <c r="Z33" s="24">
        <f>'Krankenquote Objekte'!N33*$D33</f>
        <v/>
      </c>
      <c r="AA33" s="24">
        <f>'Krankenquote Objekte'!O33*$D33</f>
        <v/>
      </c>
      <c r="AB33" s="24">
        <f>'Krankenquote Objekte'!P33*$D33</f>
        <v/>
      </c>
      <c r="AC33" s="24">
        <f>'Krankenquote Objekte'!Q33*$D33</f>
        <v/>
      </c>
      <c r="AD33" s="50">
        <f>SUM(R33:AC33)</f>
        <v/>
      </c>
      <c r="AE33" s="26">
        <f>IF(Q33+AD33&gt;0,AD33/(Q33+AD33),0)</f>
        <v/>
      </c>
      <c r="AF33" s="24">
        <f>IF($C$3&gt;0,AD33/($C$3/5),0)</f>
        <v/>
      </c>
    </row>
    <row r="34">
      <c r="A34" s="42">
        <f>IF('Krankenquote Objekte'!B34="","",'Krankenquote Objekte'!A34)</f>
        <v/>
      </c>
      <c r="B34" s="43">
        <f>IF('Krankenquote Objekte'!B34="","",'Krankenquote Objekte'!B34)</f>
        <v/>
      </c>
      <c r="C34" s="7">
        <f>IF('Krankenquote Objekte'!B34="","",'Krankenquote Objekte'!C34)</f>
        <v/>
      </c>
      <c r="D34" s="62">
        <f>$C$3/5*'Krankenquote Objekte'!D34</f>
        <v/>
      </c>
      <c r="E34" s="63" t="n"/>
      <c r="F34" s="63" t="n"/>
      <c r="G34" s="63" t="n"/>
      <c r="H34" s="63" t="n"/>
      <c r="I34" s="63" t="n"/>
      <c r="J34" s="63" t="n"/>
      <c r="K34" s="63" t="n"/>
      <c r="L34" s="63" t="n"/>
      <c r="M34" s="63" t="n"/>
      <c r="N34" s="63" t="n"/>
      <c r="O34" s="63" t="n"/>
      <c r="P34" s="63" t="n"/>
      <c r="Q34" s="50">
        <f>SUM(E34:P34)</f>
        <v/>
      </c>
      <c r="R34" s="24">
        <f>'Krankenquote Objekte'!F34*$D34</f>
        <v/>
      </c>
      <c r="S34" s="24">
        <f>'Krankenquote Objekte'!G34*$D34</f>
        <v/>
      </c>
      <c r="T34" s="24">
        <f>'Krankenquote Objekte'!H34*$D34</f>
        <v/>
      </c>
      <c r="U34" s="24">
        <f>'Krankenquote Objekte'!I34*$D34</f>
        <v/>
      </c>
      <c r="V34" s="24">
        <f>'Krankenquote Objekte'!J34*$D34</f>
        <v/>
      </c>
      <c r="W34" s="24">
        <f>'Krankenquote Objekte'!K34*$D34</f>
        <v/>
      </c>
      <c r="X34" s="24">
        <f>'Krankenquote Objekte'!L34*$D34</f>
        <v/>
      </c>
      <c r="Y34" s="24">
        <f>'Krankenquote Objekte'!M34*$D34</f>
        <v/>
      </c>
      <c r="Z34" s="24">
        <f>'Krankenquote Objekte'!N34*$D34</f>
        <v/>
      </c>
      <c r="AA34" s="24">
        <f>'Krankenquote Objekte'!O34*$D34</f>
        <v/>
      </c>
      <c r="AB34" s="24">
        <f>'Krankenquote Objekte'!P34*$D34</f>
        <v/>
      </c>
      <c r="AC34" s="24">
        <f>'Krankenquote Objekte'!Q34*$D34</f>
        <v/>
      </c>
      <c r="AD34" s="50">
        <f>SUM(R34:AC34)</f>
        <v/>
      </c>
      <c r="AE34" s="26">
        <f>IF(Q34+AD34&gt;0,AD34/(Q34+AD34),0)</f>
        <v/>
      </c>
      <c r="AF34" s="24">
        <f>IF($C$3&gt;0,AD34/($C$3/5),0)</f>
        <v/>
      </c>
    </row>
    <row r="35">
      <c r="A35" s="42">
        <f>IF('Krankenquote Objekte'!B35="","",'Krankenquote Objekte'!A35)</f>
        <v/>
      </c>
      <c r="B35" s="43">
        <f>IF('Krankenquote Objekte'!B35="","",'Krankenquote Objekte'!B35)</f>
        <v/>
      </c>
      <c r="C35" s="7">
        <f>IF('Krankenquote Objekte'!B35="","",'Krankenquote Objekte'!C35)</f>
        <v/>
      </c>
      <c r="D35" s="62">
        <f>$C$3/5*'Krankenquote Objekte'!D35</f>
        <v/>
      </c>
      <c r="E35" s="63" t="n"/>
      <c r="F35" s="63" t="n"/>
      <c r="G35" s="63" t="n"/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50">
        <f>SUM(E35:P35)</f>
        <v/>
      </c>
      <c r="R35" s="24">
        <f>'Krankenquote Objekte'!F35*$D35</f>
        <v/>
      </c>
      <c r="S35" s="24">
        <f>'Krankenquote Objekte'!G35*$D35</f>
        <v/>
      </c>
      <c r="T35" s="24">
        <f>'Krankenquote Objekte'!H35*$D35</f>
        <v/>
      </c>
      <c r="U35" s="24">
        <f>'Krankenquote Objekte'!I35*$D35</f>
        <v/>
      </c>
      <c r="V35" s="24">
        <f>'Krankenquote Objekte'!J35*$D35</f>
        <v/>
      </c>
      <c r="W35" s="24">
        <f>'Krankenquote Objekte'!K35*$D35</f>
        <v/>
      </c>
      <c r="X35" s="24">
        <f>'Krankenquote Objekte'!L35*$D35</f>
        <v/>
      </c>
      <c r="Y35" s="24">
        <f>'Krankenquote Objekte'!M35*$D35</f>
        <v/>
      </c>
      <c r="Z35" s="24">
        <f>'Krankenquote Objekte'!N35*$D35</f>
        <v/>
      </c>
      <c r="AA35" s="24">
        <f>'Krankenquote Objekte'!O35*$D35</f>
        <v/>
      </c>
      <c r="AB35" s="24">
        <f>'Krankenquote Objekte'!P35*$D35</f>
        <v/>
      </c>
      <c r="AC35" s="24">
        <f>'Krankenquote Objekte'!Q35*$D35</f>
        <v/>
      </c>
      <c r="AD35" s="50">
        <f>SUM(R35:AC35)</f>
        <v/>
      </c>
      <c r="AE35" s="26">
        <f>IF(Q35+AD35&gt;0,AD35/(Q35+AD35),0)</f>
        <v/>
      </c>
      <c r="AF35" s="24">
        <f>IF($C$3&gt;0,AD35/($C$3/5),0)</f>
        <v/>
      </c>
    </row>
    <row r="36">
      <c r="A36" s="42">
        <f>IF('Krankenquote Objekte'!B36="","",'Krankenquote Objekte'!A36)</f>
        <v/>
      </c>
      <c r="B36" s="43">
        <f>IF('Krankenquote Objekte'!B36="","",'Krankenquote Objekte'!B36)</f>
        <v/>
      </c>
      <c r="C36" s="7">
        <f>IF('Krankenquote Objekte'!B36="","",'Krankenquote Objekte'!C36)</f>
        <v/>
      </c>
      <c r="D36" s="62">
        <f>$C$3/5*'Krankenquote Objekte'!D36</f>
        <v/>
      </c>
      <c r="E36" s="63" t="n"/>
      <c r="F36" s="63" t="n"/>
      <c r="G36" s="63" t="n"/>
      <c r="H36" s="63" t="n"/>
      <c r="I36" s="63" t="n"/>
      <c r="J36" s="63" t="n"/>
      <c r="K36" s="63" t="n"/>
      <c r="L36" s="63" t="n"/>
      <c r="M36" s="63" t="n"/>
      <c r="N36" s="63" t="n"/>
      <c r="O36" s="63" t="n"/>
      <c r="P36" s="63" t="n"/>
      <c r="Q36" s="50">
        <f>SUM(E36:P36)</f>
        <v/>
      </c>
      <c r="R36" s="24">
        <f>'Krankenquote Objekte'!F36*$D36</f>
        <v/>
      </c>
      <c r="S36" s="24">
        <f>'Krankenquote Objekte'!G36*$D36</f>
        <v/>
      </c>
      <c r="T36" s="24">
        <f>'Krankenquote Objekte'!H36*$D36</f>
        <v/>
      </c>
      <c r="U36" s="24">
        <f>'Krankenquote Objekte'!I36*$D36</f>
        <v/>
      </c>
      <c r="V36" s="24">
        <f>'Krankenquote Objekte'!J36*$D36</f>
        <v/>
      </c>
      <c r="W36" s="24">
        <f>'Krankenquote Objekte'!K36*$D36</f>
        <v/>
      </c>
      <c r="X36" s="24">
        <f>'Krankenquote Objekte'!L36*$D36</f>
        <v/>
      </c>
      <c r="Y36" s="24">
        <f>'Krankenquote Objekte'!M36*$D36</f>
        <v/>
      </c>
      <c r="Z36" s="24">
        <f>'Krankenquote Objekte'!N36*$D36</f>
        <v/>
      </c>
      <c r="AA36" s="24">
        <f>'Krankenquote Objekte'!O36*$D36</f>
        <v/>
      </c>
      <c r="AB36" s="24">
        <f>'Krankenquote Objekte'!P36*$D36</f>
        <v/>
      </c>
      <c r="AC36" s="24">
        <f>'Krankenquote Objekte'!Q36*$D36</f>
        <v/>
      </c>
      <c r="AD36" s="50">
        <f>SUM(R36:AC36)</f>
        <v/>
      </c>
      <c r="AE36" s="26">
        <f>IF(Q36+AD36&gt;0,AD36/(Q36+AD36),0)</f>
        <v/>
      </c>
      <c r="AF36" s="24">
        <f>IF($C$3&gt;0,AD36/($C$3/5),0)</f>
        <v/>
      </c>
    </row>
    <row r="37">
      <c r="A37" s="42">
        <f>IF('Krankenquote Objekte'!B37="","",'Krankenquote Objekte'!A37)</f>
        <v/>
      </c>
      <c r="B37" s="43">
        <f>IF('Krankenquote Objekte'!B37="","",'Krankenquote Objekte'!B37)</f>
        <v/>
      </c>
      <c r="C37" s="7">
        <f>IF('Krankenquote Objekte'!B37="","",'Krankenquote Objekte'!C37)</f>
        <v/>
      </c>
      <c r="D37" s="62">
        <f>$C$3/5*'Krankenquote Objekte'!D37</f>
        <v/>
      </c>
      <c r="E37" s="63" t="n"/>
      <c r="F37" s="63" t="n"/>
      <c r="G37" s="63" t="n"/>
      <c r="H37" s="63" t="n"/>
      <c r="I37" s="63" t="n"/>
      <c r="J37" s="63" t="n"/>
      <c r="K37" s="63" t="n"/>
      <c r="L37" s="63" t="n"/>
      <c r="M37" s="63" t="n"/>
      <c r="N37" s="63" t="n"/>
      <c r="O37" s="63" t="n"/>
      <c r="P37" s="63" t="n"/>
      <c r="Q37" s="50">
        <f>SUM(E37:P37)</f>
        <v/>
      </c>
      <c r="R37" s="24">
        <f>'Krankenquote Objekte'!F37*$D37</f>
        <v/>
      </c>
      <c r="S37" s="24">
        <f>'Krankenquote Objekte'!G37*$D37</f>
        <v/>
      </c>
      <c r="T37" s="24">
        <f>'Krankenquote Objekte'!H37*$D37</f>
        <v/>
      </c>
      <c r="U37" s="24">
        <f>'Krankenquote Objekte'!I37*$D37</f>
        <v/>
      </c>
      <c r="V37" s="24">
        <f>'Krankenquote Objekte'!J37*$D37</f>
        <v/>
      </c>
      <c r="W37" s="24">
        <f>'Krankenquote Objekte'!K37*$D37</f>
        <v/>
      </c>
      <c r="X37" s="24">
        <f>'Krankenquote Objekte'!L37*$D37</f>
        <v/>
      </c>
      <c r="Y37" s="24">
        <f>'Krankenquote Objekte'!M37*$D37</f>
        <v/>
      </c>
      <c r="Z37" s="24">
        <f>'Krankenquote Objekte'!N37*$D37</f>
        <v/>
      </c>
      <c r="AA37" s="24">
        <f>'Krankenquote Objekte'!O37*$D37</f>
        <v/>
      </c>
      <c r="AB37" s="24">
        <f>'Krankenquote Objekte'!P37*$D37</f>
        <v/>
      </c>
      <c r="AC37" s="24">
        <f>'Krankenquote Objekte'!Q37*$D37</f>
        <v/>
      </c>
      <c r="AD37" s="50">
        <f>SUM(R37:AC37)</f>
        <v/>
      </c>
      <c r="AE37" s="26">
        <f>IF(Q37+AD37&gt;0,AD37/(Q37+AD37),0)</f>
        <v/>
      </c>
      <c r="AF37" s="24">
        <f>IF($C$3&gt;0,AD37/($C$3/5),0)</f>
        <v/>
      </c>
    </row>
    <row r="38">
      <c r="A38" s="42">
        <f>IF('Krankenquote Objekte'!B38="","",'Krankenquote Objekte'!A38)</f>
        <v/>
      </c>
      <c r="B38" s="43">
        <f>IF('Krankenquote Objekte'!B38="","",'Krankenquote Objekte'!B38)</f>
        <v/>
      </c>
      <c r="C38" s="7">
        <f>IF('Krankenquote Objekte'!B38="","",'Krankenquote Objekte'!C38)</f>
        <v/>
      </c>
      <c r="D38" s="62">
        <f>$C$3/5*'Krankenquote Objekte'!D38</f>
        <v/>
      </c>
      <c r="E38" s="63" t="n"/>
      <c r="F38" s="63" t="n"/>
      <c r="G38" s="63" t="n"/>
      <c r="H38" s="63" t="n"/>
      <c r="I38" s="63" t="n"/>
      <c r="J38" s="63" t="n"/>
      <c r="K38" s="63" t="n"/>
      <c r="L38" s="63" t="n"/>
      <c r="M38" s="63" t="n"/>
      <c r="N38" s="63" t="n"/>
      <c r="O38" s="63" t="n"/>
      <c r="P38" s="63" t="n"/>
      <c r="Q38" s="50">
        <f>SUM(E38:P38)</f>
        <v/>
      </c>
      <c r="R38" s="24">
        <f>'Krankenquote Objekte'!F38*$D38</f>
        <v/>
      </c>
      <c r="S38" s="24">
        <f>'Krankenquote Objekte'!G38*$D38</f>
        <v/>
      </c>
      <c r="T38" s="24">
        <f>'Krankenquote Objekte'!H38*$D38</f>
        <v/>
      </c>
      <c r="U38" s="24">
        <f>'Krankenquote Objekte'!I38*$D38</f>
        <v/>
      </c>
      <c r="V38" s="24">
        <f>'Krankenquote Objekte'!J38*$D38</f>
        <v/>
      </c>
      <c r="W38" s="24">
        <f>'Krankenquote Objekte'!K38*$D38</f>
        <v/>
      </c>
      <c r="X38" s="24">
        <f>'Krankenquote Objekte'!L38*$D38</f>
        <v/>
      </c>
      <c r="Y38" s="24">
        <f>'Krankenquote Objekte'!M38*$D38</f>
        <v/>
      </c>
      <c r="Z38" s="24">
        <f>'Krankenquote Objekte'!N38*$D38</f>
        <v/>
      </c>
      <c r="AA38" s="24">
        <f>'Krankenquote Objekte'!O38*$D38</f>
        <v/>
      </c>
      <c r="AB38" s="24">
        <f>'Krankenquote Objekte'!P38*$D38</f>
        <v/>
      </c>
      <c r="AC38" s="24">
        <f>'Krankenquote Objekte'!Q38*$D38</f>
        <v/>
      </c>
      <c r="AD38" s="50">
        <f>SUM(R38:AC38)</f>
        <v/>
      </c>
      <c r="AE38" s="26">
        <f>IF(Q38+AD38&gt;0,AD38/(Q38+AD38),0)</f>
        <v/>
      </c>
      <c r="AF38" s="24">
        <f>IF($C$3&gt;0,AD38/($C$3/5),0)</f>
        <v/>
      </c>
    </row>
    <row r="39">
      <c r="A39" s="42">
        <f>IF('Krankenquote Objekte'!B39="","",'Krankenquote Objekte'!A39)</f>
        <v/>
      </c>
      <c r="B39" s="43">
        <f>IF('Krankenquote Objekte'!B39="","",'Krankenquote Objekte'!B39)</f>
        <v/>
      </c>
      <c r="C39" s="7">
        <f>IF('Krankenquote Objekte'!B39="","",'Krankenquote Objekte'!C39)</f>
        <v/>
      </c>
      <c r="D39" s="62">
        <f>$C$3/5*'Krankenquote Objekte'!D39</f>
        <v/>
      </c>
      <c r="E39" s="63" t="n"/>
      <c r="F39" s="63" t="n"/>
      <c r="G39" s="63" t="n"/>
      <c r="H39" s="63" t="n"/>
      <c r="I39" s="63" t="n"/>
      <c r="J39" s="63" t="n"/>
      <c r="K39" s="63" t="n"/>
      <c r="L39" s="63" t="n"/>
      <c r="M39" s="63" t="n"/>
      <c r="N39" s="63" t="n"/>
      <c r="O39" s="63" t="n"/>
      <c r="P39" s="63" t="n"/>
      <c r="Q39" s="50">
        <f>SUM(E39:P39)</f>
        <v/>
      </c>
      <c r="R39" s="24">
        <f>'Krankenquote Objekte'!F39*$D39</f>
        <v/>
      </c>
      <c r="S39" s="24">
        <f>'Krankenquote Objekte'!G39*$D39</f>
        <v/>
      </c>
      <c r="T39" s="24">
        <f>'Krankenquote Objekte'!H39*$D39</f>
        <v/>
      </c>
      <c r="U39" s="24">
        <f>'Krankenquote Objekte'!I39*$D39</f>
        <v/>
      </c>
      <c r="V39" s="24">
        <f>'Krankenquote Objekte'!J39*$D39</f>
        <v/>
      </c>
      <c r="W39" s="24">
        <f>'Krankenquote Objekte'!K39*$D39</f>
        <v/>
      </c>
      <c r="X39" s="24">
        <f>'Krankenquote Objekte'!L39*$D39</f>
        <v/>
      </c>
      <c r="Y39" s="24">
        <f>'Krankenquote Objekte'!M39*$D39</f>
        <v/>
      </c>
      <c r="Z39" s="24">
        <f>'Krankenquote Objekte'!N39*$D39</f>
        <v/>
      </c>
      <c r="AA39" s="24">
        <f>'Krankenquote Objekte'!O39*$D39</f>
        <v/>
      </c>
      <c r="AB39" s="24">
        <f>'Krankenquote Objekte'!P39*$D39</f>
        <v/>
      </c>
      <c r="AC39" s="24">
        <f>'Krankenquote Objekte'!Q39*$D39</f>
        <v/>
      </c>
      <c r="AD39" s="50">
        <f>SUM(R39:AC39)</f>
        <v/>
      </c>
      <c r="AE39" s="26">
        <f>IF(Q39+AD39&gt;0,AD39/(Q39+AD39),0)</f>
        <v/>
      </c>
      <c r="AF39" s="24">
        <f>IF($C$3&gt;0,AD39/($C$3/5),0)</f>
        <v/>
      </c>
    </row>
    <row r="40">
      <c r="A40" s="42">
        <f>IF('Krankenquote Objekte'!B40="","",'Krankenquote Objekte'!A40)</f>
        <v/>
      </c>
      <c r="B40" s="43">
        <f>IF('Krankenquote Objekte'!B40="","",'Krankenquote Objekte'!B40)</f>
        <v/>
      </c>
      <c r="C40" s="7">
        <f>IF('Krankenquote Objekte'!B40="","",'Krankenquote Objekte'!C40)</f>
        <v/>
      </c>
      <c r="D40" s="62">
        <f>$C$3/5*'Krankenquote Objekte'!D40</f>
        <v/>
      </c>
      <c r="E40" s="63" t="n"/>
      <c r="F40" s="63" t="n"/>
      <c r="G40" s="63" t="n"/>
      <c r="H40" s="63" t="n"/>
      <c r="I40" s="63" t="n"/>
      <c r="J40" s="63" t="n"/>
      <c r="K40" s="63" t="n"/>
      <c r="L40" s="63" t="n"/>
      <c r="M40" s="63" t="n"/>
      <c r="N40" s="63" t="n"/>
      <c r="O40" s="63" t="n"/>
      <c r="P40" s="63" t="n"/>
      <c r="Q40" s="50">
        <f>SUM(E40:P40)</f>
        <v/>
      </c>
      <c r="R40" s="24">
        <f>'Krankenquote Objekte'!F40*$D40</f>
        <v/>
      </c>
      <c r="S40" s="24">
        <f>'Krankenquote Objekte'!G40*$D40</f>
        <v/>
      </c>
      <c r="T40" s="24">
        <f>'Krankenquote Objekte'!H40*$D40</f>
        <v/>
      </c>
      <c r="U40" s="24">
        <f>'Krankenquote Objekte'!I40*$D40</f>
        <v/>
      </c>
      <c r="V40" s="24">
        <f>'Krankenquote Objekte'!J40*$D40</f>
        <v/>
      </c>
      <c r="W40" s="24">
        <f>'Krankenquote Objekte'!K40*$D40</f>
        <v/>
      </c>
      <c r="X40" s="24">
        <f>'Krankenquote Objekte'!L40*$D40</f>
        <v/>
      </c>
      <c r="Y40" s="24">
        <f>'Krankenquote Objekte'!M40*$D40</f>
        <v/>
      </c>
      <c r="Z40" s="24">
        <f>'Krankenquote Objekte'!N40*$D40</f>
        <v/>
      </c>
      <c r="AA40" s="24">
        <f>'Krankenquote Objekte'!O40*$D40</f>
        <v/>
      </c>
      <c r="AB40" s="24">
        <f>'Krankenquote Objekte'!P40*$D40</f>
        <v/>
      </c>
      <c r="AC40" s="24">
        <f>'Krankenquote Objekte'!Q40*$D40</f>
        <v/>
      </c>
      <c r="AD40" s="50">
        <f>SUM(R40:AC40)</f>
        <v/>
      </c>
      <c r="AE40" s="26">
        <f>IF(Q40+AD40&gt;0,AD40/(Q40+AD40),0)</f>
        <v/>
      </c>
      <c r="AF40" s="24">
        <f>IF($C$3&gt;0,AD40/($C$3/5),0)</f>
        <v/>
      </c>
    </row>
    <row r="41">
      <c r="A41" s="42">
        <f>IF('Krankenquote Objekte'!B41="","",'Krankenquote Objekte'!A41)</f>
        <v/>
      </c>
      <c r="B41" s="43">
        <f>IF('Krankenquote Objekte'!B41="","",'Krankenquote Objekte'!B41)</f>
        <v/>
      </c>
      <c r="C41" s="7">
        <f>IF('Krankenquote Objekte'!B41="","",'Krankenquote Objekte'!C41)</f>
        <v/>
      </c>
      <c r="D41" s="62">
        <f>$C$3/5*'Krankenquote Objekte'!D41</f>
        <v/>
      </c>
      <c r="E41" s="63" t="n"/>
      <c r="F41" s="63" t="n"/>
      <c r="G41" s="63" t="n"/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50">
        <f>SUM(E41:P41)</f>
        <v/>
      </c>
      <c r="R41" s="24">
        <f>'Krankenquote Objekte'!F41*$D41</f>
        <v/>
      </c>
      <c r="S41" s="24">
        <f>'Krankenquote Objekte'!G41*$D41</f>
        <v/>
      </c>
      <c r="T41" s="24">
        <f>'Krankenquote Objekte'!H41*$D41</f>
        <v/>
      </c>
      <c r="U41" s="24">
        <f>'Krankenquote Objekte'!I41*$D41</f>
        <v/>
      </c>
      <c r="V41" s="24">
        <f>'Krankenquote Objekte'!J41*$D41</f>
        <v/>
      </c>
      <c r="W41" s="24">
        <f>'Krankenquote Objekte'!K41*$D41</f>
        <v/>
      </c>
      <c r="X41" s="24">
        <f>'Krankenquote Objekte'!L41*$D41</f>
        <v/>
      </c>
      <c r="Y41" s="24">
        <f>'Krankenquote Objekte'!M41*$D41</f>
        <v/>
      </c>
      <c r="Z41" s="24">
        <f>'Krankenquote Objekte'!N41*$D41</f>
        <v/>
      </c>
      <c r="AA41" s="24">
        <f>'Krankenquote Objekte'!O41*$D41</f>
        <v/>
      </c>
      <c r="AB41" s="24">
        <f>'Krankenquote Objekte'!P41*$D41</f>
        <v/>
      </c>
      <c r="AC41" s="24">
        <f>'Krankenquote Objekte'!Q41*$D41</f>
        <v/>
      </c>
      <c r="AD41" s="50">
        <f>SUM(R41:AC41)</f>
        <v/>
      </c>
      <c r="AE41" s="26">
        <f>IF(Q41+AD41&gt;0,AD41/(Q41+AD41),0)</f>
        <v/>
      </c>
      <c r="AF41" s="24">
        <f>IF($C$3&gt;0,AD41/($C$3/5),0)</f>
        <v/>
      </c>
    </row>
    <row r="42">
      <c r="A42" s="42">
        <f>IF('Krankenquote Objekte'!B42="","",'Krankenquote Objekte'!A42)</f>
        <v/>
      </c>
      <c r="B42" s="43">
        <f>IF('Krankenquote Objekte'!B42="","",'Krankenquote Objekte'!B42)</f>
        <v/>
      </c>
      <c r="C42" s="7">
        <f>IF('Krankenquote Objekte'!B42="","",'Krankenquote Objekte'!C42)</f>
        <v/>
      </c>
      <c r="D42" s="62">
        <f>$C$3/5*'Krankenquote Objekte'!D42</f>
        <v/>
      </c>
      <c r="E42" s="63" t="n"/>
      <c r="F42" s="63" t="n"/>
      <c r="G42" s="63" t="n"/>
      <c r="H42" s="63" t="n"/>
      <c r="I42" s="63" t="n"/>
      <c r="J42" s="63" t="n"/>
      <c r="K42" s="63" t="n"/>
      <c r="L42" s="63" t="n"/>
      <c r="M42" s="63" t="n"/>
      <c r="N42" s="63" t="n"/>
      <c r="O42" s="63" t="n"/>
      <c r="P42" s="63" t="n"/>
      <c r="Q42" s="50">
        <f>SUM(E42:P42)</f>
        <v/>
      </c>
      <c r="R42" s="24">
        <f>'Krankenquote Objekte'!F42*$D42</f>
        <v/>
      </c>
      <c r="S42" s="24">
        <f>'Krankenquote Objekte'!G42*$D42</f>
        <v/>
      </c>
      <c r="T42" s="24">
        <f>'Krankenquote Objekte'!H42*$D42</f>
        <v/>
      </c>
      <c r="U42" s="24">
        <f>'Krankenquote Objekte'!I42*$D42</f>
        <v/>
      </c>
      <c r="V42" s="24">
        <f>'Krankenquote Objekte'!J42*$D42</f>
        <v/>
      </c>
      <c r="W42" s="24">
        <f>'Krankenquote Objekte'!K42*$D42</f>
        <v/>
      </c>
      <c r="X42" s="24">
        <f>'Krankenquote Objekte'!L42*$D42</f>
        <v/>
      </c>
      <c r="Y42" s="24">
        <f>'Krankenquote Objekte'!M42*$D42</f>
        <v/>
      </c>
      <c r="Z42" s="24">
        <f>'Krankenquote Objekte'!N42*$D42</f>
        <v/>
      </c>
      <c r="AA42" s="24">
        <f>'Krankenquote Objekte'!O42*$D42</f>
        <v/>
      </c>
      <c r="AB42" s="24">
        <f>'Krankenquote Objekte'!P42*$D42</f>
        <v/>
      </c>
      <c r="AC42" s="24">
        <f>'Krankenquote Objekte'!Q42*$D42</f>
        <v/>
      </c>
      <c r="AD42" s="50">
        <f>SUM(R42:AC42)</f>
        <v/>
      </c>
      <c r="AE42" s="26">
        <f>IF(Q42+AD42&gt;0,AD42/(Q42+AD42),0)</f>
        <v/>
      </c>
      <c r="AF42" s="24">
        <f>IF($C$3&gt;0,AD42/($C$3/5),0)</f>
        <v/>
      </c>
    </row>
    <row r="43">
      <c r="A43" s="42">
        <f>IF('Krankenquote Objekte'!B43="","",'Krankenquote Objekte'!A43)</f>
        <v/>
      </c>
      <c r="B43" s="43">
        <f>IF('Krankenquote Objekte'!B43="","",'Krankenquote Objekte'!B43)</f>
        <v/>
      </c>
      <c r="C43" s="7">
        <f>IF('Krankenquote Objekte'!B43="","",'Krankenquote Objekte'!C43)</f>
        <v/>
      </c>
      <c r="D43" s="62">
        <f>$C$3/5*'Krankenquote Objekte'!D43</f>
        <v/>
      </c>
      <c r="E43" s="63" t="n"/>
      <c r="F43" s="63" t="n"/>
      <c r="G43" s="63" t="n"/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50">
        <f>SUM(E43:P43)</f>
        <v/>
      </c>
      <c r="R43" s="24">
        <f>'Krankenquote Objekte'!F43*$D43</f>
        <v/>
      </c>
      <c r="S43" s="24">
        <f>'Krankenquote Objekte'!G43*$D43</f>
        <v/>
      </c>
      <c r="T43" s="24">
        <f>'Krankenquote Objekte'!H43*$D43</f>
        <v/>
      </c>
      <c r="U43" s="24">
        <f>'Krankenquote Objekte'!I43*$D43</f>
        <v/>
      </c>
      <c r="V43" s="24">
        <f>'Krankenquote Objekte'!J43*$D43</f>
        <v/>
      </c>
      <c r="W43" s="24">
        <f>'Krankenquote Objekte'!K43*$D43</f>
        <v/>
      </c>
      <c r="X43" s="24">
        <f>'Krankenquote Objekte'!L43*$D43</f>
        <v/>
      </c>
      <c r="Y43" s="24">
        <f>'Krankenquote Objekte'!M43*$D43</f>
        <v/>
      </c>
      <c r="Z43" s="24">
        <f>'Krankenquote Objekte'!N43*$D43</f>
        <v/>
      </c>
      <c r="AA43" s="24">
        <f>'Krankenquote Objekte'!O43*$D43</f>
        <v/>
      </c>
      <c r="AB43" s="24">
        <f>'Krankenquote Objekte'!P43*$D43</f>
        <v/>
      </c>
      <c r="AC43" s="24">
        <f>'Krankenquote Objekte'!Q43*$D43</f>
        <v/>
      </c>
      <c r="AD43" s="50">
        <f>SUM(R43:AC43)</f>
        <v/>
      </c>
      <c r="AE43" s="26">
        <f>IF(Q43+AD43&gt;0,AD43/(Q43+AD43),0)</f>
        <v/>
      </c>
      <c r="AF43" s="24">
        <f>IF($C$3&gt;0,AD43/($C$3/5),0)</f>
        <v/>
      </c>
    </row>
    <row r="44">
      <c r="A44" s="42">
        <f>IF('Krankenquote Objekte'!B44="","",'Krankenquote Objekte'!A44)</f>
        <v/>
      </c>
      <c r="B44" s="43">
        <f>IF('Krankenquote Objekte'!B44="","",'Krankenquote Objekte'!B44)</f>
        <v/>
      </c>
      <c r="C44" s="7">
        <f>IF('Krankenquote Objekte'!B44="","",'Krankenquote Objekte'!C44)</f>
        <v/>
      </c>
      <c r="D44" s="62">
        <f>$C$3/5*'Krankenquote Objekte'!D44</f>
        <v/>
      </c>
      <c r="E44" s="63" t="n"/>
      <c r="F44" s="63" t="n"/>
      <c r="G44" s="63" t="n"/>
      <c r="H44" s="63" t="n"/>
      <c r="I44" s="63" t="n"/>
      <c r="J44" s="63" t="n"/>
      <c r="K44" s="63" t="n"/>
      <c r="L44" s="63" t="n"/>
      <c r="M44" s="63" t="n"/>
      <c r="N44" s="63" t="n"/>
      <c r="O44" s="63" t="n"/>
      <c r="P44" s="63" t="n"/>
      <c r="Q44" s="50">
        <f>SUM(E44:P44)</f>
        <v/>
      </c>
      <c r="R44" s="24">
        <f>'Krankenquote Objekte'!F44*$D44</f>
        <v/>
      </c>
      <c r="S44" s="24">
        <f>'Krankenquote Objekte'!G44*$D44</f>
        <v/>
      </c>
      <c r="T44" s="24">
        <f>'Krankenquote Objekte'!H44*$D44</f>
        <v/>
      </c>
      <c r="U44" s="24">
        <f>'Krankenquote Objekte'!I44*$D44</f>
        <v/>
      </c>
      <c r="V44" s="24">
        <f>'Krankenquote Objekte'!J44*$D44</f>
        <v/>
      </c>
      <c r="W44" s="24">
        <f>'Krankenquote Objekte'!K44*$D44</f>
        <v/>
      </c>
      <c r="X44" s="24">
        <f>'Krankenquote Objekte'!L44*$D44</f>
        <v/>
      </c>
      <c r="Y44" s="24">
        <f>'Krankenquote Objekte'!M44*$D44</f>
        <v/>
      </c>
      <c r="Z44" s="24">
        <f>'Krankenquote Objekte'!N44*$D44</f>
        <v/>
      </c>
      <c r="AA44" s="24">
        <f>'Krankenquote Objekte'!O44*$D44</f>
        <v/>
      </c>
      <c r="AB44" s="24">
        <f>'Krankenquote Objekte'!P44*$D44</f>
        <v/>
      </c>
      <c r="AC44" s="24">
        <f>'Krankenquote Objekte'!Q44*$D44</f>
        <v/>
      </c>
      <c r="AD44" s="50">
        <f>SUM(R44:AC44)</f>
        <v/>
      </c>
      <c r="AE44" s="26">
        <f>IF(Q44+AD44&gt;0,AD44/(Q44+AD44),0)</f>
        <v/>
      </c>
      <c r="AF44" s="24">
        <f>IF($C$3&gt;0,AD44/($C$3/5),0)</f>
        <v/>
      </c>
    </row>
    <row r="45">
      <c r="A45" s="42">
        <f>IF('Krankenquote Objekte'!B45="","",'Krankenquote Objekte'!A45)</f>
        <v/>
      </c>
      <c r="B45" s="43">
        <f>IF('Krankenquote Objekte'!B45="","",'Krankenquote Objekte'!B45)</f>
        <v/>
      </c>
      <c r="C45" s="7">
        <f>IF('Krankenquote Objekte'!B45="","",'Krankenquote Objekte'!C45)</f>
        <v/>
      </c>
      <c r="D45" s="62">
        <f>$C$3/5*'Krankenquote Objekte'!D45</f>
        <v/>
      </c>
      <c r="E45" s="63" t="n"/>
      <c r="F45" s="63" t="n"/>
      <c r="G45" s="63" t="n"/>
      <c r="H45" s="63" t="n"/>
      <c r="I45" s="63" t="n"/>
      <c r="J45" s="63" t="n"/>
      <c r="K45" s="63" t="n"/>
      <c r="L45" s="63" t="n"/>
      <c r="M45" s="63" t="n"/>
      <c r="N45" s="63" t="n"/>
      <c r="O45" s="63" t="n"/>
      <c r="P45" s="63" t="n"/>
      <c r="Q45" s="50">
        <f>SUM(E45:P45)</f>
        <v/>
      </c>
      <c r="R45" s="24">
        <f>'Krankenquote Objekte'!F45*$D45</f>
        <v/>
      </c>
      <c r="S45" s="24">
        <f>'Krankenquote Objekte'!G45*$D45</f>
        <v/>
      </c>
      <c r="T45" s="24">
        <f>'Krankenquote Objekte'!H45*$D45</f>
        <v/>
      </c>
      <c r="U45" s="24">
        <f>'Krankenquote Objekte'!I45*$D45</f>
        <v/>
      </c>
      <c r="V45" s="24">
        <f>'Krankenquote Objekte'!J45*$D45</f>
        <v/>
      </c>
      <c r="W45" s="24">
        <f>'Krankenquote Objekte'!K45*$D45</f>
        <v/>
      </c>
      <c r="X45" s="24">
        <f>'Krankenquote Objekte'!L45*$D45</f>
        <v/>
      </c>
      <c r="Y45" s="24">
        <f>'Krankenquote Objekte'!M45*$D45</f>
        <v/>
      </c>
      <c r="Z45" s="24">
        <f>'Krankenquote Objekte'!N45*$D45</f>
        <v/>
      </c>
      <c r="AA45" s="24">
        <f>'Krankenquote Objekte'!O45*$D45</f>
        <v/>
      </c>
      <c r="AB45" s="24">
        <f>'Krankenquote Objekte'!P45*$D45</f>
        <v/>
      </c>
      <c r="AC45" s="24">
        <f>'Krankenquote Objekte'!Q45*$D45</f>
        <v/>
      </c>
      <c r="AD45" s="50">
        <f>SUM(R45:AC45)</f>
        <v/>
      </c>
      <c r="AE45" s="26">
        <f>IF(Q45+AD45&gt;0,AD45/(Q45+AD45),0)</f>
        <v/>
      </c>
      <c r="AF45" s="24">
        <f>IF($C$3&gt;0,AD45/($C$3/5),0)</f>
        <v/>
      </c>
    </row>
    <row r="46">
      <c r="A46" s="42">
        <f>IF('Krankenquote Objekte'!B46="","",'Krankenquote Objekte'!A46)</f>
        <v/>
      </c>
      <c r="B46" s="43">
        <f>IF('Krankenquote Objekte'!B46="","",'Krankenquote Objekte'!B46)</f>
        <v/>
      </c>
      <c r="C46" s="7">
        <f>IF('Krankenquote Objekte'!B46="","",'Krankenquote Objekte'!C46)</f>
        <v/>
      </c>
      <c r="D46" s="62">
        <f>$C$3/5*'Krankenquote Objekte'!D46</f>
        <v/>
      </c>
      <c r="E46" s="63" t="n"/>
      <c r="F46" s="63" t="n"/>
      <c r="G46" s="63" t="n"/>
      <c r="H46" s="63" t="n"/>
      <c r="I46" s="63" t="n"/>
      <c r="J46" s="63" t="n"/>
      <c r="K46" s="63" t="n"/>
      <c r="L46" s="63" t="n"/>
      <c r="M46" s="63" t="n"/>
      <c r="N46" s="63" t="n"/>
      <c r="O46" s="63" t="n"/>
      <c r="P46" s="63" t="n"/>
      <c r="Q46" s="50">
        <f>SUM(E46:P46)</f>
        <v/>
      </c>
      <c r="R46" s="24">
        <f>'Krankenquote Objekte'!F46*$D46</f>
        <v/>
      </c>
      <c r="S46" s="24">
        <f>'Krankenquote Objekte'!G46*$D46</f>
        <v/>
      </c>
      <c r="T46" s="24">
        <f>'Krankenquote Objekte'!H46*$D46</f>
        <v/>
      </c>
      <c r="U46" s="24">
        <f>'Krankenquote Objekte'!I46*$D46</f>
        <v/>
      </c>
      <c r="V46" s="24">
        <f>'Krankenquote Objekte'!J46*$D46</f>
        <v/>
      </c>
      <c r="W46" s="24">
        <f>'Krankenquote Objekte'!K46*$D46</f>
        <v/>
      </c>
      <c r="X46" s="24">
        <f>'Krankenquote Objekte'!L46*$D46</f>
        <v/>
      </c>
      <c r="Y46" s="24">
        <f>'Krankenquote Objekte'!M46*$D46</f>
        <v/>
      </c>
      <c r="Z46" s="24">
        <f>'Krankenquote Objekte'!N46*$D46</f>
        <v/>
      </c>
      <c r="AA46" s="24">
        <f>'Krankenquote Objekte'!O46*$D46</f>
        <v/>
      </c>
      <c r="AB46" s="24">
        <f>'Krankenquote Objekte'!P46*$D46</f>
        <v/>
      </c>
      <c r="AC46" s="24">
        <f>'Krankenquote Objekte'!Q46*$D46</f>
        <v/>
      </c>
      <c r="AD46" s="50">
        <f>SUM(R46:AC46)</f>
        <v/>
      </c>
      <c r="AE46" s="26">
        <f>IF(Q46+AD46&gt;0,AD46/(Q46+AD46),0)</f>
        <v/>
      </c>
      <c r="AF46" s="24">
        <f>IF($C$3&gt;0,AD46/($C$3/5),0)</f>
        <v/>
      </c>
    </row>
    <row r="47">
      <c r="A47" s="42">
        <f>IF('Krankenquote Objekte'!B47="","",'Krankenquote Objekte'!A47)</f>
        <v/>
      </c>
      <c r="B47" s="43">
        <f>IF('Krankenquote Objekte'!B47="","",'Krankenquote Objekte'!B47)</f>
        <v/>
      </c>
      <c r="C47" s="7">
        <f>IF('Krankenquote Objekte'!B47="","",'Krankenquote Objekte'!C47)</f>
        <v/>
      </c>
      <c r="D47" s="62">
        <f>$C$3/5*'Krankenquote Objekte'!D47</f>
        <v/>
      </c>
      <c r="E47" s="63" t="n"/>
      <c r="F47" s="63" t="n"/>
      <c r="G47" s="63" t="n"/>
      <c r="H47" s="63" t="n"/>
      <c r="I47" s="63" t="n"/>
      <c r="J47" s="63" t="n"/>
      <c r="K47" s="63" t="n"/>
      <c r="L47" s="63" t="n"/>
      <c r="M47" s="63" t="n"/>
      <c r="N47" s="63" t="n"/>
      <c r="O47" s="63" t="n"/>
      <c r="P47" s="63" t="n"/>
      <c r="Q47" s="50">
        <f>SUM(E47:P47)</f>
        <v/>
      </c>
      <c r="R47" s="24">
        <f>'Krankenquote Objekte'!F47*$D47</f>
        <v/>
      </c>
      <c r="S47" s="24">
        <f>'Krankenquote Objekte'!G47*$D47</f>
        <v/>
      </c>
      <c r="T47" s="24">
        <f>'Krankenquote Objekte'!H47*$D47</f>
        <v/>
      </c>
      <c r="U47" s="24">
        <f>'Krankenquote Objekte'!I47*$D47</f>
        <v/>
      </c>
      <c r="V47" s="24">
        <f>'Krankenquote Objekte'!J47*$D47</f>
        <v/>
      </c>
      <c r="W47" s="24">
        <f>'Krankenquote Objekte'!K47*$D47</f>
        <v/>
      </c>
      <c r="X47" s="24">
        <f>'Krankenquote Objekte'!L47*$D47</f>
        <v/>
      </c>
      <c r="Y47" s="24">
        <f>'Krankenquote Objekte'!M47*$D47</f>
        <v/>
      </c>
      <c r="Z47" s="24">
        <f>'Krankenquote Objekte'!N47*$D47</f>
        <v/>
      </c>
      <c r="AA47" s="24">
        <f>'Krankenquote Objekte'!O47*$D47</f>
        <v/>
      </c>
      <c r="AB47" s="24">
        <f>'Krankenquote Objekte'!P47*$D47</f>
        <v/>
      </c>
      <c r="AC47" s="24">
        <f>'Krankenquote Objekte'!Q47*$D47</f>
        <v/>
      </c>
      <c r="AD47" s="50">
        <f>SUM(R47:AC47)</f>
        <v/>
      </c>
      <c r="AE47" s="26">
        <f>IF(Q47+AD47&gt;0,AD47/(Q47+AD47),0)</f>
        <v/>
      </c>
      <c r="AF47" s="24">
        <f>IF($C$3&gt;0,AD47/($C$3/5),0)</f>
        <v/>
      </c>
    </row>
    <row r="48">
      <c r="A48" s="42">
        <f>IF('Krankenquote Objekte'!B48="","",'Krankenquote Objekte'!A48)</f>
        <v/>
      </c>
      <c r="B48" s="43">
        <f>IF('Krankenquote Objekte'!B48="","",'Krankenquote Objekte'!B48)</f>
        <v/>
      </c>
      <c r="C48" s="7">
        <f>IF('Krankenquote Objekte'!B48="","",'Krankenquote Objekte'!C48)</f>
        <v/>
      </c>
      <c r="D48" s="62">
        <f>$C$3/5*'Krankenquote Objekte'!D48</f>
        <v/>
      </c>
      <c r="E48" s="63" t="n"/>
      <c r="F48" s="63" t="n"/>
      <c r="G48" s="63" t="n"/>
      <c r="H48" s="63" t="n"/>
      <c r="I48" s="63" t="n"/>
      <c r="J48" s="63" t="n"/>
      <c r="K48" s="63" t="n"/>
      <c r="L48" s="63" t="n"/>
      <c r="M48" s="63" t="n"/>
      <c r="N48" s="63" t="n"/>
      <c r="O48" s="63" t="n"/>
      <c r="P48" s="63" t="n"/>
      <c r="Q48" s="50">
        <f>SUM(E48:P48)</f>
        <v/>
      </c>
      <c r="R48" s="24">
        <f>'Krankenquote Objekte'!F48*$D48</f>
        <v/>
      </c>
      <c r="S48" s="24">
        <f>'Krankenquote Objekte'!G48*$D48</f>
        <v/>
      </c>
      <c r="T48" s="24">
        <f>'Krankenquote Objekte'!H48*$D48</f>
        <v/>
      </c>
      <c r="U48" s="24">
        <f>'Krankenquote Objekte'!I48*$D48</f>
        <v/>
      </c>
      <c r="V48" s="24">
        <f>'Krankenquote Objekte'!J48*$D48</f>
        <v/>
      </c>
      <c r="W48" s="24">
        <f>'Krankenquote Objekte'!K48*$D48</f>
        <v/>
      </c>
      <c r="X48" s="24">
        <f>'Krankenquote Objekte'!L48*$D48</f>
        <v/>
      </c>
      <c r="Y48" s="24">
        <f>'Krankenquote Objekte'!M48*$D48</f>
        <v/>
      </c>
      <c r="Z48" s="24">
        <f>'Krankenquote Objekte'!N48*$D48</f>
        <v/>
      </c>
      <c r="AA48" s="24">
        <f>'Krankenquote Objekte'!O48*$D48</f>
        <v/>
      </c>
      <c r="AB48" s="24">
        <f>'Krankenquote Objekte'!P48*$D48</f>
        <v/>
      </c>
      <c r="AC48" s="24">
        <f>'Krankenquote Objekte'!Q48*$D48</f>
        <v/>
      </c>
      <c r="AD48" s="50">
        <f>SUM(R48:AC48)</f>
        <v/>
      </c>
      <c r="AE48" s="26">
        <f>IF(Q48+AD48&gt;0,AD48/(Q48+AD48),0)</f>
        <v/>
      </c>
      <c r="AF48" s="24">
        <f>IF($C$3&gt;0,AD48/($C$3/5),0)</f>
        <v/>
      </c>
    </row>
    <row r="49">
      <c r="A49" s="42">
        <f>IF('Krankenquote Objekte'!B49="","",'Krankenquote Objekte'!A49)</f>
        <v/>
      </c>
      <c r="B49" s="43">
        <f>IF('Krankenquote Objekte'!B49="","",'Krankenquote Objekte'!B49)</f>
        <v/>
      </c>
      <c r="C49" s="7">
        <f>IF('Krankenquote Objekte'!B49="","",'Krankenquote Objekte'!C49)</f>
        <v/>
      </c>
      <c r="D49" s="62">
        <f>$C$3/5*'Krankenquote Objekte'!D49</f>
        <v/>
      </c>
      <c r="E49" s="63" t="n"/>
      <c r="F49" s="63" t="n"/>
      <c r="G49" s="63" t="n"/>
      <c r="H49" s="63" t="n"/>
      <c r="I49" s="63" t="n"/>
      <c r="J49" s="63" t="n"/>
      <c r="K49" s="63" t="n"/>
      <c r="L49" s="63" t="n"/>
      <c r="M49" s="63" t="n"/>
      <c r="N49" s="63" t="n"/>
      <c r="O49" s="63" t="n"/>
      <c r="P49" s="63" t="n"/>
      <c r="Q49" s="50">
        <f>SUM(E49:P49)</f>
        <v/>
      </c>
      <c r="R49" s="24">
        <f>'Krankenquote Objekte'!F49*$D49</f>
        <v/>
      </c>
      <c r="S49" s="24">
        <f>'Krankenquote Objekte'!G49*$D49</f>
        <v/>
      </c>
      <c r="T49" s="24">
        <f>'Krankenquote Objekte'!H49*$D49</f>
        <v/>
      </c>
      <c r="U49" s="24">
        <f>'Krankenquote Objekte'!I49*$D49</f>
        <v/>
      </c>
      <c r="V49" s="24">
        <f>'Krankenquote Objekte'!J49*$D49</f>
        <v/>
      </c>
      <c r="W49" s="24">
        <f>'Krankenquote Objekte'!K49*$D49</f>
        <v/>
      </c>
      <c r="X49" s="24">
        <f>'Krankenquote Objekte'!L49*$D49</f>
        <v/>
      </c>
      <c r="Y49" s="24">
        <f>'Krankenquote Objekte'!M49*$D49</f>
        <v/>
      </c>
      <c r="Z49" s="24">
        <f>'Krankenquote Objekte'!N49*$D49</f>
        <v/>
      </c>
      <c r="AA49" s="24">
        <f>'Krankenquote Objekte'!O49*$D49</f>
        <v/>
      </c>
      <c r="AB49" s="24">
        <f>'Krankenquote Objekte'!P49*$D49</f>
        <v/>
      </c>
      <c r="AC49" s="24">
        <f>'Krankenquote Objekte'!Q49*$D49</f>
        <v/>
      </c>
      <c r="AD49" s="50">
        <f>SUM(R49:AC49)</f>
        <v/>
      </c>
      <c r="AE49" s="26">
        <f>IF(Q49+AD49&gt;0,AD49/(Q49+AD49),0)</f>
        <v/>
      </c>
      <c r="AF49" s="24">
        <f>IF($C$3&gt;0,AD49/($C$3/5),0)</f>
        <v/>
      </c>
    </row>
    <row r="50">
      <c r="A50" s="42">
        <f>IF('Krankenquote Objekte'!B50="","",'Krankenquote Objekte'!A50)</f>
        <v/>
      </c>
      <c r="B50" s="43">
        <f>IF('Krankenquote Objekte'!B50="","",'Krankenquote Objekte'!B50)</f>
        <v/>
      </c>
      <c r="C50" s="7">
        <f>IF('Krankenquote Objekte'!B50="","",'Krankenquote Objekte'!C50)</f>
        <v/>
      </c>
      <c r="D50" s="62">
        <f>$C$3/5*'Krankenquote Objekte'!D50</f>
        <v/>
      </c>
      <c r="E50" s="63" t="n"/>
      <c r="F50" s="63" t="n"/>
      <c r="G50" s="63" t="n"/>
      <c r="H50" s="63" t="n"/>
      <c r="I50" s="63" t="n"/>
      <c r="J50" s="63" t="n"/>
      <c r="K50" s="63" t="n"/>
      <c r="L50" s="63" t="n"/>
      <c r="M50" s="63" t="n"/>
      <c r="N50" s="63" t="n"/>
      <c r="O50" s="63" t="n"/>
      <c r="P50" s="63" t="n"/>
      <c r="Q50" s="50">
        <f>SUM(E50:P50)</f>
        <v/>
      </c>
      <c r="R50" s="24">
        <f>'Krankenquote Objekte'!F50*$D50</f>
        <v/>
      </c>
      <c r="S50" s="24">
        <f>'Krankenquote Objekte'!G50*$D50</f>
        <v/>
      </c>
      <c r="T50" s="24">
        <f>'Krankenquote Objekte'!H50*$D50</f>
        <v/>
      </c>
      <c r="U50" s="24">
        <f>'Krankenquote Objekte'!I50*$D50</f>
        <v/>
      </c>
      <c r="V50" s="24">
        <f>'Krankenquote Objekte'!J50*$D50</f>
        <v/>
      </c>
      <c r="W50" s="24">
        <f>'Krankenquote Objekte'!K50*$D50</f>
        <v/>
      </c>
      <c r="X50" s="24">
        <f>'Krankenquote Objekte'!L50*$D50</f>
        <v/>
      </c>
      <c r="Y50" s="24">
        <f>'Krankenquote Objekte'!M50*$D50</f>
        <v/>
      </c>
      <c r="Z50" s="24">
        <f>'Krankenquote Objekte'!N50*$D50</f>
        <v/>
      </c>
      <c r="AA50" s="24">
        <f>'Krankenquote Objekte'!O50*$D50</f>
        <v/>
      </c>
      <c r="AB50" s="24">
        <f>'Krankenquote Objekte'!P50*$D50</f>
        <v/>
      </c>
      <c r="AC50" s="24">
        <f>'Krankenquote Objekte'!Q50*$D50</f>
        <v/>
      </c>
      <c r="AD50" s="50">
        <f>SUM(R50:AC50)</f>
        <v/>
      </c>
      <c r="AE50" s="26">
        <f>IF(Q50+AD50&gt;0,AD50/(Q50+AD50),0)</f>
        <v/>
      </c>
      <c r="AF50" s="24">
        <f>IF($C$3&gt;0,AD50/($C$3/5),0)</f>
        <v/>
      </c>
    </row>
    <row r="51">
      <c r="A51" s="42">
        <f>IF('Krankenquote Objekte'!B51="","",'Krankenquote Objekte'!A51)</f>
        <v/>
      </c>
      <c r="B51" s="43">
        <f>IF('Krankenquote Objekte'!B51="","",'Krankenquote Objekte'!B51)</f>
        <v/>
      </c>
      <c r="C51" s="7">
        <f>IF('Krankenquote Objekte'!B51="","",'Krankenquote Objekte'!C51)</f>
        <v/>
      </c>
      <c r="D51" s="62">
        <f>$C$3/5*'Krankenquote Objekte'!D51</f>
        <v/>
      </c>
      <c r="E51" s="63" t="n"/>
      <c r="F51" s="63" t="n"/>
      <c r="G51" s="63" t="n"/>
      <c r="H51" s="63" t="n"/>
      <c r="I51" s="63" t="n"/>
      <c r="J51" s="63" t="n"/>
      <c r="K51" s="63" t="n"/>
      <c r="L51" s="63" t="n"/>
      <c r="M51" s="63" t="n"/>
      <c r="N51" s="63" t="n"/>
      <c r="O51" s="63" t="n"/>
      <c r="P51" s="63" t="n"/>
      <c r="Q51" s="50">
        <f>SUM(E51:P51)</f>
        <v/>
      </c>
      <c r="R51" s="24">
        <f>'Krankenquote Objekte'!F51*$D51</f>
        <v/>
      </c>
      <c r="S51" s="24">
        <f>'Krankenquote Objekte'!G51*$D51</f>
        <v/>
      </c>
      <c r="T51" s="24">
        <f>'Krankenquote Objekte'!H51*$D51</f>
        <v/>
      </c>
      <c r="U51" s="24">
        <f>'Krankenquote Objekte'!I51*$D51</f>
        <v/>
      </c>
      <c r="V51" s="24">
        <f>'Krankenquote Objekte'!J51*$D51</f>
        <v/>
      </c>
      <c r="W51" s="24">
        <f>'Krankenquote Objekte'!K51*$D51</f>
        <v/>
      </c>
      <c r="X51" s="24">
        <f>'Krankenquote Objekte'!L51*$D51</f>
        <v/>
      </c>
      <c r="Y51" s="24">
        <f>'Krankenquote Objekte'!M51*$D51</f>
        <v/>
      </c>
      <c r="Z51" s="24">
        <f>'Krankenquote Objekte'!N51*$D51</f>
        <v/>
      </c>
      <c r="AA51" s="24">
        <f>'Krankenquote Objekte'!O51*$D51</f>
        <v/>
      </c>
      <c r="AB51" s="24">
        <f>'Krankenquote Objekte'!P51*$D51</f>
        <v/>
      </c>
      <c r="AC51" s="24">
        <f>'Krankenquote Objekte'!Q51*$D51</f>
        <v/>
      </c>
      <c r="AD51" s="50">
        <f>SUM(R51:AC51)</f>
        <v/>
      </c>
      <c r="AE51" s="26">
        <f>IF(Q51+AD51&gt;0,AD51/(Q51+AD51),0)</f>
        <v/>
      </c>
      <c r="AF51" s="24">
        <f>IF($C$3&gt;0,AD51/($C$3/5),0)</f>
        <v/>
      </c>
    </row>
    <row r="52">
      <c r="A52" s="42">
        <f>IF('Krankenquote Objekte'!B52="","",'Krankenquote Objekte'!A52)</f>
        <v/>
      </c>
      <c r="B52" s="43">
        <f>IF('Krankenquote Objekte'!B52="","",'Krankenquote Objekte'!B52)</f>
        <v/>
      </c>
      <c r="C52" s="7">
        <f>IF('Krankenquote Objekte'!B52="","",'Krankenquote Objekte'!C52)</f>
        <v/>
      </c>
      <c r="D52" s="62">
        <f>$C$3/5*'Krankenquote Objekte'!D52</f>
        <v/>
      </c>
      <c r="E52" s="63" t="n"/>
      <c r="F52" s="63" t="n"/>
      <c r="G52" s="63" t="n"/>
      <c r="H52" s="63" t="n"/>
      <c r="I52" s="63" t="n"/>
      <c r="J52" s="63" t="n"/>
      <c r="K52" s="63" t="n"/>
      <c r="L52" s="63" t="n"/>
      <c r="M52" s="63" t="n"/>
      <c r="N52" s="63" t="n"/>
      <c r="O52" s="63" t="n"/>
      <c r="P52" s="63" t="n"/>
      <c r="Q52" s="50">
        <f>SUM(E52:P52)</f>
        <v/>
      </c>
      <c r="R52" s="24">
        <f>'Krankenquote Objekte'!F52*$D52</f>
        <v/>
      </c>
      <c r="S52" s="24">
        <f>'Krankenquote Objekte'!G52*$D52</f>
        <v/>
      </c>
      <c r="T52" s="24">
        <f>'Krankenquote Objekte'!H52*$D52</f>
        <v/>
      </c>
      <c r="U52" s="24">
        <f>'Krankenquote Objekte'!I52*$D52</f>
        <v/>
      </c>
      <c r="V52" s="24">
        <f>'Krankenquote Objekte'!J52*$D52</f>
        <v/>
      </c>
      <c r="W52" s="24">
        <f>'Krankenquote Objekte'!K52*$D52</f>
        <v/>
      </c>
      <c r="X52" s="24">
        <f>'Krankenquote Objekte'!L52*$D52</f>
        <v/>
      </c>
      <c r="Y52" s="24">
        <f>'Krankenquote Objekte'!M52*$D52</f>
        <v/>
      </c>
      <c r="Z52" s="24">
        <f>'Krankenquote Objekte'!N52*$D52</f>
        <v/>
      </c>
      <c r="AA52" s="24">
        <f>'Krankenquote Objekte'!O52*$D52</f>
        <v/>
      </c>
      <c r="AB52" s="24">
        <f>'Krankenquote Objekte'!P52*$D52</f>
        <v/>
      </c>
      <c r="AC52" s="24">
        <f>'Krankenquote Objekte'!Q52*$D52</f>
        <v/>
      </c>
      <c r="AD52" s="50">
        <f>SUM(R52:AC52)</f>
        <v/>
      </c>
      <c r="AE52" s="26">
        <f>IF(Q52+AD52&gt;0,AD52/(Q52+AD52),0)</f>
        <v/>
      </c>
      <c r="AF52" s="24">
        <f>IF($C$3&gt;0,AD52/($C$3/5),0)</f>
        <v/>
      </c>
    </row>
    <row r="53">
      <c r="A53" s="42">
        <f>IF('Krankenquote Objekte'!B53="","",'Krankenquote Objekte'!A53)</f>
        <v/>
      </c>
      <c r="B53" s="43">
        <f>IF('Krankenquote Objekte'!B53="","",'Krankenquote Objekte'!B53)</f>
        <v/>
      </c>
      <c r="C53" s="7">
        <f>IF('Krankenquote Objekte'!B53="","",'Krankenquote Objekte'!C53)</f>
        <v/>
      </c>
      <c r="D53" s="62">
        <f>$C$3/5*'Krankenquote Objekte'!D53</f>
        <v/>
      </c>
      <c r="E53" s="63" t="n"/>
      <c r="F53" s="63" t="n"/>
      <c r="G53" s="63" t="n"/>
      <c r="H53" s="63" t="n"/>
      <c r="I53" s="63" t="n"/>
      <c r="J53" s="63" t="n"/>
      <c r="K53" s="63" t="n"/>
      <c r="L53" s="63" t="n"/>
      <c r="M53" s="63" t="n"/>
      <c r="N53" s="63" t="n"/>
      <c r="O53" s="63" t="n"/>
      <c r="P53" s="63" t="n"/>
      <c r="Q53" s="50">
        <f>SUM(E53:P53)</f>
        <v/>
      </c>
      <c r="R53" s="24">
        <f>'Krankenquote Objekte'!F53*$D53</f>
        <v/>
      </c>
      <c r="S53" s="24">
        <f>'Krankenquote Objekte'!G53*$D53</f>
        <v/>
      </c>
      <c r="T53" s="24">
        <f>'Krankenquote Objekte'!H53*$D53</f>
        <v/>
      </c>
      <c r="U53" s="24">
        <f>'Krankenquote Objekte'!I53*$D53</f>
        <v/>
      </c>
      <c r="V53" s="24">
        <f>'Krankenquote Objekte'!J53*$D53</f>
        <v/>
      </c>
      <c r="W53" s="24">
        <f>'Krankenquote Objekte'!K53*$D53</f>
        <v/>
      </c>
      <c r="X53" s="24">
        <f>'Krankenquote Objekte'!L53*$D53</f>
        <v/>
      </c>
      <c r="Y53" s="24">
        <f>'Krankenquote Objekte'!M53*$D53</f>
        <v/>
      </c>
      <c r="Z53" s="24">
        <f>'Krankenquote Objekte'!N53*$D53</f>
        <v/>
      </c>
      <c r="AA53" s="24">
        <f>'Krankenquote Objekte'!O53*$D53</f>
        <v/>
      </c>
      <c r="AB53" s="24">
        <f>'Krankenquote Objekte'!P53*$D53</f>
        <v/>
      </c>
      <c r="AC53" s="24">
        <f>'Krankenquote Objekte'!Q53*$D53</f>
        <v/>
      </c>
      <c r="AD53" s="50">
        <f>SUM(R53:AC53)</f>
        <v/>
      </c>
      <c r="AE53" s="26">
        <f>IF(Q53+AD53&gt;0,AD53/(Q53+AD53),0)</f>
        <v/>
      </c>
      <c r="AF53" s="24">
        <f>IF($C$3&gt;0,AD53/($C$3/5),0)</f>
        <v/>
      </c>
    </row>
    <row r="54">
      <c r="A54" s="42">
        <f>IF('Krankenquote Objekte'!B54="","",'Krankenquote Objekte'!A54)</f>
        <v/>
      </c>
      <c r="B54" s="43">
        <f>IF('Krankenquote Objekte'!B54="","",'Krankenquote Objekte'!B54)</f>
        <v/>
      </c>
      <c r="C54" s="7">
        <f>IF('Krankenquote Objekte'!B54="","",'Krankenquote Objekte'!C54)</f>
        <v/>
      </c>
      <c r="D54" s="62">
        <f>$C$3/5*'Krankenquote Objekte'!D54</f>
        <v/>
      </c>
      <c r="E54" s="63" t="n"/>
      <c r="F54" s="63" t="n"/>
      <c r="G54" s="63" t="n"/>
      <c r="H54" s="63" t="n"/>
      <c r="I54" s="63" t="n"/>
      <c r="J54" s="63" t="n"/>
      <c r="K54" s="63" t="n"/>
      <c r="L54" s="63" t="n"/>
      <c r="M54" s="63" t="n"/>
      <c r="N54" s="63" t="n"/>
      <c r="O54" s="63" t="n"/>
      <c r="P54" s="63" t="n"/>
      <c r="Q54" s="50">
        <f>SUM(E54:P54)</f>
        <v/>
      </c>
      <c r="R54" s="24">
        <f>'Krankenquote Objekte'!F54*$D54</f>
        <v/>
      </c>
      <c r="S54" s="24">
        <f>'Krankenquote Objekte'!G54*$D54</f>
        <v/>
      </c>
      <c r="T54" s="24">
        <f>'Krankenquote Objekte'!H54*$D54</f>
        <v/>
      </c>
      <c r="U54" s="24">
        <f>'Krankenquote Objekte'!I54*$D54</f>
        <v/>
      </c>
      <c r="V54" s="24">
        <f>'Krankenquote Objekte'!J54*$D54</f>
        <v/>
      </c>
      <c r="W54" s="24">
        <f>'Krankenquote Objekte'!K54*$D54</f>
        <v/>
      </c>
      <c r="X54" s="24">
        <f>'Krankenquote Objekte'!L54*$D54</f>
        <v/>
      </c>
      <c r="Y54" s="24">
        <f>'Krankenquote Objekte'!M54*$D54</f>
        <v/>
      </c>
      <c r="Z54" s="24">
        <f>'Krankenquote Objekte'!N54*$D54</f>
        <v/>
      </c>
      <c r="AA54" s="24">
        <f>'Krankenquote Objekte'!O54*$D54</f>
        <v/>
      </c>
      <c r="AB54" s="24">
        <f>'Krankenquote Objekte'!P54*$D54</f>
        <v/>
      </c>
      <c r="AC54" s="24">
        <f>'Krankenquote Objekte'!Q54*$D54</f>
        <v/>
      </c>
      <c r="AD54" s="50">
        <f>SUM(R54:AC54)</f>
        <v/>
      </c>
      <c r="AE54" s="26">
        <f>IF(Q54+AD54&gt;0,AD54/(Q54+AD54),0)</f>
        <v/>
      </c>
      <c r="AF54" s="24">
        <f>IF($C$3&gt;0,AD54/($C$3/5),0)</f>
        <v/>
      </c>
    </row>
    <row r="55">
      <c r="A55" s="42">
        <f>IF('Krankenquote Objekte'!B55="","",'Krankenquote Objekte'!A55)</f>
        <v/>
      </c>
      <c r="B55" s="43">
        <f>IF('Krankenquote Objekte'!B55="","",'Krankenquote Objekte'!B55)</f>
        <v/>
      </c>
      <c r="C55" s="7">
        <f>IF('Krankenquote Objekte'!B55="","",'Krankenquote Objekte'!C55)</f>
        <v/>
      </c>
      <c r="D55" s="62">
        <f>$C$3/5*'Krankenquote Objekte'!D55</f>
        <v/>
      </c>
      <c r="E55" s="63" t="n"/>
      <c r="F55" s="63" t="n"/>
      <c r="G55" s="63" t="n"/>
      <c r="H55" s="63" t="n"/>
      <c r="I55" s="63" t="n"/>
      <c r="J55" s="63" t="n"/>
      <c r="K55" s="63" t="n"/>
      <c r="L55" s="63" t="n"/>
      <c r="M55" s="63" t="n"/>
      <c r="N55" s="63" t="n"/>
      <c r="O55" s="63" t="n"/>
      <c r="P55" s="63" t="n"/>
      <c r="Q55" s="50">
        <f>SUM(E55:P55)</f>
        <v/>
      </c>
      <c r="R55" s="24">
        <f>'Krankenquote Objekte'!F55*$D55</f>
        <v/>
      </c>
      <c r="S55" s="24">
        <f>'Krankenquote Objekte'!G55*$D55</f>
        <v/>
      </c>
      <c r="T55" s="24">
        <f>'Krankenquote Objekte'!H55*$D55</f>
        <v/>
      </c>
      <c r="U55" s="24">
        <f>'Krankenquote Objekte'!I55*$D55</f>
        <v/>
      </c>
      <c r="V55" s="24">
        <f>'Krankenquote Objekte'!J55*$D55</f>
        <v/>
      </c>
      <c r="W55" s="24">
        <f>'Krankenquote Objekte'!K55*$D55</f>
        <v/>
      </c>
      <c r="X55" s="24">
        <f>'Krankenquote Objekte'!L55*$D55</f>
        <v/>
      </c>
      <c r="Y55" s="24">
        <f>'Krankenquote Objekte'!M55*$D55</f>
        <v/>
      </c>
      <c r="Z55" s="24">
        <f>'Krankenquote Objekte'!N55*$D55</f>
        <v/>
      </c>
      <c r="AA55" s="24">
        <f>'Krankenquote Objekte'!O55*$D55</f>
        <v/>
      </c>
      <c r="AB55" s="24">
        <f>'Krankenquote Objekte'!P55*$D55</f>
        <v/>
      </c>
      <c r="AC55" s="24">
        <f>'Krankenquote Objekte'!Q55*$D55</f>
        <v/>
      </c>
      <c r="AD55" s="50">
        <f>SUM(R55:AC55)</f>
        <v/>
      </c>
      <c r="AE55" s="26">
        <f>IF(Q55+AD55&gt;0,AD55/(Q55+AD55),0)</f>
        <v/>
      </c>
      <c r="AF55" s="24">
        <f>IF($C$3&gt;0,AD55/($C$3/5),0)</f>
        <v/>
      </c>
    </row>
    <row r="56">
      <c r="A56" s="42">
        <f>IF('Krankenquote Objekte'!B56="","",'Krankenquote Objekte'!A56)</f>
        <v/>
      </c>
      <c r="B56" s="43">
        <f>IF('Krankenquote Objekte'!B56="","",'Krankenquote Objekte'!B56)</f>
        <v/>
      </c>
      <c r="C56" s="7">
        <f>IF('Krankenquote Objekte'!B56="","",'Krankenquote Objekte'!C56)</f>
        <v/>
      </c>
      <c r="D56" s="62">
        <f>$C$3/5*'Krankenquote Objekte'!D56</f>
        <v/>
      </c>
      <c r="E56" s="63" t="n"/>
      <c r="F56" s="63" t="n"/>
      <c r="G56" s="63" t="n"/>
      <c r="H56" s="63" t="n"/>
      <c r="I56" s="63" t="n"/>
      <c r="J56" s="63" t="n"/>
      <c r="K56" s="63" t="n"/>
      <c r="L56" s="63" t="n"/>
      <c r="M56" s="63" t="n"/>
      <c r="N56" s="63" t="n"/>
      <c r="O56" s="63" t="n"/>
      <c r="P56" s="63" t="n"/>
      <c r="Q56" s="50">
        <f>SUM(E56:P56)</f>
        <v/>
      </c>
      <c r="R56" s="24">
        <f>'Krankenquote Objekte'!F56*$D56</f>
        <v/>
      </c>
      <c r="S56" s="24">
        <f>'Krankenquote Objekte'!G56*$D56</f>
        <v/>
      </c>
      <c r="T56" s="24">
        <f>'Krankenquote Objekte'!H56*$D56</f>
        <v/>
      </c>
      <c r="U56" s="24">
        <f>'Krankenquote Objekte'!I56*$D56</f>
        <v/>
      </c>
      <c r="V56" s="24">
        <f>'Krankenquote Objekte'!J56*$D56</f>
        <v/>
      </c>
      <c r="W56" s="24">
        <f>'Krankenquote Objekte'!K56*$D56</f>
        <v/>
      </c>
      <c r="X56" s="24">
        <f>'Krankenquote Objekte'!L56*$D56</f>
        <v/>
      </c>
      <c r="Y56" s="24">
        <f>'Krankenquote Objekte'!M56*$D56</f>
        <v/>
      </c>
      <c r="Z56" s="24">
        <f>'Krankenquote Objekte'!N56*$D56</f>
        <v/>
      </c>
      <c r="AA56" s="24">
        <f>'Krankenquote Objekte'!O56*$D56</f>
        <v/>
      </c>
      <c r="AB56" s="24">
        <f>'Krankenquote Objekte'!P56*$D56</f>
        <v/>
      </c>
      <c r="AC56" s="24">
        <f>'Krankenquote Objekte'!Q56*$D56</f>
        <v/>
      </c>
      <c r="AD56" s="50">
        <f>SUM(R56:AC56)</f>
        <v/>
      </c>
      <c r="AE56" s="26">
        <f>IF(Q56+AD56&gt;0,AD56/(Q56+AD56),0)</f>
        <v/>
      </c>
      <c r="AF56" s="24">
        <f>IF($C$3&gt;0,AD56/($C$3/5),0)</f>
        <v/>
      </c>
    </row>
    <row r="57">
      <c r="A57" s="28" t="n"/>
      <c r="B57" s="28">
        <f>"Summe "&amp;B6</f>
        <v/>
      </c>
      <c r="C57" s="28" t="n"/>
      <c r="D57" s="30">
        <f>SUM(D7:D56)</f>
        <v/>
      </c>
      <c r="E57" s="31">
        <f>SUM(E7:E56)</f>
        <v/>
      </c>
      <c r="F57" s="31">
        <f>SUM(F7:F56)</f>
        <v/>
      </c>
      <c r="G57" s="31">
        <f>SUM(G7:G56)</f>
        <v/>
      </c>
      <c r="H57" s="31">
        <f>SUM(H7:H56)</f>
        <v/>
      </c>
      <c r="I57" s="31">
        <f>SUM(I7:I56)</f>
        <v/>
      </c>
      <c r="J57" s="31">
        <f>SUM(J7:J56)</f>
        <v/>
      </c>
      <c r="K57" s="31">
        <f>SUM(K7:K56)</f>
        <v/>
      </c>
      <c r="L57" s="31">
        <f>SUM(L7:L56)</f>
        <v/>
      </c>
      <c r="M57" s="31">
        <f>SUM(M7:M56)</f>
        <v/>
      </c>
      <c r="N57" s="31">
        <f>SUM(N7:N56)</f>
        <v/>
      </c>
      <c r="O57" s="31">
        <f>SUM(O7:O56)</f>
        <v/>
      </c>
      <c r="P57" s="31">
        <f>SUM(P7:P56)</f>
        <v/>
      </c>
      <c r="Q57" s="31">
        <f>SUM(Q7:Q56)</f>
        <v/>
      </c>
      <c r="R57" s="31">
        <f>SUM(R7:R56)</f>
        <v/>
      </c>
      <c r="S57" s="31">
        <f>SUM(S7:S56)</f>
        <v/>
      </c>
      <c r="T57" s="31">
        <f>SUM(T7:T56)</f>
        <v/>
      </c>
      <c r="U57" s="31">
        <f>SUM(U7:U56)</f>
        <v/>
      </c>
      <c r="V57" s="31">
        <f>SUM(V7:V56)</f>
        <v/>
      </c>
      <c r="W57" s="31">
        <f>SUM(W7:W56)</f>
        <v/>
      </c>
      <c r="X57" s="31">
        <f>SUM(X7:X56)</f>
        <v/>
      </c>
      <c r="Y57" s="31">
        <f>SUM(Y7:Y56)</f>
        <v/>
      </c>
      <c r="Z57" s="31">
        <f>SUM(Z7:Z56)</f>
        <v/>
      </c>
      <c r="AA57" s="31">
        <f>SUM(AA7:AA56)</f>
        <v/>
      </c>
      <c r="AB57" s="31">
        <f>SUM(AB7:AB56)</f>
        <v/>
      </c>
      <c r="AC57" s="31">
        <f>SUM(AC7:AC56)</f>
        <v/>
      </c>
      <c r="AD57" s="31">
        <f>SUM(AD7:AD56)</f>
        <v/>
      </c>
      <c r="AE57" s="33">
        <f>IF(Q57+AD57&gt;0,AD57/(Q57+AD57),0)</f>
        <v/>
      </c>
      <c r="AF57" s="31">
        <f>SUM(AF7:AF56)</f>
        <v/>
      </c>
    </row>
    <row r="58">
      <c r="A58" s="34" t="n"/>
      <c r="B58" s="28" t="inlineStr">
        <is>
          <t>Monatsquote (Std.)</t>
        </is>
      </c>
      <c r="C58" s="34" t="n"/>
      <c r="D58" s="34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  <c r="O58" s="34" t="n"/>
      <c r="P58" s="34" t="n"/>
      <c r="Q58" s="34" t="n"/>
      <c r="R58" s="33">
        <f>IF(E57+R57&gt;0,R57/(E57+R57),0)</f>
        <v/>
      </c>
      <c r="S58" s="33">
        <f>IF(F57+S57&gt;0,S57/(F57+S57),0)</f>
        <v/>
      </c>
      <c r="T58" s="33">
        <f>IF(G57+T57&gt;0,T57/(G57+T57),0)</f>
        <v/>
      </c>
      <c r="U58" s="33">
        <f>IF(H57+U57&gt;0,U57/(H57+U57),0)</f>
        <v/>
      </c>
      <c r="V58" s="33">
        <f>IF(I57+V57&gt;0,V57/(I57+V57),0)</f>
        <v/>
      </c>
      <c r="W58" s="33">
        <f>IF(J57+W57&gt;0,W57/(J57+W57),0)</f>
        <v/>
      </c>
      <c r="X58" s="33">
        <f>IF(K57+X57&gt;0,X57/(K57+X57),0)</f>
        <v/>
      </c>
      <c r="Y58" s="33">
        <f>IF(L57+Y57&gt;0,Y57/(L57+Y57),0)</f>
        <v/>
      </c>
      <c r="Z58" s="33">
        <f>IF(M57+Z57&gt;0,Z57/(M57+Z57),0)</f>
        <v/>
      </c>
      <c r="AA58" s="33">
        <f>IF(N57+AA57&gt;0,AA57/(N57+AA57),0)</f>
        <v/>
      </c>
      <c r="AB58" s="33">
        <f>IF(O57+AB57&gt;0,AB57/(O57+AB57),0)</f>
        <v/>
      </c>
      <c r="AC58" s="33">
        <f>IF(P57+AC57&gt;0,AC57/(P57+AC57),0)</f>
        <v/>
      </c>
      <c r="AD58" s="34" t="n"/>
      <c r="AE58" s="34" t="n"/>
      <c r="AF58" s="34" t="n"/>
    </row>
    <row r="60">
      <c r="A60" s="35" t="inlineStr">
        <is>
          <t>Objekt:</t>
        </is>
      </c>
      <c r="B60" s="64">
        <f>'Krankenquote Objekte'!B60</f>
        <v/>
      </c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6" t="n"/>
      <c r="T60" s="36" t="n"/>
      <c r="U60" s="36" t="n"/>
      <c r="V60" s="36" t="n"/>
      <c r="W60" s="36" t="n"/>
      <c r="X60" s="36" t="n"/>
      <c r="Y60" s="36" t="n"/>
      <c r="Z60" s="36" t="n"/>
      <c r="AA60" s="36" t="n"/>
      <c r="AB60" s="36" t="n"/>
      <c r="AC60" s="36" t="n"/>
      <c r="AD60" s="36" t="n"/>
      <c r="AE60" s="36" t="n"/>
      <c r="AF60" s="36" t="n"/>
    </row>
    <row r="61">
      <c r="A61" s="42">
        <f>IF('Krankenquote Objekte'!B61="","",'Krankenquote Objekte'!A61)</f>
        <v/>
      </c>
      <c r="B61" s="43">
        <f>IF('Krankenquote Objekte'!B61="","",'Krankenquote Objekte'!B61)</f>
        <v/>
      </c>
      <c r="C61" s="7">
        <f>IF('Krankenquote Objekte'!B61="","",'Krankenquote Objekte'!C61)</f>
        <v/>
      </c>
      <c r="D61" s="62">
        <f>$C$3/5*'Krankenquote Objekte'!D61</f>
        <v/>
      </c>
      <c r="E61" s="63" t="n">
        <v>168</v>
      </c>
      <c r="F61" s="63" t="n">
        <v>120</v>
      </c>
      <c r="G61" s="63" t="n">
        <v>176</v>
      </c>
      <c r="H61" s="63" t="n">
        <v>160</v>
      </c>
      <c r="I61" s="63" t="n">
        <v>142.5</v>
      </c>
      <c r="J61" s="63" t="n">
        <v>168</v>
      </c>
      <c r="K61" s="63" t="n">
        <v>187</v>
      </c>
      <c r="L61" s="63" t="n">
        <v>168</v>
      </c>
      <c r="M61" s="63" t="n">
        <v>160</v>
      </c>
      <c r="N61" s="63" t="n">
        <v>128</v>
      </c>
      <c r="O61" s="63" t="n">
        <v>145.5</v>
      </c>
      <c r="P61" s="63" t="n">
        <v>163</v>
      </c>
      <c r="Q61" s="50">
        <f>SUM(E61:P61)</f>
        <v/>
      </c>
      <c r="R61" s="24">
        <f>'Krankenquote Objekte'!F61*$D61</f>
        <v/>
      </c>
      <c r="S61" s="24">
        <f>'Krankenquote Objekte'!G61*$D61</f>
        <v/>
      </c>
      <c r="T61" s="24">
        <f>'Krankenquote Objekte'!H61*$D61</f>
        <v/>
      </c>
      <c r="U61" s="24">
        <f>'Krankenquote Objekte'!I61*$D61</f>
        <v/>
      </c>
      <c r="V61" s="24">
        <f>'Krankenquote Objekte'!J61*$D61</f>
        <v/>
      </c>
      <c r="W61" s="24">
        <f>'Krankenquote Objekte'!K61*$D61</f>
        <v/>
      </c>
      <c r="X61" s="24">
        <f>'Krankenquote Objekte'!L61*$D61</f>
        <v/>
      </c>
      <c r="Y61" s="24">
        <f>'Krankenquote Objekte'!M61*$D61</f>
        <v/>
      </c>
      <c r="Z61" s="24">
        <f>'Krankenquote Objekte'!N61*$D61</f>
        <v/>
      </c>
      <c r="AA61" s="24">
        <f>'Krankenquote Objekte'!O61*$D61</f>
        <v/>
      </c>
      <c r="AB61" s="24">
        <f>'Krankenquote Objekte'!P61*$D61</f>
        <v/>
      </c>
      <c r="AC61" s="24">
        <f>'Krankenquote Objekte'!Q61*$D61</f>
        <v/>
      </c>
      <c r="AD61" s="50">
        <f>SUM(R61:AC61)</f>
        <v/>
      </c>
      <c r="AE61" s="26">
        <f>IF(Q61+AD61&gt;0,AD61/(Q61+AD61),0)</f>
        <v/>
      </c>
      <c r="AF61" s="24">
        <f>IF($C$3&gt;0,AD61/($C$3/5),0)</f>
        <v/>
      </c>
    </row>
    <row r="62">
      <c r="A62" s="42">
        <f>IF('Krankenquote Objekte'!B62="","",'Krankenquote Objekte'!A62)</f>
        <v/>
      </c>
      <c r="B62" s="43">
        <f>IF('Krankenquote Objekte'!B62="","",'Krankenquote Objekte'!B62)</f>
        <v/>
      </c>
      <c r="C62" s="7">
        <f>IF('Krankenquote Objekte'!B62="","",'Krankenquote Objekte'!C62)</f>
        <v/>
      </c>
      <c r="D62" s="62">
        <f>$C$3/5*'Krankenquote Objekte'!D62</f>
        <v/>
      </c>
      <c r="E62" s="63" t="n">
        <v>85.5</v>
      </c>
      <c r="F62" s="63" t="n">
        <v>80</v>
      </c>
      <c r="G62" s="63" t="n">
        <v>88</v>
      </c>
      <c r="H62" s="63" t="n">
        <v>80</v>
      </c>
      <c r="I62" s="63" t="n">
        <v>73.5</v>
      </c>
      <c r="J62" s="63" t="n">
        <v>75</v>
      </c>
      <c r="K62" s="63" t="n">
        <v>88</v>
      </c>
      <c r="L62" s="63" t="n">
        <v>73.5</v>
      </c>
      <c r="M62" s="63" t="n">
        <v>88</v>
      </c>
      <c r="N62" s="63" t="n">
        <v>79</v>
      </c>
      <c r="O62" s="63" t="n">
        <v>72</v>
      </c>
      <c r="P62" s="63" t="n">
        <v>80</v>
      </c>
      <c r="Q62" s="50">
        <f>SUM(E62:P62)</f>
        <v/>
      </c>
      <c r="R62" s="24">
        <f>'Krankenquote Objekte'!F62*$D62</f>
        <v/>
      </c>
      <c r="S62" s="24">
        <f>'Krankenquote Objekte'!G62*$D62</f>
        <v/>
      </c>
      <c r="T62" s="24">
        <f>'Krankenquote Objekte'!H62*$D62</f>
        <v/>
      </c>
      <c r="U62" s="24">
        <f>'Krankenquote Objekte'!I62*$D62</f>
        <v/>
      </c>
      <c r="V62" s="24">
        <f>'Krankenquote Objekte'!J62*$D62</f>
        <v/>
      </c>
      <c r="W62" s="24">
        <f>'Krankenquote Objekte'!K62*$D62</f>
        <v/>
      </c>
      <c r="X62" s="24">
        <f>'Krankenquote Objekte'!L62*$D62</f>
        <v/>
      </c>
      <c r="Y62" s="24">
        <f>'Krankenquote Objekte'!M62*$D62</f>
        <v/>
      </c>
      <c r="Z62" s="24">
        <f>'Krankenquote Objekte'!N62*$D62</f>
        <v/>
      </c>
      <c r="AA62" s="24">
        <f>'Krankenquote Objekte'!O62*$D62</f>
        <v/>
      </c>
      <c r="AB62" s="24">
        <f>'Krankenquote Objekte'!P62*$D62</f>
        <v/>
      </c>
      <c r="AC62" s="24">
        <f>'Krankenquote Objekte'!Q62*$D62</f>
        <v/>
      </c>
      <c r="AD62" s="50">
        <f>SUM(R62:AC62)</f>
        <v/>
      </c>
      <c r="AE62" s="26">
        <f>IF(Q62+AD62&gt;0,AD62/(Q62+AD62),0)</f>
        <v/>
      </c>
      <c r="AF62" s="24">
        <f>IF($C$3&gt;0,AD62/($C$3/5),0)</f>
        <v/>
      </c>
    </row>
    <row r="63">
      <c r="A63" s="42">
        <f>IF('Krankenquote Objekte'!B63="","",'Krankenquote Objekte'!A63)</f>
        <v/>
      </c>
      <c r="B63" s="43">
        <f>IF('Krankenquote Objekte'!B63="","",'Krankenquote Objekte'!B63)</f>
        <v/>
      </c>
      <c r="C63" s="7">
        <f>IF('Krankenquote Objekte'!B63="","",'Krankenquote Objekte'!C63)</f>
        <v/>
      </c>
      <c r="D63" s="62">
        <f>$C$3/5*'Krankenquote Objekte'!D63</f>
        <v/>
      </c>
      <c r="E63" s="63" t="n">
        <v>120</v>
      </c>
      <c r="F63" s="63" t="n">
        <v>120</v>
      </c>
      <c r="G63" s="63" t="n">
        <v>132</v>
      </c>
      <c r="H63" s="63" t="n">
        <v>111</v>
      </c>
      <c r="I63" s="63" t="n">
        <v>72</v>
      </c>
      <c r="J63" s="63" t="n">
        <v>96</v>
      </c>
      <c r="K63" s="63" t="n">
        <v>138</v>
      </c>
      <c r="L63" s="63" t="n">
        <v>121.5</v>
      </c>
      <c r="M63" s="63" t="n">
        <v>120</v>
      </c>
      <c r="N63" s="63" t="n">
        <v>109.5</v>
      </c>
      <c r="O63" s="63" t="n">
        <v>123</v>
      </c>
      <c r="P63" s="63" t="n">
        <v>108</v>
      </c>
      <c r="Q63" s="50">
        <f>SUM(E63:P63)</f>
        <v/>
      </c>
      <c r="R63" s="24">
        <f>'Krankenquote Objekte'!F63*$D63</f>
        <v/>
      </c>
      <c r="S63" s="24">
        <f>'Krankenquote Objekte'!G63*$D63</f>
        <v/>
      </c>
      <c r="T63" s="24">
        <f>'Krankenquote Objekte'!H63*$D63</f>
        <v/>
      </c>
      <c r="U63" s="24">
        <f>'Krankenquote Objekte'!I63*$D63</f>
        <v/>
      </c>
      <c r="V63" s="24">
        <f>'Krankenquote Objekte'!J63*$D63</f>
        <v/>
      </c>
      <c r="W63" s="24">
        <f>'Krankenquote Objekte'!K63*$D63</f>
        <v/>
      </c>
      <c r="X63" s="24">
        <f>'Krankenquote Objekte'!L63*$D63</f>
        <v/>
      </c>
      <c r="Y63" s="24">
        <f>'Krankenquote Objekte'!M63*$D63</f>
        <v/>
      </c>
      <c r="Z63" s="24">
        <f>'Krankenquote Objekte'!N63*$D63</f>
        <v/>
      </c>
      <c r="AA63" s="24">
        <f>'Krankenquote Objekte'!O63*$D63</f>
        <v/>
      </c>
      <c r="AB63" s="24">
        <f>'Krankenquote Objekte'!P63*$D63</f>
        <v/>
      </c>
      <c r="AC63" s="24">
        <f>'Krankenquote Objekte'!Q63*$D63</f>
        <v/>
      </c>
      <c r="AD63" s="50">
        <f>SUM(R63:AC63)</f>
        <v/>
      </c>
      <c r="AE63" s="26">
        <f>IF(Q63+AD63&gt;0,AD63/(Q63+AD63),0)</f>
        <v/>
      </c>
      <c r="AF63" s="24">
        <f>IF($C$3&gt;0,AD63/($C$3/5),0)</f>
        <v/>
      </c>
    </row>
    <row r="64">
      <c r="A64" s="42">
        <f>IF('Krankenquote Objekte'!B64="","",'Krankenquote Objekte'!A64)</f>
        <v/>
      </c>
      <c r="B64" s="43">
        <f>IF('Krankenquote Objekte'!B64="","",'Krankenquote Objekte'!B64)</f>
        <v/>
      </c>
      <c r="C64" s="7">
        <f>IF('Krankenquote Objekte'!B64="","",'Krankenquote Objekte'!C64)</f>
        <v/>
      </c>
      <c r="D64" s="62">
        <f>$C$3/5*'Krankenquote Objekte'!D64</f>
        <v/>
      </c>
      <c r="E64" s="63" t="n">
        <v>169.5</v>
      </c>
      <c r="F64" s="63" t="n">
        <v>152</v>
      </c>
      <c r="G64" s="63" t="n">
        <v>176</v>
      </c>
      <c r="H64" s="63" t="n">
        <v>158.5</v>
      </c>
      <c r="I64" s="63" t="n">
        <v>137.5</v>
      </c>
      <c r="J64" s="63" t="n">
        <v>150.5</v>
      </c>
      <c r="K64" s="63" t="n">
        <v>174.5</v>
      </c>
      <c r="L64" s="63" t="n">
        <v>171</v>
      </c>
      <c r="M64" s="63" t="n">
        <v>136</v>
      </c>
      <c r="N64" s="63" t="n">
        <v>129.5</v>
      </c>
      <c r="O64" s="63" t="n">
        <v>144</v>
      </c>
      <c r="P64" s="63" t="n">
        <v>153.5</v>
      </c>
      <c r="Q64" s="50">
        <f>SUM(E64:P64)</f>
        <v/>
      </c>
      <c r="R64" s="24">
        <f>'Krankenquote Objekte'!F64*$D64</f>
        <v/>
      </c>
      <c r="S64" s="24">
        <f>'Krankenquote Objekte'!G64*$D64</f>
        <v/>
      </c>
      <c r="T64" s="24">
        <f>'Krankenquote Objekte'!H64*$D64</f>
        <v/>
      </c>
      <c r="U64" s="24">
        <f>'Krankenquote Objekte'!I64*$D64</f>
        <v/>
      </c>
      <c r="V64" s="24">
        <f>'Krankenquote Objekte'!J64*$D64</f>
        <v/>
      </c>
      <c r="W64" s="24">
        <f>'Krankenquote Objekte'!K64*$D64</f>
        <v/>
      </c>
      <c r="X64" s="24">
        <f>'Krankenquote Objekte'!L64*$D64</f>
        <v/>
      </c>
      <c r="Y64" s="24">
        <f>'Krankenquote Objekte'!M64*$D64</f>
        <v/>
      </c>
      <c r="Z64" s="24">
        <f>'Krankenquote Objekte'!N64*$D64</f>
        <v/>
      </c>
      <c r="AA64" s="24">
        <f>'Krankenquote Objekte'!O64*$D64</f>
        <v/>
      </c>
      <c r="AB64" s="24">
        <f>'Krankenquote Objekte'!P64*$D64</f>
        <v/>
      </c>
      <c r="AC64" s="24">
        <f>'Krankenquote Objekte'!Q64*$D64</f>
        <v/>
      </c>
      <c r="AD64" s="50">
        <f>SUM(R64:AC64)</f>
        <v/>
      </c>
      <c r="AE64" s="26">
        <f>IF(Q64+AD64&gt;0,AD64/(Q64+AD64),0)</f>
        <v/>
      </c>
      <c r="AF64" s="24">
        <f>IF($C$3&gt;0,AD64/($C$3/5),0)</f>
        <v/>
      </c>
    </row>
    <row r="65">
      <c r="A65" s="42">
        <f>IF('Krankenquote Objekte'!B65="","",'Krankenquote Objekte'!A65)</f>
        <v/>
      </c>
      <c r="B65" s="43">
        <f>IF('Krankenquote Objekte'!B65="","",'Krankenquote Objekte'!B65)</f>
        <v/>
      </c>
      <c r="C65" s="7">
        <f>IF('Krankenquote Objekte'!B65="","",'Krankenquote Objekte'!C65)</f>
        <v/>
      </c>
      <c r="D65" s="62">
        <f>$C$3/5*'Krankenquote Objekte'!D65</f>
        <v/>
      </c>
      <c r="E65" s="63" t="n">
        <v>82.5</v>
      </c>
      <c r="F65" s="63" t="n">
        <v>77.5</v>
      </c>
      <c r="G65" s="63" t="n">
        <v>88</v>
      </c>
      <c r="H65" s="63" t="n">
        <v>80</v>
      </c>
      <c r="I65" s="63" t="n">
        <v>64</v>
      </c>
      <c r="J65" s="63" t="n">
        <v>64</v>
      </c>
      <c r="K65" s="63" t="n">
        <v>92</v>
      </c>
      <c r="L65" s="63" t="n">
        <v>84</v>
      </c>
      <c r="M65" s="63" t="n">
        <v>85.5</v>
      </c>
      <c r="N65" s="63" t="n">
        <v>84</v>
      </c>
      <c r="O65" s="63" t="n">
        <v>84</v>
      </c>
      <c r="P65" s="63" t="n">
        <v>60</v>
      </c>
      <c r="Q65" s="50">
        <f>SUM(E65:P65)</f>
        <v/>
      </c>
      <c r="R65" s="24">
        <f>'Krankenquote Objekte'!F65*$D65</f>
        <v/>
      </c>
      <c r="S65" s="24">
        <f>'Krankenquote Objekte'!G65*$D65</f>
        <v/>
      </c>
      <c r="T65" s="24">
        <f>'Krankenquote Objekte'!H65*$D65</f>
        <v/>
      </c>
      <c r="U65" s="24">
        <f>'Krankenquote Objekte'!I65*$D65</f>
        <v/>
      </c>
      <c r="V65" s="24">
        <f>'Krankenquote Objekte'!J65*$D65</f>
        <v/>
      </c>
      <c r="W65" s="24">
        <f>'Krankenquote Objekte'!K65*$D65</f>
        <v/>
      </c>
      <c r="X65" s="24">
        <f>'Krankenquote Objekte'!L65*$D65</f>
        <v/>
      </c>
      <c r="Y65" s="24">
        <f>'Krankenquote Objekte'!M65*$D65</f>
        <v/>
      </c>
      <c r="Z65" s="24">
        <f>'Krankenquote Objekte'!N65*$D65</f>
        <v/>
      </c>
      <c r="AA65" s="24">
        <f>'Krankenquote Objekte'!O65*$D65</f>
        <v/>
      </c>
      <c r="AB65" s="24">
        <f>'Krankenquote Objekte'!P65*$D65</f>
        <v/>
      </c>
      <c r="AC65" s="24">
        <f>'Krankenquote Objekte'!Q65*$D65</f>
        <v/>
      </c>
      <c r="AD65" s="50">
        <f>SUM(R65:AC65)</f>
        <v/>
      </c>
      <c r="AE65" s="26">
        <f>IF(Q65+AD65&gt;0,AD65/(Q65+AD65),0)</f>
        <v/>
      </c>
      <c r="AF65" s="24">
        <f>IF($C$3&gt;0,AD65/($C$3/5),0)</f>
        <v/>
      </c>
    </row>
    <row r="66">
      <c r="A66" s="42">
        <f>IF('Krankenquote Objekte'!B66="","",'Krankenquote Objekte'!A66)</f>
        <v/>
      </c>
      <c r="B66" s="43">
        <f>IF('Krankenquote Objekte'!B66="","",'Krankenquote Objekte'!B66)</f>
        <v/>
      </c>
      <c r="C66" s="7">
        <f>IF('Krankenquote Objekte'!B66="","",'Krankenquote Objekte'!C66)</f>
        <v/>
      </c>
      <c r="D66" s="62">
        <f>$C$3/5*'Krankenquote Objekte'!D66</f>
        <v/>
      </c>
      <c r="E66" s="63" t="n">
        <v>127.5</v>
      </c>
      <c r="F66" s="63" t="n">
        <v>117</v>
      </c>
      <c r="G66" s="63" t="n">
        <v>114</v>
      </c>
      <c r="H66" s="63" t="n">
        <v>120</v>
      </c>
      <c r="I66" s="63" t="n">
        <v>108</v>
      </c>
      <c r="J66" s="63" t="n">
        <v>129</v>
      </c>
      <c r="K66" s="63" t="n">
        <v>139.5</v>
      </c>
      <c r="L66" s="63" t="n">
        <v>126</v>
      </c>
      <c r="M66" s="63" t="n">
        <v>103.5</v>
      </c>
      <c r="N66" s="63" t="n">
        <v>94.5</v>
      </c>
      <c r="O66" s="63" t="n">
        <v>114</v>
      </c>
      <c r="P66" s="63" t="n">
        <v>108</v>
      </c>
      <c r="Q66" s="50">
        <f>SUM(E66:P66)</f>
        <v/>
      </c>
      <c r="R66" s="24">
        <f>'Krankenquote Objekte'!F66*$D66</f>
        <v/>
      </c>
      <c r="S66" s="24">
        <f>'Krankenquote Objekte'!G66*$D66</f>
        <v/>
      </c>
      <c r="T66" s="24">
        <f>'Krankenquote Objekte'!H66*$D66</f>
        <v/>
      </c>
      <c r="U66" s="24">
        <f>'Krankenquote Objekte'!I66*$D66</f>
        <v/>
      </c>
      <c r="V66" s="24">
        <f>'Krankenquote Objekte'!J66*$D66</f>
        <v/>
      </c>
      <c r="W66" s="24">
        <f>'Krankenquote Objekte'!K66*$D66</f>
        <v/>
      </c>
      <c r="X66" s="24">
        <f>'Krankenquote Objekte'!L66*$D66</f>
        <v/>
      </c>
      <c r="Y66" s="24">
        <f>'Krankenquote Objekte'!M66*$D66</f>
        <v/>
      </c>
      <c r="Z66" s="24">
        <f>'Krankenquote Objekte'!N66*$D66</f>
        <v/>
      </c>
      <c r="AA66" s="24">
        <f>'Krankenquote Objekte'!O66*$D66</f>
        <v/>
      </c>
      <c r="AB66" s="24">
        <f>'Krankenquote Objekte'!P66*$D66</f>
        <v/>
      </c>
      <c r="AC66" s="24">
        <f>'Krankenquote Objekte'!Q66*$D66</f>
        <v/>
      </c>
      <c r="AD66" s="50">
        <f>SUM(R66:AC66)</f>
        <v/>
      </c>
      <c r="AE66" s="26">
        <f>IF(Q66+AD66&gt;0,AD66/(Q66+AD66),0)</f>
        <v/>
      </c>
      <c r="AF66" s="24">
        <f>IF($C$3&gt;0,AD66/($C$3/5),0)</f>
        <v/>
      </c>
    </row>
    <row r="67">
      <c r="A67" s="42">
        <f>IF('Krankenquote Objekte'!B67="","",'Krankenquote Objekte'!A67)</f>
        <v/>
      </c>
      <c r="B67" s="43">
        <f>IF('Krankenquote Objekte'!B67="","",'Krankenquote Objekte'!B67)</f>
        <v/>
      </c>
      <c r="C67" s="7">
        <f>IF('Krankenquote Objekte'!B67="","",'Krankenquote Objekte'!C67)</f>
        <v/>
      </c>
      <c r="D67" s="62">
        <f>$C$3/5*'Krankenquote Objekte'!D67</f>
        <v/>
      </c>
      <c r="E67" s="63" t="n">
        <v>169.5</v>
      </c>
      <c r="F67" s="63" t="n">
        <v>160</v>
      </c>
      <c r="G67" s="63" t="n">
        <v>179</v>
      </c>
      <c r="H67" s="63" t="n">
        <v>160</v>
      </c>
      <c r="I67" s="63" t="n">
        <v>145.5</v>
      </c>
      <c r="J67" s="63" t="n">
        <v>160</v>
      </c>
      <c r="K67" s="63" t="n">
        <v>177.5</v>
      </c>
      <c r="L67" s="63" t="n">
        <v>144</v>
      </c>
      <c r="M67" s="63" t="n">
        <v>176</v>
      </c>
      <c r="N67" s="63" t="n">
        <v>160</v>
      </c>
      <c r="O67" s="63" t="n">
        <v>169.5</v>
      </c>
      <c r="P67" s="63" t="n">
        <v>112</v>
      </c>
      <c r="Q67" s="50">
        <f>SUM(E67:P67)</f>
        <v/>
      </c>
      <c r="R67" s="24">
        <f>'Krankenquote Objekte'!F67*$D67</f>
        <v/>
      </c>
      <c r="S67" s="24">
        <f>'Krankenquote Objekte'!G67*$D67</f>
        <v/>
      </c>
      <c r="T67" s="24">
        <f>'Krankenquote Objekte'!H67*$D67</f>
        <v/>
      </c>
      <c r="U67" s="24">
        <f>'Krankenquote Objekte'!I67*$D67</f>
        <v/>
      </c>
      <c r="V67" s="24">
        <f>'Krankenquote Objekte'!J67*$D67</f>
        <v/>
      </c>
      <c r="W67" s="24">
        <f>'Krankenquote Objekte'!K67*$D67</f>
        <v/>
      </c>
      <c r="X67" s="24">
        <f>'Krankenquote Objekte'!L67*$D67</f>
        <v/>
      </c>
      <c r="Y67" s="24">
        <f>'Krankenquote Objekte'!M67*$D67</f>
        <v/>
      </c>
      <c r="Z67" s="24">
        <f>'Krankenquote Objekte'!N67*$D67</f>
        <v/>
      </c>
      <c r="AA67" s="24">
        <f>'Krankenquote Objekte'!O67*$D67</f>
        <v/>
      </c>
      <c r="AB67" s="24">
        <f>'Krankenquote Objekte'!P67*$D67</f>
        <v/>
      </c>
      <c r="AC67" s="24">
        <f>'Krankenquote Objekte'!Q67*$D67</f>
        <v/>
      </c>
      <c r="AD67" s="50">
        <f>SUM(R67:AC67)</f>
        <v/>
      </c>
      <c r="AE67" s="26">
        <f>IF(Q67+AD67&gt;0,AD67/(Q67+AD67),0)</f>
        <v/>
      </c>
      <c r="AF67" s="24">
        <f>IF($C$3&gt;0,AD67/($C$3/5),0)</f>
        <v/>
      </c>
    </row>
    <row r="68">
      <c r="A68" s="42">
        <f>IF('Krankenquote Objekte'!B68="","",'Krankenquote Objekte'!A68)</f>
        <v/>
      </c>
      <c r="B68" s="43">
        <f>IF('Krankenquote Objekte'!B68="","",'Krankenquote Objekte'!B68)</f>
        <v/>
      </c>
      <c r="C68" s="7">
        <f>IF('Krankenquote Objekte'!B68="","",'Krankenquote Objekte'!C68)</f>
        <v/>
      </c>
      <c r="D68" s="62">
        <f>$C$3/5*'Krankenquote Objekte'!D68</f>
        <v/>
      </c>
      <c r="E68" s="63" t="n">
        <v>160</v>
      </c>
      <c r="F68" s="63" t="n">
        <v>134.5</v>
      </c>
      <c r="G68" s="63" t="n">
        <v>176</v>
      </c>
      <c r="H68" s="63" t="n">
        <v>144</v>
      </c>
      <c r="I68" s="63" t="n">
        <v>144</v>
      </c>
      <c r="J68" s="63" t="n">
        <v>160</v>
      </c>
      <c r="K68" s="63" t="n">
        <v>182.5</v>
      </c>
      <c r="L68" s="63" t="n">
        <v>160</v>
      </c>
      <c r="M68" s="63" t="n">
        <v>128</v>
      </c>
      <c r="N68" s="63" t="n">
        <v>128</v>
      </c>
      <c r="O68" s="63" t="n">
        <v>152</v>
      </c>
      <c r="P68" s="63" t="n">
        <v>163</v>
      </c>
      <c r="Q68" s="50">
        <f>SUM(E68:P68)</f>
        <v/>
      </c>
      <c r="R68" s="24">
        <f>'Krankenquote Objekte'!F68*$D68</f>
        <v/>
      </c>
      <c r="S68" s="24">
        <f>'Krankenquote Objekte'!G68*$D68</f>
        <v/>
      </c>
      <c r="T68" s="24">
        <f>'Krankenquote Objekte'!H68*$D68</f>
        <v/>
      </c>
      <c r="U68" s="24">
        <f>'Krankenquote Objekte'!I68*$D68</f>
        <v/>
      </c>
      <c r="V68" s="24">
        <f>'Krankenquote Objekte'!J68*$D68</f>
        <v/>
      </c>
      <c r="W68" s="24">
        <f>'Krankenquote Objekte'!K68*$D68</f>
        <v/>
      </c>
      <c r="X68" s="24">
        <f>'Krankenquote Objekte'!L68*$D68</f>
        <v/>
      </c>
      <c r="Y68" s="24">
        <f>'Krankenquote Objekte'!M68*$D68</f>
        <v/>
      </c>
      <c r="Z68" s="24">
        <f>'Krankenquote Objekte'!N68*$D68</f>
        <v/>
      </c>
      <c r="AA68" s="24">
        <f>'Krankenquote Objekte'!O68*$D68</f>
        <v/>
      </c>
      <c r="AB68" s="24">
        <f>'Krankenquote Objekte'!P68*$D68</f>
        <v/>
      </c>
      <c r="AC68" s="24">
        <f>'Krankenquote Objekte'!Q68*$D68</f>
        <v/>
      </c>
      <c r="AD68" s="50">
        <f>SUM(R68:AC68)</f>
        <v/>
      </c>
      <c r="AE68" s="26">
        <f>IF(Q68+AD68&gt;0,AD68/(Q68+AD68),0)</f>
        <v/>
      </c>
      <c r="AF68" s="24">
        <f>IF($C$3&gt;0,AD68/($C$3/5),0)</f>
        <v/>
      </c>
    </row>
    <row r="69">
      <c r="A69" s="42">
        <f>IF('Krankenquote Objekte'!B69="","",'Krankenquote Objekte'!A69)</f>
        <v/>
      </c>
      <c r="B69" s="43">
        <f>IF('Krankenquote Objekte'!B69="","",'Krankenquote Objekte'!B69)</f>
        <v/>
      </c>
      <c r="C69" s="7">
        <f>IF('Krankenquote Objekte'!B69="","",'Krankenquote Objekte'!C69)</f>
        <v/>
      </c>
      <c r="D69" s="62">
        <f>$C$3/5*'Krankenquote Objekte'!D69</f>
        <v/>
      </c>
      <c r="E69" s="63" t="n">
        <v>84</v>
      </c>
      <c r="F69" s="63" t="n">
        <v>83</v>
      </c>
      <c r="G69" s="63" t="n">
        <v>89.5</v>
      </c>
      <c r="H69" s="63" t="n">
        <v>77.5</v>
      </c>
      <c r="I69" s="63" t="n">
        <v>72</v>
      </c>
      <c r="J69" s="63" t="n">
        <v>72</v>
      </c>
      <c r="K69" s="63" t="n">
        <v>92</v>
      </c>
      <c r="L69" s="63" t="n">
        <v>84</v>
      </c>
      <c r="M69" s="63" t="n">
        <v>88</v>
      </c>
      <c r="N69" s="63" t="n">
        <v>82.5</v>
      </c>
      <c r="O69" s="63" t="n">
        <v>85.5</v>
      </c>
      <c r="P69" s="63" t="n">
        <v>81.5</v>
      </c>
      <c r="Q69" s="50">
        <f>SUM(E69:P69)</f>
        <v/>
      </c>
      <c r="R69" s="24">
        <f>'Krankenquote Objekte'!F69*$D69</f>
        <v/>
      </c>
      <c r="S69" s="24">
        <f>'Krankenquote Objekte'!G69*$D69</f>
        <v/>
      </c>
      <c r="T69" s="24">
        <f>'Krankenquote Objekte'!H69*$D69</f>
        <v/>
      </c>
      <c r="U69" s="24">
        <f>'Krankenquote Objekte'!I69*$D69</f>
        <v/>
      </c>
      <c r="V69" s="24">
        <f>'Krankenquote Objekte'!J69*$D69</f>
        <v/>
      </c>
      <c r="W69" s="24">
        <f>'Krankenquote Objekte'!K69*$D69</f>
        <v/>
      </c>
      <c r="X69" s="24">
        <f>'Krankenquote Objekte'!L69*$D69</f>
        <v/>
      </c>
      <c r="Y69" s="24">
        <f>'Krankenquote Objekte'!M69*$D69</f>
        <v/>
      </c>
      <c r="Z69" s="24">
        <f>'Krankenquote Objekte'!N69*$D69</f>
        <v/>
      </c>
      <c r="AA69" s="24">
        <f>'Krankenquote Objekte'!O69*$D69</f>
        <v/>
      </c>
      <c r="AB69" s="24">
        <f>'Krankenquote Objekte'!P69*$D69</f>
        <v/>
      </c>
      <c r="AC69" s="24">
        <f>'Krankenquote Objekte'!Q69*$D69</f>
        <v/>
      </c>
      <c r="AD69" s="50">
        <f>SUM(R69:AC69)</f>
        <v/>
      </c>
      <c r="AE69" s="26">
        <f>IF(Q69+AD69&gt;0,AD69/(Q69+AD69),0)</f>
        <v/>
      </c>
      <c r="AF69" s="24">
        <f>IF($C$3&gt;0,AD69/($C$3/5),0)</f>
        <v/>
      </c>
    </row>
    <row r="70">
      <c r="A70" s="42">
        <f>IF('Krankenquote Objekte'!B70="","",'Krankenquote Objekte'!A70)</f>
        <v/>
      </c>
      <c r="B70" s="43">
        <f>IF('Krankenquote Objekte'!B70="","",'Krankenquote Objekte'!B70)</f>
        <v/>
      </c>
      <c r="C70" s="7">
        <f>IF('Krankenquote Objekte'!B70="","",'Krankenquote Objekte'!C70)</f>
        <v/>
      </c>
      <c r="D70" s="62">
        <f>$C$3/5*'Krankenquote Objekte'!D70</f>
        <v/>
      </c>
      <c r="E70" s="63" t="n">
        <v>142.5</v>
      </c>
      <c r="F70" s="63" t="n">
        <v>163</v>
      </c>
      <c r="G70" s="63" t="n">
        <v>160</v>
      </c>
      <c r="H70" s="63" t="n">
        <v>152</v>
      </c>
      <c r="I70" s="63" t="n">
        <v>129.5</v>
      </c>
      <c r="J70" s="63" t="n">
        <v>171</v>
      </c>
      <c r="K70" s="63" t="n">
        <v>160</v>
      </c>
      <c r="L70" s="63" t="n">
        <v>152</v>
      </c>
      <c r="M70" s="63" t="n">
        <v>177.5</v>
      </c>
      <c r="N70" s="63" t="n">
        <v>166.5</v>
      </c>
      <c r="O70" s="63" t="n">
        <v>168</v>
      </c>
      <c r="P70" s="63" t="n">
        <v>158.5</v>
      </c>
      <c r="Q70" s="50">
        <f>SUM(E70:P70)</f>
        <v/>
      </c>
      <c r="R70" s="24">
        <f>'Krankenquote Objekte'!F70*$D70</f>
        <v/>
      </c>
      <c r="S70" s="24">
        <f>'Krankenquote Objekte'!G70*$D70</f>
        <v/>
      </c>
      <c r="T70" s="24">
        <f>'Krankenquote Objekte'!H70*$D70</f>
        <v/>
      </c>
      <c r="U70" s="24">
        <f>'Krankenquote Objekte'!I70*$D70</f>
        <v/>
      </c>
      <c r="V70" s="24">
        <f>'Krankenquote Objekte'!J70*$D70</f>
        <v/>
      </c>
      <c r="W70" s="24">
        <f>'Krankenquote Objekte'!K70*$D70</f>
        <v/>
      </c>
      <c r="X70" s="24">
        <f>'Krankenquote Objekte'!L70*$D70</f>
        <v/>
      </c>
      <c r="Y70" s="24">
        <f>'Krankenquote Objekte'!M70*$D70</f>
        <v/>
      </c>
      <c r="Z70" s="24">
        <f>'Krankenquote Objekte'!N70*$D70</f>
        <v/>
      </c>
      <c r="AA70" s="24">
        <f>'Krankenquote Objekte'!O70*$D70</f>
        <v/>
      </c>
      <c r="AB70" s="24">
        <f>'Krankenquote Objekte'!P70*$D70</f>
        <v/>
      </c>
      <c r="AC70" s="24">
        <f>'Krankenquote Objekte'!Q70*$D70</f>
        <v/>
      </c>
      <c r="AD70" s="50">
        <f>SUM(R70:AC70)</f>
        <v/>
      </c>
      <c r="AE70" s="26">
        <f>IF(Q70+AD70&gt;0,AD70/(Q70+AD70),0)</f>
        <v/>
      </c>
      <c r="AF70" s="24">
        <f>IF($C$3&gt;0,AD70/($C$3/5),0)</f>
        <v/>
      </c>
    </row>
    <row r="71">
      <c r="A71" s="42">
        <f>IF('Krankenquote Objekte'!B71="","",'Krankenquote Objekte'!A71)</f>
        <v/>
      </c>
      <c r="B71" s="43">
        <f>IF('Krankenquote Objekte'!B71="","",'Krankenquote Objekte'!B71)</f>
        <v/>
      </c>
      <c r="C71" s="7">
        <f>IF('Krankenquote Objekte'!B71="","",'Krankenquote Objekte'!C71)</f>
        <v/>
      </c>
      <c r="D71" s="62">
        <f>$C$3/5*'Krankenquote Objekte'!D71</f>
        <v/>
      </c>
      <c r="E71" s="63" t="n">
        <v>160</v>
      </c>
      <c r="F71" s="63" t="n">
        <v>147</v>
      </c>
      <c r="G71" s="63" t="n">
        <v>137.5</v>
      </c>
      <c r="H71" s="63" t="n">
        <v>163</v>
      </c>
      <c r="I71" s="63" t="n">
        <v>144</v>
      </c>
      <c r="J71" s="63" t="n">
        <v>171</v>
      </c>
      <c r="K71" s="63" t="n">
        <v>136</v>
      </c>
      <c r="L71" s="63" t="n">
        <v>169.5</v>
      </c>
      <c r="M71" s="63" t="n">
        <v>179</v>
      </c>
      <c r="N71" s="63" t="n">
        <v>155</v>
      </c>
      <c r="O71" s="63" t="n">
        <v>128</v>
      </c>
      <c r="P71" s="63" t="n">
        <v>144</v>
      </c>
      <c r="Q71" s="50">
        <f>SUM(E71:P71)</f>
        <v/>
      </c>
      <c r="R71" s="24">
        <f>'Krankenquote Objekte'!F71*$D71</f>
        <v/>
      </c>
      <c r="S71" s="24">
        <f>'Krankenquote Objekte'!G71*$D71</f>
        <v/>
      </c>
      <c r="T71" s="24">
        <f>'Krankenquote Objekte'!H71*$D71</f>
        <v/>
      </c>
      <c r="U71" s="24">
        <f>'Krankenquote Objekte'!I71*$D71</f>
        <v/>
      </c>
      <c r="V71" s="24">
        <f>'Krankenquote Objekte'!J71*$D71</f>
        <v/>
      </c>
      <c r="W71" s="24">
        <f>'Krankenquote Objekte'!K71*$D71</f>
        <v/>
      </c>
      <c r="X71" s="24">
        <f>'Krankenquote Objekte'!L71*$D71</f>
        <v/>
      </c>
      <c r="Y71" s="24">
        <f>'Krankenquote Objekte'!M71*$D71</f>
        <v/>
      </c>
      <c r="Z71" s="24">
        <f>'Krankenquote Objekte'!N71*$D71</f>
        <v/>
      </c>
      <c r="AA71" s="24">
        <f>'Krankenquote Objekte'!O71*$D71</f>
        <v/>
      </c>
      <c r="AB71" s="24">
        <f>'Krankenquote Objekte'!P71*$D71</f>
        <v/>
      </c>
      <c r="AC71" s="24">
        <f>'Krankenquote Objekte'!Q71*$D71</f>
        <v/>
      </c>
      <c r="AD71" s="50">
        <f>SUM(R71:AC71)</f>
        <v/>
      </c>
      <c r="AE71" s="26">
        <f>IF(Q71+AD71&gt;0,AD71/(Q71+AD71),0)</f>
        <v/>
      </c>
      <c r="AF71" s="24">
        <f>IF($C$3&gt;0,AD71/($C$3/5),0)</f>
        <v/>
      </c>
    </row>
    <row r="72">
      <c r="A72" s="42">
        <f>IF('Krankenquote Objekte'!B72="","",'Krankenquote Objekte'!A72)</f>
        <v/>
      </c>
      <c r="B72" s="43">
        <f>IF('Krankenquote Objekte'!B72="","",'Krankenquote Objekte'!B72)</f>
        <v/>
      </c>
      <c r="C72" s="7">
        <f>IF('Krankenquote Objekte'!B72="","",'Krankenquote Objekte'!C72)</f>
        <v/>
      </c>
      <c r="D72" s="62">
        <f>$C$3/5*'Krankenquote Objekte'!D72</f>
        <v/>
      </c>
      <c r="E72" s="63" t="n">
        <v>108</v>
      </c>
      <c r="F72" s="63" t="n">
        <v>118.5</v>
      </c>
      <c r="G72" s="63" t="n">
        <v>123</v>
      </c>
      <c r="H72" s="63" t="n">
        <v>114</v>
      </c>
      <c r="I72" s="63" t="n">
        <v>111</v>
      </c>
      <c r="J72" s="63" t="n">
        <v>120</v>
      </c>
      <c r="K72" s="63" t="n">
        <v>136.5</v>
      </c>
      <c r="L72" s="63" t="n">
        <v>127.5</v>
      </c>
      <c r="M72" s="63" t="n">
        <v>102</v>
      </c>
      <c r="N72" s="63" t="n">
        <v>124.5</v>
      </c>
      <c r="O72" s="63" t="n">
        <v>124.5</v>
      </c>
      <c r="P72" s="63" t="n">
        <v>105</v>
      </c>
      <c r="Q72" s="50">
        <f>SUM(E72:P72)</f>
        <v/>
      </c>
      <c r="R72" s="24">
        <f>'Krankenquote Objekte'!F72*$D72</f>
        <v/>
      </c>
      <c r="S72" s="24">
        <f>'Krankenquote Objekte'!G72*$D72</f>
        <v/>
      </c>
      <c r="T72" s="24">
        <f>'Krankenquote Objekte'!H72*$D72</f>
        <v/>
      </c>
      <c r="U72" s="24">
        <f>'Krankenquote Objekte'!I72*$D72</f>
        <v/>
      </c>
      <c r="V72" s="24">
        <f>'Krankenquote Objekte'!J72*$D72</f>
        <v/>
      </c>
      <c r="W72" s="24">
        <f>'Krankenquote Objekte'!K72*$D72</f>
        <v/>
      </c>
      <c r="X72" s="24">
        <f>'Krankenquote Objekte'!L72*$D72</f>
        <v/>
      </c>
      <c r="Y72" s="24">
        <f>'Krankenquote Objekte'!M72*$D72</f>
        <v/>
      </c>
      <c r="Z72" s="24">
        <f>'Krankenquote Objekte'!N72*$D72</f>
        <v/>
      </c>
      <c r="AA72" s="24">
        <f>'Krankenquote Objekte'!O72*$D72</f>
        <v/>
      </c>
      <c r="AB72" s="24">
        <f>'Krankenquote Objekte'!P72*$D72</f>
        <v/>
      </c>
      <c r="AC72" s="24">
        <f>'Krankenquote Objekte'!Q72*$D72</f>
        <v/>
      </c>
      <c r="AD72" s="50">
        <f>SUM(R72:AC72)</f>
        <v/>
      </c>
      <c r="AE72" s="26">
        <f>IF(Q72+AD72&gt;0,AD72/(Q72+AD72),0)</f>
        <v/>
      </c>
      <c r="AF72" s="24">
        <f>IF($C$3&gt;0,AD72/($C$3/5),0)</f>
        <v/>
      </c>
    </row>
    <row r="73">
      <c r="A73" s="42">
        <f>IF('Krankenquote Objekte'!B73="","",'Krankenquote Objekte'!A73)</f>
        <v/>
      </c>
      <c r="B73" s="43">
        <f>IF('Krankenquote Objekte'!B73="","",'Krankenquote Objekte'!B73)</f>
        <v/>
      </c>
      <c r="C73" s="7">
        <f>IF('Krankenquote Objekte'!B73="","",'Krankenquote Objekte'!C73)</f>
        <v/>
      </c>
      <c r="D73" s="62">
        <f>$C$3/5*'Krankenquote Objekte'!D73</f>
        <v/>
      </c>
      <c r="E73" s="63" t="n">
        <v>168</v>
      </c>
      <c r="F73" s="63" t="n">
        <v>136</v>
      </c>
      <c r="G73" s="63" t="n">
        <v>176</v>
      </c>
      <c r="H73" s="63" t="n">
        <v>161.5</v>
      </c>
      <c r="I73" s="63" t="n">
        <v>142.5</v>
      </c>
      <c r="J73" s="63" t="n">
        <v>120</v>
      </c>
      <c r="K73" s="63" t="n">
        <v>182.5</v>
      </c>
      <c r="L73" s="63" t="n">
        <v>168</v>
      </c>
      <c r="M73" s="63" t="n">
        <v>176</v>
      </c>
      <c r="N73" s="63" t="n">
        <v>160</v>
      </c>
      <c r="O73" s="63" t="n">
        <v>168</v>
      </c>
      <c r="P73" s="63" t="n">
        <v>158.5</v>
      </c>
      <c r="Q73" s="50">
        <f>SUM(E73:P73)</f>
        <v/>
      </c>
      <c r="R73" s="24">
        <f>'Krankenquote Objekte'!F73*$D73</f>
        <v/>
      </c>
      <c r="S73" s="24">
        <f>'Krankenquote Objekte'!G73*$D73</f>
        <v/>
      </c>
      <c r="T73" s="24">
        <f>'Krankenquote Objekte'!H73*$D73</f>
        <v/>
      </c>
      <c r="U73" s="24">
        <f>'Krankenquote Objekte'!I73*$D73</f>
        <v/>
      </c>
      <c r="V73" s="24">
        <f>'Krankenquote Objekte'!J73*$D73</f>
        <v/>
      </c>
      <c r="W73" s="24">
        <f>'Krankenquote Objekte'!K73*$D73</f>
        <v/>
      </c>
      <c r="X73" s="24">
        <f>'Krankenquote Objekte'!L73*$D73</f>
        <v/>
      </c>
      <c r="Y73" s="24">
        <f>'Krankenquote Objekte'!M73*$D73</f>
        <v/>
      </c>
      <c r="Z73" s="24">
        <f>'Krankenquote Objekte'!N73*$D73</f>
        <v/>
      </c>
      <c r="AA73" s="24">
        <f>'Krankenquote Objekte'!O73*$D73</f>
        <v/>
      </c>
      <c r="AB73" s="24">
        <f>'Krankenquote Objekte'!P73*$D73</f>
        <v/>
      </c>
      <c r="AC73" s="24">
        <f>'Krankenquote Objekte'!Q73*$D73</f>
        <v/>
      </c>
      <c r="AD73" s="50">
        <f>SUM(R73:AC73)</f>
        <v/>
      </c>
      <c r="AE73" s="26">
        <f>IF(Q73+AD73&gt;0,AD73/(Q73+AD73),0)</f>
        <v/>
      </c>
      <c r="AF73" s="24">
        <f>IF($C$3&gt;0,AD73/($C$3/5),0)</f>
        <v/>
      </c>
    </row>
    <row r="74">
      <c r="A74" s="42">
        <f>IF('Krankenquote Objekte'!B74="","",'Krankenquote Objekte'!A74)</f>
        <v/>
      </c>
      <c r="B74" s="43">
        <f>IF('Krankenquote Objekte'!B74="","",'Krankenquote Objekte'!B74)</f>
        <v/>
      </c>
      <c r="C74" s="7">
        <f>IF('Krankenquote Objekte'!B74="","",'Krankenquote Objekte'!C74)</f>
        <v/>
      </c>
      <c r="D74" s="62">
        <f>$C$3/5*'Krankenquote Objekte'!D74</f>
        <v/>
      </c>
      <c r="E74" s="63" t="n">
        <v>168</v>
      </c>
      <c r="F74" s="63" t="n">
        <v>160</v>
      </c>
      <c r="G74" s="63" t="n">
        <v>163</v>
      </c>
      <c r="H74" s="63" t="n">
        <v>160</v>
      </c>
      <c r="I74" s="63" t="n">
        <v>147</v>
      </c>
      <c r="J74" s="63" t="n">
        <v>160</v>
      </c>
      <c r="K74" s="63" t="n">
        <v>184</v>
      </c>
      <c r="L74" s="63" t="n">
        <v>168</v>
      </c>
      <c r="M74" s="63" t="n">
        <v>150.5</v>
      </c>
      <c r="N74" s="63" t="n">
        <v>168</v>
      </c>
      <c r="O74" s="63" t="n">
        <v>128</v>
      </c>
      <c r="P74" s="63" t="n">
        <v>120</v>
      </c>
      <c r="Q74" s="50">
        <f>SUM(E74:P74)</f>
        <v/>
      </c>
      <c r="R74" s="24">
        <f>'Krankenquote Objekte'!F74*$D74</f>
        <v/>
      </c>
      <c r="S74" s="24">
        <f>'Krankenquote Objekte'!G74*$D74</f>
        <v/>
      </c>
      <c r="T74" s="24">
        <f>'Krankenquote Objekte'!H74*$D74</f>
        <v/>
      </c>
      <c r="U74" s="24">
        <f>'Krankenquote Objekte'!I74*$D74</f>
        <v/>
      </c>
      <c r="V74" s="24">
        <f>'Krankenquote Objekte'!J74*$D74</f>
        <v/>
      </c>
      <c r="W74" s="24">
        <f>'Krankenquote Objekte'!K74*$D74</f>
        <v/>
      </c>
      <c r="X74" s="24">
        <f>'Krankenquote Objekte'!L74*$D74</f>
        <v/>
      </c>
      <c r="Y74" s="24">
        <f>'Krankenquote Objekte'!M74*$D74</f>
        <v/>
      </c>
      <c r="Z74" s="24">
        <f>'Krankenquote Objekte'!N74*$D74</f>
        <v/>
      </c>
      <c r="AA74" s="24">
        <f>'Krankenquote Objekte'!O74*$D74</f>
        <v/>
      </c>
      <c r="AB74" s="24">
        <f>'Krankenquote Objekte'!P74*$D74</f>
        <v/>
      </c>
      <c r="AC74" s="24">
        <f>'Krankenquote Objekte'!Q74*$D74</f>
        <v/>
      </c>
      <c r="AD74" s="50">
        <f>SUM(R74:AC74)</f>
        <v/>
      </c>
      <c r="AE74" s="26">
        <f>IF(Q74+AD74&gt;0,AD74/(Q74+AD74),0)</f>
        <v/>
      </c>
      <c r="AF74" s="24">
        <f>IF($C$3&gt;0,AD74/($C$3/5),0)</f>
        <v/>
      </c>
    </row>
    <row r="75">
      <c r="A75" s="42">
        <f>IF('Krankenquote Objekte'!B75="","",'Krankenquote Objekte'!A75)</f>
        <v/>
      </c>
      <c r="B75" s="43">
        <f>IF('Krankenquote Objekte'!B75="","",'Krankenquote Objekte'!B75)</f>
        <v/>
      </c>
      <c r="C75" s="7">
        <f>IF('Krankenquote Objekte'!B75="","",'Krankenquote Objekte'!C75)</f>
        <v/>
      </c>
      <c r="D75" s="62">
        <f>$C$3/5*'Krankenquote Objekte'!D75</f>
        <v/>
      </c>
      <c r="E75" s="63" t="n">
        <v>128</v>
      </c>
      <c r="F75" s="63" t="n">
        <v>160</v>
      </c>
      <c r="G75" s="63" t="n">
        <v>174.5</v>
      </c>
      <c r="H75" s="63" t="n">
        <v>161.5</v>
      </c>
      <c r="I75" s="63" t="n">
        <v>144</v>
      </c>
      <c r="J75" s="63" t="n">
        <v>128</v>
      </c>
      <c r="K75" s="63" t="n">
        <v>185.5</v>
      </c>
      <c r="L75" s="63" t="n">
        <v>169.5</v>
      </c>
      <c r="M75" s="63" t="n">
        <v>174.5</v>
      </c>
      <c r="N75" s="63" t="n">
        <v>126.5</v>
      </c>
      <c r="O75" s="63" t="n">
        <v>168</v>
      </c>
      <c r="P75" s="63" t="n">
        <v>160</v>
      </c>
      <c r="Q75" s="50">
        <f>SUM(E75:P75)</f>
        <v/>
      </c>
      <c r="R75" s="24">
        <f>'Krankenquote Objekte'!F75*$D75</f>
        <v/>
      </c>
      <c r="S75" s="24">
        <f>'Krankenquote Objekte'!G75*$D75</f>
        <v/>
      </c>
      <c r="T75" s="24">
        <f>'Krankenquote Objekte'!H75*$D75</f>
        <v/>
      </c>
      <c r="U75" s="24">
        <f>'Krankenquote Objekte'!I75*$D75</f>
        <v/>
      </c>
      <c r="V75" s="24">
        <f>'Krankenquote Objekte'!J75*$D75</f>
        <v/>
      </c>
      <c r="W75" s="24">
        <f>'Krankenquote Objekte'!K75*$D75</f>
        <v/>
      </c>
      <c r="X75" s="24">
        <f>'Krankenquote Objekte'!L75*$D75</f>
        <v/>
      </c>
      <c r="Y75" s="24">
        <f>'Krankenquote Objekte'!M75*$D75</f>
        <v/>
      </c>
      <c r="Z75" s="24">
        <f>'Krankenquote Objekte'!N75*$D75</f>
        <v/>
      </c>
      <c r="AA75" s="24">
        <f>'Krankenquote Objekte'!O75*$D75</f>
        <v/>
      </c>
      <c r="AB75" s="24">
        <f>'Krankenquote Objekte'!P75*$D75</f>
        <v/>
      </c>
      <c r="AC75" s="24">
        <f>'Krankenquote Objekte'!Q75*$D75</f>
        <v/>
      </c>
      <c r="AD75" s="50">
        <f>SUM(R75:AC75)</f>
        <v/>
      </c>
      <c r="AE75" s="26">
        <f>IF(Q75+AD75&gt;0,AD75/(Q75+AD75),0)</f>
        <v/>
      </c>
      <c r="AF75" s="24">
        <f>IF($C$3&gt;0,AD75/($C$3/5),0)</f>
        <v/>
      </c>
    </row>
    <row r="76">
      <c r="A76" s="42">
        <f>IF('Krankenquote Objekte'!B76="","",'Krankenquote Objekte'!A76)</f>
        <v/>
      </c>
      <c r="B76" s="43">
        <f>IF('Krankenquote Objekte'!B76="","",'Krankenquote Objekte'!B76)</f>
        <v/>
      </c>
      <c r="C76" s="7">
        <f>IF('Krankenquote Objekte'!B76="","",'Krankenquote Objekte'!C76)</f>
        <v/>
      </c>
      <c r="D76" s="62">
        <f>$C$3/5*'Krankenquote Objekte'!D76</f>
        <v/>
      </c>
      <c r="E76" s="63" t="n"/>
      <c r="F76" s="63" t="n"/>
      <c r="G76" s="63" t="n"/>
      <c r="H76" s="63" t="n"/>
      <c r="I76" s="63" t="n"/>
      <c r="J76" s="63" t="n"/>
      <c r="K76" s="63" t="n"/>
      <c r="L76" s="63" t="n"/>
      <c r="M76" s="63" t="n"/>
      <c r="N76" s="63" t="n"/>
      <c r="O76" s="63" t="n"/>
      <c r="P76" s="63" t="n"/>
      <c r="Q76" s="50">
        <f>SUM(E76:P76)</f>
        <v/>
      </c>
      <c r="R76" s="24">
        <f>'Krankenquote Objekte'!F76*$D76</f>
        <v/>
      </c>
      <c r="S76" s="24">
        <f>'Krankenquote Objekte'!G76*$D76</f>
        <v/>
      </c>
      <c r="T76" s="24">
        <f>'Krankenquote Objekte'!H76*$D76</f>
        <v/>
      </c>
      <c r="U76" s="24">
        <f>'Krankenquote Objekte'!I76*$D76</f>
        <v/>
      </c>
      <c r="V76" s="24">
        <f>'Krankenquote Objekte'!J76*$D76</f>
        <v/>
      </c>
      <c r="W76" s="24">
        <f>'Krankenquote Objekte'!K76*$D76</f>
        <v/>
      </c>
      <c r="X76" s="24">
        <f>'Krankenquote Objekte'!L76*$D76</f>
        <v/>
      </c>
      <c r="Y76" s="24">
        <f>'Krankenquote Objekte'!M76*$D76</f>
        <v/>
      </c>
      <c r="Z76" s="24">
        <f>'Krankenquote Objekte'!N76*$D76</f>
        <v/>
      </c>
      <c r="AA76" s="24">
        <f>'Krankenquote Objekte'!O76*$D76</f>
        <v/>
      </c>
      <c r="AB76" s="24">
        <f>'Krankenquote Objekte'!P76*$D76</f>
        <v/>
      </c>
      <c r="AC76" s="24">
        <f>'Krankenquote Objekte'!Q76*$D76</f>
        <v/>
      </c>
      <c r="AD76" s="50">
        <f>SUM(R76:AC76)</f>
        <v/>
      </c>
      <c r="AE76" s="26">
        <f>IF(Q76+AD76&gt;0,AD76/(Q76+AD76),0)</f>
        <v/>
      </c>
      <c r="AF76" s="24">
        <f>IF($C$3&gt;0,AD76/($C$3/5),0)</f>
        <v/>
      </c>
    </row>
    <row r="77">
      <c r="A77" s="42">
        <f>IF('Krankenquote Objekte'!B77="","",'Krankenquote Objekte'!A77)</f>
        <v/>
      </c>
      <c r="B77" s="43">
        <f>IF('Krankenquote Objekte'!B77="","",'Krankenquote Objekte'!B77)</f>
        <v/>
      </c>
      <c r="C77" s="7">
        <f>IF('Krankenquote Objekte'!B77="","",'Krankenquote Objekte'!C77)</f>
        <v/>
      </c>
      <c r="D77" s="62">
        <f>$C$3/5*'Krankenquote Objekte'!D77</f>
        <v/>
      </c>
      <c r="E77" s="63" t="n"/>
      <c r="F77" s="63" t="n"/>
      <c r="G77" s="63" t="n"/>
      <c r="H77" s="63" t="n"/>
      <c r="I77" s="63" t="n"/>
      <c r="J77" s="63" t="n"/>
      <c r="K77" s="63" t="n"/>
      <c r="L77" s="63" t="n"/>
      <c r="M77" s="63" t="n"/>
      <c r="N77" s="63" t="n"/>
      <c r="O77" s="63" t="n"/>
      <c r="P77" s="63" t="n"/>
      <c r="Q77" s="50">
        <f>SUM(E77:P77)</f>
        <v/>
      </c>
      <c r="R77" s="24">
        <f>'Krankenquote Objekte'!F77*$D77</f>
        <v/>
      </c>
      <c r="S77" s="24">
        <f>'Krankenquote Objekte'!G77*$D77</f>
        <v/>
      </c>
      <c r="T77" s="24">
        <f>'Krankenquote Objekte'!H77*$D77</f>
        <v/>
      </c>
      <c r="U77" s="24">
        <f>'Krankenquote Objekte'!I77*$D77</f>
        <v/>
      </c>
      <c r="V77" s="24">
        <f>'Krankenquote Objekte'!J77*$D77</f>
        <v/>
      </c>
      <c r="W77" s="24">
        <f>'Krankenquote Objekte'!K77*$D77</f>
        <v/>
      </c>
      <c r="X77" s="24">
        <f>'Krankenquote Objekte'!L77*$D77</f>
        <v/>
      </c>
      <c r="Y77" s="24">
        <f>'Krankenquote Objekte'!M77*$D77</f>
        <v/>
      </c>
      <c r="Z77" s="24">
        <f>'Krankenquote Objekte'!N77*$D77</f>
        <v/>
      </c>
      <c r="AA77" s="24">
        <f>'Krankenquote Objekte'!O77*$D77</f>
        <v/>
      </c>
      <c r="AB77" s="24">
        <f>'Krankenquote Objekte'!P77*$D77</f>
        <v/>
      </c>
      <c r="AC77" s="24">
        <f>'Krankenquote Objekte'!Q77*$D77</f>
        <v/>
      </c>
      <c r="AD77" s="50">
        <f>SUM(R77:AC77)</f>
        <v/>
      </c>
      <c r="AE77" s="26">
        <f>IF(Q77+AD77&gt;0,AD77/(Q77+AD77),0)</f>
        <v/>
      </c>
      <c r="AF77" s="24">
        <f>IF($C$3&gt;0,AD77/($C$3/5),0)</f>
        <v/>
      </c>
    </row>
    <row r="78">
      <c r="A78" s="42">
        <f>IF('Krankenquote Objekte'!B78="","",'Krankenquote Objekte'!A78)</f>
        <v/>
      </c>
      <c r="B78" s="43">
        <f>IF('Krankenquote Objekte'!B78="","",'Krankenquote Objekte'!B78)</f>
        <v/>
      </c>
      <c r="C78" s="7">
        <f>IF('Krankenquote Objekte'!B78="","",'Krankenquote Objekte'!C78)</f>
        <v/>
      </c>
      <c r="D78" s="62">
        <f>$C$3/5*'Krankenquote Objekte'!D78</f>
        <v/>
      </c>
      <c r="E78" s="63" t="n"/>
      <c r="F78" s="63" t="n"/>
      <c r="G78" s="63" t="n"/>
      <c r="H78" s="63" t="n"/>
      <c r="I78" s="63" t="n"/>
      <c r="J78" s="63" t="n"/>
      <c r="K78" s="63" t="n"/>
      <c r="L78" s="63" t="n"/>
      <c r="M78" s="63" t="n"/>
      <c r="N78" s="63" t="n"/>
      <c r="O78" s="63" t="n"/>
      <c r="P78" s="63" t="n"/>
      <c r="Q78" s="50">
        <f>SUM(E78:P78)</f>
        <v/>
      </c>
      <c r="R78" s="24">
        <f>'Krankenquote Objekte'!F78*$D78</f>
        <v/>
      </c>
      <c r="S78" s="24">
        <f>'Krankenquote Objekte'!G78*$D78</f>
        <v/>
      </c>
      <c r="T78" s="24">
        <f>'Krankenquote Objekte'!H78*$D78</f>
        <v/>
      </c>
      <c r="U78" s="24">
        <f>'Krankenquote Objekte'!I78*$D78</f>
        <v/>
      </c>
      <c r="V78" s="24">
        <f>'Krankenquote Objekte'!J78*$D78</f>
        <v/>
      </c>
      <c r="W78" s="24">
        <f>'Krankenquote Objekte'!K78*$D78</f>
        <v/>
      </c>
      <c r="X78" s="24">
        <f>'Krankenquote Objekte'!L78*$D78</f>
        <v/>
      </c>
      <c r="Y78" s="24">
        <f>'Krankenquote Objekte'!M78*$D78</f>
        <v/>
      </c>
      <c r="Z78" s="24">
        <f>'Krankenquote Objekte'!N78*$D78</f>
        <v/>
      </c>
      <c r="AA78" s="24">
        <f>'Krankenquote Objekte'!O78*$D78</f>
        <v/>
      </c>
      <c r="AB78" s="24">
        <f>'Krankenquote Objekte'!P78*$D78</f>
        <v/>
      </c>
      <c r="AC78" s="24">
        <f>'Krankenquote Objekte'!Q78*$D78</f>
        <v/>
      </c>
      <c r="AD78" s="50">
        <f>SUM(R78:AC78)</f>
        <v/>
      </c>
      <c r="AE78" s="26">
        <f>IF(Q78+AD78&gt;0,AD78/(Q78+AD78),0)</f>
        <v/>
      </c>
      <c r="AF78" s="24">
        <f>IF($C$3&gt;0,AD78/($C$3/5),0)</f>
        <v/>
      </c>
    </row>
    <row r="79">
      <c r="A79" s="42">
        <f>IF('Krankenquote Objekte'!B79="","",'Krankenquote Objekte'!A79)</f>
        <v/>
      </c>
      <c r="B79" s="43">
        <f>IF('Krankenquote Objekte'!B79="","",'Krankenquote Objekte'!B79)</f>
        <v/>
      </c>
      <c r="C79" s="7">
        <f>IF('Krankenquote Objekte'!B79="","",'Krankenquote Objekte'!C79)</f>
        <v/>
      </c>
      <c r="D79" s="62">
        <f>$C$3/5*'Krankenquote Objekte'!D79</f>
        <v/>
      </c>
      <c r="E79" s="63" t="n"/>
      <c r="F79" s="63" t="n"/>
      <c r="G79" s="63" t="n"/>
      <c r="H79" s="63" t="n"/>
      <c r="I79" s="63" t="n"/>
      <c r="J79" s="63" t="n"/>
      <c r="K79" s="63" t="n"/>
      <c r="L79" s="63" t="n"/>
      <c r="M79" s="63" t="n"/>
      <c r="N79" s="63" t="n"/>
      <c r="O79" s="63" t="n"/>
      <c r="P79" s="63" t="n"/>
      <c r="Q79" s="50">
        <f>SUM(E79:P79)</f>
        <v/>
      </c>
      <c r="R79" s="24">
        <f>'Krankenquote Objekte'!F79*$D79</f>
        <v/>
      </c>
      <c r="S79" s="24">
        <f>'Krankenquote Objekte'!G79*$D79</f>
        <v/>
      </c>
      <c r="T79" s="24">
        <f>'Krankenquote Objekte'!H79*$D79</f>
        <v/>
      </c>
      <c r="U79" s="24">
        <f>'Krankenquote Objekte'!I79*$D79</f>
        <v/>
      </c>
      <c r="V79" s="24">
        <f>'Krankenquote Objekte'!J79*$D79</f>
        <v/>
      </c>
      <c r="W79" s="24">
        <f>'Krankenquote Objekte'!K79*$D79</f>
        <v/>
      </c>
      <c r="X79" s="24">
        <f>'Krankenquote Objekte'!L79*$D79</f>
        <v/>
      </c>
      <c r="Y79" s="24">
        <f>'Krankenquote Objekte'!M79*$D79</f>
        <v/>
      </c>
      <c r="Z79" s="24">
        <f>'Krankenquote Objekte'!N79*$D79</f>
        <v/>
      </c>
      <c r="AA79" s="24">
        <f>'Krankenquote Objekte'!O79*$D79</f>
        <v/>
      </c>
      <c r="AB79" s="24">
        <f>'Krankenquote Objekte'!P79*$D79</f>
        <v/>
      </c>
      <c r="AC79" s="24">
        <f>'Krankenquote Objekte'!Q79*$D79</f>
        <v/>
      </c>
      <c r="AD79" s="50">
        <f>SUM(R79:AC79)</f>
        <v/>
      </c>
      <c r="AE79" s="26">
        <f>IF(Q79+AD79&gt;0,AD79/(Q79+AD79),0)</f>
        <v/>
      </c>
      <c r="AF79" s="24">
        <f>IF($C$3&gt;0,AD79/($C$3/5),0)</f>
        <v/>
      </c>
    </row>
    <row r="80">
      <c r="A80" s="42">
        <f>IF('Krankenquote Objekte'!B80="","",'Krankenquote Objekte'!A80)</f>
        <v/>
      </c>
      <c r="B80" s="43">
        <f>IF('Krankenquote Objekte'!B80="","",'Krankenquote Objekte'!B80)</f>
        <v/>
      </c>
      <c r="C80" s="7">
        <f>IF('Krankenquote Objekte'!B80="","",'Krankenquote Objekte'!C80)</f>
        <v/>
      </c>
      <c r="D80" s="62">
        <f>$C$3/5*'Krankenquote Objekte'!D80</f>
        <v/>
      </c>
      <c r="E80" s="63" t="n"/>
      <c r="F80" s="63" t="n"/>
      <c r="G80" s="63" t="n"/>
      <c r="H80" s="63" t="n"/>
      <c r="I80" s="63" t="n"/>
      <c r="J80" s="63" t="n"/>
      <c r="K80" s="63" t="n"/>
      <c r="L80" s="63" t="n"/>
      <c r="M80" s="63" t="n"/>
      <c r="N80" s="63" t="n"/>
      <c r="O80" s="63" t="n"/>
      <c r="P80" s="63" t="n"/>
      <c r="Q80" s="50">
        <f>SUM(E80:P80)</f>
        <v/>
      </c>
      <c r="R80" s="24">
        <f>'Krankenquote Objekte'!F80*$D80</f>
        <v/>
      </c>
      <c r="S80" s="24">
        <f>'Krankenquote Objekte'!G80*$D80</f>
        <v/>
      </c>
      <c r="T80" s="24">
        <f>'Krankenquote Objekte'!H80*$D80</f>
        <v/>
      </c>
      <c r="U80" s="24">
        <f>'Krankenquote Objekte'!I80*$D80</f>
        <v/>
      </c>
      <c r="V80" s="24">
        <f>'Krankenquote Objekte'!J80*$D80</f>
        <v/>
      </c>
      <c r="W80" s="24">
        <f>'Krankenquote Objekte'!K80*$D80</f>
        <v/>
      </c>
      <c r="X80" s="24">
        <f>'Krankenquote Objekte'!L80*$D80</f>
        <v/>
      </c>
      <c r="Y80" s="24">
        <f>'Krankenquote Objekte'!M80*$D80</f>
        <v/>
      </c>
      <c r="Z80" s="24">
        <f>'Krankenquote Objekte'!N80*$D80</f>
        <v/>
      </c>
      <c r="AA80" s="24">
        <f>'Krankenquote Objekte'!O80*$D80</f>
        <v/>
      </c>
      <c r="AB80" s="24">
        <f>'Krankenquote Objekte'!P80*$D80</f>
        <v/>
      </c>
      <c r="AC80" s="24">
        <f>'Krankenquote Objekte'!Q80*$D80</f>
        <v/>
      </c>
      <c r="AD80" s="50">
        <f>SUM(R80:AC80)</f>
        <v/>
      </c>
      <c r="AE80" s="26">
        <f>IF(Q80+AD80&gt;0,AD80/(Q80+AD80),0)</f>
        <v/>
      </c>
      <c r="AF80" s="24">
        <f>IF($C$3&gt;0,AD80/($C$3/5),0)</f>
        <v/>
      </c>
    </row>
    <row r="81">
      <c r="A81" s="42">
        <f>IF('Krankenquote Objekte'!B81="","",'Krankenquote Objekte'!A81)</f>
        <v/>
      </c>
      <c r="B81" s="43">
        <f>IF('Krankenquote Objekte'!B81="","",'Krankenquote Objekte'!B81)</f>
        <v/>
      </c>
      <c r="C81" s="7">
        <f>IF('Krankenquote Objekte'!B81="","",'Krankenquote Objekte'!C81)</f>
        <v/>
      </c>
      <c r="D81" s="62">
        <f>$C$3/5*'Krankenquote Objekte'!D81</f>
        <v/>
      </c>
      <c r="E81" s="63" t="n"/>
      <c r="F81" s="63" t="n"/>
      <c r="G81" s="63" t="n"/>
      <c r="H81" s="63" t="n"/>
      <c r="I81" s="63" t="n"/>
      <c r="J81" s="63" t="n"/>
      <c r="K81" s="63" t="n"/>
      <c r="L81" s="63" t="n"/>
      <c r="M81" s="63" t="n"/>
      <c r="N81" s="63" t="n"/>
      <c r="O81" s="63" t="n"/>
      <c r="P81" s="63" t="n"/>
      <c r="Q81" s="50">
        <f>SUM(E81:P81)</f>
        <v/>
      </c>
      <c r="R81" s="24">
        <f>'Krankenquote Objekte'!F81*$D81</f>
        <v/>
      </c>
      <c r="S81" s="24">
        <f>'Krankenquote Objekte'!G81*$D81</f>
        <v/>
      </c>
      <c r="T81" s="24">
        <f>'Krankenquote Objekte'!H81*$D81</f>
        <v/>
      </c>
      <c r="U81" s="24">
        <f>'Krankenquote Objekte'!I81*$D81</f>
        <v/>
      </c>
      <c r="V81" s="24">
        <f>'Krankenquote Objekte'!J81*$D81</f>
        <v/>
      </c>
      <c r="W81" s="24">
        <f>'Krankenquote Objekte'!K81*$D81</f>
        <v/>
      </c>
      <c r="X81" s="24">
        <f>'Krankenquote Objekte'!L81*$D81</f>
        <v/>
      </c>
      <c r="Y81" s="24">
        <f>'Krankenquote Objekte'!M81*$D81</f>
        <v/>
      </c>
      <c r="Z81" s="24">
        <f>'Krankenquote Objekte'!N81*$D81</f>
        <v/>
      </c>
      <c r="AA81" s="24">
        <f>'Krankenquote Objekte'!O81*$D81</f>
        <v/>
      </c>
      <c r="AB81" s="24">
        <f>'Krankenquote Objekte'!P81*$D81</f>
        <v/>
      </c>
      <c r="AC81" s="24">
        <f>'Krankenquote Objekte'!Q81*$D81</f>
        <v/>
      </c>
      <c r="AD81" s="50">
        <f>SUM(R81:AC81)</f>
        <v/>
      </c>
      <c r="AE81" s="26">
        <f>IF(Q81+AD81&gt;0,AD81/(Q81+AD81),0)</f>
        <v/>
      </c>
      <c r="AF81" s="24">
        <f>IF($C$3&gt;0,AD81/($C$3/5),0)</f>
        <v/>
      </c>
    </row>
    <row r="82">
      <c r="A82" s="42">
        <f>IF('Krankenquote Objekte'!B82="","",'Krankenquote Objekte'!A82)</f>
        <v/>
      </c>
      <c r="B82" s="43">
        <f>IF('Krankenquote Objekte'!B82="","",'Krankenquote Objekte'!B82)</f>
        <v/>
      </c>
      <c r="C82" s="7">
        <f>IF('Krankenquote Objekte'!B82="","",'Krankenquote Objekte'!C82)</f>
        <v/>
      </c>
      <c r="D82" s="62">
        <f>$C$3/5*'Krankenquote Objekte'!D82</f>
        <v/>
      </c>
      <c r="E82" s="63" t="n"/>
      <c r="F82" s="63" t="n"/>
      <c r="G82" s="63" t="n"/>
      <c r="H82" s="63" t="n"/>
      <c r="I82" s="63" t="n"/>
      <c r="J82" s="63" t="n"/>
      <c r="K82" s="63" t="n"/>
      <c r="L82" s="63" t="n"/>
      <c r="M82" s="63" t="n"/>
      <c r="N82" s="63" t="n"/>
      <c r="O82" s="63" t="n"/>
      <c r="P82" s="63" t="n"/>
      <c r="Q82" s="50">
        <f>SUM(E82:P82)</f>
        <v/>
      </c>
      <c r="R82" s="24">
        <f>'Krankenquote Objekte'!F82*$D82</f>
        <v/>
      </c>
      <c r="S82" s="24">
        <f>'Krankenquote Objekte'!G82*$D82</f>
        <v/>
      </c>
      <c r="T82" s="24">
        <f>'Krankenquote Objekte'!H82*$D82</f>
        <v/>
      </c>
      <c r="U82" s="24">
        <f>'Krankenquote Objekte'!I82*$D82</f>
        <v/>
      </c>
      <c r="V82" s="24">
        <f>'Krankenquote Objekte'!J82*$D82</f>
        <v/>
      </c>
      <c r="W82" s="24">
        <f>'Krankenquote Objekte'!K82*$D82</f>
        <v/>
      </c>
      <c r="X82" s="24">
        <f>'Krankenquote Objekte'!L82*$D82</f>
        <v/>
      </c>
      <c r="Y82" s="24">
        <f>'Krankenquote Objekte'!M82*$D82</f>
        <v/>
      </c>
      <c r="Z82" s="24">
        <f>'Krankenquote Objekte'!N82*$D82</f>
        <v/>
      </c>
      <c r="AA82" s="24">
        <f>'Krankenquote Objekte'!O82*$D82</f>
        <v/>
      </c>
      <c r="AB82" s="24">
        <f>'Krankenquote Objekte'!P82*$D82</f>
        <v/>
      </c>
      <c r="AC82" s="24">
        <f>'Krankenquote Objekte'!Q82*$D82</f>
        <v/>
      </c>
      <c r="AD82" s="50">
        <f>SUM(R82:AC82)</f>
        <v/>
      </c>
      <c r="AE82" s="26">
        <f>IF(Q82+AD82&gt;0,AD82/(Q82+AD82),0)</f>
        <v/>
      </c>
      <c r="AF82" s="24">
        <f>IF($C$3&gt;0,AD82/($C$3/5),0)</f>
        <v/>
      </c>
    </row>
    <row r="83">
      <c r="A83" s="42">
        <f>IF('Krankenquote Objekte'!B83="","",'Krankenquote Objekte'!A83)</f>
        <v/>
      </c>
      <c r="B83" s="43">
        <f>IF('Krankenquote Objekte'!B83="","",'Krankenquote Objekte'!B83)</f>
        <v/>
      </c>
      <c r="C83" s="7">
        <f>IF('Krankenquote Objekte'!B83="","",'Krankenquote Objekte'!C83)</f>
        <v/>
      </c>
      <c r="D83" s="62">
        <f>$C$3/5*'Krankenquote Objekte'!D83</f>
        <v/>
      </c>
      <c r="E83" s="63" t="n"/>
      <c r="F83" s="63" t="n"/>
      <c r="G83" s="63" t="n"/>
      <c r="H83" s="63" t="n"/>
      <c r="I83" s="63" t="n"/>
      <c r="J83" s="63" t="n"/>
      <c r="K83" s="63" t="n"/>
      <c r="L83" s="63" t="n"/>
      <c r="M83" s="63" t="n"/>
      <c r="N83" s="63" t="n"/>
      <c r="O83" s="63" t="n"/>
      <c r="P83" s="63" t="n"/>
      <c r="Q83" s="50">
        <f>SUM(E83:P83)</f>
        <v/>
      </c>
      <c r="R83" s="24">
        <f>'Krankenquote Objekte'!F83*$D83</f>
        <v/>
      </c>
      <c r="S83" s="24">
        <f>'Krankenquote Objekte'!G83*$D83</f>
        <v/>
      </c>
      <c r="T83" s="24">
        <f>'Krankenquote Objekte'!H83*$D83</f>
        <v/>
      </c>
      <c r="U83" s="24">
        <f>'Krankenquote Objekte'!I83*$D83</f>
        <v/>
      </c>
      <c r="V83" s="24">
        <f>'Krankenquote Objekte'!J83*$D83</f>
        <v/>
      </c>
      <c r="W83" s="24">
        <f>'Krankenquote Objekte'!K83*$D83</f>
        <v/>
      </c>
      <c r="X83" s="24">
        <f>'Krankenquote Objekte'!L83*$D83</f>
        <v/>
      </c>
      <c r="Y83" s="24">
        <f>'Krankenquote Objekte'!M83*$D83</f>
        <v/>
      </c>
      <c r="Z83" s="24">
        <f>'Krankenquote Objekte'!N83*$D83</f>
        <v/>
      </c>
      <c r="AA83" s="24">
        <f>'Krankenquote Objekte'!O83*$D83</f>
        <v/>
      </c>
      <c r="AB83" s="24">
        <f>'Krankenquote Objekte'!P83*$D83</f>
        <v/>
      </c>
      <c r="AC83" s="24">
        <f>'Krankenquote Objekte'!Q83*$D83</f>
        <v/>
      </c>
      <c r="AD83" s="50">
        <f>SUM(R83:AC83)</f>
        <v/>
      </c>
      <c r="AE83" s="26">
        <f>IF(Q83+AD83&gt;0,AD83/(Q83+AD83),0)</f>
        <v/>
      </c>
      <c r="AF83" s="24">
        <f>IF($C$3&gt;0,AD83/($C$3/5),0)</f>
        <v/>
      </c>
    </row>
    <row r="84">
      <c r="A84" s="42">
        <f>IF('Krankenquote Objekte'!B84="","",'Krankenquote Objekte'!A84)</f>
        <v/>
      </c>
      <c r="B84" s="43">
        <f>IF('Krankenquote Objekte'!B84="","",'Krankenquote Objekte'!B84)</f>
        <v/>
      </c>
      <c r="C84" s="7">
        <f>IF('Krankenquote Objekte'!B84="","",'Krankenquote Objekte'!C84)</f>
        <v/>
      </c>
      <c r="D84" s="62">
        <f>$C$3/5*'Krankenquote Objekte'!D84</f>
        <v/>
      </c>
      <c r="E84" s="63" t="n"/>
      <c r="F84" s="63" t="n"/>
      <c r="G84" s="63" t="n"/>
      <c r="H84" s="63" t="n"/>
      <c r="I84" s="63" t="n"/>
      <c r="J84" s="63" t="n"/>
      <c r="K84" s="63" t="n"/>
      <c r="L84" s="63" t="n"/>
      <c r="M84" s="63" t="n"/>
      <c r="N84" s="63" t="n"/>
      <c r="O84" s="63" t="n"/>
      <c r="P84" s="63" t="n"/>
      <c r="Q84" s="50">
        <f>SUM(E84:P84)</f>
        <v/>
      </c>
      <c r="R84" s="24">
        <f>'Krankenquote Objekte'!F84*$D84</f>
        <v/>
      </c>
      <c r="S84" s="24">
        <f>'Krankenquote Objekte'!G84*$D84</f>
        <v/>
      </c>
      <c r="T84" s="24">
        <f>'Krankenquote Objekte'!H84*$D84</f>
        <v/>
      </c>
      <c r="U84" s="24">
        <f>'Krankenquote Objekte'!I84*$D84</f>
        <v/>
      </c>
      <c r="V84" s="24">
        <f>'Krankenquote Objekte'!J84*$D84</f>
        <v/>
      </c>
      <c r="W84" s="24">
        <f>'Krankenquote Objekte'!K84*$D84</f>
        <v/>
      </c>
      <c r="X84" s="24">
        <f>'Krankenquote Objekte'!L84*$D84</f>
        <v/>
      </c>
      <c r="Y84" s="24">
        <f>'Krankenquote Objekte'!M84*$D84</f>
        <v/>
      </c>
      <c r="Z84" s="24">
        <f>'Krankenquote Objekte'!N84*$D84</f>
        <v/>
      </c>
      <c r="AA84" s="24">
        <f>'Krankenquote Objekte'!O84*$D84</f>
        <v/>
      </c>
      <c r="AB84" s="24">
        <f>'Krankenquote Objekte'!P84*$D84</f>
        <v/>
      </c>
      <c r="AC84" s="24">
        <f>'Krankenquote Objekte'!Q84*$D84</f>
        <v/>
      </c>
      <c r="AD84" s="50">
        <f>SUM(R84:AC84)</f>
        <v/>
      </c>
      <c r="AE84" s="26">
        <f>IF(Q84+AD84&gt;0,AD84/(Q84+AD84),0)</f>
        <v/>
      </c>
      <c r="AF84" s="24">
        <f>IF($C$3&gt;0,AD84/($C$3/5),0)</f>
        <v/>
      </c>
    </row>
    <row r="85">
      <c r="A85" s="42">
        <f>IF('Krankenquote Objekte'!B85="","",'Krankenquote Objekte'!A85)</f>
        <v/>
      </c>
      <c r="B85" s="43">
        <f>IF('Krankenquote Objekte'!B85="","",'Krankenquote Objekte'!B85)</f>
        <v/>
      </c>
      <c r="C85" s="7">
        <f>IF('Krankenquote Objekte'!B85="","",'Krankenquote Objekte'!C85)</f>
        <v/>
      </c>
      <c r="D85" s="62">
        <f>$C$3/5*'Krankenquote Objekte'!D85</f>
        <v/>
      </c>
      <c r="E85" s="63" t="n"/>
      <c r="F85" s="63" t="n"/>
      <c r="G85" s="63" t="n"/>
      <c r="H85" s="63" t="n"/>
      <c r="I85" s="63" t="n"/>
      <c r="J85" s="63" t="n"/>
      <c r="K85" s="63" t="n"/>
      <c r="L85" s="63" t="n"/>
      <c r="M85" s="63" t="n"/>
      <c r="N85" s="63" t="n"/>
      <c r="O85" s="63" t="n"/>
      <c r="P85" s="63" t="n"/>
      <c r="Q85" s="50">
        <f>SUM(E85:P85)</f>
        <v/>
      </c>
      <c r="R85" s="24">
        <f>'Krankenquote Objekte'!F85*$D85</f>
        <v/>
      </c>
      <c r="S85" s="24">
        <f>'Krankenquote Objekte'!G85*$D85</f>
        <v/>
      </c>
      <c r="T85" s="24">
        <f>'Krankenquote Objekte'!H85*$D85</f>
        <v/>
      </c>
      <c r="U85" s="24">
        <f>'Krankenquote Objekte'!I85*$D85</f>
        <v/>
      </c>
      <c r="V85" s="24">
        <f>'Krankenquote Objekte'!J85*$D85</f>
        <v/>
      </c>
      <c r="W85" s="24">
        <f>'Krankenquote Objekte'!K85*$D85</f>
        <v/>
      </c>
      <c r="X85" s="24">
        <f>'Krankenquote Objekte'!L85*$D85</f>
        <v/>
      </c>
      <c r="Y85" s="24">
        <f>'Krankenquote Objekte'!M85*$D85</f>
        <v/>
      </c>
      <c r="Z85" s="24">
        <f>'Krankenquote Objekte'!N85*$D85</f>
        <v/>
      </c>
      <c r="AA85" s="24">
        <f>'Krankenquote Objekte'!O85*$D85</f>
        <v/>
      </c>
      <c r="AB85" s="24">
        <f>'Krankenquote Objekte'!P85*$D85</f>
        <v/>
      </c>
      <c r="AC85" s="24">
        <f>'Krankenquote Objekte'!Q85*$D85</f>
        <v/>
      </c>
      <c r="AD85" s="50">
        <f>SUM(R85:AC85)</f>
        <v/>
      </c>
      <c r="AE85" s="26">
        <f>IF(Q85+AD85&gt;0,AD85/(Q85+AD85),0)</f>
        <v/>
      </c>
      <c r="AF85" s="24">
        <f>IF($C$3&gt;0,AD85/($C$3/5),0)</f>
        <v/>
      </c>
    </row>
    <row r="86">
      <c r="A86" s="42">
        <f>IF('Krankenquote Objekte'!B86="","",'Krankenquote Objekte'!A86)</f>
        <v/>
      </c>
      <c r="B86" s="43">
        <f>IF('Krankenquote Objekte'!B86="","",'Krankenquote Objekte'!B86)</f>
        <v/>
      </c>
      <c r="C86" s="7">
        <f>IF('Krankenquote Objekte'!B86="","",'Krankenquote Objekte'!C86)</f>
        <v/>
      </c>
      <c r="D86" s="62">
        <f>$C$3/5*'Krankenquote Objekte'!D86</f>
        <v/>
      </c>
      <c r="E86" s="63" t="n"/>
      <c r="F86" s="63" t="n"/>
      <c r="G86" s="63" t="n"/>
      <c r="H86" s="63" t="n"/>
      <c r="I86" s="63" t="n"/>
      <c r="J86" s="63" t="n"/>
      <c r="K86" s="63" t="n"/>
      <c r="L86" s="63" t="n"/>
      <c r="M86" s="63" t="n"/>
      <c r="N86" s="63" t="n"/>
      <c r="O86" s="63" t="n"/>
      <c r="P86" s="63" t="n"/>
      <c r="Q86" s="50">
        <f>SUM(E86:P86)</f>
        <v/>
      </c>
      <c r="R86" s="24">
        <f>'Krankenquote Objekte'!F86*$D86</f>
        <v/>
      </c>
      <c r="S86" s="24">
        <f>'Krankenquote Objekte'!G86*$D86</f>
        <v/>
      </c>
      <c r="T86" s="24">
        <f>'Krankenquote Objekte'!H86*$D86</f>
        <v/>
      </c>
      <c r="U86" s="24">
        <f>'Krankenquote Objekte'!I86*$D86</f>
        <v/>
      </c>
      <c r="V86" s="24">
        <f>'Krankenquote Objekte'!J86*$D86</f>
        <v/>
      </c>
      <c r="W86" s="24">
        <f>'Krankenquote Objekte'!K86*$D86</f>
        <v/>
      </c>
      <c r="X86" s="24">
        <f>'Krankenquote Objekte'!L86*$D86</f>
        <v/>
      </c>
      <c r="Y86" s="24">
        <f>'Krankenquote Objekte'!M86*$D86</f>
        <v/>
      </c>
      <c r="Z86" s="24">
        <f>'Krankenquote Objekte'!N86*$D86</f>
        <v/>
      </c>
      <c r="AA86" s="24">
        <f>'Krankenquote Objekte'!O86*$D86</f>
        <v/>
      </c>
      <c r="AB86" s="24">
        <f>'Krankenquote Objekte'!P86*$D86</f>
        <v/>
      </c>
      <c r="AC86" s="24">
        <f>'Krankenquote Objekte'!Q86*$D86</f>
        <v/>
      </c>
      <c r="AD86" s="50">
        <f>SUM(R86:AC86)</f>
        <v/>
      </c>
      <c r="AE86" s="26">
        <f>IF(Q86+AD86&gt;0,AD86/(Q86+AD86),0)</f>
        <v/>
      </c>
      <c r="AF86" s="24">
        <f>IF($C$3&gt;0,AD86/($C$3/5),0)</f>
        <v/>
      </c>
    </row>
    <row r="87">
      <c r="A87" s="42">
        <f>IF('Krankenquote Objekte'!B87="","",'Krankenquote Objekte'!A87)</f>
        <v/>
      </c>
      <c r="B87" s="43">
        <f>IF('Krankenquote Objekte'!B87="","",'Krankenquote Objekte'!B87)</f>
        <v/>
      </c>
      <c r="C87" s="7">
        <f>IF('Krankenquote Objekte'!B87="","",'Krankenquote Objekte'!C87)</f>
        <v/>
      </c>
      <c r="D87" s="62">
        <f>$C$3/5*'Krankenquote Objekte'!D87</f>
        <v/>
      </c>
      <c r="E87" s="63" t="n"/>
      <c r="F87" s="63" t="n"/>
      <c r="G87" s="63" t="n"/>
      <c r="H87" s="63" t="n"/>
      <c r="I87" s="63" t="n"/>
      <c r="J87" s="63" t="n"/>
      <c r="K87" s="63" t="n"/>
      <c r="L87" s="63" t="n"/>
      <c r="M87" s="63" t="n"/>
      <c r="N87" s="63" t="n"/>
      <c r="O87" s="63" t="n"/>
      <c r="P87" s="63" t="n"/>
      <c r="Q87" s="50">
        <f>SUM(E87:P87)</f>
        <v/>
      </c>
      <c r="R87" s="24">
        <f>'Krankenquote Objekte'!F87*$D87</f>
        <v/>
      </c>
      <c r="S87" s="24">
        <f>'Krankenquote Objekte'!G87*$D87</f>
        <v/>
      </c>
      <c r="T87" s="24">
        <f>'Krankenquote Objekte'!H87*$D87</f>
        <v/>
      </c>
      <c r="U87" s="24">
        <f>'Krankenquote Objekte'!I87*$D87</f>
        <v/>
      </c>
      <c r="V87" s="24">
        <f>'Krankenquote Objekte'!J87*$D87</f>
        <v/>
      </c>
      <c r="W87" s="24">
        <f>'Krankenquote Objekte'!K87*$D87</f>
        <v/>
      </c>
      <c r="X87" s="24">
        <f>'Krankenquote Objekte'!L87*$D87</f>
        <v/>
      </c>
      <c r="Y87" s="24">
        <f>'Krankenquote Objekte'!M87*$D87</f>
        <v/>
      </c>
      <c r="Z87" s="24">
        <f>'Krankenquote Objekte'!N87*$D87</f>
        <v/>
      </c>
      <c r="AA87" s="24">
        <f>'Krankenquote Objekte'!O87*$D87</f>
        <v/>
      </c>
      <c r="AB87" s="24">
        <f>'Krankenquote Objekte'!P87*$D87</f>
        <v/>
      </c>
      <c r="AC87" s="24">
        <f>'Krankenquote Objekte'!Q87*$D87</f>
        <v/>
      </c>
      <c r="AD87" s="50">
        <f>SUM(R87:AC87)</f>
        <v/>
      </c>
      <c r="AE87" s="26">
        <f>IF(Q87+AD87&gt;0,AD87/(Q87+AD87),0)</f>
        <v/>
      </c>
      <c r="AF87" s="24">
        <f>IF($C$3&gt;0,AD87/($C$3/5),0)</f>
        <v/>
      </c>
    </row>
    <row r="88">
      <c r="A88" s="42">
        <f>IF('Krankenquote Objekte'!B88="","",'Krankenquote Objekte'!A88)</f>
        <v/>
      </c>
      <c r="B88" s="43">
        <f>IF('Krankenquote Objekte'!B88="","",'Krankenquote Objekte'!B88)</f>
        <v/>
      </c>
      <c r="C88" s="7">
        <f>IF('Krankenquote Objekte'!B88="","",'Krankenquote Objekte'!C88)</f>
        <v/>
      </c>
      <c r="D88" s="62">
        <f>$C$3/5*'Krankenquote Objekte'!D88</f>
        <v/>
      </c>
      <c r="E88" s="63" t="n"/>
      <c r="F88" s="63" t="n"/>
      <c r="G88" s="63" t="n"/>
      <c r="H88" s="63" t="n"/>
      <c r="I88" s="63" t="n"/>
      <c r="J88" s="63" t="n"/>
      <c r="K88" s="63" t="n"/>
      <c r="L88" s="63" t="n"/>
      <c r="M88" s="63" t="n"/>
      <c r="N88" s="63" t="n"/>
      <c r="O88" s="63" t="n"/>
      <c r="P88" s="63" t="n"/>
      <c r="Q88" s="50">
        <f>SUM(E88:P88)</f>
        <v/>
      </c>
      <c r="R88" s="24">
        <f>'Krankenquote Objekte'!F88*$D88</f>
        <v/>
      </c>
      <c r="S88" s="24">
        <f>'Krankenquote Objekte'!G88*$D88</f>
        <v/>
      </c>
      <c r="T88" s="24">
        <f>'Krankenquote Objekte'!H88*$D88</f>
        <v/>
      </c>
      <c r="U88" s="24">
        <f>'Krankenquote Objekte'!I88*$D88</f>
        <v/>
      </c>
      <c r="V88" s="24">
        <f>'Krankenquote Objekte'!J88*$D88</f>
        <v/>
      </c>
      <c r="W88" s="24">
        <f>'Krankenquote Objekte'!K88*$D88</f>
        <v/>
      </c>
      <c r="X88" s="24">
        <f>'Krankenquote Objekte'!L88*$D88</f>
        <v/>
      </c>
      <c r="Y88" s="24">
        <f>'Krankenquote Objekte'!M88*$D88</f>
        <v/>
      </c>
      <c r="Z88" s="24">
        <f>'Krankenquote Objekte'!N88*$D88</f>
        <v/>
      </c>
      <c r="AA88" s="24">
        <f>'Krankenquote Objekte'!O88*$D88</f>
        <v/>
      </c>
      <c r="AB88" s="24">
        <f>'Krankenquote Objekte'!P88*$D88</f>
        <v/>
      </c>
      <c r="AC88" s="24">
        <f>'Krankenquote Objekte'!Q88*$D88</f>
        <v/>
      </c>
      <c r="AD88" s="50">
        <f>SUM(R88:AC88)</f>
        <v/>
      </c>
      <c r="AE88" s="26">
        <f>IF(Q88+AD88&gt;0,AD88/(Q88+AD88),0)</f>
        <v/>
      </c>
      <c r="AF88" s="24">
        <f>IF($C$3&gt;0,AD88/($C$3/5),0)</f>
        <v/>
      </c>
    </row>
    <row r="89">
      <c r="A89" s="42">
        <f>IF('Krankenquote Objekte'!B89="","",'Krankenquote Objekte'!A89)</f>
        <v/>
      </c>
      <c r="B89" s="43">
        <f>IF('Krankenquote Objekte'!B89="","",'Krankenquote Objekte'!B89)</f>
        <v/>
      </c>
      <c r="C89" s="7">
        <f>IF('Krankenquote Objekte'!B89="","",'Krankenquote Objekte'!C89)</f>
        <v/>
      </c>
      <c r="D89" s="62">
        <f>$C$3/5*'Krankenquote Objekte'!D89</f>
        <v/>
      </c>
      <c r="E89" s="63" t="n"/>
      <c r="F89" s="63" t="n"/>
      <c r="G89" s="63" t="n"/>
      <c r="H89" s="63" t="n"/>
      <c r="I89" s="63" t="n"/>
      <c r="J89" s="63" t="n"/>
      <c r="K89" s="63" t="n"/>
      <c r="L89" s="63" t="n"/>
      <c r="M89" s="63" t="n"/>
      <c r="N89" s="63" t="n"/>
      <c r="O89" s="63" t="n"/>
      <c r="P89" s="63" t="n"/>
      <c r="Q89" s="50">
        <f>SUM(E89:P89)</f>
        <v/>
      </c>
      <c r="R89" s="24">
        <f>'Krankenquote Objekte'!F89*$D89</f>
        <v/>
      </c>
      <c r="S89" s="24">
        <f>'Krankenquote Objekte'!G89*$D89</f>
        <v/>
      </c>
      <c r="T89" s="24">
        <f>'Krankenquote Objekte'!H89*$D89</f>
        <v/>
      </c>
      <c r="U89" s="24">
        <f>'Krankenquote Objekte'!I89*$D89</f>
        <v/>
      </c>
      <c r="V89" s="24">
        <f>'Krankenquote Objekte'!J89*$D89</f>
        <v/>
      </c>
      <c r="W89" s="24">
        <f>'Krankenquote Objekte'!K89*$D89</f>
        <v/>
      </c>
      <c r="X89" s="24">
        <f>'Krankenquote Objekte'!L89*$D89</f>
        <v/>
      </c>
      <c r="Y89" s="24">
        <f>'Krankenquote Objekte'!M89*$D89</f>
        <v/>
      </c>
      <c r="Z89" s="24">
        <f>'Krankenquote Objekte'!N89*$D89</f>
        <v/>
      </c>
      <c r="AA89" s="24">
        <f>'Krankenquote Objekte'!O89*$D89</f>
        <v/>
      </c>
      <c r="AB89" s="24">
        <f>'Krankenquote Objekte'!P89*$D89</f>
        <v/>
      </c>
      <c r="AC89" s="24">
        <f>'Krankenquote Objekte'!Q89*$D89</f>
        <v/>
      </c>
      <c r="AD89" s="50">
        <f>SUM(R89:AC89)</f>
        <v/>
      </c>
      <c r="AE89" s="26">
        <f>IF(Q89+AD89&gt;0,AD89/(Q89+AD89),0)</f>
        <v/>
      </c>
      <c r="AF89" s="24">
        <f>IF($C$3&gt;0,AD89/($C$3/5),0)</f>
        <v/>
      </c>
    </row>
    <row r="90">
      <c r="A90" s="42">
        <f>IF('Krankenquote Objekte'!B90="","",'Krankenquote Objekte'!A90)</f>
        <v/>
      </c>
      <c r="B90" s="43">
        <f>IF('Krankenquote Objekte'!B90="","",'Krankenquote Objekte'!B90)</f>
        <v/>
      </c>
      <c r="C90" s="7">
        <f>IF('Krankenquote Objekte'!B90="","",'Krankenquote Objekte'!C90)</f>
        <v/>
      </c>
      <c r="D90" s="62">
        <f>$C$3/5*'Krankenquote Objekte'!D90</f>
        <v/>
      </c>
      <c r="E90" s="63" t="n"/>
      <c r="F90" s="63" t="n"/>
      <c r="G90" s="63" t="n"/>
      <c r="H90" s="63" t="n"/>
      <c r="I90" s="63" t="n"/>
      <c r="J90" s="63" t="n"/>
      <c r="K90" s="63" t="n"/>
      <c r="L90" s="63" t="n"/>
      <c r="M90" s="63" t="n"/>
      <c r="N90" s="63" t="n"/>
      <c r="O90" s="63" t="n"/>
      <c r="P90" s="63" t="n"/>
      <c r="Q90" s="50">
        <f>SUM(E90:P90)</f>
        <v/>
      </c>
      <c r="R90" s="24">
        <f>'Krankenquote Objekte'!F90*$D90</f>
        <v/>
      </c>
      <c r="S90" s="24">
        <f>'Krankenquote Objekte'!G90*$D90</f>
        <v/>
      </c>
      <c r="T90" s="24">
        <f>'Krankenquote Objekte'!H90*$D90</f>
        <v/>
      </c>
      <c r="U90" s="24">
        <f>'Krankenquote Objekte'!I90*$D90</f>
        <v/>
      </c>
      <c r="V90" s="24">
        <f>'Krankenquote Objekte'!J90*$D90</f>
        <v/>
      </c>
      <c r="W90" s="24">
        <f>'Krankenquote Objekte'!K90*$D90</f>
        <v/>
      </c>
      <c r="X90" s="24">
        <f>'Krankenquote Objekte'!L90*$D90</f>
        <v/>
      </c>
      <c r="Y90" s="24">
        <f>'Krankenquote Objekte'!M90*$D90</f>
        <v/>
      </c>
      <c r="Z90" s="24">
        <f>'Krankenquote Objekte'!N90*$D90</f>
        <v/>
      </c>
      <c r="AA90" s="24">
        <f>'Krankenquote Objekte'!O90*$D90</f>
        <v/>
      </c>
      <c r="AB90" s="24">
        <f>'Krankenquote Objekte'!P90*$D90</f>
        <v/>
      </c>
      <c r="AC90" s="24">
        <f>'Krankenquote Objekte'!Q90*$D90</f>
        <v/>
      </c>
      <c r="AD90" s="50">
        <f>SUM(R90:AC90)</f>
        <v/>
      </c>
      <c r="AE90" s="26">
        <f>IF(Q90+AD90&gt;0,AD90/(Q90+AD90),0)</f>
        <v/>
      </c>
      <c r="AF90" s="24">
        <f>IF($C$3&gt;0,AD90/($C$3/5),0)</f>
        <v/>
      </c>
    </row>
    <row r="91">
      <c r="A91" s="42">
        <f>IF('Krankenquote Objekte'!B91="","",'Krankenquote Objekte'!A91)</f>
        <v/>
      </c>
      <c r="B91" s="43">
        <f>IF('Krankenquote Objekte'!B91="","",'Krankenquote Objekte'!B91)</f>
        <v/>
      </c>
      <c r="C91" s="7">
        <f>IF('Krankenquote Objekte'!B91="","",'Krankenquote Objekte'!C91)</f>
        <v/>
      </c>
      <c r="D91" s="62">
        <f>$C$3/5*'Krankenquote Objekte'!D91</f>
        <v/>
      </c>
      <c r="E91" s="63" t="n"/>
      <c r="F91" s="63" t="n"/>
      <c r="G91" s="63" t="n"/>
      <c r="H91" s="63" t="n"/>
      <c r="I91" s="63" t="n"/>
      <c r="J91" s="63" t="n"/>
      <c r="K91" s="63" t="n"/>
      <c r="L91" s="63" t="n"/>
      <c r="M91" s="63" t="n"/>
      <c r="N91" s="63" t="n"/>
      <c r="O91" s="63" t="n"/>
      <c r="P91" s="63" t="n"/>
      <c r="Q91" s="50">
        <f>SUM(E91:P91)</f>
        <v/>
      </c>
      <c r="R91" s="24">
        <f>'Krankenquote Objekte'!F91*$D91</f>
        <v/>
      </c>
      <c r="S91" s="24">
        <f>'Krankenquote Objekte'!G91*$D91</f>
        <v/>
      </c>
      <c r="T91" s="24">
        <f>'Krankenquote Objekte'!H91*$D91</f>
        <v/>
      </c>
      <c r="U91" s="24">
        <f>'Krankenquote Objekte'!I91*$D91</f>
        <v/>
      </c>
      <c r="V91" s="24">
        <f>'Krankenquote Objekte'!J91*$D91</f>
        <v/>
      </c>
      <c r="W91" s="24">
        <f>'Krankenquote Objekte'!K91*$D91</f>
        <v/>
      </c>
      <c r="X91" s="24">
        <f>'Krankenquote Objekte'!L91*$D91</f>
        <v/>
      </c>
      <c r="Y91" s="24">
        <f>'Krankenquote Objekte'!M91*$D91</f>
        <v/>
      </c>
      <c r="Z91" s="24">
        <f>'Krankenquote Objekte'!N91*$D91</f>
        <v/>
      </c>
      <c r="AA91" s="24">
        <f>'Krankenquote Objekte'!O91*$D91</f>
        <v/>
      </c>
      <c r="AB91" s="24">
        <f>'Krankenquote Objekte'!P91*$D91</f>
        <v/>
      </c>
      <c r="AC91" s="24">
        <f>'Krankenquote Objekte'!Q91*$D91</f>
        <v/>
      </c>
      <c r="AD91" s="50">
        <f>SUM(R91:AC91)</f>
        <v/>
      </c>
      <c r="AE91" s="26">
        <f>IF(Q91+AD91&gt;0,AD91/(Q91+AD91),0)</f>
        <v/>
      </c>
      <c r="AF91" s="24">
        <f>IF($C$3&gt;0,AD91/($C$3/5),0)</f>
        <v/>
      </c>
    </row>
    <row r="92">
      <c r="A92" s="42">
        <f>IF('Krankenquote Objekte'!B92="","",'Krankenquote Objekte'!A92)</f>
        <v/>
      </c>
      <c r="B92" s="43">
        <f>IF('Krankenquote Objekte'!B92="","",'Krankenquote Objekte'!B92)</f>
        <v/>
      </c>
      <c r="C92" s="7">
        <f>IF('Krankenquote Objekte'!B92="","",'Krankenquote Objekte'!C92)</f>
        <v/>
      </c>
      <c r="D92" s="62">
        <f>$C$3/5*'Krankenquote Objekte'!D92</f>
        <v/>
      </c>
      <c r="E92" s="63" t="n"/>
      <c r="F92" s="63" t="n"/>
      <c r="G92" s="63" t="n"/>
      <c r="H92" s="63" t="n"/>
      <c r="I92" s="63" t="n"/>
      <c r="J92" s="63" t="n"/>
      <c r="K92" s="63" t="n"/>
      <c r="L92" s="63" t="n"/>
      <c r="M92" s="63" t="n"/>
      <c r="N92" s="63" t="n"/>
      <c r="O92" s="63" t="n"/>
      <c r="P92" s="63" t="n"/>
      <c r="Q92" s="50">
        <f>SUM(E92:P92)</f>
        <v/>
      </c>
      <c r="R92" s="24">
        <f>'Krankenquote Objekte'!F92*$D92</f>
        <v/>
      </c>
      <c r="S92" s="24">
        <f>'Krankenquote Objekte'!G92*$D92</f>
        <v/>
      </c>
      <c r="T92" s="24">
        <f>'Krankenquote Objekte'!H92*$D92</f>
        <v/>
      </c>
      <c r="U92" s="24">
        <f>'Krankenquote Objekte'!I92*$D92</f>
        <v/>
      </c>
      <c r="V92" s="24">
        <f>'Krankenquote Objekte'!J92*$D92</f>
        <v/>
      </c>
      <c r="W92" s="24">
        <f>'Krankenquote Objekte'!K92*$D92</f>
        <v/>
      </c>
      <c r="X92" s="24">
        <f>'Krankenquote Objekte'!L92*$D92</f>
        <v/>
      </c>
      <c r="Y92" s="24">
        <f>'Krankenquote Objekte'!M92*$D92</f>
        <v/>
      </c>
      <c r="Z92" s="24">
        <f>'Krankenquote Objekte'!N92*$D92</f>
        <v/>
      </c>
      <c r="AA92" s="24">
        <f>'Krankenquote Objekte'!O92*$D92</f>
        <v/>
      </c>
      <c r="AB92" s="24">
        <f>'Krankenquote Objekte'!P92*$D92</f>
        <v/>
      </c>
      <c r="AC92" s="24">
        <f>'Krankenquote Objekte'!Q92*$D92</f>
        <v/>
      </c>
      <c r="AD92" s="50">
        <f>SUM(R92:AC92)</f>
        <v/>
      </c>
      <c r="AE92" s="26">
        <f>IF(Q92+AD92&gt;0,AD92/(Q92+AD92),0)</f>
        <v/>
      </c>
      <c r="AF92" s="24">
        <f>IF($C$3&gt;0,AD92/($C$3/5),0)</f>
        <v/>
      </c>
    </row>
    <row r="93">
      <c r="A93" s="42">
        <f>IF('Krankenquote Objekte'!B93="","",'Krankenquote Objekte'!A93)</f>
        <v/>
      </c>
      <c r="B93" s="43">
        <f>IF('Krankenquote Objekte'!B93="","",'Krankenquote Objekte'!B93)</f>
        <v/>
      </c>
      <c r="C93" s="7">
        <f>IF('Krankenquote Objekte'!B93="","",'Krankenquote Objekte'!C93)</f>
        <v/>
      </c>
      <c r="D93" s="62">
        <f>$C$3/5*'Krankenquote Objekte'!D93</f>
        <v/>
      </c>
      <c r="E93" s="63" t="n"/>
      <c r="F93" s="63" t="n"/>
      <c r="G93" s="63" t="n"/>
      <c r="H93" s="63" t="n"/>
      <c r="I93" s="63" t="n"/>
      <c r="J93" s="63" t="n"/>
      <c r="K93" s="63" t="n"/>
      <c r="L93" s="63" t="n"/>
      <c r="M93" s="63" t="n"/>
      <c r="N93" s="63" t="n"/>
      <c r="O93" s="63" t="n"/>
      <c r="P93" s="63" t="n"/>
      <c r="Q93" s="50">
        <f>SUM(E93:P93)</f>
        <v/>
      </c>
      <c r="R93" s="24">
        <f>'Krankenquote Objekte'!F93*$D93</f>
        <v/>
      </c>
      <c r="S93" s="24">
        <f>'Krankenquote Objekte'!G93*$D93</f>
        <v/>
      </c>
      <c r="T93" s="24">
        <f>'Krankenquote Objekte'!H93*$D93</f>
        <v/>
      </c>
      <c r="U93" s="24">
        <f>'Krankenquote Objekte'!I93*$D93</f>
        <v/>
      </c>
      <c r="V93" s="24">
        <f>'Krankenquote Objekte'!J93*$D93</f>
        <v/>
      </c>
      <c r="W93" s="24">
        <f>'Krankenquote Objekte'!K93*$D93</f>
        <v/>
      </c>
      <c r="X93" s="24">
        <f>'Krankenquote Objekte'!L93*$D93</f>
        <v/>
      </c>
      <c r="Y93" s="24">
        <f>'Krankenquote Objekte'!M93*$D93</f>
        <v/>
      </c>
      <c r="Z93" s="24">
        <f>'Krankenquote Objekte'!N93*$D93</f>
        <v/>
      </c>
      <c r="AA93" s="24">
        <f>'Krankenquote Objekte'!O93*$D93</f>
        <v/>
      </c>
      <c r="AB93" s="24">
        <f>'Krankenquote Objekte'!P93*$D93</f>
        <v/>
      </c>
      <c r="AC93" s="24">
        <f>'Krankenquote Objekte'!Q93*$D93</f>
        <v/>
      </c>
      <c r="AD93" s="50">
        <f>SUM(R93:AC93)</f>
        <v/>
      </c>
      <c r="AE93" s="26">
        <f>IF(Q93+AD93&gt;0,AD93/(Q93+AD93),0)</f>
        <v/>
      </c>
      <c r="AF93" s="24">
        <f>IF($C$3&gt;0,AD93/($C$3/5),0)</f>
        <v/>
      </c>
    </row>
    <row r="94">
      <c r="A94" s="42">
        <f>IF('Krankenquote Objekte'!B94="","",'Krankenquote Objekte'!A94)</f>
        <v/>
      </c>
      <c r="B94" s="43">
        <f>IF('Krankenquote Objekte'!B94="","",'Krankenquote Objekte'!B94)</f>
        <v/>
      </c>
      <c r="C94" s="7">
        <f>IF('Krankenquote Objekte'!B94="","",'Krankenquote Objekte'!C94)</f>
        <v/>
      </c>
      <c r="D94" s="62">
        <f>$C$3/5*'Krankenquote Objekte'!D94</f>
        <v/>
      </c>
      <c r="E94" s="63" t="n"/>
      <c r="F94" s="63" t="n"/>
      <c r="G94" s="63" t="n"/>
      <c r="H94" s="63" t="n"/>
      <c r="I94" s="63" t="n"/>
      <c r="J94" s="63" t="n"/>
      <c r="K94" s="63" t="n"/>
      <c r="L94" s="63" t="n"/>
      <c r="M94" s="63" t="n"/>
      <c r="N94" s="63" t="n"/>
      <c r="O94" s="63" t="n"/>
      <c r="P94" s="63" t="n"/>
      <c r="Q94" s="50">
        <f>SUM(E94:P94)</f>
        <v/>
      </c>
      <c r="R94" s="24">
        <f>'Krankenquote Objekte'!F94*$D94</f>
        <v/>
      </c>
      <c r="S94" s="24">
        <f>'Krankenquote Objekte'!G94*$D94</f>
        <v/>
      </c>
      <c r="T94" s="24">
        <f>'Krankenquote Objekte'!H94*$D94</f>
        <v/>
      </c>
      <c r="U94" s="24">
        <f>'Krankenquote Objekte'!I94*$D94</f>
        <v/>
      </c>
      <c r="V94" s="24">
        <f>'Krankenquote Objekte'!J94*$D94</f>
        <v/>
      </c>
      <c r="W94" s="24">
        <f>'Krankenquote Objekte'!K94*$D94</f>
        <v/>
      </c>
      <c r="X94" s="24">
        <f>'Krankenquote Objekte'!L94*$D94</f>
        <v/>
      </c>
      <c r="Y94" s="24">
        <f>'Krankenquote Objekte'!M94*$D94</f>
        <v/>
      </c>
      <c r="Z94" s="24">
        <f>'Krankenquote Objekte'!N94*$D94</f>
        <v/>
      </c>
      <c r="AA94" s="24">
        <f>'Krankenquote Objekte'!O94*$D94</f>
        <v/>
      </c>
      <c r="AB94" s="24">
        <f>'Krankenquote Objekte'!P94*$D94</f>
        <v/>
      </c>
      <c r="AC94" s="24">
        <f>'Krankenquote Objekte'!Q94*$D94</f>
        <v/>
      </c>
      <c r="AD94" s="50">
        <f>SUM(R94:AC94)</f>
        <v/>
      </c>
      <c r="AE94" s="26">
        <f>IF(Q94+AD94&gt;0,AD94/(Q94+AD94),0)</f>
        <v/>
      </c>
      <c r="AF94" s="24">
        <f>IF($C$3&gt;0,AD94/($C$3/5),0)</f>
        <v/>
      </c>
    </row>
    <row r="95">
      <c r="A95" s="42">
        <f>IF('Krankenquote Objekte'!B95="","",'Krankenquote Objekte'!A95)</f>
        <v/>
      </c>
      <c r="B95" s="43">
        <f>IF('Krankenquote Objekte'!B95="","",'Krankenquote Objekte'!B95)</f>
        <v/>
      </c>
      <c r="C95" s="7">
        <f>IF('Krankenquote Objekte'!B95="","",'Krankenquote Objekte'!C95)</f>
        <v/>
      </c>
      <c r="D95" s="62">
        <f>$C$3/5*'Krankenquote Objekte'!D95</f>
        <v/>
      </c>
      <c r="E95" s="63" t="n"/>
      <c r="F95" s="63" t="n"/>
      <c r="G95" s="63" t="n"/>
      <c r="H95" s="63" t="n"/>
      <c r="I95" s="63" t="n"/>
      <c r="J95" s="63" t="n"/>
      <c r="K95" s="63" t="n"/>
      <c r="L95" s="63" t="n"/>
      <c r="M95" s="63" t="n"/>
      <c r="N95" s="63" t="n"/>
      <c r="O95" s="63" t="n"/>
      <c r="P95" s="63" t="n"/>
      <c r="Q95" s="50">
        <f>SUM(E95:P95)</f>
        <v/>
      </c>
      <c r="R95" s="24">
        <f>'Krankenquote Objekte'!F95*$D95</f>
        <v/>
      </c>
      <c r="S95" s="24">
        <f>'Krankenquote Objekte'!G95*$D95</f>
        <v/>
      </c>
      <c r="T95" s="24">
        <f>'Krankenquote Objekte'!H95*$D95</f>
        <v/>
      </c>
      <c r="U95" s="24">
        <f>'Krankenquote Objekte'!I95*$D95</f>
        <v/>
      </c>
      <c r="V95" s="24">
        <f>'Krankenquote Objekte'!J95*$D95</f>
        <v/>
      </c>
      <c r="W95" s="24">
        <f>'Krankenquote Objekte'!K95*$D95</f>
        <v/>
      </c>
      <c r="X95" s="24">
        <f>'Krankenquote Objekte'!L95*$D95</f>
        <v/>
      </c>
      <c r="Y95" s="24">
        <f>'Krankenquote Objekte'!M95*$D95</f>
        <v/>
      </c>
      <c r="Z95" s="24">
        <f>'Krankenquote Objekte'!N95*$D95</f>
        <v/>
      </c>
      <c r="AA95" s="24">
        <f>'Krankenquote Objekte'!O95*$D95</f>
        <v/>
      </c>
      <c r="AB95" s="24">
        <f>'Krankenquote Objekte'!P95*$D95</f>
        <v/>
      </c>
      <c r="AC95" s="24">
        <f>'Krankenquote Objekte'!Q95*$D95</f>
        <v/>
      </c>
      <c r="AD95" s="50">
        <f>SUM(R95:AC95)</f>
        <v/>
      </c>
      <c r="AE95" s="26">
        <f>IF(Q95+AD95&gt;0,AD95/(Q95+AD95),0)</f>
        <v/>
      </c>
      <c r="AF95" s="24">
        <f>IF($C$3&gt;0,AD95/($C$3/5),0)</f>
        <v/>
      </c>
    </row>
    <row r="96">
      <c r="A96" s="42">
        <f>IF('Krankenquote Objekte'!B96="","",'Krankenquote Objekte'!A96)</f>
        <v/>
      </c>
      <c r="B96" s="43">
        <f>IF('Krankenquote Objekte'!B96="","",'Krankenquote Objekte'!B96)</f>
        <v/>
      </c>
      <c r="C96" s="7">
        <f>IF('Krankenquote Objekte'!B96="","",'Krankenquote Objekte'!C96)</f>
        <v/>
      </c>
      <c r="D96" s="62">
        <f>$C$3/5*'Krankenquote Objekte'!D96</f>
        <v/>
      </c>
      <c r="E96" s="63" t="n"/>
      <c r="F96" s="63" t="n"/>
      <c r="G96" s="63" t="n"/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50">
        <f>SUM(E96:P96)</f>
        <v/>
      </c>
      <c r="R96" s="24">
        <f>'Krankenquote Objekte'!F96*$D96</f>
        <v/>
      </c>
      <c r="S96" s="24">
        <f>'Krankenquote Objekte'!G96*$D96</f>
        <v/>
      </c>
      <c r="T96" s="24">
        <f>'Krankenquote Objekte'!H96*$D96</f>
        <v/>
      </c>
      <c r="U96" s="24">
        <f>'Krankenquote Objekte'!I96*$D96</f>
        <v/>
      </c>
      <c r="V96" s="24">
        <f>'Krankenquote Objekte'!J96*$D96</f>
        <v/>
      </c>
      <c r="W96" s="24">
        <f>'Krankenquote Objekte'!K96*$D96</f>
        <v/>
      </c>
      <c r="X96" s="24">
        <f>'Krankenquote Objekte'!L96*$D96</f>
        <v/>
      </c>
      <c r="Y96" s="24">
        <f>'Krankenquote Objekte'!M96*$D96</f>
        <v/>
      </c>
      <c r="Z96" s="24">
        <f>'Krankenquote Objekte'!N96*$D96</f>
        <v/>
      </c>
      <c r="AA96" s="24">
        <f>'Krankenquote Objekte'!O96*$D96</f>
        <v/>
      </c>
      <c r="AB96" s="24">
        <f>'Krankenquote Objekte'!P96*$D96</f>
        <v/>
      </c>
      <c r="AC96" s="24">
        <f>'Krankenquote Objekte'!Q96*$D96</f>
        <v/>
      </c>
      <c r="AD96" s="50">
        <f>SUM(R96:AC96)</f>
        <v/>
      </c>
      <c r="AE96" s="26">
        <f>IF(Q96+AD96&gt;0,AD96/(Q96+AD96),0)</f>
        <v/>
      </c>
      <c r="AF96" s="24">
        <f>IF($C$3&gt;0,AD96/($C$3/5),0)</f>
        <v/>
      </c>
    </row>
    <row r="97">
      <c r="A97" s="42">
        <f>IF('Krankenquote Objekte'!B97="","",'Krankenquote Objekte'!A97)</f>
        <v/>
      </c>
      <c r="B97" s="43">
        <f>IF('Krankenquote Objekte'!B97="","",'Krankenquote Objekte'!B97)</f>
        <v/>
      </c>
      <c r="C97" s="7">
        <f>IF('Krankenquote Objekte'!B97="","",'Krankenquote Objekte'!C97)</f>
        <v/>
      </c>
      <c r="D97" s="62">
        <f>$C$3/5*'Krankenquote Objekte'!D97</f>
        <v/>
      </c>
      <c r="E97" s="63" t="n"/>
      <c r="F97" s="63" t="n"/>
      <c r="G97" s="63" t="n"/>
      <c r="H97" s="63" t="n"/>
      <c r="I97" s="63" t="n"/>
      <c r="J97" s="63" t="n"/>
      <c r="K97" s="63" t="n"/>
      <c r="L97" s="63" t="n"/>
      <c r="M97" s="63" t="n"/>
      <c r="N97" s="63" t="n"/>
      <c r="O97" s="63" t="n"/>
      <c r="P97" s="63" t="n"/>
      <c r="Q97" s="50">
        <f>SUM(E97:P97)</f>
        <v/>
      </c>
      <c r="R97" s="24">
        <f>'Krankenquote Objekte'!F97*$D97</f>
        <v/>
      </c>
      <c r="S97" s="24">
        <f>'Krankenquote Objekte'!G97*$D97</f>
        <v/>
      </c>
      <c r="T97" s="24">
        <f>'Krankenquote Objekte'!H97*$D97</f>
        <v/>
      </c>
      <c r="U97" s="24">
        <f>'Krankenquote Objekte'!I97*$D97</f>
        <v/>
      </c>
      <c r="V97" s="24">
        <f>'Krankenquote Objekte'!J97*$D97</f>
        <v/>
      </c>
      <c r="W97" s="24">
        <f>'Krankenquote Objekte'!K97*$D97</f>
        <v/>
      </c>
      <c r="X97" s="24">
        <f>'Krankenquote Objekte'!L97*$D97</f>
        <v/>
      </c>
      <c r="Y97" s="24">
        <f>'Krankenquote Objekte'!M97*$D97</f>
        <v/>
      </c>
      <c r="Z97" s="24">
        <f>'Krankenquote Objekte'!N97*$D97</f>
        <v/>
      </c>
      <c r="AA97" s="24">
        <f>'Krankenquote Objekte'!O97*$D97</f>
        <v/>
      </c>
      <c r="AB97" s="24">
        <f>'Krankenquote Objekte'!P97*$D97</f>
        <v/>
      </c>
      <c r="AC97" s="24">
        <f>'Krankenquote Objekte'!Q97*$D97</f>
        <v/>
      </c>
      <c r="AD97" s="50">
        <f>SUM(R97:AC97)</f>
        <v/>
      </c>
      <c r="AE97" s="26">
        <f>IF(Q97+AD97&gt;0,AD97/(Q97+AD97),0)</f>
        <v/>
      </c>
      <c r="AF97" s="24">
        <f>IF($C$3&gt;0,AD97/($C$3/5),0)</f>
        <v/>
      </c>
    </row>
    <row r="98">
      <c r="A98" s="42">
        <f>IF('Krankenquote Objekte'!B98="","",'Krankenquote Objekte'!A98)</f>
        <v/>
      </c>
      <c r="B98" s="43">
        <f>IF('Krankenquote Objekte'!B98="","",'Krankenquote Objekte'!B98)</f>
        <v/>
      </c>
      <c r="C98" s="7">
        <f>IF('Krankenquote Objekte'!B98="","",'Krankenquote Objekte'!C98)</f>
        <v/>
      </c>
      <c r="D98" s="62">
        <f>$C$3/5*'Krankenquote Objekte'!D98</f>
        <v/>
      </c>
      <c r="E98" s="63" t="n"/>
      <c r="F98" s="63" t="n"/>
      <c r="G98" s="63" t="n"/>
      <c r="H98" s="63" t="n"/>
      <c r="I98" s="63" t="n"/>
      <c r="J98" s="63" t="n"/>
      <c r="K98" s="63" t="n"/>
      <c r="L98" s="63" t="n"/>
      <c r="M98" s="63" t="n"/>
      <c r="N98" s="63" t="n"/>
      <c r="O98" s="63" t="n"/>
      <c r="P98" s="63" t="n"/>
      <c r="Q98" s="50">
        <f>SUM(E98:P98)</f>
        <v/>
      </c>
      <c r="R98" s="24">
        <f>'Krankenquote Objekte'!F98*$D98</f>
        <v/>
      </c>
      <c r="S98" s="24">
        <f>'Krankenquote Objekte'!G98*$D98</f>
        <v/>
      </c>
      <c r="T98" s="24">
        <f>'Krankenquote Objekte'!H98*$D98</f>
        <v/>
      </c>
      <c r="U98" s="24">
        <f>'Krankenquote Objekte'!I98*$D98</f>
        <v/>
      </c>
      <c r="V98" s="24">
        <f>'Krankenquote Objekte'!J98*$D98</f>
        <v/>
      </c>
      <c r="W98" s="24">
        <f>'Krankenquote Objekte'!K98*$D98</f>
        <v/>
      </c>
      <c r="X98" s="24">
        <f>'Krankenquote Objekte'!L98*$D98</f>
        <v/>
      </c>
      <c r="Y98" s="24">
        <f>'Krankenquote Objekte'!M98*$D98</f>
        <v/>
      </c>
      <c r="Z98" s="24">
        <f>'Krankenquote Objekte'!N98*$D98</f>
        <v/>
      </c>
      <c r="AA98" s="24">
        <f>'Krankenquote Objekte'!O98*$D98</f>
        <v/>
      </c>
      <c r="AB98" s="24">
        <f>'Krankenquote Objekte'!P98*$D98</f>
        <v/>
      </c>
      <c r="AC98" s="24">
        <f>'Krankenquote Objekte'!Q98*$D98</f>
        <v/>
      </c>
      <c r="AD98" s="50">
        <f>SUM(R98:AC98)</f>
        <v/>
      </c>
      <c r="AE98" s="26">
        <f>IF(Q98+AD98&gt;0,AD98/(Q98+AD98),0)</f>
        <v/>
      </c>
      <c r="AF98" s="24">
        <f>IF($C$3&gt;0,AD98/($C$3/5),0)</f>
        <v/>
      </c>
    </row>
    <row r="99">
      <c r="A99" s="42">
        <f>IF('Krankenquote Objekte'!B99="","",'Krankenquote Objekte'!A99)</f>
        <v/>
      </c>
      <c r="B99" s="43">
        <f>IF('Krankenquote Objekte'!B99="","",'Krankenquote Objekte'!B99)</f>
        <v/>
      </c>
      <c r="C99" s="7">
        <f>IF('Krankenquote Objekte'!B99="","",'Krankenquote Objekte'!C99)</f>
        <v/>
      </c>
      <c r="D99" s="62">
        <f>$C$3/5*'Krankenquote Objekte'!D99</f>
        <v/>
      </c>
      <c r="E99" s="63" t="n"/>
      <c r="F99" s="63" t="n"/>
      <c r="G99" s="63" t="n"/>
      <c r="H99" s="63" t="n"/>
      <c r="I99" s="63" t="n"/>
      <c r="J99" s="63" t="n"/>
      <c r="K99" s="63" t="n"/>
      <c r="L99" s="63" t="n"/>
      <c r="M99" s="63" t="n"/>
      <c r="N99" s="63" t="n"/>
      <c r="O99" s="63" t="n"/>
      <c r="P99" s="63" t="n"/>
      <c r="Q99" s="50">
        <f>SUM(E99:P99)</f>
        <v/>
      </c>
      <c r="R99" s="24">
        <f>'Krankenquote Objekte'!F99*$D99</f>
        <v/>
      </c>
      <c r="S99" s="24">
        <f>'Krankenquote Objekte'!G99*$D99</f>
        <v/>
      </c>
      <c r="T99" s="24">
        <f>'Krankenquote Objekte'!H99*$D99</f>
        <v/>
      </c>
      <c r="U99" s="24">
        <f>'Krankenquote Objekte'!I99*$D99</f>
        <v/>
      </c>
      <c r="V99" s="24">
        <f>'Krankenquote Objekte'!J99*$D99</f>
        <v/>
      </c>
      <c r="W99" s="24">
        <f>'Krankenquote Objekte'!K99*$D99</f>
        <v/>
      </c>
      <c r="X99" s="24">
        <f>'Krankenquote Objekte'!L99*$D99</f>
        <v/>
      </c>
      <c r="Y99" s="24">
        <f>'Krankenquote Objekte'!M99*$D99</f>
        <v/>
      </c>
      <c r="Z99" s="24">
        <f>'Krankenquote Objekte'!N99*$D99</f>
        <v/>
      </c>
      <c r="AA99" s="24">
        <f>'Krankenquote Objekte'!O99*$D99</f>
        <v/>
      </c>
      <c r="AB99" s="24">
        <f>'Krankenquote Objekte'!P99*$D99</f>
        <v/>
      </c>
      <c r="AC99" s="24">
        <f>'Krankenquote Objekte'!Q99*$D99</f>
        <v/>
      </c>
      <c r="AD99" s="50">
        <f>SUM(R99:AC99)</f>
        <v/>
      </c>
      <c r="AE99" s="26">
        <f>IF(Q99+AD99&gt;0,AD99/(Q99+AD99),0)</f>
        <v/>
      </c>
      <c r="AF99" s="24">
        <f>IF($C$3&gt;0,AD99/($C$3/5),0)</f>
        <v/>
      </c>
    </row>
    <row r="100">
      <c r="A100" s="42">
        <f>IF('Krankenquote Objekte'!B100="","",'Krankenquote Objekte'!A100)</f>
        <v/>
      </c>
      <c r="B100" s="43">
        <f>IF('Krankenquote Objekte'!B100="","",'Krankenquote Objekte'!B100)</f>
        <v/>
      </c>
      <c r="C100" s="7">
        <f>IF('Krankenquote Objekte'!B100="","",'Krankenquote Objekte'!C100)</f>
        <v/>
      </c>
      <c r="D100" s="62">
        <f>$C$3/5*'Krankenquote Objekte'!D100</f>
        <v/>
      </c>
      <c r="E100" s="63" t="n"/>
      <c r="F100" s="63" t="n"/>
      <c r="G100" s="63" t="n"/>
      <c r="H100" s="63" t="n"/>
      <c r="I100" s="63" t="n"/>
      <c r="J100" s="63" t="n"/>
      <c r="K100" s="63" t="n"/>
      <c r="L100" s="63" t="n"/>
      <c r="M100" s="63" t="n"/>
      <c r="N100" s="63" t="n"/>
      <c r="O100" s="63" t="n"/>
      <c r="P100" s="63" t="n"/>
      <c r="Q100" s="50">
        <f>SUM(E100:P100)</f>
        <v/>
      </c>
      <c r="R100" s="24">
        <f>'Krankenquote Objekte'!F100*$D100</f>
        <v/>
      </c>
      <c r="S100" s="24">
        <f>'Krankenquote Objekte'!G100*$D100</f>
        <v/>
      </c>
      <c r="T100" s="24">
        <f>'Krankenquote Objekte'!H100*$D100</f>
        <v/>
      </c>
      <c r="U100" s="24">
        <f>'Krankenquote Objekte'!I100*$D100</f>
        <v/>
      </c>
      <c r="V100" s="24">
        <f>'Krankenquote Objekte'!J100*$D100</f>
        <v/>
      </c>
      <c r="W100" s="24">
        <f>'Krankenquote Objekte'!K100*$D100</f>
        <v/>
      </c>
      <c r="X100" s="24">
        <f>'Krankenquote Objekte'!L100*$D100</f>
        <v/>
      </c>
      <c r="Y100" s="24">
        <f>'Krankenquote Objekte'!M100*$D100</f>
        <v/>
      </c>
      <c r="Z100" s="24">
        <f>'Krankenquote Objekte'!N100*$D100</f>
        <v/>
      </c>
      <c r="AA100" s="24">
        <f>'Krankenquote Objekte'!O100*$D100</f>
        <v/>
      </c>
      <c r="AB100" s="24">
        <f>'Krankenquote Objekte'!P100*$D100</f>
        <v/>
      </c>
      <c r="AC100" s="24">
        <f>'Krankenquote Objekte'!Q100*$D100</f>
        <v/>
      </c>
      <c r="AD100" s="50">
        <f>SUM(R100:AC100)</f>
        <v/>
      </c>
      <c r="AE100" s="26">
        <f>IF(Q100+AD100&gt;0,AD100/(Q100+AD100),0)</f>
        <v/>
      </c>
      <c r="AF100" s="24">
        <f>IF($C$3&gt;0,AD100/($C$3/5),0)</f>
        <v/>
      </c>
    </row>
    <row r="101">
      <c r="A101" s="42">
        <f>IF('Krankenquote Objekte'!B101="","",'Krankenquote Objekte'!A101)</f>
        <v/>
      </c>
      <c r="B101" s="43">
        <f>IF('Krankenquote Objekte'!B101="","",'Krankenquote Objekte'!B101)</f>
        <v/>
      </c>
      <c r="C101" s="7">
        <f>IF('Krankenquote Objekte'!B101="","",'Krankenquote Objekte'!C101)</f>
        <v/>
      </c>
      <c r="D101" s="62">
        <f>$C$3/5*'Krankenquote Objekte'!D101</f>
        <v/>
      </c>
      <c r="E101" s="63" t="n"/>
      <c r="F101" s="63" t="n"/>
      <c r="G101" s="63" t="n"/>
      <c r="H101" s="63" t="n"/>
      <c r="I101" s="63" t="n"/>
      <c r="J101" s="63" t="n"/>
      <c r="K101" s="63" t="n"/>
      <c r="L101" s="63" t="n"/>
      <c r="M101" s="63" t="n"/>
      <c r="N101" s="63" t="n"/>
      <c r="O101" s="63" t="n"/>
      <c r="P101" s="63" t="n"/>
      <c r="Q101" s="50">
        <f>SUM(E101:P101)</f>
        <v/>
      </c>
      <c r="R101" s="24">
        <f>'Krankenquote Objekte'!F101*$D101</f>
        <v/>
      </c>
      <c r="S101" s="24">
        <f>'Krankenquote Objekte'!G101*$D101</f>
        <v/>
      </c>
      <c r="T101" s="24">
        <f>'Krankenquote Objekte'!H101*$D101</f>
        <v/>
      </c>
      <c r="U101" s="24">
        <f>'Krankenquote Objekte'!I101*$D101</f>
        <v/>
      </c>
      <c r="V101" s="24">
        <f>'Krankenquote Objekte'!J101*$D101</f>
        <v/>
      </c>
      <c r="W101" s="24">
        <f>'Krankenquote Objekte'!K101*$D101</f>
        <v/>
      </c>
      <c r="X101" s="24">
        <f>'Krankenquote Objekte'!L101*$D101</f>
        <v/>
      </c>
      <c r="Y101" s="24">
        <f>'Krankenquote Objekte'!M101*$D101</f>
        <v/>
      </c>
      <c r="Z101" s="24">
        <f>'Krankenquote Objekte'!N101*$D101</f>
        <v/>
      </c>
      <c r="AA101" s="24">
        <f>'Krankenquote Objekte'!O101*$D101</f>
        <v/>
      </c>
      <c r="AB101" s="24">
        <f>'Krankenquote Objekte'!P101*$D101</f>
        <v/>
      </c>
      <c r="AC101" s="24">
        <f>'Krankenquote Objekte'!Q101*$D101</f>
        <v/>
      </c>
      <c r="AD101" s="50">
        <f>SUM(R101:AC101)</f>
        <v/>
      </c>
      <c r="AE101" s="26">
        <f>IF(Q101+AD101&gt;0,AD101/(Q101+AD101),0)</f>
        <v/>
      </c>
      <c r="AF101" s="24">
        <f>IF($C$3&gt;0,AD101/($C$3/5),0)</f>
        <v/>
      </c>
    </row>
    <row r="102">
      <c r="A102" s="42">
        <f>IF('Krankenquote Objekte'!B102="","",'Krankenquote Objekte'!A102)</f>
        <v/>
      </c>
      <c r="B102" s="43">
        <f>IF('Krankenquote Objekte'!B102="","",'Krankenquote Objekte'!B102)</f>
        <v/>
      </c>
      <c r="C102" s="7">
        <f>IF('Krankenquote Objekte'!B102="","",'Krankenquote Objekte'!C102)</f>
        <v/>
      </c>
      <c r="D102" s="62">
        <f>$C$3/5*'Krankenquote Objekte'!D102</f>
        <v/>
      </c>
      <c r="E102" s="63" t="n"/>
      <c r="F102" s="63" t="n"/>
      <c r="G102" s="63" t="n"/>
      <c r="H102" s="63" t="n"/>
      <c r="I102" s="63" t="n"/>
      <c r="J102" s="63" t="n"/>
      <c r="K102" s="63" t="n"/>
      <c r="L102" s="63" t="n"/>
      <c r="M102" s="63" t="n"/>
      <c r="N102" s="63" t="n"/>
      <c r="O102" s="63" t="n"/>
      <c r="P102" s="63" t="n"/>
      <c r="Q102" s="50">
        <f>SUM(E102:P102)</f>
        <v/>
      </c>
      <c r="R102" s="24">
        <f>'Krankenquote Objekte'!F102*$D102</f>
        <v/>
      </c>
      <c r="S102" s="24">
        <f>'Krankenquote Objekte'!G102*$D102</f>
        <v/>
      </c>
      <c r="T102" s="24">
        <f>'Krankenquote Objekte'!H102*$D102</f>
        <v/>
      </c>
      <c r="U102" s="24">
        <f>'Krankenquote Objekte'!I102*$D102</f>
        <v/>
      </c>
      <c r="V102" s="24">
        <f>'Krankenquote Objekte'!J102*$D102</f>
        <v/>
      </c>
      <c r="W102" s="24">
        <f>'Krankenquote Objekte'!K102*$D102</f>
        <v/>
      </c>
      <c r="X102" s="24">
        <f>'Krankenquote Objekte'!L102*$D102</f>
        <v/>
      </c>
      <c r="Y102" s="24">
        <f>'Krankenquote Objekte'!M102*$D102</f>
        <v/>
      </c>
      <c r="Z102" s="24">
        <f>'Krankenquote Objekte'!N102*$D102</f>
        <v/>
      </c>
      <c r="AA102" s="24">
        <f>'Krankenquote Objekte'!O102*$D102</f>
        <v/>
      </c>
      <c r="AB102" s="24">
        <f>'Krankenquote Objekte'!P102*$D102</f>
        <v/>
      </c>
      <c r="AC102" s="24">
        <f>'Krankenquote Objekte'!Q102*$D102</f>
        <v/>
      </c>
      <c r="AD102" s="50">
        <f>SUM(R102:AC102)</f>
        <v/>
      </c>
      <c r="AE102" s="26">
        <f>IF(Q102+AD102&gt;0,AD102/(Q102+AD102),0)</f>
        <v/>
      </c>
      <c r="AF102" s="24">
        <f>IF($C$3&gt;0,AD102/($C$3/5),0)</f>
        <v/>
      </c>
    </row>
    <row r="103">
      <c r="A103" s="42">
        <f>IF('Krankenquote Objekte'!B103="","",'Krankenquote Objekte'!A103)</f>
        <v/>
      </c>
      <c r="B103" s="43">
        <f>IF('Krankenquote Objekte'!B103="","",'Krankenquote Objekte'!B103)</f>
        <v/>
      </c>
      <c r="C103" s="7">
        <f>IF('Krankenquote Objekte'!B103="","",'Krankenquote Objekte'!C103)</f>
        <v/>
      </c>
      <c r="D103" s="62">
        <f>$C$3/5*'Krankenquote Objekte'!D103</f>
        <v/>
      </c>
      <c r="E103" s="63" t="n"/>
      <c r="F103" s="63" t="n"/>
      <c r="G103" s="63" t="n"/>
      <c r="H103" s="63" t="n"/>
      <c r="I103" s="63" t="n"/>
      <c r="J103" s="63" t="n"/>
      <c r="K103" s="63" t="n"/>
      <c r="L103" s="63" t="n"/>
      <c r="M103" s="63" t="n"/>
      <c r="N103" s="63" t="n"/>
      <c r="O103" s="63" t="n"/>
      <c r="P103" s="63" t="n"/>
      <c r="Q103" s="50">
        <f>SUM(E103:P103)</f>
        <v/>
      </c>
      <c r="R103" s="24">
        <f>'Krankenquote Objekte'!F103*$D103</f>
        <v/>
      </c>
      <c r="S103" s="24">
        <f>'Krankenquote Objekte'!G103*$D103</f>
        <v/>
      </c>
      <c r="T103" s="24">
        <f>'Krankenquote Objekte'!H103*$D103</f>
        <v/>
      </c>
      <c r="U103" s="24">
        <f>'Krankenquote Objekte'!I103*$D103</f>
        <v/>
      </c>
      <c r="V103" s="24">
        <f>'Krankenquote Objekte'!J103*$D103</f>
        <v/>
      </c>
      <c r="W103" s="24">
        <f>'Krankenquote Objekte'!K103*$D103</f>
        <v/>
      </c>
      <c r="X103" s="24">
        <f>'Krankenquote Objekte'!L103*$D103</f>
        <v/>
      </c>
      <c r="Y103" s="24">
        <f>'Krankenquote Objekte'!M103*$D103</f>
        <v/>
      </c>
      <c r="Z103" s="24">
        <f>'Krankenquote Objekte'!N103*$D103</f>
        <v/>
      </c>
      <c r="AA103" s="24">
        <f>'Krankenquote Objekte'!O103*$D103</f>
        <v/>
      </c>
      <c r="AB103" s="24">
        <f>'Krankenquote Objekte'!P103*$D103</f>
        <v/>
      </c>
      <c r="AC103" s="24">
        <f>'Krankenquote Objekte'!Q103*$D103</f>
        <v/>
      </c>
      <c r="AD103" s="50">
        <f>SUM(R103:AC103)</f>
        <v/>
      </c>
      <c r="AE103" s="26">
        <f>IF(Q103+AD103&gt;0,AD103/(Q103+AD103),0)</f>
        <v/>
      </c>
      <c r="AF103" s="24">
        <f>IF($C$3&gt;0,AD103/($C$3/5),0)</f>
        <v/>
      </c>
    </row>
    <row r="104">
      <c r="A104" s="42">
        <f>IF('Krankenquote Objekte'!B104="","",'Krankenquote Objekte'!A104)</f>
        <v/>
      </c>
      <c r="B104" s="43">
        <f>IF('Krankenquote Objekte'!B104="","",'Krankenquote Objekte'!B104)</f>
        <v/>
      </c>
      <c r="C104" s="7">
        <f>IF('Krankenquote Objekte'!B104="","",'Krankenquote Objekte'!C104)</f>
        <v/>
      </c>
      <c r="D104" s="62">
        <f>$C$3/5*'Krankenquote Objekte'!D104</f>
        <v/>
      </c>
      <c r="E104" s="63" t="n"/>
      <c r="F104" s="63" t="n"/>
      <c r="G104" s="63" t="n"/>
      <c r="H104" s="63" t="n"/>
      <c r="I104" s="63" t="n"/>
      <c r="J104" s="63" t="n"/>
      <c r="K104" s="63" t="n"/>
      <c r="L104" s="63" t="n"/>
      <c r="M104" s="63" t="n"/>
      <c r="N104" s="63" t="n"/>
      <c r="O104" s="63" t="n"/>
      <c r="P104" s="63" t="n"/>
      <c r="Q104" s="50">
        <f>SUM(E104:P104)</f>
        <v/>
      </c>
      <c r="R104" s="24">
        <f>'Krankenquote Objekte'!F104*$D104</f>
        <v/>
      </c>
      <c r="S104" s="24">
        <f>'Krankenquote Objekte'!G104*$D104</f>
        <v/>
      </c>
      <c r="T104" s="24">
        <f>'Krankenquote Objekte'!H104*$D104</f>
        <v/>
      </c>
      <c r="U104" s="24">
        <f>'Krankenquote Objekte'!I104*$D104</f>
        <v/>
      </c>
      <c r="V104" s="24">
        <f>'Krankenquote Objekte'!J104*$D104</f>
        <v/>
      </c>
      <c r="W104" s="24">
        <f>'Krankenquote Objekte'!K104*$D104</f>
        <v/>
      </c>
      <c r="X104" s="24">
        <f>'Krankenquote Objekte'!L104*$D104</f>
        <v/>
      </c>
      <c r="Y104" s="24">
        <f>'Krankenquote Objekte'!M104*$D104</f>
        <v/>
      </c>
      <c r="Z104" s="24">
        <f>'Krankenquote Objekte'!N104*$D104</f>
        <v/>
      </c>
      <c r="AA104" s="24">
        <f>'Krankenquote Objekte'!O104*$D104</f>
        <v/>
      </c>
      <c r="AB104" s="24">
        <f>'Krankenquote Objekte'!P104*$D104</f>
        <v/>
      </c>
      <c r="AC104" s="24">
        <f>'Krankenquote Objekte'!Q104*$D104</f>
        <v/>
      </c>
      <c r="AD104" s="50">
        <f>SUM(R104:AC104)</f>
        <v/>
      </c>
      <c r="AE104" s="26">
        <f>IF(Q104+AD104&gt;0,AD104/(Q104+AD104),0)</f>
        <v/>
      </c>
      <c r="AF104" s="24">
        <f>IF($C$3&gt;0,AD104/($C$3/5),0)</f>
        <v/>
      </c>
    </row>
    <row r="105">
      <c r="A105" s="42">
        <f>IF('Krankenquote Objekte'!B105="","",'Krankenquote Objekte'!A105)</f>
        <v/>
      </c>
      <c r="B105" s="43">
        <f>IF('Krankenquote Objekte'!B105="","",'Krankenquote Objekte'!B105)</f>
        <v/>
      </c>
      <c r="C105" s="7">
        <f>IF('Krankenquote Objekte'!B105="","",'Krankenquote Objekte'!C105)</f>
        <v/>
      </c>
      <c r="D105" s="62">
        <f>$C$3/5*'Krankenquote Objekte'!D105</f>
        <v/>
      </c>
      <c r="E105" s="63" t="n"/>
      <c r="F105" s="63" t="n"/>
      <c r="G105" s="63" t="n"/>
      <c r="H105" s="63" t="n"/>
      <c r="I105" s="63" t="n"/>
      <c r="J105" s="63" t="n"/>
      <c r="K105" s="63" t="n"/>
      <c r="L105" s="63" t="n"/>
      <c r="M105" s="63" t="n"/>
      <c r="N105" s="63" t="n"/>
      <c r="O105" s="63" t="n"/>
      <c r="P105" s="63" t="n"/>
      <c r="Q105" s="50">
        <f>SUM(E105:P105)</f>
        <v/>
      </c>
      <c r="R105" s="24">
        <f>'Krankenquote Objekte'!F105*$D105</f>
        <v/>
      </c>
      <c r="S105" s="24">
        <f>'Krankenquote Objekte'!G105*$D105</f>
        <v/>
      </c>
      <c r="T105" s="24">
        <f>'Krankenquote Objekte'!H105*$D105</f>
        <v/>
      </c>
      <c r="U105" s="24">
        <f>'Krankenquote Objekte'!I105*$D105</f>
        <v/>
      </c>
      <c r="V105" s="24">
        <f>'Krankenquote Objekte'!J105*$D105</f>
        <v/>
      </c>
      <c r="W105" s="24">
        <f>'Krankenquote Objekte'!K105*$D105</f>
        <v/>
      </c>
      <c r="X105" s="24">
        <f>'Krankenquote Objekte'!L105*$D105</f>
        <v/>
      </c>
      <c r="Y105" s="24">
        <f>'Krankenquote Objekte'!M105*$D105</f>
        <v/>
      </c>
      <c r="Z105" s="24">
        <f>'Krankenquote Objekte'!N105*$D105</f>
        <v/>
      </c>
      <c r="AA105" s="24">
        <f>'Krankenquote Objekte'!O105*$D105</f>
        <v/>
      </c>
      <c r="AB105" s="24">
        <f>'Krankenquote Objekte'!P105*$D105</f>
        <v/>
      </c>
      <c r="AC105" s="24">
        <f>'Krankenquote Objekte'!Q105*$D105</f>
        <v/>
      </c>
      <c r="AD105" s="50">
        <f>SUM(R105:AC105)</f>
        <v/>
      </c>
      <c r="AE105" s="26">
        <f>IF(Q105+AD105&gt;0,AD105/(Q105+AD105),0)</f>
        <v/>
      </c>
      <c r="AF105" s="24">
        <f>IF($C$3&gt;0,AD105/($C$3/5),0)</f>
        <v/>
      </c>
    </row>
    <row r="106">
      <c r="A106" s="42">
        <f>IF('Krankenquote Objekte'!B106="","",'Krankenquote Objekte'!A106)</f>
        <v/>
      </c>
      <c r="B106" s="43">
        <f>IF('Krankenquote Objekte'!B106="","",'Krankenquote Objekte'!B106)</f>
        <v/>
      </c>
      <c r="C106" s="7">
        <f>IF('Krankenquote Objekte'!B106="","",'Krankenquote Objekte'!C106)</f>
        <v/>
      </c>
      <c r="D106" s="62">
        <f>$C$3/5*'Krankenquote Objekte'!D106</f>
        <v/>
      </c>
      <c r="E106" s="63" t="n"/>
      <c r="F106" s="63" t="n"/>
      <c r="G106" s="63" t="n"/>
      <c r="H106" s="63" t="n"/>
      <c r="I106" s="63" t="n"/>
      <c r="J106" s="63" t="n"/>
      <c r="K106" s="63" t="n"/>
      <c r="L106" s="63" t="n"/>
      <c r="M106" s="63" t="n"/>
      <c r="N106" s="63" t="n"/>
      <c r="O106" s="63" t="n"/>
      <c r="P106" s="63" t="n"/>
      <c r="Q106" s="50">
        <f>SUM(E106:P106)</f>
        <v/>
      </c>
      <c r="R106" s="24">
        <f>'Krankenquote Objekte'!F106*$D106</f>
        <v/>
      </c>
      <c r="S106" s="24">
        <f>'Krankenquote Objekte'!G106*$D106</f>
        <v/>
      </c>
      <c r="T106" s="24">
        <f>'Krankenquote Objekte'!H106*$D106</f>
        <v/>
      </c>
      <c r="U106" s="24">
        <f>'Krankenquote Objekte'!I106*$D106</f>
        <v/>
      </c>
      <c r="V106" s="24">
        <f>'Krankenquote Objekte'!J106*$D106</f>
        <v/>
      </c>
      <c r="W106" s="24">
        <f>'Krankenquote Objekte'!K106*$D106</f>
        <v/>
      </c>
      <c r="X106" s="24">
        <f>'Krankenquote Objekte'!L106*$D106</f>
        <v/>
      </c>
      <c r="Y106" s="24">
        <f>'Krankenquote Objekte'!M106*$D106</f>
        <v/>
      </c>
      <c r="Z106" s="24">
        <f>'Krankenquote Objekte'!N106*$D106</f>
        <v/>
      </c>
      <c r="AA106" s="24">
        <f>'Krankenquote Objekte'!O106*$D106</f>
        <v/>
      </c>
      <c r="AB106" s="24">
        <f>'Krankenquote Objekte'!P106*$D106</f>
        <v/>
      </c>
      <c r="AC106" s="24">
        <f>'Krankenquote Objekte'!Q106*$D106</f>
        <v/>
      </c>
      <c r="AD106" s="50">
        <f>SUM(R106:AC106)</f>
        <v/>
      </c>
      <c r="AE106" s="26">
        <f>IF(Q106+AD106&gt;0,AD106/(Q106+AD106),0)</f>
        <v/>
      </c>
      <c r="AF106" s="24">
        <f>IF($C$3&gt;0,AD106/($C$3/5),0)</f>
        <v/>
      </c>
    </row>
    <row r="107">
      <c r="A107" s="42">
        <f>IF('Krankenquote Objekte'!B107="","",'Krankenquote Objekte'!A107)</f>
        <v/>
      </c>
      <c r="B107" s="43">
        <f>IF('Krankenquote Objekte'!B107="","",'Krankenquote Objekte'!B107)</f>
        <v/>
      </c>
      <c r="C107" s="7">
        <f>IF('Krankenquote Objekte'!B107="","",'Krankenquote Objekte'!C107)</f>
        <v/>
      </c>
      <c r="D107" s="62">
        <f>$C$3/5*'Krankenquote Objekte'!D107</f>
        <v/>
      </c>
      <c r="E107" s="63" t="n"/>
      <c r="F107" s="63" t="n"/>
      <c r="G107" s="63" t="n"/>
      <c r="H107" s="63" t="n"/>
      <c r="I107" s="63" t="n"/>
      <c r="J107" s="63" t="n"/>
      <c r="K107" s="63" t="n"/>
      <c r="L107" s="63" t="n"/>
      <c r="M107" s="63" t="n"/>
      <c r="N107" s="63" t="n"/>
      <c r="O107" s="63" t="n"/>
      <c r="P107" s="63" t="n"/>
      <c r="Q107" s="50">
        <f>SUM(E107:P107)</f>
        <v/>
      </c>
      <c r="R107" s="24">
        <f>'Krankenquote Objekte'!F107*$D107</f>
        <v/>
      </c>
      <c r="S107" s="24">
        <f>'Krankenquote Objekte'!G107*$D107</f>
        <v/>
      </c>
      <c r="T107" s="24">
        <f>'Krankenquote Objekte'!H107*$D107</f>
        <v/>
      </c>
      <c r="U107" s="24">
        <f>'Krankenquote Objekte'!I107*$D107</f>
        <v/>
      </c>
      <c r="V107" s="24">
        <f>'Krankenquote Objekte'!J107*$D107</f>
        <v/>
      </c>
      <c r="W107" s="24">
        <f>'Krankenquote Objekte'!K107*$D107</f>
        <v/>
      </c>
      <c r="X107" s="24">
        <f>'Krankenquote Objekte'!L107*$D107</f>
        <v/>
      </c>
      <c r="Y107" s="24">
        <f>'Krankenquote Objekte'!M107*$D107</f>
        <v/>
      </c>
      <c r="Z107" s="24">
        <f>'Krankenquote Objekte'!N107*$D107</f>
        <v/>
      </c>
      <c r="AA107" s="24">
        <f>'Krankenquote Objekte'!O107*$D107</f>
        <v/>
      </c>
      <c r="AB107" s="24">
        <f>'Krankenquote Objekte'!P107*$D107</f>
        <v/>
      </c>
      <c r="AC107" s="24">
        <f>'Krankenquote Objekte'!Q107*$D107</f>
        <v/>
      </c>
      <c r="AD107" s="50">
        <f>SUM(R107:AC107)</f>
        <v/>
      </c>
      <c r="AE107" s="26">
        <f>IF(Q107+AD107&gt;0,AD107/(Q107+AD107),0)</f>
        <v/>
      </c>
      <c r="AF107" s="24">
        <f>IF($C$3&gt;0,AD107/($C$3/5),0)</f>
        <v/>
      </c>
    </row>
    <row r="108">
      <c r="A108" s="42">
        <f>IF('Krankenquote Objekte'!B108="","",'Krankenquote Objekte'!A108)</f>
        <v/>
      </c>
      <c r="B108" s="43">
        <f>IF('Krankenquote Objekte'!B108="","",'Krankenquote Objekte'!B108)</f>
        <v/>
      </c>
      <c r="C108" s="7">
        <f>IF('Krankenquote Objekte'!B108="","",'Krankenquote Objekte'!C108)</f>
        <v/>
      </c>
      <c r="D108" s="62">
        <f>$C$3/5*'Krankenquote Objekte'!D108</f>
        <v/>
      </c>
      <c r="E108" s="63" t="n"/>
      <c r="F108" s="63" t="n"/>
      <c r="G108" s="63" t="n"/>
      <c r="H108" s="63" t="n"/>
      <c r="I108" s="63" t="n"/>
      <c r="J108" s="63" t="n"/>
      <c r="K108" s="63" t="n"/>
      <c r="L108" s="63" t="n"/>
      <c r="M108" s="63" t="n"/>
      <c r="N108" s="63" t="n"/>
      <c r="O108" s="63" t="n"/>
      <c r="P108" s="63" t="n"/>
      <c r="Q108" s="50">
        <f>SUM(E108:P108)</f>
        <v/>
      </c>
      <c r="R108" s="24">
        <f>'Krankenquote Objekte'!F108*$D108</f>
        <v/>
      </c>
      <c r="S108" s="24">
        <f>'Krankenquote Objekte'!G108*$D108</f>
        <v/>
      </c>
      <c r="T108" s="24">
        <f>'Krankenquote Objekte'!H108*$D108</f>
        <v/>
      </c>
      <c r="U108" s="24">
        <f>'Krankenquote Objekte'!I108*$D108</f>
        <v/>
      </c>
      <c r="V108" s="24">
        <f>'Krankenquote Objekte'!J108*$D108</f>
        <v/>
      </c>
      <c r="W108" s="24">
        <f>'Krankenquote Objekte'!K108*$D108</f>
        <v/>
      </c>
      <c r="X108" s="24">
        <f>'Krankenquote Objekte'!L108*$D108</f>
        <v/>
      </c>
      <c r="Y108" s="24">
        <f>'Krankenquote Objekte'!M108*$D108</f>
        <v/>
      </c>
      <c r="Z108" s="24">
        <f>'Krankenquote Objekte'!N108*$D108</f>
        <v/>
      </c>
      <c r="AA108" s="24">
        <f>'Krankenquote Objekte'!O108*$D108</f>
        <v/>
      </c>
      <c r="AB108" s="24">
        <f>'Krankenquote Objekte'!P108*$D108</f>
        <v/>
      </c>
      <c r="AC108" s="24">
        <f>'Krankenquote Objekte'!Q108*$D108</f>
        <v/>
      </c>
      <c r="AD108" s="50">
        <f>SUM(R108:AC108)</f>
        <v/>
      </c>
      <c r="AE108" s="26">
        <f>IF(Q108+AD108&gt;0,AD108/(Q108+AD108),0)</f>
        <v/>
      </c>
      <c r="AF108" s="24">
        <f>IF($C$3&gt;0,AD108/($C$3/5),0)</f>
        <v/>
      </c>
    </row>
    <row r="109">
      <c r="A109" s="42">
        <f>IF('Krankenquote Objekte'!B109="","",'Krankenquote Objekte'!A109)</f>
        <v/>
      </c>
      <c r="B109" s="43">
        <f>IF('Krankenquote Objekte'!B109="","",'Krankenquote Objekte'!B109)</f>
        <v/>
      </c>
      <c r="C109" s="7">
        <f>IF('Krankenquote Objekte'!B109="","",'Krankenquote Objekte'!C109)</f>
        <v/>
      </c>
      <c r="D109" s="62">
        <f>$C$3/5*'Krankenquote Objekte'!D109</f>
        <v/>
      </c>
      <c r="E109" s="63" t="n"/>
      <c r="F109" s="63" t="n"/>
      <c r="G109" s="63" t="n"/>
      <c r="H109" s="63" t="n"/>
      <c r="I109" s="63" t="n"/>
      <c r="J109" s="63" t="n"/>
      <c r="K109" s="63" t="n"/>
      <c r="L109" s="63" t="n"/>
      <c r="M109" s="63" t="n"/>
      <c r="N109" s="63" t="n"/>
      <c r="O109" s="63" t="n"/>
      <c r="P109" s="63" t="n"/>
      <c r="Q109" s="50">
        <f>SUM(E109:P109)</f>
        <v/>
      </c>
      <c r="R109" s="24">
        <f>'Krankenquote Objekte'!F109*$D109</f>
        <v/>
      </c>
      <c r="S109" s="24">
        <f>'Krankenquote Objekte'!G109*$D109</f>
        <v/>
      </c>
      <c r="T109" s="24">
        <f>'Krankenquote Objekte'!H109*$D109</f>
        <v/>
      </c>
      <c r="U109" s="24">
        <f>'Krankenquote Objekte'!I109*$D109</f>
        <v/>
      </c>
      <c r="V109" s="24">
        <f>'Krankenquote Objekte'!J109*$D109</f>
        <v/>
      </c>
      <c r="W109" s="24">
        <f>'Krankenquote Objekte'!K109*$D109</f>
        <v/>
      </c>
      <c r="X109" s="24">
        <f>'Krankenquote Objekte'!L109*$D109</f>
        <v/>
      </c>
      <c r="Y109" s="24">
        <f>'Krankenquote Objekte'!M109*$D109</f>
        <v/>
      </c>
      <c r="Z109" s="24">
        <f>'Krankenquote Objekte'!N109*$D109</f>
        <v/>
      </c>
      <c r="AA109" s="24">
        <f>'Krankenquote Objekte'!O109*$D109</f>
        <v/>
      </c>
      <c r="AB109" s="24">
        <f>'Krankenquote Objekte'!P109*$D109</f>
        <v/>
      </c>
      <c r="AC109" s="24">
        <f>'Krankenquote Objekte'!Q109*$D109</f>
        <v/>
      </c>
      <c r="AD109" s="50">
        <f>SUM(R109:AC109)</f>
        <v/>
      </c>
      <c r="AE109" s="26">
        <f>IF(Q109+AD109&gt;0,AD109/(Q109+AD109),0)</f>
        <v/>
      </c>
      <c r="AF109" s="24">
        <f>IF($C$3&gt;0,AD109/($C$3/5),0)</f>
        <v/>
      </c>
    </row>
    <row r="110">
      <c r="A110" s="42">
        <f>IF('Krankenquote Objekte'!B110="","",'Krankenquote Objekte'!A110)</f>
        <v/>
      </c>
      <c r="B110" s="43">
        <f>IF('Krankenquote Objekte'!B110="","",'Krankenquote Objekte'!B110)</f>
        <v/>
      </c>
      <c r="C110" s="7">
        <f>IF('Krankenquote Objekte'!B110="","",'Krankenquote Objekte'!C110)</f>
        <v/>
      </c>
      <c r="D110" s="62">
        <f>$C$3/5*'Krankenquote Objekte'!D110</f>
        <v/>
      </c>
      <c r="E110" s="63" t="n"/>
      <c r="F110" s="63" t="n"/>
      <c r="G110" s="63" t="n"/>
      <c r="H110" s="63" t="n"/>
      <c r="I110" s="63" t="n"/>
      <c r="J110" s="63" t="n"/>
      <c r="K110" s="63" t="n"/>
      <c r="L110" s="63" t="n"/>
      <c r="M110" s="63" t="n"/>
      <c r="N110" s="63" t="n"/>
      <c r="O110" s="63" t="n"/>
      <c r="P110" s="63" t="n"/>
      <c r="Q110" s="50">
        <f>SUM(E110:P110)</f>
        <v/>
      </c>
      <c r="R110" s="24">
        <f>'Krankenquote Objekte'!F110*$D110</f>
        <v/>
      </c>
      <c r="S110" s="24">
        <f>'Krankenquote Objekte'!G110*$D110</f>
        <v/>
      </c>
      <c r="T110" s="24">
        <f>'Krankenquote Objekte'!H110*$D110</f>
        <v/>
      </c>
      <c r="U110" s="24">
        <f>'Krankenquote Objekte'!I110*$D110</f>
        <v/>
      </c>
      <c r="V110" s="24">
        <f>'Krankenquote Objekte'!J110*$D110</f>
        <v/>
      </c>
      <c r="W110" s="24">
        <f>'Krankenquote Objekte'!K110*$D110</f>
        <v/>
      </c>
      <c r="X110" s="24">
        <f>'Krankenquote Objekte'!L110*$D110</f>
        <v/>
      </c>
      <c r="Y110" s="24">
        <f>'Krankenquote Objekte'!M110*$D110</f>
        <v/>
      </c>
      <c r="Z110" s="24">
        <f>'Krankenquote Objekte'!N110*$D110</f>
        <v/>
      </c>
      <c r="AA110" s="24">
        <f>'Krankenquote Objekte'!O110*$D110</f>
        <v/>
      </c>
      <c r="AB110" s="24">
        <f>'Krankenquote Objekte'!P110*$D110</f>
        <v/>
      </c>
      <c r="AC110" s="24">
        <f>'Krankenquote Objekte'!Q110*$D110</f>
        <v/>
      </c>
      <c r="AD110" s="50">
        <f>SUM(R110:AC110)</f>
        <v/>
      </c>
      <c r="AE110" s="26">
        <f>IF(Q110+AD110&gt;0,AD110/(Q110+AD110),0)</f>
        <v/>
      </c>
      <c r="AF110" s="24">
        <f>IF($C$3&gt;0,AD110/($C$3/5),0)</f>
        <v/>
      </c>
    </row>
    <row r="111">
      <c r="A111" s="28" t="n"/>
      <c r="B111" s="28">
        <f>"Summe "&amp;B60</f>
        <v/>
      </c>
      <c r="C111" s="28" t="n"/>
      <c r="D111" s="30">
        <f>SUM(D61:D110)</f>
        <v/>
      </c>
      <c r="E111" s="31">
        <f>SUM(E61:E110)</f>
        <v/>
      </c>
      <c r="F111" s="31">
        <f>SUM(F61:F110)</f>
        <v/>
      </c>
      <c r="G111" s="31">
        <f>SUM(G61:G110)</f>
        <v/>
      </c>
      <c r="H111" s="31">
        <f>SUM(H61:H110)</f>
        <v/>
      </c>
      <c r="I111" s="31">
        <f>SUM(I61:I110)</f>
        <v/>
      </c>
      <c r="J111" s="31">
        <f>SUM(J61:J110)</f>
        <v/>
      </c>
      <c r="K111" s="31">
        <f>SUM(K61:K110)</f>
        <v/>
      </c>
      <c r="L111" s="31">
        <f>SUM(L61:L110)</f>
        <v/>
      </c>
      <c r="M111" s="31">
        <f>SUM(M61:M110)</f>
        <v/>
      </c>
      <c r="N111" s="31">
        <f>SUM(N61:N110)</f>
        <v/>
      </c>
      <c r="O111" s="31">
        <f>SUM(O61:O110)</f>
        <v/>
      </c>
      <c r="P111" s="31">
        <f>SUM(P61:P110)</f>
        <v/>
      </c>
      <c r="Q111" s="31">
        <f>SUM(Q61:Q110)</f>
        <v/>
      </c>
      <c r="R111" s="31">
        <f>SUM(R61:R110)</f>
        <v/>
      </c>
      <c r="S111" s="31">
        <f>SUM(S61:S110)</f>
        <v/>
      </c>
      <c r="T111" s="31">
        <f>SUM(T61:T110)</f>
        <v/>
      </c>
      <c r="U111" s="31">
        <f>SUM(U61:U110)</f>
        <v/>
      </c>
      <c r="V111" s="31">
        <f>SUM(V61:V110)</f>
        <v/>
      </c>
      <c r="W111" s="31">
        <f>SUM(W61:W110)</f>
        <v/>
      </c>
      <c r="X111" s="31">
        <f>SUM(X61:X110)</f>
        <v/>
      </c>
      <c r="Y111" s="31">
        <f>SUM(Y61:Y110)</f>
        <v/>
      </c>
      <c r="Z111" s="31">
        <f>SUM(Z61:Z110)</f>
        <v/>
      </c>
      <c r="AA111" s="31">
        <f>SUM(AA61:AA110)</f>
        <v/>
      </c>
      <c r="AB111" s="31">
        <f>SUM(AB61:AB110)</f>
        <v/>
      </c>
      <c r="AC111" s="31">
        <f>SUM(AC61:AC110)</f>
        <v/>
      </c>
      <c r="AD111" s="31">
        <f>SUM(AD61:AD110)</f>
        <v/>
      </c>
      <c r="AE111" s="33">
        <f>IF(Q111+AD111&gt;0,AD111/(Q111+AD111),0)</f>
        <v/>
      </c>
      <c r="AF111" s="31">
        <f>SUM(AF61:AF110)</f>
        <v/>
      </c>
    </row>
    <row r="112">
      <c r="A112" s="34" t="n"/>
      <c r="B112" s="28" t="inlineStr">
        <is>
          <t>Monatsquote (Std.)</t>
        </is>
      </c>
      <c r="C112" s="34" t="n"/>
      <c r="D112" s="34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  <c r="O112" s="34" t="n"/>
      <c r="P112" s="34" t="n"/>
      <c r="Q112" s="34" t="n"/>
      <c r="R112" s="33">
        <f>IF(E111+R111&gt;0,R111/(E111+R111),0)</f>
        <v/>
      </c>
      <c r="S112" s="33">
        <f>IF(F111+S111&gt;0,S111/(F111+S111),0)</f>
        <v/>
      </c>
      <c r="T112" s="33">
        <f>IF(G111+T111&gt;0,T111/(G111+T111),0)</f>
        <v/>
      </c>
      <c r="U112" s="33">
        <f>IF(H111+U111&gt;0,U111/(H111+U111),0)</f>
        <v/>
      </c>
      <c r="V112" s="33">
        <f>IF(I111+V111&gt;0,V111/(I111+V111),0)</f>
        <v/>
      </c>
      <c r="W112" s="33">
        <f>IF(J111+W111&gt;0,W111/(J111+W111),0)</f>
        <v/>
      </c>
      <c r="X112" s="33">
        <f>IF(K111+X111&gt;0,X111/(K111+X111),0)</f>
        <v/>
      </c>
      <c r="Y112" s="33">
        <f>IF(L111+Y111&gt;0,Y111/(L111+Y111),0)</f>
        <v/>
      </c>
      <c r="Z112" s="33">
        <f>IF(M111+Z111&gt;0,Z111/(M111+Z111),0)</f>
        <v/>
      </c>
      <c r="AA112" s="33">
        <f>IF(N111+AA111&gt;0,AA111/(N111+AA111),0)</f>
        <v/>
      </c>
      <c r="AB112" s="33">
        <f>IF(O111+AB111&gt;0,AB111/(O111+AB111),0)</f>
        <v/>
      </c>
      <c r="AC112" s="33">
        <f>IF(P111+AC111&gt;0,AC111/(P111+AC111),0)</f>
        <v/>
      </c>
      <c r="AD112" s="34" t="n"/>
      <c r="AE112" s="34" t="n"/>
      <c r="AF112" s="34" t="n"/>
    </row>
    <row r="114">
      <c r="A114" s="37" t="n"/>
      <c r="B114" s="37" t="inlineStr">
        <is>
          <t>GESAMT alle Objekte</t>
        </is>
      </c>
      <c r="C114" s="37" t="n"/>
      <c r="D114" s="38">
        <f>D57+D111</f>
        <v/>
      </c>
      <c r="E114" s="39">
        <f>E57+E111</f>
        <v/>
      </c>
      <c r="F114" s="39">
        <f>F57+F111</f>
        <v/>
      </c>
      <c r="G114" s="39">
        <f>G57+G111</f>
        <v/>
      </c>
      <c r="H114" s="39">
        <f>H57+H111</f>
        <v/>
      </c>
      <c r="I114" s="39">
        <f>I57+I111</f>
        <v/>
      </c>
      <c r="J114" s="39">
        <f>J57+J111</f>
        <v/>
      </c>
      <c r="K114" s="39">
        <f>K57+K111</f>
        <v/>
      </c>
      <c r="L114" s="39">
        <f>L57+L111</f>
        <v/>
      </c>
      <c r="M114" s="39">
        <f>M57+M111</f>
        <v/>
      </c>
      <c r="N114" s="39">
        <f>N57+N111</f>
        <v/>
      </c>
      <c r="O114" s="39">
        <f>O57+O111</f>
        <v/>
      </c>
      <c r="P114" s="39">
        <f>P57+P111</f>
        <v/>
      </c>
      <c r="Q114" s="39">
        <f>Q57+Q111</f>
        <v/>
      </c>
      <c r="R114" s="39">
        <f>R57+R111</f>
        <v/>
      </c>
      <c r="S114" s="39">
        <f>S57+S111</f>
        <v/>
      </c>
      <c r="T114" s="39">
        <f>T57+T111</f>
        <v/>
      </c>
      <c r="U114" s="39">
        <f>U57+U111</f>
        <v/>
      </c>
      <c r="V114" s="39">
        <f>V57+V111</f>
        <v/>
      </c>
      <c r="W114" s="39">
        <f>W57+W111</f>
        <v/>
      </c>
      <c r="X114" s="39">
        <f>X57+X111</f>
        <v/>
      </c>
      <c r="Y114" s="39">
        <f>Y57+Y111</f>
        <v/>
      </c>
      <c r="Z114" s="39">
        <f>Z57+Z111</f>
        <v/>
      </c>
      <c r="AA114" s="39">
        <f>AA57+AA111</f>
        <v/>
      </c>
      <c r="AB114" s="39">
        <f>AB57+AB111</f>
        <v/>
      </c>
      <c r="AC114" s="39">
        <f>AC57+AC111</f>
        <v/>
      </c>
      <c r="AD114" s="39">
        <f>AD57+AD111</f>
        <v/>
      </c>
      <c r="AE114" s="41">
        <f>IF(Q114+AD114&gt;0,AD114/(Q114+AD114),0)</f>
        <v/>
      </c>
      <c r="AF114" s="39">
        <f>AF57+AF111</f>
        <v/>
      </c>
    </row>
    <row r="115">
      <c r="B115" s="28" t="inlineStr">
        <is>
          <t>Monatsquote gesamt</t>
        </is>
      </c>
      <c r="R115" s="33">
        <f>IF(E114+R114&gt;0,R114/(E114+R114),0)</f>
        <v/>
      </c>
      <c r="S115" s="33">
        <f>IF(F114+S114&gt;0,S114/(F114+S114),0)</f>
        <v/>
      </c>
      <c r="T115" s="33">
        <f>IF(G114+T114&gt;0,T114/(G114+T114),0)</f>
        <v/>
      </c>
      <c r="U115" s="33">
        <f>IF(H114+U114&gt;0,U114/(H114+U114),0)</f>
        <v/>
      </c>
      <c r="V115" s="33">
        <f>IF(I114+V114&gt;0,V114/(I114+V114),0)</f>
        <v/>
      </c>
      <c r="W115" s="33">
        <f>IF(J114+W114&gt;0,W114/(J114+W114),0)</f>
        <v/>
      </c>
      <c r="X115" s="33">
        <f>IF(K114+X114&gt;0,X114/(K114+X114),0)</f>
        <v/>
      </c>
      <c r="Y115" s="33">
        <f>IF(L114+Y114&gt;0,Y114/(L114+Y114),0)</f>
        <v/>
      </c>
      <c r="Z115" s="33">
        <f>IF(M114+Z114&gt;0,Z114/(M114+Z114),0)</f>
        <v/>
      </c>
      <c r="AA115" s="33">
        <f>IF(N114+AA114&gt;0,AA114/(N114+AA114),0)</f>
        <v/>
      </c>
      <c r="AB115" s="33">
        <f>IF(O114+AB114&gt;0,AB114/(O114+AB114),0)</f>
        <v/>
      </c>
      <c r="AC115" s="33">
        <f>IF(P114+AC114&gt;0,AC114/(P114+AC114),0)</f>
        <v/>
      </c>
    </row>
    <row r="117">
      <c r="A117" s="55" t="inlineStr">
        <is>
          <t>Stunden je Objekt</t>
        </is>
      </c>
    </row>
    <row r="118" ht="30" customHeight="1">
      <c r="A118" s="17" t="inlineStr">
        <is>
          <t>Objekt</t>
        </is>
      </c>
      <c r="B118" s="17" t="inlineStr">
        <is>
          <t>Geleistete
Stunden</t>
        </is>
      </c>
      <c r="C118" s="17" t="inlineStr">
        <is>
          <t>Krankstunden</t>
        </is>
      </c>
      <c r="D118" s="17" t="inlineStr">
        <is>
          <t>Quote (Std.)</t>
        </is>
      </c>
      <c r="E118" s="17" t="inlineStr">
        <is>
          <t>Anteil Krank-
stunden</t>
        </is>
      </c>
      <c r="F118" s="17" t="inlineStr">
        <is>
          <t>Ø Krankstd.
je MA</t>
        </is>
      </c>
      <c r="G118" s="17" t="inlineStr">
        <is>
          <t>Ø geleistet
je MA</t>
        </is>
      </c>
      <c r="H118" s="17" t="inlineStr">
        <is>
          <t>Ausfall
VZ-Tage</t>
        </is>
      </c>
      <c r="I118" s="17" t="inlineStr">
        <is>
          <t>Ausfall
VZ-Stellen</t>
        </is>
      </c>
    </row>
    <row r="119">
      <c r="A119" s="20">
        <f>B6</f>
        <v/>
      </c>
      <c r="B119" s="27">
        <f>Q57</f>
        <v/>
      </c>
      <c r="C119" s="27">
        <f>AD57</f>
        <v/>
      </c>
      <c r="D119" s="26">
        <f>IF(B119+C119&gt;0,C119/(B119+C119),0)</f>
        <v/>
      </c>
      <c r="E119" s="52">
        <f>IF($C$121&gt;0,C119/$C$121,0)</f>
        <v/>
      </c>
      <c r="F119" s="24">
        <f>IF(COUNTA('Krankenquote Objekte'!B7:B56)&gt;0,C119/COUNTA('Krankenquote Objekte'!B7:B56),0)</f>
        <v/>
      </c>
      <c r="G119" s="24">
        <f>IF(COUNTA('Krankenquote Objekte'!B7:B56)&gt;0,B119/COUNTA('Krankenquote Objekte'!B7:B56),0)</f>
        <v/>
      </c>
      <c r="H119" s="24">
        <f>AF57</f>
        <v/>
      </c>
      <c r="I119" s="65">
        <f>IF(('Krankenquote Objekte'!$R$4*$C$3/5)&gt;0,C119/('Krankenquote Objekte'!$R$4*$C$3/5),0)</f>
        <v/>
      </c>
    </row>
    <row r="120">
      <c r="A120" s="36">
        <f>B60</f>
        <v/>
      </c>
      <c r="B120" s="27">
        <f>Q111</f>
        <v/>
      </c>
      <c r="C120" s="27">
        <f>AD111</f>
        <v/>
      </c>
      <c r="D120" s="26">
        <f>IF(B120+C120&gt;0,C120/(B120+C120),0)</f>
        <v/>
      </c>
      <c r="E120" s="52">
        <f>IF($C$121&gt;0,C120/$C$121,0)</f>
        <v/>
      </c>
      <c r="F120" s="24">
        <f>IF(COUNTA('Krankenquote Objekte'!B61:B110)&gt;0,C120/COUNTA('Krankenquote Objekte'!B61:B110),0)</f>
        <v/>
      </c>
      <c r="G120" s="24">
        <f>IF(COUNTA('Krankenquote Objekte'!B61:B110)&gt;0,B120/COUNTA('Krankenquote Objekte'!B61:B110),0)</f>
        <v/>
      </c>
      <c r="H120" s="24">
        <f>AF111</f>
        <v/>
      </c>
      <c r="I120" s="65">
        <f>IF(('Krankenquote Objekte'!$R$4*$C$3/5)&gt;0,C120/('Krankenquote Objekte'!$R$4*$C$3/5),0)</f>
        <v/>
      </c>
    </row>
    <row r="121">
      <c r="A121" s="37" t="inlineStr">
        <is>
          <t>Gesamt</t>
        </is>
      </c>
      <c r="B121" s="40">
        <f>SUM(B119:B120)</f>
        <v/>
      </c>
      <c r="C121" s="40">
        <f>SUM(C119:C120)</f>
        <v/>
      </c>
      <c r="D121" s="41">
        <f>IF(B121+C121&gt;0,C121/(B121+C121),0)</f>
        <v/>
      </c>
      <c r="E121" s="41">
        <f>SUM(E119:E120)</f>
        <v/>
      </c>
      <c r="F121" s="39">
        <f>IF((COUNTA('Krankenquote Objekte'!B7:B56)+COUNTA('Krankenquote Objekte'!B61:B110))&gt;0,C121/(COUNTA('Krankenquote Objekte'!B7:B56)+COUNTA('Krankenquote Objekte'!B61:B110)),0)</f>
        <v/>
      </c>
      <c r="G121" s="39">
        <f>IF((COUNTA('Krankenquote Objekte'!B7:B56)+COUNTA('Krankenquote Objekte'!B61:B110))&gt;0,B121/(COUNTA('Krankenquote Objekte'!B7:B56)+COUNTA('Krankenquote Objekte'!B61:B110)),0)</f>
        <v/>
      </c>
      <c r="H121" s="39">
        <f>SUM(H119:H120)</f>
        <v/>
      </c>
      <c r="I121" s="38">
        <f>SUM(I119:I120)</f>
        <v/>
      </c>
    </row>
    <row r="122">
      <c r="A122" s="13" t="inlineStr">
        <is>
          <t>Quote (Std.) = Krankstunden ÷ (geleistete Stunden + Krankstunden). Ausfall VZ-Stellen = Krankstunden ÷ Jahres-Sollstunden einer Vollzeitkraft (Arbeitstage Jahr × Vollzeit-Wochenstunden ÷ 5).</t>
        </is>
      </c>
    </row>
    <row r="124">
      <c r="A124" s="55" t="inlineStr">
        <is>
          <t>Geleistete Stunden und Krankstunden im Monatsverlauf</t>
        </is>
      </c>
    </row>
    <row r="125">
      <c r="A125" s="17" t="inlineStr">
        <is>
          <t>Monat</t>
        </is>
      </c>
      <c r="B125" s="17">
        <f>"Geleistet "&amp;B6</f>
        <v/>
      </c>
      <c r="C125" s="17">
        <f>"Krank "&amp;B6</f>
        <v/>
      </c>
      <c r="D125" s="17">
        <f>"Geleistet "&amp;B60</f>
        <v/>
      </c>
      <c r="E125" s="17">
        <f>"Krank "&amp;B60</f>
        <v/>
      </c>
    </row>
    <row r="126">
      <c r="A126" s="8" t="inlineStr">
        <is>
          <t>Jan</t>
        </is>
      </c>
      <c r="B126" s="27">
        <f>E57</f>
        <v/>
      </c>
      <c r="C126" s="27">
        <f>R57</f>
        <v/>
      </c>
      <c r="D126" s="27">
        <f>E111</f>
        <v/>
      </c>
      <c r="E126" s="27">
        <f>R111</f>
        <v/>
      </c>
    </row>
    <row r="127">
      <c r="A127" s="8" t="inlineStr">
        <is>
          <t>Feb</t>
        </is>
      </c>
      <c r="B127" s="27">
        <f>F57</f>
        <v/>
      </c>
      <c r="C127" s="27">
        <f>S57</f>
        <v/>
      </c>
      <c r="D127" s="27">
        <f>F111</f>
        <v/>
      </c>
      <c r="E127" s="27">
        <f>S111</f>
        <v/>
      </c>
    </row>
    <row r="128">
      <c r="A128" s="8" t="inlineStr">
        <is>
          <t>Mär</t>
        </is>
      </c>
      <c r="B128" s="27">
        <f>G57</f>
        <v/>
      </c>
      <c r="C128" s="27">
        <f>T57</f>
        <v/>
      </c>
      <c r="D128" s="27">
        <f>G111</f>
        <v/>
      </c>
      <c r="E128" s="27">
        <f>T111</f>
        <v/>
      </c>
    </row>
    <row r="129">
      <c r="A129" s="8" t="inlineStr">
        <is>
          <t>Apr</t>
        </is>
      </c>
      <c r="B129" s="27">
        <f>H57</f>
        <v/>
      </c>
      <c r="C129" s="27">
        <f>U57</f>
        <v/>
      </c>
      <c r="D129" s="27">
        <f>H111</f>
        <v/>
      </c>
      <c r="E129" s="27">
        <f>U111</f>
        <v/>
      </c>
    </row>
    <row r="130">
      <c r="A130" s="8" t="inlineStr">
        <is>
          <t>Mai</t>
        </is>
      </c>
      <c r="B130" s="27">
        <f>I57</f>
        <v/>
      </c>
      <c r="C130" s="27">
        <f>V57</f>
        <v/>
      </c>
      <c r="D130" s="27">
        <f>I111</f>
        <v/>
      </c>
      <c r="E130" s="27">
        <f>V111</f>
        <v/>
      </c>
    </row>
    <row r="131">
      <c r="A131" s="8" t="inlineStr">
        <is>
          <t>Jun</t>
        </is>
      </c>
      <c r="B131" s="27">
        <f>J57</f>
        <v/>
      </c>
      <c r="C131" s="27">
        <f>W57</f>
        <v/>
      </c>
      <c r="D131" s="27">
        <f>J111</f>
        <v/>
      </c>
      <c r="E131" s="27">
        <f>W111</f>
        <v/>
      </c>
    </row>
    <row r="132">
      <c r="A132" s="8" t="inlineStr">
        <is>
          <t>Jul</t>
        </is>
      </c>
      <c r="B132" s="27">
        <f>K57</f>
        <v/>
      </c>
      <c r="C132" s="27">
        <f>X57</f>
        <v/>
      </c>
      <c r="D132" s="27">
        <f>K111</f>
        <v/>
      </c>
      <c r="E132" s="27">
        <f>X111</f>
        <v/>
      </c>
    </row>
    <row r="133">
      <c r="A133" s="8" t="inlineStr">
        <is>
          <t>Aug</t>
        </is>
      </c>
      <c r="B133" s="27">
        <f>L57</f>
        <v/>
      </c>
      <c r="C133" s="27">
        <f>Y57</f>
        <v/>
      </c>
      <c r="D133" s="27">
        <f>L111</f>
        <v/>
      </c>
      <c r="E133" s="27">
        <f>Y111</f>
        <v/>
      </c>
    </row>
    <row r="134">
      <c r="A134" s="8" t="inlineStr">
        <is>
          <t>Sep</t>
        </is>
      </c>
      <c r="B134" s="27">
        <f>M57</f>
        <v/>
      </c>
      <c r="C134" s="27">
        <f>Z57</f>
        <v/>
      </c>
      <c r="D134" s="27">
        <f>M111</f>
        <v/>
      </c>
      <c r="E134" s="27">
        <f>Z111</f>
        <v/>
      </c>
    </row>
    <row r="135">
      <c r="A135" s="8" t="inlineStr">
        <is>
          <t>Okt</t>
        </is>
      </c>
      <c r="B135" s="27">
        <f>N57</f>
        <v/>
      </c>
      <c r="C135" s="27">
        <f>AA57</f>
        <v/>
      </c>
      <c r="D135" s="27">
        <f>N111</f>
        <v/>
      </c>
      <c r="E135" s="27">
        <f>AA111</f>
        <v/>
      </c>
    </row>
    <row r="136">
      <c r="A136" s="8" t="inlineStr">
        <is>
          <t>Nov</t>
        </is>
      </c>
      <c r="B136" s="27">
        <f>O57</f>
        <v/>
      </c>
      <c r="C136" s="27">
        <f>AB57</f>
        <v/>
      </c>
      <c r="D136" s="27">
        <f>O111</f>
        <v/>
      </c>
      <c r="E136" s="27">
        <f>AB111</f>
        <v/>
      </c>
    </row>
    <row r="137">
      <c r="A137" s="8" t="inlineStr">
        <is>
          <t>Dez</t>
        </is>
      </c>
      <c r="B137" s="27">
        <f>P57</f>
        <v/>
      </c>
      <c r="C137" s="27">
        <f>AC57</f>
        <v/>
      </c>
      <c r="D137" s="27">
        <f>P111</f>
        <v/>
      </c>
      <c r="E137" s="27">
        <f>AC111</f>
        <v/>
      </c>
    </row>
  </sheetData>
  <mergeCells count="3">
    <mergeCell ref="E4:Q4"/>
    <mergeCell ref="R4:AD4"/>
    <mergeCell ref="A2:AF2"/>
  </mergeCells>
  <dataValidations count="1">
    <dataValidation sqref="E7:P56 E61:P110" showDropDown="0" showInputMessage="0" showErrorMessage="1" allowBlank="0" error="Geleistete Stunden je Monat 0–400" type="decimal" operator="between">
      <formula1>0</formula1>
      <formula2>400</formula2>
    </dataValidation>
  </dataValidations>
  <hyperlinks>
    <hyperlink xmlns:r="http://schemas.openxmlformats.org/officeDocument/2006/relationships" ref="V1" r:id="rId1"/>
  </hyperlinks>
  <pageMargins left="0.75" right="0.75" top="1" bottom="1" header="0.5" footer="0.5"/>
  <drawing xmlns:r="http://schemas.openxmlformats.org/officeDocument/2006/relationships" r:id="rId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2026-10-03T08:54:54Z</dcterms:created>
  <dcterms:modified xsi:type="dcterms:W3CDTF">2026-10-03T08:54:54Z</dcterms:modified>
</cp:coreProperties>
</file>