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drawings/drawing3.xml" ContentType="application/vnd.openxmlformats-officedocument.drawing+xml"/>
  <Override PartName="/xl/worksheets/sheet9.xml" ContentType="application/vnd.openxmlformats-officedocument.spreadsheetml.worksheet+xml"/>
  <Override PartName="/xl/drawings/drawing4.xml" ContentType="application/vnd.openxmlformats-officedocument.drawing+xml"/>
  <Override PartName="/xl/worksheets/sheet10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rklärung" sheetId="1" state="visible" r:id="rId1"/>
    <sheet name="Einstellungen" sheetId="2" state="visible" r:id="rId2"/>
    <sheet name="Mitarbeiter" sheetId="3" state="visible" r:id="rId3"/>
    <sheet name="Stunden Objekte" sheetId="4" state="visible" r:id="rId4"/>
    <sheet name="Krankheitstage" sheetId="5" state="visible" r:id="rId5"/>
    <sheet name="Ist-Stunden" sheetId="6" state="visible" r:id="rId6"/>
    <sheet name="Krankenquote Objekte" sheetId="7" state="visible" r:id="rId7"/>
    <sheet name="KQuote Mitarbeiter" sheetId="8" state="visible" r:id="rId8"/>
    <sheet name="Auswertung Objekte" sheetId="9" state="visible" r:id="rId9"/>
    <sheet name="Stundenauswertung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0">
    <numFmt numFmtId="164" formatCode="0.0"/>
    <numFmt numFmtId="165" formatCode="0.0%"/>
    <numFmt numFmtId="166" formatCode="DD.MM.YYYY"/>
    <numFmt numFmtId="167" formatCode="#,##0;-#,##0;&quot;-&quot;"/>
    <numFmt numFmtId="168" formatCode="yyyy-mm-dd"/>
    <numFmt numFmtId="169" formatCode="#,##0.0;-#,##0.0;&quot;-&quot;"/>
    <numFmt numFmtId="170" formatCode="MMMM"/>
    <numFmt numFmtId="171" formatCode="0.0%;-0.0%;&quot;-&quot;"/>
    <numFmt numFmtId="172" formatCode="0.000"/>
    <numFmt numFmtId="173" formatCode="+0.0%;-0.0%;&quot;±0,0%&quot;"/>
  </numFmts>
  <fonts count="14">
    <font>
      <name val="Calibri"/>
      <family val="2"/>
      <color theme="1"/>
      <sz val="11"/>
      <scheme val="minor"/>
    </font>
    <font>
      <name val="Arial"/>
      <b val="1"/>
      <color rgb="001F3864"/>
      <sz val="14"/>
    </font>
    <font>
      <name val="Arial"/>
      <i val="1"/>
      <color rgb="00595959"/>
      <sz val="9"/>
    </font>
    <font>
      <name val="Arial"/>
      <b val="1"/>
      <sz val="10"/>
    </font>
    <font>
      <name val="Arial"/>
      <color rgb="000000FF"/>
      <sz val="10"/>
    </font>
    <font>
      <name val="Arial"/>
      <b val="1"/>
      <color rgb="00FFFFFF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008000"/>
      <sz val="10"/>
    </font>
    <font>
      <name val="Arial"/>
      <b val="1"/>
      <color rgb="001F3864"/>
      <sz val="11"/>
    </font>
    <font>
      <name val="Arial"/>
      <b val="1"/>
      <color rgb="00006100"/>
    </font>
    <font>
      <name val="Arial"/>
      <b val="1"/>
      <color rgb="009C5700"/>
    </font>
    <font>
      <name val="Arial"/>
      <b val="1"/>
      <color rgb="009C0006"/>
    </font>
    <font>
      <name val="Arial"/>
      <color rgb="000563C1"/>
      <sz val="10"/>
      <u val="single"/>
    </font>
  </fonts>
  <fills count="11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3864"/>
      </patternFill>
    </fill>
    <fill>
      <patternFill patternType="solid">
        <fgColor rgb="00F2F2F2"/>
      </patternFill>
    </fill>
    <fill>
      <patternFill patternType="solid">
        <fgColor rgb="002F5597"/>
      </patternFill>
    </fill>
    <fill>
      <patternFill patternType="solid">
        <fgColor rgb="00548235"/>
      </patternFill>
    </fill>
    <fill>
      <patternFill patternType="solid">
        <fgColor rgb="007F7F7F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74">
    <xf numFmtId="0" fontId="0" fillId="0" borderId="0" pivotButton="0" quotePrefix="0" xfId="0"/>
    <xf numFmtId="0" fontId="1" fillId="0" borderId="0" pivotButton="0" quotePrefix="0" xfId="0"/>
    <xf numFmtId="0" fontId="7" fillId="3" borderId="1" pivotButton="0" quotePrefix="0" xfId="0"/>
    <xf numFmtId="0" fontId="3" fillId="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4" fillId="2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8" fillId="0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10" fillId="8" borderId="1" applyAlignment="1" pivotButton="0" quotePrefix="0" xfId="0">
      <alignment horizontal="center" vertical="center" wrapText="1"/>
    </xf>
    <xf numFmtId="0" fontId="11" fillId="9" borderId="1" applyAlignment="1" pivotButton="0" quotePrefix="0" xfId="0">
      <alignment horizontal="center" vertical="center" wrapText="1"/>
    </xf>
    <xf numFmtId="0" fontId="12" fillId="10" borderId="1" applyAlignment="1" pivotButton="0" quotePrefix="0" xfId="0">
      <alignment horizontal="center" vertical="center" wrapText="1"/>
    </xf>
    <xf numFmtId="0" fontId="13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1" applyAlignment="1" pivotButton="0" quotePrefix="0" xfId="0">
      <alignment vertical="center" wrapText="1"/>
    </xf>
    <xf numFmtId="1" fontId="4" fillId="2" borderId="1" applyAlignment="1" pivotButton="0" quotePrefix="0" xfId="0">
      <alignment horizontal="center" vertical="center" wrapText="1"/>
    </xf>
    <xf numFmtId="0" fontId="2" fillId="0" borderId="0" pivotButton="0" quotePrefix="0" xfId="0"/>
    <xf numFmtId="164" fontId="4" fillId="2" borderId="1" applyAlignment="1" pivotButton="0" quotePrefix="0" xfId="0">
      <alignment horizontal="center" vertical="center" wrapText="1"/>
    </xf>
    <xf numFmtId="165" fontId="4" fillId="2" borderId="1" applyAlignment="1" pivotButton="0" quotePrefix="0" xfId="0">
      <alignment horizontal="center" vertical="center" wrapText="1"/>
    </xf>
    <xf numFmtId="166" fontId="4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0" fontId="5" fillId="3" borderId="1" applyAlignment="1" pivotButton="0" quotePrefix="0" xfId="0">
      <alignment horizontal="center" vertical="center" wrapText="1"/>
    </xf>
    <xf numFmtId="167" fontId="6" fillId="4" borderId="1" applyAlignment="1" pivotButton="0" quotePrefix="0" xfId="0">
      <alignment horizontal="center" vertical="center" wrapText="1"/>
    </xf>
    <xf numFmtId="0" fontId="4" fillId="0" borderId="1" pivotButton="0" quotePrefix="0" xfId="0"/>
    <xf numFmtId="0" fontId="3" fillId="4" borderId="1" pivotButton="0" quotePrefix="0" xfId="0"/>
    <xf numFmtId="167" fontId="3" fillId="4" borderId="1" applyAlignment="1" pivotButton="0" quotePrefix="0" xfId="0">
      <alignment horizontal="center" vertical="center" wrapText="1"/>
    </xf>
    <xf numFmtId="1" fontId="4" fillId="0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2" fontId="6" fillId="4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 wrapText="1"/>
    </xf>
    <xf numFmtId="169" fontId="6" fillId="4" borderId="1" applyAlignment="1" pivotButton="0" quotePrefix="0" xfId="0">
      <alignment horizontal="center" vertical="center" wrapText="1"/>
    </xf>
    <xf numFmtId="166" fontId="6" fillId="0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right"/>
    </xf>
    <xf numFmtId="167" fontId="3" fillId="0" borderId="1" applyAlignment="1" pivotButton="0" quotePrefix="0" xfId="0">
      <alignment horizontal="center" vertical="center" wrapText="1"/>
    </xf>
    <xf numFmtId="170" fontId="6" fillId="0" borderId="1" applyAlignment="1" pivotButton="0" quotePrefix="0" xfId="0">
      <alignment horizontal="center" vertical="center" wrapText="1"/>
    </xf>
    <xf numFmtId="167" fontId="6" fillId="0" borderId="1" applyAlignment="1" pivotButton="0" quotePrefix="0" xfId="0">
      <alignment horizontal="center" vertical="center" wrapText="1"/>
    </xf>
    <xf numFmtId="169" fontId="3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171" fontId="3" fillId="0" borderId="1" applyAlignment="1" pivotButton="0" quotePrefix="0" xfId="0">
      <alignment horizontal="center" vertical="center" wrapText="1"/>
    </xf>
    <xf numFmtId="169" fontId="4" fillId="2" borderId="1" applyAlignment="1" pivotButton="0" quotePrefix="0" xfId="0">
      <alignment horizontal="center" vertical="center" wrapText="1"/>
    </xf>
    <xf numFmtId="0" fontId="5" fillId="3" borderId="1" pivotButton="0" quotePrefix="0" xfId="0"/>
    <xf numFmtId="169" fontId="5" fillId="3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center" vertical="center" wrapText="1"/>
    </xf>
    <xf numFmtId="0" fontId="5" fillId="5" borderId="1" pivotButton="0" quotePrefix="0" xfId="0"/>
    <xf numFmtId="0" fontId="5" fillId="6" borderId="1" applyAlignment="1" pivotButton="0" quotePrefix="0" xfId="0">
      <alignment horizontal="center" vertical="center" wrapText="1"/>
    </xf>
    <xf numFmtId="0" fontId="5" fillId="6" borderId="1" pivotButton="0" quotePrefix="0" xfId="0"/>
    <xf numFmtId="0" fontId="5" fillId="7" borderId="1" applyAlignment="1" pivotButton="0" quotePrefix="0" xfId="0">
      <alignment horizontal="center" vertical="center" wrapText="1"/>
    </xf>
    <xf numFmtId="1" fontId="8" fillId="0" borderId="1" applyAlignment="1" pivotButton="0" quotePrefix="0" xfId="0">
      <alignment horizontal="center" vertical="center" wrapText="1"/>
    </xf>
    <xf numFmtId="0" fontId="8" fillId="0" borderId="1" pivotButton="0" quotePrefix="0" xfId="0"/>
    <xf numFmtId="164" fontId="8" fillId="0" borderId="1" applyAlignment="1" pivotButton="0" quotePrefix="0" xfId="0">
      <alignment horizontal="center" vertical="center" wrapText="1"/>
    </xf>
    <xf numFmtId="167" fontId="4" fillId="0" borderId="1" applyAlignment="1" pivotButton="0" quotePrefix="0" xfId="0">
      <alignment horizontal="center" vertical="center" wrapText="1"/>
    </xf>
    <xf numFmtId="166" fontId="2" fillId="0" borderId="1" pivotButton="0" quotePrefix="0" xfId="0"/>
    <xf numFmtId="167" fontId="5" fillId="3" borderId="1" applyAlignment="1" pivotButton="0" quotePrefix="0" xfId="0">
      <alignment horizontal="center" vertical="center" wrapText="1"/>
    </xf>
    <xf numFmtId="169" fontId="4" fillId="0" borderId="1" applyAlignment="1" pivotButton="0" quotePrefix="0" xfId="0">
      <alignment horizontal="center" vertical="center" wrapText="1"/>
    </xf>
    <xf numFmtId="0" fontId="5" fillId="7" borderId="1" pivotButton="0" quotePrefix="0" xfId="0"/>
    <xf numFmtId="0" fontId="3" fillId="0" borderId="1" applyAlignment="1" pivotButton="0" quotePrefix="0" xfId="0">
      <alignment horizontal="center" vertical="center" wrapText="1"/>
    </xf>
    <xf numFmtId="169" fontId="8" fillId="0" borderId="1" applyAlignment="1" pivotButton="0" quotePrefix="0" xfId="0">
      <alignment horizontal="center" vertical="center" wrapText="1"/>
    </xf>
    <xf numFmtId="169" fontId="6" fillId="0" borderId="1" applyAlignment="1" pivotButton="0" quotePrefix="0" xfId="0">
      <alignment horizontal="center" vertical="center" wrapText="1"/>
    </xf>
    <xf numFmtId="171" fontId="3" fillId="4" borderId="1" applyAlignment="1" pivotButton="0" quotePrefix="0" xfId="0">
      <alignment horizontal="center" vertical="center" wrapText="1"/>
    </xf>
    <xf numFmtId="0" fontId="9" fillId="0" borderId="0" pivotButton="0" quotePrefix="0" xfId="0"/>
    <xf numFmtId="167" fontId="8" fillId="0" borderId="1" applyAlignment="1" pivotButton="0" quotePrefix="0" xfId="0">
      <alignment horizontal="center" vertical="center" wrapText="1"/>
    </xf>
    <xf numFmtId="171" fontId="2" fillId="0" borderId="1" applyAlignment="1" pivotButton="0" quotePrefix="0" xfId="0">
      <alignment horizontal="center" vertical="center" wrapText="1"/>
    </xf>
    <xf numFmtId="1" fontId="6" fillId="0" borderId="1" applyAlignment="1" pivotButton="0" quotePrefix="0" xfId="0">
      <alignment horizontal="center" vertical="center" wrapText="1"/>
    </xf>
    <xf numFmtId="172" fontId="2" fillId="0" borderId="1" applyAlignment="1" pivotButton="0" quotePrefix="0" xfId="0">
      <alignment horizontal="center" vertical="center" wrapText="1"/>
    </xf>
    <xf numFmtId="169" fontId="3" fillId="0" borderId="1" applyAlignment="1" pivotButton="0" quotePrefix="0" xfId="0">
      <alignment horizontal="center" vertical="center" wrapText="1"/>
    </xf>
    <xf numFmtId="171" fontId="8" fillId="0" borderId="1" applyAlignment="1" pivotButton="0" quotePrefix="0" xfId="0">
      <alignment horizontal="center" vertical="center" wrapText="1"/>
    </xf>
    <xf numFmtId="171" fontId="6" fillId="0" borderId="1" applyAlignment="1" pivotButton="0" quotePrefix="0" xfId="0">
      <alignment horizontal="center" vertical="center" wrapText="1"/>
    </xf>
    <xf numFmtId="173" fontId="6" fillId="0" borderId="1" applyAlignment="1" pivotButton="0" quotePrefix="0" xfId="0">
      <alignment horizontal="center" vertical="center" wrapText="1"/>
    </xf>
    <xf numFmtId="2" fontId="6" fillId="0" borderId="1" applyAlignment="1" pivotButton="0" quotePrefix="0" xfId="0">
      <alignment horizontal="center" vertical="center" wrapText="1"/>
    </xf>
    <xf numFmtId="171" fontId="5" fillId="3" borderId="1" applyAlignment="1" pivotButton="0" quotePrefix="0" xfId="0">
      <alignment horizontal="center" vertical="center" wrapText="1"/>
    </xf>
    <xf numFmtId="2" fontId="5" fillId="3" borderId="1" applyAlignment="1" pivotButton="0" quotePrefix="0" xfId="0">
      <alignment horizontal="center" vertical="center" wrapText="1"/>
    </xf>
    <xf numFmtId="0" fontId="3" fillId="0" borderId="0" pivotButton="0" quotePrefix="0" xfId="0"/>
  </cellXfs>
  <cellStyles count="1">
    <cellStyle name="Normal" xfId="0" builtinId="0" hidden="0"/>
  </cellStyles>
  <dxfs count="9">
    <dxf>
      <font>
        <name val="Arial"/>
        <color rgb="007F7F7F"/>
      </font>
    </dxf>
    <dxf>
      <font>
        <name val="Arial"/>
        <b val="1"/>
        <color rgb="00006100"/>
      </font>
    </dxf>
    <dxf>
      <fill>
        <patternFill patternType="solid">
          <fgColor rgb="00FFC7CE"/>
        </patternFill>
      </fill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ill>
        <patternFill patternType="solid">
          <fgColor rgb="00D9D9D9"/>
        </patternFill>
      </fill>
    </dxf>
    <dxf>
      <fill>
        <patternFill patternType="solid">
          <fgColor rgb="00FFEB9C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  <dxf>
      <font>
        <name val="Arial"/>
        <b val="1"/>
        <color rgb="009C5700"/>
      </font>
      <fill>
        <patternFill patternType="solid">
          <fgColor rgb="00FFEB9C"/>
        </patternFill>
      </fill>
    </dxf>
    <dxf>
      <font>
        <name val="Arial"/>
        <b val="1"/>
        <color rgb="007F7F7F"/>
      </font>
      <fill>
        <patternFill patternType="solid">
          <fgColor rgb="00EDEDE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Eintritte / Austritte je Monat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'Mitarbeiter'!K5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'Mitarbeiter'!$K$6:$K$18</f>
            </numRef>
          </val>
        </ser>
        <ser>
          <idx val="1"/>
          <order val="1"/>
          <tx>
            <strRef>
              <f>'Mitarbeiter'!L5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'Mitarbeiter'!$J$7:$J$18</f>
            </numRef>
          </cat>
          <val>
            <numRef>
              <f>'Mitarbeiter'!$L$6:$L$18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Krankenquote im Monatsverlauf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Objekte'!$B$4</f>
            </strRef>
          </tx>
          <spPr>
            <a:ln w="24000">
              <a:solidFill>
                <a:srgbClr val="1F3864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Objekte'!$D$6:$D$17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ln w="24000">
              <a:solidFill>
                <a:srgbClr val="70AD47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Objekte'!$I$6:$I$17</f>
            </numRef>
          </val>
        </ser>
        <ser>
          <idx val="2"/>
          <order val="2"/>
          <tx>
            <strRef>
              <f>'Krankenquote Objekte'!$L$4</f>
            </strRef>
          </tx>
          <spPr>
            <a:ln w="24000">
              <a:solidFill>
                <a:srgbClr val="A5A5A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Objekte'!$A$6:$A$17</f>
            </numRef>
          </cat>
          <val>
            <numRef>
              <f>'Krankenquote Objekte'!$N$6:$N$17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Kumulierte Krankenquote (Jahr bis Monat)</a:t>
            </a:r>
          </a:p>
        </rich>
      </tx>
    </title>
    <plotArea>
      <lineChart>
        <grouping val="standard"/>
        <ser>
          <idx val="0"/>
          <order val="0"/>
          <tx>
            <strRef>
              <f>'Krankenquote Objekte'!$B$22</f>
            </strRef>
          </tx>
          <spPr>
            <a:ln w="24000">
              <a:solidFill>
                <a:srgbClr val="1F3864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Objekte'!$D$24:$D$35</f>
            </numRef>
          </val>
        </ser>
        <ser>
          <idx val="1"/>
          <order val="1"/>
          <tx>
            <strRef>
              <f>'Krankenquote Objekte'!$E$22</f>
            </strRef>
          </tx>
          <spPr>
            <a:ln w="24000">
              <a:solidFill>
                <a:srgbClr val="70AD47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Objekte'!$G$24:$G$35</f>
            </numRef>
          </val>
        </ser>
        <ser>
          <idx val="2"/>
          <order val="2"/>
          <tx>
            <strRef>
              <f>'Krankenquote Objekte'!$H$22</f>
            </strRef>
          </tx>
          <spPr>
            <a:ln w="24000">
              <a:solidFill>
                <a:srgbClr val="A5A5A5"/>
              </a:solidFill>
              <a:prstDash val="dash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'Krankenquote Objekte'!$A$24:$A$35</f>
            </numRef>
          </cat>
          <val>
            <numRef>
              <f>'Krankenquote Objekte'!$J$24:$J$35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Verteilung Bewertung (Ist)</a:t>
            </a:r>
          </a:p>
        </rich>
      </tx>
    </title>
    <plotArea>
      <pieChart>
        <varyColors val="1"/>
        <ser>
          <idx val="0"/>
          <order val="0"/>
          <tx>
            <strRef>
              <f>'KQuote Mitarbeiter'!R18</f>
            </strRef>
          </tx>
          <spPr>
            <a:ln>
              <a:prstDash val="solid"/>
            </a:ln>
          </spPr>
          <dPt>
            <idx val="0"/>
            <spPr>
              <a:solidFill>
                <a:srgbClr val="70AD47"/>
              </a:solidFill>
              <a:ln>
                <a:prstDash val="solid"/>
              </a:ln>
            </spPr>
          </dPt>
          <dPt>
            <idx val="1"/>
            <spPr>
              <a:solidFill>
                <a:srgbClr val="FFC000"/>
              </a:solidFill>
              <a:ln>
                <a:prstDash val="solid"/>
              </a:ln>
            </spPr>
          </dPt>
          <dPt>
            <idx val="2"/>
            <spPr>
              <a:solidFill>
                <a:srgbClr val="C00000"/>
              </a:solidFill>
              <a:ln>
                <a:prstDash val="solid"/>
              </a:ln>
            </spPr>
          </dPt>
          <cat>
            <numRef>
              <f>'KQuote Mitarbeiter'!$Q$19:$Q$21</f>
            </numRef>
          </cat>
          <val>
            <numRef>
              <f>'KQuote Mitarbeiter'!$R$19:$R$21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Top 10 Krankenquote (Ist)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'KQuote Mitarbeiter'!S25</f>
            </strRef>
          </tx>
          <spPr>
            <a:solidFill>
              <a:srgbClr val="C00000"/>
            </a:solidFill>
            <a:ln>
              <a:prstDash val="solid"/>
            </a:ln>
          </spPr>
          <cat>
            <numRef>
              <f>'KQuote Mitarbeiter'!$R$26:$R$35</f>
            </numRef>
          </cat>
          <val>
            <numRef>
              <f>'KQuote Mitarbeiter'!$S$26:$S$35</f>
            </numRef>
          </val>
        </ser>
        <gapWidth val="15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Anteil Krankstunden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Objekte'!C4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Objekte'!$C$5:$C$6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Gesamtstunden je Objekt</a:t>
            </a:r>
          </a:p>
        </rich>
      </tx>
    </title>
    <plotArea>
      <pieChart>
        <varyColors val="1"/>
        <ser>
          <idx val="0"/>
          <order val="0"/>
          <tx>
            <strRef>
              <f>'Auswertung Objekte'!B4</f>
            </strRef>
          </tx>
          <spPr>
            <a:ln>
              <a:prstDash val="solid"/>
            </a:ln>
          </spPr>
          <dPt>
            <idx val="0"/>
            <spPr>
              <a:solidFill>
                <a:srgbClr val="1F3864"/>
              </a:solidFill>
              <a:ln>
                <a:prstDash val="solid"/>
              </a:ln>
            </spPr>
          </dPt>
          <dPt>
            <idx val="1"/>
            <spPr>
              <a:solidFill>
                <a:srgbClr val="70AD47"/>
              </a:solidFill>
              <a:ln>
                <a:prstDash val="solid"/>
              </a:ln>
            </spPr>
          </dPt>
          <cat>
            <numRef>
              <f>'Auswertung Objekte'!$A$5:$A$6</f>
            </numRef>
          </cat>
          <val>
            <numRef>
              <f>'Auswertung Objekte'!$B$5:$B$6</f>
            </numRef>
          </val>
        </ser>
        <dLbls>
          <showVal val="0"/>
          <showCatName val="1"/>
          <showPercent val="1"/>
        </dLbls>
        <firstSliceAng val="0"/>
      </pieChart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Krankstunden je Monat und Objekt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'Krankenquote Objekte'!$B$4</f>
            </strRef>
          </tx>
          <spPr>
            <a:solidFill>
              <a:srgbClr val="1F3864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Objekte'!$C$6:$C$17</f>
            </numRef>
          </val>
        </ser>
        <ser>
          <idx val="1"/>
          <order val="1"/>
          <tx>
            <strRef>
              <f>'Krankenquote Objekte'!$G$4</f>
            </strRef>
          </tx>
          <spPr>
            <a:solidFill>
              <a:srgbClr val="70AD47"/>
            </a:solidFill>
            <a:ln>
              <a:prstDash val="solid"/>
            </a:ln>
          </spPr>
          <cat>
            <numRef>
              <f>'Krankenquote Objekte'!$A$6:$A$17</f>
            </numRef>
          </cat>
          <val>
            <numRef>
              <f>'Krankenquote Objekte'!$H$6:$H$17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 /><Relationship Type="http://schemas.openxmlformats.org/officeDocument/2006/relationships/chart" Target="/xl/charts/chart5.xml" Id="rId2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 /><Relationship Type="http://schemas.openxmlformats.org/officeDocument/2006/relationships/chart" Target="/xl/charts/chart7.xml" Id="rId2" /><Relationship Type="http://schemas.openxmlformats.org/officeDocument/2006/relationships/chart" Target="/xl/charts/chart8.xml" Id="rId3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9</col>
      <colOff>0</colOff>
      <row>25</row>
      <rowOff>0</rowOff>
    </from>
    <ext cx="540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38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38</row>
      <rowOff>0</rowOff>
    </from>
    <ext cx="7920000" cy="32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19</col>
      <colOff>0</colOff>
      <row>3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37</row>
      <rowOff>0</rowOff>
    </from>
    <ext cx="468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11</row>
      <rowOff>0</rowOff>
    </from>
    <ext cx="4140000" cy="306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11</row>
      <rowOff>0</rowOff>
    </from>
    <ext cx="4140000" cy="30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29</row>
      <rowOff>0</rowOff>
    </from>
    <ext cx="7920000" cy="324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1.xml" Id="rId2" /></Relationships>
</file>

<file path=xl/worksheets/_rels/sheet4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2.xml" Id="rId2" /></Relationships>
</file>

<file path=xl/worksheets/_rels/sheet8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3.xml" Id="rId2" /></Relationships>
</file>

<file path=xl/worksheets/_rels/sheet9.xml.rels><Relationships xmlns="http://schemas.openxmlformats.org/package/2006/relationships"><Relationship Type="http://schemas.openxmlformats.org/officeDocument/2006/relationships/hyperlink" Target="#'Erkl&#228;rung'!A1" TargetMode="External" Id="rId1" /><Relationship Type="http://schemas.openxmlformats.org/officeDocument/2006/relationships/drawing" Target="/xl/drawings/drawing4.xml" Id="rId2" /></Relationships>
</file>

<file path=xl/worksheets/_rels/sheet10.xml.rels><Relationships xmlns="http://schemas.openxmlformats.org/package/2006/relationships"><Relationship Type="http://schemas.openxmlformats.org/officeDocument/2006/relationships/hyperlink" Target="#'Erkl&#228;rung'!A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4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00" customWidth="1" min="3" max="3"/>
  </cols>
  <sheetData>
    <row r="1">
      <c r="B1" s="1" t="inlineStr">
        <is>
          <t>Erklärung – Operative Krankenquote</t>
        </is>
      </c>
    </row>
    <row r="4">
      <c r="B4" s="2" t="inlineStr">
        <is>
          <t>Was muss ich eintragen?</t>
        </is>
      </c>
      <c r="C4" s="2" t="n"/>
    </row>
    <row r="5" ht="28" customHeight="1">
      <c r="B5" s="3" t="inlineStr">
        <is>
          <t>1. Mitarbeiter</t>
        </is>
      </c>
      <c r="C5" s="4" t="inlineStr">
        <is>
          <t>Jede Person einmal: Pers.-Nr., Name, Eintritt, ggf. Austritt, Wochenstunden. Bei Austritt nur Datum eintragen, Zeile nie löschen.</t>
        </is>
      </c>
    </row>
    <row r="6" ht="28" customHeight="1">
      <c r="B6" s="3" t="inlineStr">
        <is>
          <t>2. Stunden Objekte</t>
        </is>
      </c>
      <c r="C6" s="4" t="inlineStr">
        <is>
          <t>Pro Monat je Objekt EINE Zahl: Gesamtstunden aller Mitarbeiter im Objekt (z. B. aus Dienstplan/Zeiterfassung). Wer zwischen den Objekten wechselt, steckt mit seinen Stunden einfach in der jeweiligen Objektsumme.</t>
        </is>
      </c>
    </row>
    <row r="7" ht="42" customHeight="1">
      <c r="B7" s="3" t="inlineStr">
        <is>
          <t>3. Krankheitstage</t>
        </is>
      </c>
      <c r="C7" s="4" t="inlineStr">
        <is>
          <t>Tabelle mit einer Zeile je Mitarbeiter (automatisch aus der Mitarbeiterliste) und einer Spalte je Monat. Nur die Krankheitstage eintragen, an denen der MA eingesetzt war – tariflich zählen nur eingesetzte Zeiträume, daher keine AU-Zeiträume. Krankstunden = Tage × Std./Tag (40 Std./Woche = 8 Std.).</t>
        </is>
      </c>
    </row>
    <row r="8" ht="28" customHeight="1">
      <c r="B8" s="3" t="inlineStr">
        <is>
          <t>4. Ist-Stunden</t>
        </is>
      </c>
      <c r="C8" s="4" t="inlineStr">
        <is>
          <t>Je Mitarbeiter und Monat die tatsächlich geleisteten Stunden (beide Objekte zusammen). Darauf beruhen Krankenquote, Rang und Ampel je Mitarbeiter. Ohne Ist-Stunden erscheint „keine Ist-Std.“.</t>
        </is>
      </c>
    </row>
    <row r="9" ht="28" customHeight="1">
      <c r="B9" s="3" t="inlineStr">
        <is>
          <t>Zwei Objekte</t>
        </is>
      </c>
      <c r="C9" s="4" t="inlineStr">
        <is>
          <t>Linker Block = Objekt 1, rechter Block = Objekt 2. War ein MA im Monat in beiden Objekten krank, Tage aufteilen.</t>
        </is>
      </c>
    </row>
    <row r="10" ht="28" customHeight="1">
      <c r="B10" s="3" t="inlineStr">
        <is>
          <t>Farben</t>
        </is>
      </c>
      <c r="C10" s="4" t="inlineStr">
        <is>
          <t>Grau = Monat außerhalb der Beschäftigung (vor Eintritt/nach Austritt). Rot = beide Objekte zusammen mehr Tage als der Monat hat.</t>
        </is>
      </c>
    </row>
    <row r="12">
      <c r="B12" s="2" t="inlineStr">
        <is>
          <t>Einmalig einrichten (Tab Einstellungen)</t>
        </is>
      </c>
      <c r="C12" s="2" t="n"/>
    </row>
    <row r="13" ht="14" customHeight="1">
      <c r="B13" s="3" t="inlineStr">
        <is>
          <t>Grundwerte</t>
        </is>
      </c>
      <c r="C13" s="4" t="inlineStr">
        <is>
          <t>Auswertungsjahr, Objektnamen, Ampelgrenzen, Vollzeit-Wochenstunden.</t>
        </is>
      </c>
    </row>
    <row r="14" ht="28" customHeight="1">
      <c r="B14" s="3" t="inlineStr">
        <is>
          <t>Gesamtstunden mit Krankstunden?</t>
        </is>
      </c>
      <c r="C14" s="4" t="inlineStr">
        <is>
          <t>„Nein“ (Standard), wenn in „Stunden Objekte“ nur tatsächlich gearbeitete Stunden stehen. „Ja“, wenn die Stunden aus dem Dienstplan stammen und Krankstunden bereits enthalten sind.</t>
        </is>
      </c>
    </row>
    <row r="15" ht="28" customHeight="1">
      <c r="B15" s="3" t="inlineStr">
        <is>
          <t>Feiertage</t>
        </is>
      </c>
      <c r="C15" s="4" t="inlineStr">
        <is>
          <t>NRW 2026 sind eingetragen. Sie werden nur bei Einstellung „Mo–Fr“ abgezogen; bei „7 Tage“ zählt jeder Kalendertag.</t>
        </is>
      </c>
    </row>
    <row r="17">
      <c r="B17" s="2" t="inlineStr">
        <is>
          <t>Die Auswertungen (alles automatisch)</t>
        </is>
      </c>
      <c r="C17" s="2" t="n"/>
    </row>
    <row r="18" ht="14" customHeight="1">
      <c r="B18" s="3" t="inlineStr">
        <is>
          <t>Krankenquote Objekte</t>
        </is>
      </c>
      <c r="C18" s="4" t="inlineStr">
        <is>
          <t>Je Monat und Objekt: Gesamtstunden, Krankstunden, Quote, Krankheitstage, Anzahl kranker MA; Liniendiagramm.</t>
        </is>
      </c>
    </row>
    <row r="19" ht="28" customHeight="1">
      <c r="B19" s="3" t="inlineStr">
        <is>
          <t>Jahreskumulierung</t>
        </is>
      </c>
      <c r="C19" s="4" t="inlineStr">
        <is>
          <t>Im Tab „Krankenquote Objekte“ unter der Monatstabelle: Gesamtstunden, Krankstunden und Quote kumuliert von Januar bis zum jeweiligen Monat (je Objekt und gesamt), mit Liniendiagramm.</t>
        </is>
      </c>
    </row>
    <row r="20" ht="28" customHeight="1">
      <c r="B20" s="3" t="inlineStr">
        <is>
          <t>KQuote Mitarbeiter</t>
        </is>
      </c>
      <c r="C20" s="4" t="inlineStr">
        <is>
          <t>Je Person: Soll- und Ist-Stunden, Krankstunden, Krankheitstage je Objekt, Quote (Soll, Info), Quote (Ist), Rang und Ampel auf Basis Ist. Kennzahlen, Kuchendiagramm Bewertung, Top 10.</t>
        </is>
      </c>
    </row>
    <row r="21" ht="14" customHeight="1">
      <c r="B21" s="3" t="inlineStr">
        <is>
          <t>Auswertung Objekte</t>
        </is>
      </c>
      <c r="C21" s="4" t="inlineStr">
        <is>
          <t>Jahresvergleich beider Objekte mit Kuchendiagrammen (Krankstunden, Gesamtstunden) und Monatsdiagramm.</t>
        </is>
      </c>
    </row>
    <row r="22" ht="14" customHeight="1">
      <c r="B22" s="3" t="inlineStr">
        <is>
          <t>Stundenauswertung</t>
        </is>
      </c>
      <c r="C22" s="4" t="inlineStr">
        <is>
          <t>Krankstunden je Mitarbeiter und Monat mit Sollstunden und Quote.</t>
        </is>
      </c>
    </row>
    <row r="23" ht="14" customHeight="1">
      <c r="B23" s="3" t="inlineStr">
        <is>
          <t>Mitarbeiter (Fluktuation)</t>
        </is>
      </c>
      <c r="C23" s="4" t="inlineStr">
        <is>
          <t>Eintritte, Austritte, Bestand je Monat, Fluktuationsquote.</t>
        </is>
      </c>
    </row>
    <row r="25">
      <c r="B25" s="2" t="inlineStr">
        <is>
          <t>Formeln</t>
        </is>
      </c>
      <c r="C25" s="2" t="n"/>
    </row>
    <row r="26" ht="28" customHeight="1">
      <c r="B26" s="3" t="inlineStr">
        <is>
          <t>Tage zählen</t>
        </is>
      </c>
      <c r="C26" s="4" t="inlineStr">
        <is>
          <t>Wirkt nur auf die Sollstunden je Mitarbeiter: „7 Tage“ = jeder Kalendertag im Beschäftigungszeitraum × Std./Tag, „Mo–Fr“ = nur Werktage ohne Feiertage. Krankheitstage trägst du selbst ein.</t>
        </is>
      </c>
    </row>
    <row r="27" ht="14" customHeight="1">
      <c r="B27" s="3" t="inlineStr">
        <is>
          <t>Krankstunden</t>
        </is>
      </c>
      <c r="C27" s="4" t="inlineStr">
        <is>
          <t>Krankheitstage × Std./Tag.</t>
        </is>
      </c>
    </row>
    <row r="28" ht="14" customHeight="1">
      <c r="B28" s="3" t="inlineStr">
        <is>
          <t>Quote je Objekt</t>
        </is>
      </c>
      <c r="C28" s="4" t="inlineStr">
        <is>
          <t>Krankstunden ÷ (Gesamtstunden + Krankstunden). Bei Einstellung „Ja“: Krankstunden ÷ Gesamtstunden.</t>
        </is>
      </c>
    </row>
    <row r="29" ht="28" customHeight="1">
      <c r="B29" s="3" t="inlineStr">
        <is>
          <t>Quote je Mitarbeiter</t>
        </is>
      </c>
      <c r="C29" s="4" t="inlineStr">
        <is>
          <t>Maßgeblich (Rang, Ampel): Krankstunden ÷ (Ist-Stunden + Krankstunden); bei Einstellung „Ja“ Krankstunden ÷ Ist-Stunden. Zur Info zusätzlich Quote (Soll) = Krankstunden ÷ Sollstunden.</t>
        </is>
      </c>
    </row>
    <row r="30" ht="14" customHeight="1">
      <c r="B30" s="3" t="inlineStr">
        <is>
          <t>Ampel</t>
        </is>
      </c>
      <c r="C30" s="4" t="inlineStr">
        <is>
          <t>unauffällig ≤ Schwelle 1, auffällig ≤ Schwelle 2, darüber kritisch.</t>
        </is>
      </c>
    </row>
    <row r="31" ht="14" customHeight="1">
      <c r="B31" s="3" t="inlineStr">
        <is>
          <t>Fluktuationsquote</t>
        </is>
      </c>
      <c r="C31" s="4" t="inlineStr">
        <is>
          <t>Austritte ÷ Ø Personalbestand (Jahresbeginn + 12 Monatsenden).</t>
        </is>
      </c>
    </row>
    <row r="32" ht="14" customHeight="1">
      <c r="B32" s="3" t="inlineStr">
        <is>
          <t>Ausfall VZ-Stellen</t>
        </is>
      </c>
      <c r="C32" s="4" t="inlineStr">
        <is>
          <t>Krankstunden ÷ Jahres-Sollstunden einer Vollzeitkraft.</t>
        </is>
      </c>
    </row>
    <row r="34">
      <c r="B34" s="2" t="inlineStr">
        <is>
          <t>Hinweise</t>
        </is>
      </c>
      <c r="C34" s="2" t="n"/>
    </row>
    <row r="35" ht="14" customHeight="1">
      <c r="B35" s="3" t="inlineStr">
        <is>
          <t>Kapazität</t>
        </is>
      </c>
      <c r="C35" s="4" t="inlineStr">
        <is>
          <t>200 Mitarbeiter.</t>
        </is>
      </c>
    </row>
    <row r="36" ht="28" customHeight="1">
      <c r="B36" s="3" t="inlineStr">
        <is>
          <t>Datenschutz</t>
        </is>
      </c>
      <c r="C36" s="4" t="inlineStr">
        <is>
          <t>Gesundheitsdaten sind besonders schützenswert (Art. 9 DSGVO). Zugriff nur für Berechtigte, Datei mit Passwort schützen.</t>
        </is>
      </c>
    </row>
    <row r="38">
      <c r="B38" s="2" t="inlineStr">
        <is>
          <t>Farblegende</t>
        </is>
      </c>
      <c r="C38" s="2" t="n"/>
    </row>
    <row r="39">
      <c r="B39" s="5" t="inlineStr">
        <is>
          <t>123</t>
        </is>
      </c>
      <c r="C39" s="6" t="inlineStr">
        <is>
          <t>Eingabe (blaue Schrift / gelbes Feld)</t>
        </is>
      </c>
    </row>
    <row r="40">
      <c r="B40" s="7" t="inlineStr">
        <is>
          <t>123</t>
        </is>
      </c>
      <c r="C40" s="6" t="inlineStr">
        <is>
          <t>Verknüpfung aus anderem Tab (grün)</t>
        </is>
      </c>
    </row>
    <row r="41">
      <c r="B41" s="8" t="inlineStr">
        <is>
          <t>123</t>
        </is>
      </c>
      <c r="C41" s="6" t="inlineStr">
        <is>
          <t>Automatisch berechnet – nicht überschreiben</t>
        </is>
      </c>
    </row>
    <row r="42">
      <c r="B42" s="9" t="inlineStr">
        <is>
          <t>unauffällig</t>
        </is>
      </c>
      <c r="C42" s="6" t="inlineStr">
        <is>
          <t>Ampel grün</t>
        </is>
      </c>
    </row>
    <row r="43">
      <c r="B43" s="10" t="inlineStr">
        <is>
          <t>auffällig</t>
        </is>
      </c>
      <c r="C43" s="6" t="inlineStr">
        <is>
          <t>Ampel gelb / offen</t>
        </is>
      </c>
    </row>
    <row r="44">
      <c r="B44" s="11" t="inlineStr">
        <is>
          <t>kritisch</t>
        </is>
      </c>
      <c r="C44" s="6" t="inlineStr">
        <is>
          <t>Ampel rot / Fehler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FC000"/>
    <outlinePr summaryBelow="1" summaryRight="1"/>
    <pageSetUpPr/>
  </sheetPr>
  <dimension ref="A1:G33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0" customWidth="1" min="2" max="2"/>
    <col width="13" customWidth="1" min="3" max="3"/>
    <col width="60" customWidth="1" min="4" max="4"/>
    <col width="26" customWidth="1" min="5" max="5"/>
    <col width="12" customWidth="1" min="6" max="6"/>
  </cols>
  <sheetData>
    <row r="1">
      <c r="A1" s="1" t="inlineStr">
        <is>
          <t>Einstellungen</t>
        </is>
      </c>
      <c r="G1" s="12" t="inlineStr">
        <is>
          <t>→ Erklärung</t>
        </is>
      </c>
    </row>
    <row r="2" ht="28" customHeight="1">
      <c r="A2" s="13" t="inlineStr">
        <is>
          <t>Zentrale Vorgaben – gelbe Felder anpassen. Alle Tabs beziehen sich auf diese Werte.</t>
        </is>
      </c>
    </row>
    <row r="3">
      <c r="B3" s="14" t="inlineStr">
        <is>
          <t>Auswertungsjahr</t>
        </is>
      </c>
      <c r="C3" s="15" t="n">
        <v>2026</v>
      </c>
      <c r="D3" s="16" t="inlineStr">
        <is>
          <t>Jahr, für das alle Auswertungen rechnen.</t>
        </is>
      </c>
    </row>
    <row r="4">
      <c r="B4" s="14" t="inlineStr">
        <is>
          <t>Name Objekt 1</t>
        </is>
      </c>
      <c r="C4" s="5" t="inlineStr">
        <is>
          <t>Objekt 1</t>
        </is>
      </c>
      <c r="D4" s="16" t="inlineStr">
        <is>
          <t>Erscheint in allen Auswahllisten und Auswertungen.</t>
        </is>
      </c>
    </row>
    <row r="5">
      <c r="B5" s="14" t="inlineStr">
        <is>
          <t>Name Objekt 2</t>
        </is>
      </c>
      <c r="C5" s="5" t="inlineStr">
        <is>
          <t>Objekt 2</t>
        </is>
      </c>
      <c r="D5" s="16" t="inlineStr"/>
    </row>
    <row r="6">
      <c r="B6" s="14" t="inlineStr">
        <is>
          <t>Vollzeit-Wochenstunden</t>
        </is>
      </c>
      <c r="C6" s="17" t="n">
        <v>40</v>
      </c>
      <c r="D6" s="16" t="inlineStr">
        <is>
          <t>Für Ausfall in Vollzeitstellen.</t>
        </is>
      </c>
    </row>
    <row r="7">
      <c r="B7" s="14" t="inlineStr">
        <is>
          <t>Ampel: unauffällig bis</t>
        </is>
      </c>
      <c r="C7" s="18" t="n">
        <v>0.03</v>
      </c>
      <c r="D7" s="16" t="inlineStr">
        <is>
          <t>Krankenquote bis zu diesem Wert = grün.</t>
        </is>
      </c>
    </row>
    <row r="8">
      <c r="B8" s="14" t="inlineStr">
        <is>
          <t>Ampel: auffällig bis</t>
        </is>
      </c>
      <c r="C8" s="18" t="n">
        <v>0.06</v>
      </c>
      <c r="D8" s="16" t="inlineStr">
        <is>
          <t>Bis zu diesem Wert = gelb, darüber = rot (kritisch).</t>
        </is>
      </c>
    </row>
    <row r="9">
      <c r="B9" s="14" t="inlineStr">
        <is>
          <t>Stichtag</t>
        </is>
      </c>
      <c r="C9" s="19">
        <f>MIN(TODAY(),DATE(C3,12,31))</f>
        <v/>
      </c>
      <c r="D9" s="16" t="inlineStr">
        <is>
          <t>Bis zu diesem Tag werden die Sollstunden je Mitarbeiter gerechnet.</t>
        </is>
      </c>
    </row>
    <row r="10">
      <c r="B10" s="14" t="inlineStr">
        <is>
          <t>Gesamtstunden enthalten Krankstunden?</t>
        </is>
      </c>
      <c r="C10" s="5" t="inlineStr">
        <is>
          <t>Nein</t>
        </is>
      </c>
      <c r="D10" s="16" t="inlineStr">
        <is>
          <t>Nein = in „Stunden Objekte“ stehen nur geleistete Stunden. Ja = Krankstunden sind in den Gesamtstunden schon enthalten.</t>
        </is>
      </c>
    </row>
    <row r="11">
      <c r="B11" s="20" t="inlineStr">
        <is>
          <t>Tage zählen</t>
        </is>
      </c>
      <c r="C11" s="5" t="inlineStr">
        <is>
          <t>7 Tage</t>
        </is>
      </c>
      <c r="D11" s="16" t="inlineStr">
        <is>
          <t>Nur für die Sollstunden je Mitarbeiter: 7 Tage = alle Kalendertage, Mo–Fr = Werktage ohne Feiertage. Std. je Tag = Wochenstunden ÷ 5 (40 Std. = 8 Std.).</t>
        </is>
      </c>
    </row>
    <row r="12" ht="30" customHeight="1">
      <c r="B12" s="21" t="inlineStr">
        <is>
          <t>Monat</t>
        </is>
      </c>
      <c r="C12" s="21" t="inlineStr">
        <is>
          <t>Zähltage
(auto)</t>
        </is>
      </c>
      <c r="E12" s="21" t="inlineStr">
        <is>
          <t>Feiertag</t>
        </is>
      </c>
      <c r="F12" s="21" t="inlineStr">
        <is>
          <t>Datum</t>
        </is>
      </c>
    </row>
    <row r="13">
      <c r="B13" s="6" t="inlineStr">
        <is>
          <t>Januar</t>
        </is>
      </c>
      <c r="C13" s="22">
        <f>IF(Einstellungen!$C$11="7 Tage",MAX(0,(DATE($C$3,2,0))-(DATE($C$3,1,1))+1),MAX(0,NETWORKDAYS(DATE($C$3,1,1),DATE($C$3,2,0),Einstellungen!$F$13:$F$32)))</f>
        <v/>
      </c>
      <c r="E13" s="23" t="inlineStr">
        <is>
          <t>Neujahr</t>
        </is>
      </c>
      <c r="F13" s="19" t="n">
        <v>46023</v>
      </c>
    </row>
    <row r="14">
      <c r="B14" s="6" t="inlineStr">
        <is>
          <t>Februar</t>
        </is>
      </c>
      <c r="C14" s="22">
        <f>IF(Einstellungen!$C$11="7 Tage",MAX(0,(DATE($C$3,3,0))-(DATE($C$3,2,1))+1),MAX(0,NETWORKDAYS(DATE($C$3,2,1),DATE($C$3,3,0),Einstellungen!$F$13:$F$32)))</f>
        <v/>
      </c>
      <c r="E14" s="23" t="inlineStr">
        <is>
          <t>Karfreitag</t>
        </is>
      </c>
      <c r="F14" s="19" t="n">
        <v>46115</v>
      </c>
    </row>
    <row r="15">
      <c r="B15" s="6" t="inlineStr">
        <is>
          <t>März</t>
        </is>
      </c>
      <c r="C15" s="22">
        <f>IF(Einstellungen!$C$11="7 Tage",MAX(0,(DATE($C$3,4,0))-(DATE($C$3,3,1))+1),MAX(0,NETWORKDAYS(DATE($C$3,3,1),DATE($C$3,4,0),Einstellungen!$F$13:$F$32)))</f>
        <v/>
      </c>
      <c r="E15" s="23" t="inlineStr">
        <is>
          <t>Ostermontag</t>
        </is>
      </c>
      <c r="F15" s="19" t="n">
        <v>46118</v>
      </c>
    </row>
    <row r="16">
      <c r="B16" s="6" t="inlineStr">
        <is>
          <t>April</t>
        </is>
      </c>
      <c r="C16" s="22">
        <f>IF(Einstellungen!$C$11="7 Tage",MAX(0,(DATE($C$3,5,0))-(DATE($C$3,4,1))+1),MAX(0,NETWORKDAYS(DATE($C$3,4,1),DATE($C$3,5,0),Einstellungen!$F$13:$F$32)))</f>
        <v/>
      </c>
      <c r="E16" s="23" t="inlineStr">
        <is>
          <t>Tag der Arbeit</t>
        </is>
      </c>
      <c r="F16" s="19" t="n">
        <v>46143</v>
      </c>
    </row>
    <row r="17">
      <c r="B17" s="6" t="inlineStr">
        <is>
          <t>Mai</t>
        </is>
      </c>
      <c r="C17" s="22">
        <f>IF(Einstellungen!$C$11="7 Tage",MAX(0,(DATE($C$3,6,0))-(DATE($C$3,5,1))+1),MAX(0,NETWORKDAYS(DATE($C$3,5,1),DATE($C$3,6,0),Einstellungen!$F$13:$F$32)))</f>
        <v/>
      </c>
      <c r="E17" s="23" t="inlineStr">
        <is>
          <t>Christi Himmelfahrt</t>
        </is>
      </c>
      <c r="F17" s="19" t="n">
        <v>46156</v>
      </c>
    </row>
    <row r="18">
      <c r="B18" s="6" t="inlineStr">
        <is>
          <t>Juni</t>
        </is>
      </c>
      <c r="C18" s="22">
        <f>IF(Einstellungen!$C$11="7 Tage",MAX(0,(DATE($C$3,7,0))-(DATE($C$3,6,1))+1),MAX(0,NETWORKDAYS(DATE($C$3,6,1),DATE($C$3,7,0),Einstellungen!$F$13:$F$32)))</f>
        <v/>
      </c>
      <c r="E18" s="23" t="inlineStr">
        <is>
          <t>Pfingstmontag</t>
        </is>
      </c>
      <c r="F18" s="19" t="n">
        <v>46167</v>
      </c>
    </row>
    <row r="19">
      <c r="B19" s="6" t="inlineStr">
        <is>
          <t>Juli</t>
        </is>
      </c>
      <c r="C19" s="22">
        <f>IF(Einstellungen!$C$11="7 Tage",MAX(0,(DATE($C$3,8,0))-(DATE($C$3,7,1))+1),MAX(0,NETWORKDAYS(DATE($C$3,7,1),DATE($C$3,8,0),Einstellungen!$F$13:$F$32)))</f>
        <v/>
      </c>
      <c r="E19" s="23" t="inlineStr">
        <is>
          <t>Fronleichnam</t>
        </is>
      </c>
      <c r="F19" s="19" t="n">
        <v>46177</v>
      </c>
    </row>
    <row r="20">
      <c r="B20" s="6" t="inlineStr">
        <is>
          <t>August</t>
        </is>
      </c>
      <c r="C20" s="22">
        <f>IF(Einstellungen!$C$11="7 Tage",MAX(0,(DATE($C$3,9,0))-(DATE($C$3,8,1))+1),MAX(0,NETWORKDAYS(DATE($C$3,8,1),DATE($C$3,9,0),Einstellungen!$F$13:$F$32)))</f>
        <v/>
      </c>
      <c r="E20" s="23" t="inlineStr">
        <is>
          <t>Tag der Deutschen Einheit</t>
        </is>
      </c>
      <c r="F20" s="19" t="n">
        <v>46298</v>
      </c>
    </row>
    <row r="21">
      <c r="B21" s="6" t="inlineStr">
        <is>
          <t>September</t>
        </is>
      </c>
      <c r="C21" s="22">
        <f>IF(Einstellungen!$C$11="7 Tage",MAX(0,(DATE($C$3,10,0))-(DATE($C$3,9,1))+1),MAX(0,NETWORKDAYS(DATE($C$3,9,1),DATE($C$3,10,0),Einstellungen!$F$13:$F$32)))</f>
        <v/>
      </c>
      <c r="E21" s="23" t="inlineStr">
        <is>
          <t>Allerheiligen</t>
        </is>
      </c>
      <c r="F21" s="19" t="n">
        <v>46327</v>
      </c>
    </row>
    <row r="22">
      <c r="B22" s="6" t="inlineStr">
        <is>
          <t>Oktober</t>
        </is>
      </c>
      <c r="C22" s="22">
        <f>IF(Einstellungen!$C$11="7 Tage",MAX(0,(DATE($C$3,11,0))-(DATE($C$3,10,1))+1),MAX(0,NETWORKDAYS(DATE($C$3,10,1),DATE($C$3,11,0),Einstellungen!$F$13:$F$32)))</f>
        <v/>
      </c>
      <c r="E22" s="23" t="inlineStr">
        <is>
          <t>1. Weihnachtstag</t>
        </is>
      </c>
      <c r="F22" s="19" t="n">
        <v>46381</v>
      </c>
    </row>
    <row r="23">
      <c r="B23" s="6" t="inlineStr">
        <is>
          <t>November</t>
        </is>
      </c>
      <c r="C23" s="22">
        <f>IF(Einstellungen!$C$11="7 Tage",MAX(0,(DATE($C$3,12,0))-(DATE($C$3,11,1))+1),MAX(0,NETWORKDAYS(DATE($C$3,11,1),DATE($C$3,12,0),Einstellungen!$F$13:$F$32)))</f>
        <v/>
      </c>
      <c r="E23" s="23" t="inlineStr">
        <is>
          <t>2. Weihnachtstag</t>
        </is>
      </c>
      <c r="F23" s="19" t="n">
        <v>46382</v>
      </c>
    </row>
    <row r="24">
      <c r="B24" s="6" t="inlineStr">
        <is>
          <t>Dezember</t>
        </is>
      </c>
      <c r="C24" s="22">
        <f>IF(Einstellungen!$C$11="7 Tage",MAX(0,(DATE($C$3,13,0))-(DATE($C$3,12,1))+1),MAX(0,NETWORKDAYS(DATE($C$3,12,1),DATE($C$3,13,0),Einstellungen!$F$13:$F$32)))</f>
        <v/>
      </c>
      <c r="E24" s="23" t="n"/>
      <c r="F24" s="19" t="n"/>
    </row>
    <row r="25">
      <c r="B25" s="24" t="inlineStr">
        <is>
          <t>Summe</t>
        </is>
      </c>
      <c r="C25" s="25">
        <f>SUM(C13:C24)</f>
        <v/>
      </c>
      <c r="E25" s="23" t="n"/>
      <c r="F25" s="19" t="n"/>
    </row>
    <row r="26">
      <c r="E26" s="23" t="n"/>
      <c r="F26" s="19" t="n"/>
    </row>
    <row r="27">
      <c r="E27" s="23" t="n"/>
      <c r="F27" s="19" t="n"/>
    </row>
    <row r="28">
      <c r="E28" s="23" t="n"/>
      <c r="F28" s="19" t="n"/>
    </row>
    <row r="29">
      <c r="E29" s="23" t="n"/>
      <c r="F29" s="19" t="n"/>
    </row>
    <row r="30">
      <c r="E30" s="23" t="n"/>
      <c r="F30" s="19" t="n"/>
    </row>
    <row r="31">
      <c r="E31" s="23" t="n"/>
      <c r="F31" s="19" t="n"/>
    </row>
    <row r="32">
      <c r="E32" s="23" t="n"/>
      <c r="F32" s="19" t="n"/>
    </row>
    <row r="33">
      <c r="E33" s="16" t="inlineStr">
        <is>
          <t>Feiertage NRW 2026 – für ein anderes Jahr/Bundesland anpassen. Werden nur bei Einstellung „Mo–Fr“ abgezogen.</t>
        </is>
      </c>
    </row>
  </sheetData>
  <mergeCells count="1">
    <mergeCell ref="A2:F2"/>
  </mergeCells>
  <dataValidations count="2">
    <dataValidation sqref="C10" showDropDown="0" showInputMessage="0" showErrorMessage="0" allowBlank="0" type="list">
      <formula1>"Ja,Nein"</formula1>
    </dataValidation>
    <dataValidation sqref="C11" showDropDown="0" showInputMessage="0" showErrorMessage="0" allowBlank="0" type="list">
      <formula1>"7 Tage,Mo–Fr"</formula1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FFC000"/>
    <outlinePr summaryBelow="1" summaryRight="1"/>
    <pageSetUpPr/>
  </sheetPr>
  <dimension ref="A1:N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1" customWidth="1" min="3" max="3"/>
    <col width="11" customWidth="1" min="4" max="4"/>
    <col width="9" customWidth="1" min="5" max="5"/>
    <col width="8" customWidth="1" min="6" max="6"/>
    <col width="13" customWidth="1" min="7" max="7"/>
    <col width="11" customWidth="1" min="8" max="8"/>
    <col width="3" customWidth="1" min="9" max="9"/>
    <col width="12" customWidth="1" min="10" max="10"/>
    <col width="10" customWidth="1" min="11" max="11"/>
    <col width="10" customWidth="1" min="12" max="12"/>
    <col width="11" customWidth="1" min="13" max="13"/>
    <col width="28" customWidth="1" min="14" max="14"/>
  </cols>
  <sheetData>
    <row r="1">
      <c r="A1" s="1" t="inlineStr">
        <is>
          <t>Mitarbeiter – Stammdaten &amp; Fluktuation</t>
        </is>
      </c>
      <c r="N1" s="12" t="inlineStr">
        <is>
          <t>→ Erklärung</t>
        </is>
      </c>
    </row>
    <row r="2" ht="28" customHeight="1">
      <c r="A2" s="13" t="inlineStr">
        <is>
          <t>Jede Person nur EINMAL eintragen. Bei Austritt Datum eintragen – Zeile NICHT löschen. Neue Mitarbeiter unten anfügen.</t>
        </is>
      </c>
    </row>
    <row r="4">
      <c r="J4" s="2" t="inlineStr">
        <is>
          <t>Fluktuation im Auswertungsjahr</t>
        </is>
      </c>
      <c r="K4" s="2" t="n"/>
      <c r="L4" s="2" t="n"/>
      <c r="M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Eintritt</t>
        </is>
      </c>
      <c r="D5" s="21" t="inlineStr">
        <is>
          <t>Austritt</t>
        </is>
      </c>
      <c r="E5" s="21" t="inlineStr">
        <is>
          <t>Wochen-
stunden</t>
        </is>
      </c>
      <c r="F5" s="21" t="inlineStr">
        <is>
          <t>Std./Tag</t>
        </is>
      </c>
      <c r="G5" s="21" t="inlineStr">
        <is>
          <t>Status</t>
        </is>
      </c>
      <c r="H5" s="21" t="inlineStr">
        <is>
          <t>Sollstunden
bis Stichtag</t>
        </is>
      </c>
      <c r="J5" s="21" t="inlineStr">
        <is>
          <t>Monat</t>
        </is>
      </c>
      <c r="K5" s="21" t="inlineStr">
        <is>
          <t>Eintritte</t>
        </is>
      </c>
      <c r="L5" s="21" t="inlineStr">
        <is>
          <t>Austritte</t>
        </is>
      </c>
      <c r="M5" s="21" t="inlineStr">
        <is>
          <t>Bestand
Monatsende</t>
        </is>
      </c>
    </row>
    <row r="6">
      <c r="A6" s="26" t="n">
        <v>1001</v>
      </c>
      <c r="B6" s="23" t="inlineStr">
        <is>
          <t>Mitarbeiter 001</t>
        </is>
      </c>
      <c r="C6" s="27" t="n">
        <v>46023</v>
      </c>
      <c r="D6" s="27" t="n"/>
      <c r="E6" s="28" t="n">
        <v>40</v>
      </c>
      <c r="F6" s="29">
        <f>IF(E6="","",E6/5)</f>
        <v/>
      </c>
      <c r="G6" s="30">
        <f>IF(B6="","",IF(C6&gt;Einstellungen!$C$9,"künftig",IF(AND(D6&lt;&gt;"",D6&lt;Einstellungen!$C$9),"ausgeschieden","aktiv")))</f>
        <v/>
      </c>
      <c r="H6" s="31">
        <f>IF(OR(B6="",E6=""),"",IF(Einstellungen!$C$11="7 Tage",MAX(0,(MIN(IF(D6="",DATE(Einstellungen!$C$3,12,31),D6),Einstellungen!$C$9))-(MAX(C6,DATE(Einstellungen!$C$3,1,1)))+1),MAX(0,NETWORKDAYS(MAX(C6,DATE(Einstellungen!$C$3,1,1)),MIN(IF(D6="",DATE(Einstellungen!$C$3,12,31),D6),Einstellungen!$C$9),Einstellungen!$F$13:$F$32)))*F6)</f>
        <v/>
      </c>
      <c r="J6" s="32">
        <f>DATE(Einstellungen!$C$3,1,1)-1</f>
        <v/>
      </c>
      <c r="K6" s="33" t="inlineStr">
        <is>
          <t>Bestand Jahresbeginn →</t>
        </is>
      </c>
      <c r="L6" s="6" t="n"/>
      <c r="M6" s="34">
        <f>COUNTIFS($C$6:$C$205,"&lt;="&amp;J6,$D$6:$D$205,"&gt;"&amp;J6)+COUNTIFS($C$6:$C$205,"&lt;="&amp;J6,$D$6:$D$205,"")</f>
        <v/>
      </c>
    </row>
    <row r="7">
      <c r="A7" s="26" t="n">
        <v>1002</v>
      </c>
      <c r="B7" s="23" t="inlineStr">
        <is>
          <t>Mitarbeiter 002</t>
        </is>
      </c>
      <c r="C7" s="27" t="n">
        <v>46023</v>
      </c>
      <c r="D7" s="27" t="n"/>
      <c r="E7" s="28" t="n">
        <v>20</v>
      </c>
      <c r="F7" s="29">
        <f>IF(E7="","",E7/5)</f>
        <v/>
      </c>
      <c r="G7" s="30">
        <f>IF(B7="","",IF(C7&gt;Einstellungen!$C$9,"künftig",IF(AND(D7&lt;&gt;"",D7&lt;Einstellungen!$C$9),"ausgeschieden","aktiv")))</f>
        <v/>
      </c>
      <c r="H7" s="31">
        <f>IF(OR(B7="",E7=""),"",IF(Einstellungen!$C$11="7 Tage",MAX(0,(MIN(IF(D7="",DATE(Einstellungen!$C$3,12,31),D7),Einstellungen!$C$9))-(MAX(C7,DATE(Einstellungen!$C$3,1,1)))+1),MAX(0,NETWORKDAYS(MAX(C7,DATE(Einstellungen!$C$3,1,1)),MIN(IF(D7="",DATE(Einstellungen!$C$3,12,31),D7),Einstellungen!$C$9),Einstellungen!$F$13:$F$32)))*F7)</f>
        <v/>
      </c>
      <c r="J7" s="35">
        <f>DATE(Einstellungen!$C$3,1,1)</f>
        <v/>
      </c>
      <c r="K7" s="36">
        <f>COUNTIFS($C$6:$C$205,"&gt;="&amp;J7,$C$6:$C$205,"&lt;="&amp;DATE(Einstellungen!$C$3,2,0))</f>
        <v/>
      </c>
      <c r="L7" s="36">
        <f>COUNTIFS($D$6:$D$205,"&gt;="&amp;J7,$D$6:$D$205,"&lt;="&amp;DATE(Einstellungen!$C$3,2,0))</f>
        <v/>
      </c>
      <c r="M7" s="36">
        <f>COUNTIFS($C$6:$C$205,"&lt;="&amp;DATE(Einstellungen!$C$3,2,0),$D$6:$D$205,"&gt;"&amp;DATE(Einstellungen!$C$3,2,0))+COUNTIFS($C$6:$C$205,"&lt;="&amp;DATE(Einstellungen!$C$3,2,0),$D$6:$D$205,"")</f>
        <v/>
      </c>
    </row>
    <row r="8">
      <c r="A8" s="26" t="n">
        <v>1003</v>
      </c>
      <c r="B8" s="23" t="inlineStr">
        <is>
          <t>Mitarbeiter 003</t>
        </is>
      </c>
      <c r="C8" s="27" t="n">
        <v>46023</v>
      </c>
      <c r="D8" s="27" t="n">
        <v>46293</v>
      </c>
      <c r="E8" s="28" t="n">
        <v>40</v>
      </c>
      <c r="F8" s="29">
        <f>IF(E8="","",E8/5)</f>
        <v/>
      </c>
      <c r="G8" s="30">
        <f>IF(B8="","",IF(C8&gt;Einstellungen!$C$9,"künftig",IF(AND(D8&lt;&gt;"",D8&lt;Einstellungen!$C$9),"ausgeschieden","aktiv")))</f>
        <v/>
      </c>
      <c r="H8" s="31">
        <f>IF(OR(B8="",E8=""),"",IF(Einstellungen!$C$11="7 Tage",MAX(0,(MIN(IF(D8="",DATE(Einstellungen!$C$3,12,31),D8),Einstellungen!$C$9))-(MAX(C8,DATE(Einstellungen!$C$3,1,1)))+1),MAX(0,NETWORKDAYS(MAX(C8,DATE(Einstellungen!$C$3,1,1)),MIN(IF(D8="",DATE(Einstellungen!$C$3,12,31),D8),Einstellungen!$C$9),Einstellungen!$F$13:$F$32)))*F8)</f>
        <v/>
      </c>
      <c r="J8" s="35">
        <f>DATE(Einstellungen!$C$3,2,1)</f>
        <v/>
      </c>
      <c r="K8" s="36">
        <f>COUNTIFS($C$6:$C$205,"&gt;="&amp;J8,$C$6:$C$205,"&lt;="&amp;DATE(Einstellungen!$C$3,3,0))</f>
        <v/>
      </c>
      <c r="L8" s="36">
        <f>COUNTIFS($D$6:$D$205,"&gt;="&amp;J8,$D$6:$D$205,"&lt;="&amp;DATE(Einstellungen!$C$3,3,0))</f>
        <v/>
      </c>
      <c r="M8" s="36">
        <f>COUNTIFS($C$6:$C$205,"&lt;="&amp;DATE(Einstellungen!$C$3,3,0),$D$6:$D$205,"&gt;"&amp;DATE(Einstellungen!$C$3,3,0))+COUNTIFS($C$6:$C$205,"&lt;="&amp;DATE(Einstellungen!$C$3,3,0),$D$6:$D$205,"")</f>
        <v/>
      </c>
    </row>
    <row r="9">
      <c r="A9" s="26" t="n">
        <v>1004</v>
      </c>
      <c r="B9" s="23" t="inlineStr">
        <is>
          <t>Mitarbeiter 004</t>
        </is>
      </c>
      <c r="C9" s="27" t="n">
        <v>46023</v>
      </c>
      <c r="D9" s="27" t="n"/>
      <c r="E9" s="28" t="n">
        <v>40</v>
      </c>
      <c r="F9" s="29">
        <f>IF(E9="","",E9/5)</f>
        <v/>
      </c>
      <c r="G9" s="30">
        <f>IF(B9="","",IF(C9&gt;Einstellungen!$C$9,"künftig",IF(AND(D9&lt;&gt;"",D9&lt;Einstellungen!$C$9),"ausgeschieden","aktiv")))</f>
        <v/>
      </c>
      <c r="H9" s="31">
        <f>IF(OR(B9="",E9=""),"",IF(Einstellungen!$C$11="7 Tage",MAX(0,(MIN(IF(D9="",DATE(Einstellungen!$C$3,12,31),D9),Einstellungen!$C$9))-(MAX(C9,DATE(Einstellungen!$C$3,1,1)))+1),MAX(0,NETWORKDAYS(MAX(C9,DATE(Einstellungen!$C$3,1,1)),MIN(IF(D9="",DATE(Einstellungen!$C$3,12,31),D9),Einstellungen!$C$9),Einstellungen!$F$13:$F$32)))*F9)</f>
        <v/>
      </c>
      <c r="J9" s="35">
        <f>DATE(Einstellungen!$C$3,3,1)</f>
        <v/>
      </c>
      <c r="K9" s="36">
        <f>COUNTIFS($C$6:$C$205,"&gt;="&amp;J9,$C$6:$C$205,"&lt;="&amp;DATE(Einstellungen!$C$3,4,0))</f>
        <v/>
      </c>
      <c r="L9" s="36">
        <f>COUNTIFS($D$6:$D$205,"&gt;="&amp;J9,$D$6:$D$205,"&lt;="&amp;DATE(Einstellungen!$C$3,4,0))</f>
        <v/>
      </c>
      <c r="M9" s="36">
        <f>COUNTIFS($C$6:$C$205,"&lt;="&amp;DATE(Einstellungen!$C$3,4,0),$D$6:$D$205,"&gt;"&amp;DATE(Einstellungen!$C$3,4,0))+COUNTIFS($C$6:$C$205,"&lt;="&amp;DATE(Einstellungen!$C$3,4,0),$D$6:$D$205,"")</f>
        <v/>
      </c>
    </row>
    <row r="10">
      <c r="A10" s="26" t="n">
        <v>1005</v>
      </c>
      <c r="B10" s="23" t="inlineStr">
        <is>
          <t>Mitarbeiter 005</t>
        </is>
      </c>
      <c r="C10" s="27" t="n">
        <v>46023</v>
      </c>
      <c r="D10" s="27" t="n">
        <v>46293</v>
      </c>
      <c r="E10" s="28" t="n">
        <v>40</v>
      </c>
      <c r="F10" s="29">
        <f>IF(E10="","",E10/5)</f>
        <v/>
      </c>
      <c r="G10" s="30">
        <f>IF(B10="","",IF(C10&gt;Einstellungen!$C$9,"künftig",IF(AND(D10&lt;&gt;"",D10&lt;Einstellungen!$C$9),"ausgeschieden","aktiv")))</f>
        <v/>
      </c>
      <c r="H10" s="31">
        <f>IF(OR(B10="",E10=""),"",IF(Einstellungen!$C$11="7 Tage",MAX(0,(MIN(IF(D10="",DATE(Einstellungen!$C$3,12,31),D10),Einstellungen!$C$9))-(MAX(C10,DATE(Einstellungen!$C$3,1,1)))+1),MAX(0,NETWORKDAYS(MAX(C10,DATE(Einstellungen!$C$3,1,1)),MIN(IF(D10="",DATE(Einstellungen!$C$3,12,31),D10),Einstellungen!$C$9),Einstellungen!$F$13:$F$32)))*F10)</f>
        <v/>
      </c>
      <c r="J10" s="35">
        <f>DATE(Einstellungen!$C$3,4,1)</f>
        <v/>
      </c>
      <c r="K10" s="36">
        <f>COUNTIFS($C$6:$C$205,"&gt;="&amp;J10,$C$6:$C$205,"&lt;="&amp;DATE(Einstellungen!$C$3,5,0))</f>
        <v/>
      </c>
      <c r="L10" s="36">
        <f>COUNTIFS($D$6:$D$205,"&gt;="&amp;J10,$D$6:$D$205,"&lt;="&amp;DATE(Einstellungen!$C$3,5,0))</f>
        <v/>
      </c>
      <c r="M10" s="36">
        <f>COUNTIFS($C$6:$C$205,"&lt;="&amp;DATE(Einstellungen!$C$3,5,0),$D$6:$D$205,"&gt;"&amp;DATE(Einstellungen!$C$3,5,0))+COUNTIFS($C$6:$C$205,"&lt;="&amp;DATE(Einstellungen!$C$3,5,0),$D$6:$D$205,"")</f>
        <v/>
      </c>
    </row>
    <row r="11">
      <c r="A11" s="26" t="n">
        <v>1006</v>
      </c>
      <c r="B11" s="23" t="inlineStr">
        <is>
          <t>Mitarbeiter 006</t>
        </is>
      </c>
      <c r="C11" s="27" t="n">
        <v>46023</v>
      </c>
      <c r="D11" s="27" t="n"/>
      <c r="E11" s="28" t="n">
        <v>40</v>
      </c>
      <c r="F11" s="29">
        <f>IF(E11="","",E11/5)</f>
        <v/>
      </c>
      <c r="G11" s="30">
        <f>IF(B11="","",IF(C11&gt;Einstellungen!$C$9,"künftig",IF(AND(D11&lt;&gt;"",D11&lt;Einstellungen!$C$9),"ausgeschieden","aktiv")))</f>
        <v/>
      </c>
      <c r="H11" s="31">
        <f>IF(OR(B11="",E11=""),"",IF(Einstellungen!$C$11="7 Tage",MAX(0,(MIN(IF(D11="",DATE(Einstellungen!$C$3,12,31),D11),Einstellungen!$C$9))-(MAX(C11,DATE(Einstellungen!$C$3,1,1)))+1),MAX(0,NETWORKDAYS(MAX(C11,DATE(Einstellungen!$C$3,1,1)),MIN(IF(D11="",DATE(Einstellungen!$C$3,12,31),D11),Einstellungen!$C$9),Einstellungen!$F$13:$F$32)))*F11)</f>
        <v/>
      </c>
      <c r="J11" s="35">
        <f>DATE(Einstellungen!$C$3,5,1)</f>
        <v/>
      </c>
      <c r="K11" s="36">
        <f>COUNTIFS($C$6:$C$205,"&gt;="&amp;J11,$C$6:$C$205,"&lt;="&amp;DATE(Einstellungen!$C$3,6,0))</f>
        <v/>
      </c>
      <c r="L11" s="36">
        <f>COUNTIFS($D$6:$D$205,"&gt;="&amp;J11,$D$6:$D$205,"&lt;="&amp;DATE(Einstellungen!$C$3,6,0))</f>
        <v/>
      </c>
      <c r="M11" s="36">
        <f>COUNTIFS($C$6:$C$205,"&lt;="&amp;DATE(Einstellungen!$C$3,6,0),$D$6:$D$205,"&gt;"&amp;DATE(Einstellungen!$C$3,6,0))+COUNTIFS($C$6:$C$205,"&lt;="&amp;DATE(Einstellungen!$C$3,6,0),$D$6:$D$205,"")</f>
        <v/>
      </c>
    </row>
    <row r="12">
      <c r="A12" s="26" t="n">
        <v>1007</v>
      </c>
      <c r="B12" s="23" t="inlineStr">
        <is>
          <t>Mitarbeiter 007</t>
        </is>
      </c>
      <c r="C12" s="27" t="n">
        <v>46023</v>
      </c>
      <c r="D12" s="27" t="n"/>
      <c r="E12" s="28" t="n">
        <v>40</v>
      </c>
      <c r="F12" s="29">
        <f>IF(E12="","",E12/5)</f>
        <v/>
      </c>
      <c r="G12" s="30">
        <f>IF(B12="","",IF(C12&gt;Einstellungen!$C$9,"künftig",IF(AND(D12&lt;&gt;"",D12&lt;Einstellungen!$C$9),"ausgeschieden","aktiv")))</f>
        <v/>
      </c>
      <c r="H12" s="31">
        <f>IF(OR(B12="",E12=""),"",IF(Einstellungen!$C$11="7 Tage",MAX(0,(MIN(IF(D12="",DATE(Einstellungen!$C$3,12,31),D12),Einstellungen!$C$9))-(MAX(C12,DATE(Einstellungen!$C$3,1,1)))+1),MAX(0,NETWORKDAYS(MAX(C12,DATE(Einstellungen!$C$3,1,1)),MIN(IF(D12="",DATE(Einstellungen!$C$3,12,31),D12),Einstellungen!$C$9),Einstellungen!$F$13:$F$32)))*F12)</f>
        <v/>
      </c>
      <c r="J12" s="35">
        <f>DATE(Einstellungen!$C$3,6,1)</f>
        <v/>
      </c>
      <c r="K12" s="36">
        <f>COUNTIFS($C$6:$C$205,"&gt;="&amp;J12,$C$6:$C$205,"&lt;="&amp;DATE(Einstellungen!$C$3,7,0))</f>
        <v/>
      </c>
      <c r="L12" s="36">
        <f>COUNTIFS($D$6:$D$205,"&gt;="&amp;J12,$D$6:$D$205,"&lt;="&amp;DATE(Einstellungen!$C$3,7,0))</f>
        <v/>
      </c>
      <c r="M12" s="36">
        <f>COUNTIFS($C$6:$C$205,"&lt;="&amp;DATE(Einstellungen!$C$3,7,0),$D$6:$D$205,"&gt;"&amp;DATE(Einstellungen!$C$3,7,0))+COUNTIFS($C$6:$C$205,"&lt;="&amp;DATE(Einstellungen!$C$3,7,0),$D$6:$D$205,"")</f>
        <v/>
      </c>
    </row>
    <row r="13">
      <c r="A13" s="26" t="n">
        <v>1008</v>
      </c>
      <c r="B13" s="23" t="inlineStr">
        <is>
          <t>Mitarbeiter 008</t>
        </is>
      </c>
      <c r="C13" s="27" t="n">
        <v>46023</v>
      </c>
      <c r="D13" s="27" t="n"/>
      <c r="E13" s="28" t="n">
        <v>30</v>
      </c>
      <c r="F13" s="29">
        <f>IF(E13="","",E13/5)</f>
        <v/>
      </c>
      <c r="G13" s="30">
        <f>IF(B13="","",IF(C13&gt;Einstellungen!$C$9,"künftig",IF(AND(D13&lt;&gt;"",D13&lt;Einstellungen!$C$9),"ausgeschieden","aktiv")))</f>
        <v/>
      </c>
      <c r="H13" s="31">
        <f>IF(OR(B13="",E13=""),"",IF(Einstellungen!$C$11="7 Tage",MAX(0,(MIN(IF(D13="",DATE(Einstellungen!$C$3,12,31),D13),Einstellungen!$C$9))-(MAX(C13,DATE(Einstellungen!$C$3,1,1)))+1),MAX(0,NETWORKDAYS(MAX(C13,DATE(Einstellungen!$C$3,1,1)),MIN(IF(D13="",DATE(Einstellungen!$C$3,12,31),D13),Einstellungen!$C$9),Einstellungen!$F$13:$F$32)))*F13)</f>
        <v/>
      </c>
      <c r="J13" s="35">
        <f>DATE(Einstellungen!$C$3,7,1)</f>
        <v/>
      </c>
      <c r="K13" s="36">
        <f>COUNTIFS($C$6:$C$205,"&gt;="&amp;J13,$C$6:$C$205,"&lt;="&amp;DATE(Einstellungen!$C$3,8,0))</f>
        <v/>
      </c>
      <c r="L13" s="36">
        <f>COUNTIFS($D$6:$D$205,"&gt;="&amp;J13,$D$6:$D$205,"&lt;="&amp;DATE(Einstellungen!$C$3,8,0))</f>
        <v/>
      </c>
      <c r="M13" s="36">
        <f>COUNTIFS($C$6:$C$205,"&lt;="&amp;DATE(Einstellungen!$C$3,8,0),$D$6:$D$205,"&gt;"&amp;DATE(Einstellungen!$C$3,8,0))+COUNTIFS($C$6:$C$205,"&lt;="&amp;DATE(Einstellungen!$C$3,8,0),$D$6:$D$205,"")</f>
        <v/>
      </c>
    </row>
    <row r="14">
      <c r="A14" s="26" t="n">
        <v>1009</v>
      </c>
      <c r="B14" s="23" t="inlineStr">
        <is>
          <t>Mitarbeiter 009</t>
        </is>
      </c>
      <c r="C14" s="27" t="n">
        <v>46023</v>
      </c>
      <c r="D14" s="27" t="n"/>
      <c r="E14" s="28" t="n">
        <v>30</v>
      </c>
      <c r="F14" s="29">
        <f>IF(E14="","",E14/5)</f>
        <v/>
      </c>
      <c r="G14" s="30">
        <f>IF(B14="","",IF(C14&gt;Einstellungen!$C$9,"künftig",IF(AND(D14&lt;&gt;"",D14&lt;Einstellungen!$C$9),"ausgeschieden","aktiv")))</f>
        <v/>
      </c>
      <c r="H14" s="31">
        <f>IF(OR(B14="",E14=""),"",IF(Einstellungen!$C$11="7 Tage",MAX(0,(MIN(IF(D14="",DATE(Einstellungen!$C$3,12,31),D14),Einstellungen!$C$9))-(MAX(C14,DATE(Einstellungen!$C$3,1,1)))+1),MAX(0,NETWORKDAYS(MAX(C14,DATE(Einstellungen!$C$3,1,1)),MIN(IF(D14="",DATE(Einstellungen!$C$3,12,31),D14),Einstellungen!$C$9),Einstellungen!$F$13:$F$32)))*F14)</f>
        <v/>
      </c>
      <c r="J14" s="35">
        <f>DATE(Einstellungen!$C$3,8,1)</f>
        <v/>
      </c>
      <c r="K14" s="36">
        <f>COUNTIFS($C$6:$C$205,"&gt;="&amp;J14,$C$6:$C$205,"&lt;="&amp;DATE(Einstellungen!$C$3,9,0))</f>
        <v/>
      </c>
      <c r="L14" s="36">
        <f>COUNTIFS($D$6:$D$205,"&gt;="&amp;J14,$D$6:$D$205,"&lt;="&amp;DATE(Einstellungen!$C$3,9,0))</f>
        <v/>
      </c>
      <c r="M14" s="36">
        <f>COUNTIFS($C$6:$C$205,"&lt;="&amp;DATE(Einstellungen!$C$3,9,0),$D$6:$D$205,"&gt;"&amp;DATE(Einstellungen!$C$3,9,0))+COUNTIFS($C$6:$C$205,"&lt;="&amp;DATE(Einstellungen!$C$3,9,0),$D$6:$D$205,"")</f>
        <v/>
      </c>
    </row>
    <row r="15">
      <c r="A15" s="26" t="n">
        <v>1010</v>
      </c>
      <c r="B15" s="23" t="inlineStr">
        <is>
          <t>Mitarbeiter 010</t>
        </is>
      </c>
      <c r="C15" s="27" t="n">
        <v>46023</v>
      </c>
      <c r="D15" s="27" t="n">
        <v>46109</v>
      </c>
      <c r="E15" s="28" t="n">
        <v>40</v>
      </c>
      <c r="F15" s="29">
        <f>IF(E15="","",E15/5)</f>
        <v/>
      </c>
      <c r="G15" s="30">
        <f>IF(B15="","",IF(C15&gt;Einstellungen!$C$9,"künftig",IF(AND(D15&lt;&gt;"",D15&lt;Einstellungen!$C$9),"ausgeschieden","aktiv")))</f>
        <v/>
      </c>
      <c r="H15" s="31">
        <f>IF(OR(B15="",E15=""),"",IF(Einstellungen!$C$11="7 Tage",MAX(0,(MIN(IF(D15="",DATE(Einstellungen!$C$3,12,31),D15),Einstellungen!$C$9))-(MAX(C15,DATE(Einstellungen!$C$3,1,1)))+1),MAX(0,NETWORKDAYS(MAX(C15,DATE(Einstellungen!$C$3,1,1)),MIN(IF(D15="",DATE(Einstellungen!$C$3,12,31),D15),Einstellungen!$C$9),Einstellungen!$F$13:$F$32)))*F15)</f>
        <v/>
      </c>
      <c r="J15" s="35">
        <f>DATE(Einstellungen!$C$3,9,1)</f>
        <v/>
      </c>
      <c r="K15" s="36">
        <f>COUNTIFS($C$6:$C$205,"&gt;="&amp;J15,$C$6:$C$205,"&lt;="&amp;DATE(Einstellungen!$C$3,10,0))</f>
        <v/>
      </c>
      <c r="L15" s="36">
        <f>COUNTIFS($D$6:$D$205,"&gt;="&amp;J15,$D$6:$D$205,"&lt;="&amp;DATE(Einstellungen!$C$3,10,0))</f>
        <v/>
      </c>
      <c r="M15" s="36">
        <f>COUNTIFS($C$6:$C$205,"&lt;="&amp;DATE(Einstellungen!$C$3,10,0),$D$6:$D$205,"&gt;"&amp;DATE(Einstellungen!$C$3,10,0))+COUNTIFS($C$6:$C$205,"&lt;="&amp;DATE(Einstellungen!$C$3,10,0),$D$6:$D$205,"")</f>
        <v/>
      </c>
    </row>
    <row r="16">
      <c r="A16" s="26" t="n">
        <v>1011</v>
      </c>
      <c r="B16" s="23" t="inlineStr">
        <is>
          <t>Mitarbeiter 011</t>
        </is>
      </c>
      <c r="C16" s="27" t="n">
        <v>46023</v>
      </c>
      <c r="D16" s="27" t="n"/>
      <c r="E16" s="28" t="n">
        <v>30</v>
      </c>
      <c r="F16" s="29">
        <f>IF(E16="","",E16/5)</f>
        <v/>
      </c>
      <c r="G16" s="30">
        <f>IF(B16="","",IF(C16&gt;Einstellungen!$C$9,"künftig",IF(AND(D16&lt;&gt;"",D16&lt;Einstellungen!$C$9),"ausgeschieden","aktiv")))</f>
        <v/>
      </c>
      <c r="H16" s="31">
        <f>IF(OR(B16="",E16=""),"",IF(Einstellungen!$C$11="7 Tage",MAX(0,(MIN(IF(D16="",DATE(Einstellungen!$C$3,12,31),D16),Einstellungen!$C$9))-(MAX(C16,DATE(Einstellungen!$C$3,1,1)))+1),MAX(0,NETWORKDAYS(MAX(C16,DATE(Einstellungen!$C$3,1,1)),MIN(IF(D16="",DATE(Einstellungen!$C$3,12,31),D16),Einstellungen!$C$9),Einstellungen!$F$13:$F$32)))*F16)</f>
        <v/>
      </c>
      <c r="J16" s="35">
        <f>DATE(Einstellungen!$C$3,10,1)</f>
        <v/>
      </c>
      <c r="K16" s="36">
        <f>COUNTIFS($C$6:$C$205,"&gt;="&amp;J16,$C$6:$C$205,"&lt;="&amp;DATE(Einstellungen!$C$3,11,0))</f>
        <v/>
      </c>
      <c r="L16" s="36">
        <f>COUNTIFS($D$6:$D$205,"&gt;="&amp;J16,$D$6:$D$205,"&lt;="&amp;DATE(Einstellungen!$C$3,11,0))</f>
        <v/>
      </c>
      <c r="M16" s="36">
        <f>COUNTIFS($C$6:$C$205,"&lt;="&amp;DATE(Einstellungen!$C$3,11,0),$D$6:$D$205,"&gt;"&amp;DATE(Einstellungen!$C$3,11,0))+COUNTIFS($C$6:$C$205,"&lt;="&amp;DATE(Einstellungen!$C$3,11,0),$D$6:$D$205,"")</f>
        <v/>
      </c>
    </row>
    <row r="17">
      <c r="A17" s="26" t="n">
        <v>1012</v>
      </c>
      <c r="B17" s="23" t="inlineStr">
        <is>
          <t>Mitarbeiter 012</t>
        </is>
      </c>
      <c r="C17" s="27" t="n">
        <v>46023</v>
      </c>
      <c r="D17" s="27" t="n">
        <v>46081</v>
      </c>
      <c r="E17" s="28" t="n">
        <v>40</v>
      </c>
      <c r="F17" s="29">
        <f>IF(E17="","",E17/5)</f>
        <v/>
      </c>
      <c r="G17" s="30">
        <f>IF(B17="","",IF(C17&gt;Einstellungen!$C$9,"künftig",IF(AND(D17&lt;&gt;"",D17&lt;Einstellungen!$C$9),"ausgeschieden","aktiv")))</f>
        <v/>
      </c>
      <c r="H17" s="31">
        <f>IF(OR(B17="",E17=""),"",IF(Einstellungen!$C$11="7 Tage",MAX(0,(MIN(IF(D17="",DATE(Einstellungen!$C$3,12,31),D17),Einstellungen!$C$9))-(MAX(C17,DATE(Einstellungen!$C$3,1,1)))+1),MAX(0,NETWORKDAYS(MAX(C17,DATE(Einstellungen!$C$3,1,1)),MIN(IF(D17="",DATE(Einstellungen!$C$3,12,31),D17),Einstellungen!$C$9),Einstellungen!$F$13:$F$32)))*F17)</f>
        <v/>
      </c>
      <c r="J17" s="35">
        <f>DATE(Einstellungen!$C$3,11,1)</f>
        <v/>
      </c>
      <c r="K17" s="36">
        <f>COUNTIFS($C$6:$C$205,"&gt;="&amp;J17,$C$6:$C$205,"&lt;="&amp;DATE(Einstellungen!$C$3,12,0))</f>
        <v/>
      </c>
      <c r="L17" s="36">
        <f>COUNTIFS($D$6:$D$205,"&gt;="&amp;J17,$D$6:$D$205,"&lt;="&amp;DATE(Einstellungen!$C$3,12,0))</f>
        <v/>
      </c>
      <c r="M17" s="36">
        <f>COUNTIFS($C$6:$C$205,"&lt;="&amp;DATE(Einstellungen!$C$3,12,0),$D$6:$D$205,"&gt;"&amp;DATE(Einstellungen!$C$3,12,0))+COUNTIFS($C$6:$C$205,"&lt;="&amp;DATE(Einstellungen!$C$3,12,0),$D$6:$D$205,"")</f>
        <v/>
      </c>
    </row>
    <row r="18">
      <c r="A18" s="26" t="n">
        <v>1013</v>
      </c>
      <c r="B18" s="23" t="inlineStr">
        <is>
          <t>Mitarbeiter 013</t>
        </is>
      </c>
      <c r="C18" s="27" t="n">
        <v>46023</v>
      </c>
      <c r="D18" s="27" t="n">
        <v>46170</v>
      </c>
      <c r="E18" s="28" t="n">
        <v>40</v>
      </c>
      <c r="F18" s="29">
        <f>IF(E18="","",E18/5)</f>
        <v/>
      </c>
      <c r="G18" s="30">
        <f>IF(B18="","",IF(C18&gt;Einstellungen!$C$9,"künftig",IF(AND(D18&lt;&gt;"",D18&lt;Einstellungen!$C$9),"ausgeschieden","aktiv")))</f>
        <v/>
      </c>
      <c r="H18" s="31">
        <f>IF(OR(B18="",E18=""),"",IF(Einstellungen!$C$11="7 Tage",MAX(0,(MIN(IF(D18="",DATE(Einstellungen!$C$3,12,31),D18),Einstellungen!$C$9))-(MAX(C18,DATE(Einstellungen!$C$3,1,1)))+1),MAX(0,NETWORKDAYS(MAX(C18,DATE(Einstellungen!$C$3,1,1)),MIN(IF(D18="",DATE(Einstellungen!$C$3,12,31),D18),Einstellungen!$C$9),Einstellungen!$F$13:$F$32)))*F18)</f>
        <v/>
      </c>
      <c r="J18" s="35">
        <f>DATE(Einstellungen!$C$3,12,1)</f>
        <v/>
      </c>
      <c r="K18" s="36">
        <f>COUNTIFS($C$6:$C$205,"&gt;="&amp;J18,$C$6:$C$205,"&lt;="&amp;DATE(Einstellungen!$C$3,13,0))</f>
        <v/>
      </c>
      <c r="L18" s="36">
        <f>COUNTIFS($D$6:$D$205,"&gt;="&amp;J18,$D$6:$D$205,"&lt;="&amp;DATE(Einstellungen!$C$3,13,0))</f>
        <v/>
      </c>
      <c r="M18" s="36">
        <f>COUNTIFS($C$6:$C$205,"&lt;="&amp;DATE(Einstellungen!$C$3,13,0),$D$6:$D$205,"&gt;"&amp;DATE(Einstellungen!$C$3,13,0))+COUNTIFS($C$6:$C$205,"&lt;="&amp;DATE(Einstellungen!$C$3,13,0),$D$6:$D$205,"")</f>
        <v/>
      </c>
    </row>
    <row r="19">
      <c r="A19" s="26" t="n">
        <v>1014</v>
      </c>
      <c r="B19" s="23" t="inlineStr">
        <is>
          <t>Mitarbeiter 014</t>
        </is>
      </c>
      <c r="C19" s="27" t="n">
        <v>46023</v>
      </c>
      <c r="D19" s="27" t="n"/>
      <c r="E19" s="28" t="n">
        <v>40</v>
      </c>
      <c r="F19" s="29">
        <f>IF(E19="","",E19/5)</f>
        <v/>
      </c>
      <c r="G19" s="30">
        <f>IF(B19="","",IF(C19&gt;Einstellungen!$C$9,"künftig",IF(AND(D19&lt;&gt;"",D19&lt;Einstellungen!$C$9),"ausgeschieden","aktiv")))</f>
        <v/>
      </c>
      <c r="H19" s="31">
        <f>IF(OR(B19="",E19=""),"",IF(Einstellungen!$C$11="7 Tage",MAX(0,(MIN(IF(D19="",DATE(Einstellungen!$C$3,12,31),D19),Einstellungen!$C$9))-(MAX(C19,DATE(Einstellungen!$C$3,1,1)))+1),MAX(0,NETWORKDAYS(MAX(C19,DATE(Einstellungen!$C$3,1,1)),MIN(IF(D19="",DATE(Einstellungen!$C$3,12,31),D19),Einstellungen!$C$9),Einstellungen!$F$13:$F$32)))*F19)</f>
        <v/>
      </c>
      <c r="J19" s="24" t="inlineStr">
        <is>
          <t>Summe / Ø</t>
        </is>
      </c>
      <c r="K19" s="25">
        <f>SUM(K7:K18)</f>
        <v/>
      </c>
      <c r="L19" s="25">
        <f>SUM(L7:L18)</f>
        <v/>
      </c>
      <c r="M19" s="37">
        <f>AVERAGE(M6:M18)</f>
        <v/>
      </c>
    </row>
    <row r="20">
      <c r="A20" s="26" t="n">
        <v>1015</v>
      </c>
      <c r="B20" s="23" t="inlineStr">
        <is>
          <t>Mitarbeiter 015</t>
        </is>
      </c>
      <c r="C20" s="27" t="n">
        <v>46023</v>
      </c>
      <c r="D20" s="27" t="n"/>
      <c r="E20" s="28" t="n">
        <v>40</v>
      </c>
      <c r="F20" s="29">
        <f>IF(E20="","",E20/5)</f>
        <v/>
      </c>
      <c r="G20" s="30">
        <f>IF(B20="","",IF(C20&gt;Einstellungen!$C$9,"künftig",IF(AND(D20&lt;&gt;"",D20&lt;Einstellungen!$C$9),"ausgeschieden","aktiv")))</f>
        <v/>
      </c>
      <c r="H20" s="31">
        <f>IF(OR(B20="",E20=""),"",IF(Einstellungen!$C$11="7 Tage",MAX(0,(MIN(IF(D20="",DATE(Einstellungen!$C$3,12,31),D20),Einstellungen!$C$9))-(MAX(C20,DATE(Einstellungen!$C$3,1,1)))+1),MAX(0,NETWORKDAYS(MAX(C20,DATE(Einstellungen!$C$3,1,1)),MIN(IF(D20="",DATE(Einstellungen!$C$3,12,31),D20),Einstellungen!$C$9),Einstellungen!$F$13:$F$32)))*F20)</f>
        <v/>
      </c>
    </row>
    <row r="21">
      <c r="A21" s="26" t="n">
        <v>1016</v>
      </c>
      <c r="B21" s="23" t="inlineStr">
        <is>
          <t>Mitarbeiter 016</t>
        </is>
      </c>
      <c r="C21" s="27" t="n">
        <v>46023</v>
      </c>
      <c r="D21" s="27" t="n"/>
      <c r="E21" s="28" t="n">
        <v>40</v>
      </c>
      <c r="F21" s="29">
        <f>IF(E21="","",E21/5)</f>
        <v/>
      </c>
      <c r="G21" s="30">
        <f>IF(B21="","",IF(C21&gt;Einstellungen!$C$9,"künftig",IF(AND(D21&lt;&gt;"",D21&lt;Einstellungen!$C$9),"ausgeschieden","aktiv")))</f>
        <v/>
      </c>
      <c r="H21" s="31">
        <f>IF(OR(B21="",E21=""),"",IF(Einstellungen!$C$11="7 Tage",MAX(0,(MIN(IF(D21="",DATE(Einstellungen!$C$3,12,31),D21),Einstellungen!$C$9))-(MAX(C21,DATE(Einstellungen!$C$3,1,1)))+1),MAX(0,NETWORKDAYS(MAX(C21,DATE(Einstellungen!$C$3,1,1)),MIN(IF(D21="",DATE(Einstellungen!$C$3,12,31),D21),Einstellungen!$C$9),Einstellungen!$F$13:$F$32)))*F21)</f>
        <v/>
      </c>
      <c r="J21" s="20" t="inlineStr">
        <is>
          <t>Fluktuationsquote (BDA)</t>
        </is>
      </c>
      <c r="K21" s="38" t="n"/>
      <c r="L21" s="39" t="n"/>
      <c r="M21" s="40">
        <f>IF(M19&gt;0,L19/M19,0)</f>
        <v/>
      </c>
      <c r="N21" s="16" t="inlineStr">
        <is>
          <t>Austritte ÷ Ø Personalbestand</t>
        </is>
      </c>
    </row>
    <row r="22">
      <c r="A22" s="26" t="n">
        <v>1017</v>
      </c>
      <c r="B22" s="23" t="inlineStr">
        <is>
          <t>Mitarbeiter 017</t>
        </is>
      </c>
      <c r="C22" s="27" t="n">
        <v>46023</v>
      </c>
      <c r="D22" s="27" t="n">
        <v>46170</v>
      </c>
      <c r="E22" s="28" t="n">
        <v>30</v>
      </c>
      <c r="F22" s="29">
        <f>IF(E22="","",E22/5)</f>
        <v/>
      </c>
      <c r="G22" s="30">
        <f>IF(B22="","",IF(C22&gt;Einstellungen!$C$9,"künftig",IF(AND(D22&lt;&gt;"",D22&lt;Einstellungen!$C$9),"ausgeschieden","aktiv")))</f>
        <v/>
      </c>
      <c r="H22" s="31">
        <f>IF(OR(B22="",E22=""),"",IF(Einstellungen!$C$11="7 Tage",MAX(0,(MIN(IF(D22="",DATE(Einstellungen!$C$3,12,31),D22),Einstellungen!$C$9))-(MAX(C22,DATE(Einstellungen!$C$3,1,1)))+1),MAX(0,NETWORKDAYS(MAX(C22,DATE(Einstellungen!$C$3,1,1)),MIN(IF(D22="",DATE(Einstellungen!$C$3,12,31),D22),Einstellungen!$C$9),Einstellungen!$F$13:$F$32)))*F22)</f>
        <v/>
      </c>
      <c r="J22" s="20" t="inlineStr">
        <is>
          <t>Aktive Mitarbeiter (Stichtag)</t>
        </is>
      </c>
      <c r="K22" s="38" t="n"/>
      <c r="L22" s="39" t="n"/>
      <c r="M22" s="34">
        <f>COUNTIF($G$6:$G$205,"aktiv")</f>
        <v/>
      </c>
      <c r="N22" s="16" t="inlineStr"/>
    </row>
    <row r="23">
      <c r="A23" s="26" t="n">
        <v>1018</v>
      </c>
      <c r="B23" s="23" t="inlineStr">
        <is>
          <t>Mitarbeiter 018</t>
        </is>
      </c>
      <c r="C23" s="27" t="n">
        <v>46023</v>
      </c>
      <c r="D23" s="27" t="n"/>
      <c r="E23" s="28" t="n">
        <v>40</v>
      </c>
      <c r="F23" s="29">
        <f>IF(E23="","",E23/5)</f>
        <v/>
      </c>
      <c r="G23" s="30">
        <f>IF(B23="","",IF(C23&gt;Einstellungen!$C$9,"künftig",IF(AND(D23&lt;&gt;"",D23&lt;Einstellungen!$C$9),"ausgeschieden","aktiv")))</f>
        <v/>
      </c>
      <c r="H23" s="31">
        <f>IF(OR(B23="",E23=""),"",IF(Einstellungen!$C$11="7 Tage",MAX(0,(MIN(IF(D23="",DATE(Einstellungen!$C$3,12,31),D23),Einstellungen!$C$9))-(MAX(C23,DATE(Einstellungen!$C$3,1,1)))+1),MAX(0,NETWORKDAYS(MAX(C23,DATE(Einstellungen!$C$3,1,1)),MIN(IF(D23="",DATE(Einstellungen!$C$3,12,31),D23),Einstellungen!$C$9),Einstellungen!$F$13:$F$32)))*F23)</f>
        <v/>
      </c>
      <c r="J23" s="20" t="inlineStr">
        <is>
          <t>Ausgeschiedene gesamt</t>
        </is>
      </c>
      <c r="K23" s="38" t="n"/>
      <c r="L23" s="39" t="n"/>
      <c r="M23" s="34">
        <f>COUNTIF($G$6:$G$205,"ausgeschieden")</f>
        <v/>
      </c>
      <c r="N23" s="16" t="inlineStr"/>
    </row>
    <row r="24">
      <c r="A24" s="26" t="n">
        <v>1019</v>
      </c>
      <c r="B24" s="23" t="inlineStr">
        <is>
          <t>Mitarbeiter 019</t>
        </is>
      </c>
      <c r="C24" s="27" t="n">
        <v>46023</v>
      </c>
      <c r="D24" s="27" t="n"/>
      <c r="E24" s="28" t="n">
        <v>40</v>
      </c>
      <c r="F24" s="29">
        <f>IF(E24="","",E24/5)</f>
        <v/>
      </c>
      <c r="G24" s="30">
        <f>IF(B24="","",IF(C24&gt;Einstellungen!$C$9,"künftig",IF(AND(D24&lt;&gt;"",D24&lt;Einstellungen!$C$9),"ausgeschieden","aktiv")))</f>
        <v/>
      </c>
      <c r="H24" s="31">
        <f>IF(OR(B24="",E24=""),"",IF(Einstellungen!$C$11="7 Tage",MAX(0,(MIN(IF(D24="",DATE(Einstellungen!$C$3,12,31),D24),Einstellungen!$C$9))-(MAX(C24,DATE(Einstellungen!$C$3,1,1)))+1),MAX(0,NETWORKDAYS(MAX(C24,DATE(Einstellungen!$C$3,1,1)),MIN(IF(D24="",DATE(Einstellungen!$C$3,12,31),D24),Einstellungen!$C$9),Einstellungen!$F$13:$F$32)))*F24)</f>
        <v/>
      </c>
    </row>
    <row r="25">
      <c r="A25" s="26" t="n">
        <v>1020</v>
      </c>
      <c r="B25" s="23" t="inlineStr">
        <is>
          <t>Mitarbeiter 020</t>
        </is>
      </c>
      <c r="C25" s="27" t="n">
        <v>46023</v>
      </c>
      <c r="D25" s="27" t="n"/>
      <c r="E25" s="28" t="n">
        <v>40</v>
      </c>
      <c r="F25" s="29">
        <f>IF(E25="","",E25/5)</f>
        <v/>
      </c>
      <c r="G25" s="30">
        <f>IF(B25="","",IF(C25&gt;Einstellungen!$C$9,"künftig",IF(AND(D25&lt;&gt;"",D25&lt;Einstellungen!$C$9),"ausgeschieden","aktiv")))</f>
        <v/>
      </c>
      <c r="H25" s="31">
        <f>IF(OR(B25="",E25=""),"",IF(Einstellungen!$C$11="7 Tage",MAX(0,(MIN(IF(D25="",DATE(Einstellungen!$C$3,12,31),D25),Einstellungen!$C$9))-(MAX(C25,DATE(Einstellungen!$C$3,1,1)))+1),MAX(0,NETWORKDAYS(MAX(C25,DATE(Einstellungen!$C$3,1,1)),MIN(IF(D25="",DATE(Einstellungen!$C$3,12,31),D25),Einstellungen!$C$9),Einstellungen!$F$13:$F$32)))*F25)</f>
        <v/>
      </c>
    </row>
    <row r="26">
      <c r="A26" s="26" t="n">
        <v>1021</v>
      </c>
      <c r="B26" s="23" t="inlineStr">
        <is>
          <t>Mitarbeiter 021</t>
        </is>
      </c>
      <c r="C26" s="27" t="n">
        <v>46023</v>
      </c>
      <c r="D26" s="27" t="n"/>
      <c r="E26" s="28" t="n">
        <v>20</v>
      </c>
      <c r="F26" s="29">
        <f>IF(E26="","",E26/5)</f>
        <v/>
      </c>
      <c r="G26" s="30">
        <f>IF(B26="","",IF(C26&gt;Einstellungen!$C$9,"künftig",IF(AND(D26&lt;&gt;"",D26&lt;Einstellungen!$C$9),"ausgeschieden","aktiv")))</f>
        <v/>
      </c>
      <c r="H26" s="31">
        <f>IF(OR(B26="",E26=""),"",IF(Einstellungen!$C$11="7 Tage",MAX(0,(MIN(IF(D26="",DATE(Einstellungen!$C$3,12,31),D26),Einstellungen!$C$9))-(MAX(C26,DATE(Einstellungen!$C$3,1,1)))+1),MAX(0,NETWORKDAYS(MAX(C26,DATE(Einstellungen!$C$3,1,1)),MIN(IF(D26="",DATE(Einstellungen!$C$3,12,31),D26),Einstellungen!$C$9),Einstellungen!$F$13:$F$32)))*F26)</f>
        <v/>
      </c>
    </row>
    <row r="27">
      <c r="A27" s="26" t="n">
        <v>1022</v>
      </c>
      <c r="B27" s="23" t="inlineStr">
        <is>
          <t>Mitarbeiter 022</t>
        </is>
      </c>
      <c r="C27" s="27" t="n">
        <v>46023</v>
      </c>
      <c r="D27" s="27" t="n"/>
      <c r="E27" s="28" t="n">
        <v>20</v>
      </c>
      <c r="F27" s="29">
        <f>IF(E27="","",E27/5)</f>
        <v/>
      </c>
      <c r="G27" s="30">
        <f>IF(B27="","",IF(C27&gt;Einstellungen!$C$9,"künftig",IF(AND(D27&lt;&gt;"",D27&lt;Einstellungen!$C$9),"ausgeschieden","aktiv")))</f>
        <v/>
      </c>
      <c r="H27" s="31">
        <f>IF(OR(B27="",E27=""),"",IF(Einstellungen!$C$11="7 Tage",MAX(0,(MIN(IF(D27="",DATE(Einstellungen!$C$3,12,31),D27),Einstellungen!$C$9))-(MAX(C27,DATE(Einstellungen!$C$3,1,1)))+1),MAX(0,NETWORKDAYS(MAX(C27,DATE(Einstellungen!$C$3,1,1)),MIN(IF(D27="",DATE(Einstellungen!$C$3,12,31),D27),Einstellungen!$C$9),Einstellungen!$F$13:$F$32)))*F27)</f>
        <v/>
      </c>
    </row>
    <row r="28">
      <c r="A28" s="26" t="n">
        <v>1023</v>
      </c>
      <c r="B28" s="23" t="inlineStr">
        <is>
          <t>Mitarbeiter 023</t>
        </is>
      </c>
      <c r="C28" s="27" t="n">
        <v>46023</v>
      </c>
      <c r="D28" s="27" t="n"/>
      <c r="E28" s="28" t="n">
        <v>40</v>
      </c>
      <c r="F28" s="29">
        <f>IF(E28="","",E28/5)</f>
        <v/>
      </c>
      <c r="G28" s="30">
        <f>IF(B28="","",IF(C28&gt;Einstellungen!$C$9,"künftig",IF(AND(D28&lt;&gt;"",D28&lt;Einstellungen!$C$9),"ausgeschieden","aktiv")))</f>
        <v/>
      </c>
      <c r="H28" s="31">
        <f>IF(OR(B28="",E28=""),"",IF(Einstellungen!$C$11="7 Tage",MAX(0,(MIN(IF(D28="",DATE(Einstellungen!$C$3,12,31),D28),Einstellungen!$C$9))-(MAX(C28,DATE(Einstellungen!$C$3,1,1)))+1),MAX(0,NETWORKDAYS(MAX(C28,DATE(Einstellungen!$C$3,1,1)),MIN(IF(D28="",DATE(Einstellungen!$C$3,12,31),D28),Einstellungen!$C$9),Einstellungen!$F$13:$F$32)))*F28)</f>
        <v/>
      </c>
    </row>
    <row r="29">
      <c r="A29" s="26" t="n">
        <v>1024</v>
      </c>
      <c r="B29" s="23" t="inlineStr">
        <is>
          <t>Mitarbeiter 024</t>
        </is>
      </c>
      <c r="C29" s="27" t="n">
        <v>46023</v>
      </c>
      <c r="D29" s="27" t="n">
        <v>46231</v>
      </c>
      <c r="E29" s="28" t="n">
        <v>40</v>
      </c>
      <c r="F29" s="29">
        <f>IF(E29="","",E29/5)</f>
        <v/>
      </c>
      <c r="G29" s="30">
        <f>IF(B29="","",IF(C29&gt;Einstellungen!$C$9,"künftig",IF(AND(D29&lt;&gt;"",D29&lt;Einstellungen!$C$9),"ausgeschieden","aktiv")))</f>
        <v/>
      </c>
      <c r="H29" s="31">
        <f>IF(OR(B29="",E29=""),"",IF(Einstellungen!$C$11="7 Tage",MAX(0,(MIN(IF(D29="",DATE(Einstellungen!$C$3,12,31),D29),Einstellungen!$C$9))-(MAX(C29,DATE(Einstellungen!$C$3,1,1)))+1),MAX(0,NETWORKDAYS(MAX(C29,DATE(Einstellungen!$C$3,1,1)),MIN(IF(D29="",DATE(Einstellungen!$C$3,12,31),D29),Einstellungen!$C$9),Einstellungen!$F$13:$F$32)))*F29)</f>
        <v/>
      </c>
    </row>
    <row r="30">
      <c r="A30" s="26" t="n">
        <v>1025</v>
      </c>
      <c r="B30" s="23" t="inlineStr">
        <is>
          <t>Mitarbeiter 025</t>
        </is>
      </c>
      <c r="C30" s="27" t="n">
        <v>46023</v>
      </c>
      <c r="D30" s="27" t="n"/>
      <c r="E30" s="28" t="n">
        <v>40</v>
      </c>
      <c r="F30" s="29">
        <f>IF(E30="","",E30/5)</f>
        <v/>
      </c>
      <c r="G30" s="30">
        <f>IF(B30="","",IF(C30&gt;Einstellungen!$C$9,"künftig",IF(AND(D30&lt;&gt;"",D30&lt;Einstellungen!$C$9),"ausgeschieden","aktiv")))</f>
        <v/>
      </c>
      <c r="H30" s="31">
        <f>IF(OR(B30="",E30=""),"",IF(Einstellungen!$C$11="7 Tage",MAX(0,(MIN(IF(D30="",DATE(Einstellungen!$C$3,12,31),D30),Einstellungen!$C$9))-(MAX(C30,DATE(Einstellungen!$C$3,1,1)))+1),MAX(0,NETWORKDAYS(MAX(C30,DATE(Einstellungen!$C$3,1,1)),MIN(IF(D30="",DATE(Einstellungen!$C$3,12,31),D30),Einstellungen!$C$9),Einstellungen!$F$13:$F$32)))*F30)</f>
        <v/>
      </c>
    </row>
    <row r="31">
      <c r="A31" s="26" t="n">
        <v>1026</v>
      </c>
      <c r="B31" s="23" t="inlineStr">
        <is>
          <t>Mitarbeiter 026</t>
        </is>
      </c>
      <c r="C31" s="27" t="n">
        <v>46023</v>
      </c>
      <c r="D31" s="27" t="n">
        <v>46293</v>
      </c>
      <c r="E31" s="28" t="n">
        <v>40</v>
      </c>
      <c r="F31" s="29">
        <f>IF(E31="","",E31/5)</f>
        <v/>
      </c>
      <c r="G31" s="30">
        <f>IF(B31="","",IF(C31&gt;Einstellungen!$C$9,"künftig",IF(AND(D31&lt;&gt;"",D31&lt;Einstellungen!$C$9),"ausgeschieden","aktiv")))</f>
        <v/>
      </c>
      <c r="H31" s="31">
        <f>IF(OR(B31="",E31=""),"",IF(Einstellungen!$C$11="7 Tage",MAX(0,(MIN(IF(D31="",DATE(Einstellungen!$C$3,12,31),D31),Einstellungen!$C$9))-(MAX(C31,DATE(Einstellungen!$C$3,1,1)))+1),MAX(0,NETWORKDAYS(MAX(C31,DATE(Einstellungen!$C$3,1,1)),MIN(IF(D31="",DATE(Einstellungen!$C$3,12,31),D31),Einstellungen!$C$9),Einstellungen!$F$13:$F$32)))*F31)</f>
        <v/>
      </c>
    </row>
    <row r="32">
      <c r="A32" s="26" t="n">
        <v>1027</v>
      </c>
      <c r="B32" s="23" t="inlineStr">
        <is>
          <t>Mitarbeiter 027</t>
        </is>
      </c>
      <c r="C32" s="27" t="n">
        <v>46023</v>
      </c>
      <c r="D32" s="27" t="n">
        <v>46081</v>
      </c>
      <c r="E32" s="28" t="n">
        <v>40</v>
      </c>
      <c r="F32" s="29">
        <f>IF(E32="","",E32/5)</f>
        <v/>
      </c>
      <c r="G32" s="30">
        <f>IF(B32="","",IF(C32&gt;Einstellungen!$C$9,"künftig",IF(AND(D32&lt;&gt;"",D32&lt;Einstellungen!$C$9),"ausgeschieden","aktiv")))</f>
        <v/>
      </c>
      <c r="H32" s="31">
        <f>IF(OR(B32="",E32=""),"",IF(Einstellungen!$C$11="7 Tage",MAX(0,(MIN(IF(D32="",DATE(Einstellungen!$C$3,12,31),D32),Einstellungen!$C$9))-(MAX(C32,DATE(Einstellungen!$C$3,1,1)))+1),MAX(0,NETWORKDAYS(MAX(C32,DATE(Einstellungen!$C$3,1,1)),MIN(IF(D32="",DATE(Einstellungen!$C$3,12,31),D32),Einstellungen!$C$9),Einstellungen!$F$13:$F$32)))*F32)</f>
        <v/>
      </c>
    </row>
    <row r="33">
      <c r="A33" s="26" t="n">
        <v>1028</v>
      </c>
      <c r="B33" s="23" t="inlineStr">
        <is>
          <t>Mitarbeiter 028</t>
        </is>
      </c>
      <c r="C33" s="27" t="n">
        <v>46023</v>
      </c>
      <c r="D33" s="27" t="n"/>
      <c r="E33" s="28" t="n">
        <v>40</v>
      </c>
      <c r="F33" s="29">
        <f>IF(E33="","",E33/5)</f>
        <v/>
      </c>
      <c r="G33" s="30">
        <f>IF(B33="","",IF(C33&gt;Einstellungen!$C$9,"künftig",IF(AND(D33&lt;&gt;"",D33&lt;Einstellungen!$C$9),"ausgeschieden","aktiv")))</f>
        <v/>
      </c>
      <c r="H33" s="31">
        <f>IF(OR(B33="",E33=""),"",IF(Einstellungen!$C$11="7 Tage",MAX(0,(MIN(IF(D33="",DATE(Einstellungen!$C$3,12,31),D33),Einstellungen!$C$9))-(MAX(C33,DATE(Einstellungen!$C$3,1,1)))+1),MAX(0,NETWORKDAYS(MAX(C33,DATE(Einstellungen!$C$3,1,1)),MIN(IF(D33="",DATE(Einstellungen!$C$3,12,31),D33),Einstellungen!$C$9),Einstellungen!$F$13:$F$32)))*F33)</f>
        <v/>
      </c>
    </row>
    <row r="34">
      <c r="A34" s="26" t="n">
        <v>1029</v>
      </c>
      <c r="B34" s="23" t="inlineStr">
        <is>
          <t>Mitarbeiter 029</t>
        </is>
      </c>
      <c r="C34" s="27" t="n">
        <v>46023</v>
      </c>
      <c r="D34" s="27" t="n"/>
      <c r="E34" s="28" t="n">
        <v>30</v>
      </c>
      <c r="F34" s="29">
        <f>IF(E34="","",E34/5)</f>
        <v/>
      </c>
      <c r="G34" s="30">
        <f>IF(B34="","",IF(C34&gt;Einstellungen!$C$9,"künftig",IF(AND(D34&lt;&gt;"",D34&lt;Einstellungen!$C$9),"ausgeschieden","aktiv")))</f>
        <v/>
      </c>
      <c r="H34" s="31">
        <f>IF(OR(B34="",E34=""),"",IF(Einstellungen!$C$11="7 Tage",MAX(0,(MIN(IF(D34="",DATE(Einstellungen!$C$3,12,31),D34),Einstellungen!$C$9))-(MAX(C34,DATE(Einstellungen!$C$3,1,1)))+1),MAX(0,NETWORKDAYS(MAX(C34,DATE(Einstellungen!$C$3,1,1)),MIN(IF(D34="",DATE(Einstellungen!$C$3,12,31),D34),Einstellungen!$C$9),Einstellungen!$F$13:$F$32)))*F34)</f>
        <v/>
      </c>
    </row>
    <row r="35">
      <c r="A35" s="26" t="n">
        <v>1030</v>
      </c>
      <c r="B35" s="23" t="inlineStr">
        <is>
          <t>Mitarbeiter 030</t>
        </is>
      </c>
      <c r="C35" s="27" t="n">
        <v>46023</v>
      </c>
      <c r="D35" s="27" t="n"/>
      <c r="E35" s="28" t="n">
        <v>20</v>
      </c>
      <c r="F35" s="29">
        <f>IF(E35="","",E35/5)</f>
        <v/>
      </c>
      <c r="G35" s="30">
        <f>IF(B35="","",IF(C35&gt;Einstellungen!$C$9,"künftig",IF(AND(D35&lt;&gt;"",D35&lt;Einstellungen!$C$9),"ausgeschieden","aktiv")))</f>
        <v/>
      </c>
      <c r="H35" s="31">
        <f>IF(OR(B35="",E35=""),"",IF(Einstellungen!$C$11="7 Tage",MAX(0,(MIN(IF(D35="",DATE(Einstellungen!$C$3,12,31),D35),Einstellungen!$C$9))-(MAX(C35,DATE(Einstellungen!$C$3,1,1)))+1),MAX(0,NETWORKDAYS(MAX(C35,DATE(Einstellungen!$C$3,1,1)),MIN(IF(D35="",DATE(Einstellungen!$C$3,12,31),D35),Einstellungen!$C$9),Einstellungen!$F$13:$F$32)))*F35)</f>
        <v/>
      </c>
    </row>
    <row r="36">
      <c r="A36" s="26" t="n">
        <v>1031</v>
      </c>
      <c r="B36" s="23" t="inlineStr">
        <is>
          <t>Mitarbeiter 031</t>
        </is>
      </c>
      <c r="C36" s="27" t="n">
        <v>46023</v>
      </c>
      <c r="D36" s="27" t="n"/>
      <c r="E36" s="28" t="n">
        <v>30</v>
      </c>
      <c r="F36" s="29">
        <f>IF(E36="","",E36/5)</f>
        <v/>
      </c>
      <c r="G36" s="30">
        <f>IF(B36="","",IF(C36&gt;Einstellungen!$C$9,"künftig",IF(AND(D36&lt;&gt;"",D36&lt;Einstellungen!$C$9),"ausgeschieden","aktiv")))</f>
        <v/>
      </c>
      <c r="H36" s="31">
        <f>IF(OR(B36="",E36=""),"",IF(Einstellungen!$C$11="7 Tage",MAX(0,(MIN(IF(D36="",DATE(Einstellungen!$C$3,12,31),D36),Einstellungen!$C$9))-(MAX(C36,DATE(Einstellungen!$C$3,1,1)))+1),MAX(0,NETWORKDAYS(MAX(C36,DATE(Einstellungen!$C$3,1,1)),MIN(IF(D36="",DATE(Einstellungen!$C$3,12,31),D36),Einstellungen!$C$9),Einstellungen!$F$13:$F$32)))*F36)</f>
        <v/>
      </c>
    </row>
    <row r="37">
      <c r="A37" s="26" t="n">
        <v>1032</v>
      </c>
      <c r="B37" s="23" t="inlineStr">
        <is>
          <t>Mitarbeiter 032</t>
        </is>
      </c>
      <c r="C37" s="27" t="n">
        <v>46023</v>
      </c>
      <c r="D37" s="27" t="n">
        <v>46140</v>
      </c>
      <c r="E37" s="28" t="n">
        <v>20</v>
      </c>
      <c r="F37" s="29">
        <f>IF(E37="","",E37/5)</f>
        <v/>
      </c>
      <c r="G37" s="30">
        <f>IF(B37="","",IF(C37&gt;Einstellungen!$C$9,"künftig",IF(AND(D37&lt;&gt;"",D37&lt;Einstellungen!$C$9),"ausgeschieden","aktiv")))</f>
        <v/>
      </c>
      <c r="H37" s="31">
        <f>IF(OR(B37="",E37=""),"",IF(Einstellungen!$C$11="7 Tage",MAX(0,(MIN(IF(D37="",DATE(Einstellungen!$C$3,12,31),D37),Einstellungen!$C$9))-(MAX(C37,DATE(Einstellungen!$C$3,1,1)))+1),MAX(0,NETWORKDAYS(MAX(C37,DATE(Einstellungen!$C$3,1,1)),MIN(IF(D37="",DATE(Einstellungen!$C$3,12,31),D37),Einstellungen!$C$9),Einstellungen!$F$13:$F$32)))*F37)</f>
        <v/>
      </c>
    </row>
    <row r="38">
      <c r="A38" s="26" t="n">
        <v>1033</v>
      </c>
      <c r="B38" s="23" t="inlineStr">
        <is>
          <t>Mitarbeiter 033</t>
        </is>
      </c>
      <c r="C38" s="27" t="n">
        <v>46023</v>
      </c>
      <c r="D38" s="27" t="n"/>
      <c r="E38" s="28" t="n">
        <v>40</v>
      </c>
      <c r="F38" s="29">
        <f>IF(E38="","",E38/5)</f>
        <v/>
      </c>
      <c r="G38" s="30">
        <f>IF(B38="","",IF(C38&gt;Einstellungen!$C$9,"künftig",IF(AND(D38&lt;&gt;"",D38&lt;Einstellungen!$C$9),"ausgeschieden","aktiv")))</f>
        <v/>
      </c>
      <c r="H38" s="31">
        <f>IF(OR(B38="",E38=""),"",IF(Einstellungen!$C$11="7 Tage",MAX(0,(MIN(IF(D38="",DATE(Einstellungen!$C$3,12,31),D38),Einstellungen!$C$9))-(MAX(C38,DATE(Einstellungen!$C$3,1,1)))+1),MAX(0,NETWORKDAYS(MAX(C38,DATE(Einstellungen!$C$3,1,1)),MIN(IF(D38="",DATE(Einstellungen!$C$3,12,31),D38),Einstellungen!$C$9),Einstellungen!$F$13:$F$32)))*F38)</f>
        <v/>
      </c>
    </row>
    <row r="39">
      <c r="A39" s="26" t="n">
        <v>1034</v>
      </c>
      <c r="B39" s="23" t="inlineStr">
        <is>
          <t>Mitarbeiter 034</t>
        </is>
      </c>
      <c r="C39" s="27" t="n">
        <v>46023</v>
      </c>
      <c r="D39" s="27" t="n">
        <v>46170</v>
      </c>
      <c r="E39" s="28" t="n">
        <v>30</v>
      </c>
      <c r="F39" s="29">
        <f>IF(E39="","",E39/5)</f>
        <v/>
      </c>
      <c r="G39" s="30">
        <f>IF(B39="","",IF(C39&gt;Einstellungen!$C$9,"künftig",IF(AND(D39&lt;&gt;"",D39&lt;Einstellungen!$C$9),"ausgeschieden","aktiv")))</f>
        <v/>
      </c>
      <c r="H39" s="31">
        <f>IF(OR(B39="",E39=""),"",IF(Einstellungen!$C$11="7 Tage",MAX(0,(MIN(IF(D39="",DATE(Einstellungen!$C$3,12,31),D39),Einstellungen!$C$9))-(MAX(C39,DATE(Einstellungen!$C$3,1,1)))+1),MAX(0,NETWORKDAYS(MAX(C39,DATE(Einstellungen!$C$3,1,1)),MIN(IF(D39="",DATE(Einstellungen!$C$3,12,31),D39),Einstellungen!$C$9),Einstellungen!$F$13:$F$32)))*F39)</f>
        <v/>
      </c>
    </row>
    <row r="40">
      <c r="A40" s="26" t="n">
        <v>1035</v>
      </c>
      <c r="B40" s="23" t="inlineStr">
        <is>
          <t>Mitarbeiter 035</t>
        </is>
      </c>
      <c r="C40" s="27" t="n">
        <v>46023</v>
      </c>
      <c r="D40" s="27" t="n"/>
      <c r="E40" s="28" t="n">
        <v>40</v>
      </c>
      <c r="F40" s="29">
        <f>IF(E40="","",E40/5)</f>
        <v/>
      </c>
      <c r="G40" s="30">
        <f>IF(B40="","",IF(C40&gt;Einstellungen!$C$9,"künftig",IF(AND(D40&lt;&gt;"",D40&lt;Einstellungen!$C$9),"ausgeschieden","aktiv")))</f>
        <v/>
      </c>
      <c r="H40" s="31">
        <f>IF(OR(B40="",E40=""),"",IF(Einstellungen!$C$11="7 Tage",MAX(0,(MIN(IF(D40="",DATE(Einstellungen!$C$3,12,31),D40),Einstellungen!$C$9))-(MAX(C40,DATE(Einstellungen!$C$3,1,1)))+1),MAX(0,NETWORKDAYS(MAX(C40,DATE(Einstellungen!$C$3,1,1)),MIN(IF(D40="",DATE(Einstellungen!$C$3,12,31),D40),Einstellungen!$C$9),Einstellungen!$F$13:$F$32)))*F40)</f>
        <v/>
      </c>
    </row>
    <row r="41">
      <c r="A41" s="26" t="n">
        <v>1036</v>
      </c>
      <c r="B41" s="23" t="inlineStr">
        <is>
          <t>Mitarbeiter 036</t>
        </is>
      </c>
      <c r="C41" s="27" t="n">
        <v>46023</v>
      </c>
      <c r="D41" s="27" t="n"/>
      <c r="E41" s="28" t="n">
        <v>40</v>
      </c>
      <c r="F41" s="29">
        <f>IF(E41="","",E41/5)</f>
        <v/>
      </c>
      <c r="G41" s="30">
        <f>IF(B41="","",IF(C41&gt;Einstellungen!$C$9,"künftig",IF(AND(D41&lt;&gt;"",D41&lt;Einstellungen!$C$9),"ausgeschieden","aktiv")))</f>
        <v/>
      </c>
      <c r="H41" s="31">
        <f>IF(OR(B41="",E41=""),"",IF(Einstellungen!$C$11="7 Tage",MAX(0,(MIN(IF(D41="",DATE(Einstellungen!$C$3,12,31),D41),Einstellungen!$C$9))-(MAX(C41,DATE(Einstellungen!$C$3,1,1)))+1),MAX(0,NETWORKDAYS(MAX(C41,DATE(Einstellungen!$C$3,1,1)),MIN(IF(D41="",DATE(Einstellungen!$C$3,12,31),D41),Einstellungen!$C$9),Einstellungen!$F$13:$F$32)))*F41)</f>
        <v/>
      </c>
    </row>
    <row r="42">
      <c r="A42" s="26" t="n">
        <v>1037</v>
      </c>
      <c r="B42" s="23" t="inlineStr">
        <is>
          <t>Mitarbeiter 037</t>
        </is>
      </c>
      <c r="C42" s="27" t="n">
        <v>46023</v>
      </c>
      <c r="D42" s="27" t="n"/>
      <c r="E42" s="28" t="n">
        <v>40</v>
      </c>
      <c r="F42" s="29">
        <f>IF(E42="","",E42/5)</f>
        <v/>
      </c>
      <c r="G42" s="30">
        <f>IF(B42="","",IF(C42&gt;Einstellungen!$C$9,"künftig",IF(AND(D42&lt;&gt;"",D42&lt;Einstellungen!$C$9),"ausgeschieden","aktiv")))</f>
        <v/>
      </c>
      <c r="H42" s="31">
        <f>IF(OR(B42="",E42=""),"",IF(Einstellungen!$C$11="7 Tage",MAX(0,(MIN(IF(D42="",DATE(Einstellungen!$C$3,12,31),D42),Einstellungen!$C$9))-(MAX(C42,DATE(Einstellungen!$C$3,1,1)))+1),MAX(0,NETWORKDAYS(MAX(C42,DATE(Einstellungen!$C$3,1,1)),MIN(IF(D42="",DATE(Einstellungen!$C$3,12,31),D42),Einstellungen!$C$9),Einstellungen!$F$13:$F$32)))*F42)</f>
        <v/>
      </c>
    </row>
    <row r="43">
      <c r="A43" s="26" t="n">
        <v>1038</v>
      </c>
      <c r="B43" s="23" t="inlineStr">
        <is>
          <t>Mitarbeiter 038</t>
        </is>
      </c>
      <c r="C43" s="27" t="n">
        <v>46023</v>
      </c>
      <c r="D43" s="27" t="n"/>
      <c r="E43" s="28" t="n">
        <v>40</v>
      </c>
      <c r="F43" s="29">
        <f>IF(E43="","",E43/5)</f>
        <v/>
      </c>
      <c r="G43" s="30">
        <f>IF(B43="","",IF(C43&gt;Einstellungen!$C$9,"künftig",IF(AND(D43&lt;&gt;"",D43&lt;Einstellungen!$C$9),"ausgeschieden","aktiv")))</f>
        <v/>
      </c>
      <c r="H43" s="31">
        <f>IF(OR(B43="",E43=""),"",IF(Einstellungen!$C$11="7 Tage",MAX(0,(MIN(IF(D43="",DATE(Einstellungen!$C$3,12,31),D43),Einstellungen!$C$9))-(MAX(C43,DATE(Einstellungen!$C$3,1,1)))+1),MAX(0,NETWORKDAYS(MAX(C43,DATE(Einstellungen!$C$3,1,1)),MIN(IF(D43="",DATE(Einstellungen!$C$3,12,31),D43),Einstellungen!$C$9),Einstellungen!$F$13:$F$32)))*F43)</f>
        <v/>
      </c>
    </row>
    <row r="44">
      <c r="A44" s="26" t="n">
        <v>1039</v>
      </c>
      <c r="B44" s="23" t="inlineStr">
        <is>
          <t>Mitarbeiter 039</t>
        </is>
      </c>
      <c r="C44" s="27" t="n">
        <v>46023</v>
      </c>
      <c r="D44" s="27" t="n"/>
      <c r="E44" s="28" t="n">
        <v>40</v>
      </c>
      <c r="F44" s="29">
        <f>IF(E44="","",E44/5)</f>
        <v/>
      </c>
      <c r="G44" s="30">
        <f>IF(B44="","",IF(C44&gt;Einstellungen!$C$9,"künftig",IF(AND(D44&lt;&gt;"",D44&lt;Einstellungen!$C$9),"ausgeschieden","aktiv")))</f>
        <v/>
      </c>
      <c r="H44" s="31">
        <f>IF(OR(B44="",E44=""),"",IF(Einstellungen!$C$11="7 Tage",MAX(0,(MIN(IF(D44="",DATE(Einstellungen!$C$3,12,31),D44),Einstellungen!$C$9))-(MAX(C44,DATE(Einstellungen!$C$3,1,1)))+1),MAX(0,NETWORKDAYS(MAX(C44,DATE(Einstellungen!$C$3,1,1)),MIN(IF(D44="",DATE(Einstellungen!$C$3,12,31),D44),Einstellungen!$C$9),Einstellungen!$F$13:$F$32)))*F44)</f>
        <v/>
      </c>
    </row>
    <row r="45">
      <c r="A45" s="26" t="n">
        <v>1040</v>
      </c>
      <c r="B45" s="23" t="inlineStr">
        <is>
          <t>Mitarbeiter 040</t>
        </is>
      </c>
      <c r="C45" s="27" t="n">
        <v>46023</v>
      </c>
      <c r="D45" s="27" t="n"/>
      <c r="E45" s="28" t="n">
        <v>40</v>
      </c>
      <c r="F45" s="29">
        <f>IF(E45="","",E45/5)</f>
        <v/>
      </c>
      <c r="G45" s="30">
        <f>IF(B45="","",IF(C45&gt;Einstellungen!$C$9,"künftig",IF(AND(D45&lt;&gt;"",D45&lt;Einstellungen!$C$9),"ausgeschieden","aktiv")))</f>
        <v/>
      </c>
      <c r="H45" s="31">
        <f>IF(OR(B45="",E45=""),"",IF(Einstellungen!$C$11="7 Tage",MAX(0,(MIN(IF(D45="",DATE(Einstellungen!$C$3,12,31),D45),Einstellungen!$C$9))-(MAX(C45,DATE(Einstellungen!$C$3,1,1)))+1),MAX(0,NETWORKDAYS(MAX(C45,DATE(Einstellungen!$C$3,1,1)),MIN(IF(D45="",DATE(Einstellungen!$C$3,12,31),D45),Einstellungen!$C$9),Einstellungen!$F$13:$F$32)))*F45)</f>
        <v/>
      </c>
    </row>
    <row r="46">
      <c r="A46" s="26" t="n">
        <v>1041</v>
      </c>
      <c r="B46" s="23" t="inlineStr">
        <is>
          <t>Mitarbeiter 041</t>
        </is>
      </c>
      <c r="C46" s="27" t="n">
        <v>46023</v>
      </c>
      <c r="D46" s="27" t="n">
        <v>46231</v>
      </c>
      <c r="E46" s="28" t="n">
        <v>40</v>
      </c>
      <c r="F46" s="29">
        <f>IF(E46="","",E46/5)</f>
        <v/>
      </c>
      <c r="G46" s="30">
        <f>IF(B46="","",IF(C46&gt;Einstellungen!$C$9,"künftig",IF(AND(D46&lt;&gt;"",D46&lt;Einstellungen!$C$9),"ausgeschieden","aktiv")))</f>
        <v/>
      </c>
      <c r="H46" s="31">
        <f>IF(OR(B46="",E46=""),"",IF(Einstellungen!$C$11="7 Tage",MAX(0,(MIN(IF(D46="",DATE(Einstellungen!$C$3,12,31),D46),Einstellungen!$C$9))-(MAX(C46,DATE(Einstellungen!$C$3,1,1)))+1),MAX(0,NETWORKDAYS(MAX(C46,DATE(Einstellungen!$C$3,1,1)),MIN(IF(D46="",DATE(Einstellungen!$C$3,12,31),D46),Einstellungen!$C$9),Einstellungen!$F$13:$F$32)))*F46)</f>
        <v/>
      </c>
    </row>
    <row r="47">
      <c r="A47" s="26" t="n">
        <v>1042</v>
      </c>
      <c r="B47" s="23" t="inlineStr">
        <is>
          <t>Mitarbeiter 042</t>
        </is>
      </c>
      <c r="C47" s="27" t="n">
        <v>46023</v>
      </c>
      <c r="D47" s="27" t="n"/>
      <c r="E47" s="28" t="n">
        <v>20</v>
      </c>
      <c r="F47" s="29">
        <f>IF(E47="","",E47/5)</f>
        <v/>
      </c>
      <c r="G47" s="30">
        <f>IF(B47="","",IF(C47&gt;Einstellungen!$C$9,"künftig",IF(AND(D47&lt;&gt;"",D47&lt;Einstellungen!$C$9),"ausgeschieden","aktiv")))</f>
        <v/>
      </c>
      <c r="H47" s="31">
        <f>IF(OR(B47="",E47=""),"",IF(Einstellungen!$C$11="7 Tage",MAX(0,(MIN(IF(D47="",DATE(Einstellungen!$C$3,12,31),D47),Einstellungen!$C$9))-(MAX(C47,DATE(Einstellungen!$C$3,1,1)))+1),MAX(0,NETWORKDAYS(MAX(C47,DATE(Einstellungen!$C$3,1,1)),MIN(IF(D47="",DATE(Einstellungen!$C$3,12,31),D47),Einstellungen!$C$9),Einstellungen!$F$13:$F$32)))*F47)</f>
        <v/>
      </c>
    </row>
    <row r="48">
      <c r="A48" s="26" t="n">
        <v>1043</v>
      </c>
      <c r="B48" s="23" t="inlineStr">
        <is>
          <t>Mitarbeiter 043</t>
        </is>
      </c>
      <c r="C48" s="27" t="n">
        <v>46023</v>
      </c>
      <c r="D48" s="27" t="n">
        <v>46231</v>
      </c>
      <c r="E48" s="28" t="n">
        <v>40</v>
      </c>
      <c r="F48" s="29">
        <f>IF(E48="","",E48/5)</f>
        <v/>
      </c>
      <c r="G48" s="30">
        <f>IF(B48="","",IF(C48&gt;Einstellungen!$C$9,"künftig",IF(AND(D48&lt;&gt;"",D48&lt;Einstellungen!$C$9),"ausgeschieden","aktiv")))</f>
        <v/>
      </c>
      <c r="H48" s="31">
        <f>IF(OR(B48="",E48=""),"",IF(Einstellungen!$C$11="7 Tage",MAX(0,(MIN(IF(D48="",DATE(Einstellungen!$C$3,12,31),D48),Einstellungen!$C$9))-(MAX(C48,DATE(Einstellungen!$C$3,1,1)))+1),MAX(0,NETWORKDAYS(MAX(C48,DATE(Einstellungen!$C$3,1,1)),MIN(IF(D48="",DATE(Einstellungen!$C$3,12,31),D48),Einstellungen!$C$9),Einstellungen!$F$13:$F$32)))*F48)</f>
        <v/>
      </c>
    </row>
    <row r="49">
      <c r="A49" s="26" t="n">
        <v>1044</v>
      </c>
      <c r="B49" s="23" t="inlineStr">
        <is>
          <t>Mitarbeiter 044</t>
        </is>
      </c>
      <c r="C49" s="27" t="n">
        <v>46023</v>
      </c>
      <c r="D49" s="27" t="n">
        <v>46109</v>
      </c>
      <c r="E49" s="28" t="n">
        <v>40</v>
      </c>
      <c r="F49" s="29">
        <f>IF(E49="","",E49/5)</f>
        <v/>
      </c>
      <c r="G49" s="30">
        <f>IF(B49="","",IF(C49&gt;Einstellungen!$C$9,"künftig",IF(AND(D49&lt;&gt;"",D49&lt;Einstellungen!$C$9),"ausgeschieden","aktiv")))</f>
        <v/>
      </c>
      <c r="H49" s="31">
        <f>IF(OR(B49="",E49=""),"",IF(Einstellungen!$C$11="7 Tage",MAX(0,(MIN(IF(D49="",DATE(Einstellungen!$C$3,12,31),D49),Einstellungen!$C$9))-(MAX(C49,DATE(Einstellungen!$C$3,1,1)))+1),MAX(0,NETWORKDAYS(MAX(C49,DATE(Einstellungen!$C$3,1,1)),MIN(IF(D49="",DATE(Einstellungen!$C$3,12,31),D49),Einstellungen!$C$9),Einstellungen!$F$13:$F$32)))*F49)</f>
        <v/>
      </c>
    </row>
    <row r="50">
      <c r="A50" s="26" t="n">
        <v>1045</v>
      </c>
      <c r="B50" s="23" t="inlineStr">
        <is>
          <t>Mitarbeiter 045</t>
        </is>
      </c>
      <c r="C50" s="27" t="n">
        <v>46023</v>
      </c>
      <c r="D50" s="27" t="n"/>
      <c r="E50" s="28" t="n">
        <v>40</v>
      </c>
      <c r="F50" s="29">
        <f>IF(E50="","",E50/5)</f>
        <v/>
      </c>
      <c r="G50" s="30">
        <f>IF(B50="","",IF(C50&gt;Einstellungen!$C$9,"künftig",IF(AND(D50&lt;&gt;"",D50&lt;Einstellungen!$C$9),"ausgeschieden","aktiv")))</f>
        <v/>
      </c>
      <c r="H50" s="31">
        <f>IF(OR(B50="",E50=""),"",IF(Einstellungen!$C$11="7 Tage",MAX(0,(MIN(IF(D50="",DATE(Einstellungen!$C$3,12,31),D50),Einstellungen!$C$9))-(MAX(C50,DATE(Einstellungen!$C$3,1,1)))+1),MAX(0,NETWORKDAYS(MAX(C50,DATE(Einstellungen!$C$3,1,1)),MIN(IF(D50="",DATE(Einstellungen!$C$3,12,31),D50),Einstellungen!$C$9),Einstellungen!$F$13:$F$32)))*F50)</f>
        <v/>
      </c>
    </row>
    <row r="51">
      <c r="A51" s="26" t="n">
        <v>1046</v>
      </c>
      <c r="B51" s="23" t="inlineStr">
        <is>
          <t>Mitarbeiter 046</t>
        </is>
      </c>
      <c r="C51" s="27" t="n">
        <v>46143</v>
      </c>
      <c r="D51" s="27" t="n">
        <v>46081</v>
      </c>
      <c r="E51" s="28" t="n">
        <v>40</v>
      </c>
      <c r="F51" s="29">
        <f>IF(E51="","",E51/5)</f>
        <v/>
      </c>
      <c r="G51" s="30">
        <f>IF(B51="","",IF(C51&gt;Einstellungen!$C$9,"künftig",IF(AND(D51&lt;&gt;"",D51&lt;Einstellungen!$C$9),"ausgeschieden","aktiv")))</f>
        <v/>
      </c>
      <c r="H51" s="31">
        <f>IF(OR(B51="",E51=""),"",IF(Einstellungen!$C$11="7 Tage",MAX(0,(MIN(IF(D51="",DATE(Einstellungen!$C$3,12,31),D51),Einstellungen!$C$9))-(MAX(C51,DATE(Einstellungen!$C$3,1,1)))+1),MAX(0,NETWORKDAYS(MAX(C51,DATE(Einstellungen!$C$3,1,1)),MIN(IF(D51="",DATE(Einstellungen!$C$3,12,31),D51),Einstellungen!$C$9),Einstellungen!$F$13:$F$32)))*F51)</f>
        <v/>
      </c>
    </row>
    <row r="52">
      <c r="A52" s="26" t="n">
        <v>1047</v>
      </c>
      <c r="B52" s="23" t="inlineStr">
        <is>
          <t>Mitarbeiter 047</t>
        </is>
      </c>
      <c r="C52" s="27" t="n">
        <v>46174</v>
      </c>
      <c r="D52" s="27" t="n"/>
      <c r="E52" s="28" t="n">
        <v>30</v>
      </c>
      <c r="F52" s="29">
        <f>IF(E52="","",E52/5)</f>
        <v/>
      </c>
      <c r="G52" s="30">
        <f>IF(B52="","",IF(C52&gt;Einstellungen!$C$9,"künftig",IF(AND(D52&lt;&gt;"",D52&lt;Einstellungen!$C$9),"ausgeschieden","aktiv")))</f>
        <v/>
      </c>
      <c r="H52" s="31">
        <f>IF(OR(B52="",E52=""),"",IF(Einstellungen!$C$11="7 Tage",MAX(0,(MIN(IF(D52="",DATE(Einstellungen!$C$3,12,31),D52),Einstellungen!$C$9))-(MAX(C52,DATE(Einstellungen!$C$3,1,1)))+1),MAX(0,NETWORKDAYS(MAX(C52,DATE(Einstellungen!$C$3,1,1)),MIN(IF(D52="",DATE(Einstellungen!$C$3,12,31),D52),Einstellungen!$C$9),Einstellungen!$F$13:$F$32)))*F52)</f>
        <v/>
      </c>
    </row>
    <row r="53">
      <c r="A53" s="26" t="n">
        <v>1048</v>
      </c>
      <c r="B53" s="23" t="inlineStr">
        <is>
          <t>Mitarbeiter 048</t>
        </is>
      </c>
      <c r="C53" s="27" t="n">
        <v>46054</v>
      </c>
      <c r="D53" s="27" t="n">
        <v>46231</v>
      </c>
      <c r="E53" s="28" t="n">
        <v>40</v>
      </c>
      <c r="F53" s="29">
        <f>IF(E53="","",E53/5)</f>
        <v/>
      </c>
      <c r="G53" s="30">
        <f>IF(B53="","",IF(C53&gt;Einstellungen!$C$9,"künftig",IF(AND(D53&lt;&gt;"",D53&lt;Einstellungen!$C$9),"ausgeschieden","aktiv")))</f>
        <v/>
      </c>
      <c r="H53" s="31">
        <f>IF(OR(B53="",E53=""),"",IF(Einstellungen!$C$11="7 Tage",MAX(0,(MIN(IF(D53="",DATE(Einstellungen!$C$3,12,31),D53),Einstellungen!$C$9))-(MAX(C53,DATE(Einstellungen!$C$3,1,1)))+1),MAX(0,NETWORKDAYS(MAX(C53,DATE(Einstellungen!$C$3,1,1)),MIN(IF(D53="",DATE(Einstellungen!$C$3,12,31),D53),Einstellungen!$C$9),Einstellungen!$F$13:$F$32)))*F53)</f>
        <v/>
      </c>
    </row>
    <row r="54">
      <c r="A54" s="26" t="n">
        <v>1049</v>
      </c>
      <c r="B54" s="23" t="inlineStr">
        <is>
          <t>Mitarbeiter 049</t>
        </is>
      </c>
      <c r="C54" s="27" t="n">
        <v>46143</v>
      </c>
      <c r="D54" s="27" t="n"/>
      <c r="E54" s="28" t="n">
        <v>40</v>
      </c>
      <c r="F54" s="29">
        <f>IF(E54="","",E54/5)</f>
        <v/>
      </c>
      <c r="G54" s="30">
        <f>IF(B54="","",IF(C54&gt;Einstellungen!$C$9,"künftig",IF(AND(D54&lt;&gt;"",D54&lt;Einstellungen!$C$9),"ausgeschieden","aktiv")))</f>
        <v/>
      </c>
      <c r="H54" s="31">
        <f>IF(OR(B54="",E54=""),"",IF(Einstellungen!$C$11="7 Tage",MAX(0,(MIN(IF(D54="",DATE(Einstellungen!$C$3,12,31),D54),Einstellungen!$C$9))-(MAX(C54,DATE(Einstellungen!$C$3,1,1)))+1),MAX(0,NETWORKDAYS(MAX(C54,DATE(Einstellungen!$C$3,1,1)),MIN(IF(D54="",DATE(Einstellungen!$C$3,12,31),D54),Einstellungen!$C$9),Einstellungen!$F$13:$F$32)))*F54)</f>
        <v/>
      </c>
    </row>
    <row r="55">
      <c r="A55" s="26" t="n">
        <v>1050</v>
      </c>
      <c r="B55" s="23" t="inlineStr">
        <is>
          <t>Mitarbeiter 050</t>
        </is>
      </c>
      <c r="C55" s="27" t="n">
        <v>46054</v>
      </c>
      <c r="D55" s="27" t="n"/>
      <c r="E55" s="28" t="n">
        <v>40</v>
      </c>
      <c r="F55" s="29">
        <f>IF(E55="","",E55/5)</f>
        <v/>
      </c>
      <c r="G55" s="30">
        <f>IF(B55="","",IF(C55&gt;Einstellungen!$C$9,"künftig",IF(AND(D55&lt;&gt;"",D55&lt;Einstellungen!$C$9),"ausgeschieden","aktiv")))</f>
        <v/>
      </c>
      <c r="H55" s="31">
        <f>IF(OR(B55="",E55=""),"",IF(Einstellungen!$C$11="7 Tage",MAX(0,(MIN(IF(D55="",DATE(Einstellungen!$C$3,12,31),D55),Einstellungen!$C$9))-(MAX(C55,DATE(Einstellungen!$C$3,1,1)))+1),MAX(0,NETWORKDAYS(MAX(C55,DATE(Einstellungen!$C$3,1,1)),MIN(IF(D55="",DATE(Einstellungen!$C$3,12,31),D55),Einstellungen!$C$9),Einstellungen!$F$13:$F$32)))*F55)</f>
        <v/>
      </c>
    </row>
    <row r="56">
      <c r="A56" s="26" t="n">
        <v>1051</v>
      </c>
      <c r="B56" s="23" t="inlineStr">
        <is>
          <t>Mitarbeiter 051</t>
        </is>
      </c>
      <c r="C56" s="27" t="n">
        <v>46235</v>
      </c>
      <c r="D56" s="27" t="n"/>
      <c r="E56" s="28" t="n">
        <v>40</v>
      </c>
      <c r="F56" s="29">
        <f>IF(E56="","",E56/5)</f>
        <v/>
      </c>
      <c r="G56" s="30">
        <f>IF(B56="","",IF(C56&gt;Einstellungen!$C$9,"künftig",IF(AND(D56&lt;&gt;"",D56&lt;Einstellungen!$C$9),"ausgeschieden","aktiv")))</f>
        <v/>
      </c>
      <c r="H56" s="31">
        <f>IF(OR(B56="",E56=""),"",IF(Einstellungen!$C$11="7 Tage",MAX(0,(MIN(IF(D56="",DATE(Einstellungen!$C$3,12,31),D56),Einstellungen!$C$9))-(MAX(C56,DATE(Einstellungen!$C$3,1,1)))+1),MAX(0,NETWORKDAYS(MAX(C56,DATE(Einstellungen!$C$3,1,1)),MIN(IF(D56="",DATE(Einstellungen!$C$3,12,31),D56),Einstellungen!$C$9),Einstellungen!$F$13:$F$32)))*F56)</f>
        <v/>
      </c>
    </row>
    <row r="57">
      <c r="A57" s="26" t="n">
        <v>1052</v>
      </c>
      <c r="B57" s="23" t="inlineStr">
        <is>
          <t>Mitarbeiter 052</t>
        </is>
      </c>
      <c r="C57" s="27" t="n">
        <v>46082</v>
      </c>
      <c r="D57" s="27" t="n"/>
      <c r="E57" s="28" t="n">
        <v>20</v>
      </c>
      <c r="F57" s="29">
        <f>IF(E57="","",E57/5)</f>
        <v/>
      </c>
      <c r="G57" s="30">
        <f>IF(B57="","",IF(C57&gt;Einstellungen!$C$9,"künftig",IF(AND(D57&lt;&gt;"",D57&lt;Einstellungen!$C$9),"ausgeschieden","aktiv")))</f>
        <v/>
      </c>
      <c r="H57" s="31">
        <f>IF(OR(B57="",E57=""),"",IF(Einstellungen!$C$11="7 Tage",MAX(0,(MIN(IF(D57="",DATE(Einstellungen!$C$3,12,31),D57),Einstellungen!$C$9))-(MAX(C57,DATE(Einstellungen!$C$3,1,1)))+1),MAX(0,NETWORKDAYS(MAX(C57,DATE(Einstellungen!$C$3,1,1)),MIN(IF(D57="",DATE(Einstellungen!$C$3,12,31),D57),Einstellungen!$C$9),Einstellungen!$F$13:$F$32)))*F57)</f>
        <v/>
      </c>
    </row>
    <row r="58">
      <c r="A58" s="26" t="n">
        <v>1053</v>
      </c>
      <c r="B58" s="23" t="inlineStr">
        <is>
          <t>Mitarbeiter 053</t>
        </is>
      </c>
      <c r="C58" s="27" t="n">
        <v>46082</v>
      </c>
      <c r="D58" s="27" t="n"/>
      <c r="E58" s="28" t="n">
        <v>30</v>
      </c>
      <c r="F58" s="29">
        <f>IF(E58="","",E58/5)</f>
        <v/>
      </c>
      <c r="G58" s="30">
        <f>IF(B58="","",IF(C58&gt;Einstellungen!$C$9,"künftig",IF(AND(D58&lt;&gt;"",D58&lt;Einstellungen!$C$9),"ausgeschieden","aktiv")))</f>
        <v/>
      </c>
      <c r="H58" s="31">
        <f>IF(OR(B58="",E58=""),"",IF(Einstellungen!$C$11="7 Tage",MAX(0,(MIN(IF(D58="",DATE(Einstellungen!$C$3,12,31),D58),Einstellungen!$C$9))-(MAX(C58,DATE(Einstellungen!$C$3,1,1)))+1),MAX(0,NETWORKDAYS(MAX(C58,DATE(Einstellungen!$C$3,1,1)),MIN(IF(D58="",DATE(Einstellungen!$C$3,12,31),D58),Einstellungen!$C$9),Einstellungen!$F$13:$F$32)))*F58)</f>
        <v/>
      </c>
    </row>
    <row r="59">
      <c r="A59" s="26" t="n">
        <v>1054</v>
      </c>
      <c r="B59" s="23" t="inlineStr">
        <is>
          <t>Mitarbeiter 054</t>
        </is>
      </c>
      <c r="C59" s="27" t="n">
        <v>46054</v>
      </c>
      <c r="D59" s="27" t="n">
        <v>46231</v>
      </c>
      <c r="E59" s="28" t="n">
        <v>40</v>
      </c>
      <c r="F59" s="29">
        <f>IF(E59="","",E59/5)</f>
        <v/>
      </c>
      <c r="G59" s="30">
        <f>IF(B59="","",IF(C59&gt;Einstellungen!$C$9,"künftig",IF(AND(D59&lt;&gt;"",D59&lt;Einstellungen!$C$9),"ausgeschieden","aktiv")))</f>
        <v/>
      </c>
      <c r="H59" s="31">
        <f>IF(OR(B59="",E59=""),"",IF(Einstellungen!$C$11="7 Tage",MAX(0,(MIN(IF(D59="",DATE(Einstellungen!$C$3,12,31),D59),Einstellungen!$C$9))-(MAX(C59,DATE(Einstellungen!$C$3,1,1)))+1),MAX(0,NETWORKDAYS(MAX(C59,DATE(Einstellungen!$C$3,1,1)),MIN(IF(D59="",DATE(Einstellungen!$C$3,12,31),D59),Einstellungen!$C$9),Einstellungen!$F$13:$F$32)))*F59)</f>
        <v/>
      </c>
    </row>
    <row r="60">
      <c r="A60" s="26" t="n">
        <v>1055</v>
      </c>
      <c r="B60" s="23" t="inlineStr">
        <is>
          <t>Mitarbeiter 055</t>
        </is>
      </c>
      <c r="C60" s="27" t="n">
        <v>46054</v>
      </c>
      <c r="D60" s="27" t="n"/>
      <c r="E60" s="28" t="n">
        <v>40</v>
      </c>
      <c r="F60" s="29">
        <f>IF(E60="","",E60/5)</f>
        <v/>
      </c>
      <c r="G60" s="30">
        <f>IF(B60="","",IF(C60&gt;Einstellungen!$C$9,"künftig",IF(AND(D60&lt;&gt;"",D60&lt;Einstellungen!$C$9),"ausgeschieden","aktiv")))</f>
        <v/>
      </c>
      <c r="H60" s="31">
        <f>IF(OR(B60="",E60=""),"",IF(Einstellungen!$C$11="7 Tage",MAX(0,(MIN(IF(D60="",DATE(Einstellungen!$C$3,12,31),D60),Einstellungen!$C$9))-(MAX(C60,DATE(Einstellungen!$C$3,1,1)))+1),MAX(0,NETWORKDAYS(MAX(C60,DATE(Einstellungen!$C$3,1,1)),MIN(IF(D60="",DATE(Einstellungen!$C$3,12,31),D60),Einstellungen!$C$9),Einstellungen!$F$13:$F$32)))*F60)</f>
        <v/>
      </c>
    </row>
    <row r="61">
      <c r="A61" s="26" t="n"/>
      <c r="B61" s="23" t="n"/>
      <c r="C61" s="27" t="n"/>
      <c r="D61" s="27" t="n"/>
      <c r="E61" s="28" t="n"/>
      <c r="F61" s="29">
        <f>IF(E61="","",E61/5)</f>
        <v/>
      </c>
      <c r="G61" s="30">
        <f>IF(B61="","",IF(C61&gt;Einstellungen!$C$9,"künftig",IF(AND(D61&lt;&gt;"",D61&lt;Einstellungen!$C$9),"ausgeschieden","aktiv")))</f>
        <v/>
      </c>
      <c r="H61" s="31">
        <f>IF(OR(B61="",E61=""),"",IF(Einstellungen!$C$11="7 Tage",MAX(0,(MIN(IF(D61="",DATE(Einstellungen!$C$3,12,31),D61),Einstellungen!$C$9))-(MAX(C61,DATE(Einstellungen!$C$3,1,1)))+1),MAX(0,NETWORKDAYS(MAX(C61,DATE(Einstellungen!$C$3,1,1)),MIN(IF(D61="",DATE(Einstellungen!$C$3,12,31),D61),Einstellungen!$C$9),Einstellungen!$F$13:$F$32)))*F61)</f>
        <v/>
      </c>
    </row>
    <row r="62">
      <c r="A62" s="26" t="n"/>
      <c r="B62" s="23" t="n"/>
      <c r="C62" s="27" t="n"/>
      <c r="D62" s="27" t="n"/>
      <c r="E62" s="28" t="n"/>
      <c r="F62" s="29">
        <f>IF(E62="","",E62/5)</f>
        <v/>
      </c>
      <c r="G62" s="30">
        <f>IF(B62="","",IF(C62&gt;Einstellungen!$C$9,"künftig",IF(AND(D62&lt;&gt;"",D62&lt;Einstellungen!$C$9),"ausgeschieden","aktiv")))</f>
        <v/>
      </c>
      <c r="H62" s="31">
        <f>IF(OR(B62="",E62=""),"",IF(Einstellungen!$C$11="7 Tage",MAX(0,(MIN(IF(D62="",DATE(Einstellungen!$C$3,12,31),D62),Einstellungen!$C$9))-(MAX(C62,DATE(Einstellungen!$C$3,1,1)))+1),MAX(0,NETWORKDAYS(MAX(C62,DATE(Einstellungen!$C$3,1,1)),MIN(IF(D62="",DATE(Einstellungen!$C$3,12,31),D62),Einstellungen!$C$9),Einstellungen!$F$13:$F$32)))*F62)</f>
        <v/>
      </c>
    </row>
    <row r="63">
      <c r="A63" s="26" t="n"/>
      <c r="B63" s="23" t="n"/>
      <c r="C63" s="27" t="n"/>
      <c r="D63" s="27" t="n"/>
      <c r="E63" s="28" t="n"/>
      <c r="F63" s="29">
        <f>IF(E63="","",E63/5)</f>
        <v/>
      </c>
      <c r="G63" s="30">
        <f>IF(B63="","",IF(C63&gt;Einstellungen!$C$9,"künftig",IF(AND(D63&lt;&gt;"",D63&lt;Einstellungen!$C$9),"ausgeschieden","aktiv")))</f>
        <v/>
      </c>
      <c r="H63" s="31">
        <f>IF(OR(B63="",E63=""),"",IF(Einstellungen!$C$11="7 Tage",MAX(0,(MIN(IF(D63="",DATE(Einstellungen!$C$3,12,31),D63),Einstellungen!$C$9))-(MAX(C63,DATE(Einstellungen!$C$3,1,1)))+1),MAX(0,NETWORKDAYS(MAX(C63,DATE(Einstellungen!$C$3,1,1)),MIN(IF(D63="",DATE(Einstellungen!$C$3,12,31),D63),Einstellungen!$C$9),Einstellungen!$F$13:$F$32)))*F63)</f>
        <v/>
      </c>
    </row>
    <row r="64">
      <c r="A64" s="26" t="n"/>
      <c r="B64" s="23" t="n"/>
      <c r="C64" s="27" t="n"/>
      <c r="D64" s="27" t="n"/>
      <c r="E64" s="28" t="n"/>
      <c r="F64" s="29">
        <f>IF(E64="","",E64/5)</f>
        <v/>
      </c>
      <c r="G64" s="30">
        <f>IF(B64="","",IF(C64&gt;Einstellungen!$C$9,"künftig",IF(AND(D64&lt;&gt;"",D64&lt;Einstellungen!$C$9),"ausgeschieden","aktiv")))</f>
        <v/>
      </c>
      <c r="H64" s="31">
        <f>IF(OR(B64="",E64=""),"",IF(Einstellungen!$C$11="7 Tage",MAX(0,(MIN(IF(D64="",DATE(Einstellungen!$C$3,12,31),D64),Einstellungen!$C$9))-(MAX(C64,DATE(Einstellungen!$C$3,1,1)))+1),MAX(0,NETWORKDAYS(MAX(C64,DATE(Einstellungen!$C$3,1,1)),MIN(IF(D64="",DATE(Einstellungen!$C$3,12,31),D64),Einstellungen!$C$9),Einstellungen!$F$13:$F$32)))*F64)</f>
        <v/>
      </c>
    </row>
    <row r="65">
      <c r="A65" s="26" t="n"/>
      <c r="B65" s="23" t="n"/>
      <c r="C65" s="27" t="n"/>
      <c r="D65" s="27" t="n"/>
      <c r="E65" s="28" t="n"/>
      <c r="F65" s="29">
        <f>IF(E65="","",E65/5)</f>
        <v/>
      </c>
      <c r="G65" s="30">
        <f>IF(B65="","",IF(C65&gt;Einstellungen!$C$9,"künftig",IF(AND(D65&lt;&gt;"",D65&lt;Einstellungen!$C$9),"ausgeschieden","aktiv")))</f>
        <v/>
      </c>
      <c r="H65" s="31">
        <f>IF(OR(B65="",E65=""),"",IF(Einstellungen!$C$11="7 Tage",MAX(0,(MIN(IF(D65="",DATE(Einstellungen!$C$3,12,31),D65),Einstellungen!$C$9))-(MAX(C65,DATE(Einstellungen!$C$3,1,1)))+1),MAX(0,NETWORKDAYS(MAX(C65,DATE(Einstellungen!$C$3,1,1)),MIN(IF(D65="",DATE(Einstellungen!$C$3,12,31),D65),Einstellungen!$C$9),Einstellungen!$F$13:$F$32)))*F65)</f>
        <v/>
      </c>
    </row>
    <row r="66">
      <c r="A66" s="26" t="n"/>
      <c r="B66" s="23" t="n"/>
      <c r="C66" s="27" t="n"/>
      <c r="D66" s="27" t="n"/>
      <c r="E66" s="28" t="n"/>
      <c r="F66" s="29">
        <f>IF(E66="","",E66/5)</f>
        <v/>
      </c>
      <c r="G66" s="30">
        <f>IF(B66="","",IF(C66&gt;Einstellungen!$C$9,"künftig",IF(AND(D66&lt;&gt;"",D66&lt;Einstellungen!$C$9),"ausgeschieden","aktiv")))</f>
        <v/>
      </c>
      <c r="H66" s="31">
        <f>IF(OR(B66="",E66=""),"",IF(Einstellungen!$C$11="7 Tage",MAX(0,(MIN(IF(D66="",DATE(Einstellungen!$C$3,12,31),D66),Einstellungen!$C$9))-(MAX(C66,DATE(Einstellungen!$C$3,1,1)))+1),MAX(0,NETWORKDAYS(MAX(C66,DATE(Einstellungen!$C$3,1,1)),MIN(IF(D66="",DATE(Einstellungen!$C$3,12,31),D66),Einstellungen!$C$9),Einstellungen!$F$13:$F$32)))*F66)</f>
        <v/>
      </c>
    </row>
    <row r="67">
      <c r="A67" s="26" t="n"/>
      <c r="B67" s="23" t="n"/>
      <c r="C67" s="27" t="n"/>
      <c r="D67" s="27" t="n"/>
      <c r="E67" s="28" t="n"/>
      <c r="F67" s="29">
        <f>IF(E67="","",E67/5)</f>
        <v/>
      </c>
      <c r="G67" s="30">
        <f>IF(B67="","",IF(C67&gt;Einstellungen!$C$9,"künftig",IF(AND(D67&lt;&gt;"",D67&lt;Einstellungen!$C$9),"ausgeschieden","aktiv")))</f>
        <v/>
      </c>
      <c r="H67" s="31">
        <f>IF(OR(B67="",E67=""),"",IF(Einstellungen!$C$11="7 Tage",MAX(0,(MIN(IF(D67="",DATE(Einstellungen!$C$3,12,31),D67),Einstellungen!$C$9))-(MAX(C67,DATE(Einstellungen!$C$3,1,1)))+1),MAX(0,NETWORKDAYS(MAX(C67,DATE(Einstellungen!$C$3,1,1)),MIN(IF(D67="",DATE(Einstellungen!$C$3,12,31),D67),Einstellungen!$C$9),Einstellungen!$F$13:$F$32)))*F67)</f>
        <v/>
      </c>
    </row>
    <row r="68">
      <c r="A68" s="26" t="n"/>
      <c r="B68" s="23" t="n"/>
      <c r="C68" s="27" t="n"/>
      <c r="D68" s="27" t="n"/>
      <c r="E68" s="28" t="n"/>
      <c r="F68" s="29">
        <f>IF(E68="","",E68/5)</f>
        <v/>
      </c>
      <c r="G68" s="30">
        <f>IF(B68="","",IF(C68&gt;Einstellungen!$C$9,"künftig",IF(AND(D68&lt;&gt;"",D68&lt;Einstellungen!$C$9),"ausgeschieden","aktiv")))</f>
        <v/>
      </c>
      <c r="H68" s="31">
        <f>IF(OR(B68="",E68=""),"",IF(Einstellungen!$C$11="7 Tage",MAX(0,(MIN(IF(D68="",DATE(Einstellungen!$C$3,12,31),D68),Einstellungen!$C$9))-(MAX(C68,DATE(Einstellungen!$C$3,1,1)))+1),MAX(0,NETWORKDAYS(MAX(C68,DATE(Einstellungen!$C$3,1,1)),MIN(IF(D68="",DATE(Einstellungen!$C$3,12,31),D68),Einstellungen!$C$9),Einstellungen!$F$13:$F$32)))*F68)</f>
        <v/>
      </c>
    </row>
    <row r="69">
      <c r="A69" s="26" t="n"/>
      <c r="B69" s="23" t="n"/>
      <c r="C69" s="27" t="n"/>
      <c r="D69" s="27" t="n"/>
      <c r="E69" s="28" t="n"/>
      <c r="F69" s="29">
        <f>IF(E69="","",E69/5)</f>
        <v/>
      </c>
      <c r="G69" s="30">
        <f>IF(B69="","",IF(C69&gt;Einstellungen!$C$9,"künftig",IF(AND(D69&lt;&gt;"",D69&lt;Einstellungen!$C$9),"ausgeschieden","aktiv")))</f>
        <v/>
      </c>
      <c r="H69" s="31">
        <f>IF(OR(B69="",E69=""),"",IF(Einstellungen!$C$11="7 Tage",MAX(0,(MIN(IF(D69="",DATE(Einstellungen!$C$3,12,31),D69),Einstellungen!$C$9))-(MAX(C69,DATE(Einstellungen!$C$3,1,1)))+1),MAX(0,NETWORKDAYS(MAX(C69,DATE(Einstellungen!$C$3,1,1)),MIN(IF(D69="",DATE(Einstellungen!$C$3,12,31),D69),Einstellungen!$C$9),Einstellungen!$F$13:$F$32)))*F69)</f>
        <v/>
      </c>
    </row>
    <row r="70">
      <c r="A70" s="26" t="n"/>
      <c r="B70" s="23" t="n"/>
      <c r="C70" s="27" t="n"/>
      <c r="D70" s="27" t="n"/>
      <c r="E70" s="28" t="n"/>
      <c r="F70" s="29">
        <f>IF(E70="","",E70/5)</f>
        <v/>
      </c>
      <c r="G70" s="30">
        <f>IF(B70="","",IF(C70&gt;Einstellungen!$C$9,"künftig",IF(AND(D70&lt;&gt;"",D70&lt;Einstellungen!$C$9),"ausgeschieden","aktiv")))</f>
        <v/>
      </c>
      <c r="H70" s="31">
        <f>IF(OR(B70="",E70=""),"",IF(Einstellungen!$C$11="7 Tage",MAX(0,(MIN(IF(D70="",DATE(Einstellungen!$C$3,12,31),D70),Einstellungen!$C$9))-(MAX(C70,DATE(Einstellungen!$C$3,1,1)))+1),MAX(0,NETWORKDAYS(MAX(C70,DATE(Einstellungen!$C$3,1,1)),MIN(IF(D70="",DATE(Einstellungen!$C$3,12,31),D70),Einstellungen!$C$9),Einstellungen!$F$13:$F$32)))*F70)</f>
        <v/>
      </c>
    </row>
    <row r="71">
      <c r="A71" s="26" t="n"/>
      <c r="B71" s="23" t="n"/>
      <c r="C71" s="27" t="n"/>
      <c r="D71" s="27" t="n"/>
      <c r="E71" s="28" t="n"/>
      <c r="F71" s="29">
        <f>IF(E71="","",E71/5)</f>
        <v/>
      </c>
      <c r="G71" s="30">
        <f>IF(B71="","",IF(C71&gt;Einstellungen!$C$9,"künftig",IF(AND(D71&lt;&gt;"",D71&lt;Einstellungen!$C$9),"ausgeschieden","aktiv")))</f>
        <v/>
      </c>
      <c r="H71" s="31">
        <f>IF(OR(B71="",E71=""),"",IF(Einstellungen!$C$11="7 Tage",MAX(0,(MIN(IF(D71="",DATE(Einstellungen!$C$3,12,31),D71),Einstellungen!$C$9))-(MAX(C71,DATE(Einstellungen!$C$3,1,1)))+1),MAX(0,NETWORKDAYS(MAX(C71,DATE(Einstellungen!$C$3,1,1)),MIN(IF(D71="",DATE(Einstellungen!$C$3,12,31),D71),Einstellungen!$C$9),Einstellungen!$F$13:$F$32)))*F71)</f>
        <v/>
      </c>
    </row>
    <row r="72">
      <c r="A72" s="26" t="n"/>
      <c r="B72" s="23" t="n"/>
      <c r="C72" s="27" t="n"/>
      <c r="D72" s="27" t="n"/>
      <c r="E72" s="28" t="n"/>
      <c r="F72" s="29">
        <f>IF(E72="","",E72/5)</f>
        <v/>
      </c>
      <c r="G72" s="30">
        <f>IF(B72="","",IF(C72&gt;Einstellungen!$C$9,"künftig",IF(AND(D72&lt;&gt;"",D72&lt;Einstellungen!$C$9),"ausgeschieden","aktiv")))</f>
        <v/>
      </c>
      <c r="H72" s="31">
        <f>IF(OR(B72="",E72=""),"",IF(Einstellungen!$C$11="7 Tage",MAX(0,(MIN(IF(D72="",DATE(Einstellungen!$C$3,12,31),D72),Einstellungen!$C$9))-(MAX(C72,DATE(Einstellungen!$C$3,1,1)))+1),MAX(0,NETWORKDAYS(MAX(C72,DATE(Einstellungen!$C$3,1,1)),MIN(IF(D72="",DATE(Einstellungen!$C$3,12,31),D72),Einstellungen!$C$9),Einstellungen!$F$13:$F$32)))*F72)</f>
        <v/>
      </c>
    </row>
    <row r="73">
      <c r="A73" s="26" t="n"/>
      <c r="B73" s="23" t="n"/>
      <c r="C73" s="27" t="n"/>
      <c r="D73" s="27" t="n"/>
      <c r="E73" s="28" t="n"/>
      <c r="F73" s="29">
        <f>IF(E73="","",E73/5)</f>
        <v/>
      </c>
      <c r="G73" s="30">
        <f>IF(B73="","",IF(C73&gt;Einstellungen!$C$9,"künftig",IF(AND(D73&lt;&gt;"",D73&lt;Einstellungen!$C$9),"ausgeschieden","aktiv")))</f>
        <v/>
      </c>
      <c r="H73" s="31">
        <f>IF(OR(B73="",E73=""),"",IF(Einstellungen!$C$11="7 Tage",MAX(0,(MIN(IF(D73="",DATE(Einstellungen!$C$3,12,31),D73),Einstellungen!$C$9))-(MAX(C73,DATE(Einstellungen!$C$3,1,1)))+1),MAX(0,NETWORKDAYS(MAX(C73,DATE(Einstellungen!$C$3,1,1)),MIN(IF(D73="",DATE(Einstellungen!$C$3,12,31),D73),Einstellungen!$C$9),Einstellungen!$F$13:$F$32)))*F73)</f>
        <v/>
      </c>
    </row>
    <row r="74">
      <c r="A74" s="26" t="n"/>
      <c r="B74" s="23" t="n"/>
      <c r="C74" s="27" t="n"/>
      <c r="D74" s="27" t="n"/>
      <c r="E74" s="28" t="n"/>
      <c r="F74" s="29">
        <f>IF(E74="","",E74/5)</f>
        <v/>
      </c>
      <c r="G74" s="30">
        <f>IF(B74="","",IF(C74&gt;Einstellungen!$C$9,"künftig",IF(AND(D74&lt;&gt;"",D74&lt;Einstellungen!$C$9),"ausgeschieden","aktiv")))</f>
        <v/>
      </c>
      <c r="H74" s="31">
        <f>IF(OR(B74="",E74=""),"",IF(Einstellungen!$C$11="7 Tage",MAX(0,(MIN(IF(D74="",DATE(Einstellungen!$C$3,12,31),D74),Einstellungen!$C$9))-(MAX(C74,DATE(Einstellungen!$C$3,1,1)))+1),MAX(0,NETWORKDAYS(MAX(C74,DATE(Einstellungen!$C$3,1,1)),MIN(IF(D74="",DATE(Einstellungen!$C$3,12,31),D74),Einstellungen!$C$9),Einstellungen!$F$13:$F$32)))*F74)</f>
        <v/>
      </c>
    </row>
    <row r="75">
      <c r="A75" s="26" t="n"/>
      <c r="B75" s="23" t="n"/>
      <c r="C75" s="27" t="n"/>
      <c r="D75" s="27" t="n"/>
      <c r="E75" s="28" t="n"/>
      <c r="F75" s="29">
        <f>IF(E75="","",E75/5)</f>
        <v/>
      </c>
      <c r="G75" s="30">
        <f>IF(B75="","",IF(C75&gt;Einstellungen!$C$9,"künftig",IF(AND(D75&lt;&gt;"",D75&lt;Einstellungen!$C$9),"ausgeschieden","aktiv")))</f>
        <v/>
      </c>
      <c r="H75" s="31">
        <f>IF(OR(B75="",E75=""),"",IF(Einstellungen!$C$11="7 Tage",MAX(0,(MIN(IF(D75="",DATE(Einstellungen!$C$3,12,31),D75),Einstellungen!$C$9))-(MAX(C75,DATE(Einstellungen!$C$3,1,1)))+1),MAX(0,NETWORKDAYS(MAX(C75,DATE(Einstellungen!$C$3,1,1)),MIN(IF(D75="",DATE(Einstellungen!$C$3,12,31),D75),Einstellungen!$C$9),Einstellungen!$F$13:$F$32)))*F75)</f>
        <v/>
      </c>
    </row>
    <row r="76">
      <c r="A76" s="26" t="n"/>
      <c r="B76" s="23" t="n"/>
      <c r="C76" s="27" t="n"/>
      <c r="D76" s="27" t="n"/>
      <c r="E76" s="28" t="n"/>
      <c r="F76" s="29">
        <f>IF(E76="","",E76/5)</f>
        <v/>
      </c>
      <c r="G76" s="30">
        <f>IF(B76="","",IF(C76&gt;Einstellungen!$C$9,"künftig",IF(AND(D76&lt;&gt;"",D76&lt;Einstellungen!$C$9),"ausgeschieden","aktiv")))</f>
        <v/>
      </c>
      <c r="H76" s="31">
        <f>IF(OR(B76="",E76=""),"",IF(Einstellungen!$C$11="7 Tage",MAX(0,(MIN(IF(D76="",DATE(Einstellungen!$C$3,12,31),D76),Einstellungen!$C$9))-(MAX(C76,DATE(Einstellungen!$C$3,1,1)))+1),MAX(0,NETWORKDAYS(MAX(C76,DATE(Einstellungen!$C$3,1,1)),MIN(IF(D76="",DATE(Einstellungen!$C$3,12,31),D76),Einstellungen!$C$9),Einstellungen!$F$13:$F$32)))*F76)</f>
        <v/>
      </c>
    </row>
    <row r="77">
      <c r="A77" s="26" t="n"/>
      <c r="B77" s="23" t="n"/>
      <c r="C77" s="27" t="n"/>
      <c r="D77" s="27" t="n"/>
      <c r="E77" s="28" t="n"/>
      <c r="F77" s="29">
        <f>IF(E77="","",E77/5)</f>
        <v/>
      </c>
      <c r="G77" s="30">
        <f>IF(B77="","",IF(C77&gt;Einstellungen!$C$9,"künftig",IF(AND(D77&lt;&gt;"",D77&lt;Einstellungen!$C$9),"ausgeschieden","aktiv")))</f>
        <v/>
      </c>
      <c r="H77" s="31">
        <f>IF(OR(B77="",E77=""),"",IF(Einstellungen!$C$11="7 Tage",MAX(0,(MIN(IF(D77="",DATE(Einstellungen!$C$3,12,31),D77),Einstellungen!$C$9))-(MAX(C77,DATE(Einstellungen!$C$3,1,1)))+1),MAX(0,NETWORKDAYS(MAX(C77,DATE(Einstellungen!$C$3,1,1)),MIN(IF(D77="",DATE(Einstellungen!$C$3,12,31),D77),Einstellungen!$C$9),Einstellungen!$F$13:$F$32)))*F77)</f>
        <v/>
      </c>
    </row>
    <row r="78">
      <c r="A78" s="26" t="n"/>
      <c r="B78" s="23" t="n"/>
      <c r="C78" s="27" t="n"/>
      <c r="D78" s="27" t="n"/>
      <c r="E78" s="28" t="n"/>
      <c r="F78" s="29">
        <f>IF(E78="","",E78/5)</f>
        <v/>
      </c>
      <c r="G78" s="30">
        <f>IF(B78="","",IF(C78&gt;Einstellungen!$C$9,"künftig",IF(AND(D78&lt;&gt;"",D78&lt;Einstellungen!$C$9),"ausgeschieden","aktiv")))</f>
        <v/>
      </c>
      <c r="H78" s="31">
        <f>IF(OR(B78="",E78=""),"",IF(Einstellungen!$C$11="7 Tage",MAX(0,(MIN(IF(D78="",DATE(Einstellungen!$C$3,12,31),D78),Einstellungen!$C$9))-(MAX(C78,DATE(Einstellungen!$C$3,1,1)))+1),MAX(0,NETWORKDAYS(MAX(C78,DATE(Einstellungen!$C$3,1,1)),MIN(IF(D78="",DATE(Einstellungen!$C$3,12,31),D78),Einstellungen!$C$9),Einstellungen!$F$13:$F$32)))*F78)</f>
        <v/>
      </c>
    </row>
    <row r="79">
      <c r="A79" s="26" t="n"/>
      <c r="B79" s="23" t="n"/>
      <c r="C79" s="27" t="n"/>
      <c r="D79" s="27" t="n"/>
      <c r="E79" s="28" t="n"/>
      <c r="F79" s="29">
        <f>IF(E79="","",E79/5)</f>
        <v/>
      </c>
      <c r="G79" s="30">
        <f>IF(B79="","",IF(C79&gt;Einstellungen!$C$9,"künftig",IF(AND(D79&lt;&gt;"",D79&lt;Einstellungen!$C$9),"ausgeschieden","aktiv")))</f>
        <v/>
      </c>
      <c r="H79" s="31">
        <f>IF(OR(B79="",E79=""),"",IF(Einstellungen!$C$11="7 Tage",MAX(0,(MIN(IF(D79="",DATE(Einstellungen!$C$3,12,31),D79),Einstellungen!$C$9))-(MAX(C79,DATE(Einstellungen!$C$3,1,1)))+1),MAX(0,NETWORKDAYS(MAX(C79,DATE(Einstellungen!$C$3,1,1)),MIN(IF(D79="",DATE(Einstellungen!$C$3,12,31),D79),Einstellungen!$C$9),Einstellungen!$F$13:$F$32)))*F79)</f>
        <v/>
      </c>
    </row>
    <row r="80">
      <c r="A80" s="26" t="n"/>
      <c r="B80" s="23" t="n"/>
      <c r="C80" s="27" t="n"/>
      <c r="D80" s="27" t="n"/>
      <c r="E80" s="28" t="n"/>
      <c r="F80" s="29">
        <f>IF(E80="","",E80/5)</f>
        <v/>
      </c>
      <c r="G80" s="30">
        <f>IF(B80="","",IF(C80&gt;Einstellungen!$C$9,"künftig",IF(AND(D80&lt;&gt;"",D80&lt;Einstellungen!$C$9),"ausgeschieden","aktiv")))</f>
        <v/>
      </c>
      <c r="H80" s="31">
        <f>IF(OR(B80="",E80=""),"",IF(Einstellungen!$C$11="7 Tage",MAX(0,(MIN(IF(D80="",DATE(Einstellungen!$C$3,12,31),D80),Einstellungen!$C$9))-(MAX(C80,DATE(Einstellungen!$C$3,1,1)))+1),MAX(0,NETWORKDAYS(MAX(C80,DATE(Einstellungen!$C$3,1,1)),MIN(IF(D80="",DATE(Einstellungen!$C$3,12,31),D80),Einstellungen!$C$9),Einstellungen!$F$13:$F$32)))*F80)</f>
        <v/>
      </c>
    </row>
    <row r="81">
      <c r="A81" s="26" t="n"/>
      <c r="B81" s="23" t="n"/>
      <c r="C81" s="27" t="n"/>
      <c r="D81" s="27" t="n"/>
      <c r="E81" s="28" t="n"/>
      <c r="F81" s="29">
        <f>IF(E81="","",E81/5)</f>
        <v/>
      </c>
      <c r="G81" s="30">
        <f>IF(B81="","",IF(C81&gt;Einstellungen!$C$9,"künftig",IF(AND(D81&lt;&gt;"",D81&lt;Einstellungen!$C$9),"ausgeschieden","aktiv")))</f>
        <v/>
      </c>
      <c r="H81" s="31">
        <f>IF(OR(B81="",E81=""),"",IF(Einstellungen!$C$11="7 Tage",MAX(0,(MIN(IF(D81="",DATE(Einstellungen!$C$3,12,31),D81),Einstellungen!$C$9))-(MAX(C81,DATE(Einstellungen!$C$3,1,1)))+1),MAX(0,NETWORKDAYS(MAX(C81,DATE(Einstellungen!$C$3,1,1)),MIN(IF(D81="",DATE(Einstellungen!$C$3,12,31),D81),Einstellungen!$C$9),Einstellungen!$F$13:$F$32)))*F81)</f>
        <v/>
      </c>
    </row>
    <row r="82">
      <c r="A82" s="26" t="n"/>
      <c r="B82" s="23" t="n"/>
      <c r="C82" s="27" t="n"/>
      <c r="D82" s="27" t="n"/>
      <c r="E82" s="28" t="n"/>
      <c r="F82" s="29">
        <f>IF(E82="","",E82/5)</f>
        <v/>
      </c>
      <c r="G82" s="30">
        <f>IF(B82="","",IF(C82&gt;Einstellungen!$C$9,"künftig",IF(AND(D82&lt;&gt;"",D82&lt;Einstellungen!$C$9),"ausgeschieden","aktiv")))</f>
        <v/>
      </c>
      <c r="H82" s="31">
        <f>IF(OR(B82="",E82=""),"",IF(Einstellungen!$C$11="7 Tage",MAX(0,(MIN(IF(D82="",DATE(Einstellungen!$C$3,12,31),D82),Einstellungen!$C$9))-(MAX(C82,DATE(Einstellungen!$C$3,1,1)))+1),MAX(0,NETWORKDAYS(MAX(C82,DATE(Einstellungen!$C$3,1,1)),MIN(IF(D82="",DATE(Einstellungen!$C$3,12,31),D82),Einstellungen!$C$9),Einstellungen!$F$13:$F$32)))*F82)</f>
        <v/>
      </c>
    </row>
    <row r="83">
      <c r="A83" s="26" t="n"/>
      <c r="B83" s="23" t="n"/>
      <c r="C83" s="27" t="n"/>
      <c r="D83" s="27" t="n"/>
      <c r="E83" s="28" t="n"/>
      <c r="F83" s="29">
        <f>IF(E83="","",E83/5)</f>
        <v/>
      </c>
      <c r="G83" s="30">
        <f>IF(B83="","",IF(C83&gt;Einstellungen!$C$9,"künftig",IF(AND(D83&lt;&gt;"",D83&lt;Einstellungen!$C$9),"ausgeschieden","aktiv")))</f>
        <v/>
      </c>
      <c r="H83" s="31">
        <f>IF(OR(B83="",E83=""),"",IF(Einstellungen!$C$11="7 Tage",MAX(0,(MIN(IF(D83="",DATE(Einstellungen!$C$3,12,31),D83),Einstellungen!$C$9))-(MAX(C83,DATE(Einstellungen!$C$3,1,1)))+1),MAX(0,NETWORKDAYS(MAX(C83,DATE(Einstellungen!$C$3,1,1)),MIN(IF(D83="",DATE(Einstellungen!$C$3,12,31),D83),Einstellungen!$C$9),Einstellungen!$F$13:$F$32)))*F83)</f>
        <v/>
      </c>
    </row>
    <row r="84">
      <c r="A84" s="26" t="n"/>
      <c r="B84" s="23" t="n"/>
      <c r="C84" s="27" t="n"/>
      <c r="D84" s="27" t="n"/>
      <c r="E84" s="28" t="n"/>
      <c r="F84" s="29">
        <f>IF(E84="","",E84/5)</f>
        <v/>
      </c>
      <c r="G84" s="30">
        <f>IF(B84="","",IF(C84&gt;Einstellungen!$C$9,"künftig",IF(AND(D84&lt;&gt;"",D84&lt;Einstellungen!$C$9),"ausgeschieden","aktiv")))</f>
        <v/>
      </c>
      <c r="H84" s="31">
        <f>IF(OR(B84="",E84=""),"",IF(Einstellungen!$C$11="7 Tage",MAX(0,(MIN(IF(D84="",DATE(Einstellungen!$C$3,12,31),D84),Einstellungen!$C$9))-(MAX(C84,DATE(Einstellungen!$C$3,1,1)))+1),MAX(0,NETWORKDAYS(MAX(C84,DATE(Einstellungen!$C$3,1,1)),MIN(IF(D84="",DATE(Einstellungen!$C$3,12,31),D84),Einstellungen!$C$9),Einstellungen!$F$13:$F$32)))*F84)</f>
        <v/>
      </c>
    </row>
    <row r="85">
      <c r="A85" s="26" t="n"/>
      <c r="B85" s="23" t="n"/>
      <c r="C85" s="27" t="n"/>
      <c r="D85" s="27" t="n"/>
      <c r="E85" s="28" t="n"/>
      <c r="F85" s="29">
        <f>IF(E85="","",E85/5)</f>
        <v/>
      </c>
      <c r="G85" s="30">
        <f>IF(B85="","",IF(C85&gt;Einstellungen!$C$9,"künftig",IF(AND(D85&lt;&gt;"",D85&lt;Einstellungen!$C$9),"ausgeschieden","aktiv")))</f>
        <v/>
      </c>
      <c r="H85" s="31">
        <f>IF(OR(B85="",E85=""),"",IF(Einstellungen!$C$11="7 Tage",MAX(0,(MIN(IF(D85="",DATE(Einstellungen!$C$3,12,31),D85),Einstellungen!$C$9))-(MAX(C85,DATE(Einstellungen!$C$3,1,1)))+1),MAX(0,NETWORKDAYS(MAX(C85,DATE(Einstellungen!$C$3,1,1)),MIN(IF(D85="",DATE(Einstellungen!$C$3,12,31),D85),Einstellungen!$C$9),Einstellungen!$F$13:$F$32)))*F85)</f>
        <v/>
      </c>
    </row>
    <row r="86">
      <c r="A86" s="26" t="n"/>
      <c r="B86" s="23" t="n"/>
      <c r="C86" s="27" t="n"/>
      <c r="D86" s="27" t="n"/>
      <c r="E86" s="28" t="n"/>
      <c r="F86" s="29">
        <f>IF(E86="","",E86/5)</f>
        <v/>
      </c>
      <c r="G86" s="30">
        <f>IF(B86="","",IF(C86&gt;Einstellungen!$C$9,"künftig",IF(AND(D86&lt;&gt;"",D86&lt;Einstellungen!$C$9),"ausgeschieden","aktiv")))</f>
        <v/>
      </c>
      <c r="H86" s="31">
        <f>IF(OR(B86="",E86=""),"",IF(Einstellungen!$C$11="7 Tage",MAX(0,(MIN(IF(D86="",DATE(Einstellungen!$C$3,12,31),D86),Einstellungen!$C$9))-(MAX(C86,DATE(Einstellungen!$C$3,1,1)))+1),MAX(0,NETWORKDAYS(MAX(C86,DATE(Einstellungen!$C$3,1,1)),MIN(IF(D86="",DATE(Einstellungen!$C$3,12,31),D86),Einstellungen!$C$9),Einstellungen!$F$13:$F$32)))*F86)</f>
        <v/>
      </c>
    </row>
    <row r="87">
      <c r="A87" s="26" t="n"/>
      <c r="B87" s="23" t="n"/>
      <c r="C87" s="27" t="n"/>
      <c r="D87" s="27" t="n"/>
      <c r="E87" s="28" t="n"/>
      <c r="F87" s="29">
        <f>IF(E87="","",E87/5)</f>
        <v/>
      </c>
      <c r="G87" s="30">
        <f>IF(B87="","",IF(C87&gt;Einstellungen!$C$9,"künftig",IF(AND(D87&lt;&gt;"",D87&lt;Einstellungen!$C$9),"ausgeschieden","aktiv")))</f>
        <v/>
      </c>
      <c r="H87" s="31">
        <f>IF(OR(B87="",E87=""),"",IF(Einstellungen!$C$11="7 Tage",MAX(0,(MIN(IF(D87="",DATE(Einstellungen!$C$3,12,31),D87),Einstellungen!$C$9))-(MAX(C87,DATE(Einstellungen!$C$3,1,1)))+1),MAX(0,NETWORKDAYS(MAX(C87,DATE(Einstellungen!$C$3,1,1)),MIN(IF(D87="",DATE(Einstellungen!$C$3,12,31),D87),Einstellungen!$C$9),Einstellungen!$F$13:$F$32)))*F87)</f>
        <v/>
      </c>
    </row>
    <row r="88">
      <c r="A88" s="26" t="n"/>
      <c r="B88" s="23" t="n"/>
      <c r="C88" s="27" t="n"/>
      <c r="D88" s="27" t="n"/>
      <c r="E88" s="28" t="n"/>
      <c r="F88" s="29">
        <f>IF(E88="","",E88/5)</f>
        <v/>
      </c>
      <c r="G88" s="30">
        <f>IF(B88="","",IF(C88&gt;Einstellungen!$C$9,"künftig",IF(AND(D88&lt;&gt;"",D88&lt;Einstellungen!$C$9),"ausgeschieden","aktiv")))</f>
        <v/>
      </c>
      <c r="H88" s="31">
        <f>IF(OR(B88="",E88=""),"",IF(Einstellungen!$C$11="7 Tage",MAX(0,(MIN(IF(D88="",DATE(Einstellungen!$C$3,12,31),D88),Einstellungen!$C$9))-(MAX(C88,DATE(Einstellungen!$C$3,1,1)))+1),MAX(0,NETWORKDAYS(MAX(C88,DATE(Einstellungen!$C$3,1,1)),MIN(IF(D88="",DATE(Einstellungen!$C$3,12,31),D88),Einstellungen!$C$9),Einstellungen!$F$13:$F$32)))*F88)</f>
        <v/>
      </c>
    </row>
    <row r="89">
      <c r="A89" s="26" t="n"/>
      <c r="B89" s="23" t="n"/>
      <c r="C89" s="27" t="n"/>
      <c r="D89" s="27" t="n"/>
      <c r="E89" s="28" t="n"/>
      <c r="F89" s="29">
        <f>IF(E89="","",E89/5)</f>
        <v/>
      </c>
      <c r="G89" s="30">
        <f>IF(B89="","",IF(C89&gt;Einstellungen!$C$9,"künftig",IF(AND(D89&lt;&gt;"",D89&lt;Einstellungen!$C$9),"ausgeschieden","aktiv")))</f>
        <v/>
      </c>
      <c r="H89" s="31">
        <f>IF(OR(B89="",E89=""),"",IF(Einstellungen!$C$11="7 Tage",MAX(0,(MIN(IF(D89="",DATE(Einstellungen!$C$3,12,31),D89),Einstellungen!$C$9))-(MAX(C89,DATE(Einstellungen!$C$3,1,1)))+1),MAX(0,NETWORKDAYS(MAX(C89,DATE(Einstellungen!$C$3,1,1)),MIN(IF(D89="",DATE(Einstellungen!$C$3,12,31),D89),Einstellungen!$C$9),Einstellungen!$F$13:$F$32)))*F89)</f>
        <v/>
      </c>
    </row>
    <row r="90">
      <c r="A90" s="26" t="n"/>
      <c r="B90" s="23" t="n"/>
      <c r="C90" s="27" t="n"/>
      <c r="D90" s="27" t="n"/>
      <c r="E90" s="28" t="n"/>
      <c r="F90" s="29">
        <f>IF(E90="","",E90/5)</f>
        <v/>
      </c>
      <c r="G90" s="30">
        <f>IF(B90="","",IF(C90&gt;Einstellungen!$C$9,"künftig",IF(AND(D90&lt;&gt;"",D90&lt;Einstellungen!$C$9),"ausgeschieden","aktiv")))</f>
        <v/>
      </c>
      <c r="H90" s="31">
        <f>IF(OR(B90="",E90=""),"",IF(Einstellungen!$C$11="7 Tage",MAX(0,(MIN(IF(D90="",DATE(Einstellungen!$C$3,12,31),D90),Einstellungen!$C$9))-(MAX(C90,DATE(Einstellungen!$C$3,1,1)))+1),MAX(0,NETWORKDAYS(MAX(C90,DATE(Einstellungen!$C$3,1,1)),MIN(IF(D90="",DATE(Einstellungen!$C$3,12,31),D90),Einstellungen!$C$9),Einstellungen!$F$13:$F$32)))*F90)</f>
        <v/>
      </c>
    </row>
    <row r="91">
      <c r="A91" s="26" t="n"/>
      <c r="B91" s="23" t="n"/>
      <c r="C91" s="27" t="n"/>
      <c r="D91" s="27" t="n"/>
      <c r="E91" s="28" t="n"/>
      <c r="F91" s="29">
        <f>IF(E91="","",E91/5)</f>
        <v/>
      </c>
      <c r="G91" s="30">
        <f>IF(B91="","",IF(C91&gt;Einstellungen!$C$9,"künftig",IF(AND(D91&lt;&gt;"",D91&lt;Einstellungen!$C$9),"ausgeschieden","aktiv")))</f>
        <v/>
      </c>
      <c r="H91" s="31">
        <f>IF(OR(B91="",E91=""),"",IF(Einstellungen!$C$11="7 Tage",MAX(0,(MIN(IF(D91="",DATE(Einstellungen!$C$3,12,31),D91),Einstellungen!$C$9))-(MAX(C91,DATE(Einstellungen!$C$3,1,1)))+1),MAX(0,NETWORKDAYS(MAX(C91,DATE(Einstellungen!$C$3,1,1)),MIN(IF(D91="",DATE(Einstellungen!$C$3,12,31),D91),Einstellungen!$C$9),Einstellungen!$F$13:$F$32)))*F91)</f>
        <v/>
      </c>
    </row>
    <row r="92">
      <c r="A92" s="26" t="n"/>
      <c r="B92" s="23" t="n"/>
      <c r="C92" s="27" t="n"/>
      <c r="D92" s="27" t="n"/>
      <c r="E92" s="28" t="n"/>
      <c r="F92" s="29">
        <f>IF(E92="","",E92/5)</f>
        <v/>
      </c>
      <c r="G92" s="30">
        <f>IF(B92="","",IF(C92&gt;Einstellungen!$C$9,"künftig",IF(AND(D92&lt;&gt;"",D92&lt;Einstellungen!$C$9),"ausgeschieden","aktiv")))</f>
        <v/>
      </c>
      <c r="H92" s="31">
        <f>IF(OR(B92="",E92=""),"",IF(Einstellungen!$C$11="7 Tage",MAX(0,(MIN(IF(D92="",DATE(Einstellungen!$C$3,12,31),D92),Einstellungen!$C$9))-(MAX(C92,DATE(Einstellungen!$C$3,1,1)))+1),MAX(0,NETWORKDAYS(MAX(C92,DATE(Einstellungen!$C$3,1,1)),MIN(IF(D92="",DATE(Einstellungen!$C$3,12,31),D92),Einstellungen!$C$9),Einstellungen!$F$13:$F$32)))*F92)</f>
        <v/>
      </c>
    </row>
    <row r="93">
      <c r="A93" s="26" t="n"/>
      <c r="B93" s="23" t="n"/>
      <c r="C93" s="27" t="n"/>
      <c r="D93" s="27" t="n"/>
      <c r="E93" s="28" t="n"/>
      <c r="F93" s="29">
        <f>IF(E93="","",E93/5)</f>
        <v/>
      </c>
      <c r="G93" s="30">
        <f>IF(B93="","",IF(C93&gt;Einstellungen!$C$9,"künftig",IF(AND(D93&lt;&gt;"",D93&lt;Einstellungen!$C$9),"ausgeschieden","aktiv")))</f>
        <v/>
      </c>
      <c r="H93" s="31">
        <f>IF(OR(B93="",E93=""),"",IF(Einstellungen!$C$11="7 Tage",MAX(0,(MIN(IF(D93="",DATE(Einstellungen!$C$3,12,31),D93),Einstellungen!$C$9))-(MAX(C93,DATE(Einstellungen!$C$3,1,1)))+1),MAX(0,NETWORKDAYS(MAX(C93,DATE(Einstellungen!$C$3,1,1)),MIN(IF(D93="",DATE(Einstellungen!$C$3,12,31),D93),Einstellungen!$C$9),Einstellungen!$F$13:$F$32)))*F93)</f>
        <v/>
      </c>
    </row>
    <row r="94">
      <c r="A94" s="26" t="n"/>
      <c r="B94" s="23" t="n"/>
      <c r="C94" s="27" t="n"/>
      <c r="D94" s="27" t="n"/>
      <c r="E94" s="28" t="n"/>
      <c r="F94" s="29">
        <f>IF(E94="","",E94/5)</f>
        <v/>
      </c>
      <c r="G94" s="30">
        <f>IF(B94="","",IF(C94&gt;Einstellungen!$C$9,"künftig",IF(AND(D94&lt;&gt;"",D94&lt;Einstellungen!$C$9),"ausgeschieden","aktiv")))</f>
        <v/>
      </c>
      <c r="H94" s="31">
        <f>IF(OR(B94="",E94=""),"",IF(Einstellungen!$C$11="7 Tage",MAX(0,(MIN(IF(D94="",DATE(Einstellungen!$C$3,12,31),D94),Einstellungen!$C$9))-(MAX(C94,DATE(Einstellungen!$C$3,1,1)))+1),MAX(0,NETWORKDAYS(MAX(C94,DATE(Einstellungen!$C$3,1,1)),MIN(IF(D94="",DATE(Einstellungen!$C$3,12,31),D94),Einstellungen!$C$9),Einstellungen!$F$13:$F$32)))*F94)</f>
        <v/>
      </c>
    </row>
    <row r="95">
      <c r="A95" s="26" t="n"/>
      <c r="B95" s="23" t="n"/>
      <c r="C95" s="27" t="n"/>
      <c r="D95" s="27" t="n"/>
      <c r="E95" s="28" t="n"/>
      <c r="F95" s="29">
        <f>IF(E95="","",E95/5)</f>
        <v/>
      </c>
      <c r="G95" s="30">
        <f>IF(B95="","",IF(C95&gt;Einstellungen!$C$9,"künftig",IF(AND(D95&lt;&gt;"",D95&lt;Einstellungen!$C$9),"ausgeschieden","aktiv")))</f>
        <v/>
      </c>
      <c r="H95" s="31">
        <f>IF(OR(B95="",E95=""),"",IF(Einstellungen!$C$11="7 Tage",MAX(0,(MIN(IF(D95="",DATE(Einstellungen!$C$3,12,31),D95),Einstellungen!$C$9))-(MAX(C95,DATE(Einstellungen!$C$3,1,1)))+1),MAX(0,NETWORKDAYS(MAX(C95,DATE(Einstellungen!$C$3,1,1)),MIN(IF(D95="",DATE(Einstellungen!$C$3,12,31),D95),Einstellungen!$C$9),Einstellungen!$F$13:$F$32)))*F95)</f>
        <v/>
      </c>
    </row>
    <row r="96">
      <c r="A96" s="26" t="n"/>
      <c r="B96" s="23" t="n"/>
      <c r="C96" s="27" t="n"/>
      <c r="D96" s="27" t="n"/>
      <c r="E96" s="28" t="n"/>
      <c r="F96" s="29">
        <f>IF(E96="","",E96/5)</f>
        <v/>
      </c>
      <c r="G96" s="30">
        <f>IF(B96="","",IF(C96&gt;Einstellungen!$C$9,"künftig",IF(AND(D96&lt;&gt;"",D96&lt;Einstellungen!$C$9),"ausgeschieden","aktiv")))</f>
        <v/>
      </c>
      <c r="H96" s="31">
        <f>IF(OR(B96="",E96=""),"",IF(Einstellungen!$C$11="7 Tage",MAX(0,(MIN(IF(D96="",DATE(Einstellungen!$C$3,12,31),D96),Einstellungen!$C$9))-(MAX(C96,DATE(Einstellungen!$C$3,1,1)))+1),MAX(0,NETWORKDAYS(MAX(C96,DATE(Einstellungen!$C$3,1,1)),MIN(IF(D96="",DATE(Einstellungen!$C$3,12,31),D96),Einstellungen!$C$9),Einstellungen!$F$13:$F$32)))*F96)</f>
        <v/>
      </c>
    </row>
    <row r="97">
      <c r="A97" s="26" t="n"/>
      <c r="B97" s="23" t="n"/>
      <c r="C97" s="27" t="n"/>
      <c r="D97" s="27" t="n"/>
      <c r="E97" s="28" t="n"/>
      <c r="F97" s="29">
        <f>IF(E97="","",E97/5)</f>
        <v/>
      </c>
      <c r="G97" s="30">
        <f>IF(B97="","",IF(C97&gt;Einstellungen!$C$9,"künftig",IF(AND(D97&lt;&gt;"",D97&lt;Einstellungen!$C$9),"ausgeschieden","aktiv")))</f>
        <v/>
      </c>
      <c r="H97" s="31">
        <f>IF(OR(B97="",E97=""),"",IF(Einstellungen!$C$11="7 Tage",MAX(0,(MIN(IF(D97="",DATE(Einstellungen!$C$3,12,31),D97),Einstellungen!$C$9))-(MAX(C97,DATE(Einstellungen!$C$3,1,1)))+1),MAX(0,NETWORKDAYS(MAX(C97,DATE(Einstellungen!$C$3,1,1)),MIN(IF(D97="",DATE(Einstellungen!$C$3,12,31),D97),Einstellungen!$C$9),Einstellungen!$F$13:$F$32)))*F97)</f>
        <v/>
      </c>
    </row>
    <row r="98">
      <c r="A98" s="26" t="n"/>
      <c r="B98" s="23" t="n"/>
      <c r="C98" s="27" t="n"/>
      <c r="D98" s="27" t="n"/>
      <c r="E98" s="28" t="n"/>
      <c r="F98" s="29">
        <f>IF(E98="","",E98/5)</f>
        <v/>
      </c>
      <c r="G98" s="30">
        <f>IF(B98="","",IF(C98&gt;Einstellungen!$C$9,"künftig",IF(AND(D98&lt;&gt;"",D98&lt;Einstellungen!$C$9),"ausgeschieden","aktiv")))</f>
        <v/>
      </c>
      <c r="H98" s="31">
        <f>IF(OR(B98="",E98=""),"",IF(Einstellungen!$C$11="7 Tage",MAX(0,(MIN(IF(D98="",DATE(Einstellungen!$C$3,12,31),D98),Einstellungen!$C$9))-(MAX(C98,DATE(Einstellungen!$C$3,1,1)))+1),MAX(0,NETWORKDAYS(MAX(C98,DATE(Einstellungen!$C$3,1,1)),MIN(IF(D98="",DATE(Einstellungen!$C$3,12,31),D98),Einstellungen!$C$9),Einstellungen!$F$13:$F$32)))*F98)</f>
        <v/>
      </c>
    </row>
    <row r="99">
      <c r="A99" s="26" t="n"/>
      <c r="B99" s="23" t="n"/>
      <c r="C99" s="27" t="n"/>
      <c r="D99" s="27" t="n"/>
      <c r="E99" s="28" t="n"/>
      <c r="F99" s="29">
        <f>IF(E99="","",E99/5)</f>
        <v/>
      </c>
      <c r="G99" s="30">
        <f>IF(B99="","",IF(C99&gt;Einstellungen!$C$9,"künftig",IF(AND(D99&lt;&gt;"",D99&lt;Einstellungen!$C$9),"ausgeschieden","aktiv")))</f>
        <v/>
      </c>
      <c r="H99" s="31">
        <f>IF(OR(B99="",E99=""),"",IF(Einstellungen!$C$11="7 Tage",MAX(0,(MIN(IF(D99="",DATE(Einstellungen!$C$3,12,31),D99),Einstellungen!$C$9))-(MAX(C99,DATE(Einstellungen!$C$3,1,1)))+1),MAX(0,NETWORKDAYS(MAX(C99,DATE(Einstellungen!$C$3,1,1)),MIN(IF(D99="",DATE(Einstellungen!$C$3,12,31),D99),Einstellungen!$C$9),Einstellungen!$F$13:$F$32)))*F99)</f>
        <v/>
      </c>
    </row>
    <row r="100">
      <c r="A100" s="26" t="n"/>
      <c r="B100" s="23" t="n"/>
      <c r="C100" s="27" t="n"/>
      <c r="D100" s="27" t="n"/>
      <c r="E100" s="28" t="n"/>
      <c r="F100" s="29">
        <f>IF(E100="","",E100/5)</f>
        <v/>
      </c>
      <c r="G100" s="30">
        <f>IF(B100="","",IF(C100&gt;Einstellungen!$C$9,"künftig",IF(AND(D100&lt;&gt;"",D100&lt;Einstellungen!$C$9),"ausgeschieden","aktiv")))</f>
        <v/>
      </c>
      <c r="H100" s="31">
        <f>IF(OR(B100="",E100=""),"",IF(Einstellungen!$C$11="7 Tage",MAX(0,(MIN(IF(D100="",DATE(Einstellungen!$C$3,12,31),D100),Einstellungen!$C$9))-(MAX(C100,DATE(Einstellungen!$C$3,1,1)))+1),MAX(0,NETWORKDAYS(MAX(C100,DATE(Einstellungen!$C$3,1,1)),MIN(IF(D100="",DATE(Einstellungen!$C$3,12,31),D100),Einstellungen!$C$9),Einstellungen!$F$13:$F$32)))*F100)</f>
        <v/>
      </c>
    </row>
    <row r="101">
      <c r="A101" s="26" t="n"/>
      <c r="B101" s="23" t="n"/>
      <c r="C101" s="27" t="n"/>
      <c r="D101" s="27" t="n"/>
      <c r="E101" s="28" t="n"/>
      <c r="F101" s="29">
        <f>IF(E101="","",E101/5)</f>
        <v/>
      </c>
      <c r="G101" s="30">
        <f>IF(B101="","",IF(C101&gt;Einstellungen!$C$9,"künftig",IF(AND(D101&lt;&gt;"",D101&lt;Einstellungen!$C$9),"ausgeschieden","aktiv")))</f>
        <v/>
      </c>
      <c r="H101" s="31">
        <f>IF(OR(B101="",E101=""),"",IF(Einstellungen!$C$11="7 Tage",MAX(0,(MIN(IF(D101="",DATE(Einstellungen!$C$3,12,31),D101),Einstellungen!$C$9))-(MAX(C101,DATE(Einstellungen!$C$3,1,1)))+1),MAX(0,NETWORKDAYS(MAX(C101,DATE(Einstellungen!$C$3,1,1)),MIN(IF(D101="",DATE(Einstellungen!$C$3,12,31),D101),Einstellungen!$C$9),Einstellungen!$F$13:$F$32)))*F101)</f>
        <v/>
      </c>
    </row>
    <row r="102">
      <c r="A102" s="26" t="n"/>
      <c r="B102" s="23" t="n"/>
      <c r="C102" s="27" t="n"/>
      <c r="D102" s="27" t="n"/>
      <c r="E102" s="28" t="n"/>
      <c r="F102" s="29">
        <f>IF(E102="","",E102/5)</f>
        <v/>
      </c>
      <c r="G102" s="30">
        <f>IF(B102="","",IF(C102&gt;Einstellungen!$C$9,"künftig",IF(AND(D102&lt;&gt;"",D102&lt;Einstellungen!$C$9),"ausgeschieden","aktiv")))</f>
        <v/>
      </c>
      <c r="H102" s="31">
        <f>IF(OR(B102="",E102=""),"",IF(Einstellungen!$C$11="7 Tage",MAX(0,(MIN(IF(D102="",DATE(Einstellungen!$C$3,12,31),D102),Einstellungen!$C$9))-(MAX(C102,DATE(Einstellungen!$C$3,1,1)))+1),MAX(0,NETWORKDAYS(MAX(C102,DATE(Einstellungen!$C$3,1,1)),MIN(IF(D102="",DATE(Einstellungen!$C$3,12,31),D102),Einstellungen!$C$9),Einstellungen!$F$13:$F$32)))*F102)</f>
        <v/>
      </c>
    </row>
    <row r="103">
      <c r="A103" s="26" t="n"/>
      <c r="B103" s="23" t="n"/>
      <c r="C103" s="27" t="n"/>
      <c r="D103" s="27" t="n"/>
      <c r="E103" s="28" t="n"/>
      <c r="F103" s="29">
        <f>IF(E103="","",E103/5)</f>
        <v/>
      </c>
      <c r="G103" s="30">
        <f>IF(B103="","",IF(C103&gt;Einstellungen!$C$9,"künftig",IF(AND(D103&lt;&gt;"",D103&lt;Einstellungen!$C$9),"ausgeschieden","aktiv")))</f>
        <v/>
      </c>
      <c r="H103" s="31">
        <f>IF(OR(B103="",E103=""),"",IF(Einstellungen!$C$11="7 Tage",MAX(0,(MIN(IF(D103="",DATE(Einstellungen!$C$3,12,31),D103),Einstellungen!$C$9))-(MAX(C103,DATE(Einstellungen!$C$3,1,1)))+1),MAX(0,NETWORKDAYS(MAX(C103,DATE(Einstellungen!$C$3,1,1)),MIN(IF(D103="",DATE(Einstellungen!$C$3,12,31),D103),Einstellungen!$C$9),Einstellungen!$F$13:$F$32)))*F103)</f>
        <v/>
      </c>
    </row>
    <row r="104">
      <c r="A104" s="26" t="n"/>
      <c r="B104" s="23" t="n"/>
      <c r="C104" s="27" t="n"/>
      <c r="D104" s="27" t="n"/>
      <c r="E104" s="28" t="n"/>
      <c r="F104" s="29">
        <f>IF(E104="","",E104/5)</f>
        <v/>
      </c>
      <c r="G104" s="30">
        <f>IF(B104="","",IF(C104&gt;Einstellungen!$C$9,"künftig",IF(AND(D104&lt;&gt;"",D104&lt;Einstellungen!$C$9),"ausgeschieden","aktiv")))</f>
        <v/>
      </c>
      <c r="H104" s="31">
        <f>IF(OR(B104="",E104=""),"",IF(Einstellungen!$C$11="7 Tage",MAX(0,(MIN(IF(D104="",DATE(Einstellungen!$C$3,12,31),D104),Einstellungen!$C$9))-(MAX(C104,DATE(Einstellungen!$C$3,1,1)))+1),MAX(0,NETWORKDAYS(MAX(C104,DATE(Einstellungen!$C$3,1,1)),MIN(IF(D104="",DATE(Einstellungen!$C$3,12,31),D104),Einstellungen!$C$9),Einstellungen!$F$13:$F$32)))*F104)</f>
        <v/>
      </c>
    </row>
    <row r="105">
      <c r="A105" s="26" t="n"/>
      <c r="B105" s="23" t="n"/>
      <c r="C105" s="27" t="n"/>
      <c r="D105" s="27" t="n"/>
      <c r="E105" s="28" t="n"/>
      <c r="F105" s="29">
        <f>IF(E105="","",E105/5)</f>
        <v/>
      </c>
      <c r="G105" s="30">
        <f>IF(B105="","",IF(C105&gt;Einstellungen!$C$9,"künftig",IF(AND(D105&lt;&gt;"",D105&lt;Einstellungen!$C$9),"ausgeschieden","aktiv")))</f>
        <v/>
      </c>
      <c r="H105" s="31">
        <f>IF(OR(B105="",E105=""),"",IF(Einstellungen!$C$11="7 Tage",MAX(0,(MIN(IF(D105="",DATE(Einstellungen!$C$3,12,31),D105),Einstellungen!$C$9))-(MAX(C105,DATE(Einstellungen!$C$3,1,1)))+1),MAX(0,NETWORKDAYS(MAX(C105,DATE(Einstellungen!$C$3,1,1)),MIN(IF(D105="",DATE(Einstellungen!$C$3,12,31),D105),Einstellungen!$C$9),Einstellungen!$F$13:$F$32)))*F105)</f>
        <v/>
      </c>
    </row>
    <row r="106">
      <c r="A106" s="26" t="n"/>
      <c r="B106" s="23" t="n"/>
      <c r="C106" s="27" t="n"/>
      <c r="D106" s="27" t="n"/>
      <c r="E106" s="28" t="n"/>
      <c r="F106" s="29">
        <f>IF(E106="","",E106/5)</f>
        <v/>
      </c>
      <c r="G106" s="30">
        <f>IF(B106="","",IF(C106&gt;Einstellungen!$C$9,"künftig",IF(AND(D106&lt;&gt;"",D106&lt;Einstellungen!$C$9),"ausgeschieden","aktiv")))</f>
        <v/>
      </c>
      <c r="H106" s="31">
        <f>IF(OR(B106="",E106=""),"",IF(Einstellungen!$C$11="7 Tage",MAX(0,(MIN(IF(D106="",DATE(Einstellungen!$C$3,12,31),D106),Einstellungen!$C$9))-(MAX(C106,DATE(Einstellungen!$C$3,1,1)))+1),MAX(0,NETWORKDAYS(MAX(C106,DATE(Einstellungen!$C$3,1,1)),MIN(IF(D106="",DATE(Einstellungen!$C$3,12,31),D106),Einstellungen!$C$9),Einstellungen!$F$13:$F$32)))*F106)</f>
        <v/>
      </c>
    </row>
    <row r="107">
      <c r="A107" s="26" t="n"/>
      <c r="B107" s="23" t="n"/>
      <c r="C107" s="27" t="n"/>
      <c r="D107" s="27" t="n"/>
      <c r="E107" s="28" t="n"/>
      <c r="F107" s="29">
        <f>IF(E107="","",E107/5)</f>
        <v/>
      </c>
      <c r="G107" s="30">
        <f>IF(B107="","",IF(C107&gt;Einstellungen!$C$9,"künftig",IF(AND(D107&lt;&gt;"",D107&lt;Einstellungen!$C$9),"ausgeschieden","aktiv")))</f>
        <v/>
      </c>
      <c r="H107" s="31">
        <f>IF(OR(B107="",E107=""),"",IF(Einstellungen!$C$11="7 Tage",MAX(0,(MIN(IF(D107="",DATE(Einstellungen!$C$3,12,31),D107),Einstellungen!$C$9))-(MAX(C107,DATE(Einstellungen!$C$3,1,1)))+1),MAX(0,NETWORKDAYS(MAX(C107,DATE(Einstellungen!$C$3,1,1)),MIN(IF(D107="",DATE(Einstellungen!$C$3,12,31),D107),Einstellungen!$C$9),Einstellungen!$F$13:$F$32)))*F107)</f>
        <v/>
      </c>
    </row>
    <row r="108">
      <c r="A108" s="26" t="n"/>
      <c r="B108" s="23" t="n"/>
      <c r="C108" s="27" t="n"/>
      <c r="D108" s="27" t="n"/>
      <c r="E108" s="28" t="n"/>
      <c r="F108" s="29">
        <f>IF(E108="","",E108/5)</f>
        <v/>
      </c>
      <c r="G108" s="30">
        <f>IF(B108="","",IF(C108&gt;Einstellungen!$C$9,"künftig",IF(AND(D108&lt;&gt;"",D108&lt;Einstellungen!$C$9),"ausgeschieden","aktiv")))</f>
        <v/>
      </c>
      <c r="H108" s="31">
        <f>IF(OR(B108="",E108=""),"",IF(Einstellungen!$C$11="7 Tage",MAX(0,(MIN(IF(D108="",DATE(Einstellungen!$C$3,12,31),D108),Einstellungen!$C$9))-(MAX(C108,DATE(Einstellungen!$C$3,1,1)))+1),MAX(0,NETWORKDAYS(MAX(C108,DATE(Einstellungen!$C$3,1,1)),MIN(IF(D108="",DATE(Einstellungen!$C$3,12,31),D108),Einstellungen!$C$9),Einstellungen!$F$13:$F$32)))*F108)</f>
        <v/>
      </c>
    </row>
    <row r="109">
      <c r="A109" s="26" t="n"/>
      <c r="B109" s="23" t="n"/>
      <c r="C109" s="27" t="n"/>
      <c r="D109" s="27" t="n"/>
      <c r="E109" s="28" t="n"/>
      <c r="F109" s="29">
        <f>IF(E109="","",E109/5)</f>
        <v/>
      </c>
      <c r="G109" s="30">
        <f>IF(B109="","",IF(C109&gt;Einstellungen!$C$9,"künftig",IF(AND(D109&lt;&gt;"",D109&lt;Einstellungen!$C$9),"ausgeschieden","aktiv")))</f>
        <v/>
      </c>
      <c r="H109" s="31">
        <f>IF(OR(B109="",E109=""),"",IF(Einstellungen!$C$11="7 Tage",MAX(0,(MIN(IF(D109="",DATE(Einstellungen!$C$3,12,31),D109),Einstellungen!$C$9))-(MAX(C109,DATE(Einstellungen!$C$3,1,1)))+1),MAX(0,NETWORKDAYS(MAX(C109,DATE(Einstellungen!$C$3,1,1)),MIN(IF(D109="",DATE(Einstellungen!$C$3,12,31),D109),Einstellungen!$C$9),Einstellungen!$F$13:$F$32)))*F109)</f>
        <v/>
      </c>
    </row>
    <row r="110">
      <c r="A110" s="26" t="n"/>
      <c r="B110" s="23" t="n"/>
      <c r="C110" s="27" t="n"/>
      <c r="D110" s="27" t="n"/>
      <c r="E110" s="28" t="n"/>
      <c r="F110" s="29">
        <f>IF(E110="","",E110/5)</f>
        <v/>
      </c>
      <c r="G110" s="30">
        <f>IF(B110="","",IF(C110&gt;Einstellungen!$C$9,"künftig",IF(AND(D110&lt;&gt;"",D110&lt;Einstellungen!$C$9),"ausgeschieden","aktiv")))</f>
        <v/>
      </c>
      <c r="H110" s="31">
        <f>IF(OR(B110="",E110=""),"",IF(Einstellungen!$C$11="7 Tage",MAX(0,(MIN(IF(D110="",DATE(Einstellungen!$C$3,12,31),D110),Einstellungen!$C$9))-(MAX(C110,DATE(Einstellungen!$C$3,1,1)))+1),MAX(0,NETWORKDAYS(MAX(C110,DATE(Einstellungen!$C$3,1,1)),MIN(IF(D110="",DATE(Einstellungen!$C$3,12,31),D110),Einstellungen!$C$9),Einstellungen!$F$13:$F$32)))*F110)</f>
        <v/>
      </c>
    </row>
    <row r="111">
      <c r="A111" s="26" t="n"/>
      <c r="B111" s="23" t="n"/>
      <c r="C111" s="27" t="n"/>
      <c r="D111" s="27" t="n"/>
      <c r="E111" s="28" t="n"/>
      <c r="F111" s="29">
        <f>IF(E111="","",E111/5)</f>
        <v/>
      </c>
      <c r="G111" s="30">
        <f>IF(B111="","",IF(C111&gt;Einstellungen!$C$9,"künftig",IF(AND(D111&lt;&gt;"",D111&lt;Einstellungen!$C$9),"ausgeschieden","aktiv")))</f>
        <v/>
      </c>
      <c r="H111" s="31">
        <f>IF(OR(B111="",E111=""),"",IF(Einstellungen!$C$11="7 Tage",MAX(0,(MIN(IF(D111="",DATE(Einstellungen!$C$3,12,31),D111),Einstellungen!$C$9))-(MAX(C111,DATE(Einstellungen!$C$3,1,1)))+1),MAX(0,NETWORKDAYS(MAX(C111,DATE(Einstellungen!$C$3,1,1)),MIN(IF(D111="",DATE(Einstellungen!$C$3,12,31),D111),Einstellungen!$C$9),Einstellungen!$F$13:$F$32)))*F111)</f>
        <v/>
      </c>
    </row>
    <row r="112">
      <c r="A112" s="26" t="n"/>
      <c r="B112" s="23" t="n"/>
      <c r="C112" s="27" t="n"/>
      <c r="D112" s="27" t="n"/>
      <c r="E112" s="28" t="n"/>
      <c r="F112" s="29">
        <f>IF(E112="","",E112/5)</f>
        <v/>
      </c>
      <c r="G112" s="30">
        <f>IF(B112="","",IF(C112&gt;Einstellungen!$C$9,"künftig",IF(AND(D112&lt;&gt;"",D112&lt;Einstellungen!$C$9),"ausgeschieden","aktiv")))</f>
        <v/>
      </c>
      <c r="H112" s="31">
        <f>IF(OR(B112="",E112=""),"",IF(Einstellungen!$C$11="7 Tage",MAX(0,(MIN(IF(D112="",DATE(Einstellungen!$C$3,12,31),D112),Einstellungen!$C$9))-(MAX(C112,DATE(Einstellungen!$C$3,1,1)))+1),MAX(0,NETWORKDAYS(MAX(C112,DATE(Einstellungen!$C$3,1,1)),MIN(IF(D112="",DATE(Einstellungen!$C$3,12,31),D112),Einstellungen!$C$9),Einstellungen!$F$13:$F$32)))*F112)</f>
        <v/>
      </c>
    </row>
    <row r="113">
      <c r="A113" s="26" t="n"/>
      <c r="B113" s="23" t="n"/>
      <c r="C113" s="27" t="n"/>
      <c r="D113" s="27" t="n"/>
      <c r="E113" s="28" t="n"/>
      <c r="F113" s="29">
        <f>IF(E113="","",E113/5)</f>
        <v/>
      </c>
      <c r="G113" s="30">
        <f>IF(B113="","",IF(C113&gt;Einstellungen!$C$9,"künftig",IF(AND(D113&lt;&gt;"",D113&lt;Einstellungen!$C$9),"ausgeschieden","aktiv")))</f>
        <v/>
      </c>
      <c r="H113" s="31">
        <f>IF(OR(B113="",E113=""),"",IF(Einstellungen!$C$11="7 Tage",MAX(0,(MIN(IF(D113="",DATE(Einstellungen!$C$3,12,31),D113),Einstellungen!$C$9))-(MAX(C113,DATE(Einstellungen!$C$3,1,1)))+1),MAX(0,NETWORKDAYS(MAX(C113,DATE(Einstellungen!$C$3,1,1)),MIN(IF(D113="",DATE(Einstellungen!$C$3,12,31),D113),Einstellungen!$C$9),Einstellungen!$F$13:$F$32)))*F113)</f>
        <v/>
      </c>
    </row>
    <row r="114">
      <c r="A114" s="26" t="n"/>
      <c r="B114" s="23" t="n"/>
      <c r="C114" s="27" t="n"/>
      <c r="D114" s="27" t="n"/>
      <c r="E114" s="28" t="n"/>
      <c r="F114" s="29">
        <f>IF(E114="","",E114/5)</f>
        <v/>
      </c>
      <c r="G114" s="30">
        <f>IF(B114="","",IF(C114&gt;Einstellungen!$C$9,"künftig",IF(AND(D114&lt;&gt;"",D114&lt;Einstellungen!$C$9),"ausgeschieden","aktiv")))</f>
        <v/>
      </c>
      <c r="H114" s="31">
        <f>IF(OR(B114="",E114=""),"",IF(Einstellungen!$C$11="7 Tage",MAX(0,(MIN(IF(D114="",DATE(Einstellungen!$C$3,12,31),D114),Einstellungen!$C$9))-(MAX(C114,DATE(Einstellungen!$C$3,1,1)))+1),MAX(0,NETWORKDAYS(MAX(C114,DATE(Einstellungen!$C$3,1,1)),MIN(IF(D114="",DATE(Einstellungen!$C$3,12,31),D114),Einstellungen!$C$9),Einstellungen!$F$13:$F$32)))*F114)</f>
        <v/>
      </c>
    </row>
    <row r="115">
      <c r="A115" s="26" t="n"/>
      <c r="B115" s="23" t="n"/>
      <c r="C115" s="27" t="n"/>
      <c r="D115" s="27" t="n"/>
      <c r="E115" s="28" t="n"/>
      <c r="F115" s="29">
        <f>IF(E115="","",E115/5)</f>
        <v/>
      </c>
      <c r="G115" s="30">
        <f>IF(B115="","",IF(C115&gt;Einstellungen!$C$9,"künftig",IF(AND(D115&lt;&gt;"",D115&lt;Einstellungen!$C$9),"ausgeschieden","aktiv")))</f>
        <v/>
      </c>
      <c r="H115" s="31">
        <f>IF(OR(B115="",E115=""),"",IF(Einstellungen!$C$11="7 Tage",MAX(0,(MIN(IF(D115="",DATE(Einstellungen!$C$3,12,31),D115),Einstellungen!$C$9))-(MAX(C115,DATE(Einstellungen!$C$3,1,1)))+1),MAX(0,NETWORKDAYS(MAX(C115,DATE(Einstellungen!$C$3,1,1)),MIN(IF(D115="",DATE(Einstellungen!$C$3,12,31),D115),Einstellungen!$C$9),Einstellungen!$F$13:$F$32)))*F115)</f>
        <v/>
      </c>
    </row>
    <row r="116">
      <c r="A116" s="26" t="n"/>
      <c r="B116" s="23" t="n"/>
      <c r="C116" s="27" t="n"/>
      <c r="D116" s="27" t="n"/>
      <c r="E116" s="28" t="n"/>
      <c r="F116" s="29">
        <f>IF(E116="","",E116/5)</f>
        <v/>
      </c>
      <c r="G116" s="30">
        <f>IF(B116="","",IF(C116&gt;Einstellungen!$C$9,"künftig",IF(AND(D116&lt;&gt;"",D116&lt;Einstellungen!$C$9),"ausgeschieden","aktiv")))</f>
        <v/>
      </c>
      <c r="H116" s="31">
        <f>IF(OR(B116="",E116=""),"",IF(Einstellungen!$C$11="7 Tage",MAX(0,(MIN(IF(D116="",DATE(Einstellungen!$C$3,12,31),D116),Einstellungen!$C$9))-(MAX(C116,DATE(Einstellungen!$C$3,1,1)))+1),MAX(0,NETWORKDAYS(MAX(C116,DATE(Einstellungen!$C$3,1,1)),MIN(IF(D116="",DATE(Einstellungen!$C$3,12,31),D116),Einstellungen!$C$9),Einstellungen!$F$13:$F$32)))*F116)</f>
        <v/>
      </c>
    </row>
    <row r="117">
      <c r="A117" s="26" t="n"/>
      <c r="B117" s="23" t="n"/>
      <c r="C117" s="27" t="n"/>
      <c r="D117" s="27" t="n"/>
      <c r="E117" s="28" t="n"/>
      <c r="F117" s="29">
        <f>IF(E117="","",E117/5)</f>
        <v/>
      </c>
      <c r="G117" s="30">
        <f>IF(B117="","",IF(C117&gt;Einstellungen!$C$9,"künftig",IF(AND(D117&lt;&gt;"",D117&lt;Einstellungen!$C$9),"ausgeschieden","aktiv")))</f>
        <v/>
      </c>
      <c r="H117" s="31">
        <f>IF(OR(B117="",E117=""),"",IF(Einstellungen!$C$11="7 Tage",MAX(0,(MIN(IF(D117="",DATE(Einstellungen!$C$3,12,31),D117),Einstellungen!$C$9))-(MAX(C117,DATE(Einstellungen!$C$3,1,1)))+1),MAX(0,NETWORKDAYS(MAX(C117,DATE(Einstellungen!$C$3,1,1)),MIN(IF(D117="",DATE(Einstellungen!$C$3,12,31),D117),Einstellungen!$C$9),Einstellungen!$F$13:$F$32)))*F117)</f>
        <v/>
      </c>
    </row>
    <row r="118">
      <c r="A118" s="26" t="n"/>
      <c r="B118" s="23" t="n"/>
      <c r="C118" s="27" t="n"/>
      <c r="D118" s="27" t="n"/>
      <c r="E118" s="28" t="n"/>
      <c r="F118" s="29">
        <f>IF(E118="","",E118/5)</f>
        <v/>
      </c>
      <c r="G118" s="30">
        <f>IF(B118="","",IF(C118&gt;Einstellungen!$C$9,"künftig",IF(AND(D118&lt;&gt;"",D118&lt;Einstellungen!$C$9),"ausgeschieden","aktiv")))</f>
        <v/>
      </c>
      <c r="H118" s="31">
        <f>IF(OR(B118="",E118=""),"",IF(Einstellungen!$C$11="7 Tage",MAX(0,(MIN(IF(D118="",DATE(Einstellungen!$C$3,12,31),D118),Einstellungen!$C$9))-(MAX(C118,DATE(Einstellungen!$C$3,1,1)))+1),MAX(0,NETWORKDAYS(MAX(C118,DATE(Einstellungen!$C$3,1,1)),MIN(IF(D118="",DATE(Einstellungen!$C$3,12,31),D118),Einstellungen!$C$9),Einstellungen!$F$13:$F$32)))*F118)</f>
        <v/>
      </c>
    </row>
    <row r="119">
      <c r="A119" s="26" t="n"/>
      <c r="B119" s="23" t="n"/>
      <c r="C119" s="27" t="n"/>
      <c r="D119" s="27" t="n"/>
      <c r="E119" s="28" t="n"/>
      <c r="F119" s="29">
        <f>IF(E119="","",E119/5)</f>
        <v/>
      </c>
      <c r="G119" s="30">
        <f>IF(B119="","",IF(C119&gt;Einstellungen!$C$9,"künftig",IF(AND(D119&lt;&gt;"",D119&lt;Einstellungen!$C$9),"ausgeschieden","aktiv")))</f>
        <v/>
      </c>
      <c r="H119" s="31">
        <f>IF(OR(B119="",E119=""),"",IF(Einstellungen!$C$11="7 Tage",MAX(0,(MIN(IF(D119="",DATE(Einstellungen!$C$3,12,31),D119),Einstellungen!$C$9))-(MAX(C119,DATE(Einstellungen!$C$3,1,1)))+1),MAX(0,NETWORKDAYS(MAX(C119,DATE(Einstellungen!$C$3,1,1)),MIN(IF(D119="",DATE(Einstellungen!$C$3,12,31),D119),Einstellungen!$C$9),Einstellungen!$F$13:$F$32)))*F119)</f>
        <v/>
      </c>
    </row>
    <row r="120">
      <c r="A120" s="26" t="n"/>
      <c r="B120" s="23" t="n"/>
      <c r="C120" s="27" t="n"/>
      <c r="D120" s="27" t="n"/>
      <c r="E120" s="28" t="n"/>
      <c r="F120" s="29">
        <f>IF(E120="","",E120/5)</f>
        <v/>
      </c>
      <c r="G120" s="30">
        <f>IF(B120="","",IF(C120&gt;Einstellungen!$C$9,"künftig",IF(AND(D120&lt;&gt;"",D120&lt;Einstellungen!$C$9),"ausgeschieden","aktiv")))</f>
        <v/>
      </c>
      <c r="H120" s="31">
        <f>IF(OR(B120="",E120=""),"",IF(Einstellungen!$C$11="7 Tage",MAX(0,(MIN(IF(D120="",DATE(Einstellungen!$C$3,12,31),D120),Einstellungen!$C$9))-(MAX(C120,DATE(Einstellungen!$C$3,1,1)))+1),MAX(0,NETWORKDAYS(MAX(C120,DATE(Einstellungen!$C$3,1,1)),MIN(IF(D120="",DATE(Einstellungen!$C$3,12,31),D120),Einstellungen!$C$9),Einstellungen!$F$13:$F$32)))*F120)</f>
        <v/>
      </c>
    </row>
    <row r="121">
      <c r="A121" s="26" t="n"/>
      <c r="B121" s="23" t="n"/>
      <c r="C121" s="27" t="n"/>
      <c r="D121" s="27" t="n"/>
      <c r="E121" s="28" t="n"/>
      <c r="F121" s="29">
        <f>IF(E121="","",E121/5)</f>
        <v/>
      </c>
      <c r="G121" s="30">
        <f>IF(B121="","",IF(C121&gt;Einstellungen!$C$9,"künftig",IF(AND(D121&lt;&gt;"",D121&lt;Einstellungen!$C$9),"ausgeschieden","aktiv")))</f>
        <v/>
      </c>
      <c r="H121" s="31">
        <f>IF(OR(B121="",E121=""),"",IF(Einstellungen!$C$11="7 Tage",MAX(0,(MIN(IF(D121="",DATE(Einstellungen!$C$3,12,31),D121),Einstellungen!$C$9))-(MAX(C121,DATE(Einstellungen!$C$3,1,1)))+1),MAX(0,NETWORKDAYS(MAX(C121,DATE(Einstellungen!$C$3,1,1)),MIN(IF(D121="",DATE(Einstellungen!$C$3,12,31),D121),Einstellungen!$C$9),Einstellungen!$F$13:$F$32)))*F121)</f>
        <v/>
      </c>
    </row>
    <row r="122">
      <c r="A122" s="26" t="n"/>
      <c r="B122" s="23" t="n"/>
      <c r="C122" s="27" t="n"/>
      <c r="D122" s="27" t="n"/>
      <c r="E122" s="28" t="n"/>
      <c r="F122" s="29">
        <f>IF(E122="","",E122/5)</f>
        <v/>
      </c>
      <c r="G122" s="30">
        <f>IF(B122="","",IF(C122&gt;Einstellungen!$C$9,"künftig",IF(AND(D122&lt;&gt;"",D122&lt;Einstellungen!$C$9),"ausgeschieden","aktiv")))</f>
        <v/>
      </c>
      <c r="H122" s="31">
        <f>IF(OR(B122="",E122=""),"",IF(Einstellungen!$C$11="7 Tage",MAX(0,(MIN(IF(D122="",DATE(Einstellungen!$C$3,12,31),D122),Einstellungen!$C$9))-(MAX(C122,DATE(Einstellungen!$C$3,1,1)))+1),MAX(0,NETWORKDAYS(MAX(C122,DATE(Einstellungen!$C$3,1,1)),MIN(IF(D122="",DATE(Einstellungen!$C$3,12,31),D122),Einstellungen!$C$9),Einstellungen!$F$13:$F$32)))*F122)</f>
        <v/>
      </c>
    </row>
    <row r="123">
      <c r="A123" s="26" t="n"/>
      <c r="B123" s="23" t="n"/>
      <c r="C123" s="27" t="n"/>
      <c r="D123" s="27" t="n"/>
      <c r="E123" s="28" t="n"/>
      <c r="F123" s="29">
        <f>IF(E123="","",E123/5)</f>
        <v/>
      </c>
      <c r="G123" s="30">
        <f>IF(B123="","",IF(C123&gt;Einstellungen!$C$9,"künftig",IF(AND(D123&lt;&gt;"",D123&lt;Einstellungen!$C$9),"ausgeschieden","aktiv")))</f>
        <v/>
      </c>
      <c r="H123" s="31">
        <f>IF(OR(B123="",E123=""),"",IF(Einstellungen!$C$11="7 Tage",MAX(0,(MIN(IF(D123="",DATE(Einstellungen!$C$3,12,31),D123),Einstellungen!$C$9))-(MAX(C123,DATE(Einstellungen!$C$3,1,1)))+1),MAX(0,NETWORKDAYS(MAX(C123,DATE(Einstellungen!$C$3,1,1)),MIN(IF(D123="",DATE(Einstellungen!$C$3,12,31),D123),Einstellungen!$C$9),Einstellungen!$F$13:$F$32)))*F123)</f>
        <v/>
      </c>
    </row>
    <row r="124">
      <c r="A124" s="26" t="n"/>
      <c r="B124" s="23" t="n"/>
      <c r="C124" s="27" t="n"/>
      <c r="D124" s="27" t="n"/>
      <c r="E124" s="28" t="n"/>
      <c r="F124" s="29">
        <f>IF(E124="","",E124/5)</f>
        <v/>
      </c>
      <c r="G124" s="30">
        <f>IF(B124="","",IF(C124&gt;Einstellungen!$C$9,"künftig",IF(AND(D124&lt;&gt;"",D124&lt;Einstellungen!$C$9),"ausgeschieden","aktiv")))</f>
        <v/>
      </c>
      <c r="H124" s="31">
        <f>IF(OR(B124="",E124=""),"",IF(Einstellungen!$C$11="7 Tage",MAX(0,(MIN(IF(D124="",DATE(Einstellungen!$C$3,12,31),D124),Einstellungen!$C$9))-(MAX(C124,DATE(Einstellungen!$C$3,1,1)))+1),MAX(0,NETWORKDAYS(MAX(C124,DATE(Einstellungen!$C$3,1,1)),MIN(IF(D124="",DATE(Einstellungen!$C$3,12,31),D124),Einstellungen!$C$9),Einstellungen!$F$13:$F$32)))*F124)</f>
        <v/>
      </c>
    </row>
    <row r="125">
      <c r="A125" s="26" t="n"/>
      <c r="B125" s="23" t="n"/>
      <c r="C125" s="27" t="n"/>
      <c r="D125" s="27" t="n"/>
      <c r="E125" s="28" t="n"/>
      <c r="F125" s="29">
        <f>IF(E125="","",E125/5)</f>
        <v/>
      </c>
      <c r="G125" s="30">
        <f>IF(B125="","",IF(C125&gt;Einstellungen!$C$9,"künftig",IF(AND(D125&lt;&gt;"",D125&lt;Einstellungen!$C$9),"ausgeschieden","aktiv")))</f>
        <v/>
      </c>
      <c r="H125" s="31">
        <f>IF(OR(B125="",E125=""),"",IF(Einstellungen!$C$11="7 Tage",MAX(0,(MIN(IF(D125="",DATE(Einstellungen!$C$3,12,31),D125),Einstellungen!$C$9))-(MAX(C125,DATE(Einstellungen!$C$3,1,1)))+1),MAX(0,NETWORKDAYS(MAX(C125,DATE(Einstellungen!$C$3,1,1)),MIN(IF(D125="",DATE(Einstellungen!$C$3,12,31),D125),Einstellungen!$C$9),Einstellungen!$F$13:$F$32)))*F125)</f>
        <v/>
      </c>
    </row>
    <row r="126">
      <c r="A126" s="26" t="n"/>
      <c r="B126" s="23" t="n"/>
      <c r="C126" s="27" t="n"/>
      <c r="D126" s="27" t="n"/>
      <c r="E126" s="28" t="n"/>
      <c r="F126" s="29">
        <f>IF(E126="","",E126/5)</f>
        <v/>
      </c>
      <c r="G126" s="30">
        <f>IF(B126="","",IF(C126&gt;Einstellungen!$C$9,"künftig",IF(AND(D126&lt;&gt;"",D126&lt;Einstellungen!$C$9),"ausgeschieden","aktiv")))</f>
        <v/>
      </c>
      <c r="H126" s="31">
        <f>IF(OR(B126="",E126=""),"",IF(Einstellungen!$C$11="7 Tage",MAX(0,(MIN(IF(D126="",DATE(Einstellungen!$C$3,12,31),D126),Einstellungen!$C$9))-(MAX(C126,DATE(Einstellungen!$C$3,1,1)))+1),MAX(0,NETWORKDAYS(MAX(C126,DATE(Einstellungen!$C$3,1,1)),MIN(IF(D126="",DATE(Einstellungen!$C$3,12,31),D126),Einstellungen!$C$9),Einstellungen!$F$13:$F$32)))*F126)</f>
        <v/>
      </c>
    </row>
    <row r="127">
      <c r="A127" s="26" t="n"/>
      <c r="B127" s="23" t="n"/>
      <c r="C127" s="27" t="n"/>
      <c r="D127" s="27" t="n"/>
      <c r="E127" s="28" t="n"/>
      <c r="F127" s="29">
        <f>IF(E127="","",E127/5)</f>
        <v/>
      </c>
      <c r="G127" s="30">
        <f>IF(B127="","",IF(C127&gt;Einstellungen!$C$9,"künftig",IF(AND(D127&lt;&gt;"",D127&lt;Einstellungen!$C$9),"ausgeschieden","aktiv")))</f>
        <v/>
      </c>
      <c r="H127" s="31">
        <f>IF(OR(B127="",E127=""),"",IF(Einstellungen!$C$11="7 Tage",MAX(0,(MIN(IF(D127="",DATE(Einstellungen!$C$3,12,31),D127),Einstellungen!$C$9))-(MAX(C127,DATE(Einstellungen!$C$3,1,1)))+1),MAX(0,NETWORKDAYS(MAX(C127,DATE(Einstellungen!$C$3,1,1)),MIN(IF(D127="",DATE(Einstellungen!$C$3,12,31),D127),Einstellungen!$C$9),Einstellungen!$F$13:$F$32)))*F127)</f>
        <v/>
      </c>
    </row>
    <row r="128">
      <c r="A128" s="26" t="n"/>
      <c r="B128" s="23" t="n"/>
      <c r="C128" s="27" t="n"/>
      <c r="D128" s="27" t="n"/>
      <c r="E128" s="28" t="n"/>
      <c r="F128" s="29">
        <f>IF(E128="","",E128/5)</f>
        <v/>
      </c>
      <c r="G128" s="30">
        <f>IF(B128="","",IF(C128&gt;Einstellungen!$C$9,"künftig",IF(AND(D128&lt;&gt;"",D128&lt;Einstellungen!$C$9),"ausgeschieden","aktiv")))</f>
        <v/>
      </c>
      <c r="H128" s="31">
        <f>IF(OR(B128="",E128=""),"",IF(Einstellungen!$C$11="7 Tage",MAX(0,(MIN(IF(D128="",DATE(Einstellungen!$C$3,12,31),D128),Einstellungen!$C$9))-(MAX(C128,DATE(Einstellungen!$C$3,1,1)))+1),MAX(0,NETWORKDAYS(MAX(C128,DATE(Einstellungen!$C$3,1,1)),MIN(IF(D128="",DATE(Einstellungen!$C$3,12,31),D128),Einstellungen!$C$9),Einstellungen!$F$13:$F$32)))*F128)</f>
        <v/>
      </c>
    </row>
    <row r="129">
      <c r="A129" s="26" t="n"/>
      <c r="B129" s="23" t="n"/>
      <c r="C129" s="27" t="n"/>
      <c r="D129" s="27" t="n"/>
      <c r="E129" s="28" t="n"/>
      <c r="F129" s="29">
        <f>IF(E129="","",E129/5)</f>
        <v/>
      </c>
      <c r="G129" s="30">
        <f>IF(B129="","",IF(C129&gt;Einstellungen!$C$9,"künftig",IF(AND(D129&lt;&gt;"",D129&lt;Einstellungen!$C$9),"ausgeschieden","aktiv")))</f>
        <v/>
      </c>
      <c r="H129" s="31">
        <f>IF(OR(B129="",E129=""),"",IF(Einstellungen!$C$11="7 Tage",MAX(0,(MIN(IF(D129="",DATE(Einstellungen!$C$3,12,31),D129),Einstellungen!$C$9))-(MAX(C129,DATE(Einstellungen!$C$3,1,1)))+1),MAX(0,NETWORKDAYS(MAX(C129,DATE(Einstellungen!$C$3,1,1)),MIN(IF(D129="",DATE(Einstellungen!$C$3,12,31),D129),Einstellungen!$C$9),Einstellungen!$F$13:$F$32)))*F129)</f>
        <v/>
      </c>
    </row>
    <row r="130">
      <c r="A130" s="26" t="n"/>
      <c r="B130" s="23" t="n"/>
      <c r="C130" s="27" t="n"/>
      <c r="D130" s="27" t="n"/>
      <c r="E130" s="28" t="n"/>
      <c r="F130" s="29">
        <f>IF(E130="","",E130/5)</f>
        <v/>
      </c>
      <c r="G130" s="30">
        <f>IF(B130="","",IF(C130&gt;Einstellungen!$C$9,"künftig",IF(AND(D130&lt;&gt;"",D130&lt;Einstellungen!$C$9),"ausgeschieden","aktiv")))</f>
        <v/>
      </c>
      <c r="H130" s="31">
        <f>IF(OR(B130="",E130=""),"",IF(Einstellungen!$C$11="7 Tage",MAX(0,(MIN(IF(D130="",DATE(Einstellungen!$C$3,12,31),D130),Einstellungen!$C$9))-(MAX(C130,DATE(Einstellungen!$C$3,1,1)))+1),MAX(0,NETWORKDAYS(MAX(C130,DATE(Einstellungen!$C$3,1,1)),MIN(IF(D130="",DATE(Einstellungen!$C$3,12,31),D130),Einstellungen!$C$9),Einstellungen!$F$13:$F$32)))*F130)</f>
        <v/>
      </c>
    </row>
    <row r="131">
      <c r="A131" s="26" t="n"/>
      <c r="B131" s="23" t="n"/>
      <c r="C131" s="27" t="n"/>
      <c r="D131" s="27" t="n"/>
      <c r="E131" s="28" t="n"/>
      <c r="F131" s="29">
        <f>IF(E131="","",E131/5)</f>
        <v/>
      </c>
      <c r="G131" s="30">
        <f>IF(B131="","",IF(C131&gt;Einstellungen!$C$9,"künftig",IF(AND(D131&lt;&gt;"",D131&lt;Einstellungen!$C$9),"ausgeschieden","aktiv")))</f>
        <v/>
      </c>
      <c r="H131" s="31">
        <f>IF(OR(B131="",E131=""),"",IF(Einstellungen!$C$11="7 Tage",MAX(0,(MIN(IF(D131="",DATE(Einstellungen!$C$3,12,31),D131),Einstellungen!$C$9))-(MAX(C131,DATE(Einstellungen!$C$3,1,1)))+1),MAX(0,NETWORKDAYS(MAX(C131,DATE(Einstellungen!$C$3,1,1)),MIN(IF(D131="",DATE(Einstellungen!$C$3,12,31),D131),Einstellungen!$C$9),Einstellungen!$F$13:$F$32)))*F131)</f>
        <v/>
      </c>
    </row>
    <row r="132">
      <c r="A132" s="26" t="n"/>
      <c r="B132" s="23" t="n"/>
      <c r="C132" s="27" t="n"/>
      <c r="D132" s="27" t="n"/>
      <c r="E132" s="28" t="n"/>
      <c r="F132" s="29">
        <f>IF(E132="","",E132/5)</f>
        <v/>
      </c>
      <c r="G132" s="30">
        <f>IF(B132="","",IF(C132&gt;Einstellungen!$C$9,"künftig",IF(AND(D132&lt;&gt;"",D132&lt;Einstellungen!$C$9),"ausgeschieden","aktiv")))</f>
        <v/>
      </c>
      <c r="H132" s="31">
        <f>IF(OR(B132="",E132=""),"",IF(Einstellungen!$C$11="7 Tage",MAX(0,(MIN(IF(D132="",DATE(Einstellungen!$C$3,12,31),D132),Einstellungen!$C$9))-(MAX(C132,DATE(Einstellungen!$C$3,1,1)))+1),MAX(0,NETWORKDAYS(MAX(C132,DATE(Einstellungen!$C$3,1,1)),MIN(IF(D132="",DATE(Einstellungen!$C$3,12,31),D132),Einstellungen!$C$9),Einstellungen!$F$13:$F$32)))*F132)</f>
        <v/>
      </c>
    </row>
    <row r="133">
      <c r="A133" s="26" t="n"/>
      <c r="B133" s="23" t="n"/>
      <c r="C133" s="27" t="n"/>
      <c r="D133" s="27" t="n"/>
      <c r="E133" s="28" t="n"/>
      <c r="F133" s="29">
        <f>IF(E133="","",E133/5)</f>
        <v/>
      </c>
      <c r="G133" s="30">
        <f>IF(B133="","",IF(C133&gt;Einstellungen!$C$9,"künftig",IF(AND(D133&lt;&gt;"",D133&lt;Einstellungen!$C$9),"ausgeschieden","aktiv")))</f>
        <v/>
      </c>
      <c r="H133" s="31">
        <f>IF(OR(B133="",E133=""),"",IF(Einstellungen!$C$11="7 Tage",MAX(0,(MIN(IF(D133="",DATE(Einstellungen!$C$3,12,31),D133),Einstellungen!$C$9))-(MAX(C133,DATE(Einstellungen!$C$3,1,1)))+1),MAX(0,NETWORKDAYS(MAX(C133,DATE(Einstellungen!$C$3,1,1)),MIN(IF(D133="",DATE(Einstellungen!$C$3,12,31),D133),Einstellungen!$C$9),Einstellungen!$F$13:$F$32)))*F133)</f>
        <v/>
      </c>
    </row>
    <row r="134">
      <c r="A134" s="26" t="n"/>
      <c r="B134" s="23" t="n"/>
      <c r="C134" s="27" t="n"/>
      <c r="D134" s="27" t="n"/>
      <c r="E134" s="28" t="n"/>
      <c r="F134" s="29">
        <f>IF(E134="","",E134/5)</f>
        <v/>
      </c>
      <c r="G134" s="30">
        <f>IF(B134="","",IF(C134&gt;Einstellungen!$C$9,"künftig",IF(AND(D134&lt;&gt;"",D134&lt;Einstellungen!$C$9),"ausgeschieden","aktiv")))</f>
        <v/>
      </c>
      <c r="H134" s="31">
        <f>IF(OR(B134="",E134=""),"",IF(Einstellungen!$C$11="7 Tage",MAX(0,(MIN(IF(D134="",DATE(Einstellungen!$C$3,12,31),D134),Einstellungen!$C$9))-(MAX(C134,DATE(Einstellungen!$C$3,1,1)))+1),MAX(0,NETWORKDAYS(MAX(C134,DATE(Einstellungen!$C$3,1,1)),MIN(IF(D134="",DATE(Einstellungen!$C$3,12,31),D134),Einstellungen!$C$9),Einstellungen!$F$13:$F$32)))*F134)</f>
        <v/>
      </c>
    </row>
    <row r="135">
      <c r="A135" s="26" t="n"/>
      <c r="B135" s="23" t="n"/>
      <c r="C135" s="27" t="n"/>
      <c r="D135" s="27" t="n"/>
      <c r="E135" s="28" t="n"/>
      <c r="F135" s="29">
        <f>IF(E135="","",E135/5)</f>
        <v/>
      </c>
      <c r="G135" s="30">
        <f>IF(B135="","",IF(C135&gt;Einstellungen!$C$9,"künftig",IF(AND(D135&lt;&gt;"",D135&lt;Einstellungen!$C$9),"ausgeschieden","aktiv")))</f>
        <v/>
      </c>
      <c r="H135" s="31">
        <f>IF(OR(B135="",E135=""),"",IF(Einstellungen!$C$11="7 Tage",MAX(0,(MIN(IF(D135="",DATE(Einstellungen!$C$3,12,31),D135),Einstellungen!$C$9))-(MAX(C135,DATE(Einstellungen!$C$3,1,1)))+1),MAX(0,NETWORKDAYS(MAX(C135,DATE(Einstellungen!$C$3,1,1)),MIN(IF(D135="",DATE(Einstellungen!$C$3,12,31),D135),Einstellungen!$C$9),Einstellungen!$F$13:$F$32)))*F135)</f>
        <v/>
      </c>
    </row>
    <row r="136">
      <c r="A136" s="26" t="n"/>
      <c r="B136" s="23" t="n"/>
      <c r="C136" s="27" t="n"/>
      <c r="D136" s="27" t="n"/>
      <c r="E136" s="28" t="n"/>
      <c r="F136" s="29">
        <f>IF(E136="","",E136/5)</f>
        <v/>
      </c>
      <c r="G136" s="30">
        <f>IF(B136="","",IF(C136&gt;Einstellungen!$C$9,"künftig",IF(AND(D136&lt;&gt;"",D136&lt;Einstellungen!$C$9),"ausgeschieden","aktiv")))</f>
        <v/>
      </c>
      <c r="H136" s="31">
        <f>IF(OR(B136="",E136=""),"",IF(Einstellungen!$C$11="7 Tage",MAX(0,(MIN(IF(D136="",DATE(Einstellungen!$C$3,12,31),D136),Einstellungen!$C$9))-(MAX(C136,DATE(Einstellungen!$C$3,1,1)))+1),MAX(0,NETWORKDAYS(MAX(C136,DATE(Einstellungen!$C$3,1,1)),MIN(IF(D136="",DATE(Einstellungen!$C$3,12,31),D136),Einstellungen!$C$9),Einstellungen!$F$13:$F$32)))*F136)</f>
        <v/>
      </c>
    </row>
    <row r="137">
      <c r="A137" s="26" t="n"/>
      <c r="B137" s="23" t="n"/>
      <c r="C137" s="27" t="n"/>
      <c r="D137" s="27" t="n"/>
      <c r="E137" s="28" t="n"/>
      <c r="F137" s="29">
        <f>IF(E137="","",E137/5)</f>
        <v/>
      </c>
      <c r="G137" s="30">
        <f>IF(B137="","",IF(C137&gt;Einstellungen!$C$9,"künftig",IF(AND(D137&lt;&gt;"",D137&lt;Einstellungen!$C$9),"ausgeschieden","aktiv")))</f>
        <v/>
      </c>
      <c r="H137" s="31">
        <f>IF(OR(B137="",E137=""),"",IF(Einstellungen!$C$11="7 Tage",MAX(0,(MIN(IF(D137="",DATE(Einstellungen!$C$3,12,31),D137),Einstellungen!$C$9))-(MAX(C137,DATE(Einstellungen!$C$3,1,1)))+1),MAX(0,NETWORKDAYS(MAX(C137,DATE(Einstellungen!$C$3,1,1)),MIN(IF(D137="",DATE(Einstellungen!$C$3,12,31),D137),Einstellungen!$C$9),Einstellungen!$F$13:$F$32)))*F137)</f>
        <v/>
      </c>
    </row>
    <row r="138">
      <c r="A138" s="26" t="n"/>
      <c r="B138" s="23" t="n"/>
      <c r="C138" s="27" t="n"/>
      <c r="D138" s="27" t="n"/>
      <c r="E138" s="28" t="n"/>
      <c r="F138" s="29">
        <f>IF(E138="","",E138/5)</f>
        <v/>
      </c>
      <c r="G138" s="30">
        <f>IF(B138="","",IF(C138&gt;Einstellungen!$C$9,"künftig",IF(AND(D138&lt;&gt;"",D138&lt;Einstellungen!$C$9),"ausgeschieden","aktiv")))</f>
        <v/>
      </c>
      <c r="H138" s="31">
        <f>IF(OR(B138="",E138=""),"",IF(Einstellungen!$C$11="7 Tage",MAX(0,(MIN(IF(D138="",DATE(Einstellungen!$C$3,12,31),D138),Einstellungen!$C$9))-(MAX(C138,DATE(Einstellungen!$C$3,1,1)))+1),MAX(0,NETWORKDAYS(MAX(C138,DATE(Einstellungen!$C$3,1,1)),MIN(IF(D138="",DATE(Einstellungen!$C$3,12,31),D138),Einstellungen!$C$9),Einstellungen!$F$13:$F$32)))*F138)</f>
        <v/>
      </c>
    </row>
    <row r="139">
      <c r="A139" s="26" t="n"/>
      <c r="B139" s="23" t="n"/>
      <c r="C139" s="27" t="n"/>
      <c r="D139" s="27" t="n"/>
      <c r="E139" s="28" t="n"/>
      <c r="F139" s="29">
        <f>IF(E139="","",E139/5)</f>
        <v/>
      </c>
      <c r="G139" s="30">
        <f>IF(B139="","",IF(C139&gt;Einstellungen!$C$9,"künftig",IF(AND(D139&lt;&gt;"",D139&lt;Einstellungen!$C$9),"ausgeschieden","aktiv")))</f>
        <v/>
      </c>
      <c r="H139" s="31">
        <f>IF(OR(B139="",E139=""),"",IF(Einstellungen!$C$11="7 Tage",MAX(0,(MIN(IF(D139="",DATE(Einstellungen!$C$3,12,31),D139),Einstellungen!$C$9))-(MAX(C139,DATE(Einstellungen!$C$3,1,1)))+1),MAX(0,NETWORKDAYS(MAX(C139,DATE(Einstellungen!$C$3,1,1)),MIN(IF(D139="",DATE(Einstellungen!$C$3,12,31),D139),Einstellungen!$C$9),Einstellungen!$F$13:$F$32)))*F139)</f>
        <v/>
      </c>
    </row>
    <row r="140">
      <c r="A140" s="26" t="n"/>
      <c r="B140" s="23" t="n"/>
      <c r="C140" s="27" t="n"/>
      <c r="D140" s="27" t="n"/>
      <c r="E140" s="28" t="n"/>
      <c r="F140" s="29">
        <f>IF(E140="","",E140/5)</f>
        <v/>
      </c>
      <c r="G140" s="30">
        <f>IF(B140="","",IF(C140&gt;Einstellungen!$C$9,"künftig",IF(AND(D140&lt;&gt;"",D140&lt;Einstellungen!$C$9),"ausgeschieden","aktiv")))</f>
        <v/>
      </c>
      <c r="H140" s="31">
        <f>IF(OR(B140="",E140=""),"",IF(Einstellungen!$C$11="7 Tage",MAX(0,(MIN(IF(D140="",DATE(Einstellungen!$C$3,12,31),D140),Einstellungen!$C$9))-(MAX(C140,DATE(Einstellungen!$C$3,1,1)))+1),MAX(0,NETWORKDAYS(MAX(C140,DATE(Einstellungen!$C$3,1,1)),MIN(IF(D140="",DATE(Einstellungen!$C$3,12,31),D140),Einstellungen!$C$9),Einstellungen!$F$13:$F$32)))*F140)</f>
        <v/>
      </c>
    </row>
    <row r="141">
      <c r="A141" s="26" t="n"/>
      <c r="B141" s="23" t="n"/>
      <c r="C141" s="27" t="n"/>
      <c r="D141" s="27" t="n"/>
      <c r="E141" s="28" t="n"/>
      <c r="F141" s="29">
        <f>IF(E141="","",E141/5)</f>
        <v/>
      </c>
      <c r="G141" s="30">
        <f>IF(B141="","",IF(C141&gt;Einstellungen!$C$9,"künftig",IF(AND(D141&lt;&gt;"",D141&lt;Einstellungen!$C$9),"ausgeschieden","aktiv")))</f>
        <v/>
      </c>
      <c r="H141" s="31">
        <f>IF(OR(B141="",E141=""),"",IF(Einstellungen!$C$11="7 Tage",MAX(0,(MIN(IF(D141="",DATE(Einstellungen!$C$3,12,31),D141),Einstellungen!$C$9))-(MAX(C141,DATE(Einstellungen!$C$3,1,1)))+1),MAX(0,NETWORKDAYS(MAX(C141,DATE(Einstellungen!$C$3,1,1)),MIN(IF(D141="",DATE(Einstellungen!$C$3,12,31),D141),Einstellungen!$C$9),Einstellungen!$F$13:$F$32)))*F141)</f>
        <v/>
      </c>
    </row>
    <row r="142">
      <c r="A142" s="26" t="n"/>
      <c r="B142" s="23" t="n"/>
      <c r="C142" s="27" t="n"/>
      <c r="D142" s="27" t="n"/>
      <c r="E142" s="28" t="n"/>
      <c r="F142" s="29">
        <f>IF(E142="","",E142/5)</f>
        <v/>
      </c>
      <c r="G142" s="30">
        <f>IF(B142="","",IF(C142&gt;Einstellungen!$C$9,"künftig",IF(AND(D142&lt;&gt;"",D142&lt;Einstellungen!$C$9),"ausgeschieden","aktiv")))</f>
        <v/>
      </c>
      <c r="H142" s="31">
        <f>IF(OR(B142="",E142=""),"",IF(Einstellungen!$C$11="7 Tage",MAX(0,(MIN(IF(D142="",DATE(Einstellungen!$C$3,12,31),D142),Einstellungen!$C$9))-(MAX(C142,DATE(Einstellungen!$C$3,1,1)))+1),MAX(0,NETWORKDAYS(MAX(C142,DATE(Einstellungen!$C$3,1,1)),MIN(IF(D142="",DATE(Einstellungen!$C$3,12,31),D142),Einstellungen!$C$9),Einstellungen!$F$13:$F$32)))*F142)</f>
        <v/>
      </c>
    </row>
    <row r="143">
      <c r="A143" s="26" t="n"/>
      <c r="B143" s="23" t="n"/>
      <c r="C143" s="27" t="n"/>
      <c r="D143" s="27" t="n"/>
      <c r="E143" s="28" t="n"/>
      <c r="F143" s="29">
        <f>IF(E143="","",E143/5)</f>
        <v/>
      </c>
      <c r="G143" s="30">
        <f>IF(B143="","",IF(C143&gt;Einstellungen!$C$9,"künftig",IF(AND(D143&lt;&gt;"",D143&lt;Einstellungen!$C$9),"ausgeschieden","aktiv")))</f>
        <v/>
      </c>
      <c r="H143" s="31">
        <f>IF(OR(B143="",E143=""),"",IF(Einstellungen!$C$11="7 Tage",MAX(0,(MIN(IF(D143="",DATE(Einstellungen!$C$3,12,31),D143),Einstellungen!$C$9))-(MAX(C143,DATE(Einstellungen!$C$3,1,1)))+1),MAX(0,NETWORKDAYS(MAX(C143,DATE(Einstellungen!$C$3,1,1)),MIN(IF(D143="",DATE(Einstellungen!$C$3,12,31),D143),Einstellungen!$C$9),Einstellungen!$F$13:$F$32)))*F143)</f>
        <v/>
      </c>
    </row>
    <row r="144">
      <c r="A144" s="26" t="n"/>
      <c r="B144" s="23" t="n"/>
      <c r="C144" s="27" t="n"/>
      <c r="D144" s="27" t="n"/>
      <c r="E144" s="28" t="n"/>
      <c r="F144" s="29">
        <f>IF(E144="","",E144/5)</f>
        <v/>
      </c>
      <c r="G144" s="30">
        <f>IF(B144="","",IF(C144&gt;Einstellungen!$C$9,"künftig",IF(AND(D144&lt;&gt;"",D144&lt;Einstellungen!$C$9),"ausgeschieden","aktiv")))</f>
        <v/>
      </c>
      <c r="H144" s="31">
        <f>IF(OR(B144="",E144=""),"",IF(Einstellungen!$C$11="7 Tage",MAX(0,(MIN(IF(D144="",DATE(Einstellungen!$C$3,12,31),D144),Einstellungen!$C$9))-(MAX(C144,DATE(Einstellungen!$C$3,1,1)))+1),MAX(0,NETWORKDAYS(MAX(C144,DATE(Einstellungen!$C$3,1,1)),MIN(IF(D144="",DATE(Einstellungen!$C$3,12,31),D144),Einstellungen!$C$9),Einstellungen!$F$13:$F$32)))*F144)</f>
        <v/>
      </c>
    </row>
    <row r="145">
      <c r="A145" s="26" t="n"/>
      <c r="B145" s="23" t="n"/>
      <c r="C145" s="27" t="n"/>
      <c r="D145" s="27" t="n"/>
      <c r="E145" s="28" t="n"/>
      <c r="F145" s="29">
        <f>IF(E145="","",E145/5)</f>
        <v/>
      </c>
      <c r="G145" s="30">
        <f>IF(B145="","",IF(C145&gt;Einstellungen!$C$9,"künftig",IF(AND(D145&lt;&gt;"",D145&lt;Einstellungen!$C$9),"ausgeschieden","aktiv")))</f>
        <v/>
      </c>
      <c r="H145" s="31">
        <f>IF(OR(B145="",E145=""),"",IF(Einstellungen!$C$11="7 Tage",MAX(0,(MIN(IF(D145="",DATE(Einstellungen!$C$3,12,31),D145),Einstellungen!$C$9))-(MAX(C145,DATE(Einstellungen!$C$3,1,1)))+1),MAX(0,NETWORKDAYS(MAX(C145,DATE(Einstellungen!$C$3,1,1)),MIN(IF(D145="",DATE(Einstellungen!$C$3,12,31),D145),Einstellungen!$C$9),Einstellungen!$F$13:$F$32)))*F145)</f>
        <v/>
      </c>
    </row>
    <row r="146">
      <c r="A146" s="26" t="n"/>
      <c r="B146" s="23" t="n"/>
      <c r="C146" s="27" t="n"/>
      <c r="D146" s="27" t="n"/>
      <c r="E146" s="28" t="n"/>
      <c r="F146" s="29">
        <f>IF(E146="","",E146/5)</f>
        <v/>
      </c>
      <c r="G146" s="30">
        <f>IF(B146="","",IF(C146&gt;Einstellungen!$C$9,"künftig",IF(AND(D146&lt;&gt;"",D146&lt;Einstellungen!$C$9),"ausgeschieden","aktiv")))</f>
        <v/>
      </c>
      <c r="H146" s="31">
        <f>IF(OR(B146="",E146=""),"",IF(Einstellungen!$C$11="7 Tage",MAX(0,(MIN(IF(D146="",DATE(Einstellungen!$C$3,12,31),D146),Einstellungen!$C$9))-(MAX(C146,DATE(Einstellungen!$C$3,1,1)))+1),MAX(0,NETWORKDAYS(MAX(C146,DATE(Einstellungen!$C$3,1,1)),MIN(IF(D146="",DATE(Einstellungen!$C$3,12,31),D146),Einstellungen!$C$9),Einstellungen!$F$13:$F$32)))*F146)</f>
        <v/>
      </c>
    </row>
    <row r="147">
      <c r="A147" s="26" t="n"/>
      <c r="B147" s="23" t="n"/>
      <c r="C147" s="27" t="n"/>
      <c r="D147" s="27" t="n"/>
      <c r="E147" s="28" t="n"/>
      <c r="F147" s="29">
        <f>IF(E147="","",E147/5)</f>
        <v/>
      </c>
      <c r="G147" s="30">
        <f>IF(B147="","",IF(C147&gt;Einstellungen!$C$9,"künftig",IF(AND(D147&lt;&gt;"",D147&lt;Einstellungen!$C$9),"ausgeschieden","aktiv")))</f>
        <v/>
      </c>
      <c r="H147" s="31">
        <f>IF(OR(B147="",E147=""),"",IF(Einstellungen!$C$11="7 Tage",MAX(0,(MIN(IF(D147="",DATE(Einstellungen!$C$3,12,31),D147),Einstellungen!$C$9))-(MAX(C147,DATE(Einstellungen!$C$3,1,1)))+1),MAX(0,NETWORKDAYS(MAX(C147,DATE(Einstellungen!$C$3,1,1)),MIN(IF(D147="",DATE(Einstellungen!$C$3,12,31),D147),Einstellungen!$C$9),Einstellungen!$F$13:$F$32)))*F147)</f>
        <v/>
      </c>
    </row>
    <row r="148">
      <c r="A148" s="26" t="n"/>
      <c r="B148" s="23" t="n"/>
      <c r="C148" s="27" t="n"/>
      <c r="D148" s="27" t="n"/>
      <c r="E148" s="28" t="n"/>
      <c r="F148" s="29">
        <f>IF(E148="","",E148/5)</f>
        <v/>
      </c>
      <c r="G148" s="30">
        <f>IF(B148="","",IF(C148&gt;Einstellungen!$C$9,"künftig",IF(AND(D148&lt;&gt;"",D148&lt;Einstellungen!$C$9),"ausgeschieden","aktiv")))</f>
        <v/>
      </c>
      <c r="H148" s="31">
        <f>IF(OR(B148="",E148=""),"",IF(Einstellungen!$C$11="7 Tage",MAX(0,(MIN(IF(D148="",DATE(Einstellungen!$C$3,12,31),D148),Einstellungen!$C$9))-(MAX(C148,DATE(Einstellungen!$C$3,1,1)))+1),MAX(0,NETWORKDAYS(MAX(C148,DATE(Einstellungen!$C$3,1,1)),MIN(IF(D148="",DATE(Einstellungen!$C$3,12,31),D148),Einstellungen!$C$9),Einstellungen!$F$13:$F$32)))*F148)</f>
        <v/>
      </c>
    </row>
    <row r="149">
      <c r="A149" s="26" t="n"/>
      <c r="B149" s="23" t="n"/>
      <c r="C149" s="27" t="n"/>
      <c r="D149" s="27" t="n"/>
      <c r="E149" s="28" t="n"/>
      <c r="F149" s="29">
        <f>IF(E149="","",E149/5)</f>
        <v/>
      </c>
      <c r="G149" s="30">
        <f>IF(B149="","",IF(C149&gt;Einstellungen!$C$9,"künftig",IF(AND(D149&lt;&gt;"",D149&lt;Einstellungen!$C$9),"ausgeschieden","aktiv")))</f>
        <v/>
      </c>
      <c r="H149" s="31">
        <f>IF(OR(B149="",E149=""),"",IF(Einstellungen!$C$11="7 Tage",MAX(0,(MIN(IF(D149="",DATE(Einstellungen!$C$3,12,31),D149),Einstellungen!$C$9))-(MAX(C149,DATE(Einstellungen!$C$3,1,1)))+1),MAX(0,NETWORKDAYS(MAX(C149,DATE(Einstellungen!$C$3,1,1)),MIN(IF(D149="",DATE(Einstellungen!$C$3,12,31),D149),Einstellungen!$C$9),Einstellungen!$F$13:$F$32)))*F149)</f>
        <v/>
      </c>
    </row>
    <row r="150">
      <c r="A150" s="26" t="n"/>
      <c r="B150" s="23" t="n"/>
      <c r="C150" s="27" t="n"/>
      <c r="D150" s="27" t="n"/>
      <c r="E150" s="28" t="n"/>
      <c r="F150" s="29">
        <f>IF(E150="","",E150/5)</f>
        <v/>
      </c>
      <c r="G150" s="30">
        <f>IF(B150="","",IF(C150&gt;Einstellungen!$C$9,"künftig",IF(AND(D150&lt;&gt;"",D150&lt;Einstellungen!$C$9),"ausgeschieden","aktiv")))</f>
        <v/>
      </c>
      <c r="H150" s="31">
        <f>IF(OR(B150="",E150=""),"",IF(Einstellungen!$C$11="7 Tage",MAX(0,(MIN(IF(D150="",DATE(Einstellungen!$C$3,12,31),D150),Einstellungen!$C$9))-(MAX(C150,DATE(Einstellungen!$C$3,1,1)))+1),MAX(0,NETWORKDAYS(MAX(C150,DATE(Einstellungen!$C$3,1,1)),MIN(IF(D150="",DATE(Einstellungen!$C$3,12,31),D150),Einstellungen!$C$9),Einstellungen!$F$13:$F$32)))*F150)</f>
        <v/>
      </c>
    </row>
    <row r="151">
      <c r="A151" s="26" t="n"/>
      <c r="B151" s="23" t="n"/>
      <c r="C151" s="27" t="n"/>
      <c r="D151" s="27" t="n"/>
      <c r="E151" s="28" t="n"/>
      <c r="F151" s="29">
        <f>IF(E151="","",E151/5)</f>
        <v/>
      </c>
      <c r="G151" s="30">
        <f>IF(B151="","",IF(C151&gt;Einstellungen!$C$9,"künftig",IF(AND(D151&lt;&gt;"",D151&lt;Einstellungen!$C$9),"ausgeschieden","aktiv")))</f>
        <v/>
      </c>
      <c r="H151" s="31">
        <f>IF(OR(B151="",E151=""),"",IF(Einstellungen!$C$11="7 Tage",MAX(0,(MIN(IF(D151="",DATE(Einstellungen!$C$3,12,31),D151),Einstellungen!$C$9))-(MAX(C151,DATE(Einstellungen!$C$3,1,1)))+1),MAX(0,NETWORKDAYS(MAX(C151,DATE(Einstellungen!$C$3,1,1)),MIN(IF(D151="",DATE(Einstellungen!$C$3,12,31),D151),Einstellungen!$C$9),Einstellungen!$F$13:$F$32)))*F151)</f>
        <v/>
      </c>
    </row>
    <row r="152">
      <c r="A152" s="26" t="n"/>
      <c r="B152" s="23" t="n"/>
      <c r="C152" s="27" t="n"/>
      <c r="D152" s="27" t="n"/>
      <c r="E152" s="28" t="n"/>
      <c r="F152" s="29">
        <f>IF(E152="","",E152/5)</f>
        <v/>
      </c>
      <c r="G152" s="30">
        <f>IF(B152="","",IF(C152&gt;Einstellungen!$C$9,"künftig",IF(AND(D152&lt;&gt;"",D152&lt;Einstellungen!$C$9),"ausgeschieden","aktiv")))</f>
        <v/>
      </c>
      <c r="H152" s="31">
        <f>IF(OR(B152="",E152=""),"",IF(Einstellungen!$C$11="7 Tage",MAX(0,(MIN(IF(D152="",DATE(Einstellungen!$C$3,12,31),D152),Einstellungen!$C$9))-(MAX(C152,DATE(Einstellungen!$C$3,1,1)))+1),MAX(0,NETWORKDAYS(MAX(C152,DATE(Einstellungen!$C$3,1,1)),MIN(IF(D152="",DATE(Einstellungen!$C$3,12,31),D152),Einstellungen!$C$9),Einstellungen!$F$13:$F$32)))*F152)</f>
        <v/>
      </c>
    </row>
    <row r="153">
      <c r="A153" s="26" t="n"/>
      <c r="B153" s="23" t="n"/>
      <c r="C153" s="27" t="n"/>
      <c r="D153" s="27" t="n"/>
      <c r="E153" s="28" t="n"/>
      <c r="F153" s="29">
        <f>IF(E153="","",E153/5)</f>
        <v/>
      </c>
      <c r="G153" s="30">
        <f>IF(B153="","",IF(C153&gt;Einstellungen!$C$9,"künftig",IF(AND(D153&lt;&gt;"",D153&lt;Einstellungen!$C$9),"ausgeschieden","aktiv")))</f>
        <v/>
      </c>
      <c r="H153" s="31">
        <f>IF(OR(B153="",E153=""),"",IF(Einstellungen!$C$11="7 Tage",MAX(0,(MIN(IF(D153="",DATE(Einstellungen!$C$3,12,31),D153),Einstellungen!$C$9))-(MAX(C153,DATE(Einstellungen!$C$3,1,1)))+1),MAX(0,NETWORKDAYS(MAX(C153,DATE(Einstellungen!$C$3,1,1)),MIN(IF(D153="",DATE(Einstellungen!$C$3,12,31),D153),Einstellungen!$C$9),Einstellungen!$F$13:$F$32)))*F153)</f>
        <v/>
      </c>
    </row>
    <row r="154">
      <c r="A154" s="26" t="n"/>
      <c r="B154" s="23" t="n"/>
      <c r="C154" s="27" t="n"/>
      <c r="D154" s="27" t="n"/>
      <c r="E154" s="28" t="n"/>
      <c r="F154" s="29">
        <f>IF(E154="","",E154/5)</f>
        <v/>
      </c>
      <c r="G154" s="30">
        <f>IF(B154="","",IF(C154&gt;Einstellungen!$C$9,"künftig",IF(AND(D154&lt;&gt;"",D154&lt;Einstellungen!$C$9),"ausgeschieden","aktiv")))</f>
        <v/>
      </c>
      <c r="H154" s="31">
        <f>IF(OR(B154="",E154=""),"",IF(Einstellungen!$C$11="7 Tage",MAX(0,(MIN(IF(D154="",DATE(Einstellungen!$C$3,12,31),D154),Einstellungen!$C$9))-(MAX(C154,DATE(Einstellungen!$C$3,1,1)))+1),MAX(0,NETWORKDAYS(MAX(C154,DATE(Einstellungen!$C$3,1,1)),MIN(IF(D154="",DATE(Einstellungen!$C$3,12,31),D154),Einstellungen!$C$9),Einstellungen!$F$13:$F$32)))*F154)</f>
        <v/>
      </c>
    </row>
    <row r="155">
      <c r="A155" s="26" t="n"/>
      <c r="B155" s="23" t="n"/>
      <c r="C155" s="27" t="n"/>
      <c r="D155" s="27" t="n"/>
      <c r="E155" s="28" t="n"/>
      <c r="F155" s="29">
        <f>IF(E155="","",E155/5)</f>
        <v/>
      </c>
      <c r="G155" s="30">
        <f>IF(B155="","",IF(C155&gt;Einstellungen!$C$9,"künftig",IF(AND(D155&lt;&gt;"",D155&lt;Einstellungen!$C$9),"ausgeschieden","aktiv")))</f>
        <v/>
      </c>
      <c r="H155" s="31">
        <f>IF(OR(B155="",E155=""),"",IF(Einstellungen!$C$11="7 Tage",MAX(0,(MIN(IF(D155="",DATE(Einstellungen!$C$3,12,31),D155),Einstellungen!$C$9))-(MAX(C155,DATE(Einstellungen!$C$3,1,1)))+1),MAX(0,NETWORKDAYS(MAX(C155,DATE(Einstellungen!$C$3,1,1)),MIN(IF(D155="",DATE(Einstellungen!$C$3,12,31),D155),Einstellungen!$C$9),Einstellungen!$F$13:$F$32)))*F155)</f>
        <v/>
      </c>
    </row>
    <row r="156">
      <c r="A156" s="26" t="n"/>
      <c r="B156" s="23" t="n"/>
      <c r="C156" s="27" t="n"/>
      <c r="D156" s="27" t="n"/>
      <c r="E156" s="28" t="n"/>
      <c r="F156" s="29">
        <f>IF(E156="","",E156/5)</f>
        <v/>
      </c>
      <c r="G156" s="30">
        <f>IF(B156="","",IF(C156&gt;Einstellungen!$C$9,"künftig",IF(AND(D156&lt;&gt;"",D156&lt;Einstellungen!$C$9),"ausgeschieden","aktiv")))</f>
        <v/>
      </c>
      <c r="H156" s="31">
        <f>IF(OR(B156="",E156=""),"",IF(Einstellungen!$C$11="7 Tage",MAX(0,(MIN(IF(D156="",DATE(Einstellungen!$C$3,12,31),D156),Einstellungen!$C$9))-(MAX(C156,DATE(Einstellungen!$C$3,1,1)))+1),MAX(0,NETWORKDAYS(MAX(C156,DATE(Einstellungen!$C$3,1,1)),MIN(IF(D156="",DATE(Einstellungen!$C$3,12,31),D156),Einstellungen!$C$9),Einstellungen!$F$13:$F$32)))*F156)</f>
        <v/>
      </c>
    </row>
    <row r="157">
      <c r="A157" s="26" t="n"/>
      <c r="B157" s="23" t="n"/>
      <c r="C157" s="27" t="n"/>
      <c r="D157" s="27" t="n"/>
      <c r="E157" s="28" t="n"/>
      <c r="F157" s="29">
        <f>IF(E157="","",E157/5)</f>
        <v/>
      </c>
      <c r="G157" s="30">
        <f>IF(B157="","",IF(C157&gt;Einstellungen!$C$9,"künftig",IF(AND(D157&lt;&gt;"",D157&lt;Einstellungen!$C$9),"ausgeschieden","aktiv")))</f>
        <v/>
      </c>
      <c r="H157" s="31">
        <f>IF(OR(B157="",E157=""),"",IF(Einstellungen!$C$11="7 Tage",MAX(0,(MIN(IF(D157="",DATE(Einstellungen!$C$3,12,31),D157),Einstellungen!$C$9))-(MAX(C157,DATE(Einstellungen!$C$3,1,1)))+1),MAX(0,NETWORKDAYS(MAX(C157,DATE(Einstellungen!$C$3,1,1)),MIN(IF(D157="",DATE(Einstellungen!$C$3,12,31),D157),Einstellungen!$C$9),Einstellungen!$F$13:$F$32)))*F157)</f>
        <v/>
      </c>
    </row>
    <row r="158">
      <c r="A158" s="26" t="n"/>
      <c r="B158" s="23" t="n"/>
      <c r="C158" s="27" t="n"/>
      <c r="D158" s="27" t="n"/>
      <c r="E158" s="28" t="n"/>
      <c r="F158" s="29">
        <f>IF(E158="","",E158/5)</f>
        <v/>
      </c>
      <c r="G158" s="30">
        <f>IF(B158="","",IF(C158&gt;Einstellungen!$C$9,"künftig",IF(AND(D158&lt;&gt;"",D158&lt;Einstellungen!$C$9),"ausgeschieden","aktiv")))</f>
        <v/>
      </c>
      <c r="H158" s="31">
        <f>IF(OR(B158="",E158=""),"",IF(Einstellungen!$C$11="7 Tage",MAX(0,(MIN(IF(D158="",DATE(Einstellungen!$C$3,12,31),D158),Einstellungen!$C$9))-(MAX(C158,DATE(Einstellungen!$C$3,1,1)))+1),MAX(0,NETWORKDAYS(MAX(C158,DATE(Einstellungen!$C$3,1,1)),MIN(IF(D158="",DATE(Einstellungen!$C$3,12,31),D158),Einstellungen!$C$9),Einstellungen!$F$13:$F$32)))*F158)</f>
        <v/>
      </c>
    </row>
    <row r="159">
      <c r="A159" s="26" t="n"/>
      <c r="B159" s="23" t="n"/>
      <c r="C159" s="27" t="n"/>
      <c r="D159" s="27" t="n"/>
      <c r="E159" s="28" t="n"/>
      <c r="F159" s="29">
        <f>IF(E159="","",E159/5)</f>
        <v/>
      </c>
      <c r="G159" s="30">
        <f>IF(B159="","",IF(C159&gt;Einstellungen!$C$9,"künftig",IF(AND(D159&lt;&gt;"",D159&lt;Einstellungen!$C$9),"ausgeschieden","aktiv")))</f>
        <v/>
      </c>
      <c r="H159" s="31">
        <f>IF(OR(B159="",E159=""),"",IF(Einstellungen!$C$11="7 Tage",MAX(0,(MIN(IF(D159="",DATE(Einstellungen!$C$3,12,31),D159),Einstellungen!$C$9))-(MAX(C159,DATE(Einstellungen!$C$3,1,1)))+1),MAX(0,NETWORKDAYS(MAX(C159,DATE(Einstellungen!$C$3,1,1)),MIN(IF(D159="",DATE(Einstellungen!$C$3,12,31),D159),Einstellungen!$C$9),Einstellungen!$F$13:$F$32)))*F159)</f>
        <v/>
      </c>
    </row>
    <row r="160">
      <c r="A160" s="26" t="n"/>
      <c r="B160" s="23" t="n"/>
      <c r="C160" s="27" t="n"/>
      <c r="D160" s="27" t="n"/>
      <c r="E160" s="28" t="n"/>
      <c r="F160" s="29">
        <f>IF(E160="","",E160/5)</f>
        <v/>
      </c>
      <c r="G160" s="30">
        <f>IF(B160="","",IF(C160&gt;Einstellungen!$C$9,"künftig",IF(AND(D160&lt;&gt;"",D160&lt;Einstellungen!$C$9),"ausgeschieden","aktiv")))</f>
        <v/>
      </c>
      <c r="H160" s="31">
        <f>IF(OR(B160="",E160=""),"",IF(Einstellungen!$C$11="7 Tage",MAX(0,(MIN(IF(D160="",DATE(Einstellungen!$C$3,12,31),D160),Einstellungen!$C$9))-(MAX(C160,DATE(Einstellungen!$C$3,1,1)))+1),MAX(0,NETWORKDAYS(MAX(C160,DATE(Einstellungen!$C$3,1,1)),MIN(IF(D160="",DATE(Einstellungen!$C$3,12,31),D160),Einstellungen!$C$9),Einstellungen!$F$13:$F$32)))*F160)</f>
        <v/>
      </c>
    </row>
    <row r="161">
      <c r="A161" s="26" t="n"/>
      <c r="B161" s="23" t="n"/>
      <c r="C161" s="27" t="n"/>
      <c r="D161" s="27" t="n"/>
      <c r="E161" s="28" t="n"/>
      <c r="F161" s="29">
        <f>IF(E161="","",E161/5)</f>
        <v/>
      </c>
      <c r="G161" s="30">
        <f>IF(B161="","",IF(C161&gt;Einstellungen!$C$9,"künftig",IF(AND(D161&lt;&gt;"",D161&lt;Einstellungen!$C$9),"ausgeschieden","aktiv")))</f>
        <v/>
      </c>
      <c r="H161" s="31">
        <f>IF(OR(B161="",E161=""),"",IF(Einstellungen!$C$11="7 Tage",MAX(0,(MIN(IF(D161="",DATE(Einstellungen!$C$3,12,31),D161),Einstellungen!$C$9))-(MAX(C161,DATE(Einstellungen!$C$3,1,1)))+1),MAX(0,NETWORKDAYS(MAX(C161,DATE(Einstellungen!$C$3,1,1)),MIN(IF(D161="",DATE(Einstellungen!$C$3,12,31),D161),Einstellungen!$C$9),Einstellungen!$F$13:$F$32)))*F161)</f>
        <v/>
      </c>
    </row>
    <row r="162">
      <c r="A162" s="26" t="n"/>
      <c r="B162" s="23" t="n"/>
      <c r="C162" s="27" t="n"/>
      <c r="D162" s="27" t="n"/>
      <c r="E162" s="28" t="n"/>
      <c r="F162" s="29">
        <f>IF(E162="","",E162/5)</f>
        <v/>
      </c>
      <c r="G162" s="30">
        <f>IF(B162="","",IF(C162&gt;Einstellungen!$C$9,"künftig",IF(AND(D162&lt;&gt;"",D162&lt;Einstellungen!$C$9),"ausgeschieden","aktiv")))</f>
        <v/>
      </c>
      <c r="H162" s="31">
        <f>IF(OR(B162="",E162=""),"",IF(Einstellungen!$C$11="7 Tage",MAX(0,(MIN(IF(D162="",DATE(Einstellungen!$C$3,12,31),D162),Einstellungen!$C$9))-(MAX(C162,DATE(Einstellungen!$C$3,1,1)))+1),MAX(0,NETWORKDAYS(MAX(C162,DATE(Einstellungen!$C$3,1,1)),MIN(IF(D162="",DATE(Einstellungen!$C$3,12,31),D162),Einstellungen!$C$9),Einstellungen!$F$13:$F$32)))*F162)</f>
        <v/>
      </c>
    </row>
    <row r="163">
      <c r="A163" s="26" t="n"/>
      <c r="B163" s="23" t="n"/>
      <c r="C163" s="27" t="n"/>
      <c r="D163" s="27" t="n"/>
      <c r="E163" s="28" t="n"/>
      <c r="F163" s="29">
        <f>IF(E163="","",E163/5)</f>
        <v/>
      </c>
      <c r="G163" s="30">
        <f>IF(B163="","",IF(C163&gt;Einstellungen!$C$9,"künftig",IF(AND(D163&lt;&gt;"",D163&lt;Einstellungen!$C$9),"ausgeschieden","aktiv")))</f>
        <v/>
      </c>
      <c r="H163" s="31">
        <f>IF(OR(B163="",E163=""),"",IF(Einstellungen!$C$11="7 Tage",MAX(0,(MIN(IF(D163="",DATE(Einstellungen!$C$3,12,31),D163),Einstellungen!$C$9))-(MAX(C163,DATE(Einstellungen!$C$3,1,1)))+1),MAX(0,NETWORKDAYS(MAX(C163,DATE(Einstellungen!$C$3,1,1)),MIN(IF(D163="",DATE(Einstellungen!$C$3,12,31),D163),Einstellungen!$C$9),Einstellungen!$F$13:$F$32)))*F163)</f>
        <v/>
      </c>
    </row>
    <row r="164">
      <c r="A164" s="26" t="n"/>
      <c r="B164" s="23" t="n"/>
      <c r="C164" s="27" t="n"/>
      <c r="D164" s="27" t="n"/>
      <c r="E164" s="28" t="n"/>
      <c r="F164" s="29">
        <f>IF(E164="","",E164/5)</f>
        <v/>
      </c>
      <c r="G164" s="30">
        <f>IF(B164="","",IF(C164&gt;Einstellungen!$C$9,"künftig",IF(AND(D164&lt;&gt;"",D164&lt;Einstellungen!$C$9),"ausgeschieden","aktiv")))</f>
        <v/>
      </c>
      <c r="H164" s="31">
        <f>IF(OR(B164="",E164=""),"",IF(Einstellungen!$C$11="7 Tage",MAX(0,(MIN(IF(D164="",DATE(Einstellungen!$C$3,12,31),D164),Einstellungen!$C$9))-(MAX(C164,DATE(Einstellungen!$C$3,1,1)))+1),MAX(0,NETWORKDAYS(MAX(C164,DATE(Einstellungen!$C$3,1,1)),MIN(IF(D164="",DATE(Einstellungen!$C$3,12,31),D164),Einstellungen!$C$9),Einstellungen!$F$13:$F$32)))*F164)</f>
        <v/>
      </c>
    </row>
    <row r="165">
      <c r="A165" s="26" t="n"/>
      <c r="B165" s="23" t="n"/>
      <c r="C165" s="27" t="n"/>
      <c r="D165" s="27" t="n"/>
      <c r="E165" s="28" t="n"/>
      <c r="F165" s="29">
        <f>IF(E165="","",E165/5)</f>
        <v/>
      </c>
      <c r="G165" s="30">
        <f>IF(B165="","",IF(C165&gt;Einstellungen!$C$9,"künftig",IF(AND(D165&lt;&gt;"",D165&lt;Einstellungen!$C$9),"ausgeschieden","aktiv")))</f>
        <v/>
      </c>
      <c r="H165" s="31">
        <f>IF(OR(B165="",E165=""),"",IF(Einstellungen!$C$11="7 Tage",MAX(0,(MIN(IF(D165="",DATE(Einstellungen!$C$3,12,31),D165),Einstellungen!$C$9))-(MAX(C165,DATE(Einstellungen!$C$3,1,1)))+1),MAX(0,NETWORKDAYS(MAX(C165,DATE(Einstellungen!$C$3,1,1)),MIN(IF(D165="",DATE(Einstellungen!$C$3,12,31),D165),Einstellungen!$C$9),Einstellungen!$F$13:$F$32)))*F165)</f>
        <v/>
      </c>
    </row>
    <row r="166">
      <c r="A166" s="26" t="n"/>
      <c r="B166" s="23" t="n"/>
      <c r="C166" s="27" t="n"/>
      <c r="D166" s="27" t="n"/>
      <c r="E166" s="28" t="n"/>
      <c r="F166" s="29">
        <f>IF(E166="","",E166/5)</f>
        <v/>
      </c>
      <c r="G166" s="30">
        <f>IF(B166="","",IF(C166&gt;Einstellungen!$C$9,"künftig",IF(AND(D166&lt;&gt;"",D166&lt;Einstellungen!$C$9),"ausgeschieden","aktiv")))</f>
        <v/>
      </c>
      <c r="H166" s="31">
        <f>IF(OR(B166="",E166=""),"",IF(Einstellungen!$C$11="7 Tage",MAX(0,(MIN(IF(D166="",DATE(Einstellungen!$C$3,12,31),D166),Einstellungen!$C$9))-(MAX(C166,DATE(Einstellungen!$C$3,1,1)))+1),MAX(0,NETWORKDAYS(MAX(C166,DATE(Einstellungen!$C$3,1,1)),MIN(IF(D166="",DATE(Einstellungen!$C$3,12,31),D166),Einstellungen!$C$9),Einstellungen!$F$13:$F$32)))*F166)</f>
        <v/>
      </c>
    </row>
    <row r="167">
      <c r="A167" s="26" t="n"/>
      <c r="B167" s="23" t="n"/>
      <c r="C167" s="27" t="n"/>
      <c r="D167" s="27" t="n"/>
      <c r="E167" s="28" t="n"/>
      <c r="F167" s="29">
        <f>IF(E167="","",E167/5)</f>
        <v/>
      </c>
      <c r="G167" s="30">
        <f>IF(B167="","",IF(C167&gt;Einstellungen!$C$9,"künftig",IF(AND(D167&lt;&gt;"",D167&lt;Einstellungen!$C$9),"ausgeschieden","aktiv")))</f>
        <v/>
      </c>
      <c r="H167" s="31">
        <f>IF(OR(B167="",E167=""),"",IF(Einstellungen!$C$11="7 Tage",MAX(0,(MIN(IF(D167="",DATE(Einstellungen!$C$3,12,31),D167),Einstellungen!$C$9))-(MAX(C167,DATE(Einstellungen!$C$3,1,1)))+1),MAX(0,NETWORKDAYS(MAX(C167,DATE(Einstellungen!$C$3,1,1)),MIN(IF(D167="",DATE(Einstellungen!$C$3,12,31),D167),Einstellungen!$C$9),Einstellungen!$F$13:$F$32)))*F167)</f>
        <v/>
      </c>
    </row>
    <row r="168">
      <c r="A168" s="26" t="n"/>
      <c r="B168" s="23" t="n"/>
      <c r="C168" s="27" t="n"/>
      <c r="D168" s="27" t="n"/>
      <c r="E168" s="28" t="n"/>
      <c r="F168" s="29">
        <f>IF(E168="","",E168/5)</f>
        <v/>
      </c>
      <c r="G168" s="30">
        <f>IF(B168="","",IF(C168&gt;Einstellungen!$C$9,"künftig",IF(AND(D168&lt;&gt;"",D168&lt;Einstellungen!$C$9),"ausgeschieden","aktiv")))</f>
        <v/>
      </c>
      <c r="H168" s="31">
        <f>IF(OR(B168="",E168=""),"",IF(Einstellungen!$C$11="7 Tage",MAX(0,(MIN(IF(D168="",DATE(Einstellungen!$C$3,12,31),D168),Einstellungen!$C$9))-(MAX(C168,DATE(Einstellungen!$C$3,1,1)))+1),MAX(0,NETWORKDAYS(MAX(C168,DATE(Einstellungen!$C$3,1,1)),MIN(IF(D168="",DATE(Einstellungen!$C$3,12,31),D168),Einstellungen!$C$9),Einstellungen!$F$13:$F$32)))*F168)</f>
        <v/>
      </c>
    </row>
    <row r="169">
      <c r="A169" s="26" t="n"/>
      <c r="B169" s="23" t="n"/>
      <c r="C169" s="27" t="n"/>
      <c r="D169" s="27" t="n"/>
      <c r="E169" s="28" t="n"/>
      <c r="F169" s="29">
        <f>IF(E169="","",E169/5)</f>
        <v/>
      </c>
      <c r="G169" s="30">
        <f>IF(B169="","",IF(C169&gt;Einstellungen!$C$9,"künftig",IF(AND(D169&lt;&gt;"",D169&lt;Einstellungen!$C$9),"ausgeschieden","aktiv")))</f>
        <v/>
      </c>
      <c r="H169" s="31">
        <f>IF(OR(B169="",E169=""),"",IF(Einstellungen!$C$11="7 Tage",MAX(0,(MIN(IF(D169="",DATE(Einstellungen!$C$3,12,31),D169),Einstellungen!$C$9))-(MAX(C169,DATE(Einstellungen!$C$3,1,1)))+1),MAX(0,NETWORKDAYS(MAX(C169,DATE(Einstellungen!$C$3,1,1)),MIN(IF(D169="",DATE(Einstellungen!$C$3,12,31),D169),Einstellungen!$C$9),Einstellungen!$F$13:$F$32)))*F169)</f>
        <v/>
      </c>
    </row>
    <row r="170">
      <c r="A170" s="26" t="n"/>
      <c r="B170" s="23" t="n"/>
      <c r="C170" s="27" t="n"/>
      <c r="D170" s="27" t="n"/>
      <c r="E170" s="28" t="n"/>
      <c r="F170" s="29">
        <f>IF(E170="","",E170/5)</f>
        <v/>
      </c>
      <c r="G170" s="30">
        <f>IF(B170="","",IF(C170&gt;Einstellungen!$C$9,"künftig",IF(AND(D170&lt;&gt;"",D170&lt;Einstellungen!$C$9),"ausgeschieden","aktiv")))</f>
        <v/>
      </c>
      <c r="H170" s="31">
        <f>IF(OR(B170="",E170=""),"",IF(Einstellungen!$C$11="7 Tage",MAX(0,(MIN(IF(D170="",DATE(Einstellungen!$C$3,12,31),D170),Einstellungen!$C$9))-(MAX(C170,DATE(Einstellungen!$C$3,1,1)))+1),MAX(0,NETWORKDAYS(MAX(C170,DATE(Einstellungen!$C$3,1,1)),MIN(IF(D170="",DATE(Einstellungen!$C$3,12,31),D170),Einstellungen!$C$9),Einstellungen!$F$13:$F$32)))*F170)</f>
        <v/>
      </c>
    </row>
    <row r="171">
      <c r="A171" s="26" t="n"/>
      <c r="B171" s="23" t="n"/>
      <c r="C171" s="27" t="n"/>
      <c r="D171" s="27" t="n"/>
      <c r="E171" s="28" t="n"/>
      <c r="F171" s="29">
        <f>IF(E171="","",E171/5)</f>
        <v/>
      </c>
      <c r="G171" s="30">
        <f>IF(B171="","",IF(C171&gt;Einstellungen!$C$9,"künftig",IF(AND(D171&lt;&gt;"",D171&lt;Einstellungen!$C$9),"ausgeschieden","aktiv")))</f>
        <v/>
      </c>
      <c r="H171" s="31">
        <f>IF(OR(B171="",E171=""),"",IF(Einstellungen!$C$11="7 Tage",MAX(0,(MIN(IF(D171="",DATE(Einstellungen!$C$3,12,31),D171),Einstellungen!$C$9))-(MAX(C171,DATE(Einstellungen!$C$3,1,1)))+1),MAX(0,NETWORKDAYS(MAX(C171,DATE(Einstellungen!$C$3,1,1)),MIN(IF(D171="",DATE(Einstellungen!$C$3,12,31),D171),Einstellungen!$C$9),Einstellungen!$F$13:$F$32)))*F171)</f>
        <v/>
      </c>
    </row>
    <row r="172">
      <c r="A172" s="26" t="n"/>
      <c r="B172" s="23" t="n"/>
      <c r="C172" s="27" t="n"/>
      <c r="D172" s="27" t="n"/>
      <c r="E172" s="28" t="n"/>
      <c r="F172" s="29">
        <f>IF(E172="","",E172/5)</f>
        <v/>
      </c>
      <c r="G172" s="30">
        <f>IF(B172="","",IF(C172&gt;Einstellungen!$C$9,"künftig",IF(AND(D172&lt;&gt;"",D172&lt;Einstellungen!$C$9),"ausgeschieden","aktiv")))</f>
        <v/>
      </c>
      <c r="H172" s="31">
        <f>IF(OR(B172="",E172=""),"",IF(Einstellungen!$C$11="7 Tage",MAX(0,(MIN(IF(D172="",DATE(Einstellungen!$C$3,12,31),D172),Einstellungen!$C$9))-(MAX(C172,DATE(Einstellungen!$C$3,1,1)))+1),MAX(0,NETWORKDAYS(MAX(C172,DATE(Einstellungen!$C$3,1,1)),MIN(IF(D172="",DATE(Einstellungen!$C$3,12,31),D172),Einstellungen!$C$9),Einstellungen!$F$13:$F$32)))*F172)</f>
        <v/>
      </c>
    </row>
    <row r="173">
      <c r="A173" s="26" t="n"/>
      <c r="B173" s="23" t="n"/>
      <c r="C173" s="27" t="n"/>
      <c r="D173" s="27" t="n"/>
      <c r="E173" s="28" t="n"/>
      <c r="F173" s="29">
        <f>IF(E173="","",E173/5)</f>
        <v/>
      </c>
      <c r="G173" s="30">
        <f>IF(B173="","",IF(C173&gt;Einstellungen!$C$9,"künftig",IF(AND(D173&lt;&gt;"",D173&lt;Einstellungen!$C$9),"ausgeschieden","aktiv")))</f>
        <v/>
      </c>
      <c r="H173" s="31">
        <f>IF(OR(B173="",E173=""),"",IF(Einstellungen!$C$11="7 Tage",MAX(0,(MIN(IF(D173="",DATE(Einstellungen!$C$3,12,31),D173),Einstellungen!$C$9))-(MAX(C173,DATE(Einstellungen!$C$3,1,1)))+1),MAX(0,NETWORKDAYS(MAX(C173,DATE(Einstellungen!$C$3,1,1)),MIN(IF(D173="",DATE(Einstellungen!$C$3,12,31),D173),Einstellungen!$C$9),Einstellungen!$F$13:$F$32)))*F173)</f>
        <v/>
      </c>
    </row>
    <row r="174">
      <c r="A174" s="26" t="n"/>
      <c r="B174" s="23" t="n"/>
      <c r="C174" s="27" t="n"/>
      <c r="D174" s="27" t="n"/>
      <c r="E174" s="28" t="n"/>
      <c r="F174" s="29">
        <f>IF(E174="","",E174/5)</f>
        <v/>
      </c>
      <c r="G174" s="30">
        <f>IF(B174="","",IF(C174&gt;Einstellungen!$C$9,"künftig",IF(AND(D174&lt;&gt;"",D174&lt;Einstellungen!$C$9),"ausgeschieden","aktiv")))</f>
        <v/>
      </c>
      <c r="H174" s="31">
        <f>IF(OR(B174="",E174=""),"",IF(Einstellungen!$C$11="7 Tage",MAX(0,(MIN(IF(D174="",DATE(Einstellungen!$C$3,12,31),D174),Einstellungen!$C$9))-(MAX(C174,DATE(Einstellungen!$C$3,1,1)))+1),MAX(0,NETWORKDAYS(MAX(C174,DATE(Einstellungen!$C$3,1,1)),MIN(IF(D174="",DATE(Einstellungen!$C$3,12,31),D174),Einstellungen!$C$9),Einstellungen!$F$13:$F$32)))*F174)</f>
        <v/>
      </c>
    </row>
    <row r="175">
      <c r="A175" s="26" t="n"/>
      <c r="B175" s="23" t="n"/>
      <c r="C175" s="27" t="n"/>
      <c r="D175" s="27" t="n"/>
      <c r="E175" s="28" t="n"/>
      <c r="F175" s="29">
        <f>IF(E175="","",E175/5)</f>
        <v/>
      </c>
      <c r="G175" s="30">
        <f>IF(B175="","",IF(C175&gt;Einstellungen!$C$9,"künftig",IF(AND(D175&lt;&gt;"",D175&lt;Einstellungen!$C$9),"ausgeschieden","aktiv")))</f>
        <v/>
      </c>
      <c r="H175" s="31">
        <f>IF(OR(B175="",E175=""),"",IF(Einstellungen!$C$11="7 Tage",MAX(0,(MIN(IF(D175="",DATE(Einstellungen!$C$3,12,31),D175),Einstellungen!$C$9))-(MAX(C175,DATE(Einstellungen!$C$3,1,1)))+1),MAX(0,NETWORKDAYS(MAX(C175,DATE(Einstellungen!$C$3,1,1)),MIN(IF(D175="",DATE(Einstellungen!$C$3,12,31),D175),Einstellungen!$C$9),Einstellungen!$F$13:$F$32)))*F175)</f>
        <v/>
      </c>
    </row>
    <row r="176">
      <c r="A176" s="26" t="n"/>
      <c r="B176" s="23" t="n"/>
      <c r="C176" s="27" t="n"/>
      <c r="D176" s="27" t="n"/>
      <c r="E176" s="28" t="n"/>
      <c r="F176" s="29">
        <f>IF(E176="","",E176/5)</f>
        <v/>
      </c>
      <c r="G176" s="30">
        <f>IF(B176="","",IF(C176&gt;Einstellungen!$C$9,"künftig",IF(AND(D176&lt;&gt;"",D176&lt;Einstellungen!$C$9),"ausgeschieden","aktiv")))</f>
        <v/>
      </c>
      <c r="H176" s="31">
        <f>IF(OR(B176="",E176=""),"",IF(Einstellungen!$C$11="7 Tage",MAX(0,(MIN(IF(D176="",DATE(Einstellungen!$C$3,12,31),D176),Einstellungen!$C$9))-(MAX(C176,DATE(Einstellungen!$C$3,1,1)))+1),MAX(0,NETWORKDAYS(MAX(C176,DATE(Einstellungen!$C$3,1,1)),MIN(IF(D176="",DATE(Einstellungen!$C$3,12,31),D176),Einstellungen!$C$9),Einstellungen!$F$13:$F$32)))*F176)</f>
        <v/>
      </c>
    </row>
    <row r="177">
      <c r="A177" s="26" t="n"/>
      <c r="B177" s="23" t="n"/>
      <c r="C177" s="27" t="n"/>
      <c r="D177" s="27" t="n"/>
      <c r="E177" s="28" t="n"/>
      <c r="F177" s="29">
        <f>IF(E177="","",E177/5)</f>
        <v/>
      </c>
      <c r="G177" s="30">
        <f>IF(B177="","",IF(C177&gt;Einstellungen!$C$9,"künftig",IF(AND(D177&lt;&gt;"",D177&lt;Einstellungen!$C$9),"ausgeschieden","aktiv")))</f>
        <v/>
      </c>
      <c r="H177" s="31">
        <f>IF(OR(B177="",E177=""),"",IF(Einstellungen!$C$11="7 Tage",MAX(0,(MIN(IF(D177="",DATE(Einstellungen!$C$3,12,31),D177),Einstellungen!$C$9))-(MAX(C177,DATE(Einstellungen!$C$3,1,1)))+1),MAX(0,NETWORKDAYS(MAX(C177,DATE(Einstellungen!$C$3,1,1)),MIN(IF(D177="",DATE(Einstellungen!$C$3,12,31),D177),Einstellungen!$C$9),Einstellungen!$F$13:$F$32)))*F177)</f>
        <v/>
      </c>
    </row>
    <row r="178">
      <c r="A178" s="26" t="n"/>
      <c r="B178" s="23" t="n"/>
      <c r="C178" s="27" t="n"/>
      <c r="D178" s="27" t="n"/>
      <c r="E178" s="28" t="n"/>
      <c r="F178" s="29">
        <f>IF(E178="","",E178/5)</f>
        <v/>
      </c>
      <c r="G178" s="30">
        <f>IF(B178="","",IF(C178&gt;Einstellungen!$C$9,"künftig",IF(AND(D178&lt;&gt;"",D178&lt;Einstellungen!$C$9),"ausgeschieden","aktiv")))</f>
        <v/>
      </c>
      <c r="H178" s="31">
        <f>IF(OR(B178="",E178=""),"",IF(Einstellungen!$C$11="7 Tage",MAX(0,(MIN(IF(D178="",DATE(Einstellungen!$C$3,12,31),D178),Einstellungen!$C$9))-(MAX(C178,DATE(Einstellungen!$C$3,1,1)))+1),MAX(0,NETWORKDAYS(MAX(C178,DATE(Einstellungen!$C$3,1,1)),MIN(IF(D178="",DATE(Einstellungen!$C$3,12,31),D178),Einstellungen!$C$9),Einstellungen!$F$13:$F$32)))*F178)</f>
        <v/>
      </c>
    </row>
    <row r="179">
      <c r="A179" s="26" t="n"/>
      <c r="B179" s="23" t="n"/>
      <c r="C179" s="27" t="n"/>
      <c r="D179" s="27" t="n"/>
      <c r="E179" s="28" t="n"/>
      <c r="F179" s="29">
        <f>IF(E179="","",E179/5)</f>
        <v/>
      </c>
      <c r="G179" s="30">
        <f>IF(B179="","",IF(C179&gt;Einstellungen!$C$9,"künftig",IF(AND(D179&lt;&gt;"",D179&lt;Einstellungen!$C$9),"ausgeschieden","aktiv")))</f>
        <v/>
      </c>
      <c r="H179" s="31">
        <f>IF(OR(B179="",E179=""),"",IF(Einstellungen!$C$11="7 Tage",MAX(0,(MIN(IF(D179="",DATE(Einstellungen!$C$3,12,31),D179),Einstellungen!$C$9))-(MAX(C179,DATE(Einstellungen!$C$3,1,1)))+1),MAX(0,NETWORKDAYS(MAX(C179,DATE(Einstellungen!$C$3,1,1)),MIN(IF(D179="",DATE(Einstellungen!$C$3,12,31),D179),Einstellungen!$C$9),Einstellungen!$F$13:$F$32)))*F179)</f>
        <v/>
      </c>
    </row>
    <row r="180">
      <c r="A180" s="26" t="n"/>
      <c r="B180" s="23" t="n"/>
      <c r="C180" s="27" t="n"/>
      <c r="D180" s="27" t="n"/>
      <c r="E180" s="28" t="n"/>
      <c r="F180" s="29">
        <f>IF(E180="","",E180/5)</f>
        <v/>
      </c>
      <c r="G180" s="30">
        <f>IF(B180="","",IF(C180&gt;Einstellungen!$C$9,"künftig",IF(AND(D180&lt;&gt;"",D180&lt;Einstellungen!$C$9),"ausgeschieden","aktiv")))</f>
        <v/>
      </c>
      <c r="H180" s="31">
        <f>IF(OR(B180="",E180=""),"",IF(Einstellungen!$C$11="7 Tage",MAX(0,(MIN(IF(D180="",DATE(Einstellungen!$C$3,12,31),D180),Einstellungen!$C$9))-(MAX(C180,DATE(Einstellungen!$C$3,1,1)))+1),MAX(0,NETWORKDAYS(MAX(C180,DATE(Einstellungen!$C$3,1,1)),MIN(IF(D180="",DATE(Einstellungen!$C$3,12,31),D180),Einstellungen!$C$9),Einstellungen!$F$13:$F$32)))*F180)</f>
        <v/>
      </c>
    </row>
    <row r="181">
      <c r="A181" s="26" t="n"/>
      <c r="B181" s="23" t="n"/>
      <c r="C181" s="27" t="n"/>
      <c r="D181" s="27" t="n"/>
      <c r="E181" s="28" t="n"/>
      <c r="F181" s="29">
        <f>IF(E181="","",E181/5)</f>
        <v/>
      </c>
      <c r="G181" s="30">
        <f>IF(B181="","",IF(C181&gt;Einstellungen!$C$9,"künftig",IF(AND(D181&lt;&gt;"",D181&lt;Einstellungen!$C$9),"ausgeschieden","aktiv")))</f>
        <v/>
      </c>
      <c r="H181" s="31">
        <f>IF(OR(B181="",E181=""),"",IF(Einstellungen!$C$11="7 Tage",MAX(0,(MIN(IF(D181="",DATE(Einstellungen!$C$3,12,31),D181),Einstellungen!$C$9))-(MAX(C181,DATE(Einstellungen!$C$3,1,1)))+1),MAX(0,NETWORKDAYS(MAX(C181,DATE(Einstellungen!$C$3,1,1)),MIN(IF(D181="",DATE(Einstellungen!$C$3,12,31),D181),Einstellungen!$C$9),Einstellungen!$F$13:$F$32)))*F181)</f>
        <v/>
      </c>
    </row>
    <row r="182">
      <c r="A182" s="26" t="n"/>
      <c r="B182" s="23" t="n"/>
      <c r="C182" s="27" t="n"/>
      <c r="D182" s="27" t="n"/>
      <c r="E182" s="28" t="n"/>
      <c r="F182" s="29">
        <f>IF(E182="","",E182/5)</f>
        <v/>
      </c>
      <c r="G182" s="30">
        <f>IF(B182="","",IF(C182&gt;Einstellungen!$C$9,"künftig",IF(AND(D182&lt;&gt;"",D182&lt;Einstellungen!$C$9),"ausgeschieden","aktiv")))</f>
        <v/>
      </c>
      <c r="H182" s="31">
        <f>IF(OR(B182="",E182=""),"",IF(Einstellungen!$C$11="7 Tage",MAX(0,(MIN(IF(D182="",DATE(Einstellungen!$C$3,12,31),D182),Einstellungen!$C$9))-(MAX(C182,DATE(Einstellungen!$C$3,1,1)))+1),MAX(0,NETWORKDAYS(MAX(C182,DATE(Einstellungen!$C$3,1,1)),MIN(IF(D182="",DATE(Einstellungen!$C$3,12,31),D182),Einstellungen!$C$9),Einstellungen!$F$13:$F$32)))*F182)</f>
        <v/>
      </c>
    </row>
    <row r="183">
      <c r="A183" s="26" t="n"/>
      <c r="B183" s="23" t="n"/>
      <c r="C183" s="27" t="n"/>
      <c r="D183" s="27" t="n"/>
      <c r="E183" s="28" t="n"/>
      <c r="F183" s="29">
        <f>IF(E183="","",E183/5)</f>
        <v/>
      </c>
      <c r="G183" s="30">
        <f>IF(B183="","",IF(C183&gt;Einstellungen!$C$9,"künftig",IF(AND(D183&lt;&gt;"",D183&lt;Einstellungen!$C$9),"ausgeschieden","aktiv")))</f>
        <v/>
      </c>
      <c r="H183" s="31">
        <f>IF(OR(B183="",E183=""),"",IF(Einstellungen!$C$11="7 Tage",MAX(0,(MIN(IF(D183="",DATE(Einstellungen!$C$3,12,31),D183),Einstellungen!$C$9))-(MAX(C183,DATE(Einstellungen!$C$3,1,1)))+1),MAX(0,NETWORKDAYS(MAX(C183,DATE(Einstellungen!$C$3,1,1)),MIN(IF(D183="",DATE(Einstellungen!$C$3,12,31),D183),Einstellungen!$C$9),Einstellungen!$F$13:$F$32)))*F183)</f>
        <v/>
      </c>
    </row>
    <row r="184">
      <c r="A184" s="26" t="n"/>
      <c r="B184" s="23" t="n"/>
      <c r="C184" s="27" t="n"/>
      <c r="D184" s="27" t="n"/>
      <c r="E184" s="28" t="n"/>
      <c r="F184" s="29">
        <f>IF(E184="","",E184/5)</f>
        <v/>
      </c>
      <c r="G184" s="30">
        <f>IF(B184="","",IF(C184&gt;Einstellungen!$C$9,"künftig",IF(AND(D184&lt;&gt;"",D184&lt;Einstellungen!$C$9),"ausgeschieden","aktiv")))</f>
        <v/>
      </c>
      <c r="H184" s="31">
        <f>IF(OR(B184="",E184=""),"",IF(Einstellungen!$C$11="7 Tage",MAX(0,(MIN(IF(D184="",DATE(Einstellungen!$C$3,12,31),D184),Einstellungen!$C$9))-(MAX(C184,DATE(Einstellungen!$C$3,1,1)))+1),MAX(0,NETWORKDAYS(MAX(C184,DATE(Einstellungen!$C$3,1,1)),MIN(IF(D184="",DATE(Einstellungen!$C$3,12,31),D184),Einstellungen!$C$9),Einstellungen!$F$13:$F$32)))*F184)</f>
        <v/>
      </c>
    </row>
    <row r="185">
      <c r="A185" s="26" t="n"/>
      <c r="B185" s="23" t="n"/>
      <c r="C185" s="27" t="n"/>
      <c r="D185" s="27" t="n"/>
      <c r="E185" s="28" t="n"/>
      <c r="F185" s="29">
        <f>IF(E185="","",E185/5)</f>
        <v/>
      </c>
      <c r="G185" s="30">
        <f>IF(B185="","",IF(C185&gt;Einstellungen!$C$9,"künftig",IF(AND(D185&lt;&gt;"",D185&lt;Einstellungen!$C$9),"ausgeschieden","aktiv")))</f>
        <v/>
      </c>
      <c r="H185" s="31">
        <f>IF(OR(B185="",E185=""),"",IF(Einstellungen!$C$11="7 Tage",MAX(0,(MIN(IF(D185="",DATE(Einstellungen!$C$3,12,31),D185),Einstellungen!$C$9))-(MAX(C185,DATE(Einstellungen!$C$3,1,1)))+1),MAX(0,NETWORKDAYS(MAX(C185,DATE(Einstellungen!$C$3,1,1)),MIN(IF(D185="",DATE(Einstellungen!$C$3,12,31),D185),Einstellungen!$C$9),Einstellungen!$F$13:$F$32)))*F185)</f>
        <v/>
      </c>
    </row>
    <row r="186">
      <c r="A186" s="26" t="n"/>
      <c r="B186" s="23" t="n"/>
      <c r="C186" s="27" t="n"/>
      <c r="D186" s="27" t="n"/>
      <c r="E186" s="28" t="n"/>
      <c r="F186" s="29">
        <f>IF(E186="","",E186/5)</f>
        <v/>
      </c>
      <c r="G186" s="30">
        <f>IF(B186="","",IF(C186&gt;Einstellungen!$C$9,"künftig",IF(AND(D186&lt;&gt;"",D186&lt;Einstellungen!$C$9),"ausgeschieden","aktiv")))</f>
        <v/>
      </c>
      <c r="H186" s="31">
        <f>IF(OR(B186="",E186=""),"",IF(Einstellungen!$C$11="7 Tage",MAX(0,(MIN(IF(D186="",DATE(Einstellungen!$C$3,12,31),D186),Einstellungen!$C$9))-(MAX(C186,DATE(Einstellungen!$C$3,1,1)))+1),MAX(0,NETWORKDAYS(MAX(C186,DATE(Einstellungen!$C$3,1,1)),MIN(IF(D186="",DATE(Einstellungen!$C$3,12,31),D186),Einstellungen!$C$9),Einstellungen!$F$13:$F$32)))*F186)</f>
        <v/>
      </c>
    </row>
    <row r="187">
      <c r="A187" s="26" t="n"/>
      <c r="B187" s="23" t="n"/>
      <c r="C187" s="27" t="n"/>
      <c r="D187" s="27" t="n"/>
      <c r="E187" s="28" t="n"/>
      <c r="F187" s="29">
        <f>IF(E187="","",E187/5)</f>
        <v/>
      </c>
      <c r="G187" s="30">
        <f>IF(B187="","",IF(C187&gt;Einstellungen!$C$9,"künftig",IF(AND(D187&lt;&gt;"",D187&lt;Einstellungen!$C$9),"ausgeschieden","aktiv")))</f>
        <v/>
      </c>
      <c r="H187" s="31">
        <f>IF(OR(B187="",E187=""),"",IF(Einstellungen!$C$11="7 Tage",MAX(0,(MIN(IF(D187="",DATE(Einstellungen!$C$3,12,31),D187),Einstellungen!$C$9))-(MAX(C187,DATE(Einstellungen!$C$3,1,1)))+1),MAX(0,NETWORKDAYS(MAX(C187,DATE(Einstellungen!$C$3,1,1)),MIN(IF(D187="",DATE(Einstellungen!$C$3,12,31),D187),Einstellungen!$C$9),Einstellungen!$F$13:$F$32)))*F187)</f>
        <v/>
      </c>
    </row>
    <row r="188">
      <c r="A188" s="26" t="n"/>
      <c r="B188" s="23" t="n"/>
      <c r="C188" s="27" t="n"/>
      <c r="D188" s="27" t="n"/>
      <c r="E188" s="28" t="n"/>
      <c r="F188" s="29">
        <f>IF(E188="","",E188/5)</f>
        <v/>
      </c>
      <c r="G188" s="30">
        <f>IF(B188="","",IF(C188&gt;Einstellungen!$C$9,"künftig",IF(AND(D188&lt;&gt;"",D188&lt;Einstellungen!$C$9),"ausgeschieden","aktiv")))</f>
        <v/>
      </c>
      <c r="H188" s="31">
        <f>IF(OR(B188="",E188=""),"",IF(Einstellungen!$C$11="7 Tage",MAX(0,(MIN(IF(D188="",DATE(Einstellungen!$C$3,12,31),D188),Einstellungen!$C$9))-(MAX(C188,DATE(Einstellungen!$C$3,1,1)))+1),MAX(0,NETWORKDAYS(MAX(C188,DATE(Einstellungen!$C$3,1,1)),MIN(IF(D188="",DATE(Einstellungen!$C$3,12,31),D188),Einstellungen!$C$9),Einstellungen!$F$13:$F$32)))*F188)</f>
        <v/>
      </c>
    </row>
    <row r="189">
      <c r="A189" s="26" t="n"/>
      <c r="B189" s="23" t="n"/>
      <c r="C189" s="27" t="n"/>
      <c r="D189" s="27" t="n"/>
      <c r="E189" s="28" t="n"/>
      <c r="F189" s="29">
        <f>IF(E189="","",E189/5)</f>
        <v/>
      </c>
      <c r="G189" s="30">
        <f>IF(B189="","",IF(C189&gt;Einstellungen!$C$9,"künftig",IF(AND(D189&lt;&gt;"",D189&lt;Einstellungen!$C$9),"ausgeschieden","aktiv")))</f>
        <v/>
      </c>
      <c r="H189" s="31">
        <f>IF(OR(B189="",E189=""),"",IF(Einstellungen!$C$11="7 Tage",MAX(0,(MIN(IF(D189="",DATE(Einstellungen!$C$3,12,31),D189),Einstellungen!$C$9))-(MAX(C189,DATE(Einstellungen!$C$3,1,1)))+1),MAX(0,NETWORKDAYS(MAX(C189,DATE(Einstellungen!$C$3,1,1)),MIN(IF(D189="",DATE(Einstellungen!$C$3,12,31),D189),Einstellungen!$C$9),Einstellungen!$F$13:$F$32)))*F189)</f>
        <v/>
      </c>
    </row>
    <row r="190">
      <c r="A190" s="26" t="n"/>
      <c r="B190" s="23" t="n"/>
      <c r="C190" s="27" t="n"/>
      <c r="D190" s="27" t="n"/>
      <c r="E190" s="28" t="n"/>
      <c r="F190" s="29">
        <f>IF(E190="","",E190/5)</f>
        <v/>
      </c>
      <c r="G190" s="30">
        <f>IF(B190="","",IF(C190&gt;Einstellungen!$C$9,"künftig",IF(AND(D190&lt;&gt;"",D190&lt;Einstellungen!$C$9),"ausgeschieden","aktiv")))</f>
        <v/>
      </c>
      <c r="H190" s="31">
        <f>IF(OR(B190="",E190=""),"",IF(Einstellungen!$C$11="7 Tage",MAX(0,(MIN(IF(D190="",DATE(Einstellungen!$C$3,12,31),D190),Einstellungen!$C$9))-(MAX(C190,DATE(Einstellungen!$C$3,1,1)))+1),MAX(0,NETWORKDAYS(MAX(C190,DATE(Einstellungen!$C$3,1,1)),MIN(IF(D190="",DATE(Einstellungen!$C$3,12,31),D190),Einstellungen!$C$9),Einstellungen!$F$13:$F$32)))*F190)</f>
        <v/>
      </c>
    </row>
    <row r="191">
      <c r="A191" s="26" t="n"/>
      <c r="B191" s="23" t="n"/>
      <c r="C191" s="27" t="n"/>
      <c r="D191" s="27" t="n"/>
      <c r="E191" s="28" t="n"/>
      <c r="F191" s="29">
        <f>IF(E191="","",E191/5)</f>
        <v/>
      </c>
      <c r="G191" s="30">
        <f>IF(B191="","",IF(C191&gt;Einstellungen!$C$9,"künftig",IF(AND(D191&lt;&gt;"",D191&lt;Einstellungen!$C$9),"ausgeschieden","aktiv")))</f>
        <v/>
      </c>
      <c r="H191" s="31">
        <f>IF(OR(B191="",E191=""),"",IF(Einstellungen!$C$11="7 Tage",MAX(0,(MIN(IF(D191="",DATE(Einstellungen!$C$3,12,31),D191),Einstellungen!$C$9))-(MAX(C191,DATE(Einstellungen!$C$3,1,1)))+1),MAX(0,NETWORKDAYS(MAX(C191,DATE(Einstellungen!$C$3,1,1)),MIN(IF(D191="",DATE(Einstellungen!$C$3,12,31),D191),Einstellungen!$C$9),Einstellungen!$F$13:$F$32)))*F191)</f>
        <v/>
      </c>
    </row>
    <row r="192">
      <c r="A192" s="26" t="n"/>
      <c r="B192" s="23" t="n"/>
      <c r="C192" s="27" t="n"/>
      <c r="D192" s="27" t="n"/>
      <c r="E192" s="28" t="n"/>
      <c r="F192" s="29">
        <f>IF(E192="","",E192/5)</f>
        <v/>
      </c>
      <c r="G192" s="30">
        <f>IF(B192="","",IF(C192&gt;Einstellungen!$C$9,"künftig",IF(AND(D192&lt;&gt;"",D192&lt;Einstellungen!$C$9),"ausgeschieden","aktiv")))</f>
        <v/>
      </c>
      <c r="H192" s="31">
        <f>IF(OR(B192="",E192=""),"",IF(Einstellungen!$C$11="7 Tage",MAX(0,(MIN(IF(D192="",DATE(Einstellungen!$C$3,12,31),D192),Einstellungen!$C$9))-(MAX(C192,DATE(Einstellungen!$C$3,1,1)))+1),MAX(0,NETWORKDAYS(MAX(C192,DATE(Einstellungen!$C$3,1,1)),MIN(IF(D192="",DATE(Einstellungen!$C$3,12,31),D192),Einstellungen!$C$9),Einstellungen!$F$13:$F$32)))*F192)</f>
        <v/>
      </c>
    </row>
    <row r="193">
      <c r="A193" s="26" t="n"/>
      <c r="B193" s="23" t="n"/>
      <c r="C193" s="27" t="n"/>
      <c r="D193" s="27" t="n"/>
      <c r="E193" s="28" t="n"/>
      <c r="F193" s="29">
        <f>IF(E193="","",E193/5)</f>
        <v/>
      </c>
      <c r="G193" s="30">
        <f>IF(B193="","",IF(C193&gt;Einstellungen!$C$9,"künftig",IF(AND(D193&lt;&gt;"",D193&lt;Einstellungen!$C$9),"ausgeschieden","aktiv")))</f>
        <v/>
      </c>
      <c r="H193" s="31">
        <f>IF(OR(B193="",E193=""),"",IF(Einstellungen!$C$11="7 Tage",MAX(0,(MIN(IF(D193="",DATE(Einstellungen!$C$3,12,31),D193),Einstellungen!$C$9))-(MAX(C193,DATE(Einstellungen!$C$3,1,1)))+1),MAX(0,NETWORKDAYS(MAX(C193,DATE(Einstellungen!$C$3,1,1)),MIN(IF(D193="",DATE(Einstellungen!$C$3,12,31),D193),Einstellungen!$C$9),Einstellungen!$F$13:$F$32)))*F193)</f>
        <v/>
      </c>
    </row>
    <row r="194">
      <c r="A194" s="26" t="n"/>
      <c r="B194" s="23" t="n"/>
      <c r="C194" s="27" t="n"/>
      <c r="D194" s="27" t="n"/>
      <c r="E194" s="28" t="n"/>
      <c r="F194" s="29">
        <f>IF(E194="","",E194/5)</f>
        <v/>
      </c>
      <c r="G194" s="30">
        <f>IF(B194="","",IF(C194&gt;Einstellungen!$C$9,"künftig",IF(AND(D194&lt;&gt;"",D194&lt;Einstellungen!$C$9),"ausgeschieden","aktiv")))</f>
        <v/>
      </c>
      <c r="H194" s="31">
        <f>IF(OR(B194="",E194=""),"",IF(Einstellungen!$C$11="7 Tage",MAX(0,(MIN(IF(D194="",DATE(Einstellungen!$C$3,12,31),D194),Einstellungen!$C$9))-(MAX(C194,DATE(Einstellungen!$C$3,1,1)))+1),MAX(0,NETWORKDAYS(MAX(C194,DATE(Einstellungen!$C$3,1,1)),MIN(IF(D194="",DATE(Einstellungen!$C$3,12,31),D194),Einstellungen!$C$9),Einstellungen!$F$13:$F$32)))*F194)</f>
        <v/>
      </c>
    </row>
    <row r="195">
      <c r="A195" s="26" t="n"/>
      <c r="B195" s="23" t="n"/>
      <c r="C195" s="27" t="n"/>
      <c r="D195" s="27" t="n"/>
      <c r="E195" s="28" t="n"/>
      <c r="F195" s="29">
        <f>IF(E195="","",E195/5)</f>
        <v/>
      </c>
      <c r="G195" s="30">
        <f>IF(B195="","",IF(C195&gt;Einstellungen!$C$9,"künftig",IF(AND(D195&lt;&gt;"",D195&lt;Einstellungen!$C$9),"ausgeschieden","aktiv")))</f>
        <v/>
      </c>
      <c r="H195" s="31">
        <f>IF(OR(B195="",E195=""),"",IF(Einstellungen!$C$11="7 Tage",MAX(0,(MIN(IF(D195="",DATE(Einstellungen!$C$3,12,31),D195),Einstellungen!$C$9))-(MAX(C195,DATE(Einstellungen!$C$3,1,1)))+1),MAX(0,NETWORKDAYS(MAX(C195,DATE(Einstellungen!$C$3,1,1)),MIN(IF(D195="",DATE(Einstellungen!$C$3,12,31),D195),Einstellungen!$C$9),Einstellungen!$F$13:$F$32)))*F195)</f>
        <v/>
      </c>
    </row>
    <row r="196">
      <c r="A196" s="26" t="n"/>
      <c r="B196" s="23" t="n"/>
      <c r="C196" s="27" t="n"/>
      <c r="D196" s="27" t="n"/>
      <c r="E196" s="28" t="n"/>
      <c r="F196" s="29">
        <f>IF(E196="","",E196/5)</f>
        <v/>
      </c>
      <c r="G196" s="30">
        <f>IF(B196="","",IF(C196&gt;Einstellungen!$C$9,"künftig",IF(AND(D196&lt;&gt;"",D196&lt;Einstellungen!$C$9),"ausgeschieden","aktiv")))</f>
        <v/>
      </c>
      <c r="H196" s="31">
        <f>IF(OR(B196="",E196=""),"",IF(Einstellungen!$C$11="7 Tage",MAX(0,(MIN(IF(D196="",DATE(Einstellungen!$C$3,12,31),D196),Einstellungen!$C$9))-(MAX(C196,DATE(Einstellungen!$C$3,1,1)))+1),MAX(0,NETWORKDAYS(MAX(C196,DATE(Einstellungen!$C$3,1,1)),MIN(IF(D196="",DATE(Einstellungen!$C$3,12,31),D196),Einstellungen!$C$9),Einstellungen!$F$13:$F$32)))*F196)</f>
        <v/>
      </c>
    </row>
    <row r="197">
      <c r="A197" s="26" t="n"/>
      <c r="B197" s="23" t="n"/>
      <c r="C197" s="27" t="n"/>
      <c r="D197" s="27" t="n"/>
      <c r="E197" s="28" t="n"/>
      <c r="F197" s="29">
        <f>IF(E197="","",E197/5)</f>
        <v/>
      </c>
      <c r="G197" s="30">
        <f>IF(B197="","",IF(C197&gt;Einstellungen!$C$9,"künftig",IF(AND(D197&lt;&gt;"",D197&lt;Einstellungen!$C$9),"ausgeschieden","aktiv")))</f>
        <v/>
      </c>
      <c r="H197" s="31">
        <f>IF(OR(B197="",E197=""),"",IF(Einstellungen!$C$11="7 Tage",MAX(0,(MIN(IF(D197="",DATE(Einstellungen!$C$3,12,31),D197),Einstellungen!$C$9))-(MAX(C197,DATE(Einstellungen!$C$3,1,1)))+1),MAX(0,NETWORKDAYS(MAX(C197,DATE(Einstellungen!$C$3,1,1)),MIN(IF(D197="",DATE(Einstellungen!$C$3,12,31),D197),Einstellungen!$C$9),Einstellungen!$F$13:$F$32)))*F197)</f>
        <v/>
      </c>
    </row>
    <row r="198">
      <c r="A198" s="26" t="n"/>
      <c r="B198" s="23" t="n"/>
      <c r="C198" s="27" t="n"/>
      <c r="D198" s="27" t="n"/>
      <c r="E198" s="28" t="n"/>
      <c r="F198" s="29">
        <f>IF(E198="","",E198/5)</f>
        <v/>
      </c>
      <c r="G198" s="30">
        <f>IF(B198="","",IF(C198&gt;Einstellungen!$C$9,"künftig",IF(AND(D198&lt;&gt;"",D198&lt;Einstellungen!$C$9),"ausgeschieden","aktiv")))</f>
        <v/>
      </c>
      <c r="H198" s="31">
        <f>IF(OR(B198="",E198=""),"",IF(Einstellungen!$C$11="7 Tage",MAX(0,(MIN(IF(D198="",DATE(Einstellungen!$C$3,12,31),D198),Einstellungen!$C$9))-(MAX(C198,DATE(Einstellungen!$C$3,1,1)))+1),MAX(0,NETWORKDAYS(MAX(C198,DATE(Einstellungen!$C$3,1,1)),MIN(IF(D198="",DATE(Einstellungen!$C$3,12,31),D198),Einstellungen!$C$9),Einstellungen!$F$13:$F$32)))*F198)</f>
        <v/>
      </c>
    </row>
    <row r="199">
      <c r="A199" s="26" t="n"/>
      <c r="B199" s="23" t="n"/>
      <c r="C199" s="27" t="n"/>
      <c r="D199" s="27" t="n"/>
      <c r="E199" s="28" t="n"/>
      <c r="F199" s="29">
        <f>IF(E199="","",E199/5)</f>
        <v/>
      </c>
      <c r="G199" s="30">
        <f>IF(B199="","",IF(C199&gt;Einstellungen!$C$9,"künftig",IF(AND(D199&lt;&gt;"",D199&lt;Einstellungen!$C$9),"ausgeschieden","aktiv")))</f>
        <v/>
      </c>
      <c r="H199" s="31">
        <f>IF(OR(B199="",E199=""),"",IF(Einstellungen!$C$11="7 Tage",MAX(0,(MIN(IF(D199="",DATE(Einstellungen!$C$3,12,31),D199),Einstellungen!$C$9))-(MAX(C199,DATE(Einstellungen!$C$3,1,1)))+1),MAX(0,NETWORKDAYS(MAX(C199,DATE(Einstellungen!$C$3,1,1)),MIN(IF(D199="",DATE(Einstellungen!$C$3,12,31),D199),Einstellungen!$C$9),Einstellungen!$F$13:$F$32)))*F199)</f>
        <v/>
      </c>
    </row>
    <row r="200">
      <c r="A200" s="26" t="n"/>
      <c r="B200" s="23" t="n"/>
      <c r="C200" s="27" t="n"/>
      <c r="D200" s="27" t="n"/>
      <c r="E200" s="28" t="n"/>
      <c r="F200" s="29">
        <f>IF(E200="","",E200/5)</f>
        <v/>
      </c>
      <c r="G200" s="30">
        <f>IF(B200="","",IF(C200&gt;Einstellungen!$C$9,"künftig",IF(AND(D200&lt;&gt;"",D200&lt;Einstellungen!$C$9),"ausgeschieden","aktiv")))</f>
        <v/>
      </c>
      <c r="H200" s="31">
        <f>IF(OR(B200="",E200=""),"",IF(Einstellungen!$C$11="7 Tage",MAX(0,(MIN(IF(D200="",DATE(Einstellungen!$C$3,12,31),D200),Einstellungen!$C$9))-(MAX(C200,DATE(Einstellungen!$C$3,1,1)))+1),MAX(0,NETWORKDAYS(MAX(C200,DATE(Einstellungen!$C$3,1,1)),MIN(IF(D200="",DATE(Einstellungen!$C$3,12,31),D200),Einstellungen!$C$9),Einstellungen!$F$13:$F$32)))*F200)</f>
        <v/>
      </c>
    </row>
    <row r="201">
      <c r="A201" s="26" t="n"/>
      <c r="B201" s="23" t="n"/>
      <c r="C201" s="27" t="n"/>
      <c r="D201" s="27" t="n"/>
      <c r="E201" s="28" t="n"/>
      <c r="F201" s="29">
        <f>IF(E201="","",E201/5)</f>
        <v/>
      </c>
      <c r="G201" s="30">
        <f>IF(B201="","",IF(C201&gt;Einstellungen!$C$9,"künftig",IF(AND(D201&lt;&gt;"",D201&lt;Einstellungen!$C$9),"ausgeschieden","aktiv")))</f>
        <v/>
      </c>
      <c r="H201" s="31">
        <f>IF(OR(B201="",E201=""),"",IF(Einstellungen!$C$11="7 Tage",MAX(0,(MIN(IF(D201="",DATE(Einstellungen!$C$3,12,31),D201),Einstellungen!$C$9))-(MAX(C201,DATE(Einstellungen!$C$3,1,1)))+1),MAX(0,NETWORKDAYS(MAX(C201,DATE(Einstellungen!$C$3,1,1)),MIN(IF(D201="",DATE(Einstellungen!$C$3,12,31),D201),Einstellungen!$C$9),Einstellungen!$F$13:$F$32)))*F201)</f>
        <v/>
      </c>
    </row>
    <row r="202">
      <c r="A202" s="26" t="n"/>
      <c r="B202" s="23" t="n"/>
      <c r="C202" s="27" t="n"/>
      <c r="D202" s="27" t="n"/>
      <c r="E202" s="28" t="n"/>
      <c r="F202" s="29">
        <f>IF(E202="","",E202/5)</f>
        <v/>
      </c>
      <c r="G202" s="30">
        <f>IF(B202="","",IF(C202&gt;Einstellungen!$C$9,"künftig",IF(AND(D202&lt;&gt;"",D202&lt;Einstellungen!$C$9),"ausgeschieden","aktiv")))</f>
        <v/>
      </c>
      <c r="H202" s="31">
        <f>IF(OR(B202="",E202=""),"",IF(Einstellungen!$C$11="7 Tage",MAX(0,(MIN(IF(D202="",DATE(Einstellungen!$C$3,12,31),D202),Einstellungen!$C$9))-(MAX(C202,DATE(Einstellungen!$C$3,1,1)))+1),MAX(0,NETWORKDAYS(MAX(C202,DATE(Einstellungen!$C$3,1,1)),MIN(IF(D202="",DATE(Einstellungen!$C$3,12,31),D202),Einstellungen!$C$9),Einstellungen!$F$13:$F$32)))*F202)</f>
        <v/>
      </c>
    </row>
    <row r="203">
      <c r="A203" s="26" t="n"/>
      <c r="B203" s="23" t="n"/>
      <c r="C203" s="27" t="n"/>
      <c r="D203" s="27" t="n"/>
      <c r="E203" s="28" t="n"/>
      <c r="F203" s="29">
        <f>IF(E203="","",E203/5)</f>
        <v/>
      </c>
      <c r="G203" s="30">
        <f>IF(B203="","",IF(C203&gt;Einstellungen!$C$9,"künftig",IF(AND(D203&lt;&gt;"",D203&lt;Einstellungen!$C$9),"ausgeschieden","aktiv")))</f>
        <v/>
      </c>
      <c r="H203" s="31">
        <f>IF(OR(B203="",E203=""),"",IF(Einstellungen!$C$11="7 Tage",MAX(0,(MIN(IF(D203="",DATE(Einstellungen!$C$3,12,31),D203),Einstellungen!$C$9))-(MAX(C203,DATE(Einstellungen!$C$3,1,1)))+1),MAX(0,NETWORKDAYS(MAX(C203,DATE(Einstellungen!$C$3,1,1)),MIN(IF(D203="",DATE(Einstellungen!$C$3,12,31),D203),Einstellungen!$C$9),Einstellungen!$F$13:$F$32)))*F203)</f>
        <v/>
      </c>
    </row>
    <row r="204">
      <c r="A204" s="26" t="n"/>
      <c r="B204" s="23" t="n"/>
      <c r="C204" s="27" t="n"/>
      <c r="D204" s="27" t="n"/>
      <c r="E204" s="28" t="n"/>
      <c r="F204" s="29">
        <f>IF(E204="","",E204/5)</f>
        <v/>
      </c>
      <c r="G204" s="30">
        <f>IF(B204="","",IF(C204&gt;Einstellungen!$C$9,"künftig",IF(AND(D204&lt;&gt;"",D204&lt;Einstellungen!$C$9),"ausgeschieden","aktiv")))</f>
        <v/>
      </c>
      <c r="H204" s="31">
        <f>IF(OR(B204="",E204=""),"",IF(Einstellungen!$C$11="7 Tage",MAX(0,(MIN(IF(D204="",DATE(Einstellungen!$C$3,12,31),D204),Einstellungen!$C$9))-(MAX(C204,DATE(Einstellungen!$C$3,1,1)))+1),MAX(0,NETWORKDAYS(MAX(C204,DATE(Einstellungen!$C$3,1,1)),MIN(IF(D204="",DATE(Einstellungen!$C$3,12,31),D204),Einstellungen!$C$9),Einstellungen!$F$13:$F$32)))*F204)</f>
        <v/>
      </c>
    </row>
    <row r="205">
      <c r="A205" s="26" t="n"/>
      <c r="B205" s="23" t="n"/>
      <c r="C205" s="27" t="n"/>
      <c r="D205" s="27" t="n"/>
      <c r="E205" s="28" t="n"/>
      <c r="F205" s="29">
        <f>IF(E205="","",E205/5)</f>
        <v/>
      </c>
      <c r="G205" s="30">
        <f>IF(B205="","",IF(C205&gt;Einstellungen!$C$9,"künftig",IF(AND(D205&lt;&gt;"",D205&lt;Einstellungen!$C$9),"ausgeschieden","aktiv")))</f>
        <v/>
      </c>
      <c r="H205" s="31">
        <f>IF(OR(B205="",E205=""),"",IF(Einstellungen!$C$11="7 Tage",MAX(0,(MIN(IF(D205="",DATE(Einstellungen!$C$3,12,31),D205),Einstellungen!$C$9))-(MAX(C205,DATE(Einstellungen!$C$3,1,1)))+1),MAX(0,NETWORKDAYS(MAX(C205,DATE(Einstellungen!$C$3,1,1)),MIN(IF(D205="",DATE(Einstellungen!$C$3,12,31),D205),Einstellungen!$C$9),Einstellungen!$F$13:$F$32)))*F205)</f>
        <v/>
      </c>
    </row>
  </sheetData>
  <mergeCells count="4">
    <mergeCell ref="J23:L23"/>
    <mergeCell ref="J22:L22"/>
    <mergeCell ref="J21:L21"/>
    <mergeCell ref="A2:N2"/>
  </mergeCells>
  <conditionalFormatting sqref="G6:G205">
    <cfRule type="cellIs" priority="1" operator="equal" dxfId="0">
      <formula>"ausgeschieden"</formula>
    </cfRule>
    <cfRule type="cellIs" priority="2" operator="equal" dxfId="1">
      <formula>"aktiv"</formula>
    </cfRule>
  </conditionalFormatting>
  <conditionalFormatting sqref="A6:A205">
    <cfRule type="expression" priority="3" dxfId="2">
      <formula>AND(A6&lt;&gt;"",COUNTIF($A$6:$A$205,A6)&gt;1)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4.xml><?xml version="1.0" encoding="utf-8"?>
<worksheet xmlns="http://schemas.openxmlformats.org/spreadsheetml/2006/main">
  <sheetPr>
    <tabColor rgb="00FFC000"/>
    <outlinePr summaryBelow="1" summaryRight="1"/>
    <pageSetUpPr/>
  </sheetPr>
  <dimension ref="A1:G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4" customWidth="1" min="4" max="4"/>
  </cols>
  <sheetData>
    <row r="1">
      <c r="A1" s="1" t="inlineStr">
        <is>
          <t>Gesamtstunden je Objekt und Monat</t>
        </is>
      </c>
      <c r="G1" s="12" t="inlineStr">
        <is>
          <t>→ Erklärung</t>
        </is>
      </c>
    </row>
    <row r="2" ht="28" customHeight="1">
      <c r="A2" s="13" t="inlineStr">
        <is>
          <t>Nur die gelben Felder ausfüllen: Summe aller Stunden des Monats je Objekt (z. B. aus Dienstplan/Zeiterfassung). Ob Krankstunden enthalten sind, in den Einstellungen festlegen.</t>
        </is>
      </c>
    </row>
    <row r="4" ht="30" customHeight="1">
      <c r="A4" s="21" t="inlineStr">
        <is>
          <t>Monat</t>
        </is>
      </c>
      <c r="B4" s="21">
        <f>Einstellungen!$C$4</f>
        <v/>
      </c>
      <c r="C4" s="21">
        <f>Einstellungen!$C$5</f>
        <v/>
      </c>
      <c r="D4" s="21" t="inlineStr">
        <is>
          <t>Summe</t>
        </is>
      </c>
    </row>
    <row r="5">
      <c r="A5" s="20" t="inlineStr">
        <is>
          <t>Januar</t>
        </is>
      </c>
      <c r="B5" s="41" t="n">
        <v>3944</v>
      </c>
      <c r="C5" s="41" t="n">
        <v>4764</v>
      </c>
      <c r="D5" s="31">
        <f>SUM(B5:C5)</f>
        <v/>
      </c>
    </row>
    <row r="6">
      <c r="A6" s="20" t="inlineStr">
        <is>
          <t>Februar</t>
        </is>
      </c>
      <c r="B6" s="41" t="n">
        <v>3973</v>
      </c>
      <c r="C6" s="41" t="n">
        <v>4834</v>
      </c>
      <c r="D6" s="31">
        <f>SUM(B6:C6)</f>
        <v/>
      </c>
    </row>
    <row r="7">
      <c r="A7" s="20" t="inlineStr">
        <is>
          <t>März</t>
        </is>
      </c>
      <c r="B7" s="41" t="n">
        <v>4264</v>
      </c>
      <c r="C7" s="41" t="n">
        <v>4799</v>
      </c>
      <c r="D7" s="31">
        <f>SUM(B7:C7)</f>
        <v/>
      </c>
    </row>
    <row r="8">
      <c r="A8" s="20" t="inlineStr">
        <is>
          <t>April</t>
        </is>
      </c>
      <c r="B8" s="41" t="n">
        <v>4125</v>
      </c>
      <c r="C8" s="41" t="n">
        <v>4790</v>
      </c>
      <c r="D8" s="31">
        <f>SUM(B8:C8)</f>
        <v/>
      </c>
    </row>
    <row r="9">
      <c r="A9" s="20" t="inlineStr">
        <is>
          <t>Mai</t>
        </is>
      </c>
      <c r="B9" s="41" t="n">
        <v>4080</v>
      </c>
      <c r="C9" s="41" t="n">
        <v>4598</v>
      </c>
      <c r="D9" s="31">
        <f>SUM(B9:C9)</f>
        <v/>
      </c>
    </row>
    <row r="10">
      <c r="A10" s="20" t="inlineStr">
        <is>
          <t>Juni</t>
        </is>
      </c>
      <c r="B10" s="41" t="n">
        <v>4281</v>
      </c>
      <c r="C10" s="41" t="n">
        <v>4713</v>
      </c>
      <c r="D10" s="31">
        <f>SUM(B10:C10)</f>
        <v/>
      </c>
    </row>
    <row r="11">
      <c r="A11" s="20" t="inlineStr">
        <is>
          <t>Juli</t>
        </is>
      </c>
      <c r="B11" s="41" t="n">
        <v>3950</v>
      </c>
      <c r="C11" s="41" t="n">
        <v>4415</v>
      </c>
      <c r="D11" s="31">
        <f>SUM(B11:C11)</f>
        <v/>
      </c>
    </row>
    <row r="12">
      <c r="A12" s="20" t="inlineStr">
        <is>
          <t>August</t>
        </is>
      </c>
      <c r="B12" s="41" t="n">
        <v>4186</v>
      </c>
      <c r="C12" s="41" t="n">
        <v>4844</v>
      </c>
      <c r="D12" s="31">
        <f>SUM(B12:C12)</f>
        <v/>
      </c>
    </row>
    <row r="13">
      <c r="A13" s="20" t="inlineStr">
        <is>
          <t>September</t>
        </is>
      </c>
      <c r="B13" s="41" t="n">
        <v>3983</v>
      </c>
      <c r="C13" s="41" t="n">
        <v>4942</v>
      </c>
      <c r="D13" s="31">
        <f>SUM(B13:C13)</f>
        <v/>
      </c>
    </row>
    <row r="14">
      <c r="A14" s="20" t="inlineStr">
        <is>
          <t>Oktober</t>
        </is>
      </c>
      <c r="B14" s="41" t="n"/>
      <c r="C14" s="41" t="n"/>
      <c r="D14" s="31">
        <f>SUM(B14:C14)</f>
        <v/>
      </c>
    </row>
    <row r="15">
      <c r="A15" s="20" t="inlineStr">
        <is>
          <t>November</t>
        </is>
      </c>
      <c r="B15" s="41" t="n"/>
      <c r="C15" s="41" t="n"/>
      <c r="D15" s="31">
        <f>SUM(B15:C15)</f>
        <v/>
      </c>
    </row>
    <row r="16">
      <c r="A16" s="20" t="inlineStr">
        <is>
          <t>Dezember</t>
        </is>
      </c>
      <c r="B16" s="41" t="n"/>
      <c r="C16" s="41" t="n"/>
      <c r="D16" s="31">
        <f>SUM(B16:C16)</f>
        <v/>
      </c>
    </row>
    <row r="17">
      <c r="A17" s="42" t="inlineStr">
        <is>
          <t>Jahr</t>
        </is>
      </c>
      <c r="B17" s="43">
        <f>SUM(B5:B16)</f>
        <v/>
      </c>
      <c r="C17" s="43">
        <f>SUM(C5:C16)</f>
        <v/>
      </c>
      <c r="D17" s="43">
        <f>SUM(D5:D16)</f>
        <v/>
      </c>
    </row>
  </sheetData>
  <mergeCells count="1">
    <mergeCell ref="A2:E2"/>
  </mergeCells>
  <dataValidations count="1">
    <dataValidation sqref="B5:C16" showDropDown="0" showInputMessage="0" showErrorMessage="1" allowBlank="0" error="Bitte Stunden als Zahl eingeben" type="decimal" operator="between">
      <formula1>0</formula1>
      <formula2>100000</formula2>
    </dataValidation>
  </dataValidations>
  <hyperlinks>
    <hyperlink xmlns:r="http://schemas.openxmlformats.org/officeDocument/2006/relationships" ref="G1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FC000"/>
    <outlinePr summaryBelow="1" summaryRight="1"/>
    <pageSetUpPr/>
  </sheetPr>
  <dimension ref="A1:AG206"/>
  <sheetViews>
    <sheetView showGridLines="0" workbookViewId="0">
      <pane xSplit="3" ySplit="5" topLeftCell="D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6" customWidth="1" min="3" max="3"/>
    <col width="5.5" customWidth="1" min="4" max="4"/>
    <col width="5.5" customWidth="1" min="5" max="5"/>
    <col width="5.5" customWidth="1" min="6" max="6"/>
    <col width="5.5" customWidth="1" min="7" max="7"/>
    <col width="5.5" customWidth="1" min="8" max="8"/>
    <col width="5.5" customWidth="1" min="9" max="9"/>
    <col width="5.5" customWidth="1" min="10" max="10"/>
    <col width="5.5" customWidth="1" min="11" max="11"/>
    <col width="5.5" customWidth="1" min="12" max="12"/>
    <col width="5.5" customWidth="1" min="13" max="13"/>
    <col width="5.5" customWidth="1" min="14" max="14"/>
    <col width="5.5" customWidth="1" min="15" max="15"/>
    <col width="7" customWidth="1" min="16" max="16"/>
    <col width="5.5" customWidth="1" min="17" max="17"/>
    <col width="5.5" customWidth="1" min="18" max="18"/>
    <col width="5.5" customWidth="1" min="19" max="19"/>
    <col width="5.5" customWidth="1" min="20" max="20"/>
    <col width="5.5" customWidth="1" min="21" max="21"/>
    <col width="5.5" customWidth="1" min="22" max="22"/>
    <col width="5.5" customWidth="1" min="23" max="23"/>
    <col width="5.5" customWidth="1" min="24" max="24"/>
    <col width="5.5" customWidth="1" min="25" max="25"/>
    <col width="5.5" customWidth="1" min="26" max="26"/>
    <col width="5.5" customWidth="1" min="27" max="27"/>
    <col width="5.5" customWidth="1" min="28" max="28"/>
    <col width="7" customWidth="1" min="29" max="29"/>
    <col width="9" customWidth="1" min="30" max="30"/>
    <col width="9" customWidth="1" min="31" max="31"/>
    <col hidden="1" width="13" customWidth="1" min="32" max="32"/>
    <col hidden="1" width="13" customWidth="1" min="33" max="33"/>
  </cols>
  <sheetData>
    <row r="1">
      <c r="A1" s="1" t="inlineStr">
        <is>
          <t>Krankheitstage je Mitarbeiter und Monat</t>
        </is>
      </c>
      <c r="N1" s="12" t="inlineStr">
        <is>
          <t>→ Erklärung</t>
        </is>
      </c>
      <c r="AF1" s="16">
        <f>Einstellungen!$C$3</f>
        <v/>
      </c>
    </row>
    <row r="2" ht="40" customHeight="1">
      <c r="A2" s="13" t="inlineStr">
        <is>
          <t>Je Monat die Anzahl Krankheitstage eintragen, an denen der MA eingesetzt (eingeplant) war – keine AU-Zeiträume. Linker Block = Objekt 1, rechter Block = Objekt 2 (bei Objektwechsel Tage aufteilen). Grau = nicht beschäftigt, Rot = mehr Tage als der Monat hat. Krankstunden = Tage × Std./Tag (40 Std./Woche = 8 Std.).</t>
        </is>
      </c>
    </row>
    <row r="4">
      <c r="A4" s="42" t="n"/>
      <c r="B4" s="42" t="n"/>
      <c r="C4" s="42" t="n"/>
      <c r="D4" s="44">
        <f>"Krankheitstage "&amp;Einstellungen!$C$4</f>
        <v/>
      </c>
      <c r="E4" s="45" t="n"/>
      <c r="F4" s="45" t="n"/>
      <c r="G4" s="45" t="n"/>
      <c r="H4" s="45" t="n"/>
      <c r="I4" s="45" t="n"/>
      <c r="J4" s="45" t="n"/>
      <c r="K4" s="45" t="n"/>
      <c r="L4" s="45" t="n"/>
      <c r="M4" s="45" t="n"/>
      <c r="N4" s="45" t="n"/>
      <c r="O4" s="45" t="n"/>
      <c r="P4" s="45" t="n"/>
      <c r="Q4" s="46">
        <f>"Krankheitstage "&amp;Einstellungen!$C$5</f>
        <v/>
      </c>
      <c r="R4" s="47" t="n"/>
      <c r="S4" s="47" t="n"/>
      <c r="T4" s="47" t="n"/>
      <c r="U4" s="47" t="n"/>
      <c r="V4" s="47" t="n"/>
      <c r="W4" s="47" t="n"/>
      <c r="X4" s="47" t="n"/>
      <c r="Y4" s="47" t="n"/>
      <c r="Z4" s="47" t="n"/>
      <c r="AA4" s="47" t="n"/>
      <c r="AB4" s="47" t="n"/>
      <c r="AC4" s="47" t="n"/>
      <c r="AD4" s="42" t="n"/>
      <c r="AE4" s="4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Std./
Tag</t>
        </is>
      </c>
      <c r="D5" s="44" t="inlineStr">
        <is>
          <t>Jan</t>
        </is>
      </c>
      <c r="E5" s="44" t="inlineStr">
        <is>
          <t>Feb</t>
        </is>
      </c>
      <c r="F5" s="44" t="inlineStr">
        <is>
          <t>Mär</t>
        </is>
      </c>
      <c r="G5" s="44" t="inlineStr">
        <is>
          <t>Apr</t>
        </is>
      </c>
      <c r="H5" s="44" t="inlineStr">
        <is>
          <t>Mai</t>
        </is>
      </c>
      <c r="I5" s="44" t="inlineStr">
        <is>
          <t>Jun</t>
        </is>
      </c>
      <c r="J5" s="44" t="inlineStr">
        <is>
          <t>Jul</t>
        </is>
      </c>
      <c r="K5" s="44" t="inlineStr">
        <is>
          <t>Aug</t>
        </is>
      </c>
      <c r="L5" s="44" t="inlineStr">
        <is>
          <t>Sep</t>
        </is>
      </c>
      <c r="M5" s="44" t="inlineStr">
        <is>
          <t>Okt</t>
        </is>
      </c>
      <c r="N5" s="44" t="inlineStr">
        <is>
          <t>Nov</t>
        </is>
      </c>
      <c r="O5" s="44" t="inlineStr">
        <is>
          <t>Dez</t>
        </is>
      </c>
      <c r="P5" s="44" t="inlineStr">
        <is>
          <t>Summe</t>
        </is>
      </c>
      <c r="Q5" s="46" t="inlineStr">
        <is>
          <t>Jan</t>
        </is>
      </c>
      <c r="R5" s="46" t="inlineStr">
        <is>
          <t>Feb</t>
        </is>
      </c>
      <c r="S5" s="46" t="inlineStr">
        <is>
          <t>Mär</t>
        </is>
      </c>
      <c r="T5" s="46" t="inlineStr">
        <is>
          <t>Apr</t>
        </is>
      </c>
      <c r="U5" s="46" t="inlineStr">
        <is>
          <t>Mai</t>
        </is>
      </c>
      <c r="V5" s="46" t="inlineStr">
        <is>
          <t>Jun</t>
        </is>
      </c>
      <c r="W5" s="46" t="inlineStr">
        <is>
          <t>Jul</t>
        </is>
      </c>
      <c r="X5" s="46" t="inlineStr">
        <is>
          <t>Aug</t>
        </is>
      </c>
      <c r="Y5" s="46" t="inlineStr">
        <is>
          <t>Sep</t>
        </is>
      </c>
      <c r="Z5" s="46" t="inlineStr">
        <is>
          <t>Okt</t>
        </is>
      </c>
      <c r="AA5" s="46" t="inlineStr">
        <is>
          <t>Nov</t>
        </is>
      </c>
      <c r="AB5" s="46" t="inlineStr">
        <is>
          <t>Dez</t>
        </is>
      </c>
      <c r="AC5" s="46" t="inlineStr">
        <is>
          <t>Summe</t>
        </is>
      </c>
      <c r="AD5" s="21" t="inlineStr">
        <is>
          <t>Krank-
tage ges.</t>
        </is>
      </c>
      <c r="AE5" s="21" t="inlineStr">
        <is>
          <t>Krank-
stunden</t>
        </is>
      </c>
      <c r="AF5" s="48" t="inlineStr">
        <is>
          <t>Eintritt</t>
        </is>
      </c>
      <c r="AG5" s="48" t="inlineStr">
        <is>
          <t>Austritt</t>
        </is>
      </c>
    </row>
    <row r="6">
      <c r="A6" s="49">
        <f>IF(Mitarbeiter!B6="","",Mitarbeiter!A6)</f>
        <v/>
      </c>
      <c r="B6" s="50">
        <f>IF(Mitarbeiter!B6="","",Mitarbeiter!B6)</f>
        <v/>
      </c>
      <c r="C6" s="51">
        <f>IF(Mitarbeiter!B6="","",Mitarbeiter!F6)</f>
        <v/>
      </c>
      <c r="D6" s="52" t="n"/>
      <c r="E6" s="52" t="n"/>
      <c r="F6" s="52" t="n"/>
      <c r="G6" s="52" t="n"/>
      <c r="H6" s="52" t="n"/>
      <c r="I6" s="52" t="n">
        <v>7</v>
      </c>
      <c r="J6" s="52" t="n"/>
      <c r="K6" s="52" t="n"/>
      <c r="L6" s="52" t="n"/>
      <c r="M6" s="52" t="n"/>
      <c r="N6" s="52" t="n"/>
      <c r="O6" s="52" t="n"/>
      <c r="P6" s="25">
        <f>IF($B6="","",SUM(D6:O6))</f>
        <v/>
      </c>
      <c r="Q6" s="52" t="n"/>
      <c r="R6" s="52" t="n"/>
      <c r="S6" s="52" t="n"/>
      <c r="T6" s="52" t="n"/>
      <c r="U6" s="52" t="n"/>
      <c r="V6" s="52" t="n"/>
      <c r="W6" s="52" t="n"/>
      <c r="X6" s="52" t="n"/>
      <c r="Y6" s="52" t="n"/>
      <c r="Z6" s="52" t="n"/>
      <c r="AA6" s="52" t="n"/>
      <c r="AB6" s="52" t="n"/>
      <c r="AC6" s="25">
        <f>IF($B6="","",SUM(Q6:AB6))</f>
        <v/>
      </c>
      <c r="AD6" s="25">
        <f>IF($B6="","",SUM(P6,AC6))</f>
        <v/>
      </c>
      <c r="AE6" s="37">
        <f>IF($B6="","",AD6*N(C6))</f>
        <v/>
      </c>
      <c r="AF6" s="53">
        <f>IF(Mitarbeiter!B6="","",Mitarbeiter!C6)</f>
        <v/>
      </c>
      <c r="AG6" s="53">
        <f>IF(OR(Mitarbeiter!B6="",Mitarbeiter!D6=""),"",Mitarbeiter!D6)</f>
        <v/>
      </c>
    </row>
    <row r="7">
      <c r="A7" s="49">
        <f>IF(Mitarbeiter!B7="","",Mitarbeiter!A7)</f>
        <v/>
      </c>
      <c r="B7" s="50">
        <f>IF(Mitarbeiter!B7="","",Mitarbeiter!B7)</f>
        <v/>
      </c>
      <c r="C7" s="51">
        <f>IF(Mitarbeiter!B7="","",Mitarbeiter!F7)</f>
        <v/>
      </c>
      <c r="D7" s="52" t="n"/>
      <c r="E7" s="52" t="n">
        <v>5</v>
      </c>
      <c r="F7" s="52" t="n"/>
      <c r="G7" s="52" t="n"/>
      <c r="H7" s="52" t="n"/>
      <c r="I7" s="52" t="n"/>
      <c r="J7" s="52" t="n"/>
      <c r="K7" s="52" t="n"/>
      <c r="L7" s="52" t="n"/>
      <c r="M7" s="52" t="n"/>
      <c r="N7" s="52" t="n"/>
      <c r="O7" s="52" t="n"/>
      <c r="P7" s="25">
        <f>IF($B7="","",SUM(D7:O7))</f>
        <v/>
      </c>
      <c r="Q7" s="52" t="n"/>
      <c r="R7" s="52" t="n"/>
      <c r="S7" s="52" t="n"/>
      <c r="T7" s="52" t="n"/>
      <c r="U7" s="52" t="n"/>
      <c r="V7" s="52" t="n">
        <v>3</v>
      </c>
      <c r="W7" s="52" t="n"/>
      <c r="X7" s="52" t="n"/>
      <c r="Y7" s="52" t="n"/>
      <c r="Z7" s="52" t="n"/>
      <c r="AA7" s="52" t="n"/>
      <c r="AB7" s="52" t="n"/>
      <c r="AC7" s="25">
        <f>IF($B7="","",SUM(Q7:AB7))</f>
        <v/>
      </c>
      <c r="AD7" s="25">
        <f>IF($B7="","",SUM(P7,AC7))</f>
        <v/>
      </c>
      <c r="AE7" s="37">
        <f>IF($B7="","",AD7*N(C7))</f>
        <v/>
      </c>
      <c r="AF7" s="53">
        <f>IF(Mitarbeiter!B7="","",Mitarbeiter!C7)</f>
        <v/>
      </c>
      <c r="AG7" s="53">
        <f>IF(OR(Mitarbeiter!B7="",Mitarbeiter!D7=""),"",Mitarbeiter!D7)</f>
        <v/>
      </c>
    </row>
    <row r="8">
      <c r="A8" s="49">
        <f>IF(Mitarbeiter!B8="","",Mitarbeiter!A8)</f>
        <v/>
      </c>
      <c r="B8" s="50">
        <f>IF(Mitarbeiter!B8="","",Mitarbeiter!B8)</f>
        <v/>
      </c>
      <c r="C8" s="51">
        <f>IF(Mitarbeiter!B8="","",Mitarbeiter!F8)</f>
        <v/>
      </c>
      <c r="D8" s="52" t="n"/>
      <c r="E8" s="52" t="n">
        <v>1</v>
      </c>
      <c r="F8" s="52" t="n"/>
      <c r="G8" s="52" t="n">
        <v>5</v>
      </c>
      <c r="H8" s="52" t="n"/>
      <c r="I8" s="52" t="n"/>
      <c r="J8" s="52" t="n"/>
      <c r="K8" s="52" t="n"/>
      <c r="L8" s="52" t="n"/>
      <c r="M8" s="52" t="n"/>
      <c r="N8" s="52" t="n"/>
      <c r="O8" s="52" t="n"/>
      <c r="P8" s="25">
        <f>IF($B8="","",SUM(D8:O8))</f>
        <v/>
      </c>
      <c r="Q8" s="52" t="n"/>
      <c r="R8" s="52" t="n"/>
      <c r="S8" s="52" t="n">
        <v>12</v>
      </c>
      <c r="T8" s="52" t="n">
        <v>3</v>
      </c>
      <c r="U8" s="52" t="n"/>
      <c r="V8" s="52" t="n"/>
      <c r="W8" s="52" t="n"/>
      <c r="X8" s="52" t="n">
        <v>5</v>
      </c>
      <c r="Y8" s="52" t="n"/>
      <c r="Z8" s="52" t="n"/>
      <c r="AA8" s="52" t="n"/>
      <c r="AB8" s="52" t="n"/>
      <c r="AC8" s="25">
        <f>IF($B8="","",SUM(Q8:AB8))</f>
        <v/>
      </c>
      <c r="AD8" s="25">
        <f>IF($B8="","",SUM(P8,AC8))</f>
        <v/>
      </c>
      <c r="AE8" s="37">
        <f>IF($B8="","",AD8*N(C8))</f>
        <v/>
      </c>
      <c r="AF8" s="53">
        <f>IF(Mitarbeiter!B8="","",Mitarbeiter!C8)</f>
        <v/>
      </c>
      <c r="AG8" s="53">
        <f>IF(OR(Mitarbeiter!B8="",Mitarbeiter!D8=""),"",Mitarbeiter!D8)</f>
        <v/>
      </c>
    </row>
    <row r="9">
      <c r="A9" s="49">
        <f>IF(Mitarbeiter!B9="","",Mitarbeiter!A9)</f>
        <v/>
      </c>
      <c r="B9" s="50">
        <f>IF(Mitarbeiter!B9="","",Mitarbeiter!B9)</f>
        <v/>
      </c>
      <c r="C9" s="51">
        <f>IF(Mitarbeiter!B9="","",Mitarbeiter!F9)</f>
        <v/>
      </c>
      <c r="D9" s="52" t="n">
        <v>12</v>
      </c>
      <c r="E9" s="52" t="n"/>
      <c r="F9" s="52" t="n">
        <v>3</v>
      </c>
      <c r="G9" s="52" t="n"/>
      <c r="H9" s="52" t="n"/>
      <c r="I9" s="52" t="n"/>
      <c r="J9" s="52" t="n"/>
      <c r="K9" s="52" t="n"/>
      <c r="L9" s="52" t="n"/>
      <c r="M9" s="52" t="n"/>
      <c r="N9" s="52" t="n"/>
      <c r="O9" s="52" t="n"/>
      <c r="P9" s="25">
        <f>IF($B9="","",SUM(D9:O9))</f>
        <v/>
      </c>
      <c r="Q9" s="52" t="n"/>
      <c r="R9" s="52" t="n"/>
      <c r="S9" s="52" t="n"/>
      <c r="T9" s="52" t="n"/>
      <c r="U9" s="52" t="n"/>
      <c r="V9" s="52" t="n"/>
      <c r="W9" s="52" t="n"/>
      <c r="X9" s="52" t="n">
        <v>3</v>
      </c>
      <c r="Y9" s="52" t="n"/>
      <c r="Z9" s="52" t="n"/>
      <c r="AA9" s="52" t="n"/>
      <c r="AB9" s="52" t="n"/>
      <c r="AC9" s="25">
        <f>IF($B9="","",SUM(Q9:AB9))</f>
        <v/>
      </c>
      <c r="AD9" s="25">
        <f>IF($B9="","",SUM(P9,AC9))</f>
        <v/>
      </c>
      <c r="AE9" s="37">
        <f>IF($B9="","",AD9*N(C9))</f>
        <v/>
      </c>
      <c r="AF9" s="53">
        <f>IF(Mitarbeiter!B9="","",Mitarbeiter!C9)</f>
        <v/>
      </c>
      <c r="AG9" s="53">
        <f>IF(OR(Mitarbeiter!B9="",Mitarbeiter!D9=""),"",Mitarbeiter!D9)</f>
        <v/>
      </c>
    </row>
    <row r="10">
      <c r="A10" s="49">
        <f>IF(Mitarbeiter!B10="","",Mitarbeiter!A10)</f>
        <v/>
      </c>
      <c r="B10" s="50">
        <f>IF(Mitarbeiter!B10="","",Mitarbeiter!B10)</f>
        <v/>
      </c>
      <c r="C10" s="51">
        <f>IF(Mitarbeiter!B10="","",Mitarbeiter!F10)</f>
        <v/>
      </c>
      <c r="D10" s="52" t="n"/>
      <c r="E10" s="52" t="n"/>
      <c r="F10" s="52" t="n"/>
      <c r="G10" s="52" t="n">
        <v>1</v>
      </c>
      <c r="H10" s="52" t="n"/>
      <c r="I10" s="52" t="n">
        <v>1</v>
      </c>
      <c r="J10" s="52" t="n"/>
      <c r="K10" s="52" t="n"/>
      <c r="L10" s="52" t="n"/>
      <c r="M10" s="52" t="n"/>
      <c r="N10" s="52" t="n"/>
      <c r="O10" s="52" t="n"/>
      <c r="P10" s="25">
        <f>IF($B10="","",SUM(D10:O10))</f>
        <v/>
      </c>
      <c r="Q10" s="52" t="n"/>
      <c r="R10" s="52" t="n"/>
      <c r="S10" s="52" t="n"/>
      <c r="T10" s="52" t="n"/>
      <c r="U10" s="52" t="n"/>
      <c r="V10" s="52" t="n"/>
      <c r="W10" s="52" t="n"/>
      <c r="X10" s="52" t="n"/>
      <c r="Y10" s="52" t="n"/>
      <c r="Z10" s="52" t="n"/>
      <c r="AA10" s="52" t="n"/>
      <c r="AB10" s="52" t="n"/>
      <c r="AC10" s="25">
        <f>IF($B10="","",SUM(Q10:AB10))</f>
        <v/>
      </c>
      <c r="AD10" s="25">
        <f>IF($B10="","",SUM(P10,AC10))</f>
        <v/>
      </c>
      <c r="AE10" s="37">
        <f>IF($B10="","",AD10*N(C10))</f>
        <v/>
      </c>
      <c r="AF10" s="53">
        <f>IF(Mitarbeiter!B10="","",Mitarbeiter!C10)</f>
        <v/>
      </c>
      <c r="AG10" s="53">
        <f>IF(OR(Mitarbeiter!B10="",Mitarbeiter!D10=""),"",Mitarbeiter!D10)</f>
        <v/>
      </c>
    </row>
    <row r="11">
      <c r="A11" s="49">
        <f>IF(Mitarbeiter!B11="","",Mitarbeiter!A11)</f>
        <v/>
      </c>
      <c r="B11" s="50">
        <f>IF(Mitarbeiter!B11="","",Mitarbeiter!B11)</f>
        <v/>
      </c>
      <c r="C11" s="51">
        <f>IF(Mitarbeiter!B11="","",Mitarbeiter!F11)</f>
        <v/>
      </c>
      <c r="D11" s="52" t="n"/>
      <c r="E11" s="52" t="n">
        <v>3</v>
      </c>
      <c r="F11" s="52" t="n"/>
      <c r="G11" s="52" t="n"/>
      <c r="H11" s="52" t="n"/>
      <c r="I11" s="52" t="n"/>
      <c r="J11" s="52" t="n"/>
      <c r="K11" s="52" t="n">
        <v>1</v>
      </c>
      <c r="L11" s="52" t="n"/>
      <c r="M11" s="52" t="n"/>
      <c r="N11" s="52" t="n"/>
      <c r="O11" s="52" t="n"/>
      <c r="P11" s="25">
        <f>IF($B11="","",SUM(D11:O11))</f>
        <v/>
      </c>
      <c r="Q11" s="52" t="n"/>
      <c r="R11" s="52" t="n"/>
      <c r="S11" s="52" t="n"/>
      <c r="T11" s="52" t="n"/>
      <c r="U11" s="52" t="n"/>
      <c r="V11" s="52" t="n"/>
      <c r="W11" s="52" t="n"/>
      <c r="X11" s="52" t="n">
        <v>5</v>
      </c>
      <c r="Y11" s="52" t="n"/>
      <c r="Z11" s="52" t="n"/>
      <c r="AA11" s="52" t="n"/>
      <c r="AB11" s="52" t="n"/>
      <c r="AC11" s="25">
        <f>IF($B11="","",SUM(Q11:AB11))</f>
        <v/>
      </c>
      <c r="AD11" s="25">
        <f>IF($B11="","",SUM(P11,AC11))</f>
        <v/>
      </c>
      <c r="AE11" s="37">
        <f>IF($B11="","",AD11*N(C11))</f>
        <v/>
      </c>
      <c r="AF11" s="53">
        <f>IF(Mitarbeiter!B11="","",Mitarbeiter!C11)</f>
        <v/>
      </c>
      <c r="AG11" s="53">
        <f>IF(OR(Mitarbeiter!B11="",Mitarbeiter!D11=""),"",Mitarbeiter!D11)</f>
        <v/>
      </c>
    </row>
    <row r="12">
      <c r="A12" s="49">
        <f>IF(Mitarbeiter!B12="","",Mitarbeiter!A12)</f>
        <v/>
      </c>
      <c r="B12" s="50">
        <f>IF(Mitarbeiter!B12="","",Mitarbeiter!B12)</f>
        <v/>
      </c>
      <c r="C12" s="51">
        <f>IF(Mitarbeiter!B12="","",Mitarbeiter!F12)</f>
        <v/>
      </c>
      <c r="D12" s="52" t="n"/>
      <c r="E12" s="52" t="n">
        <v>19</v>
      </c>
      <c r="F12" s="52" t="n"/>
      <c r="G12" s="52" t="n"/>
      <c r="H12" s="52" t="n"/>
      <c r="I12" s="52" t="n"/>
      <c r="J12" s="52" t="n"/>
      <c r="K12" s="52" t="n"/>
      <c r="L12" s="52" t="n"/>
      <c r="M12" s="52" t="n"/>
      <c r="N12" s="52" t="n"/>
      <c r="O12" s="52" t="n"/>
      <c r="P12" s="25">
        <f>IF($B12="","",SUM(D12:O12))</f>
        <v/>
      </c>
      <c r="Q12" s="52" t="n"/>
      <c r="R12" s="52" t="n"/>
      <c r="S12" s="52" t="n"/>
      <c r="T12" s="52" t="n"/>
      <c r="U12" s="52" t="n">
        <v>3</v>
      </c>
      <c r="V12" s="52" t="n"/>
      <c r="W12" s="52" t="n"/>
      <c r="X12" s="52" t="n"/>
      <c r="Y12" s="52" t="n"/>
      <c r="Z12" s="52" t="n"/>
      <c r="AA12" s="52" t="n"/>
      <c r="AB12" s="52" t="n"/>
      <c r="AC12" s="25">
        <f>IF($B12="","",SUM(Q12:AB12))</f>
        <v/>
      </c>
      <c r="AD12" s="25">
        <f>IF($B12="","",SUM(P12,AC12))</f>
        <v/>
      </c>
      <c r="AE12" s="37">
        <f>IF($B12="","",AD12*N(C12))</f>
        <v/>
      </c>
      <c r="AF12" s="53">
        <f>IF(Mitarbeiter!B12="","",Mitarbeiter!C12)</f>
        <v/>
      </c>
      <c r="AG12" s="53">
        <f>IF(OR(Mitarbeiter!B12="",Mitarbeiter!D12=""),"",Mitarbeiter!D12)</f>
        <v/>
      </c>
    </row>
    <row r="13">
      <c r="A13" s="49">
        <f>IF(Mitarbeiter!B13="","",Mitarbeiter!A13)</f>
        <v/>
      </c>
      <c r="B13" s="50">
        <f>IF(Mitarbeiter!B13="","",Mitarbeiter!B13)</f>
        <v/>
      </c>
      <c r="C13" s="51">
        <f>IF(Mitarbeiter!B13="","",Mitarbeiter!F13)</f>
        <v/>
      </c>
      <c r="D13" s="52" t="n"/>
      <c r="E13" s="52" t="n"/>
      <c r="F13" s="52" t="n"/>
      <c r="G13" s="52" t="n"/>
      <c r="H13" s="52" t="n"/>
      <c r="I13" s="52" t="n"/>
      <c r="J13" s="52" t="n"/>
      <c r="K13" s="52" t="n"/>
      <c r="L13" s="52" t="n">
        <v>3</v>
      </c>
      <c r="M13" s="52" t="n"/>
      <c r="N13" s="52" t="n"/>
      <c r="O13" s="52" t="n"/>
      <c r="P13" s="25">
        <f>IF($B13="","",SUM(D13:O13))</f>
        <v/>
      </c>
      <c r="Q13" s="52" t="n"/>
      <c r="R13" s="52" t="n"/>
      <c r="S13" s="52" t="n"/>
      <c r="T13" s="52" t="n"/>
      <c r="U13" s="52" t="n"/>
      <c r="V13" s="52" t="n"/>
      <c r="W13" s="52" t="n"/>
      <c r="X13" s="52" t="n">
        <v>2</v>
      </c>
      <c r="Y13" s="52" t="n"/>
      <c r="Z13" s="52" t="n"/>
      <c r="AA13" s="52" t="n"/>
      <c r="AB13" s="52" t="n"/>
      <c r="AC13" s="25">
        <f>IF($B13="","",SUM(Q13:AB13))</f>
        <v/>
      </c>
      <c r="AD13" s="25">
        <f>IF($B13="","",SUM(P13,AC13))</f>
        <v/>
      </c>
      <c r="AE13" s="37">
        <f>IF($B13="","",AD13*N(C13))</f>
        <v/>
      </c>
      <c r="AF13" s="53">
        <f>IF(Mitarbeiter!B13="","",Mitarbeiter!C13)</f>
        <v/>
      </c>
      <c r="AG13" s="53">
        <f>IF(OR(Mitarbeiter!B13="",Mitarbeiter!D13=""),"",Mitarbeiter!D13)</f>
        <v/>
      </c>
    </row>
    <row r="14">
      <c r="A14" s="49">
        <f>IF(Mitarbeiter!B14="","",Mitarbeiter!A14)</f>
        <v/>
      </c>
      <c r="B14" s="50">
        <f>IF(Mitarbeiter!B14="","",Mitarbeiter!B14)</f>
        <v/>
      </c>
      <c r="C14" s="51">
        <f>IF(Mitarbeiter!B14="","",Mitarbeiter!F14)</f>
        <v/>
      </c>
      <c r="D14" s="52" t="n"/>
      <c r="E14" s="52" t="n"/>
      <c r="F14" s="52" t="n"/>
      <c r="G14" s="52" t="n"/>
      <c r="H14" s="52" t="n">
        <v>3</v>
      </c>
      <c r="I14" s="52" t="n"/>
      <c r="J14" s="52" t="n"/>
      <c r="K14" s="52" t="n"/>
      <c r="L14" s="52" t="n"/>
      <c r="M14" s="52" t="n"/>
      <c r="N14" s="52" t="n"/>
      <c r="O14" s="52" t="n"/>
      <c r="P14" s="25">
        <f>IF($B14="","",SUM(D14:O14))</f>
        <v/>
      </c>
      <c r="Q14" s="52" t="n"/>
      <c r="R14" s="52" t="n"/>
      <c r="S14" s="52" t="n"/>
      <c r="T14" s="52" t="n"/>
      <c r="U14" s="52" t="n"/>
      <c r="V14" s="52" t="n">
        <v>8</v>
      </c>
      <c r="W14" s="52" t="n">
        <v>1</v>
      </c>
      <c r="X14" s="52" t="n"/>
      <c r="Y14" s="52" t="n">
        <v>1</v>
      </c>
      <c r="Z14" s="52" t="n"/>
      <c r="AA14" s="52" t="n"/>
      <c r="AB14" s="52" t="n"/>
      <c r="AC14" s="25">
        <f>IF($B14="","",SUM(Q14:AB14))</f>
        <v/>
      </c>
      <c r="AD14" s="25">
        <f>IF($B14="","",SUM(P14,AC14))</f>
        <v/>
      </c>
      <c r="AE14" s="37">
        <f>IF($B14="","",AD14*N(C14))</f>
        <v/>
      </c>
      <c r="AF14" s="53">
        <f>IF(Mitarbeiter!B14="","",Mitarbeiter!C14)</f>
        <v/>
      </c>
      <c r="AG14" s="53">
        <f>IF(OR(Mitarbeiter!B14="",Mitarbeiter!D14=""),"",Mitarbeiter!D14)</f>
        <v/>
      </c>
    </row>
    <row r="15">
      <c r="A15" s="49">
        <f>IF(Mitarbeiter!B15="","",Mitarbeiter!A15)</f>
        <v/>
      </c>
      <c r="B15" s="50">
        <f>IF(Mitarbeiter!B15="","",Mitarbeiter!B15)</f>
        <v/>
      </c>
      <c r="C15" s="51">
        <f>IF(Mitarbeiter!B15="","",Mitarbeiter!F15)</f>
        <v/>
      </c>
      <c r="D15" s="52" t="n"/>
      <c r="E15" s="52" t="n"/>
      <c r="F15" s="52" t="n"/>
      <c r="G15" s="52" t="n"/>
      <c r="H15" s="52" t="n"/>
      <c r="I15" s="52" t="n"/>
      <c r="J15" s="52" t="n"/>
      <c r="K15" s="52" t="n"/>
      <c r="L15" s="52" t="n"/>
      <c r="M15" s="52" t="n"/>
      <c r="N15" s="52" t="n"/>
      <c r="O15" s="52" t="n"/>
      <c r="P15" s="25">
        <f>IF($B15="","",SUM(D15:O15))</f>
        <v/>
      </c>
      <c r="Q15" s="52" t="n"/>
      <c r="R15" s="52" t="n"/>
      <c r="S15" s="52" t="n"/>
      <c r="T15" s="52" t="n"/>
      <c r="U15" s="52" t="n"/>
      <c r="V15" s="52" t="n"/>
      <c r="W15" s="52" t="n"/>
      <c r="X15" s="52" t="n"/>
      <c r="Y15" s="52" t="n"/>
      <c r="Z15" s="52" t="n"/>
      <c r="AA15" s="52" t="n"/>
      <c r="AB15" s="52" t="n"/>
      <c r="AC15" s="25">
        <f>IF($B15="","",SUM(Q15:AB15))</f>
        <v/>
      </c>
      <c r="AD15" s="25">
        <f>IF($B15="","",SUM(P15,AC15))</f>
        <v/>
      </c>
      <c r="AE15" s="37">
        <f>IF($B15="","",AD15*N(C15))</f>
        <v/>
      </c>
      <c r="AF15" s="53">
        <f>IF(Mitarbeiter!B15="","",Mitarbeiter!C15)</f>
        <v/>
      </c>
      <c r="AG15" s="53">
        <f>IF(OR(Mitarbeiter!B15="",Mitarbeiter!D15=""),"",Mitarbeiter!D15)</f>
        <v/>
      </c>
    </row>
    <row r="16">
      <c r="A16" s="49">
        <f>IF(Mitarbeiter!B16="","",Mitarbeiter!A16)</f>
        <v/>
      </c>
      <c r="B16" s="50">
        <f>IF(Mitarbeiter!B16="","",Mitarbeiter!B16)</f>
        <v/>
      </c>
      <c r="C16" s="51">
        <f>IF(Mitarbeiter!B16="","",Mitarbeiter!F16)</f>
        <v/>
      </c>
      <c r="D16" s="52" t="n"/>
      <c r="E16" s="52" t="n"/>
      <c r="F16" s="52" t="n">
        <v>3</v>
      </c>
      <c r="G16" s="52" t="n">
        <v>1</v>
      </c>
      <c r="H16" s="52" t="n"/>
      <c r="I16" s="52" t="n"/>
      <c r="J16" s="52" t="n"/>
      <c r="K16" s="52" t="n">
        <v>5</v>
      </c>
      <c r="L16" s="52" t="n">
        <v>3</v>
      </c>
      <c r="M16" s="52" t="n"/>
      <c r="N16" s="52" t="n"/>
      <c r="O16" s="52" t="n"/>
      <c r="P16" s="25">
        <f>IF($B16="","",SUM(D16:O16))</f>
        <v/>
      </c>
      <c r="Q16" s="52" t="n">
        <v>5</v>
      </c>
      <c r="R16" s="52" t="n"/>
      <c r="S16" s="52" t="n"/>
      <c r="T16" s="52" t="n"/>
      <c r="U16" s="52" t="n"/>
      <c r="V16" s="52" t="n"/>
      <c r="W16" s="52" t="n"/>
      <c r="X16" s="52" t="n"/>
      <c r="Y16" s="52" t="n"/>
      <c r="Z16" s="52" t="n"/>
      <c r="AA16" s="52" t="n"/>
      <c r="AB16" s="52" t="n"/>
      <c r="AC16" s="25">
        <f>IF($B16="","",SUM(Q16:AB16))</f>
        <v/>
      </c>
      <c r="AD16" s="25">
        <f>IF($B16="","",SUM(P16,AC16))</f>
        <v/>
      </c>
      <c r="AE16" s="37">
        <f>IF($B16="","",AD16*N(C16))</f>
        <v/>
      </c>
      <c r="AF16" s="53">
        <f>IF(Mitarbeiter!B16="","",Mitarbeiter!C16)</f>
        <v/>
      </c>
      <c r="AG16" s="53">
        <f>IF(OR(Mitarbeiter!B16="",Mitarbeiter!D16=""),"",Mitarbeiter!D16)</f>
        <v/>
      </c>
    </row>
    <row r="17">
      <c r="A17" s="49">
        <f>IF(Mitarbeiter!B17="","",Mitarbeiter!A17)</f>
        <v/>
      </c>
      <c r="B17" s="50">
        <f>IF(Mitarbeiter!B17="","",Mitarbeiter!B17)</f>
        <v/>
      </c>
      <c r="C17" s="51">
        <f>IF(Mitarbeiter!B17="","",Mitarbeiter!F17)</f>
        <v/>
      </c>
      <c r="D17" s="52" t="n"/>
      <c r="E17" s="52" t="n"/>
      <c r="F17" s="52" t="n"/>
      <c r="G17" s="52" t="n"/>
      <c r="H17" s="52" t="n"/>
      <c r="I17" s="52" t="n"/>
      <c r="J17" s="52" t="n"/>
      <c r="K17" s="52" t="n"/>
      <c r="L17" s="52" t="n"/>
      <c r="M17" s="52" t="n"/>
      <c r="N17" s="52" t="n"/>
      <c r="O17" s="52" t="n"/>
      <c r="P17" s="25">
        <f>IF($B17="","",SUM(D17:O17))</f>
        <v/>
      </c>
      <c r="Q17" s="52" t="n"/>
      <c r="R17" s="52" t="n"/>
      <c r="S17" s="52" t="n"/>
      <c r="T17" s="52" t="n"/>
      <c r="U17" s="52" t="n"/>
      <c r="V17" s="52" t="n"/>
      <c r="W17" s="52" t="n"/>
      <c r="X17" s="52" t="n"/>
      <c r="Y17" s="52" t="n"/>
      <c r="Z17" s="52" t="n"/>
      <c r="AA17" s="52" t="n"/>
      <c r="AB17" s="52" t="n"/>
      <c r="AC17" s="25">
        <f>IF($B17="","",SUM(Q17:AB17))</f>
        <v/>
      </c>
      <c r="AD17" s="25">
        <f>IF($B17="","",SUM(P17,AC17))</f>
        <v/>
      </c>
      <c r="AE17" s="37">
        <f>IF($B17="","",AD17*N(C17))</f>
        <v/>
      </c>
      <c r="AF17" s="53">
        <f>IF(Mitarbeiter!B17="","",Mitarbeiter!C17)</f>
        <v/>
      </c>
      <c r="AG17" s="53">
        <f>IF(OR(Mitarbeiter!B17="",Mitarbeiter!D17=""),"",Mitarbeiter!D17)</f>
        <v/>
      </c>
    </row>
    <row r="18">
      <c r="A18" s="49">
        <f>IF(Mitarbeiter!B18="","",Mitarbeiter!A18)</f>
        <v/>
      </c>
      <c r="B18" s="50">
        <f>IF(Mitarbeiter!B18="","",Mitarbeiter!B18)</f>
        <v/>
      </c>
      <c r="C18" s="51">
        <f>IF(Mitarbeiter!B18="","",Mitarbeiter!F18)</f>
        <v/>
      </c>
      <c r="D18" s="52" t="n"/>
      <c r="E18" s="52" t="n"/>
      <c r="F18" s="52" t="n"/>
      <c r="G18" s="52" t="n"/>
      <c r="H18" s="52" t="n"/>
      <c r="I18" s="52" t="n"/>
      <c r="J18" s="52" t="n"/>
      <c r="K18" s="52" t="n"/>
      <c r="L18" s="52" t="n"/>
      <c r="M18" s="52" t="n"/>
      <c r="N18" s="52" t="n"/>
      <c r="O18" s="52" t="n"/>
      <c r="P18" s="25">
        <f>IF($B18="","",SUM(D18:O18))</f>
        <v/>
      </c>
      <c r="Q18" s="52" t="n"/>
      <c r="R18" s="52" t="n"/>
      <c r="S18" s="52" t="n">
        <v>6</v>
      </c>
      <c r="T18" s="52" t="n"/>
      <c r="U18" s="52" t="n"/>
      <c r="V18" s="52" t="n"/>
      <c r="W18" s="52" t="n"/>
      <c r="X18" s="52" t="n"/>
      <c r="Y18" s="52" t="n"/>
      <c r="Z18" s="52" t="n"/>
      <c r="AA18" s="52" t="n"/>
      <c r="AB18" s="52" t="n"/>
      <c r="AC18" s="25">
        <f>IF($B18="","",SUM(Q18:AB18))</f>
        <v/>
      </c>
      <c r="AD18" s="25">
        <f>IF($B18="","",SUM(P18,AC18))</f>
        <v/>
      </c>
      <c r="AE18" s="37">
        <f>IF($B18="","",AD18*N(C18))</f>
        <v/>
      </c>
      <c r="AF18" s="53">
        <f>IF(Mitarbeiter!B18="","",Mitarbeiter!C18)</f>
        <v/>
      </c>
      <c r="AG18" s="53">
        <f>IF(OR(Mitarbeiter!B18="",Mitarbeiter!D18=""),"",Mitarbeiter!D18)</f>
        <v/>
      </c>
    </row>
    <row r="19">
      <c r="A19" s="49">
        <f>IF(Mitarbeiter!B19="","",Mitarbeiter!A19)</f>
        <v/>
      </c>
      <c r="B19" s="50">
        <f>IF(Mitarbeiter!B19="","",Mitarbeiter!B19)</f>
        <v/>
      </c>
      <c r="C19" s="51">
        <f>IF(Mitarbeiter!B19="","",Mitarbeiter!F19)</f>
        <v/>
      </c>
      <c r="D19" s="52" t="n"/>
      <c r="E19" s="52" t="n"/>
      <c r="F19" s="52" t="n"/>
      <c r="G19" s="52" t="n"/>
      <c r="H19" s="52" t="n"/>
      <c r="I19" s="52" t="n"/>
      <c r="J19" s="52" t="n"/>
      <c r="K19" s="52" t="n"/>
      <c r="L19" s="52" t="n"/>
      <c r="M19" s="52" t="n"/>
      <c r="N19" s="52" t="n"/>
      <c r="O19" s="52" t="n"/>
      <c r="P19" s="25">
        <f>IF($B19="","",SUM(D19:O19))</f>
        <v/>
      </c>
      <c r="Q19" s="52" t="n"/>
      <c r="R19" s="52" t="n"/>
      <c r="S19" s="52" t="n"/>
      <c r="T19" s="52" t="n"/>
      <c r="U19" s="52" t="n"/>
      <c r="V19" s="52" t="n"/>
      <c r="W19" s="52" t="n"/>
      <c r="X19" s="52" t="n"/>
      <c r="Y19" s="52" t="n"/>
      <c r="Z19" s="52" t="n"/>
      <c r="AA19" s="52" t="n"/>
      <c r="AB19" s="52" t="n"/>
      <c r="AC19" s="25">
        <f>IF($B19="","",SUM(Q19:AB19))</f>
        <v/>
      </c>
      <c r="AD19" s="25">
        <f>IF($B19="","",SUM(P19,AC19))</f>
        <v/>
      </c>
      <c r="AE19" s="37">
        <f>IF($B19="","",AD19*N(C19))</f>
        <v/>
      </c>
      <c r="AF19" s="53">
        <f>IF(Mitarbeiter!B19="","",Mitarbeiter!C19)</f>
        <v/>
      </c>
      <c r="AG19" s="53">
        <f>IF(OR(Mitarbeiter!B19="",Mitarbeiter!D19=""),"",Mitarbeiter!D19)</f>
        <v/>
      </c>
    </row>
    <row r="20">
      <c r="A20" s="49">
        <f>IF(Mitarbeiter!B20="","",Mitarbeiter!A20)</f>
        <v/>
      </c>
      <c r="B20" s="50">
        <f>IF(Mitarbeiter!B20="","",Mitarbeiter!B20)</f>
        <v/>
      </c>
      <c r="C20" s="51">
        <f>IF(Mitarbeiter!B20="","",Mitarbeiter!F20)</f>
        <v/>
      </c>
      <c r="D20" s="52" t="n"/>
      <c r="E20" s="52" t="n">
        <v>3</v>
      </c>
      <c r="F20" s="52" t="n">
        <v>1</v>
      </c>
      <c r="G20" s="52" t="n"/>
      <c r="H20" s="52" t="n"/>
      <c r="I20" s="52" t="n"/>
      <c r="J20" s="52" t="n"/>
      <c r="K20" s="52" t="n"/>
      <c r="L20" s="52" t="n"/>
      <c r="M20" s="52" t="n"/>
      <c r="N20" s="52" t="n"/>
      <c r="O20" s="52" t="n"/>
      <c r="P20" s="25">
        <f>IF($B20="","",SUM(D20:O20))</f>
        <v/>
      </c>
      <c r="Q20" s="52" t="n"/>
      <c r="R20" s="52" t="n"/>
      <c r="S20" s="52" t="n"/>
      <c r="T20" s="52" t="n"/>
      <c r="U20" s="52" t="n"/>
      <c r="V20" s="52" t="n"/>
      <c r="W20" s="52" t="n"/>
      <c r="X20" s="52" t="n"/>
      <c r="Y20" s="52" t="n"/>
      <c r="Z20" s="52" t="n"/>
      <c r="AA20" s="52" t="n"/>
      <c r="AB20" s="52" t="n"/>
      <c r="AC20" s="25">
        <f>IF($B20="","",SUM(Q20:AB20))</f>
        <v/>
      </c>
      <c r="AD20" s="25">
        <f>IF($B20="","",SUM(P20,AC20))</f>
        <v/>
      </c>
      <c r="AE20" s="37">
        <f>IF($B20="","",AD20*N(C20))</f>
        <v/>
      </c>
      <c r="AF20" s="53">
        <f>IF(Mitarbeiter!B20="","",Mitarbeiter!C20)</f>
        <v/>
      </c>
      <c r="AG20" s="53">
        <f>IF(OR(Mitarbeiter!B20="",Mitarbeiter!D20=""),"",Mitarbeiter!D20)</f>
        <v/>
      </c>
    </row>
    <row r="21">
      <c r="A21" s="49">
        <f>IF(Mitarbeiter!B21="","",Mitarbeiter!A21)</f>
        <v/>
      </c>
      <c r="B21" s="50">
        <f>IF(Mitarbeiter!B21="","",Mitarbeiter!B21)</f>
        <v/>
      </c>
      <c r="C21" s="51">
        <f>IF(Mitarbeiter!B21="","",Mitarbeiter!F21)</f>
        <v/>
      </c>
      <c r="D21" s="52" t="n"/>
      <c r="E21" s="52" t="n"/>
      <c r="F21" s="52" t="n"/>
      <c r="G21" s="52" t="n"/>
      <c r="H21" s="52" t="n"/>
      <c r="I21" s="52" t="n"/>
      <c r="J21" s="52" t="n"/>
      <c r="K21" s="52" t="n"/>
      <c r="L21" s="52" t="n"/>
      <c r="M21" s="52" t="n"/>
      <c r="N21" s="52" t="n"/>
      <c r="O21" s="52" t="n"/>
      <c r="P21" s="25">
        <f>IF($B21="","",SUM(D21:O21))</f>
        <v/>
      </c>
      <c r="Q21" s="52" t="n"/>
      <c r="R21" s="52" t="n"/>
      <c r="S21" s="52" t="n"/>
      <c r="T21" s="52" t="n"/>
      <c r="U21" s="52" t="n"/>
      <c r="V21" s="52" t="n"/>
      <c r="W21" s="52" t="n"/>
      <c r="X21" s="52" t="n">
        <v>12</v>
      </c>
      <c r="Y21" s="52" t="n"/>
      <c r="Z21" s="52" t="n"/>
      <c r="AA21" s="52" t="n"/>
      <c r="AB21" s="52" t="n"/>
      <c r="AC21" s="25">
        <f>IF($B21="","",SUM(Q21:AB21))</f>
        <v/>
      </c>
      <c r="AD21" s="25">
        <f>IF($B21="","",SUM(P21,AC21))</f>
        <v/>
      </c>
      <c r="AE21" s="37">
        <f>IF($B21="","",AD21*N(C21))</f>
        <v/>
      </c>
      <c r="AF21" s="53">
        <f>IF(Mitarbeiter!B21="","",Mitarbeiter!C21)</f>
        <v/>
      </c>
      <c r="AG21" s="53">
        <f>IF(OR(Mitarbeiter!B21="",Mitarbeiter!D21=""),"",Mitarbeiter!D21)</f>
        <v/>
      </c>
    </row>
    <row r="22">
      <c r="A22" s="49">
        <f>IF(Mitarbeiter!B22="","",Mitarbeiter!A22)</f>
        <v/>
      </c>
      <c r="B22" s="50">
        <f>IF(Mitarbeiter!B22="","",Mitarbeiter!B22)</f>
        <v/>
      </c>
      <c r="C22" s="51">
        <f>IF(Mitarbeiter!B22="","",Mitarbeiter!F22)</f>
        <v/>
      </c>
      <c r="D22" s="52" t="n"/>
      <c r="E22" s="52" t="n"/>
      <c r="F22" s="52" t="n"/>
      <c r="G22" s="52" t="n"/>
      <c r="H22" s="52" t="n"/>
      <c r="I22" s="52" t="n"/>
      <c r="J22" s="52" t="n"/>
      <c r="K22" s="52" t="n"/>
      <c r="L22" s="52" t="n"/>
      <c r="M22" s="52" t="n"/>
      <c r="N22" s="52" t="n"/>
      <c r="O22" s="52" t="n"/>
      <c r="P22" s="25">
        <f>IF($B22="","",SUM(D22:O22))</f>
        <v/>
      </c>
      <c r="Q22" s="52" t="n"/>
      <c r="R22" s="52" t="n"/>
      <c r="S22" s="52" t="n"/>
      <c r="T22" s="52" t="n"/>
      <c r="U22" s="52" t="n"/>
      <c r="V22" s="52" t="n"/>
      <c r="W22" s="52" t="n"/>
      <c r="X22" s="52" t="n"/>
      <c r="Y22" s="52" t="n"/>
      <c r="Z22" s="52" t="n"/>
      <c r="AA22" s="52" t="n"/>
      <c r="AB22" s="52" t="n"/>
      <c r="AC22" s="25">
        <f>IF($B22="","",SUM(Q22:AB22))</f>
        <v/>
      </c>
      <c r="AD22" s="25">
        <f>IF($B22="","",SUM(P22,AC22))</f>
        <v/>
      </c>
      <c r="AE22" s="37">
        <f>IF($B22="","",AD22*N(C22))</f>
        <v/>
      </c>
      <c r="AF22" s="53">
        <f>IF(Mitarbeiter!B22="","",Mitarbeiter!C22)</f>
        <v/>
      </c>
      <c r="AG22" s="53">
        <f>IF(OR(Mitarbeiter!B22="",Mitarbeiter!D22=""),"",Mitarbeiter!D22)</f>
        <v/>
      </c>
    </row>
    <row r="23">
      <c r="A23" s="49">
        <f>IF(Mitarbeiter!B23="","",Mitarbeiter!A23)</f>
        <v/>
      </c>
      <c r="B23" s="50">
        <f>IF(Mitarbeiter!B23="","",Mitarbeiter!B23)</f>
        <v/>
      </c>
      <c r="C23" s="51">
        <f>IF(Mitarbeiter!B23="","",Mitarbeiter!F23)</f>
        <v/>
      </c>
      <c r="D23" s="52" t="n">
        <v>7</v>
      </c>
      <c r="E23" s="52" t="n"/>
      <c r="F23" s="52" t="n">
        <v>3</v>
      </c>
      <c r="G23" s="52" t="n"/>
      <c r="H23" s="52" t="n"/>
      <c r="I23" s="52" t="n"/>
      <c r="J23" s="52" t="n"/>
      <c r="K23" s="52" t="n"/>
      <c r="L23" s="52" t="n"/>
      <c r="M23" s="52" t="n"/>
      <c r="N23" s="52" t="n"/>
      <c r="O23" s="52" t="n"/>
      <c r="P23" s="25">
        <f>IF($B23="","",SUM(D23:O23))</f>
        <v/>
      </c>
      <c r="Q23" s="52" t="n"/>
      <c r="R23" s="52" t="n"/>
      <c r="S23" s="52" t="n">
        <v>3</v>
      </c>
      <c r="T23" s="52" t="n"/>
      <c r="U23" s="52" t="n"/>
      <c r="V23" s="52" t="n"/>
      <c r="W23" s="52" t="n"/>
      <c r="X23" s="52" t="n"/>
      <c r="Y23" s="52" t="n"/>
      <c r="Z23" s="52" t="n"/>
      <c r="AA23" s="52" t="n"/>
      <c r="AB23" s="52" t="n"/>
      <c r="AC23" s="25">
        <f>IF($B23="","",SUM(Q23:AB23))</f>
        <v/>
      </c>
      <c r="AD23" s="25">
        <f>IF($B23="","",SUM(P23,AC23))</f>
        <v/>
      </c>
      <c r="AE23" s="37">
        <f>IF($B23="","",AD23*N(C23))</f>
        <v/>
      </c>
      <c r="AF23" s="53">
        <f>IF(Mitarbeiter!B23="","",Mitarbeiter!C23)</f>
        <v/>
      </c>
      <c r="AG23" s="53">
        <f>IF(OR(Mitarbeiter!B23="",Mitarbeiter!D23=""),"",Mitarbeiter!D23)</f>
        <v/>
      </c>
    </row>
    <row r="24">
      <c r="A24" s="49">
        <f>IF(Mitarbeiter!B24="","",Mitarbeiter!A24)</f>
        <v/>
      </c>
      <c r="B24" s="50">
        <f>IF(Mitarbeiter!B24="","",Mitarbeiter!B24)</f>
        <v/>
      </c>
      <c r="C24" s="51">
        <f>IF(Mitarbeiter!B24="","",Mitarbeiter!F24)</f>
        <v/>
      </c>
      <c r="D24" s="52" t="n"/>
      <c r="E24" s="52" t="n"/>
      <c r="F24" s="52" t="n"/>
      <c r="G24" s="52" t="n"/>
      <c r="H24" s="52" t="n"/>
      <c r="I24" s="52" t="n"/>
      <c r="J24" s="52" t="n"/>
      <c r="K24" s="52" t="n">
        <v>3</v>
      </c>
      <c r="L24" s="52" t="n"/>
      <c r="M24" s="52" t="n"/>
      <c r="N24" s="52" t="n"/>
      <c r="O24" s="52" t="n"/>
      <c r="P24" s="25">
        <f>IF($B24="","",SUM(D24:O24))</f>
        <v/>
      </c>
      <c r="Q24" s="52" t="n"/>
      <c r="R24" s="52" t="n"/>
      <c r="S24" s="52" t="n"/>
      <c r="T24" s="52" t="n"/>
      <c r="U24" s="52" t="n"/>
      <c r="V24" s="52" t="n"/>
      <c r="W24" s="52" t="n"/>
      <c r="X24" s="52" t="n">
        <v>2</v>
      </c>
      <c r="Y24" s="52" t="n">
        <v>3</v>
      </c>
      <c r="Z24" s="52" t="n"/>
      <c r="AA24" s="52" t="n"/>
      <c r="AB24" s="52" t="n"/>
      <c r="AC24" s="25">
        <f>IF($B24="","",SUM(Q24:AB24))</f>
        <v/>
      </c>
      <c r="AD24" s="25">
        <f>IF($B24="","",SUM(P24,AC24))</f>
        <v/>
      </c>
      <c r="AE24" s="37">
        <f>IF($B24="","",AD24*N(C24))</f>
        <v/>
      </c>
      <c r="AF24" s="53">
        <f>IF(Mitarbeiter!B24="","",Mitarbeiter!C24)</f>
        <v/>
      </c>
      <c r="AG24" s="53">
        <f>IF(OR(Mitarbeiter!B24="",Mitarbeiter!D24=""),"",Mitarbeiter!D24)</f>
        <v/>
      </c>
    </row>
    <row r="25">
      <c r="A25" s="49">
        <f>IF(Mitarbeiter!B25="","",Mitarbeiter!A25)</f>
        <v/>
      </c>
      <c r="B25" s="50">
        <f>IF(Mitarbeiter!B25="","",Mitarbeiter!B25)</f>
        <v/>
      </c>
      <c r="C25" s="51">
        <f>IF(Mitarbeiter!B25="","",Mitarbeiter!F25)</f>
        <v/>
      </c>
      <c r="D25" s="52" t="n">
        <v>3</v>
      </c>
      <c r="E25" s="52" t="n"/>
      <c r="F25" s="52" t="n"/>
      <c r="G25" s="52" t="n"/>
      <c r="H25" s="52" t="n"/>
      <c r="I25" s="52" t="n"/>
      <c r="J25" s="52" t="n"/>
      <c r="K25" s="52" t="n"/>
      <c r="L25" s="52" t="n"/>
      <c r="M25" s="52" t="n"/>
      <c r="N25" s="52" t="n"/>
      <c r="O25" s="52" t="n"/>
      <c r="P25" s="25">
        <f>IF($B25="","",SUM(D25:O25))</f>
        <v/>
      </c>
      <c r="Q25" s="52" t="n"/>
      <c r="R25" s="52" t="n"/>
      <c r="S25" s="52" t="n">
        <v>12</v>
      </c>
      <c r="T25" s="52" t="n"/>
      <c r="U25" s="52" t="n"/>
      <c r="V25" s="52" t="n"/>
      <c r="W25" s="52" t="n"/>
      <c r="X25" s="52" t="n"/>
      <c r="Y25" s="52" t="n">
        <v>3</v>
      </c>
      <c r="Z25" s="52" t="n"/>
      <c r="AA25" s="52" t="n"/>
      <c r="AB25" s="52" t="n"/>
      <c r="AC25" s="25">
        <f>IF($B25="","",SUM(Q25:AB25))</f>
        <v/>
      </c>
      <c r="AD25" s="25">
        <f>IF($B25="","",SUM(P25,AC25))</f>
        <v/>
      </c>
      <c r="AE25" s="37">
        <f>IF($B25="","",AD25*N(C25))</f>
        <v/>
      </c>
      <c r="AF25" s="53">
        <f>IF(Mitarbeiter!B25="","",Mitarbeiter!C25)</f>
        <v/>
      </c>
      <c r="AG25" s="53">
        <f>IF(OR(Mitarbeiter!B25="",Mitarbeiter!D25=""),"",Mitarbeiter!D25)</f>
        <v/>
      </c>
    </row>
    <row r="26">
      <c r="A26" s="49">
        <f>IF(Mitarbeiter!B26="","",Mitarbeiter!A26)</f>
        <v/>
      </c>
      <c r="B26" s="50">
        <f>IF(Mitarbeiter!B26="","",Mitarbeiter!B26)</f>
        <v/>
      </c>
      <c r="C26" s="51">
        <f>IF(Mitarbeiter!B26="","",Mitarbeiter!F26)</f>
        <v/>
      </c>
      <c r="D26" s="52" t="n"/>
      <c r="E26" s="52" t="n"/>
      <c r="F26" s="52" t="n"/>
      <c r="G26" s="52" t="n"/>
      <c r="H26" s="52" t="n"/>
      <c r="I26" s="52" t="n"/>
      <c r="J26" s="52" t="n"/>
      <c r="K26" s="52" t="n"/>
      <c r="L26" s="52" t="n"/>
      <c r="M26" s="52" t="n"/>
      <c r="N26" s="52" t="n"/>
      <c r="O26" s="52" t="n"/>
      <c r="P26" s="25">
        <f>IF($B26="","",SUM(D26:O26))</f>
        <v/>
      </c>
      <c r="Q26" s="52" t="n">
        <v>12</v>
      </c>
      <c r="R26" s="52" t="n"/>
      <c r="S26" s="52" t="n">
        <v>1</v>
      </c>
      <c r="T26" s="52" t="n"/>
      <c r="U26" s="52" t="n"/>
      <c r="V26" s="52" t="n"/>
      <c r="W26" s="52" t="n">
        <v>3</v>
      </c>
      <c r="X26" s="52" t="n">
        <v>7</v>
      </c>
      <c r="Y26" s="52" t="n"/>
      <c r="Z26" s="52" t="n"/>
      <c r="AA26" s="52" t="n"/>
      <c r="AB26" s="52" t="n"/>
      <c r="AC26" s="25">
        <f>IF($B26="","",SUM(Q26:AB26))</f>
        <v/>
      </c>
      <c r="AD26" s="25">
        <f>IF($B26="","",SUM(P26,AC26))</f>
        <v/>
      </c>
      <c r="AE26" s="37">
        <f>IF($B26="","",AD26*N(C26))</f>
        <v/>
      </c>
      <c r="AF26" s="53">
        <f>IF(Mitarbeiter!B26="","",Mitarbeiter!C26)</f>
        <v/>
      </c>
      <c r="AG26" s="53">
        <f>IF(OR(Mitarbeiter!B26="",Mitarbeiter!D26=""),"",Mitarbeiter!D26)</f>
        <v/>
      </c>
    </row>
    <row r="27">
      <c r="A27" s="49">
        <f>IF(Mitarbeiter!B27="","",Mitarbeiter!A27)</f>
        <v/>
      </c>
      <c r="B27" s="50">
        <f>IF(Mitarbeiter!B27="","",Mitarbeiter!B27)</f>
        <v/>
      </c>
      <c r="C27" s="51">
        <f>IF(Mitarbeiter!B27="","",Mitarbeiter!F27)</f>
        <v/>
      </c>
      <c r="D27" s="52" t="n"/>
      <c r="E27" s="52" t="n"/>
      <c r="F27" s="52" t="n"/>
      <c r="G27" s="52" t="n"/>
      <c r="H27" s="52" t="n"/>
      <c r="I27" s="52" t="n"/>
      <c r="J27" s="52" t="n"/>
      <c r="K27" s="52" t="n"/>
      <c r="L27" s="52" t="n"/>
      <c r="M27" s="52" t="n"/>
      <c r="N27" s="52" t="n"/>
      <c r="O27" s="52" t="n"/>
      <c r="P27" s="25">
        <f>IF($B27="","",SUM(D27:O27))</f>
        <v/>
      </c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>
        <v>1</v>
      </c>
      <c r="Z27" s="52" t="n"/>
      <c r="AA27" s="52" t="n"/>
      <c r="AB27" s="52" t="n"/>
      <c r="AC27" s="25">
        <f>IF($B27="","",SUM(Q27:AB27))</f>
        <v/>
      </c>
      <c r="AD27" s="25">
        <f>IF($B27="","",SUM(P27,AC27))</f>
        <v/>
      </c>
      <c r="AE27" s="37">
        <f>IF($B27="","",AD27*N(C27))</f>
        <v/>
      </c>
      <c r="AF27" s="53">
        <f>IF(Mitarbeiter!B27="","",Mitarbeiter!C27)</f>
        <v/>
      </c>
      <c r="AG27" s="53">
        <f>IF(OR(Mitarbeiter!B27="",Mitarbeiter!D27=""),"",Mitarbeiter!D27)</f>
        <v/>
      </c>
    </row>
    <row r="28">
      <c r="A28" s="49">
        <f>IF(Mitarbeiter!B28="","",Mitarbeiter!A28)</f>
        <v/>
      </c>
      <c r="B28" s="50">
        <f>IF(Mitarbeiter!B28="","",Mitarbeiter!B28)</f>
        <v/>
      </c>
      <c r="C28" s="51">
        <f>IF(Mitarbeiter!B28="","",Mitarbeiter!F28)</f>
        <v/>
      </c>
      <c r="D28" s="52" t="n"/>
      <c r="E28" s="52" t="n"/>
      <c r="F28" s="52" t="n">
        <v>12</v>
      </c>
      <c r="G28" s="52" t="n"/>
      <c r="H28" s="52" t="n"/>
      <c r="I28" s="52" t="n"/>
      <c r="J28" s="52" t="n"/>
      <c r="K28" s="52" t="n"/>
      <c r="L28" s="52" t="n"/>
      <c r="M28" s="52" t="n"/>
      <c r="N28" s="52" t="n"/>
      <c r="O28" s="52" t="n"/>
      <c r="P28" s="25">
        <f>IF($B28="","",SUM(D28:O28))</f>
        <v/>
      </c>
      <c r="Q28" s="52" t="n"/>
      <c r="R28" s="52" t="n"/>
      <c r="S28" s="52" t="n">
        <v>5</v>
      </c>
      <c r="T28" s="52" t="n">
        <v>5</v>
      </c>
      <c r="U28" s="52" t="n">
        <v>7</v>
      </c>
      <c r="V28" s="52" t="n">
        <v>3</v>
      </c>
      <c r="W28" s="52" t="n"/>
      <c r="X28" s="52" t="n"/>
      <c r="Y28" s="52" t="n"/>
      <c r="Z28" s="52" t="n"/>
      <c r="AA28" s="52" t="n"/>
      <c r="AB28" s="52" t="n"/>
      <c r="AC28" s="25">
        <f>IF($B28="","",SUM(Q28:AB28))</f>
        <v/>
      </c>
      <c r="AD28" s="25">
        <f>IF($B28="","",SUM(P28,AC28))</f>
        <v/>
      </c>
      <c r="AE28" s="37">
        <f>IF($B28="","",AD28*N(C28))</f>
        <v/>
      </c>
      <c r="AF28" s="53">
        <f>IF(Mitarbeiter!B28="","",Mitarbeiter!C28)</f>
        <v/>
      </c>
      <c r="AG28" s="53">
        <f>IF(OR(Mitarbeiter!B28="",Mitarbeiter!D28=""),"",Mitarbeiter!D28)</f>
        <v/>
      </c>
    </row>
    <row r="29">
      <c r="A29" s="49">
        <f>IF(Mitarbeiter!B29="","",Mitarbeiter!A29)</f>
        <v/>
      </c>
      <c r="B29" s="50">
        <f>IF(Mitarbeiter!B29="","",Mitarbeiter!B29)</f>
        <v/>
      </c>
      <c r="C29" s="51">
        <f>IF(Mitarbeiter!B29="","",Mitarbeiter!F29)</f>
        <v/>
      </c>
      <c r="D29" s="52" t="n"/>
      <c r="E29" s="52" t="n"/>
      <c r="F29" s="52" t="n"/>
      <c r="G29" s="52" t="n"/>
      <c r="H29" s="52" t="n"/>
      <c r="I29" s="52" t="n"/>
      <c r="J29" s="52" t="n"/>
      <c r="K29" s="52" t="n"/>
      <c r="L29" s="52" t="n"/>
      <c r="M29" s="52" t="n"/>
      <c r="N29" s="52" t="n"/>
      <c r="O29" s="52" t="n"/>
      <c r="P29" s="25">
        <f>IF($B29="","",SUM(D29:O29))</f>
        <v/>
      </c>
      <c r="Q29" s="52" t="n"/>
      <c r="R29" s="52" t="n"/>
      <c r="S29" s="52" t="n"/>
      <c r="T29" s="52" t="n"/>
      <c r="U29" s="52" t="n"/>
      <c r="V29" s="52" t="n">
        <v>2</v>
      </c>
      <c r="W29" s="52" t="n"/>
      <c r="X29" s="52" t="n"/>
      <c r="Y29" s="52" t="n"/>
      <c r="Z29" s="52" t="n"/>
      <c r="AA29" s="52" t="n"/>
      <c r="AB29" s="52" t="n"/>
      <c r="AC29" s="25">
        <f>IF($B29="","",SUM(Q29:AB29))</f>
        <v/>
      </c>
      <c r="AD29" s="25">
        <f>IF($B29="","",SUM(P29,AC29))</f>
        <v/>
      </c>
      <c r="AE29" s="37">
        <f>IF($B29="","",AD29*N(C29))</f>
        <v/>
      </c>
      <c r="AF29" s="53">
        <f>IF(Mitarbeiter!B29="","",Mitarbeiter!C29)</f>
        <v/>
      </c>
      <c r="AG29" s="53">
        <f>IF(OR(Mitarbeiter!B29="",Mitarbeiter!D29=""),"",Mitarbeiter!D29)</f>
        <v/>
      </c>
    </row>
    <row r="30">
      <c r="A30" s="49">
        <f>IF(Mitarbeiter!B30="","",Mitarbeiter!A30)</f>
        <v/>
      </c>
      <c r="B30" s="50">
        <f>IF(Mitarbeiter!B30="","",Mitarbeiter!B30)</f>
        <v/>
      </c>
      <c r="C30" s="51">
        <f>IF(Mitarbeiter!B30="","",Mitarbeiter!F30)</f>
        <v/>
      </c>
      <c r="D30" s="52" t="n"/>
      <c r="E30" s="52" t="n">
        <v>2</v>
      </c>
      <c r="F30" s="52" t="n"/>
      <c r="G30" s="52" t="n"/>
      <c r="H30" s="52" t="n"/>
      <c r="I30" s="52" t="n"/>
      <c r="J30" s="52" t="n"/>
      <c r="K30" s="52" t="n">
        <v>2</v>
      </c>
      <c r="L30" s="52" t="n"/>
      <c r="M30" s="52" t="n"/>
      <c r="N30" s="52" t="n"/>
      <c r="O30" s="52" t="n"/>
      <c r="P30" s="25">
        <f>IF($B30="","",SUM(D30:O30))</f>
        <v/>
      </c>
      <c r="Q30" s="52" t="n"/>
      <c r="R30" s="52" t="n">
        <v>5</v>
      </c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25">
        <f>IF($B30="","",SUM(Q30:AB30))</f>
        <v/>
      </c>
      <c r="AD30" s="25">
        <f>IF($B30="","",SUM(P30,AC30))</f>
        <v/>
      </c>
      <c r="AE30" s="37">
        <f>IF($B30="","",AD30*N(C30))</f>
        <v/>
      </c>
      <c r="AF30" s="53">
        <f>IF(Mitarbeiter!B30="","",Mitarbeiter!C30)</f>
        <v/>
      </c>
      <c r="AG30" s="53">
        <f>IF(OR(Mitarbeiter!B30="",Mitarbeiter!D30=""),"",Mitarbeiter!D30)</f>
        <v/>
      </c>
    </row>
    <row r="31">
      <c r="A31" s="49">
        <f>IF(Mitarbeiter!B31="","",Mitarbeiter!A31)</f>
        <v/>
      </c>
      <c r="B31" s="50">
        <f>IF(Mitarbeiter!B31="","",Mitarbeiter!B31)</f>
        <v/>
      </c>
      <c r="C31" s="51">
        <f>IF(Mitarbeiter!B31="","",Mitarbeiter!F31)</f>
        <v/>
      </c>
      <c r="D31" s="52" t="n"/>
      <c r="E31" s="52" t="n"/>
      <c r="F31" s="52" t="n"/>
      <c r="G31" s="52" t="n"/>
      <c r="H31" s="52" t="n"/>
      <c r="I31" s="52" t="n"/>
      <c r="J31" s="52" t="n"/>
      <c r="K31" s="52" t="n"/>
      <c r="L31" s="52" t="n"/>
      <c r="M31" s="52" t="n"/>
      <c r="N31" s="52" t="n"/>
      <c r="O31" s="52" t="n"/>
      <c r="P31" s="25">
        <f>IF($B31="","",SUM(D31:O31))</f>
        <v/>
      </c>
      <c r="Q31" s="52" t="n"/>
      <c r="R31" s="52" t="n"/>
      <c r="S31" s="52" t="n"/>
      <c r="T31" s="52" t="n">
        <v>5</v>
      </c>
      <c r="U31" s="52" t="n"/>
      <c r="V31" s="52" t="n"/>
      <c r="W31" s="52" t="n"/>
      <c r="X31" s="52" t="n">
        <v>4</v>
      </c>
      <c r="Y31" s="52" t="n"/>
      <c r="Z31" s="52" t="n"/>
      <c r="AA31" s="52" t="n"/>
      <c r="AB31" s="52" t="n"/>
      <c r="AC31" s="25">
        <f>IF($B31="","",SUM(Q31:AB31))</f>
        <v/>
      </c>
      <c r="AD31" s="25">
        <f>IF($B31="","",SUM(P31,AC31))</f>
        <v/>
      </c>
      <c r="AE31" s="37">
        <f>IF($B31="","",AD31*N(C31))</f>
        <v/>
      </c>
      <c r="AF31" s="53">
        <f>IF(Mitarbeiter!B31="","",Mitarbeiter!C31)</f>
        <v/>
      </c>
      <c r="AG31" s="53">
        <f>IF(OR(Mitarbeiter!B31="",Mitarbeiter!D31=""),"",Mitarbeiter!D31)</f>
        <v/>
      </c>
    </row>
    <row r="32">
      <c r="A32" s="49">
        <f>IF(Mitarbeiter!B32="","",Mitarbeiter!A32)</f>
        <v/>
      </c>
      <c r="B32" s="50">
        <f>IF(Mitarbeiter!B32="","",Mitarbeiter!B32)</f>
        <v/>
      </c>
      <c r="C32" s="51">
        <f>IF(Mitarbeiter!B32="","",Mitarbeiter!F32)</f>
        <v/>
      </c>
      <c r="D32" s="52" t="n"/>
      <c r="E32" s="52" t="n"/>
      <c r="F32" s="52" t="n"/>
      <c r="G32" s="52" t="n"/>
      <c r="H32" s="52" t="n"/>
      <c r="I32" s="52" t="n"/>
      <c r="J32" s="52" t="n"/>
      <c r="K32" s="52" t="n"/>
      <c r="L32" s="52" t="n"/>
      <c r="M32" s="52" t="n"/>
      <c r="N32" s="52" t="n"/>
      <c r="O32" s="52" t="n"/>
      <c r="P32" s="25">
        <f>IF($B32="","",SUM(D32:O32))</f>
        <v/>
      </c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25">
        <f>IF($B32="","",SUM(Q32:AB32))</f>
        <v/>
      </c>
      <c r="AD32" s="25">
        <f>IF($B32="","",SUM(P32,AC32))</f>
        <v/>
      </c>
      <c r="AE32" s="37">
        <f>IF($B32="","",AD32*N(C32))</f>
        <v/>
      </c>
      <c r="AF32" s="53">
        <f>IF(Mitarbeiter!B32="","",Mitarbeiter!C32)</f>
        <v/>
      </c>
      <c r="AG32" s="53">
        <f>IF(OR(Mitarbeiter!B32="",Mitarbeiter!D32=""),"",Mitarbeiter!D32)</f>
        <v/>
      </c>
    </row>
    <row r="33">
      <c r="A33" s="49">
        <f>IF(Mitarbeiter!B33="","",Mitarbeiter!A33)</f>
        <v/>
      </c>
      <c r="B33" s="50">
        <f>IF(Mitarbeiter!B33="","",Mitarbeiter!B33)</f>
        <v/>
      </c>
      <c r="C33" s="51">
        <f>IF(Mitarbeiter!B33="","",Mitarbeiter!F33)</f>
        <v/>
      </c>
      <c r="D33" s="52" t="n"/>
      <c r="E33" s="52" t="n"/>
      <c r="F33" s="52" t="n"/>
      <c r="G33" s="52" t="n"/>
      <c r="H33" s="52" t="n">
        <v>7</v>
      </c>
      <c r="I33" s="52" t="n"/>
      <c r="J33" s="52" t="n">
        <v>13</v>
      </c>
      <c r="K33" s="52" t="n"/>
      <c r="L33" s="52" t="n"/>
      <c r="M33" s="52" t="n"/>
      <c r="N33" s="52" t="n"/>
      <c r="O33" s="52" t="n"/>
      <c r="P33" s="25">
        <f>IF($B33="","",SUM(D33:O33))</f>
        <v/>
      </c>
      <c r="Q33" s="52" t="n"/>
      <c r="R33" s="52" t="n"/>
      <c r="S33" s="52" t="n"/>
      <c r="T33" s="52" t="n"/>
      <c r="U33" s="52" t="n">
        <v>7</v>
      </c>
      <c r="V33" s="52" t="n"/>
      <c r="W33" s="52" t="n"/>
      <c r="X33" s="52" t="n"/>
      <c r="Y33" s="52" t="n"/>
      <c r="Z33" s="52" t="n"/>
      <c r="AA33" s="52" t="n"/>
      <c r="AB33" s="52" t="n"/>
      <c r="AC33" s="25">
        <f>IF($B33="","",SUM(Q33:AB33))</f>
        <v/>
      </c>
      <c r="AD33" s="25">
        <f>IF($B33="","",SUM(P33,AC33))</f>
        <v/>
      </c>
      <c r="AE33" s="37">
        <f>IF($B33="","",AD33*N(C33))</f>
        <v/>
      </c>
      <c r="AF33" s="53">
        <f>IF(Mitarbeiter!B33="","",Mitarbeiter!C33)</f>
        <v/>
      </c>
      <c r="AG33" s="53">
        <f>IF(OR(Mitarbeiter!B33="",Mitarbeiter!D33=""),"",Mitarbeiter!D33)</f>
        <v/>
      </c>
    </row>
    <row r="34">
      <c r="A34" s="49">
        <f>IF(Mitarbeiter!B34="","",Mitarbeiter!A34)</f>
        <v/>
      </c>
      <c r="B34" s="50">
        <f>IF(Mitarbeiter!B34="","",Mitarbeiter!B34)</f>
        <v/>
      </c>
      <c r="C34" s="51">
        <f>IF(Mitarbeiter!B34="","",Mitarbeiter!F34)</f>
        <v/>
      </c>
      <c r="D34" s="52" t="n"/>
      <c r="E34" s="52" t="n"/>
      <c r="F34" s="52" t="n"/>
      <c r="G34" s="52" t="n"/>
      <c r="H34" s="52" t="n"/>
      <c r="I34" s="52" t="n"/>
      <c r="J34" s="52" t="n"/>
      <c r="K34" s="52" t="n"/>
      <c r="L34" s="52" t="n"/>
      <c r="M34" s="52" t="n"/>
      <c r="N34" s="52" t="n"/>
      <c r="O34" s="52" t="n"/>
      <c r="P34" s="25">
        <f>IF($B34="","",SUM(D34:O34))</f>
        <v/>
      </c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25">
        <f>IF($B34="","",SUM(Q34:AB34))</f>
        <v/>
      </c>
      <c r="AD34" s="25">
        <f>IF($B34="","",SUM(P34,AC34))</f>
        <v/>
      </c>
      <c r="AE34" s="37">
        <f>IF($B34="","",AD34*N(C34))</f>
        <v/>
      </c>
      <c r="AF34" s="53">
        <f>IF(Mitarbeiter!B34="","",Mitarbeiter!C34)</f>
        <v/>
      </c>
      <c r="AG34" s="53">
        <f>IF(OR(Mitarbeiter!B34="",Mitarbeiter!D34=""),"",Mitarbeiter!D34)</f>
        <v/>
      </c>
    </row>
    <row r="35">
      <c r="A35" s="49">
        <f>IF(Mitarbeiter!B35="","",Mitarbeiter!A35)</f>
        <v/>
      </c>
      <c r="B35" s="50">
        <f>IF(Mitarbeiter!B35="","",Mitarbeiter!B35)</f>
        <v/>
      </c>
      <c r="C35" s="51">
        <f>IF(Mitarbeiter!B35="","",Mitarbeiter!F35)</f>
        <v/>
      </c>
      <c r="D35" s="52" t="n">
        <v>7</v>
      </c>
      <c r="E35" s="52" t="n"/>
      <c r="F35" s="52" t="n">
        <v>12</v>
      </c>
      <c r="G35" s="52" t="n"/>
      <c r="H35" s="52" t="n"/>
      <c r="I35" s="52" t="n"/>
      <c r="J35" s="52" t="n"/>
      <c r="K35" s="52" t="n"/>
      <c r="L35" s="52" t="n"/>
      <c r="M35" s="52" t="n"/>
      <c r="N35" s="52" t="n"/>
      <c r="O35" s="52" t="n"/>
      <c r="P35" s="25">
        <f>IF($B35="","",SUM(D35:O35))</f>
        <v/>
      </c>
      <c r="Q35" s="52" t="n"/>
      <c r="R35" s="52" t="n"/>
      <c r="S35" s="52" t="n"/>
      <c r="T35" s="52" t="n"/>
      <c r="U35" s="52" t="n">
        <v>5</v>
      </c>
      <c r="V35" s="52" t="n">
        <v>12</v>
      </c>
      <c r="W35" s="52" t="n">
        <v>1</v>
      </c>
      <c r="X35" s="52" t="n"/>
      <c r="Y35" s="52" t="n"/>
      <c r="Z35" s="52" t="n"/>
      <c r="AA35" s="52" t="n"/>
      <c r="AB35" s="52" t="n"/>
      <c r="AC35" s="25">
        <f>IF($B35="","",SUM(Q35:AB35))</f>
        <v/>
      </c>
      <c r="AD35" s="25">
        <f>IF($B35="","",SUM(P35,AC35))</f>
        <v/>
      </c>
      <c r="AE35" s="37">
        <f>IF($B35="","",AD35*N(C35))</f>
        <v/>
      </c>
      <c r="AF35" s="53">
        <f>IF(Mitarbeiter!B35="","",Mitarbeiter!C35)</f>
        <v/>
      </c>
      <c r="AG35" s="53">
        <f>IF(OR(Mitarbeiter!B35="",Mitarbeiter!D35=""),"",Mitarbeiter!D35)</f>
        <v/>
      </c>
    </row>
    <row r="36">
      <c r="A36" s="49">
        <f>IF(Mitarbeiter!B36="","",Mitarbeiter!A36)</f>
        <v/>
      </c>
      <c r="B36" s="50">
        <f>IF(Mitarbeiter!B36="","",Mitarbeiter!B36)</f>
        <v/>
      </c>
      <c r="C36" s="51">
        <f>IF(Mitarbeiter!B36="","",Mitarbeiter!F36)</f>
        <v/>
      </c>
      <c r="D36" s="52" t="n"/>
      <c r="E36" s="52" t="n"/>
      <c r="F36" s="52" t="n">
        <v>5</v>
      </c>
      <c r="G36" s="52" t="n"/>
      <c r="H36" s="52" t="n"/>
      <c r="I36" s="52" t="n"/>
      <c r="J36" s="52" t="n"/>
      <c r="K36" s="52" t="n"/>
      <c r="L36" s="52" t="n"/>
      <c r="M36" s="52" t="n"/>
      <c r="N36" s="52" t="n"/>
      <c r="O36" s="52" t="n"/>
      <c r="P36" s="25">
        <f>IF($B36="","",SUM(D36:O36))</f>
        <v/>
      </c>
      <c r="Q36" s="52" t="n"/>
      <c r="R36" s="52" t="n"/>
      <c r="S36" s="52" t="n"/>
      <c r="T36" s="52" t="n"/>
      <c r="U36" s="52" t="n">
        <v>7</v>
      </c>
      <c r="V36" s="52" t="n">
        <v>3</v>
      </c>
      <c r="W36" s="52" t="n"/>
      <c r="X36" s="52" t="n"/>
      <c r="Y36" s="52" t="n">
        <v>3</v>
      </c>
      <c r="Z36" s="52" t="n"/>
      <c r="AA36" s="52" t="n"/>
      <c r="AB36" s="52" t="n"/>
      <c r="AC36" s="25">
        <f>IF($B36="","",SUM(Q36:AB36))</f>
        <v/>
      </c>
      <c r="AD36" s="25">
        <f>IF($B36="","",SUM(P36,AC36))</f>
        <v/>
      </c>
      <c r="AE36" s="37">
        <f>IF($B36="","",AD36*N(C36))</f>
        <v/>
      </c>
      <c r="AF36" s="53">
        <f>IF(Mitarbeiter!B36="","",Mitarbeiter!C36)</f>
        <v/>
      </c>
      <c r="AG36" s="53">
        <f>IF(OR(Mitarbeiter!B36="",Mitarbeiter!D36=""),"",Mitarbeiter!D36)</f>
        <v/>
      </c>
    </row>
    <row r="37">
      <c r="A37" s="49">
        <f>IF(Mitarbeiter!B37="","",Mitarbeiter!A37)</f>
        <v/>
      </c>
      <c r="B37" s="50">
        <f>IF(Mitarbeiter!B37="","",Mitarbeiter!B37)</f>
        <v/>
      </c>
      <c r="C37" s="51">
        <f>IF(Mitarbeiter!B37="","",Mitarbeiter!F37)</f>
        <v/>
      </c>
      <c r="D37" s="52" t="n"/>
      <c r="E37" s="52" t="n"/>
      <c r="F37" s="52" t="n"/>
      <c r="G37" s="52" t="n"/>
      <c r="H37" s="52" t="n"/>
      <c r="I37" s="52" t="n"/>
      <c r="J37" s="52" t="n"/>
      <c r="K37" s="52" t="n"/>
      <c r="L37" s="52" t="n"/>
      <c r="M37" s="52" t="n"/>
      <c r="N37" s="52" t="n"/>
      <c r="O37" s="52" t="n"/>
      <c r="P37" s="25">
        <f>IF($B37="","",SUM(D37:O37))</f>
        <v/>
      </c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25">
        <f>IF($B37="","",SUM(Q37:AB37))</f>
        <v/>
      </c>
      <c r="AD37" s="25">
        <f>IF($B37="","",SUM(P37,AC37))</f>
        <v/>
      </c>
      <c r="AE37" s="37">
        <f>IF($B37="","",AD37*N(C37))</f>
        <v/>
      </c>
      <c r="AF37" s="53">
        <f>IF(Mitarbeiter!B37="","",Mitarbeiter!C37)</f>
        <v/>
      </c>
      <c r="AG37" s="53">
        <f>IF(OR(Mitarbeiter!B37="",Mitarbeiter!D37=""),"",Mitarbeiter!D37)</f>
        <v/>
      </c>
    </row>
    <row r="38">
      <c r="A38" s="49">
        <f>IF(Mitarbeiter!B38="","",Mitarbeiter!A38)</f>
        <v/>
      </c>
      <c r="B38" s="50">
        <f>IF(Mitarbeiter!B38="","",Mitarbeiter!B38)</f>
        <v/>
      </c>
      <c r="C38" s="51">
        <f>IF(Mitarbeiter!B38="","",Mitarbeiter!F38)</f>
        <v/>
      </c>
      <c r="D38" s="52" t="n"/>
      <c r="E38" s="52" t="n"/>
      <c r="F38" s="52" t="n"/>
      <c r="G38" s="52" t="n"/>
      <c r="H38" s="52" t="n"/>
      <c r="I38" s="52" t="n"/>
      <c r="J38" s="52" t="n"/>
      <c r="K38" s="52" t="n"/>
      <c r="L38" s="52" t="n"/>
      <c r="M38" s="52" t="n"/>
      <c r="N38" s="52" t="n"/>
      <c r="O38" s="52" t="n"/>
      <c r="P38" s="25">
        <f>IF($B38="","",SUM(D38:O38))</f>
        <v/>
      </c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25">
        <f>IF($B38="","",SUM(Q38:AB38))</f>
        <v/>
      </c>
      <c r="AD38" s="25">
        <f>IF($B38="","",SUM(P38,AC38))</f>
        <v/>
      </c>
      <c r="AE38" s="37">
        <f>IF($B38="","",AD38*N(C38))</f>
        <v/>
      </c>
      <c r="AF38" s="53">
        <f>IF(Mitarbeiter!B38="","",Mitarbeiter!C38)</f>
        <v/>
      </c>
      <c r="AG38" s="53">
        <f>IF(OR(Mitarbeiter!B38="",Mitarbeiter!D38=""),"",Mitarbeiter!D38)</f>
        <v/>
      </c>
    </row>
    <row r="39">
      <c r="A39" s="49">
        <f>IF(Mitarbeiter!B39="","",Mitarbeiter!A39)</f>
        <v/>
      </c>
      <c r="B39" s="50">
        <f>IF(Mitarbeiter!B39="","",Mitarbeiter!B39)</f>
        <v/>
      </c>
      <c r="C39" s="51">
        <f>IF(Mitarbeiter!B39="","",Mitarbeiter!F39)</f>
        <v/>
      </c>
      <c r="D39" s="52" t="n"/>
      <c r="E39" s="52" t="n"/>
      <c r="F39" s="52" t="n">
        <v>12</v>
      </c>
      <c r="G39" s="52" t="n"/>
      <c r="H39" s="52" t="n"/>
      <c r="I39" s="52" t="n"/>
      <c r="J39" s="52" t="n"/>
      <c r="K39" s="52" t="n"/>
      <c r="L39" s="52" t="n"/>
      <c r="M39" s="52" t="n"/>
      <c r="N39" s="52" t="n"/>
      <c r="O39" s="52" t="n"/>
      <c r="P39" s="25">
        <f>IF($B39="","",SUM(D39:O39))</f>
        <v/>
      </c>
      <c r="Q39" s="52" t="n"/>
      <c r="R39" s="52" t="n"/>
      <c r="S39" s="52" t="n">
        <v>5</v>
      </c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25">
        <f>IF($B39="","",SUM(Q39:AB39))</f>
        <v/>
      </c>
      <c r="AD39" s="25">
        <f>IF($B39="","",SUM(P39,AC39))</f>
        <v/>
      </c>
      <c r="AE39" s="37">
        <f>IF($B39="","",AD39*N(C39))</f>
        <v/>
      </c>
      <c r="AF39" s="53">
        <f>IF(Mitarbeiter!B39="","",Mitarbeiter!C39)</f>
        <v/>
      </c>
      <c r="AG39" s="53">
        <f>IF(OR(Mitarbeiter!B39="",Mitarbeiter!D39=""),"",Mitarbeiter!D39)</f>
        <v/>
      </c>
    </row>
    <row r="40">
      <c r="A40" s="49">
        <f>IF(Mitarbeiter!B40="","",Mitarbeiter!A40)</f>
        <v/>
      </c>
      <c r="B40" s="50">
        <f>IF(Mitarbeiter!B40="","",Mitarbeiter!B40)</f>
        <v/>
      </c>
      <c r="C40" s="51">
        <f>IF(Mitarbeiter!B40="","",Mitarbeiter!F40)</f>
        <v/>
      </c>
      <c r="D40" s="52" t="n"/>
      <c r="E40" s="52" t="n"/>
      <c r="F40" s="52" t="n"/>
      <c r="G40" s="52" t="n"/>
      <c r="H40" s="52" t="n"/>
      <c r="I40" s="52" t="n"/>
      <c r="J40" s="52" t="n"/>
      <c r="K40" s="52" t="n">
        <v>1</v>
      </c>
      <c r="L40" s="52" t="n"/>
      <c r="M40" s="52" t="n"/>
      <c r="N40" s="52" t="n"/>
      <c r="O40" s="52" t="n"/>
      <c r="P40" s="25">
        <f>IF($B40="","",SUM(D40:O40))</f>
        <v/>
      </c>
      <c r="Q40" s="52" t="n"/>
      <c r="R40" s="52" t="n"/>
      <c r="S40" s="52" t="n">
        <v>3</v>
      </c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25">
        <f>IF($B40="","",SUM(Q40:AB40))</f>
        <v/>
      </c>
      <c r="AD40" s="25">
        <f>IF($B40="","",SUM(P40,AC40))</f>
        <v/>
      </c>
      <c r="AE40" s="37">
        <f>IF($B40="","",AD40*N(C40))</f>
        <v/>
      </c>
      <c r="AF40" s="53">
        <f>IF(Mitarbeiter!B40="","",Mitarbeiter!C40)</f>
        <v/>
      </c>
      <c r="AG40" s="53">
        <f>IF(OR(Mitarbeiter!B40="",Mitarbeiter!D40=""),"",Mitarbeiter!D40)</f>
        <v/>
      </c>
    </row>
    <row r="41">
      <c r="A41" s="49">
        <f>IF(Mitarbeiter!B41="","",Mitarbeiter!A41)</f>
        <v/>
      </c>
      <c r="B41" s="50">
        <f>IF(Mitarbeiter!B41="","",Mitarbeiter!B41)</f>
        <v/>
      </c>
      <c r="C41" s="51">
        <f>IF(Mitarbeiter!B41="","",Mitarbeiter!F41)</f>
        <v/>
      </c>
      <c r="D41" s="52" t="n"/>
      <c r="E41" s="52" t="n"/>
      <c r="F41" s="52" t="n"/>
      <c r="G41" s="52" t="n">
        <v>3</v>
      </c>
      <c r="H41" s="52" t="n"/>
      <c r="I41" s="52" t="n"/>
      <c r="J41" s="52" t="n"/>
      <c r="K41" s="52" t="n"/>
      <c r="L41" s="52" t="n"/>
      <c r="M41" s="52" t="n"/>
      <c r="N41" s="52" t="n"/>
      <c r="O41" s="52" t="n"/>
      <c r="P41" s="25">
        <f>IF($B41="","",SUM(D41:O41))</f>
        <v/>
      </c>
      <c r="Q41" s="52" t="n"/>
      <c r="R41" s="52" t="n">
        <v>2</v>
      </c>
      <c r="S41" s="52" t="n">
        <v>2</v>
      </c>
      <c r="T41" s="52" t="n"/>
      <c r="U41" s="52" t="n"/>
      <c r="V41" s="52" t="n"/>
      <c r="W41" s="52" t="n"/>
      <c r="X41" s="52" t="n"/>
      <c r="Y41" s="52" t="n">
        <v>1</v>
      </c>
      <c r="Z41" s="52" t="n"/>
      <c r="AA41" s="52" t="n"/>
      <c r="AB41" s="52" t="n"/>
      <c r="AC41" s="25">
        <f>IF($B41="","",SUM(Q41:AB41))</f>
        <v/>
      </c>
      <c r="AD41" s="25">
        <f>IF($B41="","",SUM(P41,AC41))</f>
        <v/>
      </c>
      <c r="AE41" s="37">
        <f>IF($B41="","",AD41*N(C41))</f>
        <v/>
      </c>
      <c r="AF41" s="53">
        <f>IF(Mitarbeiter!B41="","",Mitarbeiter!C41)</f>
        <v/>
      </c>
      <c r="AG41" s="53">
        <f>IF(OR(Mitarbeiter!B41="",Mitarbeiter!D41=""),"",Mitarbeiter!D41)</f>
        <v/>
      </c>
    </row>
    <row r="42">
      <c r="A42" s="49">
        <f>IF(Mitarbeiter!B42="","",Mitarbeiter!A42)</f>
        <v/>
      </c>
      <c r="B42" s="50">
        <f>IF(Mitarbeiter!B42="","",Mitarbeiter!B42)</f>
        <v/>
      </c>
      <c r="C42" s="51">
        <f>IF(Mitarbeiter!B42="","",Mitarbeiter!F42)</f>
        <v/>
      </c>
      <c r="D42" s="52" t="n"/>
      <c r="E42" s="52" t="n"/>
      <c r="F42" s="52" t="n"/>
      <c r="G42" s="52" t="n"/>
      <c r="H42" s="52" t="n"/>
      <c r="I42" s="52" t="n"/>
      <c r="J42" s="52" t="n"/>
      <c r="K42" s="52" t="n"/>
      <c r="L42" s="52" t="n"/>
      <c r="M42" s="52" t="n"/>
      <c r="N42" s="52" t="n"/>
      <c r="O42" s="52" t="n"/>
      <c r="P42" s="25">
        <f>IF($B42="","",SUM(D42:O42))</f>
        <v/>
      </c>
      <c r="Q42" s="52" t="n">
        <v>1</v>
      </c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25">
        <f>IF($B42="","",SUM(Q42:AB42))</f>
        <v/>
      </c>
      <c r="AD42" s="25">
        <f>IF($B42="","",SUM(P42,AC42))</f>
        <v/>
      </c>
      <c r="AE42" s="37">
        <f>IF($B42="","",AD42*N(C42))</f>
        <v/>
      </c>
      <c r="AF42" s="53">
        <f>IF(Mitarbeiter!B42="","",Mitarbeiter!C42)</f>
        <v/>
      </c>
      <c r="AG42" s="53">
        <f>IF(OR(Mitarbeiter!B42="",Mitarbeiter!D42=""),"",Mitarbeiter!D42)</f>
        <v/>
      </c>
    </row>
    <row r="43">
      <c r="A43" s="49">
        <f>IF(Mitarbeiter!B43="","",Mitarbeiter!A43)</f>
        <v/>
      </c>
      <c r="B43" s="50">
        <f>IF(Mitarbeiter!B43="","",Mitarbeiter!B43)</f>
        <v/>
      </c>
      <c r="C43" s="51">
        <f>IF(Mitarbeiter!B43="","",Mitarbeiter!F43)</f>
        <v/>
      </c>
      <c r="D43" s="52" t="n"/>
      <c r="E43" s="52" t="n"/>
      <c r="F43" s="52" t="n"/>
      <c r="G43" s="52" t="n"/>
      <c r="H43" s="52" t="n"/>
      <c r="I43" s="52" t="n"/>
      <c r="J43" s="52" t="n"/>
      <c r="K43" s="52" t="n"/>
      <c r="L43" s="52" t="n"/>
      <c r="M43" s="52" t="n"/>
      <c r="N43" s="52" t="n"/>
      <c r="O43" s="52" t="n"/>
      <c r="P43" s="25">
        <f>IF($B43="","",SUM(D43:O43))</f>
        <v/>
      </c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25">
        <f>IF($B43="","",SUM(Q43:AB43))</f>
        <v/>
      </c>
      <c r="AD43" s="25">
        <f>IF($B43="","",SUM(P43,AC43))</f>
        <v/>
      </c>
      <c r="AE43" s="37">
        <f>IF($B43="","",AD43*N(C43))</f>
        <v/>
      </c>
      <c r="AF43" s="53">
        <f>IF(Mitarbeiter!B43="","",Mitarbeiter!C43)</f>
        <v/>
      </c>
      <c r="AG43" s="53">
        <f>IF(OR(Mitarbeiter!B43="",Mitarbeiter!D43=""),"",Mitarbeiter!D43)</f>
        <v/>
      </c>
    </row>
    <row r="44">
      <c r="A44" s="49">
        <f>IF(Mitarbeiter!B44="","",Mitarbeiter!A44)</f>
        <v/>
      </c>
      <c r="B44" s="50">
        <f>IF(Mitarbeiter!B44="","",Mitarbeiter!B44)</f>
        <v/>
      </c>
      <c r="C44" s="51">
        <f>IF(Mitarbeiter!B44="","",Mitarbeiter!F44)</f>
        <v/>
      </c>
      <c r="D44" s="52" t="n"/>
      <c r="E44" s="52" t="n"/>
      <c r="F44" s="52" t="n"/>
      <c r="G44" s="52" t="n"/>
      <c r="H44" s="52" t="n"/>
      <c r="I44" s="52" t="n"/>
      <c r="J44" s="52" t="n"/>
      <c r="K44" s="52" t="n"/>
      <c r="L44" s="52" t="n"/>
      <c r="M44" s="52" t="n"/>
      <c r="N44" s="52" t="n"/>
      <c r="O44" s="52" t="n"/>
      <c r="P44" s="25">
        <f>IF($B44="","",SUM(D44:O44))</f>
        <v/>
      </c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25">
        <f>IF($B44="","",SUM(Q44:AB44))</f>
        <v/>
      </c>
      <c r="AD44" s="25">
        <f>IF($B44="","",SUM(P44,AC44))</f>
        <v/>
      </c>
      <c r="AE44" s="37">
        <f>IF($B44="","",AD44*N(C44))</f>
        <v/>
      </c>
      <c r="AF44" s="53">
        <f>IF(Mitarbeiter!B44="","",Mitarbeiter!C44)</f>
        <v/>
      </c>
      <c r="AG44" s="53">
        <f>IF(OR(Mitarbeiter!B44="",Mitarbeiter!D44=""),"",Mitarbeiter!D44)</f>
        <v/>
      </c>
    </row>
    <row r="45">
      <c r="A45" s="49">
        <f>IF(Mitarbeiter!B45="","",Mitarbeiter!A45)</f>
        <v/>
      </c>
      <c r="B45" s="50">
        <f>IF(Mitarbeiter!B45="","",Mitarbeiter!B45)</f>
        <v/>
      </c>
      <c r="C45" s="51">
        <f>IF(Mitarbeiter!B45="","",Mitarbeiter!F45)</f>
        <v/>
      </c>
      <c r="D45" s="52" t="n"/>
      <c r="E45" s="52" t="n"/>
      <c r="F45" s="52" t="n"/>
      <c r="G45" s="52" t="n"/>
      <c r="H45" s="52" t="n"/>
      <c r="I45" s="52" t="n"/>
      <c r="J45" s="52" t="n"/>
      <c r="K45" s="52" t="n"/>
      <c r="L45" s="52" t="n">
        <v>3</v>
      </c>
      <c r="M45" s="52" t="n"/>
      <c r="N45" s="52" t="n"/>
      <c r="O45" s="52" t="n"/>
      <c r="P45" s="25">
        <f>IF($B45="","",SUM(D45:O45))</f>
        <v/>
      </c>
      <c r="Q45" s="52" t="n">
        <v>12</v>
      </c>
      <c r="R45" s="52" t="n"/>
      <c r="S45" s="52" t="n">
        <v>5</v>
      </c>
      <c r="T45" s="52" t="n"/>
      <c r="U45" s="52" t="n"/>
      <c r="V45" s="52" t="n"/>
      <c r="W45" s="52" t="n">
        <v>1</v>
      </c>
      <c r="X45" s="52" t="n"/>
      <c r="Y45" s="52" t="n"/>
      <c r="Z45" s="52" t="n"/>
      <c r="AA45" s="52" t="n"/>
      <c r="AB45" s="52" t="n"/>
      <c r="AC45" s="25">
        <f>IF($B45="","",SUM(Q45:AB45))</f>
        <v/>
      </c>
      <c r="AD45" s="25">
        <f>IF($B45="","",SUM(P45,AC45))</f>
        <v/>
      </c>
      <c r="AE45" s="37">
        <f>IF($B45="","",AD45*N(C45))</f>
        <v/>
      </c>
      <c r="AF45" s="53">
        <f>IF(Mitarbeiter!B45="","",Mitarbeiter!C45)</f>
        <v/>
      </c>
      <c r="AG45" s="53">
        <f>IF(OR(Mitarbeiter!B45="",Mitarbeiter!D45=""),"",Mitarbeiter!D45)</f>
        <v/>
      </c>
    </row>
    <row r="46">
      <c r="A46" s="49">
        <f>IF(Mitarbeiter!B46="","",Mitarbeiter!A46)</f>
        <v/>
      </c>
      <c r="B46" s="50">
        <f>IF(Mitarbeiter!B46="","",Mitarbeiter!B46)</f>
        <v/>
      </c>
      <c r="C46" s="51">
        <f>IF(Mitarbeiter!B46="","",Mitarbeiter!F46)</f>
        <v/>
      </c>
      <c r="D46" s="52" t="n"/>
      <c r="E46" s="52" t="n"/>
      <c r="F46" s="52" t="n"/>
      <c r="G46" s="52" t="n"/>
      <c r="H46" s="52" t="n"/>
      <c r="I46" s="52" t="n"/>
      <c r="J46" s="52" t="n"/>
      <c r="K46" s="52" t="n"/>
      <c r="L46" s="52" t="n"/>
      <c r="M46" s="52" t="n"/>
      <c r="N46" s="52" t="n"/>
      <c r="O46" s="52" t="n"/>
      <c r="P46" s="25">
        <f>IF($B46="","",SUM(D46:O46))</f>
        <v/>
      </c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25">
        <f>IF($B46="","",SUM(Q46:AB46))</f>
        <v/>
      </c>
      <c r="AD46" s="25">
        <f>IF($B46="","",SUM(P46,AC46))</f>
        <v/>
      </c>
      <c r="AE46" s="37">
        <f>IF($B46="","",AD46*N(C46))</f>
        <v/>
      </c>
      <c r="AF46" s="53">
        <f>IF(Mitarbeiter!B46="","",Mitarbeiter!C46)</f>
        <v/>
      </c>
      <c r="AG46" s="53">
        <f>IF(OR(Mitarbeiter!B46="",Mitarbeiter!D46=""),"",Mitarbeiter!D46)</f>
        <v/>
      </c>
    </row>
    <row r="47">
      <c r="A47" s="49">
        <f>IF(Mitarbeiter!B47="","",Mitarbeiter!A47)</f>
        <v/>
      </c>
      <c r="B47" s="50">
        <f>IF(Mitarbeiter!B47="","",Mitarbeiter!B47)</f>
        <v/>
      </c>
      <c r="C47" s="51">
        <f>IF(Mitarbeiter!B47="","",Mitarbeiter!F47)</f>
        <v/>
      </c>
      <c r="D47" s="52" t="n"/>
      <c r="E47" s="52" t="n">
        <v>3</v>
      </c>
      <c r="F47" s="52" t="n"/>
      <c r="G47" s="52" t="n"/>
      <c r="H47" s="52" t="n"/>
      <c r="I47" s="52" t="n">
        <v>1</v>
      </c>
      <c r="J47" s="52" t="n">
        <v>1</v>
      </c>
      <c r="K47" s="52" t="n"/>
      <c r="L47" s="52" t="n"/>
      <c r="M47" s="52" t="n"/>
      <c r="N47" s="52" t="n"/>
      <c r="O47" s="52" t="n"/>
      <c r="P47" s="25">
        <f>IF($B47="","",SUM(D47:O47))</f>
        <v/>
      </c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25">
        <f>IF($B47="","",SUM(Q47:AB47))</f>
        <v/>
      </c>
      <c r="AD47" s="25">
        <f>IF($B47="","",SUM(P47,AC47))</f>
        <v/>
      </c>
      <c r="AE47" s="37">
        <f>IF($B47="","",AD47*N(C47))</f>
        <v/>
      </c>
      <c r="AF47" s="53">
        <f>IF(Mitarbeiter!B47="","",Mitarbeiter!C47)</f>
        <v/>
      </c>
      <c r="AG47" s="53">
        <f>IF(OR(Mitarbeiter!B47="",Mitarbeiter!D47=""),"",Mitarbeiter!D47)</f>
        <v/>
      </c>
    </row>
    <row r="48">
      <c r="A48" s="49">
        <f>IF(Mitarbeiter!B48="","",Mitarbeiter!A48)</f>
        <v/>
      </c>
      <c r="B48" s="50">
        <f>IF(Mitarbeiter!B48="","",Mitarbeiter!B48)</f>
        <v/>
      </c>
      <c r="C48" s="51">
        <f>IF(Mitarbeiter!B48="","",Mitarbeiter!F48)</f>
        <v/>
      </c>
      <c r="D48" s="52" t="n">
        <v>1</v>
      </c>
      <c r="E48" s="52" t="n"/>
      <c r="F48" s="52" t="n"/>
      <c r="G48" s="52" t="n"/>
      <c r="H48" s="52" t="n"/>
      <c r="I48" s="52" t="n"/>
      <c r="J48" s="52" t="n"/>
      <c r="K48" s="52" t="n"/>
      <c r="L48" s="52" t="n"/>
      <c r="M48" s="52" t="n"/>
      <c r="N48" s="52" t="n"/>
      <c r="O48" s="52" t="n"/>
      <c r="P48" s="25">
        <f>IF($B48="","",SUM(D48:O48))</f>
        <v/>
      </c>
      <c r="Q48" s="52" t="n"/>
      <c r="R48" s="52" t="n">
        <v>5</v>
      </c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25">
        <f>IF($B48="","",SUM(Q48:AB48))</f>
        <v/>
      </c>
      <c r="AD48" s="25">
        <f>IF($B48="","",SUM(P48,AC48))</f>
        <v/>
      </c>
      <c r="AE48" s="37">
        <f>IF($B48="","",AD48*N(C48))</f>
        <v/>
      </c>
      <c r="AF48" s="53">
        <f>IF(Mitarbeiter!B48="","",Mitarbeiter!C48)</f>
        <v/>
      </c>
      <c r="AG48" s="53">
        <f>IF(OR(Mitarbeiter!B48="",Mitarbeiter!D48=""),"",Mitarbeiter!D48)</f>
        <v/>
      </c>
    </row>
    <row r="49">
      <c r="A49" s="49">
        <f>IF(Mitarbeiter!B49="","",Mitarbeiter!A49)</f>
        <v/>
      </c>
      <c r="B49" s="50">
        <f>IF(Mitarbeiter!B49="","",Mitarbeiter!B49)</f>
        <v/>
      </c>
      <c r="C49" s="51">
        <f>IF(Mitarbeiter!B49="","",Mitarbeiter!F49)</f>
        <v/>
      </c>
      <c r="D49" s="52" t="n"/>
      <c r="E49" s="52" t="n"/>
      <c r="F49" s="52" t="n"/>
      <c r="G49" s="52" t="n"/>
      <c r="H49" s="52" t="n"/>
      <c r="I49" s="52" t="n"/>
      <c r="J49" s="52" t="n"/>
      <c r="K49" s="52" t="n"/>
      <c r="L49" s="52" t="n"/>
      <c r="M49" s="52" t="n"/>
      <c r="N49" s="52" t="n"/>
      <c r="O49" s="52" t="n"/>
      <c r="P49" s="25">
        <f>IF($B49="","",SUM(D49:O49))</f>
        <v/>
      </c>
      <c r="Q49" s="52" t="n"/>
      <c r="R49" s="52" t="n">
        <v>1</v>
      </c>
      <c r="S49" s="52" t="n">
        <v>12</v>
      </c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25">
        <f>IF($B49="","",SUM(Q49:AB49))</f>
        <v/>
      </c>
      <c r="AD49" s="25">
        <f>IF($B49="","",SUM(P49,AC49))</f>
        <v/>
      </c>
      <c r="AE49" s="37">
        <f>IF($B49="","",AD49*N(C49))</f>
        <v/>
      </c>
      <c r="AF49" s="53">
        <f>IF(Mitarbeiter!B49="","",Mitarbeiter!C49)</f>
        <v/>
      </c>
      <c r="AG49" s="53">
        <f>IF(OR(Mitarbeiter!B49="",Mitarbeiter!D49=""),"",Mitarbeiter!D49)</f>
        <v/>
      </c>
    </row>
    <row r="50">
      <c r="A50" s="49">
        <f>IF(Mitarbeiter!B50="","",Mitarbeiter!A50)</f>
        <v/>
      </c>
      <c r="B50" s="50">
        <f>IF(Mitarbeiter!B50="","",Mitarbeiter!B50)</f>
        <v/>
      </c>
      <c r="C50" s="51">
        <f>IF(Mitarbeiter!B50="","",Mitarbeiter!F50)</f>
        <v/>
      </c>
      <c r="D50" s="52" t="n"/>
      <c r="E50" s="52" t="n"/>
      <c r="F50" s="52" t="n"/>
      <c r="G50" s="52" t="n"/>
      <c r="H50" s="52" t="n"/>
      <c r="I50" s="52" t="n"/>
      <c r="J50" s="52" t="n"/>
      <c r="K50" s="52" t="n"/>
      <c r="L50" s="52" t="n"/>
      <c r="M50" s="52" t="n"/>
      <c r="N50" s="52" t="n"/>
      <c r="O50" s="52" t="n"/>
      <c r="P50" s="25">
        <f>IF($B50="","",SUM(D50:O50))</f>
        <v/>
      </c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25">
        <f>IF($B50="","",SUM(Q50:AB50))</f>
        <v/>
      </c>
      <c r="AD50" s="25">
        <f>IF($B50="","",SUM(P50,AC50))</f>
        <v/>
      </c>
      <c r="AE50" s="37">
        <f>IF($B50="","",AD50*N(C50))</f>
        <v/>
      </c>
      <c r="AF50" s="53">
        <f>IF(Mitarbeiter!B50="","",Mitarbeiter!C50)</f>
        <v/>
      </c>
      <c r="AG50" s="53">
        <f>IF(OR(Mitarbeiter!B50="",Mitarbeiter!D50=""),"",Mitarbeiter!D50)</f>
        <v/>
      </c>
    </row>
    <row r="51">
      <c r="A51" s="49">
        <f>IF(Mitarbeiter!B51="","",Mitarbeiter!A51)</f>
        <v/>
      </c>
      <c r="B51" s="50">
        <f>IF(Mitarbeiter!B51="","",Mitarbeiter!B51)</f>
        <v/>
      </c>
      <c r="C51" s="51">
        <f>IF(Mitarbeiter!B51="","",Mitarbeiter!F51)</f>
        <v/>
      </c>
      <c r="D51" s="52" t="n"/>
      <c r="E51" s="52" t="n"/>
      <c r="F51" s="52" t="n"/>
      <c r="G51" s="52" t="n"/>
      <c r="H51" s="52" t="n"/>
      <c r="I51" s="52" t="n"/>
      <c r="J51" s="52" t="n"/>
      <c r="K51" s="52" t="n"/>
      <c r="L51" s="52" t="n"/>
      <c r="M51" s="52" t="n"/>
      <c r="N51" s="52" t="n"/>
      <c r="O51" s="52" t="n"/>
      <c r="P51" s="25">
        <f>IF($B51="","",SUM(D51:O51))</f>
        <v/>
      </c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25">
        <f>IF($B51="","",SUM(Q51:AB51))</f>
        <v/>
      </c>
      <c r="AD51" s="25">
        <f>IF($B51="","",SUM(P51,AC51))</f>
        <v/>
      </c>
      <c r="AE51" s="37">
        <f>IF($B51="","",AD51*N(C51))</f>
        <v/>
      </c>
      <c r="AF51" s="53">
        <f>IF(Mitarbeiter!B51="","",Mitarbeiter!C51)</f>
        <v/>
      </c>
      <c r="AG51" s="53">
        <f>IF(OR(Mitarbeiter!B51="",Mitarbeiter!D51=""),"",Mitarbeiter!D51)</f>
        <v/>
      </c>
    </row>
    <row r="52">
      <c r="A52" s="49">
        <f>IF(Mitarbeiter!B52="","",Mitarbeiter!A52)</f>
        <v/>
      </c>
      <c r="B52" s="50">
        <f>IF(Mitarbeiter!B52="","",Mitarbeiter!B52)</f>
        <v/>
      </c>
      <c r="C52" s="51">
        <f>IF(Mitarbeiter!B52="","",Mitarbeiter!F52)</f>
        <v/>
      </c>
      <c r="D52" s="52" t="n"/>
      <c r="E52" s="52" t="n"/>
      <c r="F52" s="52" t="n"/>
      <c r="G52" s="52" t="n"/>
      <c r="H52" s="52" t="n"/>
      <c r="I52" s="52" t="n"/>
      <c r="J52" s="52" t="n"/>
      <c r="K52" s="52" t="n"/>
      <c r="L52" s="52" t="n"/>
      <c r="M52" s="52" t="n"/>
      <c r="N52" s="52" t="n"/>
      <c r="O52" s="52" t="n"/>
      <c r="P52" s="25">
        <f>IF($B52="","",SUM(D52:O52))</f>
        <v/>
      </c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>
        <v>5</v>
      </c>
      <c r="Z52" s="52" t="n"/>
      <c r="AA52" s="52" t="n"/>
      <c r="AB52" s="52" t="n"/>
      <c r="AC52" s="25">
        <f>IF($B52="","",SUM(Q52:AB52))</f>
        <v/>
      </c>
      <c r="AD52" s="25">
        <f>IF($B52="","",SUM(P52,AC52))</f>
        <v/>
      </c>
      <c r="AE52" s="37">
        <f>IF($B52="","",AD52*N(C52))</f>
        <v/>
      </c>
      <c r="AF52" s="53">
        <f>IF(Mitarbeiter!B52="","",Mitarbeiter!C52)</f>
        <v/>
      </c>
      <c r="AG52" s="53">
        <f>IF(OR(Mitarbeiter!B52="",Mitarbeiter!D52=""),"",Mitarbeiter!D52)</f>
        <v/>
      </c>
    </row>
    <row r="53">
      <c r="A53" s="49">
        <f>IF(Mitarbeiter!B53="","",Mitarbeiter!A53)</f>
        <v/>
      </c>
      <c r="B53" s="50">
        <f>IF(Mitarbeiter!B53="","",Mitarbeiter!B53)</f>
        <v/>
      </c>
      <c r="C53" s="51">
        <f>IF(Mitarbeiter!B53="","",Mitarbeiter!F53)</f>
        <v/>
      </c>
      <c r="D53" s="52" t="n"/>
      <c r="E53" s="52" t="n">
        <v>12</v>
      </c>
      <c r="F53" s="52" t="n"/>
      <c r="G53" s="52" t="n"/>
      <c r="H53" s="52" t="n"/>
      <c r="I53" s="52" t="n"/>
      <c r="J53" s="52" t="n"/>
      <c r="K53" s="52" t="n"/>
      <c r="L53" s="52" t="n"/>
      <c r="M53" s="52" t="n"/>
      <c r="N53" s="52" t="n"/>
      <c r="O53" s="52" t="n"/>
      <c r="P53" s="25">
        <f>IF($B53="","",SUM(D53:O53))</f>
        <v/>
      </c>
      <c r="Q53" s="52" t="n"/>
      <c r="R53" s="52" t="n"/>
      <c r="S53" s="52" t="n">
        <v>1</v>
      </c>
      <c r="T53" s="52" t="n"/>
      <c r="U53" s="52" t="n"/>
      <c r="V53" s="52" t="n"/>
      <c r="W53" s="52" t="n"/>
      <c r="X53" s="52" t="n"/>
      <c r="Y53" s="52" t="n"/>
      <c r="Z53" s="52" t="n"/>
      <c r="AA53" s="52" t="n"/>
      <c r="AB53" s="52" t="n"/>
      <c r="AC53" s="25">
        <f>IF($B53="","",SUM(Q53:AB53))</f>
        <v/>
      </c>
      <c r="AD53" s="25">
        <f>IF($B53="","",SUM(P53,AC53))</f>
        <v/>
      </c>
      <c r="AE53" s="37">
        <f>IF($B53="","",AD53*N(C53))</f>
        <v/>
      </c>
      <c r="AF53" s="53">
        <f>IF(Mitarbeiter!B53="","",Mitarbeiter!C53)</f>
        <v/>
      </c>
      <c r="AG53" s="53">
        <f>IF(OR(Mitarbeiter!B53="",Mitarbeiter!D53=""),"",Mitarbeiter!D53)</f>
        <v/>
      </c>
    </row>
    <row r="54">
      <c r="A54" s="49">
        <f>IF(Mitarbeiter!B54="","",Mitarbeiter!A54)</f>
        <v/>
      </c>
      <c r="B54" s="50">
        <f>IF(Mitarbeiter!B54="","",Mitarbeiter!B54)</f>
        <v/>
      </c>
      <c r="C54" s="51">
        <f>IF(Mitarbeiter!B54="","",Mitarbeiter!F54)</f>
        <v/>
      </c>
      <c r="D54" s="52" t="n"/>
      <c r="E54" s="52" t="n"/>
      <c r="F54" s="52" t="n"/>
      <c r="G54" s="52" t="n"/>
      <c r="H54" s="52" t="n">
        <v>3</v>
      </c>
      <c r="I54" s="52" t="n"/>
      <c r="J54" s="52" t="n"/>
      <c r="K54" s="52" t="n"/>
      <c r="L54" s="52" t="n">
        <v>2</v>
      </c>
      <c r="M54" s="52" t="n"/>
      <c r="N54" s="52" t="n"/>
      <c r="O54" s="52" t="n"/>
      <c r="P54" s="25">
        <f>IF($B54="","",SUM(D54:O54))</f>
        <v/>
      </c>
      <c r="Q54" s="52" t="n"/>
      <c r="R54" s="52" t="n"/>
      <c r="S54" s="52" t="n"/>
      <c r="T54" s="52" t="n"/>
      <c r="U54" s="52" t="n">
        <v>3</v>
      </c>
      <c r="V54" s="52" t="n"/>
      <c r="W54" s="52" t="n">
        <v>5</v>
      </c>
      <c r="X54" s="52" t="n"/>
      <c r="Y54" s="52" t="n"/>
      <c r="Z54" s="52" t="n"/>
      <c r="AA54" s="52" t="n"/>
      <c r="AB54" s="52" t="n"/>
      <c r="AC54" s="25">
        <f>IF($B54="","",SUM(Q54:AB54))</f>
        <v/>
      </c>
      <c r="AD54" s="25">
        <f>IF($B54="","",SUM(P54,AC54))</f>
        <v/>
      </c>
      <c r="AE54" s="37">
        <f>IF($B54="","",AD54*N(C54))</f>
        <v/>
      </c>
      <c r="AF54" s="53">
        <f>IF(Mitarbeiter!B54="","",Mitarbeiter!C54)</f>
        <v/>
      </c>
      <c r="AG54" s="53">
        <f>IF(OR(Mitarbeiter!B54="",Mitarbeiter!D54=""),"",Mitarbeiter!D54)</f>
        <v/>
      </c>
    </row>
    <row r="55">
      <c r="A55" s="49">
        <f>IF(Mitarbeiter!B55="","",Mitarbeiter!A55)</f>
        <v/>
      </c>
      <c r="B55" s="50">
        <f>IF(Mitarbeiter!B55="","",Mitarbeiter!B55)</f>
        <v/>
      </c>
      <c r="C55" s="51">
        <f>IF(Mitarbeiter!B55="","",Mitarbeiter!F55)</f>
        <v/>
      </c>
      <c r="D55" s="52" t="n"/>
      <c r="E55" s="52" t="n"/>
      <c r="F55" s="52" t="n"/>
      <c r="G55" s="52" t="n"/>
      <c r="H55" s="52" t="n">
        <v>1</v>
      </c>
      <c r="I55" s="52" t="n"/>
      <c r="J55" s="52" t="n"/>
      <c r="K55" s="52" t="n"/>
      <c r="L55" s="52" t="n"/>
      <c r="M55" s="52" t="n"/>
      <c r="N55" s="52" t="n"/>
      <c r="O55" s="52" t="n"/>
      <c r="P55" s="25">
        <f>IF($B55="","",SUM(D55:O55))</f>
        <v/>
      </c>
      <c r="Q55" s="52" t="n"/>
      <c r="R55" s="52" t="n"/>
      <c r="S55" s="52" t="n"/>
      <c r="T55" s="52" t="n"/>
      <c r="U55" s="52" t="n">
        <v>2</v>
      </c>
      <c r="V55" s="52" t="n"/>
      <c r="W55" s="52" t="n">
        <v>12</v>
      </c>
      <c r="X55" s="52" t="n"/>
      <c r="Y55" s="52" t="n"/>
      <c r="Z55" s="52" t="n"/>
      <c r="AA55" s="52" t="n"/>
      <c r="AB55" s="52" t="n"/>
      <c r="AC55" s="25">
        <f>IF($B55="","",SUM(Q55:AB55))</f>
        <v/>
      </c>
      <c r="AD55" s="25">
        <f>IF($B55="","",SUM(P55,AC55))</f>
        <v/>
      </c>
      <c r="AE55" s="37">
        <f>IF($B55="","",AD55*N(C55))</f>
        <v/>
      </c>
      <c r="AF55" s="53">
        <f>IF(Mitarbeiter!B55="","",Mitarbeiter!C55)</f>
        <v/>
      </c>
      <c r="AG55" s="53">
        <f>IF(OR(Mitarbeiter!B55="",Mitarbeiter!D55=""),"",Mitarbeiter!D55)</f>
        <v/>
      </c>
    </row>
    <row r="56">
      <c r="A56" s="49">
        <f>IF(Mitarbeiter!B56="","",Mitarbeiter!A56)</f>
        <v/>
      </c>
      <c r="B56" s="50">
        <f>IF(Mitarbeiter!B56="","",Mitarbeiter!B56)</f>
        <v/>
      </c>
      <c r="C56" s="51">
        <f>IF(Mitarbeiter!B56="","",Mitarbeiter!F56)</f>
        <v/>
      </c>
      <c r="D56" s="52" t="n"/>
      <c r="E56" s="52" t="n"/>
      <c r="F56" s="52" t="n"/>
      <c r="G56" s="52" t="n"/>
      <c r="H56" s="52" t="n"/>
      <c r="I56" s="52" t="n"/>
      <c r="J56" s="52" t="n"/>
      <c r="K56" s="52" t="n"/>
      <c r="L56" s="52" t="n"/>
      <c r="M56" s="52" t="n"/>
      <c r="N56" s="52" t="n"/>
      <c r="O56" s="52" t="n"/>
      <c r="P56" s="25">
        <f>IF($B56="","",SUM(D56:O56))</f>
        <v/>
      </c>
      <c r="Q56" s="52" t="n"/>
      <c r="R56" s="52" t="n"/>
      <c r="S56" s="52" t="n"/>
      <c r="T56" s="52" t="n"/>
      <c r="U56" s="52" t="n"/>
      <c r="V56" s="52" t="n"/>
      <c r="W56" s="52" t="n"/>
      <c r="X56" s="52" t="n"/>
      <c r="Y56" s="52" t="n">
        <v>7</v>
      </c>
      <c r="Z56" s="52" t="n"/>
      <c r="AA56" s="52" t="n"/>
      <c r="AB56" s="52" t="n"/>
      <c r="AC56" s="25">
        <f>IF($B56="","",SUM(Q56:AB56))</f>
        <v/>
      </c>
      <c r="AD56" s="25">
        <f>IF($B56="","",SUM(P56,AC56))</f>
        <v/>
      </c>
      <c r="AE56" s="37">
        <f>IF($B56="","",AD56*N(C56))</f>
        <v/>
      </c>
      <c r="AF56" s="53">
        <f>IF(Mitarbeiter!B56="","",Mitarbeiter!C56)</f>
        <v/>
      </c>
      <c r="AG56" s="53">
        <f>IF(OR(Mitarbeiter!B56="",Mitarbeiter!D56=""),"",Mitarbeiter!D56)</f>
        <v/>
      </c>
    </row>
    <row r="57">
      <c r="A57" s="49">
        <f>IF(Mitarbeiter!B57="","",Mitarbeiter!A57)</f>
        <v/>
      </c>
      <c r="B57" s="50">
        <f>IF(Mitarbeiter!B57="","",Mitarbeiter!B57)</f>
        <v/>
      </c>
      <c r="C57" s="51">
        <f>IF(Mitarbeiter!B57="","",Mitarbeiter!F57)</f>
        <v/>
      </c>
      <c r="D57" s="52" t="n"/>
      <c r="E57" s="52" t="n"/>
      <c r="F57" s="52" t="n">
        <v>1</v>
      </c>
      <c r="G57" s="52" t="n"/>
      <c r="H57" s="52" t="n"/>
      <c r="I57" s="52" t="n"/>
      <c r="J57" s="52" t="n">
        <v>3</v>
      </c>
      <c r="K57" s="52" t="n"/>
      <c r="L57" s="52" t="n"/>
      <c r="M57" s="52" t="n"/>
      <c r="N57" s="52" t="n"/>
      <c r="O57" s="52" t="n"/>
      <c r="P57" s="25">
        <f>IF($B57="","",SUM(D57:O57))</f>
        <v/>
      </c>
      <c r="Q57" s="52" t="n"/>
      <c r="R57" s="52" t="n"/>
      <c r="S57" s="52" t="n"/>
      <c r="T57" s="52" t="n"/>
      <c r="U57" s="52" t="n"/>
      <c r="V57" s="52" t="n"/>
      <c r="W57" s="52" t="n"/>
      <c r="X57" s="52" t="n"/>
      <c r="Y57" s="52" t="n"/>
      <c r="Z57" s="52" t="n"/>
      <c r="AA57" s="52" t="n"/>
      <c r="AB57" s="52" t="n"/>
      <c r="AC57" s="25">
        <f>IF($B57="","",SUM(Q57:AB57))</f>
        <v/>
      </c>
      <c r="AD57" s="25">
        <f>IF($B57="","",SUM(P57,AC57))</f>
        <v/>
      </c>
      <c r="AE57" s="37">
        <f>IF($B57="","",AD57*N(C57))</f>
        <v/>
      </c>
      <c r="AF57" s="53">
        <f>IF(Mitarbeiter!B57="","",Mitarbeiter!C57)</f>
        <v/>
      </c>
      <c r="AG57" s="53">
        <f>IF(OR(Mitarbeiter!B57="",Mitarbeiter!D57=""),"",Mitarbeiter!D57)</f>
        <v/>
      </c>
    </row>
    <row r="58">
      <c r="A58" s="49">
        <f>IF(Mitarbeiter!B58="","",Mitarbeiter!A58)</f>
        <v/>
      </c>
      <c r="B58" s="50">
        <f>IF(Mitarbeiter!B58="","",Mitarbeiter!B58)</f>
        <v/>
      </c>
      <c r="C58" s="51">
        <f>IF(Mitarbeiter!B58="","",Mitarbeiter!F58)</f>
        <v/>
      </c>
      <c r="D58" s="52" t="n"/>
      <c r="E58" s="52" t="n"/>
      <c r="F58" s="52" t="n"/>
      <c r="G58" s="52" t="n">
        <v>7</v>
      </c>
      <c r="H58" s="52" t="n"/>
      <c r="I58" s="52" t="n"/>
      <c r="J58" s="52" t="n"/>
      <c r="K58" s="52" t="n"/>
      <c r="L58" s="52" t="n"/>
      <c r="M58" s="52" t="n"/>
      <c r="N58" s="52" t="n"/>
      <c r="O58" s="52" t="n"/>
      <c r="P58" s="25">
        <f>IF($B58="","",SUM(D58:O58))</f>
        <v/>
      </c>
      <c r="Q58" s="52" t="n"/>
      <c r="R58" s="52" t="n"/>
      <c r="S58" s="52" t="n"/>
      <c r="T58" s="52" t="n"/>
      <c r="U58" s="52" t="n"/>
      <c r="V58" s="52" t="n"/>
      <c r="W58" s="52" t="n">
        <v>3</v>
      </c>
      <c r="X58" s="52" t="n"/>
      <c r="Y58" s="52" t="n"/>
      <c r="Z58" s="52" t="n"/>
      <c r="AA58" s="52" t="n"/>
      <c r="AB58" s="52" t="n"/>
      <c r="AC58" s="25">
        <f>IF($B58="","",SUM(Q58:AB58))</f>
        <v/>
      </c>
      <c r="AD58" s="25">
        <f>IF($B58="","",SUM(P58,AC58))</f>
        <v/>
      </c>
      <c r="AE58" s="37">
        <f>IF($B58="","",AD58*N(C58))</f>
        <v/>
      </c>
      <c r="AF58" s="53">
        <f>IF(Mitarbeiter!B58="","",Mitarbeiter!C58)</f>
        <v/>
      </c>
      <c r="AG58" s="53">
        <f>IF(OR(Mitarbeiter!B58="",Mitarbeiter!D58=""),"",Mitarbeiter!D58)</f>
        <v/>
      </c>
    </row>
    <row r="59">
      <c r="A59" s="49">
        <f>IF(Mitarbeiter!B59="","",Mitarbeiter!A59)</f>
        <v/>
      </c>
      <c r="B59" s="50">
        <f>IF(Mitarbeiter!B59="","",Mitarbeiter!B59)</f>
        <v/>
      </c>
      <c r="C59" s="51">
        <f>IF(Mitarbeiter!B59="","",Mitarbeiter!F59)</f>
        <v/>
      </c>
      <c r="D59" s="52" t="n"/>
      <c r="E59" s="52" t="n"/>
      <c r="F59" s="52" t="n"/>
      <c r="G59" s="52" t="n"/>
      <c r="H59" s="52" t="n"/>
      <c r="I59" s="52" t="n"/>
      <c r="J59" s="52" t="n"/>
      <c r="K59" s="52" t="n"/>
      <c r="L59" s="52" t="n"/>
      <c r="M59" s="52" t="n"/>
      <c r="N59" s="52" t="n"/>
      <c r="O59" s="52" t="n"/>
      <c r="P59" s="25">
        <f>IF($B59="","",SUM(D59:O59))</f>
        <v/>
      </c>
      <c r="Q59" s="52" t="n"/>
      <c r="R59" s="52" t="n"/>
      <c r="S59" s="52" t="n"/>
      <c r="T59" s="52" t="n"/>
      <c r="U59" s="52" t="n"/>
      <c r="V59" s="52" t="n"/>
      <c r="W59" s="52" t="n"/>
      <c r="X59" s="52" t="n"/>
      <c r="Y59" s="52" t="n"/>
      <c r="Z59" s="52" t="n"/>
      <c r="AA59" s="52" t="n"/>
      <c r="AB59" s="52" t="n"/>
      <c r="AC59" s="25">
        <f>IF($B59="","",SUM(Q59:AB59))</f>
        <v/>
      </c>
      <c r="AD59" s="25">
        <f>IF($B59="","",SUM(P59,AC59))</f>
        <v/>
      </c>
      <c r="AE59" s="37">
        <f>IF($B59="","",AD59*N(C59))</f>
        <v/>
      </c>
      <c r="AF59" s="53">
        <f>IF(Mitarbeiter!B59="","",Mitarbeiter!C59)</f>
        <v/>
      </c>
      <c r="AG59" s="53">
        <f>IF(OR(Mitarbeiter!B59="",Mitarbeiter!D59=""),"",Mitarbeiter!D59)</f>
        <v/>
      </c>
    </row>
    <row r="60">
      <c r="A60" s="49">
        <f>IF(Mitarbeiter!B60="","",Mitarbeiter!A60)</f>
        <v/>
      </c>
      <c r="B60" s="50">
        <f>IF(Mitarbeiter!B60="","",Mitarbeiter!B60)</f>
        <v/>
      </c>
      <c r="C60" s="51">
        <f>IF(Mitarbeiter!B60="","",Mitarbeiter!F60)</f>
        <v/>
      </c>
      <c r="D60" s="52" t="n"/>
      <c r="E60" s="52" t="n"/>
      <c r="F60" s="52" t="n">
        <v>3</v>
      </c>
      <c r="G60" s="52" t="n"/>
      <c r="H60" s="52" t="n"/>
      <c r="I60" s="52" t="n"/>
      <c r="J60" s="52" t="n"/>
      <c r="K60" s="52" t="n"/>
      <c r="L60" s="52" t="n"/>
      <c r="M60" s="52" t="n"/>
      <c r="N60" s="52" t="n"/>
      <c r="O60" s="52" t="n"/>
      <c r="P60" s="25">
        <f>IF($B60="","",SUM(D60:O60))</f>
        <v/>
      </c>
      <c r="Q60" s="52" t="n"/>
      <c r="R60" s="52" t="n"/>
      <c r="S60" s="52" t="n"/>
      <c r="T60" s="52" t="n"/>
      <c r="U60" s="52" t="n"/>
      <c r="V60" s="52" t="n">
        <v>3</v>
      </c>
      <c r="W60" s="52" t="n">
        <v>3</v>
      </c>
      <c r="X60" s="52" t="n"/>
      <c r="Y60" s="52" t="n"/>
      <c r="Z60" s="52" t="n"/>
      <c r="AA60" s="52" t="n"/>
      <c r="AB60" s="52" t="n"/>
      <c r="AC60" s="25">
        <f>IF($B60="","",SUM(Q60:AB60))</f>
        <v/>
      </c>
      <c r="AD60" s="25">
        <f>IF($B60="","",SUM(P60,AC60))</f>
        <v/>
      </c>
      <c r="AE60" s="37">
        <f>IF($B60="","",AD60*N(C60))</f>
        <v/>
      </c>
      <c r="AF60" s="53">
        <f>IF(Mitarbeiter!B60="","",Mitarbeiter!C60)</f>
        <v/>
      </c>
      <c r="AG60" s="53">
        <f>IF(OR(Mitarbeiter!B60="",Mitarbeiter!D60=""),"",Mitarbeiter!D60)</f>
        <v/>
      </c>
    </row>
    <row r="61">
      <c r="A61" s="49">
        <f>IF(Mitarbeiter!B61="","",Mitarbeiter!A61)</f>
        <v/>
      </c>
      <c r="B61" s="50">
        <f>IF(Mitarbeiter!B61="","",Mitarbeiter!B61)</f>
        <v/>
      </c>
      <c r="C61" s="51">
        <f>IF(Mitarbeiter!B61="","",Mitarbeiter!F61)</f>
        <v/>
      </c>
      <c r="D61" s="52" t="n"/>
      <c r="E61" s="52" t="n"/>
      <c r="F61" s="52" t="n"/>
      <c r="G61" s="52" t="n"/>
      <c r="H61" s="52" t="n"/>
      <c r="I61" s="52" t="n"/>
      <c r="J61" s="52" t="n"/>
      <c r="K61" s="52" t="n"/>
      <c r="L61" s="52" t="n"/>
      <c r="M61" s="52" t="n"/>
      <c r="N61" s="52" t="n"/>
      <c r="O61" s="52" t="n"/>
      <c r="P61" s="25">
        <f>IF($B61="","",SUM(D61:O61))</f>
        <v/>
      </c>
      <c r="Q61" s="52" t="n"/>
      <c r="R61" s="52" t="n"/>
      <c r="S61" s="52" t="n"/>
      <c r="T61" s="52" t="n"/>
      <c r="U61" s="52" t="n"/>
      <c r="V61" s="52" t="n"/>
      <c r="W61" s="52" t="n"/>
      <c r="X61" s="52" t="n"/>
      <c r="Y61" s="52" t="n"/>
      <c r="Z61" s="52" t="n"/>
      <c r="AA61" s="52" t="n"/>
      <c r="AB61" s="52" t="n"/>
      <c r="AC61" s="25">
        <f>IF($B61="","",SUM(Q61:AB61))</f>
        <v/>
      </c>
      <c r="AD61" s="25">
        <f>IF($B61="","",SUM(P61,AC61))</f>
        <v/>
      </c>
      <c r="AE61" s="37">
        <f>IF($B61="","",AD61*N(C61))</f>
        <v/>
      </c>
      <c r="AF61" s="53">
        <f>IF(Mitarbeiter!B61="","",Mitarbeiter!C61)</f>
        <v/>
      </c>
      <c r="AG61" s="53">
        <f>IF(OR(Mitarbeiter!B61="",Mitarbeiter!D61=""),"",Mitarbeiter!D61)</f>
        <v/>
      </c>
    </row>
    <row r="62">
      <c r="A62" s="49">
        <f>IF(Mitarbeiter!B62="","",Mitarbeiter!A62)</f>
        <v/>
      </c>
      <c r="B62" s="50">
        <f>IF(Mitarbeiter!B62="","",Mitarbeiter!B62)</f>
        <v/>
      </c>
      <c r="C62" s="51">
        <f>IF(Mitarbeiter!B62="","",Mitarbeiter!F62)</f>
        <v/>
      </c>
      <c r="D62" s="52" t="n"/>
      <c r="E62" s="52" t="n"/>
      <c r="F62" s="52" t="n"/>
      <c r="G62" s="52" t="n"/>
      <c r="H62" s="52" t="n"/>
      <c r="I62" s="52" t="n"/>
      <c r="J62" s="52" t="n"/>
      <c r="K62" s="52" t="n"/>
      <c r="L62" s="52" t="n"/>
      <c r="M62" s="52" t="n"/>
      <c r="N62" s="52" t="n"/>
      <c r="O62" s="52" t="n"/>
      <c r="P62" s="25">
        <f>IF($B62="","",SUM(D62:O62))</f>
        <v/>
      </c>
      <c r="Q62" s="52" t="n"/>
      <c r="R62" s="52" t="n"/>
      <c r="S62" s="52" t="n"/>
      <c r="T62" s="52" t="n"/>
      <c r="U62" s="52" t="n"/>
      <c r="V62" s="52" t="n"/>
      <c r="W62" s="52" t="n"/>
      <c r="X62" s="52" t="n"/>
      <c r="Y62" s="52" t="n"/>
      <c r="Z62" s="52" t="n"/>
      <c r="AA62" s="52" t="n"/>
      <c r="AB62" s="52" t="n"/>
      <c r="AC62" s="25">
        <f>IF($B62="","",SUM(Q62:AB62))</f>
        <v/>
      </c>
      <c r="AD62" s="25">
        <f>IF($B62="","",SUM(P62,AC62))</f>
        <v/>
      </c>
      <c r="AE62" s="37">
        <f>IF($B62="","",AD62*N(C62))</f>
        <v/>
      </c>
      <c r="AF62" s="53">
        <f>IF(Mitarbeiter!B62="","",Mitarbeiter!C62)</f>
        <v/>
      </c>
      <c r="AG62" s="53">
        <f>IF(OR(Mitarbeiter!B62="",Mitarbeiter!D62=""),"",Mitarbeiter!D62)</f>
        <v/>
      </c>
    </row>
    <row r="63">
      <c r="A63" s="49">
        <f>IF(Mitarbeiter!B63="","",Mitarbeiter!A63)</f>
        <v/>
      </c>
      <c r="B63" s="50">
        <f>IF(Mitarbeiter!B63="","",Mitarbeiter!B63)</f>
        <v/>
      </c>
      <c r="C63" s="51">
        <f>IF(Mitarbeiter!B63="","",Mitarbeiter!F63)</f>
        <v/>
      </c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25">
        <f>IF($B63="","",SUM(D63:O63))</f>
        <v/>
      </c>
      <c r="Q63" s="52" t="n"/>
      <c r="R63" s="52" t="n"/>
      <c r="S63" s="52" t="n"/>
      <c r="T63" s="52" t="n"/>
      <c r="U63" s="52" t="n"/>
      <c r="V63" s="52" t="n"/>
      <c r="W63" s="52" t="n"/>
      <c r="X63" s="52" t="n"/>
      <c r="Y63" s="52" t="n"/>
      <c r="Z63" s="52" t="n"/>
      <c r="AA63" s="52" t="n"/>
      <c r="AB63" s="52" t="n"/>
      <c r="AC63" s="25">
        <f>IF($B63="","",SUM(Q63:AB63))</f>
        <v/>
      </c>
      <c r="AD63" s="25">
        <f>IF($B63="","",SUM(P63,AC63))</f>
        <v/>
      </c>
      <c r="AE63" s="37">
        <f>IF($B63="","",AD63*N(C63))</f>
        <v/>
      </c>
      <c r="AF63" s="53">
        <f>IF(Mitarbeiter!B63="","",Mitarbeiter!C63)</f>
        <v/>
      </c>
      <c r="AG63" s="53">
        <f>IF(OR(Mitarbeiter!B63="",Mitarbeiter!D63=""),"",Mitarbeiter!D63)</f>
        <v/>
      </c>
    </row>
    <row r="64">
      <c r="A64" s="49">
        <f>IF(Mitarbeiter!B64="","",Mitarbeiter!A64)</f>
        <v/>
      </c>
      <c r="B64" s="50">
        <f>IF(Mitarbeiter!B64="","",Mitarbeiter!B64)</f>
        <v/>
      </c>
      <c r="C64" s="51">
        <f>IF(Mitarbeiter!B64="","",Mitarbeiter!F64)</f>
        <v/>
      </c>
      <c r="D64" s="52" t="n"/>
      <c r="E64" s="52" t="n"/>
      <c r="F64" s="52" t="n"/>
      <c r="G64" s="52" t="n"/>
      <c r="H64" s="52" t="n"/>
      <c r="I64" s="52" t="n"/>
      <c r="J64" s="52" t="n"/>
      <c r="K64" s="52" t="n"/>
      <c r="L64" s="52" t="n"/>
      <c r="M64" s="52" t="n"/>
      <c r="N64" s="52" t="n"/>
      <c r="O64" s="52" t="n"/>
      <c r="P64" s="25">
        <f>IF($B64="","",SUM(D64:O64))</f>
        <v/>
      </c>
      <c r="Q64" s="52" t="n"/>
      <c r="R64" s="52" t="n"/>
      <c r="S64" s="52" t="n"/>
      <c r="T64" s="52" t="n"/>
      <c r="U64" s="52" t="n"/>
      <c r="V64" s="52" t="n"/>
      <c r="W64" s="52" t="n"/>
      <c r="X64" s="52" t="n"/>
      <c r="Y64" s="52" t="n"/>
      <c r="Z64" s="52" t="n"/>
      <c r="AA64" s="52" t="n"/>
      <c r="AB64" s="52" t="n"/>
      <c r="AC64" s="25">
        <f>IF($B64="","",SUM(Q64:AB64))</f>
        <v/>
      </c>
      <c r="AD64" s="25">
        <f>IF($B64="","",SUM(P64,AC64))</f>
        <v/>
      </c>
      <c r="AE64" s="37">
        <f>IF($B64="","",AD64*N(C64))</f>
        <v/>
      </c>
      <c r="AF64" s="53">
        <f>IF(Mitarbeiter!B64="","",Mitarbeiter!C64)</f>
        <v/>
      </c>
      <c r="AG64" s="53">
        <f>IF(OR(Mitarbeiter!B64="",Mitarbeiter!D64=""),"",Mitarbeiter!D64)</f>
        <v/>
      </c>
    </row>
    <row r="65">
      <c r="A65" s="49">
        <f>IF(Mitarbeiter!B65="","",Mitarbeiter!A65)</f>
        <v/>
      </c>
      <c r="B65" s="50">
        <f>IF(Mitarbeiter!B65="","",Mitarbeiter!B65)</f>
        <v/>
      </c>
      <c r="C65" s="51">
        <f>IF(Mitarbeiter!B65="","",Mitarbeiter!F65)</f>
        <v/>
      </c>
      <c r="D65" s="52" t="n"/>
      <c r="E65" s="52" t="n"/>
      <c r="F65" s="52" t="n"/>
      <c r="G65" s="52" t="n"/>
      <c r="H65" s="52" t="n"/>
      <c r="I65" s="52" t="n"/>
      <c r="J65" s="52" t="n"/>
      <c r="K65" s="52" t="n"/>
      <c r="L65" s="52" t="n"/>
      <c r="M65" s="52" t="n"/>
      <c r="N65" s="52" t="n"/>
      <c r="O65" s="52" t="n"/>
      <c r="P65" s="25">
        <f>IF($B65="","",SUM(D65:O65))</f>
        <v/>
      </c>
      <c r="Q65" s="52" t="n"/>
      <c r="R65" s="52" t="n"/>
      <c r="S65" s="52" t="n"/>
      <c r="T65" s="52" t="n"/>
      <c r="U65" s="52" t="n"/>
      <c r="V65" s="52" t="n"/>
      <c r="W65" s="52" t="n"/>
      <c r="X65" s="52" t="n"/>
      <c r="Y65" s="52" t="n"/>
      <c r="Z65" s="52" t="n"/>
      <c r="AA65" s="52" t="n"/>
      <c r="AB65" s="52" t="n"/>
      <c r="AC65" s="25">
        <f>IF($B65="","",SUM(Q65:AB65))</f>
        <v/>
      </c>
      <c r="AD65" s="25">
        <f>IF($B65="","",SUM(P65,AC65))</f>
        <v/>
      </c>
      <c r="AE65" s="37">
        <f>IF($B65="","",AD65*N(C65))</f>
        <v/>
      </c>
      <c r="AF65" s="53">
        <f>IF(Mitarbeiter!B65="","",Mitarbeiter!C65)</f>
        <v/>
      </c>
      <c r="AG65" s="53">
        <f>IF(OR(Mitarbeiter!B65="",Mitarbeiter!D65=""),"",Mitarbeiter!D65)</f>
        <v/>
      </c>
    </row>
    <row r="66">
      <c r="A66" s="49">
        <f>IF(Mitarbeiter!B66="","",Mitarbeiter!A66)</f>
        <v/>
      </c>
      <c r="B66" s="50">
        <f>IF(Mitarbeiter!B66="","",Mitarbeiter!B66)</f>
        <v/>
      </c>
      <c r="C66" s="51">
        <f>IF(Mitarbeiter!B66="","",Mitarbeiter!F66)</f>
        <v/>
      </c>
      <c r="D66" s="52" t="n"/>
      <c r="E66" s="52" t="n"/>
      <c r="F66" s="52" t="n"/>
      <c r="G66" s="52" t="n"/>
      <c r="H66" s="52" t="n"/>
      <c r="I66" s="52" t="n"/>
      <c r="J66" s="52" t="n"/>
      <c r="K66" s="52" t="n"/>
      <c r="L66" s="52" t="n"/>
      <c r="M66" s="52" t="n"/>
      <c r="N66" s="52" t="n"/>
      <c r="O66" s="52" t="n"/>
      <c r="P66" s="25">
        <f>IF($B66="","",SUM(D66:O66))</f>
        <v/>
      </c>
      <c r="Q66" s="52" t="n"/>
      <c r="R66" s="52" t="n"/>
      <c r="S66" s="52" t="n"/>
      <c r="T66" s="52" t="n"/>
      <c r="U66" s="52" t="n"/>
      <c r="V66" s="52" t="n"/>
      <c r="W66" s="52" t="n"/>
      <c r="X66" s="52" t="n"/>
      <c r="Y66" s="52" t="n"/>
      <c r="Z66" s="52" t="n"/>
      <c r="AA66" s="52" t="n"/>
      <c r="AB66" s="52" t="n"/>
      <c r="AC66" s="25">
        <f>IF($B66="","",SUM(Q66:AB66))</f>
        <v/>
      </c>
      <c r="AD66" s="25">
        <f>IF($B66="","",SUM(P66,AC66))</f>
        <v/>
      </c>
      <c r="AE66" s="37">
        <f>IF($B66="","",AD66*N(C66))</f>
        <v/>
      </c>
      <c r="AF66" s="53">
        <f>IF(Mitarbeiter!B66="","",Mitarbeiter!C66)</f>
        <v/>
      </c>
      <c r="AG66" s="53">
        <f>IF(OR(Mitarbeiter!B66="",Mitarbeiter!D66=""),"",Mitarbeiter!D66)</f>
        <v/>
      </c>
    </row>
    <row r="67">
      <c r="A67" s="49">
        <f>IF(Mitarbeiter!B67="","",Mitarbeiter!A67)</f>
        <v/>
      </c>
      <c r="B67" s="50">
        <f>IF(Mitarbeiter!B67="","",Mitarbeiter!B67)</f>
        <v/>
      </c>
      <c r="C67" s="51">
        <f>IF(Mitarbeiter!B67="","",Mitarbeiter!F67)</f>
        <v/>
      </c>
      <c r="D67" s="52" t="n"/>
      <c r="E67" s="52" t="n"/>
      <c r="F67" s="52" t="n"/>
      <c r="G67" s="52" t="n"/>
      <c r="H67" s="52" t="n"/>
      <c r="I67" s="52" t="n"/>
      <c r="J67" s="52" t="n"/>
      <c r="K67" s="52" t="n"/>
      <c r="L67" s="52" t="n"/>
      <c r="M67" s="52" t="n"/>
      <c r="N67" s="52" t="n"/>
      <c r="O67" s="52" t="n"/>
      <c r="P67" s="25">
        <f>IF($B67="","",SUM(D67:O67))</f>
        <v/>
      </c>
      <c r="Q67" s="52" t="n"/>
      <c r="R67" s="52" t="n"/>
      <c r="S67" s="52" t="n"/>
      <c r="T67" s="52" t="n"/>
      <c r="U67" s="52" t="n"/>
      <c r="V67" s="52" t="n"/>
      <c r="W67" s="52" t="n"/>
      <c r="X67" s="52" t="n"/>
      <c r="Y67" s="52" t="n"/>
      <c r="Z67" s="52" t="n"/>
      <c r="AA67" s="52" t="n"/>
      <c r="AB67" s="52" t="n"/>
      <c r="AC67" s="25">
        <f>IF($B67="","",SUM(Q67:AB67))</f>
        <v/>
      </c>
      <c r="AD67" s="25">
        <f>IF($B67="","",SUM(P67,AC67))</f>
        <v/>
      </c>
      <c r="AE67" s="37">
        <f>IF($B67="","",AD67*N(C67))</f>
        <v/>
      </c>
      <c r="AF67" s="53">
        <f>IF(Mitarbeiter!B67="","",Mitarbeiter!C67)</f>
        <v/>
      </c>
      <c r="AG67" s="53">
        <f>IF(OR(Mitarbeiter!B67="",Mitarbeiter!D67=""),"",Mitarbeiter!D67)</f>
        <v/>
      </c>
    </row>
    <row r="68">
      <c r="A68" s="49">
        <f>IF(Mitarbeiter!B68="","",Mitarbeiter!A68)</f>
        <v/>
      </c>
      <c r="B68" s="50">
        <f>IF(Mitarbeiter!B68="","",Mitarbeiter!B68)</f>
        <v/>
      </c>
      <c r="C68" s="51">
        <f>IF(Mitarbeiter!B68="","",Mitarbeiter!F68)</f>
        <v/>
      </c>
      <c r="D68" s="52" t="n"/>
      <c r="E68" s="52" t="n"/>
      <c r="F68" s="52" t="n"/>
      <c r="G68" s="52" t="n"/>
      <c r="H68" s="52" t="n"/>
      <c r="I68" s="52" t="n"/>
      <c r="J68" s="52" t="n"/>
      <c r="K68" s="52" t="n"/>
      <c r="L68" s="52" t="n"/>
      <c r="M68" s="52" t="n"/>
      <c r="N68" s="52" t="n"/>
      <c r="O68" s="52" t="n"/>
      <c r="P68" s="25">
        <f>IF($B68="","",SUM(D68:O68))</f>
        <v/>
      </c>
      <c r="Q68" s="52" t="n"/>
      <c r="R68" s="52" t="n"/>
      <c r="S68" s="52" t="n"/>
      <c r="T68" s="52" t="n"/>
      <c r="U68" s="52" t="n"/>
      <c r="V68" s="52" t="n"/>
      <c r="W68" s="52" t="n"/>
      <c r="X68" s="52" t="n"/>
      <c r="Y68" s="52" t="n"/>
      <c r="Z68" s="52" t="n"/>
      <c r="AA68" s="52" t="n"/>
      <c r="AB68" s="52" t="n"/>
      <c r="AC68" s="25">
        <f>IF($B68="","",SUM(Q68:AB68))</f>
        <v/>
      </c>
      <c r="AD68" s="25">
        <f>IF($B68="","",SUM(P68,AC68))</f>
        <v/>
      </c>
      <c r="AE68" s="37">
        <f>IF($B68="","",AD68*N(C68))</f>
        <v/>
      </c>
      <c r="AF68" s="53">
        <f>IF(Mitarbeiter!B68="","",Mitarbeiter!C68)</f>
        <v/>
      </c>
      <c r="AG68" s="53">
        <f>IF(OR(Mitarbeiter!B68="",Mitarbeiter!D68=""),"",Mitarbeiter!D68)</f>
        <v/>
      </c>
    </row>
    <row r="69">
      <c r="A69" s="49">
        <f>IF(Mitarbeiter!B69="","",Mitarbeiter!A69)</f>
        <v/>
      </c>
      <c r="B69" s="50">
        <f>IF(Mitarbeiter!B69="","",Mitarbeiter!B69)</f>
        <v/>
      </c>
      <c r="C69" s="51">
        <f>IF(Mitarbeiter!B69="","",Mitarbeiter!F69)</f>
        <v/>
      </c>
      <c r="D69" s="52" t="n"/>
      <c r="E69" s="52" t="n"/>
      <c r="F69" s="52" t="n"/>
      <c r="G69" s="52" t="n"/>
      <c r="H69" s="52" t="n"/>
      <c r="I69" s="52" t="n"/>
      <c r="J69" s="52" t="n"/>
      <c r="K69" s="52" t="n"/>
      <c r="L69" s="52" t="n"/>
      <c r="M69" s="52" t="n"/>
      <c r="N69" s="52" t="n"/>
      <c r="O69" s="52" t="n"/>
      <c r="P69" s="25">
        <f>IF($B69="","",SUM(D69:O69))</f>
        <v/>
      </c>
      <c r="Q69" s="52" t="n"/>
      <c r="R69" s="52" t="n"/>
      <c r="S69" s="52" t="n"/>
      <c r="T69" s="52" t="n"/>
      <c r="U69" s="52" t="n"/>
      <c r="V69" s="52" t="n"/>
      <c r="W69" s="52" t="n"/>
      <c r="X69" s="52" t="n"/>
      <c r="Y69" s="52" t="n"/>
      <c r="Z69" s="52" t="n"/>
      <c r="AA69" s="52" t="n"/>
      <c r="AB69" s="52" t="n"/>
      <c r="AC69" s="25">
        <f>IF($B69="","",SUM(Q69:AB69))</f>
        <v/>
      </c>
      <c r="AD69" s="25">
        <f>IF($B69="","",SUM(P69,AC69))</f>
        <v/>
      </c>
      <c r="AE69" s="37">
        <f>IF($B69="","",AD69*N(C69))</f>
        <v/>
      </c>
      <c r="AF69" s="53">
        <f>IF(Mitarbeiter!B69="","",Mitarbeiter!C69)</f>
        <v/>
      </c>
      <c r="AG69" s="53">
        <f>IF(OR(Mitarbeiter!B69="",Mitarbeiter!D69=""),"",Mitarbeiter!D69)</f>
        <v/>
      </c>
    </row>
    <row r="70">
      <c r="A70" s="49">
        <f>IF(Mitarbeiter!B70="","",Mitarbeiter!A70)</f>
        <v/>
      </c>
      <c r="B70" s="50">
        <f>IF(Mitarbeiter!B70="","",Mitarbeiter!B70)</f>
        <v/>
      </c>
      <c r="C70" s="51">
        <f>IF(Mitarbeiter!B70="","",Mitarbeiter!F70)</f>
        <v/>
      </c>
      <c r="D70" s="52" t="n"/>
      <c r="E70" s="52" t="n"/>
      <c r="F70" s="52" t="n"/>
      <c r="G70" s="52" t="n"/>
      <c r="H70" s="52" t="n"/>
      <c r="I70" s="52" t="n"/>
      <c r="J70" s="52" t="n"/>
      <c r="K70" s="52" t="n"/>
      <c r="L70" s="52" t="n"/>
      <c r="M70" s="52" t="n"/>
      <c r="N70" s="52" t="n"/>
      <c r="O70" s="52" t="n"/>
      <c r="P70" s="25">
        <f>IF($B70="","",SUM(D70:O70))</f>
        <v/>
      </c>
      <c r="Q70" s="52" t="n"/>
      <c r="R70" s="52" t="n"/>
      <c r="S70" s="52" t="n"/>
      <c r="T70" s="52" t="n"/>
      <c r="U70" s="52" t="n"/>
      <c r="V70" s="52" t="n"/>
      <c r="W70" s="52" t="n"/>
      <c r="X70" s="52" t="n"/>
      <c r="Y70" s="52" t="n"/>
      <c r="Z70" s="52" t="n"/>
      <c r="AA70" s="52" t="n"/>
      <c r="AB70" s="52" t="n"/>
      <c r="AC70" s="25">
        <f>IF($B70="","",SUM(Q70:AB70))</f>
        <v/>
      </c>
      <c r="AD70" s="25">
        <f>IF($B70="","",SUM(P70,AC70))</f>
        <v/>
      </c>
      <c r="AE70" s="37">
        <f>IF($B70="","",AD70*N(C70))</f>
        <v/>
      </c>
      <c r="AF70" s="53">
        <f>IF(Mitarbeiter!B70="","",Mitarbeiter!C70)</f>
        <v/>
      </c>
      <c r="AG70" s="53">
        <f>IF(OR(Mitarbeiter!B70="",Mitarbeiter!D70=""),"",Mitarbeiter!D70)</f>
        <v/>
      </c>
    </row>
    <row r="71">
      <c r="A71" s="49">
        <f>IF(Mitarbeiter!B71="","",Mitarbeiter!A71)</f>
        <v/>
      </c>
      <c r="B71" s="50">
        <f>IF(Mitarbeiter!B71="","",Mitarbeiter!B71)</f>
        <v/>
      </c>
      <c r="C71" s="51">
        <f>IF(Mitarbeiter!B71="","",Mitarbeiter!F71)</f>
        <v/>
      </c>
      <c r="D71" s="52" t="n"/>
      <c r="E71" s="52" t="n"/>
      <c r="F71" s="52" t="n"/>
      <c r="G71" s="52" t="n"/>
      <c r="H71" s="52" t="n"/>
      <c r="I71" s="52" t="n"/>
      <c r="J71" s="52" t="n"/>
      <c r="K71" s="52" t="n"/>
      <c r="L71" s="52" t="n"/>
      <c r="M71" s="52" t="n"/>
      <c r="N71" s="52" t="n"/>
      <c r="O71" s="52" t="n"/>
      <c r="P71" s="25">
        <f>IF($B71="","",SUM(D71:O71))</f>
        <v/>
      </c>
      <c r="Q71" s="52" t="n"/>
      <c r="R71" s="52" t="n"/>
      <c r="S71" s="52" t="n"/>
      <c r="T71" s="52" t="n"/>
      <c r="U71" s="52" t="n"/>
      <c r="V71" s="52" t="n"/>
      <c r="W71" s="52" t="n"/>
      <c r="X71" s="52" t="n"/>
      <c r="Y71" s="52" t="n"/>
      <c r="Z71" s="52" t="n"/>
      <c r="AA71" s="52" t="n"/>
      <c r="AB71" s="52" t="n"/>
      <c r="AC71" s="25">
        <f>IF($B71="","",SUM(Q71:AB71))</f>
        <v/>
      </c>
      <c r="AD71" s="25">
        <f>IF($B71="","",SUM(P71,AC71))</f>
        <v/>
      </c>
      <c r="AE71" s="37">
        <f>IF($B71="","",AD71*N(C71))</f>
        <v/>
      </c>
      <c r="AF71" s="53">
        <f>IF(Mitarbeiter!B71="","",Mitarbeiter!C71)</f>
        <v/>
      </c>
      <c r="AG71" s="53">
        <f>IF(OR(Mitarbeiter!B71="",Mitarbeiter!D71=""),"",Mitarbeiter!D71)</f>
        <v/>
      </c>
    </row>
    <row r="72">
      <c r="A72" s="49">
        <f>IF(Mitarbeiter!B72="","",Mitarbeiter!A72)</f>
        <v/>
      </c>
      <c r="B72" s="50">
        <f>IF(Mitarbeiter!B72="","",Mitarbeiter!B72)</f>
        <v/>
      </c>
      <c r="C72" s="51">
        <f>IF(Mitarbeiter!B72="","",Mitarbeiter!F72)</f>
        <v/>
      </c>
      <c r="D72" s="52" t="n"/>
      <c r="E72" s="52" t="n"/>
      <c r="F72" s="52" t="n"/>
      <c r="G72" s="52" t="n"/>
      <c r="H72" s="52" t="n"/>
      <c r="I72" s="52" t="n"/>
      <c r="J72" s="52" t="n"/>
      <c r="K72" s="52" t="n"/>
      <c r="L72" s="52" t="n"/>
      <c r="M72" s="52" t="n"/>
      <c r="N72" s="52" t="n"/>
      <c r="O72" s="52" t="n"/>
      <c r="P72" s="25">
        <f>IF($B72="","",SUM(D72:O72))</f>
        <v/>
      </c>
      <c r="Q72" s="52" t="n"/>
      <c r="R72" s="52" t="n"/>
      <c r="S72" s="52" t="n"/>
      <c r="T72" s="52" t="n"/>
      <c r="U72" s="52" t="n"/>
      <c r="V72" s="52" t="n"/>
      <c r="W72" s="52" t="n"/>
      <c r="X72" s="52" t="n"/>
      <c r="Y72" s="52" t="n"/>
      <c r="Z72" s="52" t="n"/>
      <c r="AA72" s="52" t="n"/>
      <c r="AB72" s="52" t="n"/>
      <c r="AC72" s="25">
        <f>IF($B72="","",SUM(Q72:AB72))</f>
        <v/>
      </c>
      <c r="AD72" s="25">
        <f>IF($B72="","",SUM(P72,AC72))</f>
        <v/>
      </c>
      <c r="AE72" s="37">
        <f>IF($B72="","",AD72*N(C72))</f>
        <v/>
      </c>
      <c r="AF72" s="53">
        <f>IF(Mitarbeiter!B72="","",Mitarbeiter!C72)</f>
        <v/>
      </c>
      <c r="AG72" s="53">
        <f>IF(OR(Mitarbeiter!B72="",Mitarbeiter!D72=""),"",Mitarbeiter!D72)</f>
        <v/>
      </c>
    </row>
    <row r="73">
      <c r="A73" s="49">
        <f>IF(Mitarbeiter!B73="","",Mitarbeiter!A73)</f>
        <v/>
      </c>
      <c r="B73" s="50">
        <f>IF(Mitarbeiter!B73="","",Mitarbeiter!B73)</f>
        <v/>
      </c>
      <c r="C73" s="51">
        <f>IF(Mitarbeiter!B73="","",Mitarbeiter!F73)</f>
        <v/>
      </c>
      <c r="D73" s="52" t="n"/>
      <c r="E73" s="52" t="n"/>
      <c r="F73" s="52" t="n"/>
      <c r="G73" s="52" t="n"/>
      <c r="H73" s="52" t="n"/>
      <c r="I73" s="52" t="n"/>
      <c r="J73" s="52" t="n"/>
      <c r="K73" s="52" t="n"/>
      <c r="L73" s="52" t="n"/>
      <c r="M73" s="52" t="n"/>
      <c r="N73" s="52" t="n"/>
      <c r="O73" s="52" t="n"/>
      <c r="P73" s="25">
        <f>IF($B73="","",SUM(D73:O73))</f>
        <v/>
      </c>
      <c r="Q73" s="52" t="n"/>
      <c r="R73" s="52" t="n"/>
      <c r="S73" s="52" t="n"/>
      <c r="T73" s="52" t="n"/>
      <c r="U73" s="52" t="n"/>
      <c r="V73" s="52" t="n"/>
      <c r="W73" s="52" t="n"/>
      <c r="X73" s="52" t="n"/>
      <c r="Y73" s="52" t="n"/>
      <c r="Z73" s="52" t="n"/>
      <c r="AA73" s="52" t="n"/>
      <c r="AB73" s="52" t="n"/>
      <c r="AC73" s="25">
        <f>IF($B73="","",SUM(Q73:AB73))</f>
        <v/>
      </c>
      <c r="AD73" s="25">
        <f>IF($B73="","",SUM(P73,AC73))</f>
        <v/>
      </c>
      <c r="AE73" s="37">
        <f>IF($B73="","",AD73*N(C73))</f>
        <v/>
      </c>
      <c r="AF73" s="53">
        <f>IF(Mitarbeiter!B73="","",Mitarbeiter!C73)</f>
        <v/>
      </c>
      <c r="AG73" s="53">
        <f>IF(OR(Mitarbeiter!B73="",Mitarbeiter!D73=""),"",Mitarbeiter!D73)</f>
        <v/>
      </c>
    </row>
    <row r="74">
      <c r="A74" s="49">
        <f>IF(Mitarbeiter!B74="","",Mitarbeiter!A74)</f>
        <v/>
      </c>
      <c r="B74" s="50">
        <f>IF(Mitarbeiter!B74="","",Mitarbeiter!B74)</f>
        <v/>
      </c>
      <c r="C74" s="51">
        <f>IF(Mitarbeiter!B74="","",Mitarbeiter!F74)</f>
        <v/>
      </c>
      <c r="D74" s="52" t="n"/>
      <c r="E74" s="52" t="n"/>
      <c r="F74" s="52" t="n"/>
      <c r="G74" s="52" t="n"/>
      <c r="H74" s="52" t="n"/>
      <c r="I74" s="52" t="n"/>
      <c r="J74" s="52" t="n"/>
      <c r="K74" s="52" t="n"/>
      <c r="L74" s="52" t="n"/>
      <c r="M74" s="52" t="n"/>
      <c r="N74" s="52" t="n"/>
      <c r="O74" s="52" t="n"/>
      <c r="P74" s="25">
        <f>IF($B74="","",SUM(D74:O74))</f>
        <v/>
      </c>
      <c r="Q74" s="52" t="n"/>
      <c r="R74" s="52" t="n"/>
      <c r="S74" s="52" t="n"/>
      <c r="T74" s="52" t="n"/>
      <c r="U74" s="52" t="n"/>
      <c r="V74" s="52" t="n"/>
      <c r="W74" s="52" t="n"/>
      <c r="X74" s="52" t="n"/>
      <c r="Y74" s="52" t="n"/>
      <c r="Z74" s="52" t="n"/>
      <c r="AA74" s="52" t="n"/>
      <c r="AB74" s="52" t="n"/>
      <c r="AC74" s="25">
        <f>IF($B74="","",SUM(Q74:AB74))</f>
        <v/>
      </c>
      <c r="AD74" s="25">
        <f>IF($B74="","",SUM(P74,AC74))</f>
        <v/>
      </c>
      <c r="AE74" s="37">
        <f>IF($B74="","",AD74*N(C74))</f>
        <v/>
      </c>
      <c r="AF74" s="53">
        <f>IF(Mitarbeiter!B74="","",Mitarbeiter!C74)</f>
        <v/>
      </c>
      <c r="AG74" s="53">
        <f>IF(OR(Mitarbeiter!B74="",Mitarbeiter!D74=""),"",Mitarbeiter!D74)</f>
        <v/>
      </c>
    </row>
    <row r="75">
      <c r="A75" s="49">
        <f>IF(Mitarbeiter!B75="","",Mitarbeiter!A75)</f>
        <v/>
      </c>
      <c r="B75" s="50">
        <f>IF(Mitarbeiter!B75="","",Mitarbeiter!B75)</f>
        <v/>
      </c>
      <c r="C75" s="51">
        <f>IF(Mitarbeiter!B75="","",Mitarbeiter!F75)</f>
        <v/>
      </c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25">
        <f>IF($B75="","",SUM(D75:O75))</f>
        <v/>
      </c>
      <c r="Q75" s="52" t="n"/>
      <c r="R75" s="52" t="n"/>
      <c r="S75" s="52" t="n"/>
      <c r="T75" s="52" t="n"/>
      <c r="U75" s="52" t="n"/>
      <c r="V75" s="52" t="n"/>
      <c r="W75" s="52" t="n"/>
      <c r="X75" s="52" t="n"/>
      <c r="Y75" s="52" t="n"/>
      <c r="Z75" s="52" t="n"/>
      <c r="AA75" s="52" t="n"/>
      <c r="AB75" s="52" t="n"/>
      <c r="AC75" s="25">
        <f>IF($B75="","",SUM(Q75:AB75))</f>
        <v/>
      </c>
      <c r="AD75" s="25">
        <f>IF($B75="","",SUM(P75,AC75))</f>
        <v/>
      </c>
      <c r="AE75" s="37">
        <f>IF($B75="","",AD75*N(C75))</f>
        <v/>
      </c>
      <c r="AF75" s="53">
        <f>IF(Mitarbeiter!B75="","",Mitarbeiter!C75)</f>
        <v/>
      </c>
      <c r="AG75" s="53">
        <f>IF(OR(Mitarbeiter!B75="",Mitarbeiter!D75=""),"",Mitarbeiter!D75)</f>
        <v/>
      </c>
    </row>
    <row r="76">
      <c r="A76" s="49">
        <f>IF(Mitarbeiter!B76="","",Mitarbeiter!A76)</f>
        <v/>
      </c>
      <c r="B76" s="50">
        <f>IF(Mitarbeiter!B76="","",Mitarbeiter!B76)</f>
        <v/>
      </c>
      <c r="C76" s="51">
        <f>IF(Mitarbeiter!B76="","",Mitarbeiter!F76)</f>
        <v/>
      </c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25">
        <f>IF($B76="","",SUM(D76:O76))</f>
        <v/>
      </c>
      <c r="Q76" s="52" t="n"/>
      <c r="R76" s="52" t="n"/>
      <c r="S76" s="52" t="n"/>
      <c r="T76" s="52" t="n"/>
      <c r="U76" s="52" t="n"/>
      <c r="V76" s="52" t="n"/>
      <c r="W76" s="52" t="n"/>
      <c r="X76" s="52" t="n"/>
      <c r="Y76" s="52" t="n"/>
      <c r="Z76" s="52" t="n"/>
      <c r="AA76" s="52" t="n"/>
      <c r="AB76" s="52" t="n"/>
      <c r="AC76" s="25">
        <f>IF($B76="","",SUM(Q76:AB76))</f>
        <v/>
      </c>
      <c r="AD76" s="25">
        <f>IF($B76="","",SUM(P76,AC76))</f>
        <v/>
      </c>
      <c r="AE76" s="37">
        <f>IF($B76="","",AD76*N(C76))</f>
        <v/>
      </c>
      <c r="AF76" s="53">
        <f>IF(Mitarbeiter!B76="","",Mitarbeiter!C76)</f>
        <v/>
      </c>
      <c r="AG76" s="53">
        <f>IF(OR(Mitarbeiter!B76="",Mitarbeiter!D76=""),"",Mitarbeiter!D76)</f>
        <v/>
      </c>
    </row>
    <row r="77">
      <c r="A77" s="49">
        <f>IF(Mitarbeiter!B77="","",Mitarbeiter!A77)</f>
        <v/>
      </c>
      <c r="B77" s="50">
        <f>IF(Mitarbeiter!B77="","",Mitarbeiter!B77)</f>
        <v/>
      </c>
      <c r="C77" s="51">
        <f>IF(Mitarbeiter!B77="","",Mitarbeiter!F77)</f>
        <v/>
      </c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25">
        <f>IF($B77="","",SUM(D77:O77))</f>
        <v/>
      </c>
      <c r="Q77" s="52" t="n"/>
      <c r="R77" s="52" t="n"/>
      <c r="S77" s="52" t="n"/>
      <c r="T77" s="52" t="n"/>
      <c r="U77" s="52" t="n"/>
      <c r="V77" s="52" t="n"/>
      <c r="W77" s="52" t="n"/>
      <c r="X77" s="52" t="n"/>
      <c r="Y77" s="52" t="n"/>
      <c r="Z77" s="52" t="n"/>
      <c r="AA77" s="52" t="n"/>
      <c r="AB77" s="52" t="n"/>
      <c r="AC77" s="25">
        <f>IF($B77="","",SUM(Q77:AB77))</f>
        <v/>
      </c>
      <c r="AD77" s="25">
        <f>IF($B77="","",SUM(P77,AC77))</f>
        <v/>
      </c>
      <c r="AE77" s="37">
        <f>IF($B77="","",AD77*N(C77))</f>
        <v/>
      </c>
      <c r="AF77" s="53">
        <f>IF(Mitarbeiter!B77="","",Mitarbeiter!C77)</f>
        <v/>
      </c>
      <c r="AG77" s="53">
        <f>IF(OR(Mitarbeiter!B77="",Mitarbeiter!D77=""),"",Mitarbeiter!D77)</f>
        <v/>
      </c>
    </row>
    <row r="78">
      <c r="A78" s="49">
        <f>IF(Mitarbeiter!B78="","",Mitarbeiter!A78)</f>
        <v/>
      </c>
      <c r="B78" s="50">
        <f>IF(Mitarbeiter!B78="","",Mitarbeiter!B78)</f>
        <v/>
      </c>
      <c r="C78" s="51">
        <f>IF(Mitarbeiter!B78="","",Mitarbeiter!F78)</f>
        <v/>
      </c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25">
        <f>IF($B78="","",SUM(D78:O78))</f>
        <v/>
      </c>
      <c r="Q78" s="52" t="n"/>
      <c r="R78" s="52" t="n"/>
      <c r="S78" s="52" t="n"/>
      <c r="T78" s="52" t="n"/>
      <c r="U78" s="52" t="n"/>
      <c r="V78" s="52" t="n"/>
      <c r="W78" s="52" t="n"/>
      <c r="X78" s="52" t="n"/>
      <c r="Y78" s="52" t="n"/>
      <c r="Z78" s="52" t="n"/>
      <c r="AA78" s="52" t="n"/>
      <c r="AB78" s="52" t="n"/>
      <c r="AC78" s="25">
        <f>IF($B78="","",SUM(Q78:AB78))</f>
        <v/>
      </c>
      <c r="AD78" s="25">
        <f>IF($B78="","",SUM(P78,AC78))</f>
        <v/>
      </c>
      <c r="AE78" s="37">
        <f>IF($B78="","",AD78*N(C78))</f>
        <v/>
      </c>
      <c r="AF78" s="53">
        <f>IF(Mitarbeiter!B78="","",Mitarbeiter!C78)</f>
        <v/>
      </c>
      <c r="AG78" s="53">
        <f>IF(OR(Mitarbeiter!B78="",Mitarbeiter!D78=""),"",Mitarbeiter!D78)</f>
        <v/>
      </c>
    </row>
    <row r="79">
      <c r="A79" s="49">
        <f>IF(Mitarbeiter!B79="","",Mitarbeiter!A79)</f>
        <v/>
      </c>
      <c r="B79" s="50">
        <f>IF(Mitarbeiter!B79="","",Mitarbeiter!B79)</f>
        <v/>
      </c>
      <c r="C79" s="51">
        <f>IF(Mitarbeiter!B79="","",Mitarbeiter!F79)</f>
        <v/>
      </c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25">
        <f>IF($B79="","",SUM(D79:O79))</f>
        <v/>
      </c>
      <c r="Q79" s="52" t="n"/>
      <c r="R79" s="52" t="n"/>
      <c r="S79" s="52" t="n"/>
      <c r="T79" s="52" t="n"/>
      <c r="U79" s="52" t="n"/>
      <c r="V79" s="52" t="n"/>
      <c r="W79" s="52" t="n"/>
      <c r="X79" s="52" t="n"/>
      <c r="Y79" s="52" t="n"/>
      <c r="Z79" s="52" t="n"/>
      <c r="AA79" s="52" t="n"/>
      <c r="AB79" s="52" t="n"/>
      <c r="AC79" s="25">
        <f>IF($B79="","",SUM(Q79:AB79))</f>
        <v/>
      </c>
      <c r="AD79" s="25">
        <f>IF($B79="","",SUM(P79,AC79))</f>
        <v/>
      </c>
      <c r="AE79" s="37">
        <f>IF($B79="","",AD79*N(C79))</f>
        <v/>
      </c>
      <c r="AF79" s="53">
        <f>IF(Mitarbeiter!B79="","",Mitarbeiter!C79)</f>
        <v/>
      </c>
      <c r="AG79" s="53">
        <f>IF(OR(Mitarbeiter!B79="",Mitarbeiter!D79=""),"",Mitarbeiter!D79)</f>
        <v/>
      </c>
    </row>
    <row r="80">
      <c r="A80" s="49">
        <f>IF(Mitarbeiter!B80="","",Mitarbeiter!A80)</f>
        <v/>
      </c>
      <c r="B80" s="50">
        <f>IF(Mitarbeiter!B80="","",Mitarbeiter!B80)</f>
        <v/>
      </c>
      <c r="C80" s="51">
        <f>IF(Mitarbeiter!B80="","",Mitarbeiter!F80)</f>
        <v/>
      </c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25">
        <f>IF($B80="","",SUM(D80:O80))</f>
        <v/>
      </c>
      <c r="Q80" s="52" t="n"/>
      <c r="R80" s="52" t="n"/>
      <c r="S80" s="52" t="n"/>
      <c r="T80" s="52" t="n"/>
      <c r="U80" s="52" t="n"/>
      <c r="V80" s="52" t="n"/>
      <c r="W80" s="52" t="n"/>
      <c r="X80" s="52" t="n"/>
      <c r="Y80" s="52" t="n"/>
      <c r="Z80" s="52" t="n"/>
      <c r="AA80" s="52" t="n"/>
      <c r="AB80" s="52" t="n"/>
      <c r="AC80" s="25">
        <f>IF($B80="","",SUM(Q80:AB80))</f>
        <v/>
      </c>
      <c r="AD80" s="25">
        <f>IF($B80="","",SUM(P80,AC80))</f>
        <v/>
      </c>
      <c r="AE80" s="37">
        <f>IF($B80="","",AD80*N(C80))</f>
        <v/>
      </c>
      <c r="AF80" s="53">
        <f>IF(Mitarbeiter!B80="","",Mitarbeiter!C80)</f>
        <v/>
      </c>
      <c r="AG80" s="53">
        <f>IF(OR(Mitarbeiter!B80="",Mitarbeiter!D80=""),"",Mitarbeiter!D80)</f>
        <v/>
      </c>
    </row>
    <row r="81">
      <c r="A81" s="49">
        <f>IF(Mitarbeiter!B81="","",Mitarbeiter!A81)</f>
        <v/>
      </c>
      <c r="B81" s="50">
        <f>IF(Mitarbeiter!B81="","",Mitarbeiter!B81)</f>
        <v/>
      </c>
      <c r="C81" s="51">
        <f>IF(Mitarbeiter!B81="","",Mitarbeiter!F81)</f>
        <v/>
      </c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25">
        <f>IF($B81="","",SUM(D81:O81))</f>
        <v/>
      </c>
      <c r="Q81" s="52" t="n"/>
      <c r="R81" s="52" t="n"/>
      <c r="S81" s="52" t="n"/>
      <c r="T81" s="52" t="n"/>
      <c r="U81" s="52" t="n"/>
      <c r="V81" s="52" t="n"/>
      <c r="W81" s="52" t="n"/>
      <c r="X81" s="52" t="n"/>
      <c r="Y81" s="52" t="n"/>
      <c r="Z81" s="52" t="n"/>
      <c r="AA81" s="52" t="n"/>
      <c r="AB81" s="52" t="n"/>
      <c r="AC81" s="25">
        <f>IF($B81="","",SUM(Q81:AB81))</f>
        <v/>
      </c>
      <c r="AD81" s="25">
        <f>IF($B81="","",SUM(P81,AC81))</f>
        <v/>
      </c>
      <c r="AE81" s="37">
        <f>IF($B81="","",AD81*N(C81))</f>
        <v/>
      </c>
      <c r="AF81" s="53">
        <f>IF(Mitarbeiter!B81="","",Mitarbeiter!C81)</f>
        <v/>
      </c>
      <c r="AG81" s="53">
        <f>IF(OR(Mitarbeiter!B81="",Mitarbeiter!D81=""),"",Mitarbeiter!D81)</f>
        <v/>
      </c>
    </row>
    <row r="82">
      <c r="A82" s="49">
        <f>IF(Mitarbeiter!B82="","",Mitarbeiter!A82)</f>
        <v/>
      </c>
      <c r="B82" s="50">
        <f>IF(Mitarbeiter!B82="","",Mitarbeiter!B82)</f>
        <v/>
      </c>
      <c r="C82" s="51">
        <f>IF(Mitarbeiter!B82="","",Mitarbeiter!F82)</f>
        <v/>
      </c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25">
        <f>IF($B82="","",SUM(D82:O82))</f>
        <v/>
      </c>
      <c r="Q82" s="52" t="n"/>
      <c r="R82" s="52" t="n"/>
      <c r="S82" s="52" t="n"/>
      <c r="T82" s="52" t="n"/>
      <c r="U82" s="52" t="n"/>
      <c r="V82" s="52" t="n"/>
      <c r="W82" s="52" t="n"/>
      <c r="X82" s="52" t="n"/>
      <c r="Y82" s="52" t="n"/>
      <c r="Z82" s="52" t="n"/>
      <c r="AA82" s="52" t="n"/>
      <c r="AB82" s="52" t="n"/>
      <c r="AC82" s="25">
        <f>IF($B82="","",SUM(Q82:AB82))</f>
        <v/>
      </c>
      <c r="AD82" s="25">
        <f>IF($B82="","",SUM(P82,AC82))</f>
        <v/>
      </c>
      <c r="AE82" s="37">
        <f>IF($B82="","",AD82*N(C82))</f>
        <v/>
      </c>
      <c r="AF82" s="53">
        <f>IF(Mitarbeiter!B82="","",Mitarbeiter!C82)</f>
        <v/>
      </c>
      <c r="AG82" s="53">
        <f>IF(OR(Mitarbeiter!B82="",Mitarbeiter!D82=""),"",Mitarbeiter!D82)</f>
        <v/>
      </c>
    </row>
    <row r="83">
      <c r="A83" s="49">
        <f>IF(Mitarbeiter!B83="","",Mitarbeiter!A83)</f>
        <v/>
      </c>
      <c r="B83" s="50">
        <f>IF(Mitarbeiter!B83="","",Mitarbeiter!B83)</f>
        <v/>
      </c>
      <c r="C83" s="51">
        <f>IF(Mitarbeiter!B83="","",Mitarbeiter!F83)</f>
        <v/>
      </c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25">
        <f>IF($B83="","",SUM(D83:O83))</f>
        <v/>
      </c>
      <c r="Q83" s="52" t="n"/>
      <c r="R83" s="52" t="n"/>
      <c r="S83" s="52" t="n"/>
      <c r="T83" s="52" t="n"/>
      <c r="U83" s="52" t="n"/>
      <c r="V83" s="52" t="n"/>
      <c r="W83" s="52" t="n"/>
      <c r="X83" s="52" t="n"/>
      <c r="Y83" s="52" t="n"/>
      <c r="Z83" s="52" t="n"/>
      <c r="AA83" s="52" t="n"/>
      <c r="AB83" s="52" t="n"/>
      <c r="AC83" s="25">
        <f>IF($B83="","",SUM(Q83:AB83))</f>
        <v/>
      </c>
      <c r="AD83" s="25">
        <f>IF($B83="","",SUM(P83,AC83))</f>
        <v/>
      </c>
      <c r="AE83" s="37">
        <f>IF($B83="","",AD83*N(C83))</f>
        <v/>
      </c>
      <c r="AF83" s="53">
        <f>IF(Mitarbeiter!B83="","",Mitarbeiter!C83)</f>
        <v/>
      </c>
      <c r="AG83" s="53">
        <f>IF(OR(Mitarbeiter!B83="",Mitarbeiter!D83=""),"",Mitarbeiter!D83)</f>
        <v/>
      </c>
    </row>
    <row r="84">
      <c r="A84" s="49">
        <f>IF(Mitarbeiter!B84="","",Mitarbeiter!A84)</f>
        <v/>
      </c>
      <c r="B84" s="50">
        <f>IF(Mitarbeiter!B84="","",Mitarbeiter!B84)</f>
        <v/>
      </c>
      <c r="C84" s="51">
        <f>IF(Mitarbeiter!B84="","",Mitarbeiter!F84)</f>
        <v/>
      </c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25">
        <f>IF($B84="","",SUM(D84:O84))</f>
        <v/>
      </c>
      <c r="Q84" s="52" t="n"/>
      <c r="R84" s="52" t="n"/>
      <c r="S84" s="52" t="n"/>
      <c r="T84" s="52" t="n"/>
      <c r="U84" s="52" t="n"/>
      <c r="V84" s="52" t="n"/>
      <c r="W84" s="52" t="n"/>
      <c r="X84" s="52" t="n"/>
      <c r="Y84" s="52" t="n"/>
      <c r="Z84" s="52" t="n"/>
      <c r="AA84" s="52" t="n"/>
      <c r="AB84" s="52" t="n"/>
      <c r="AC84" s="25">
        <f>IF($B84="","",SUM(Q84:AB84))</f>
        <v/>
      </c>
      <c r="AD84" s="25">
        <f>IF($B84="","",SUM(P84,AC84))</f>
        <v/>
      </c>
      <c r="AE84" s="37">
        <f>IF($B84="","",AD84*N(C84))</f>
        <v/>
      </c>
      <c r="AF84" s="53">
        <f>IF(Mitarbeiter!B84="","",Mitarbeiter!C84)</f>
        <v/>
      </c>
      <c r="AG84" s="53">
        <f>IF(OR(Mitarbeiter!B84="",Mitarbeiter!D84=""),"",Mitarbeiter!D84)</f>
        <v/>
      </c>
    </row>
    <row r="85">
      <c r="A85" s="49">
        <f>IF(Mitarbeiter!B85="","",Mitarbeiter!A85)</f>
        <v/>
      </c>
      <c r="B85" s="50">
        <f>IF(Mitarbeiter!B85="","",Mitarbeiter!B85)</f>
        <v/>
      </c>
      <c r="C85" s="51">
        <f>IF(Mitarbeiter!B85="","",Mitarbeiter!F85)</f>
        <v/>
      </c>
      <c r="D85" s="52" t="n"/>
      <c r="E85" s="52" t="n"/>
      <c r="F85" s="52" t="n"/>
      <c r="G85" s="52" t="n"/>
      <c r="H85" s="52" t="n"/>
      <c r="I85" s="52" t="n"/>
      <c r="J85" s="52" t="n"/>
      <c r="K85" s="52" t="n"/>
      <c r="L85" s="52" t="n"/>
      <c r="M85" s="52" t="n"/>
      <c r="N85" s="52" t="n"/>
      <c r="O85" s="52" t="n"/>
      <c r="P85" s="25">
        <f>IF($B85="","",SUM(D85:O85))</f>
        <v/>
      </c>
      <c r="Q85" s="52" t="n"/>
      <c r="R85" s="52" t="n"/>
      <c r="S85" s="52" t="n"/>
      <c r="T85" s="52" t="n"/>
      <c r="U85" s="52" t="n"/>
      <c r="V85" s="52" t="n"/>
      <c r="W85" s="52" t="n"/>
      <c r="X85" s="52" t="n"/>
      <c r="Y85" s="52" t="n"/>
      <c r="Z85" s="52" t="n"/>
      <c r="AA85" s="52" t="n"/>
      <c r="AB85" s="52" t="n"/>
      <c r="AC85" s="25">
        <f>IF($B85="","",SUM(Q85:AB85))</f>
        <v/>
      </c>
      <c r="AD85" s="25">
        <f>IF($B85="","",SUM(P85,AC85))</f>
        <v/>
      </c>
      <c r="AE85" s="37">
        <f>IF($B85="","",AD85*N(C85))</f>
        <v/>
      </c>
      <c r="AF85" s="53">
        <f>IF(Mitarbeiter!B85="","",Mitarbeiter!C85)</f>
        <v/>
      </c>
      <c r="AG85" s="53">
        <f>IF(OR(Mitarbeiter!B85="",Mitarbeiter!D85=""),"",Mitarbeiter!D85)</f>
        <v/>
      </c>
    </row>
    <row r="86">
      <c r="A86" s="49">
        <f>IF(Mitarbeiter!B86="","",Mitarbeiter!A86)</f>
        <v/>
      </c>
      <c r="B86" s="50">
        <f>IF(Mitarbeiter!B86="","",Mitarbeiter!B86)</f>
        <v/>
      </c>
      <c r="C86" s="51">
        <f>IF(Mitarbeiter!B86="","",Mitarbeiter!F86)</f>
        <v/>
      </c>
      <c r="D86" s="52" t="n"/>
      <c r="E86" s="52" t="n"/>
      <c r="F86" s="52" t="n"/>
      <c r="G86" s="52" t="n"/>
      <c r="H86" s="52" t="n"/>
      <c r="I86" s="52" t="n"/>
      <c r="J86" s="52" t="n"/>
      <c r="K86" s="52" t="n"/>
      <c r="L86" s="52" t="n"/>
      <c r="M86" s="52" t="n"/>
      <c r="N86" s="52" t="n"/>
      <c r="O86" s="52" t="n"/>
      <c r="P86" s="25">
        <f>IF($B86="","",SUM(D86:O86))</f>
        <v/>
      </c>
      <c r="Q86" s="52" t="n"/>
      <c r="R86" s="52" t="n"/>
      <c r="S86" s="52" t="n"/>
      <c r="T86" s="52" t="n"/>
      <c r="U86" s="52" t="n"/>
      <c r="V86" s="52" t="n"/>
      <c r="W86" s="52" t="n"/>
      <c r="X86" s="52" t="n"/>
      <c r="Y86" s="52" t="n"/>
      <c r="Z86" s="52" t="n"/>
      <c r="AA86" s="52" t="n"/>
      <c r="AB86" s="52" t="n"/>
      <c r="AC86" s="25">
        <f>IF($B86="","",SUM(Q86:AB86))</f>
        <v/>
      </c>
      <c r="AD86" s="25">
        <f>IF($B86="","",SUM(P86,AC86))</f>
        <v/>
      </c>
      <c r="AE86" s="37">
        <f>IF($B86="","",AD86*N(C86))</f>
        <v/>
      </c>
      <c r="AF86" s="53">
        <f>IF(Mitarbeiter!B86="","",Mitarbeiter!C86)</f>
        <v/>
      </c>
      <c r="AG86" s="53">
        <f>IF(OR(Mitarbeiter!B86="",Mitarbeiter!D86=""),"",Mitarbeiter!D86)</f>
        <v/>
      </c>
    </row>
    <row r="87">
      <c r="A87" s="49">
        <f>IF(Mitarbeiter!B87="","",Mitarbeiter!A87)</f>
        <v/>
      </c>
      <c r="B87" s="50">
        <f>IF(Mitarbeiter!B87="","",Mitarbeiter!B87)</f>
        <v/>
      </c>
      <c r="C87" s="51">
        <f>IF(Mitarbeiter!B87="","",Mitarbeiter!F87)</f>
        <v/>
      </c>
      <c r="D87" s="52" t="n"/>
      <c r="E87" s="52" t="n"/>
      <c r="F87" s="52" t="n"/>
      <c r="G87" s="52" t="n"/>
      <c r="H87" s="52" t="n"/>
      <c r="I87" s="52" t="n"/>
      <c r="J87" s="52" t="n"/>
      <c r="K87" s="52" t="n"/>
      <c r="L87" s="52" t="n"/>
      <c r="M87" s="52" t="n"/>
      <c r="N87" s="52" t="n"/>
      <c r="O87" s="52" t="n"/>
      <c r="P87" s="25">
        <f>IF($B87="","",SUM(D87:O87))</f>
        <v/>
      </c>
      <c r="Q87" s="52" t="n"/>
      <c r="R87" s="52" t="n"/>
      <c r="S87" s="52" t="n"/>
      <c r="T87" s="52" t="n"/>
      <c r="U87" s="52" t="n"/>
      <c r="V87" s="52" t="n"/>
      <c r="W87" s="52" t="n"/>
      <c r="X87" s="52" t="n"/>
      <c r="Y87" s="52" t="n"/>
      <c r="Z87" s="52" t="n"/>
      <c r="AA87" s="52" t="n"/>
      <c r="AB87" s="52" t="n"/>
      <c r="AC87" s="25">
        <f>IF($B87="","",SUM(Q87:AB87))</f>
        <v/>
      </c>
      <c r="AD87" s="25">
        <f>IF($B87="","",SUM(P87,AC87))</f>
        <v/>
      </c>
      <c r="AE87" s="37">
        <f>IF($B87="","",AD87*N(C87))</f>
        <v/>
      </c>
      <c r="AF87" s="53">
        <f>IF(Mitarbeiter!B87="","",Mitarbeiter!C87)</f>
        <v/>
      </c>
      <c r="AG87" s="53">
        <f>IF(OR(Mitarbeiter!B87="",Mitarbeiter!D87=""),"",Mitarbeiter!D87)</f>
        <v/>
      </c>
    </row>
    <row r="88">
      <c r="A88" s="49">
        <f>IF(Mitarbeiter!B88="","",Mitarbeiter!A88)</f>
        <v/>
      </c>
      <c r="B88" s="50">
        <f>IF(Mitarbeiter!B88="","",Mitarbeiter!B88)</f>
        <v/>
      </c>
      <c r="C88" s="51">
        <f>IF(Mitarbeiter!B88="","",Mitarbeiter!F88)</f>
        <v/>
      </c>
      <c r="D88" s="52" t="n"/>
      <c r="E88" s="52" t="n"/>
      <c r="F88" s="52" t="n"/>
      <c r="G88" s="52" t="n"/>
      <c r="H88" s="52" t="n"/>
      <c r="I88" s="52" t="n"/>
      <c r="J88" s="52" t="n"/>
      <c r="K88" s="52" t="n"/>
      <c r="L88" s="52" t="n"/>
      <c r="M88" s="52" t="n"/>
      <c r="N88" s="52" t="n"/>
      <c r="O88" s="52" t="n"/>
      <c r="P88" s="25">
        <f>IF($B88="","",SUM(D88:O88))</f>
        <v/>
      </c>
      <c r="Q88" s="52" t="n"/>
      <c r="R88" s="52" t="n"/>
      <c r="S88" s="52" t="n"/>
      <c r="T88" s="52" t="n"/>
      <c r="U88" s="52" t="n"/>
      <c r="V88" s="52" t="n"/>
      <c r="W88" s="52" t="n"/>
      <c r="X88" s="52" t="n"/>
      <c r="Y88" s="52" t="n"/>
      <c r="Z88" s="52" t="n"/>
      <c r="AA88" s="52" t="n"/>
      <c r="AB88" s="52" t="n"/>
      <c r="AC88" s="25">
        <f>IF($B88="","",SUM(Q88:AB88))</f>
        <v/>
      </c>
      <c r="AD88" s="25">
        <f>IF($B88="","",SUM(P88,AC88))</f>
        <v/>
      </c>
      <c r="AE88" s="37">
        <f>IF($B88="","",AD88*N(C88))</f>
        <v/>
      </c>
      <c r="AF88" s="53">
        <f>IF(Mitarbeiter!B88="","",Mitarbeiter!C88)</f>
        <v/>
      </c>
      <c r="AG88" s="53">
        <f>IF(OR(Mitarbeiter!B88="",Mitarbeiter!D88=""),"",Mitarbeiter!D88)</f>
        <v/>
      </c>
    </row>
    <row r="89">
      <c r="A89" s="49">
        <f>IF(Mitarbeiter!B89="","",Mitarbeiter!A89)</f>
        <v/>
      </c>
      <c r="B89" s="50">
        <f>IF(Mitarbeiter!B89="","",Mitarbeiter!B89)</f>
        <v/>
      </c>
      <c r="C89" s="51">
        <f>IF(Mitarbeiter!B89="","",Mitarbeiter!F89)</f>
        <v/>
      </c>
      <c r="D89" s="52" t="n"/>
      <c r="E89" s="52" t="n"/>
      <c r="F89" s="52" t="n"/>
      <c r="G89" s="52" t="n"/>
      <c r="H89" s="52" t="n"/>
      <c r="I89" s="52" t="n"/>
      <c r="J89" s="52" t="n"/>
      <c r="K89" s="52" t="n"/>
      <c r="L89" s="52" t="n"/>
      <c r="M89" s="52" t="n"/>
      <c r="N89" s="52" t="n"/>
      <c r="O89" s="52" t="n"/>
      <c r="P89" s="25">
        <f>IF($B89="","",SUM(D89:O89))</f>
        <v/>
      </c>
      <c r="Q89" s="52" t="n"/>
      <c r="R89" s="52" t="n"/>
      <c r="S89" s="52" t="n"/>
      <c r="T89" s="52" t="n"/>
      <c r="U89" s="52" t="n"/>
      <c r="V89" s="52" t="n"/>
      <c r="W89" s="52" t="n"/>
      <c r="X89" s="52" t="n"/>
      <c r="Y89" s="52" t="n"/>
      <c r="Z89" s="52" t="n"/>
      <c r="AA89" s="52" t="n"/>
      <c r="AB89" s="52" t="n"/>
      <c r="AC89" s="25">
        <f>IF($B89="","",SUM(Q89:AB89))</f>
        <v/>
      </c>
      <c r="AD89" s="25">
        <f>IF($B89="","",SUM(P89,AC89))</f>
        <v/>
      </c>
      <c r="AE89" s="37">
        <f>IF($B89="","",AD89*N(C89))</f>
        <v/>
      </c>
      <c r="AF89" s="53">
        <f>IF(Mitarbeiter!B89="","",Mitarbeiter!C89)</f>
        <v/>
      </c>
      <c r="AG89" s="53">
        <f>IF(OR(Mitarbeiter!B89="",Mitarbeiter!D89=""),"",Mitarbeiter!D89)</f>
        <v/>
      </c>
    </row>
    <row r="90">
      <c r="A90" s="49">
        <f>IF(Mitarbeiter!B90="","",Mitarbeiter!A90)</f>
        <v/>
      </c>
      <c r="B90" s="50">
        <f>IF(Mitarbeiter!B90="","",Mitarbeiter!B90)</f>
        <v/>
      </c>
      <c r="C90" s="51">
        <f>IF(Mitarbeiter!B90="","",Mitarbeiter!F90)</f>
        <v/>
      </c>
      <c r="D90" s="52" t="n"/>
      <c r="E90" s="52" t="n"/>
      <c r="F90" s="52" t="n"/>
      <c r="G90" s="52" t="n"/>
      <c r="H90" s="52" t="n"/>
      <c r="I90" s="52" t="n"/>
      <c r="J90" s="52" t="n"/>
      <c r="K90" s="52" t="n"/>
      <c r="L90" s="52" t="n"/>
      <c r="M90" s="52" t="n"/>
      <c r="N90" s="52" t="n"/>
      <c r="O90" s="52" t="n"/>
      <c r="P90" s="25">
        <f>IF($B90="","",SUM(D90:O90))</f>
        <v/>
      </c>
      <c r="Q90" s="52" t="n"/>
      <c r="R90" s="52" t="n"/>
      <c r="S90" s="52" t="n"/>
      <c r="T90" s="52" t="n"/>
      <c r="U90" s="52" t="n"/>
      <c r="V90" s="52" t="n"/>
      <c r="W90" s="52" t="n"/>
      <c r="X90" s="52" t="n"/>
      <c r="Y90" s="52" t="n"/>
      <c r="Z90" s="52" t="n"/>
      <c r="AA90" s="52" t="n"/>
      <c r="AB90" s="52" t="n"/>
      <c r="AC90" s="25">
        <f>IF($B90="","",SUM(Q90:AB90))</f>
        <v/>
      </c>
      <c r="AD90" s="25">
        <f>IF($B90="","",SUM(P90,AC90))</f>
        <v/>
      </c>
      <c r="AE90" s="37">
        <f>IF($B90="","",AD90*N(C90))</f>
        <v/>
      </c>
      <c r="AF90" s="53">
        <f>IF(Mitarbeiter!B90="","",Mitarbeiter!C90)</f>
        <v/>
      </c>
      <c r="AG90" s="53">
        <f>IF(OR(Mitarbeiter!B90="",Mitarbeiter!D90=""),"",Mitarbeiter!D90)</f>
        <v/>
      </c>
    </row>
    <row r="91">
      <c r="A91" s="49">
        <f>IF(Mitarbeiter!B91="","",Mitarbeiter!A91)</f>
        <v/>
      </c>
      <c r="B91" s="50">
        <f>IF(Mitarbeiter!B91="","",Mitarbeiter!B91)</f>
        <v/>
      </c>
      <c r="C91" s="51">
        <f>IF(Mitarbeiter!B91="","",Mitarbeiter!F91)</f>
        <v/>
      </c>
      <c r="D91" s="52" t="n"/>
      <c r="E91" s="52" t="n"/>
      <c r="F91" s="52" t="n"/>
      <c r="G91" s="52" t="n"/>
      <c r="H91" s="52" t="n"/>
      <c r="I91" s="52" t="n"/>
      <c r="J91" s="52" t="n"/>
      <c r="K91" s="52" t="n"/>
      <c r="L91" s="52" t="n"/>
      <c r="M91" s="52" t="n"/>
      <c r="N91" s="52" t="n"/>
      <c r="O91" s="52" t="n"/>
      <c r="P91" s="25">
        <f>IF($B91="","",SUM(D91:O91))</f>
        <v/>
      </c>
      <c r="Q91" s="52" t="n"/>
      <c r="R91" s="52" t="n"/>
      <c r="S91" s="52" t="n"/>
      <c r="T91" s="52" t="n"/>
      <c r="U91" s="52" t="n"/>
      <c r="V91" s="52" t="n"/>
      <c r="W91" s="52" t="n"/>
      <c r="X91" s="52" t="n"/>
      <c r="Y91" s="52" t="n"/>
      <c r="Z91" s="52" t="n"/>
      <c r="AA91" s="52" t="n"/>
      <c r="AB91" s="52" t="n"/>
      <c r="AC91" s="25">
        <f>IF($B91="","",SUM(Q91:AB91))</f>
        <v/>
      </c>
      <c r="AD91" s="25">
        <f>IF($B91="","",SUM(P91,AC91))</f>
        <v/>
      </c>
      <c r="AE91" s="37">
        <f>IF($B91="","",AD91*N(C91))</f>
        <v/>
      </c>
      <c r="AF91" s="53">
        <f>IF(Mitarbeiter!B91="","",Mitarbeiter!C91)</f>
        <v/>
      </c>
      <c r="AG91" s="53">
        <f>IF(OR(Mitarbeiter!B91="",Mitarbeiter!D91=""),"",Mitarbeiter!D91)</f>
        <v/>
      </c>
    </row>
    <row r="92">
      <c r="A92" s="49">
        <f>IF(Mitarbeiter!B92="","",Mitarbeiter!A92)</f>
        <v/>
      </c>
      <c r="B92" s="50">
        <f>IF(Mitarbeiter!B92="","",Mitarbeiter!B92)</f>
        <v/>
      </c>
      <c r="C92" s="51">
        <f>IF(Mitarbeiter!B92="","",Mitarbeiter!F92)</f>
        <v/>
      </c>
      <c r="D92" s="52" t="n"/>
      <c r="E92" s="52" t="n"/>
      <c r="F92" s="52" t="n"/>
      <c r="G92" s="52" t="n"/>
      <c r="H92" s="52" t="n"/>
      <c r="I92" s="52" t="n"/>
      <c r="J92" s="52" t="n"/>
      <c r="K92" s="52" t="n"/>
      <c r="L92" s="52" t="n"/>
      <c r="M92" s="52" t="n"/>
      <c r="N92" s="52" t="n"/>
      <c r="O92" s="52" t="n"/>
      <c r="P92" s="25">
        <f>IF($B92="","",SUM(D92:O92))</f>
        <v/>
      </c>
      <c r="Q92" s="52" t="n"/>
      <c r="R92" s="52" t="n"/>
      <c r="S92" s="52" t="n"/>
      <c r="T92" s="52" t="n"/>
      <c r="U92" s="52" t="n"/>
      <c r="V92" s="52" t="n"/>
      <c r="W92" s="52" t="n"/>
      <c r="X92" s="52" t="n"/>
      <c r="Y92" s="52" t="n"/>
      <c r="Z92" s="52" t="n"/>
      <c r="AA92" s="52" t="n"/>
      <c r="AB92" s="52" t="n"/>
      <c r="AC92" s="25">
        <f>IF($B92="","",SUM(Q92:AB92))</f>
        <v/>
      </c>
      <c r="AD92" s="25">
        <f>IF($B92="","",SUM(P92,AC92))</f>
        <v/>
      </c>
      <c r="AE92" s="37">
        <f>IF($B92="","",AD92*N(C92))</f>
        <v/>
      </c>
      <c r="AF92" s="53">
        <f>IF(Mitarbeiter!B92="","",Mitarbeiter!C92)</f>
        <v/>
      </c>
      <c r="AG92" s="53">
        <f>IF(OR(Mitarbeiter!B92="",Mitarbeiter!D92=""),"",Mitarbeiter!D92)</f>
        <v/>
      </c>
    </row>
    <row r="93">
      <c r="A93" s="49">
        <f>IF(Mitarbeiter!B93="","",Mitarbeiter!A93)</f>
        <v/>
      </c>
      <c r="B93" s="50">
        <f>IF(Mitarbeiter!B93="","",Mitarbeiter!B93)</f>
        <v/>
      </c>
      <c r="C93" s="51">
        <f>IF(Mitarbeiter!B93="","",Mitarbeiter!F93)</f>
        <v/>
      </c>
      <c r="D93" s="52" t="n"/>
      <c r="E93" s="52" t="n"/>
      <c r="F93" s="52" t="n"/>
      <c r="G93" s="52" t="n"/>
      <c r="H93" s="52" t="n"/>
      <c r="I93" s="52" t="n"/>
      <c r="J93" s="52" t="n"/>
      <c r="K93" s="52" t="n"/>
      <c r="L93" s="52" t="n"/>
      <c r="M93" s="52" t="n"/>
      <c r="N93" s="52" t="n"/>
      <c r="O93" s="52" t="n"/>
      <c r="P93" s="25">
        <f>IF($B93="","",SUM(D93:O93))</f>
        <v/>
      </c>
      <c r="Q93" s="52" t="n"/>
      <c r="R93" s="52" t="n"/>
      <c r="S93" s="52" t="n"/>
      <c r="T93" s="52" t="n"/>
      <c r="U93" s="52" t="n"/>
      <c r="V93" s="52" t="n"/>
      <c r="W93" s="52" t="n"/>
      <c r="X93" s="52" t="n"/>
      <c r="Y93" s="52" t="n"/>
      <c r="Z93" s="52" t="n"/>
      <c r="AA93" s="52" t="n"/>
      <c r="AB93" s="52" t="n"/>
      <c r="AC93" s="25">
        <f>IF($B93="","",SUM(Q93:AB93))</f>
        <v/>
      </c>
      <c r="AD93" s="25">
        <f>IF($B93="","",SUM(P93,AC93))</f>
        <v/>
      </c>
      <c r="AE93" s="37">
        <f>IF($B93="","",AD93*N(C93))</f>
        <v/>
      </c>
      <c r="AF93" s="53">
        <f>IF(Mitarbeiter!B93="","",Mitarbeiter!C93)</f>
        <v/>
      </c>
      <c r="AG93" s="53">
        <f>IF(OR(Mitarbeiter!B93="",Mitarbeiter!D93=""),"",Mitarbeiter!D93)</f>
        <v/>
      </c>
    </row>
    <row r="94">
      <c r="A94" s="49">
        <f>IF(Mitarbeiter!B94="","",Mitarbeiter!A94)</f>
        <v/>
      </c>
      <c r="B94" s="50">
        <f>IF(Mitarbeiter!B94="","",Mitarbeiter!B94)</f>
        <v/>
      </c>
      <c r="C94" s="51">
        <f>IF(Mitarbeiter!B94="","",Mitarbeiter!F94)</f>
        <v/>
      </c>
      <c r="D94" s="52" t="n"/>
      <c r="E94" s="52" t="n"/>
      <c r="F94" s="52" t="n"/>
      <c r="G94" s="52" t="n"/>
      <c r="H94" s="52" t="n"/>
      <c r="I94" s="52" t="n"/>
      <c r="J94" s="52" t="n"/>
      <c r="K94" s="52" t="n"/>
      <c r="L94" s="52" t="n"/>
      <c r="M94" s="52" t="n"/>
      <c r="N94" s="52" t="n"/>
      <c r="O94" s="52" t="n"/>
      <c r="P94" s="25">
        <f>IF($B94="","",SUM(D94:O94))</f>
        <v/>
      </c>
      <c r="Q94" s="52" t="n"/>
      <c r="R94" s="52" t="n"/>
      <c r="S94" s="52" t="n"/>
      <c r="T94" s="52" t="n"/>
      <c r="U94" s="52" t="n"/>
      <c r="V94" s="52" t="n"/>
      <c r="W94" s="52" t="n"/>
      <c r="X94" s="52" t="n"/>
      <c r="Y94" s="52" t="n"/>
      <c r="Z94" s="52" t="n"/>
      <c r="AA94" s="52" t="n"/>
      <c r="AB94" s="52" t="n"/>
      <c r="AC94" s="25">
        <f>IF($B94="","",SUM(Q94:AB94))</f>
        <v/>
      </c>
      <c r="AD94" s="25">
        <f>IF($B94="","",SUM(P94,AC94))</f>
        <v/>
      </c>
      <c r="AE94" s="37">
        <f>IF($B94="","",AD94*N(C94))</f>
        <v/>
      </c>
      <c r="AF94" s="53">
        <f>IF(Mitarbeiter!B94="","",Mitarbeiter!C94)</f>
        <v/>
      </c>
      <c r="AG94" s="53">
        <f>IF(OR(Mitarbeiter!B94="",Mitarbeiter!D94=""),"",Mitarbeiter!D94)</f>
        <v/>
      </c>
    </row>
    <row r="95">
      <c r="A95" s="49">
        <f>IF(Mitarbeiter!B95="","",Mitarbeiter!A95)</f>
        <v/>
      </c>
      <c r="B95" s="50">
        <f>IF(Mitarbeiter!B95="","",Mitarbeiter!B95)</f>
        <v/>
      </c>
      <c r="C95" s="51">
        <f>IF(Mitarbeiter!B95="","",Mitarbeiter!F95)</f>
        <v/>
      </c>
      <c r="D95" s="52" t="n"/>
      <c r="E95" s="52" t="n"/>
      <c r="F95" s="52" t="n"/>
      <c r="G95" s="52" t="n"/>
      <c r="H95" s="52" t="n"/>
      <c r="I95" s="52" t="n"/>
      <c r="J95" s="52" t="n"/>
      <c r="K95" s="52" t="n"/>
      <c r="L95" s="52" t="n"/>
      <c r="M95" s="52" t="n"/>
      <c r="N95" s="52" t="n"/>
      <c r="O95" s="52" t="n"/>
      <c r="P95" s="25">
        <f>IF($B95="","",SUM(D95:O95))</f>
        <v/>
      </c>
      <c r="Q95" s="52" t="n"/>
      <c r="R95" s="52" t="n"/>
      <c r="S95" s="52" t="n"/>
      <c r="T95" s="52" t="n"/>
      <c r="U95" s="52" t="n"/>
      <c r="V95" s="52" t="n"/>
      <c r="W95" s="52" t="n"/>
      <c r="X95" s="52" t="n"/>
      <c r="Y95" s="52" t="n"/>
      <c r="Z95" s="52" t="n"/>
      <c r="AA95" s="52" t="n"/>
      <c r="AB95" s="52" t="n"/>
      <c r="AC95" s="25">
        <f>IF($B95="","",SUM(Q95:AB95))</f>
        <v/>
      </c>
      <c r="AD95" s="25">
        <f>IF($B95="","",SUM(P95,AC95))</f>
        <v/>
      </c>
      <c r="AE95" s="37">
        <f>IF($B95="","",AD95*N(C95))</f>
        <v/>
      </c>
      <c r="AF95" s="53">
        <f>IF(Mitarbeiter!B95="","",Mitarbeiter!C95)</f>
        <v/>
      </c>
      <c r="AG95" s="53">
        <f>IF(OR(Mitarbeiter!B95="",Mitarbeiter!D95=""),"",Mitarbeiter!D95)</f>
        <v/>
      </c>
    </row>
    <row r="96">
      <c r="A96" s="49">
        <f>IF(Mitarbeiter!B96="","",Mitarbeiter!A96)</f>
        <v/>
      </c>
      <c r="B96" s="50">
        <f>IF(Mitarbeiter!B96="","",Mitarbeiter!B96)</f>
        <v/>
      </c>
      <c r="C96" s="51">
        <f>IF(Mitarbeiter!B96="","",Mitarbeiter!F96)</f>
        <v/>
      </c>
      <c r="D96" s="52" t="n"/>
      <c r="E96" s="52" t="n"/>
      <c r="F96" s="52" t="n"/>
      <c r="G96" s="52" t="n"/>
      <c r="H96" s="52" t="n"/>
      <c r="I96" s="52" t="n"/>
      <c r="J96" s="52" t="n"/>
      <c r="K96" s="52" t="n"/>
      <c r="L96" s="52" t="n"/>
      <c r="M96" s="52" t="n"/>
      <c r="N96" s="52" t="n"/>
      <c r="O96" s="52" t="n"/>
      <c r="P96" s="25">
        <f>IF($B96="","",SUM(D96:O96))</f>
        <v/>
      </c>
      <c r="Q96" s="52" t="n"/>
      <c r="R96" s="52" t="n"/>
      <c r="S96" s="52" t="n"/>
      <c r="T96" s="52" t="n"/>
      <c r="U96" s="52" t="n"/>
      <c r="V96" s="52" t="n"/>
      <c r="W96" s="52" t="n"/>
      <c r="X96" s="52" t="n"/>
      <c r="Y96" s="52" t="n"/>
      <c r="Z96" s="52" t="n"/>
      <c r="AA96" s="52" t="n"/>
      <c r="AB96" s="52" t="n"/>
      <c r="AC96" s="25">
        <f>IF($B96="","",SUM(Q96:AB96))</f>
        <v/>
      </c>
      <c r="AD96" s="25">
        <f>IF($B96="","",SUM(P96,AC96))</f>
        <v/>
      </c>
      <c r="AE96" s="37">
        <f>IF($B96="","",AD96*N(C96))</f>
        <v/>
      </c>
      <c r="AF96" s="53">
        <f>IF(Mitarbeiter!B96="","",Mitarbeiter!C96)</f>
        <v/>
      </c>
      <c r="AG96" s="53">
        <f>IF(OR(Mitarbeiter!B96="",Mitarbeiter!D96=""),"",Mitarbeiter!D96)</f>
        <v/>
      </c>
    </row>
    <row r="97">
      <c r="A97" s="49">
        <f>IF(Mitarbeiter!B97="","",Mitarbeiter!A97)</f>
        <v/>
      </c>
      <c r="B97" s="50">
        <f>IF(Mitarbeiter!B97="","",Mitarbeiter!B97)</f>
        <v/>
      </c>
      <c r="C97" s="51">
        <f>IF(Mitarbeiter!B97="","",Mitarbeiter!F97)</f>
        <v/>
      </c>
      <c r="D97" s="52" t="n"/>
      <c r="E97" s="52" t="n"/>
      <c r="F97" s="52" t="n"/>
      <c r="G97" s="52" t="n"/>
      <c r="H97" s="52" t="n"/>
      <c r="I97" s="52" t="n"/>
      <c r="J97" s="52" t="n"/>
      <c r="K97" s="52" t="n"/>
      <c r="L97" s="52" t="n"/>
      <c r="M97" s="52" t="n"/>
      <c r="N97" s="52" t="n"/>
      <c r="O97" s="52" t="n"/>
      <c r="P97" s="25">
        <f>IF($B97="","",SUM(D97:O97))</f>
        <v/>
      </c>
      <c r="Q97" s="52" t="n"/>
      <c r="R97" s="52" t="n"/>
      <c r="S97" s="52" t="n"/>
      <c r="T97" s="52" t="n"/>
      <c r="U97" s="52" t="n"/>
      <c r="V97" s="52" t="n"/>
      <c r="W97" s="52" t="n"/>
      <c r="X97" s="52" t="n"/>
      <c r="Y97" s="52" t="n"/>
      <c r="Z97" s="52" t="n"/>
      <c r="AA97" s="52" t="n"/>
      <c r="AB97" s="52" t="n"/>
      <c r="AC97" s="25">
        <f>IF($B97="","",SUM(Q97:AB97))</f>
        <v/>
      </c>
      <c r="AD97" s="25">
        <f>IF($B97="","",SUM(P97,AC97))</f>
        <v/>
      </c>
      <c r="AE97" s="37">
        <f>IF($B97="","",AD97*N(C97))</f>
        <v/>
      </c>
      <c r="AF97" s="53">
        <f>IF(Mitarbeiter!B97="","",Mitarbeiter!C97)</f>
        <v/>
      </c>
      <c r="AG97" s="53">
        <f>IF(OR(Mitarbeiter!B97="",Mitarbeiter!D97=""),"",Mitarbeiter!D97)</f>
        <v/>
      </c>
    </row>
    <row r="98">
      <c r="A98" s="49">
        <f>IF(Mitarbeiter!B98="","",Mitarbeiter!A98)</f>
        <v/>
      </c>
      <c r="B98" s="50">
        <f>IF(Mitarbeiter!B98="","",Mitarbeiter!B98)</f>
        <v/>
      </c>
      <c r="C98" s="51">
        <f>IF(Mitarbeiter!B98="","",Mitarbeiter!F98)</f>
        <v/>
      </c>
      <c r="D98" s="52" t="n"/>
      <c r="E98" s="52" t="n"/>
      <c r="F98" s="52" t="n"/>
      <c r="G98" s="52" t="n"/>
      <c r="H98" s="52" t="n"/>
      <c r="I98" s="52" t="n"/>
      <c r="J98" s="52" t="n"/>
      <c r="K98" s="52" t="n"/>
      <c r="L98" s="52" t="n"/>
      <c r="M98" s="52" t="n"/>
      <c r="N98" s="52" t="n"/>
      <c r="O98" s="52" t="n"/>
      <c r="P98" s="25">
        <f>IF($B98="","",SUM(D98:O98))</f>
        <v/>
      </c>
      <c r="Q98" s="52" t="n"/>
      <c r="R98" s="52" t="n"/>
      <c r="S98" s="52" t="n"/>
      <c r="T98" s="52" t="n"/>
      <c r="U98" s="52" t="n"/>
      <c r="V98" s="52" t="n"/>
      <c r="W98" s="52" t="n"/>
      <c r="X98" s="52" t="n"/>
      <c r="Y98" s="52" t="n"/>
      <c r="Z98" s="52" t="n"/>
      <c r="AA98" s="52" t="n"/>
      <c r="AB98" s="52" t="n"/>
      <c r="AC98" s="25">
        <f>IF($B98="","",SUM(Q98:AB98))</f>
        <v/>
      </c>
      <c r="AD98" s="25">
        <f>IF($B98="","",SUM(P98,AC98))</f>
        <v/>
      </c>
      <c r="AE98" s="37">
        <f>IF($B98="","",AD98*N(C98))</f>
        <v/>
      </c>
      <c r="AF98" s="53">
        <f>IF(Mitarbeiter!B98="","",Mitarbeiter!C98)</f>
        <v/>
      </c>
      <c r="AG98" s="53">
        <f>IF(OR(Mitarbeiter!B98="",Mitarbeiter!D98=""),"",Mitarbeiter!D98)</f>
        <v/>
      </c>
    </row>
    <row r="99">
      <c r="A99" s="49">
        <f>IF(Mitarbeiter!B99="","",Mitarbeiter!A99)</f>
        <v/>
      </c>
      <c r="B99" s="50">
        <f>IF(Mitarbeiter!B99="","",Mitarbeiter!B99)</f>
        <v/>
      </c>
      <c r="C99" s="51">
        <f>IF(Mitarbeiter!B99="","",Mitarbeiter!F99)</f>
        <v/>
      </c>
      <c r="D99" s="52" t="n"/>
      <c r="E99" s="52" t="n"/>
      <c r="F99" s="52" t="n"/>
      <c r="G99" s="52" t="n"/>
      <c r="H99" s="52" t="n"/>
      <c r="I99" s="52" t="n"/>
      <c r="J99" s="52" t="n"/>
      <c r="K99" s="52" t="n"/>
      <c r="L99" s="52" t="n"/>
      <c r="M99" s="52" t="n"/>
      <c r="N99" s="52" t="n"/>
      <c r="O99" s="52" t="n"/>
      <c r="P99" s="25">
        <f>IF($B99="","",SUM(D99:O99))</f>
        <v/>
      </c>
      <c r="Q99" s="52" t="n"/>
      <c r="R99" s="52" t="n"/>
      <c r="S99" s="52" t="n"/>
      <c r="T99" s="52" t="n"/>
      <c r="U99" s="52" t="n"/>
      <c r="V99" s="52" t="n"/>
      <c r="W99" s="52" t="n"/>
      <c r="X99" s="52" t="n"/>
      <c r="Y99" s="52" t="n"/>
      <c r="Z99" s="52" t="n"/>
      <c r="AA99" s="52" t="n"/>
      <c r="AB99" s="52" t="n"/>
      <c r="AC99" s="25">
        <f>IF($B99="","",SUM(Q99:AB99))</f>
        <v/>
      </c>
      <c r="AD99" s="25">
        <f>IF($B99="","",SUM(P99,AC99))</f>
        <v/>
      </c>
      <c r="AE99" s="37">
        <f>IF($B99="","",AD99*N(C99))</f>
        <v/>
      </c>
      <c r="AF99" s="53">
        <f>IF(Mitarbeiter!B99="","",Mitarbeiter!C99)</f>
        <v/>
      </c>
      <c r="AG99" s="53">
        <f>IF(OR(Mitarbeiter!B99="",Mitarbeiter!D99=""),"",Mitarbeiter!D99)</f>
        <v/>
      </c>
    </row>
    <row r="100">
      <c r="A100" s="49">
        <f>IF(Mitarbeiter!B100="","",Mitarbeiter!A100)</f>
        <v/>
      </c>
      <c r="B100" s="50">
        <f>IF(Mitarbeiter!B100="","",Mitarbeiter!B100)</f>
        <v/>
      </c>
      <c r="C100" s="51">
        <f>IF(Mitarbeiter!B100="","",Mitarbeiter!F100)</f>
        <v/>
      </c>
      <c r="D100" s="52" t="n"/>
      <c r="E100" s="52" t="n"/>
      <c r="F100" s="52" t="n"/>
      <c r="G100" s="52" t="n"/>
      <c r="H100" s="52" t="n"/>
      <c r="I100" s="52" t="n"/>
      <c r="J100" s="52" t="n"/>
      <c r="K100" s="52" t="n"/>
      <c r="L100" s="52" t="n"/>
      <c r="M100" s="52" t="n"/>
      <c r="N100" s="52" t="n"/>
      <c r="O100" s="52" t="n"/>
      <c r="P100" s="25">
        <f>IF($B100="","",SUM(D100:O100))</f>
        <v/>
      </c>
      <c r="Q100" s="52" t="n"/>
      <c r="R100" s="52" t="n"/>
      <c r="S100" s="52" t="n"/>
      <c r="T100" s="52" t="n"/>
      <c r="U100" s="52" t="n"/>
      <c r="V100" s="52" t="n"/>
      <c r="W100" s="52" t="n"/>
      <c r="X100" s="52" t="n"/>
      <c r="Y100" s="52" t="n"/>
      <c r="Z100" s="52" t="n"/>
      <c r="AA100" s="52" t="n"/>
      <c r="AB100" s="52" t="n"/>
      <c r="AC100" s="25">
        <f>IF($B100="","",SUM(Q100:AB100))</f>
        <v/>
      </c>
      <c r="AD100" s="25">
        <f>IF($B100="","",SUM(P100,AC100))</f>
        <v/>
      </c>
      <c r="AE100" s="37">
        <f>IF($B100="","",AD100*N(C100))</f>
        <v/>
      </c>
      <c r="AF100" s="53">
        <f>IF(Mitarbeiter!B100="","",Mitarbeiter!C100)</f>
        <v/>
      </c>
      <c r="AG100" s="53">
        <f>IF(OR(Mitarbeiter!B100="",Mitarbeiter!D100=""),"",Mitarbeiter!D100)</f>
        <v/>
      </c>
    </row>
    <row r="101">
      <c r="A101" s="49">
        <f>IF(Mitarbeiter!B101="","",Mitarbeiter!A101)</f>
        <v/>
      </c>
      <c r="B101" s="50">
        <f>IF(Mitarbeiter!B101="","",Mitarbeiter!B101)</f>
        <v/>
      </c>
      <c r="C101" s="51">
        <f>IF(Mitarbeiter!B101="","",Mitarbeiter!F101)</f>
        <v/>
      </c>
      <c r="D101" s="52" t="n"/>
      <c r="E101" s="52" t="n"/>
      <c r="F101" s="52" t="n"/>
      <c r="G101" s="52" t="n"/>
      <c r="H101" s="52" t="n"/>
      <c r="I101" s="52" t="n"/>
      <c r="J101" s="52" t="n"/>
      <c r="K101" s="52" t="n"/>
      <c r="L101" s="52" t="n"/>
      <c r="M101" s="52" t="n"/>
      <c r="N101" s="52" t="n"/>
      <c r="O101" s="52" t="n"/>
      <c r="P101" s="25">
        <f>IF($B101="","",SUM(D101:O101))</f>
        <v/>
      </c>
      <c r="Q101" s="52" t="n"/>
      <c r="R101" s="52" t="n"/>
      <c r="S101" s="52" t="n"/>
      <c r="T101" s="52" t="n"/>
      <c r="U101" s="52" t="n"/>
      <c r="V101" s="52" t="n"/>
      <c r="W101" s="52" t="n"/>
      <c r="X101" s="52" t="n"/>
      <c r="Y101" s="52" t="n"/>
      <c r="Z101" s="52" t="n"/>
      <c r="AA101" s="52" t="n"/>
      <c r="AB101" s="52" t="n"/>
      <c r="AC101" s="25">
        <f>IF($B101="","",SUM(Q101:AB101))</f>
        <v/>
      </c>
      <c r="AD101" s="25">
        <f>IF($B101="","",SUM(P101,AC101))</f>
        <v/>
      </c>
      <c r="AE101" s="37">
        <f>IF($B101="","",AD101*N(C101))</f>
        <v/>
      </c>
      <c r="AF101" s="53">
        <f>IF(Mitarbeiter!B101="","",Mitarbeiter!C101)</f>
        <v/>
      </c>
      <c r="AG101" s="53">
        <f>IF(OR(Mitarbeiter!B101="",Mitarbeiter!D101=""),"",Mitarbeiter!D101)</f>
        <v/>
      </c>
    </row>
    <row r="102">
      <c r="A102" s="49">
        <f>IF(Mitarbeiter!B102="","",Mitarbeiter!A102)</f>
        <v/>
      </c>
      <c r="B102" s="50">
        <f>IF(Mitarbeiter!B102="","",Mitarbeiter!B102)</f>
        <v/>
      </c>
      <c r="C102" s="51">
        <f>IF(Mitarbeiter!B102="","",Mitarbeiter!F102)</f>
        <v/>
      </c>
      <c r="D102" s="52" t="n"/>
      <c r="E102" s="52" t="n"/>
      <c r="F102" s="52" t="n"/>
      <c r="G102" s="52" t="n"/>
      <c r="H102" s="52" t="n"/>
      <c r="I102" s="52" t="n"/>
      <c r="J102" s="52" t="n"/>
      <c r="K102" s="52" t="n"/>
      <c r="L102" s="52" t="n"/>
      <c r="M102" s="52" t="n"/>
      <c r="N102" s="52" t="n"/>
      <c r="O102" s="52" t="n"/>
      <c r="P102" s="25">
        <f>IF($B102="","",SUM(D102:O102))</f>
        <v/>
      </c>
      <c r="Q102" s="52" t="n"/>
      <c r="R102" s="52" t="n"/>
      <c r="S102" s="52" t="n"/>
      <c r="T102" s="52" t="n"/>
      <c r="U102" s="52" t="n"/>
      <c r="V102" s="52" t="n"/>
      <c r="W102" s="52" t="n"/>
      <c r="X102" s="52" t="n"/>
      <c r="Y102" s="52" t="n"/>
      <c r="Z102" s="52" t="n"/>
      <c r="AA102" s="52" t="n"/>
      <c r="AB102" s="52" t="n"/>
      <c r="AC102" s="25">
        <f>IF($B102="","",SUM(Q102:AB102))</f>
        <v/>
      </c>
      <c r="AD102" s="25">
        <f>IF($B102="","",SUM(P102,AC102))</f>
        <v/>
      </c>
      <c r="AE102" s="37">
        <f>IF($B102="","",AD102*N(C102))</f>
        <v/>
      </c>
      <c r="AF102" s="53">
        <f>IF(Mitarbeiter!B102="","",Mitarbeiter!C102)</f>
        <v/>
      </c>
      <c r="AG102" s="53">
        <f>IF(OR(Mitarbeiter!B102="",Mitarbeiter!D102=""),"",Mitarbeiter!D102)</f>
        <v/>
      </c>
    </row>
    <row r="103">
      <c r="A103" s="49">
        <f>IF(Mitarbeiter!B103="","",Mitarbeiter!A103)</f>
        <v/>
      </c>
      <c r="B103" s="50">
        <f>IF(Mitarbeiter!B103="","",Mitarbeiter!B103)</f>
        <v/>
      </c>
      <c r="C103" s="51">
        <f>IF(Mitarbeiter!B103="","",Mitarbeiter!F103)</f>
        <v/>
      </c>
      <c r="D103" s="52" t="n"/>
      <c r="E103" s="52" t="n"/>
      <c r="F103" s="52" t="n"/>
      <c r="G103" s="52" t="n"/>
      <c r="H103" s="52" t="n"/>
      <c r="I103" s="52" t="n"/>
      <c r="J103" s="52" t="n"/>
      <c r="K103" s="52" t="n"/>
      <c r="L103" s="52" t="n"/>
      <c r="M103" s="52" t="n"/>
      <c r="N103" s="52" t="n"/>
      <c r="O103" s="52" t="n"/>
      <c r="P103" s="25">
        <f>IF($B103="","",SUM(D103:O103))</f>
        <v/>
      </c>
      <c r="Q103" s="52" t="n"/>
      <c r="R103" s="52" t="n"/>
      <c r="S103" s="52" t="n"/>
      <c r="T103" s="52" t="n"/>
      <c r="U103" s="52" t="n"/>
      <c r="V103" s="52" t="n"/>
      <c r="W103" s="52" t="n"/>
      <c r="X103" s="52" t="n"/>
      <c r="Y103" s="52" t="n"/>
      <c r="Z103" s="52" t="n"/>
      <c r="AA103" s="52" t="n"/>
      <c r="AB103" s="52" t="n"/>
      <c r="AC103" s="25">
        <f>IF($B103="","",SUM(Q103:AB103))</f>
        <v/>
      </c>
      <c r="AD103" s="25">
        <f>IF($B103="","",SUM(P103,AC103))</f>
        <v/>
      </c>
      <c r="AE103" s="37">
        <f>IF($B103="","",AD103*N(C103))</f>
        <v/>
      </c>
      <c r="AF103" s="53">
        <f>IF(Mitarbeiter!B103="","",Mitarbeiter!C103)</f>
        <v/>
      </c>
      <c r="AG103" s="53">
        <f>IF(OR(Mitarbeiter!B103="",Mitarbeiter!D103=""),"",Mitarbeiter!D103)</f>
        <v/>
      </c>
    </row>
    <row r="104">
      <c r="A104" s="49">
        <f>IF(Mitarbeiter!B104="","",Mitarbeiter!A104)</f>
        <v/>
      </c>
      <c r="B104" s="50">
        <f>IF(Mitarbeiter!B104="","",Mitarbeiter!B104)</f>
        <v/>
      </c>
      <c r="C104" s="51">
        <f>IF(Mitarbeiter!B104="","",Mitarbeiter!F104)</f>
        <v/>
      </c>
      <c r="D104" s="52" t="n"/>
      <c r="E104" s="52" t="n"/>
      <c r="F104" s="52" t="n"/>
      <c r="G104" s="52" t="n"/>
      <c r="H104" s="52" t="n"/>
      <c r="I104" s="52" t="n"/>
      <c r="J104" s="52" t="n"/>
      <c r="K104" s="52" t="n"/>
      <c r="L104" s="52" t="n"/>
      <c r="M104" s="52" t="n"/>
      <c r="N104" s="52" t="n"/>
      <c r="O104" s="52" t="n"/>
      <c r="P104" s="25">
        <f>IF($B104="","",SUM(D104:O104))</f>
        <v/>
      </c>
      <c r="Q104" s="52" t="n"/>
      <c r="R104" s="52" t="n"/>
      <c r="S104" s="52" t="n"/>
      <c r="T104" s="52" t="n"/>
      <c r="U104" s="52" t="n"/>
      <c r="V104" s="52" t="n"/>
      <c r="W104" s="52" t="n"/>
      <c r="X104" s="52" t="n"/>
      <c r="Y104" s="52" t="n"/>
      <c r="Z104" s="52" t="n"/>
      <c r="AA104" s="52" t="n"/>
      <c r="AB104" s="52" t="n"/>
      <c r="AC104" s="25">
        <f>IF($B104="","",SUM(Q104:AB104))</f>
        <v/>
      </c>
      <c r="AD104" s="25">
        <f>IF($B104="","",SUM(P104,AC104))</f>
        <v/>
      </c>
      <c r="AE104" s="37">
        <f>IF($B104="","",AD104*N(C104))</f>
        <v/>
      </c>
      <c r="AF104" s="53">
        <f>IF(Mitarbeiter!B104="","",Mitarbeiter!C104)</f>
        <v/>
      </c>
      <c r="AG104" s="53">
        <f>IF(OR(Mitarbeiter!B104="",Mitarbeiter!D104=""),"",Mitarbeiter!D104)</f>
        <v/>
      </c>
    </row>
    <row r="105">
      <c r="A105" s="49">
        <f>IF(Mitarbeiter!B105="","",Mitarbeiter!A105)</f>
        <v/>
      </c>
      <c r="B105" s="50">
        <f>IF(Mitarbeiter!B105="","",Mitarbeiter!B105)</f>
        <v/>
      </c>
      <c r="C105" s="51">
        <f>IF(Mitarbeiter!B105="","",Mitarbeiter!F105)</f>
        <v/>
      </c>
      <c r="D105" s="52" t="n"/>
      <c r="E105" s="52" t="n"/>
      <c r="F105" s="52" t="n"/>
      <c r="G105" s="52" t="n"/>
      <c r="H105" s="52" t="n"/>
      <c r="I105" s="52" t="n"/>
      <c r="J105" s="52" t="n"/>
      <c r="K105" s="52" t="n"/>
      <c r="L105" s="52" t="n"/>
      <c r="M105" s="52" t="n"/>
      <c r="N105" s="52" t="n"/>
      <c r="O105" s="52" t="n"/>
      <c r="P105" s="25">
        <f>IF($B105="","",SUM(D105:O105))</f>
        <v/>
      </c>
      <c r="Q105" s="52" t="n"/>
      <c r="R105" s="52" t="n"/>
      <c r="S105" s="52" t="n"/>
      <c r="T105" s="52" t="n"/>
      <c r="U105" s="52" t="n"/>
      <c r="V105" s="52" t="n"/>
      <c r="W105" s="52" t="n"/>
      <c r="X105" s="52" t="n"/>
      <c r="Y105" s="52" t="n"/>
      <c r="Z105" s="52" t="n"/>
      <c r="AA105" s="52" t="n"/>
      <c r="AB105" s="52" t="n"/>
      <c r="AC105" s="25">
        <f>IF($B105="","",SUM(Q105:AB105))</f>
        <v/>
      </c>
      <c r="AD105" s="25">
        <f>IF($B105="","",SUM(P105,AC105))</f>
        <v/>
      </c>
      <c r="AE105" s="37">
        <f>IF($B105="","",AD105*N(C105))</f>
        <v/>
      </c>
      <c r="AF105" s="53">
        <f>IF(Mitarbeiter!B105="","",Mitarbeiter!C105)</f>
        <v/>
      </c>
      <c r="AG105" s="53">
        <f>IF(OR(Mitarbeiter!B105="",Mitarbeiter!D105=""),"",Mitarbeiter!D105)</f>
        <v/>
      </c>
    </row>
    <row r="106">
      <c r="A106" s="49">
        <f>IF(Mitarbeiter!B106="","",Mitarbeiter!A106)</f>
        <v/>
      </c>
      <c r="B106" s="50">
        <f>IF(Mitarbeiter!B106="","",Mitarbeiter!B106)</f>
        <v/>
      </c>
      <c r="C106" s="51">
        <f>IF(Mitarbeiter!B106="","",Mitarbeiter!F106)</f>
        <v/>
      </c>
      <c r="D106" s="52" t="n"/>
      <c r="E106" s="52" t="n"/>
      <c r="F106" s="52" t="n"/>
      <c r="G106" s="52" t="n"/>
      <c r="H106" s="52" t="n"/>
      <c r="I106" s="52" t="n"/>
      <c r="J106" s="52" t="n"/>
      <c r="K106" s="52" t="n"/>
      <c r="L106" s="52" t="n"/>
      <c r="M106" s="52" t="n"/>
      <c r="N106" s="52" t="n"/>
      <c r="O106" s="52" t="n"/>
      <c r="P106" s="25">
        <f>IF($B106="","",SUM(D106:O106))</f>
        <v/>
      </c>
      <c r="Q106" s="52" t="n"/>
      <c r="R106" s="52" t="n"/>
      <c r="S106" s="52" t="n"/>
      <c r="T106" s="52" t="n"/>
      <c r="U106" s="52" t="n"/>
      <c r="V106" s="52" t="n"/>
      <c r="W106" s="52" t="n"/>
      <c r="X106" s="52" t="n"/>
      <c r="Y106" s="52" t="n"/>
      <c r="Z106" s="52" t="n"/>
      <c r="AA106" s="52" t="n"/>
      <c r="AB106" s="52" t="n"/>
      <c r="AC106" s="25">
        <f>IF($B106="","",SUM(Q106:AB106))</f>
        <v/>
      </c>
      <c r="AD106" s="25">
        <f>IF($B106="","",SUM(P106,AC106))</f>
        <v/>
      </c>
      <c r="AE106" s="37">
        <f>IF($B106="","",AD106*N(C106))</f>
        <v/>
      </c>
      <c r="AF106" s="53">
        <f>IF(Mitarbeiter!B106="","",Mitarbeiter!C106)</f>
        <v/>
      </c>
      <c r="AG106" s="53">
        <f>IF(OR(Mitarbeiter!B106="",Mitarbeiter!D106=""),"",Mitarbeiter!D106)</f>
        <v/>
      </c>
    </row>
    <row r="107">
      <c r="A107" s="49">
        <f>IF(Mitarbeiter!B107="","",Mitarbeiter!A107)</f>
        <v/>
      </c>
      <c r="B107" s="50">
        <f>IF(Mitarbeiter!B107="","",Mitarbeiter!B107)</f>
        <v/>
      </c>
      <c r="C107" s="51">
        <f>IF(Mitarbeiter!B107="","",Mitarbeiter!F107)</f>
        <v/>
      </c>
      <c r="D107" s="52" t="n"/>
      <c r="E107" s="52" t="n"/>
      <c r="F107" s="52" t="n"/>
      <c r="G107" s="52" t="n"/>
      <c r="H107" s="52" t="n"/>
      <c r="I107" s="52" t="n"/>
      <c r="J107" s="52" t="n"/>
      <c r="K107" s="52" t="n"/>
      <c r="L107" s="52" t="n"/>
      <c r="M107" s="52" t="n"/>
      <c r="N107" s="52" t="n"/>
      <c r="O107" s="52" t="n"/>
      <c r="P107" s="25">
        <f>IF($B107="","",SUM(D107:O107))</f>
        <v/>
      </c>
      <c r="Q107" s="52" t="n"/>
      <c r="R107" s="52" t="n"/>
      <c r="S107" s="52" t="n"/>
      <c r="T107" s="52" t="n"/>
      <c r="U107" s="52" t="n"/>
      <c r="V107" s="52" t="n"/>
      <c r="W107" s="52" t="n"/>
      <c r="X107" s="52" t="n"/>
      <c r="Y107" s="52" t="n"/>
      <c r="Z107" s="52" t="n"/>
      <c r="AA107" s="52" t="n"/>
      <c r="AB107" s="52" t="n"/>
      <c r="AC107" s="25">
        <f>IF($B107="","",SUM(Q107:AB107))</f>
        <v/>
      </c>
      <c r="AD107" s="25">
        <f>IF($B107="","",SUM(P107,AC107))</f>
        <v/>
      </c>
      <c r="AE107" s="37">
        <f>IF($B107="","",AD107*N(C107))</f>
        <v/>
      </c>
      <c r="AF107" s="53">
        <f>IF(Mitarbeiter!B107="","",Mitarbeiter!C107)</f>
        <v/>
      </c>
      <c r="AG107" s="53">
        <f>IF(OR(Mitarbeiter!B107="",Mitarbeiter!D107=""),"",Mitarbeiter!D107)</f>
        <v/>
      </c>
    </row>
    <row r="108">
      <c r="A108" s="49">
        <f>IF(Mitarbeiter!B108="","",Mitarbeiter!A108)</f>
        <v/>
      </c>
      <c r="B108" s="50">
        <f>IF(Mitarbeiter!B108="","",Mitarbeiter!B108)</f>
        <v/>
      </c>
      <c r="C108" s="51">
        <f>IF(Mitarbeiter!B108="","",Mitarbeiter!F108)</f>
        <v/>
      </c>
      <c r="D108" s="52" t="n"/>
      <c r="E108" s="52" t="n"/>
      <c r="F108" s="52" t="n"/>
      <c r="G108" s="52" t="n"/>
      <c r="H108" s="52" t="n"/>
      <c r="I108" s="52" t="n"/>
      <c r="J108" s="52" t="n"/>
      <c r="K108" s="52" t="n"/>
      <c r="L108" s="52" t="n"/>
      <c r="M108" s="52" t="n"/>
      <c r="N108" s="52" t="n"/>
      <c r="O108" s="52" t="n"/>
      <c r="P108" s="25">
        <f>IF($B108="","",SUM(D108:O108))</f>
        <v/>
      </c>
      <c r="Q108" s="52" t="n"/>
      <c r="R108" s="52" t="n"/>
      <c r="S108" s="52" t="n"/>
      <c r="T108" s="52" t="n"/>
      <c r="U108" s="52" t="n"/>
      <c r="V108" s="52" t="n"/>
      <c r="W108" s="52" t="n"/>
      <c r="X108" s="52" t="n"/>
      <c r="Y108" s="52" t="n"/>
      <c r="Z108" s="52" t="n"/>
      <c r="AA108" s="52" t="n"/>
      <c r="AB108" s="52" t="n"/>
      <c r="AC108" s="25">
        <f>IF($B108="","",SUM(Q108:AB108))</f>
        <v/>
      </c>
      <c r="AD108" s="25">
        <f>IF($B108="","",SUM(P108,AC108))</f>
        <v/>
      </c>
      <c r="AE108" s="37">
        <f>IF($B108="","",AD108*N(C108))</f>
        <v/>
      </c>
      <c r="AF108" s="53">
        <f>IF(Mitarbeiter!B108="","",Mitarbeiter!C108)</f>
        <v/>
      </c>
      <c r="AG108" s="53">
        <f>IF(OR(Mitarbeiter!B108="",Mitarbeiter!D108=""),"",Mitarbeiter!D108)</f>
        <v/>
      </c>
    </row>
    <row r="109">
      <c r="A109" s="49">
        <f>IF(Mitarbeiter!B109="","",Mitarbeiter!A109)</f>
        <v/>
      </c>
      <c r="B109" s="50">
        <f>IF(Mitarbeiter!B109="","",Mitarbeiter!B109)</f>
        <v/>
      </c>
      <c r="C109" s="51">
        <f>IF(Mitarbeiter!B109="","",Mitarbeiter!F109)</f>
        <v/>
      </c>
      <c r="D109" s="52" t="n"/>
      <c r="E109" s="52" t="n"/>
      <c r="F109" s="52" t="n"/>
      <c r="G109" s="52" t="n"/>
      <c r="H109" s="52" t="n"/>
      <c r="I109" s="52" t="n"/>
      <c r="J109" s="52" t="n"/>
      <c r="K109" s="52" t="n"/>
      <c r="L109" s="52" t="n"/>
      <c r="M109" s="52" t="n"/>
      <c r="N109" s="52" t="n"/>
      <c r="O109" s="52" t="n"/>
      <c r="P109" s="25">
        <f>IF($B109="","",SUM(D109:O109))</f>
        <v/>
      </c>
      <c r="Q109" s="52" t="n"/>
      <c r="R109" s="52" t="n"/>
      <c r="S109" s="52" t="n"/>
      <c r="T109" s="52" t="n"/>
      <c r="U109" s="52" t="n"/>
      <c r="V109" s="52" t="n"/>
      <c r="W109" s="52" t="n"/>
      <c r="X109" s="52" t="n"/>
      <c r="Y109" s="52" t="n"/>
      <c r="Z109" s="52" t="n"/>
      <c r="AA109" s="52" t="n"/>
      <c r="AB109" s="52" t="n"/>
      <c r="AC109" s="25">
        <f>IF($B109="","",SUM(Q109:AB109))</f>
        <v/>
      </c>
      <c r="AD109" s="25">
        <f>IF($B109="","",SUM(P109,AC109))</f>
        <v/>
      </c>
      <c r="AE109" s="37">
        <f>IF($B109="","",AD109*N(C109))</f>
        <v/>
      </c>
      <c r="AF109" s="53">
        <f>IF(Mitarbeiter!B109="","",Mitarbeiter!C109)</f>
        <v/>
      </c>
      <c r="AG109" s="53">
        <f>IF(OR(Mitarbeiter!B109="",Mitarbeiter!D109=""),"",Mitarbeiter!D109)</f>
        <v/>
      </c>
    </row>
    <row r="110">
      <c r="A110" s="49">
        <f>IF(Mitarbeiter!B110="","",Mitarbeiter!A110)</f>
        <v/>
      </c>
      <c r="B110" s="50">
        <f>IF(Mitarbeiter!B110="","",Mitarbeiter!B110)</f>
        <v/>
      </c>
      <c r="C110" s="51">
        <f>IF(Mitarbeiter!B110="","",Mitarbeiter!F110)</f>
        <v/>
      </c>
      <c r="D110" s="52" t="n"/>
      <c r="E110" s="52" t="n"/>
      <c r="F110" s="52" t="n"/>
      <c r="G110" s="52" t="n"/>
      <c r="H110" s="52" t="n"/>
      <c r="I110" s="52" t="n"/>
      <c r="J110" s="52" t="n"/>
      <c r="K110" s="52" t="n"/>
      <c r="L110" s="52" t="n"/>
      <c r="M110" s="52" t="n"/>
      <c r="N110" s="52" t="n"/>
      <c r="O110" s="52" t="n"/>
      <c r="P110" s="25">
        <f>IF($B110="","",SUM(D110:O110))</f>
        <v/>
      </c>
      <c r="Q110" s="52" t="n"/>
      <c r="R110" s="52" t="n"/>
      <c r="S110" s="52" t="n"/>
      <c r="T110" s="52" t="n"/>
      <c r="U110" s="52" t="n"/>
      <c r="V110" s="52" t="n"/>
      <c r="W110" s="52" t="n"/>
      <c r="X110" s="52" t="n"/>
      <c r="Y110" s="52" t="n"/>
      <c r="Z110" s="52" t="n"/>
      <c r="AA110" s="52" t="n"/>
      <c r="AB110" s="52" t="n"/>
      <c r="AC110" s="25">
        <f>IF($B110="","",SUM(Q110:AB110))</f>
        <v/>
      </c>
      <c r="AD110" s="25">
        <f>IF($B110="","",SUM(P110,AC110))</f>
        <v/>
      </c>
      <c r="AE110" s="37">
        <f>IF($B110="","",AD110*N(C110))</f>
        <v/>
      </c>
      <c r="AF110" s="53">
        <f>IF(Mitarbeiter!B110="","",Mitarbeiter!C110)</f>
        <v/>
      </c>
      <c r="AG110" s="53">
        <f>IF(OR(Mitarbeiter!B110="",Mitarbeiter!D110=""),"",Mitarbeiter!D110)</f>
        <v/>
      </c>
    </row>
    <row r="111">
      <c r="A111" s="49">
        <f>IF(Mitarbeiter!B111="","",Mitarbeiter!A111)</f>
        <v/>
      </c>
      <c r="B111" s="50">
        <f>IF(Mitarbeiter!B111="","",Mitarbeiter!B111)</f>
        <v/>
      </c>
      <c r="C111" s="51">
        <f>IF(Mitarbeiter!B111="","",Mitarbeiter!F111)</f>
        <v/>
      </c>
      <c r="D111" s="52" t="n"/>
      <c r="E111" s="52" t="n"/>
      <c r="F111" s="52" t="n"/>
      <c r="G111" s="52" t="n"/>
      <c r="H111" s="52" t="n"/>
      <c r="I111" s="52" t="n"/>
      <c r="J111" s="52" t="n"/>
      <c r="K111" s="52" t="n"/>
      <c r="L111" s="52" t="n"/>
      <c r="M111" s="52" t="n"/>
      <c r="N111" s="52" t="n"/>
      <c r="O111" s="52" t="n"/>
      <c r="P111" s="25">
        <f>IF($B111="","",SUM(D111:O111))</f>
        <v/>
      </c>
      <c r="Q111" s="52" t="n"/>
      <c r="R111" s="52" t="n"/>
      <c r="S111" s="52" t="n"/>
      <c r="T111" s="52" t="n"/>
      <c r="U111" s="52" t="n"/>
      <c r="V111" s="52" t="n"/>
      <c r="W111" s="52" t="n"/>
      <c r="X111" s="52" t="n"/>
      <c r="Y111" s="52" t="n"/>
      <c r="Z111" s="52" t="n"/>
      <c r="AA111" s="52" t="n"/>
      <c r="AB111" s="52" t="n"/>
      <c r="AC111" s="25">
        <f>IF($B111="","",SUM(Q111:AB111))</f>
        <v/>
      </c>
      <c r="AD111" s="25">
        <f>IF($B111="","",SUM(P111,AC111))</f>
        <v/>
      </c>
      <c r="AE111" s="37">
        <f>IF($B111="","",AD111*N(C111))</f>
        <v/>
      </c>
      <c r="AF111" s="53">
        <f>IF(Mitarbeiter!B111="","",Mitarbeiter!C111)</f>
        <v/>
      </c>
      <c r="AG111" s="53">
        <f>IF(OR(Mitarbeiter!B111="",Mitarbeiter!D111=""),"",Mitarbeiter!D111)</f>
        <v/>
      </c>
    </row>
    <row r="112">
      <c r="A112" s="49">
        <f>IF(Mitarbeiter!B112="","",Mitarbeiter!A112)</f>
        <v/>
      </c>
      <c r="B112" s="50">
        <f>IF(Mitarbeiter!B112="","",Mitarbeiter!B112)</f>
        <v/>
      </c>
      <c r="C112" s="51">
        <f>IF(Mitarbeiter!B112="","",Mitarbeiter!F112)</f>
        <v/>
      </c>
      <c r="D112" s="52" t="n"/>
      <c r="E112" s="52" t="n"/>
      <c r="F112" s="52" t="n"/>
      <c r="G112" s="52" t="n"/>
      <c r="H112" s="52" t="n"/>
      <c r="I112" s="52" t="n"/>
      <c r="J112" s="52" t="n"/>
      <c r="K112" s="52" t="n"/>
      <c r="L112" s="52" t="n"/>
      <c r="M112" s="52" t="n"/>
      <c r="N112" s="52" t="n"/>
      <c r="O112" s="52" t="n"/>
      <c r="P112" s="25">
        <f>IF($B112="","",SUM(D112:O112))</f>
        <v/>
      </c>
      <c r="Q112" s="52" t="n"/>
      <c r="R112" s="52" t="n"/>
      <c r="S112" s="52" t="n"/>
      <c r="T112" s="52" t="n"/>
      <c r="U112" s="52" t="n"/>
      <c r="V112" s="52" t="n"/>
      <c r="W112" s="52" t="n"/>
      <c r="X112" s="52" t="n"/>
      <c r="Y112" s="52" t="n"/>
      <c r="Z112" s="52" t="n"/>
      <c r="AA112" s="52" t="n"/>
      <c r="AB112" s="52" t="n"/>
      <c r="AC112" s="25">
        <f>IF($B112="","",SUM(Q112:AB112))</f>
        <v/>
      </c>
      <c r="AD112" s="25">
        <f>IF($B112="","",SUM(P112,AC112))</f>
        <v/>
      </c>
      <c r="AE112" s="37">
        <f>IF($B112="","",AD112*N(C112))</f>
        <v/>
      </c>
      <c r="AF112" s="53">
        <f>IF(Mitarbeiter!B112="","",Mitarbeiter!C112)</f>
        <v/>
      </c>
      <c r="AG112" s="53">
        <f>IF(OR(Mitarbeiter!B112="",Mitarbeiter!D112=""),"",Mitarbeiter!D112)</f>
        <v/>
      </c>
    </row>
    <row r="113">
      <c r="A113" s="49">
        <f>IF(Mitarbeiter!B113="","",Mitarbeiter!A113)</f>
        <v/>
      </c>
      <c r="B113" s="50">
        <f>IF(Mitarbeiter!B113="","",Mitarbeiter!B113)</f>
        <v/>
      </c>
      <c r="C113" s="51">
        <f>IF(Mitarbeiter!B113="","",Mitarbeiter!F113)</f>
        <v/>
      </c>
      <c r="D113" s="52" t="n"/>
      <c r="E113" s="52" t="n"/>
      <c r="F113" s="52" t="n"/>
      <c r="G113" s="52" t="n"/>
      <c r="H113" s="52" t="n"/>
      <c r="I113" s="52" t="n"/>
      <c r="J113" s="52" t="n"/>
      <c r="K113" s="52" t="n"/>
      <c r="L113" s="52" t="n"/>
      <c r="M113" s="52" t="n"/>
      <c r="N113" s="52" t="n"/>
      <c r="O113" s="52" t="n"/>
      <c r="P113" s="25">
        <f>IF($B113="","",SUM(D113:O113))</f>
        <v/>
      </c>
      <c r="Q113" s="52" t="n"/>
      <c r="R113" s="52" t="n"/>
      <c r="S113" s="52" t="n"/>
      <c r="T113" s="52" t="n"/>
      <c r="U113" s="52" t="n"/>
      <c r="V113" s="52" t="n"/>
      <c r="W113" s="52" t="n"/>
      <c r="X113" s="52" t="n"/>
      <c r="Y113" s="52" t="n"/>
      <c r="Z113" s="52" t="n"/>
      <c r="AA113" s="52" t="n"/>
      <c r="AB113" s="52" t="n"/>
      <c r="AC113" s="25">
        <f>IF($B113="","",SUM(Q113:AB113))</f>
        <v/>
      </c>
      <c r="AD113" s="25">
        <f>IF($B113="","",SUM(P113,AC113))</f>
        <v/>
      </c>
      <c r="AE113" s="37">
        <f>IF($B113="","",AD113*N(C113))</f>
        <v/>
      </c>
      <c r="AF113" s="53">
        <f>IF(Mitarbeiter!B113="","",Mitarbeiter!C113)</f>
        <v/>
      </c>
      <c r="AG113" s="53">
        <f>IF(OR(Mitarbeiter!B113="",Mitarbeiter!D113=""),"",Mitarbeiter!D113)</f>
        <v/>
      </c>
    </row>
    <row r="114">
      <c r="A114" s="49">
        <f>IF(Mitarbeiter!B114="","",Mitarbeiter!A114)</f>
        <v/>
      </c>
      <c r="B114" s="50">
        <f>IF(Mitarbeiter!B114="","",Mitarbeiter!B114)</f>
        <v/>
      </c>
      <c r="C114" s="51">
        <f>IF(Mitarbeiter!B114="","",Mitarbeiter!F114)</f>
        <v/>
      </c>
      <c r="D114" s="52" t="n"/>
      <c r="E114" s="52" t="n"/>
      <c r="F114" s="52" t="n"/>
      <c r="G114" s="52" t="n"/>
      <c r="H114" s="52" t="n"/>
      <c r="I114" s="52" t="n"/>
      <c r="J114" s="52" t="n"/>
      <c r="K114" s="52" t="n"/>
      <c r="L114" s="52" t="n"/>
      <c r="M114" s="52" t="n"/>
      <c r="N114" s="52" t="n"/>
      <c r="O114" s="52" t="n"/>
      <c r="P114" s="25">
        <f>IF($B114="","",SUM(D114:O114))</f>
        <v/>
      </c>
      <c r="Q114" s="52" t="n"/>
      <c r="R114" s="52" t="n"/>
      <c r="S114" s="52" t="n"/>
      <c r="T114" s="52" t="n"/>
      <c r="U114" s="52" t="n"/>
      <c r="V114" s="52" t="n"/>
      <c r="W114" s="52" t="n"/>
      <c r="X114" s="52" t="n"/>
      <c r="Y114" s="52" t="n"/>
      <c r="Z114" s="52" t="n"/>
      <c r="AA114" s="52" t="n"/>
      <c r="AB114" s="52" t="n"/>
      <c r="AC114" s="25">
        <f>IF($B114="","",SUM(Q114:AB114))</f>
        <v/>
      </c>
      <c r="AD114" s="25">
        <f>IF($B114="","",SUM(P114,AC114))</f>
        <v/>
      </c>
      <c r="AE114" s="37">
        <f>IF($B114="","",AD114*N(C114))</f>
        <v/>
      </c>
      <c r="AF114" s="53">
        <f>IF(Mitarbeiter!B114="","",Mitarbeiter!C114)</f>
        <v/>
      </c>
      <c r="AG114" s="53">
        <f>IF(OR(Mitarbeiter!B114="",Mitarbeiter!D114=""),"",Mitarbeiter!D114)</f>
        <v/>
      </c>
    </row>
    <row r="115">
      <c r="A115" s="49">
        <f>IF(Mitarbeiter!B115="","",Mitarbeiter!A115)</f>
        <v/>
      </c>
      <c r="B115" s="50">
        <f>IF(Mitarbeiter!B115="","",Mitarbeiter!B115)</f>
        <v/>
      </c>
      <c r="C115" s="51">
        <f>IF(Mitarbeiter!B115="","",Mitarbeiter!F115)</f>
        <v/>
      </c>
      <c r="D115" s="52" t="n"/>
      <c r="E115" s="52" t="n"/>
      <c r="F115" s="52" t="n"/>
      <c r="G115" s="52" t="n"/>
      <c r="H115" s="52" t="n"/>
      <c r="I115" s="52" t="n"/>
      <c r="J115" s="52" t="n"/>
      <c r="K115" s="52" t="n"/>
      <c r="L115" s="52" t="n"/>
      <c r="M115" s="52" t="n"/>
      <c r="N115" s="52" t="n"/>
      <c r="O115" s="52" t="n"/>
      <c r="P115" s="25">
        <f>IF($B115="","",SUM(D115:O115))</f>
        <v/>
      </c>
      <c r="Q115" s="52" t="n"/>
      <c r="R115" s="52" t="n"/>
      <c r="S115" s="52" t="n"/>
      <c r="T115" s="52" t="n"/>
      <c r="U115" s="52" t="n"/>
      <c r="V115" s="52" t="n"/>
      <c r="W115" s="52" t="n"/>
      <c r="X115" s="52" t="n"/>
      <c r="Y115" s="52" t="n"/>
      <c r="Z115" s="52" t="n"/>
      <c r="AA115" s="52" t="n"/>
      <c r="AB115" s="52" t="n"/>
      <c r="AC115" s="25">
        <f>IF($B115="","",SUM(Q115:AB115))</f>
        <v/>
      </c>
      <c r="AD115" s="25">
        <f>IF($B115="","",SUM(P115,AC115))</f>
        <v/>
      </c>
      <c r="AE115" s="37">
        <f>IF($B115="","",AD115*N(C115))</f>
        <v/>
      </c>
      <c r="AF115" s="53">
        <f>IF(Mitarbeiter!B115="","",Mitarbeiter!C115)</f>
        <v/>
      </c>
      <c r="AG115" s="53">
        <f>IF(OR(Mitarbeiter!B115="",Mitarbeiter!D115=""),"",Mitarbeiter!D115)</f>
        <v/>
      </c>
    </row>
    <row r="116">
      <c r="A116" s="49">
        <f>IF(Mitarbeiter!B116="","",Mitarbeiter!A116)</f>
        <v/>
      </c>
      <c r="B116" s="50">
        <f>IF(Mitarbeiter!B116="","",Mitarbeiter!B116)</f>
        <v/>
      </c>
      <c r="C116" s="51">
        <f>IF(Mitarbeiter!B116="","",Mitarbeiter!F116)</f>
        <v/>
      </c>
      <c r="D116" s="52" t="n"/>
      <c r="E116" s="52" t="n"/>
      <c r="F116" s="52" t="n"/>
      <c r="G116" s="52" t="n"/>
      <c r="H116" s="52" t="n"/>
      <c r="I116" s="52" t="n"/>
      <c r="J116" s="52" t="n"/>
      <c r="K116" s="52" t="n"/>
      <c r="L116" s="52" t="n"/>
      <c r="M116" s="52" t="n"/>
      <c r="N116" s="52" t="n"/>
      <c r="O116" s="52" t="n"/>
      <c r="P116" s="25">
        <f>IF($B116="","",SUM(D116:O116))</f>
        <v/>
      </c>
      <c r="Q116" s="52" t="n"/>
      <c r="R116" s="52" t="n"/>
      <c r="S116" s="52" t="n"/>
      <c r="T116" s="52" t="n"/>
      <c r="U116" s="52" t="n"/>
      <c r="V116" s="52" t="n"/>
      <c r="W116" s="52" t="n"/>
      <c r="X116" s="52" t="n"/>
      <c r="Y116" s="52" t="n"/>
      <c r="Z116" s="52" t="n"/>
      <c r="AA116" s="52" t="n"/>
      <c r="AB116" s="52" t="n"/>
      <c r="AC116" s="25">
        <f>IF($B116="","",SUM(Q116:AB116))</f>
        <v/>
      </c>
      <c r="AD116" s="25">
        <f>IF($B116="","",SUM(P116,AC116))</f>
        <v/>
      </c>
      <c r="AE116" s="37">
        <f>IF($B116="","",AD116*N(C116))</f>
        <v/>
      </c>
      <c r="AF116" s="53">
        <f>IF(Mitarbeiter!B116="","",Mitarbeiter!C116)</f>
        <v/>
      </c>
      <c r="AG116" s="53">
        <f>IF(OR(Mitarbeiter!B116="",Mitarbeiter!D116=""),"",Mitarbeiter!D116)</f>
        <v/>
      </c>
    </row>
    <row r="117">
      <c r="A117" s="49">
        <f>IF(Mitarbeiter!B117="","",Mitarbeiter!A117)</f>
        <v/>
      </c>
      <c r="B117" s="50">
        <f>IF(Mitarbeiter!B117="","",Mitarbeiter!B117)</f>
        <v/>
      </c>
      <c r="C117" s="51">
        <f>IF(Mitarbeiter!B117="","",Mitarbeiter!F117)</f>
        <v/>
      </c>
      <c r="D117" s="52" t="n"/>
      <c r="E117" s="52" t="n"/>
      <c r="F117" s="52" t="n"/>
      <c r="G117" s="52" t="n"/>
      <c r="H117" s="52" t="n"/>
      <c r="I117" s="52" t="n"/>
      <c r="J117" s="52" t="n"/>
      <c r="K117" s="52" t="n"/>
      <c r="L117" s="52" t="n"/>
      <c r="M117" s="52" t="n"/>
      <c r="N117" s="52" t="n"/>
      <c r="O117" s="52" t="n"/>
      <c r="P117" s="25">
        <f>IF($B117="","",SUM(D117:O117))</f>
        <v/>
      </c>
      <c r="Q117" s="52" t="n"/>
      <c r="R117" s="52" t="n"/>
      <c r="S117" s="52" t="n"/>
      <c r="T117" s="52" t="n"/>
      <c r="U117" s="52" t="n"/>
      <c r="V117" s="52" t="n"/>
      <c r="W117" s="52" t="n"/>
      <c r="X117" s="52" t="n"/>
      <c r="Y117" s="52" t="n"/>
      <c r="Z117" s="52" t="n"/>
      <c r="AA117" s="52" t="n"/>
      <c r="AB117" s="52" t="n"/>
      <c r="AC117" s="25">
        <f>IF($B117="","",SUM(Q117:AB117))</f>
        <v/>
      </c>
      <c r="AD117" s="25">
        <f>IF($B117="","",SUM(P117,AC117))</f>
        <v/>
      </c>
      <c r="AE117" s="37">
        <f>IF($B117="","",AD117*N(C117))</f>
        <v/>
      </c>
      <c r="AF117" s="53">
        <f>IF(Mitarbeiter!B117="","",Mitarbeiter!C117)</f>
        <v/>
      </c>
      <c r="AG117" s="53">
        <f>IF(OR(Mitarbeiter!B117="",Mitarbeiter!D117=""),"",Mitarbeiter!D117)</f>
        <v/>
      </c>
    </row>
    <row r="118">
      <c r="A118" s="49">
        <f>IF(Mitarbeiter!B118="","",Mitarbeiter!A118)</f>
        <v/>
      </c>
      <c r="B118" s="50">
        <f>IF(Mitarbeiter!B118="","",Mitarbeiter!B118)</f>
        <v/>
      </c>
      <c r="C118" s="51">
        <f>IF(Mitarbeiter!B118="","",Mitarbeiter!F118)</f>
        <v/>
      </c>
      <c r="D118" s="52" t="n"/>
      <c r="E118" s="52" t="n"/>
      <c r="F118" s="52" t="n"/>
      <c r="G118" s="52" t="n"/>
      <c r="H118" s="52" t="n"/>
      <c r="I118" s="52" t="n"/>
      <c r="J118" s="52" t="n"/>
      <c r="K118" s="52" t="n"/>
      <c r="L118" s="52" t="n"/>
      <c r="M118" s="52" t="n"/>
      <c r="N118" s="52" t="n"/>
      <c r="O118" s="52" t="n"/>
      <c r="P118" s="25">
        <f>IF($B118="","",SUM(D118:O118))</f>
        <v/>
      </c>
      <c r="Q118" s="52" t="n"/>
      <c r="R118" s="52" t="n"/>
      <c r="S118" s="52" t="n"/>
      <c r="T118" s="52" t="n"/>
      <c r="U118" s="52" t="n"/>
      <c r="V118" s="52" t="n"/>
      <c r="W118" s="52" t="n"/>
      <c r="X118" s="52" t="n"/>
      <c r="Y118" s="52" t="n"/>
      <c r="Z118" s="52" t="n"/>
      <c r="AA118" s="52" t="n"/>
      <c r="AB118" s="52" t="n"/>
      <c r="AC118" s="25">
        <f>IF($B118="","",SUM(Q118:AB118))</f>
        <v/>
      </c>
      <c r="AD118" s="25">
        <f>IF($B118="","",SUM(P118,AC118))</f>
        <v/>
      </c>
      <c r="AE118" s="37">
        <f>IF($B118="","",AD118*N(C118))</f>
        <v/>
      </c>
      <c r="AF118" s="53">
        <f>IF(Mitarbeiter!B118="","",Mitarbeiter!C118)</f>
        <v/>
      </c>
      <c r="AG118" s="53">
        <f>IF(OR(Mitarbeiter!B118="",Mitarbeiter!D118=""),"",Mitarbeiter!D118)</f>
        <v/>
      </c>
    </row>
    <row r="119">
      <c r="A119" s="49">
        <f>IF(Mitarbeiter!B119="","",Mitarbeiter!A119)</f>
        <v/>
      </c>
      <c r="B119" s="50">
        <f>IF(Mitarbeiter!B119="","",Mitarbeiter!B119)</f>
        <v/>
      </c>
      <c r="C119" s="51">
        <f>IF(Mitarbeiter!B119="","",Mitarbeiter!F119)</f>
        <v/>
      </c>
      <c r="D119" s="52" t="n"/>
      <c r="E119" s="52" t="n"/>
      <c r="F119" s="52" t="n"/>
      <c r="G119" s="52" t="n"/>
      <c r="H119" s="52" t="n"/>
      <c r="I119" s="52" t="n"/>
      <c r="J119" s="52" t="n"/>
      <c r="K119" s="52" t="n"/>
      <c r="L119" s="52" t="n"/>
      <c r="M119" s="52" t="n"/>
      <c r="N119" s="52" t="n"/>
      <c r="O119" s="52" t="n"/>
      <c r="P119" s="25">
        <f>IF($B119="","",SUM(D119:O119))</f>
        <v/>
      </c>
      <c r="Q119" s="52" t="n"/>
      <c r="R119" s="52" t="n"/>
      <c r="S119" s="52" t="n"/>
      <c r="T119" s="52" t="n"/>
      <c r="U119" s="52" t="n"/>
      <c r="V119" s="52" t="n"/>
      <c r="W119" s="52" t="n"/>
      <c r="X119" s="52" t="n"/>
      <c r="Y119" s="52" t="n"/>
      <c r="Z119" s="52" t="n"/>
      <c r="AA119" s="52" t="n"/>
      <c r="AB119" s="52" t="n"/>
      <c r="AC119" s="25">
        <f>IF($B119="","",SUM(Q119:AB119))</f>
        <v/>
      </c>
      <c r="AD119" s="25">
        <f>IF($B119="","",SUM(P119,AC119))</f>
        <v/>
      </c>
      <c r="AE119" s="37">
        <f>IF($B119="","",AD119*N(C119))</f>
        <v/>
      </c>
      <c r="AF119" s="53">
        <f>IF(Mitarbeiter!B119="","",Mitarbeiter!C119)</f>
        <v/>
      </c>
      <c r="AG119" s="53">
        <f>IF(OR(Mitarbeiter!B119="",Mitarbeiter!D119=""),"",Mitarbeiter!D119)</f>
        <v/>
      </c>
    </row>
    <row r="120">
      <c r="A120" s="49">
        <f>IF(Mitarbeiter!B120="","",Mitarbeiter!A120)</f>
        <v/>
      </c>
      <c r="B120" s="50">
        <f>IF(Mitarbeiter!B120="","",Mitarbeiter!B120)</f>
        <v/>
      </c>
      <c r="C120" s="51">
        <f>IF(Mitarbeiter!B120="","",Mitarbeiter!F120)</f>
        <v/>
      </c>
      <c r="D120" s="52" t="n"/>
      <c r="E120" s="52" t="n"/>
      <c r="F120" s="52" t="n"/>
      <c r="G120" s="52" t="n"/>
      <c r="H120" s="52" t="n"/>
      <c r="I120" s="52" t="n"/>
      <c r="J120" s="52" t="n"/>
      <c r="K120" s="52" t="n"/>
      <c r="L120" s="52" t="n"/>
      <c r="M120" s="52" t="n"/>
      <c r="N120" s="52" t="n"/>
      <c r="O120" s="52" t="n"/>
      <c r="P120" s="25">
        <f>IF($B120="","",SUM(D120:O120))</f>
        <v/>
      </c>
      <c r="Q120" s="52" t="n"/>
      <c r="R120" s="52" t="n"/>
      <c r="S120" s="52" t="n"/>
      <c r="T120" s="52" t="n"/>
      <c r="U120" s="52" t="n"/>
      <c r="V120" s="52" t="n"/>
      <c r="W120" s="52" t="n"/>
      <c r="X120" s="52" t="n"/>
      <c r="Y120" s="52" t="n"/>
      <c r="Z120" s="52" t="n"/>
      <c r="AA120" s="52" t="n"/>
      <c r="AB120" s="52" t="n"/>
      <c r="AC120" s="25">
        <f>IF($B120="","",SUM(Q120:AB120))</f>
        <v/>
      </c>
      <c r="AD120" s="25">
        <f>IF($B120="","",SUM(P120,AC120))</f>
        <v/>
      </c>
      <c r="AE120" s="37">
        <f>IF($B120="","",AD120*N(C120))</f>
        <v/>
      </c>
      <c r="AF120" s="53">
        <f>IF(Mitarbeiter!B120="","",Mitarbeiter!C120)</f>
        <v/>
      </c>
      <c r="AG120" s="53">
        <f>IF(OR(Mitarbeiter!B120="",Mitarbeiter!D120=""),"",Mitarbeiter!D120)</f>
        <v/>
      </c>
    </row>
    <row r="121">
      <c r="A121" s="49">
        <f>IF(Mitarbeiter!B121="","",Mitarbeiter!A121)</f>
        <v/>
      </c>
      <c r="B121" s="50">
        <f>IF(Mitarbeiter!B121="","",Mitarbeiter!B121)</f>
        <v/>
      </c>
      <c r="C121" s="51">
        <f>IF(Mitarbeiter!B121="","",Mitarbeiter!F121)</f>
        <v/>
      </c>
      <c r="D121" s="52" t="n"/>
      <c r="E121" s="52" t="n"/>
      <c r="F121" s="52" t="n"/>
      <c r="G121" s="52" t="n"/>
      <c r="H121" s="52" t="n"/>
      <c r="I121" s="52" t="n"/>
      <c r="J121" s="52" t="n"/>
      <c r="K121" s="52" t="n"/>
      <c r="L121" s="52" t="n"/>
      <c r="M121" s="52" t="n"/>
      <c r="N121" s="52" t="n"/>
      <c r="O121" s="52" t="n"/>
      <c r="P121" s="25">
        <f>IF($B121="","",SUM(D121:O121))</f>
        <v/>
      </c>
      <c r="Q121" s="52" t="n"/>
      <c r="R121" s="52" t="n"/>
      <c r="S121" s="52" t="n"/>
      <c r="T121" s="52" t="n"/>
      <c r="U121" s="52" t="n"/>
      <c r="V121" s="52" t="n"/>
      <c r="W121" s="52" t="n"/>
      <c r="X121" s="52" t="n"/>
      <c r="Y121" s="52" t="n"/>
      <c r="Z121" s="52" t="n"/>
      <c r="AA121" s="52" t="n"/>
      <c r="AB121" s="52" t="n"/>
      <c r="AC121" s="25">
        <f>IF($B121="","",SUM(Q121:AB121))</f>
        <v/>
      </c>
      <c r="AD121" s="25">
        <f>IF($B121="","",SUM(P121,AC121))</f>
        <v/>
      </c>
      <c r="AE121" s="37">
        <f>IF($B121="","",AD121*N(C121))</f>
        <v/>
      </c>
      <c r="AF121" s="53">
        <f>IF(Mitarbeiter!B121="","",Mitarbeiter!C121)</f>
        <v/>
      </c>
      <c r="AG121" s="53">
        <f>IF(OR(Mitarbeiter!B121="",Mitarbeiter!D121=""),"",Mitarbeiter!D121)</f>
        <v/>
      </c>
    </row>
    <row r="122">
      <c r="A122" s="49">
        <f>IF(Mitarbeiter!B122="","",Mitarbeiter!A122)</f>
        <v/>
      </c>
      <c r="B122" s="50">
        <f>IF(Mitarbeiter!B122="","",Mitarbeiter!B122)</f>
        <v/>
      </c>
      <c r="C122" s="51">
        <f>IF(Mitarbeiter!B122="","",Mitarbeiter!F122)</f>
        <v/>
      </c>
      <c r="D122" s="52" t="n"/>
      <c r="E122" s="52" t="n"/>
      <c r="F122" s="52" t="n"/>
      <c r="G122" s="52" t="n"/>
      <c r="H122" s="52" t="n"/>
      <c r="I122" s="52" t="n"/>
      <c r="J122" s="52" t="n"/>
      <c r="K122" s="52" t="n"/>
      <c r="L122" s="52" t="n"/>
      <c r="M122" s="52" t="n"/>
      <c r="N122" s="52" t="n"/>
      <c r="O122" s="52" t="n"/>
      <c r="P122" s="25">
        <f>IF($B122="","",SUM(D122:O122))</f>
        <v/>
      </c>
      <c r="Q122" s="52" t="n"/>
      <c r="R122" s="52" t="n"/>
      <c r="S122" s="52" t="n"/>
      <c r="T122" s="52" t="n"/>
      <c r="U122" s="52" t="n"/>
      <c r="V122" s="52" t="n"/>
      <c r="W122" s="52" t="n"/>
      <c r="X122" s="52" t="n"/>
      <c r="Y122" s="52" t="n"/>
      <c r="Z122" s="52" t="n"/>
      <c r="AA122" s="52" t="n"/>
      <c r="AB122" s="52" t="n"/>
      <c r="AC122" s="25">
        <f>IF($B122="","",SUM(Q122:AB122))</f>
        <v/>
      </c>
      <c r="AD122" s="25">
        <f>IF($B122="","",SUM(P122,AC122))</f>
        <v/>
      </c>
      <c r="AE122" s="37">
        <f>IF($B122="","",AD122*N(C122))</f>
        <v/>
      </c>
      <c r="AF122" s="53">
        <f>IF(Mitarbeiter!B122="","",Mitarbeiter!C122)</f>
        <v/>
      </c>
      <c r="AG122" s="53">
        <f>IF(OR(Mitarbeiter!B122="",Mitarbeiter!D122=""),"",Mitarbeiter!D122)</f>
        <v/>
      </c>
    </row>
    <row r="123">
      <c r="A123" s="49">
        <f>IF(Mitarbeiter!B123="","",Mitarbeiter!A123)</f>
        <v/>
      </c>
      <c r="B123" s="50">
        <f>IF(Mitarbeiter!B123="","",Mitarbeiter!B123)</f>
        <v/>
      </c>
      <c r="C123" s="51">
        <f>IF(Mitarbeiter!B123="","",Mitarbeiter!F123)</f>
        <v/>
      </c>
      <c r="D123" s="52" t="n"/>
      <c r="E123" s="52" t="n"/>
      <c r="F123" s="52" t="n"/>
      <c r="G123" s="52" t="n"/>
      <c r="H123" s="52" t="n"/>
      <c r="I123" s="52" t="n"/>
      <c r="J123" s="52" t="n"/>
      <c r="K123" s="52" t="n"/>
      <c r="L123" s="52" t="n"/>
      <c r="M123" s="52" t="n"/>
      <c r="N123" s="52" t="n"/>
      <c r="O123" s="52" t="n"/>
      <c r="P123" s="25">
        <f>IF($B123="","",SUM(D123:O123))</f>
        <v/>
      </c>
      <c r="Q123" s="52" t="n"/>
      <c r="R123" s="52" t="n"/>
      <c r="S123" s="52" t="n"/>
      <c r="T123" s="52" t="n"/>
      <c r="U123" s="52" t="n"/>
      <c r="V123" s="52" t="n"/>
      <c r="W123" s="52" t="n"/>
      <c r="X123" s="52" t="n"/>
      <c r="Y123" s="52" t="n"/>
      <c r="Z123" s="52" t="n"/>
      <c r="AA123" s="52" t="n"/>
      <c r="AB123" s="52" t="n"/>
      <c r="AC123" s="25">
        <f>IF($B123="","",SUM(Q123:AB123))</f>
        <v/>
      </c>
      <c r="AD123" s="25">
        <f>IF($B123="","",SUM(P123,AC123))</f>
        <v/>
      </c>
      <c r="AE123" s="37">
        <f>IF($B123="","",AD123*N(C123))</f>
        <v/>
      </c>
      <c r="AF123" s="53">
        <f>IF(Mitarbeiter!B123="","",Mitarbeiter!C123)</f>
        <v/>
      </c>
      <c r="AG123" s="53">
        <f>IF(OR(Mitarbeiter!B123="",Mitarbeiter!D123=""),"",Mitarbeiter!D123)</f>
        <v/>
      </c>
    </row>
    <row r="124">
      <c r="A124" s="49">
        <f>IF(Mitarbeiter!B124="","",Mitarbeiter!A124)</f>
        <v/>
      </c>
      <c r="B124" s="50">
        <f>IF(Mitarbeiter!B124="","",Mitarbeiter!B124)</f>
        <v/>
      </c>
      <c r="C124" s="51">
        <f>IF(Mitarbeiter!B124="","",Mitarbeiter!F124)</f>
        <v/>
      </c>
      <c r="D124" s="52" t="n"/>
      <c r="E124" s="52" t="n"/>
      <c r="F124" s="52" t="n"/>
      <c r="G124" s="52" t="n"/>
      <c r="H124" s="52" t="n"/>
      <c r="I124" s="52" t="n"/>
      <c r="J124" s="52" t="n"/>
      <c r="K124" s="52" t="n"/>
      <c r="L124" s="52" t="n"/>
      <c r="M124" s="52" t="n"/>
      <c r="N124" s="52" t="n"/>
      <c r="O124" s="52" t="n"/>
      <c r="P124" s="25">
        <f>IF($B124="","",SUM(D124:O124))</f>
        <v/>
      </c>
      <c r="Q124" s="52" t="n"/>
      <c r="R124" s="52" t="n"/>
      <c r="S124" s="52" t="n"/>
      <c r="T124" s="52" t="n"/>
      <c r="U124" s="52" t="n"/>
      <c r="V124" s="52" t="n"/>
      <c r="W124" s="52" t="n"/>
      <c r="X124" s="52" t="n"/>
      <c r="Y124" s="52" t="n"/>
      <c r="Z124" s="52" t="n"/>
      <c r="AA124" s="52" t="n"/>
      <c r="AB124" s="52" t="n"/>
      <c r="AC124" s="25">
        <f>IF($B124="","",SUM(Q124:AB124))</f>
        <v/>
      </c>
      <c r="AD124" s="25">
        <f>IF($B124="","",SUM(P124,AC124))</f>
        <v/>
      </c>
      <c r="AE124" s="37">
        <f>IF($B124="","",AD124*N(C124))</f>
        <v/>
      </c>
      <c r="AF124" s="53">
        <f>IF(Mitarbeiter!B124="","",Mitarbeiter!C124)</f>
        <v/>
      </c>
      <c r="AG124" s="53">
        <f>IF(OR(Mitarbeiter!B124="",Mitarbeiter!D124=""),"",Mitarbeiter!D124)</f>
        <v/>
      </c>
    </row>
    <row r="125">
      <c r="A125" s="49">
        <f>IF(Mitarbeiter!B125="","",Mitarbeiter!A125)</f>
        <v/>
      </c>
      <c r="B125" s="50">
        <f>IF(Mitarbeiter!B125="","",Mitarbeiter!B125)</f>
        <v/>
      </c>
      <c r="C125" s="51">
        <f>IF(Mitarbeiter!B125="","",Mitarbeiter!F125)</f>
        <v/>
      </c>
      <c r="D125" s="52" t="n"/>
      <c r="E125" s="52" t="n"/>
      <c r="F125" s="52" t="n"/>
      <c r="G125" s="52" t="n"/>
      <c r="H125" s="52" t="n"/>
      <c r="I125" s="52" t="n"/>
      <c r="J125" s="52" t="n"/>
      <c r="K125" s="52" t="n"/>
      <c r="L125" s="52" t="n"/>
      <c r="M125" s="52" t="n"/>
      <c r="N125" s="52" t="n"/>
      <c r="O125" s="52" t="n"/>
      <c r="P125" s="25">
        <f>IF($B125="","",SUM(D125:O125))</f>
        <v/>
      </c>
      <c r="Q125" s="52" t="n"/>
      <c r="R125" s="52" t="n"/>
      <c r="S125" s="52" t="n"/>
      <c r="T125" s="52" t="n"/>
      <c r="U125" s="52" t="n"/>
      <c r="V125" s="52" t="n"/>
      <c r="W125" s="52" t="n"/>
      <c r="X125" s="52" t="n"/>
      <c r="Y125" s="52" t="n"/>
      <c r="Z125" s="52" t="n"/>
      <c r="AA125" s="52" t="n"/>
      <c r="AB125" s="52" t="n"/>
      <c r="AC125" s="25">
        <f>IF($B125="","",SUM(Q125:AB125))</f>
        <v/>
      </c>
      <c r="AD125" s="25">
        <f>IF($B125="","",SUM(P125,AC125))</f>
        <v/>
      </c>
      <c r="AE125" s="37">
        <f>IF($B125="","",AD125*N(C125))</f>
        <v/>
      </c>
      <c r="AF125" s="53">
        <f>IF(Mitarbeiter!B125="","",Mitarbeiter!C125)</f>
        <v/>
      </c>
      <c r="AG125" s="53">
        <f>IF(OR(Mitarbeiter!B125="",Mitarbeiter!D125=""),"",Mitarbeiter!D125)</f>
        <v/>
      </c>
    </row>
    <row r="126">
      <c r="A126" s="49">
        <f>IF(Mitarbeiter!B126="","",Mitarbeiter!A126)</f>
        <v/>
      </c>
      <c r="B126" s="50">
        <f>IF(Mitarbeiter!B126="","",Mitarbeiter!B126)</f>
        <v/>
      </c>
      <c r="C126" s="51">
        <f>IF(Mitarbeiter!B126="","",Mitarbeiter!F126)</f>
        <v/>
      </c>
      <c r="D126" s="52" t="n"/>
      <c r="E126" s="52" t="n"/>
      <c r="F126" s="52" t="n"/>
      <c r="G126" s="52" t="n"/>
      <c r="H126" s="52" t="n"/>
      <c r="I126" s="52" t="n"/>
      <c r="J126" s="52" t="n"/>
      <c r="K126" s="52" t="n"/>
      <c r="L126" s="52" t="n"/>
      <c r="M126" s="52" t="n"/>
      <c r="N126" s="52" t="n"/>
      <c r="O126" s="52" t="n"/>
      <c r="P126" s="25">
        <f>IF($B126="","",SUM(D126:O126))</f>
        <v/>
      </c>
      <c r="Q126" s="52" t="n"/>
      <c r="R126" s="52" t="n"/>
      <c r="S126" s="52" t="n"/>
      <c r="T126" s="52" t="n"/>
      <c r="U126" s="52" t="n"/>
      <c r="V126" s="52" t="n"/>
      <c r="W126" s="52" t="n"/>
      <c r="X126" s="52" t="n"/>
      <c r="Y126" s="52" t="n"/>
      <c r="Z126" s="52" t="n"/>
      <c r="AA126" s="52" t="n"/>
      <c r="AB126" s="52" t="n"/>
      <c r="AC126" s="25">
        <f>IF($B126="","",SUM(Q126:AB126))</f>
        <v/>
      </c>
      <c r="AD126" s="25">
        <f>IF($B126="","",SUM(P126,AC126))</f>
        <v/>
      </c>
      <c r="AE126" s="37">
        <f>IF($B126="","",AD126*N(C126))</f>
        <v/>
      </c>
      <c r="AF126" s="53">
        <f>IF(Mitarbeiter!B126="","",Mitarbeiter!C126)</f>
        <v/>
      </c>
      <c r="AG126" s="53">
        <f>IF(OR(Mitarbeiter!B126="",Mitarbeiter!D126=""),"",Mitarbeiter!D126)</f>
        <v/>
      </c>
    </row>
    <row r="127">
      <c r="A127" s="49">
        <f>IF(Mitarbeiter!B127="","",Mitarbeiter!A127)</f>
        <v/>
      </c>
      <c r="B127" s="50">
        <f>IF(Mitarbeiter!B127="","",Mitarbeiter!B127)</f>
        <v/>
      </c>
      <c r="C127" s="51">
        <f>IF(Mitarbeiter!B127="","",Mitarbeiter!F127)</f>
        <v/>
      </c>
      <c r="D127" s="52" t="n"/>
      <c r="E127" s="52" t="n"/>
      <c r="F127" s="52" t="n"/>
      <c r="G127" s="52" t="n"/>
      <c r="H127" s="52" t="n"/>
      <c r="I127" s="52" t="n"/>
      <c r="J127" s="52" t="n"/>
      <c r="K127" s="52" t="n"/>
      <c r="L127" s="52" t="n"/>
      <c r="M127" s="52" t="n"/>
      <c r="N127" s="52" t="n"/>
      <c r="O127" s="52" t="n"/>
      <c r="P127" s="25">
        <f>IF($B127="","",SUM(D127:O127))</f>
        <v/>
      </c>
      <c r="Q127" s="52" t="n"/>
      <c r="R127" s="52" t="n"/>
      <c r="S127" s="52" t="n"/>
      <c r="T127" s="52" t="n"/>
      <c r="U127" s="52" t="n"/>
      <c r="V127" s="52" t="n"/>
      <c r="W127" s="52" t="n"/>
      <c r="X127" s="52" t="n"/>
      <c r="Y127" s="52" t="n"/>
      <c r="Z127" s="52" t="n"/>
      <c r="AA127" s="52" t="n"/>
      <c r="AB127" s="52" t="n"/>
      <c r="AC127" s="25">
        <f>IF($B127="","",SUM(Q127:AB127))</f>
        <v/>
      </c>
      <c r="AD127" s="25">
        <f>IF($B127="","",SUM(P127,AC127))</f>
        <v/>
      </c>
      <c r="AE127" s="37">
        <f>IF($B127="","",AD127*N(C127))</f>
        <v/>
      </c>
      <c r="AF127" s="53">
        <f>IF(Mitarbeiter!B127="","",Mitarbeiter!C127)</f>
        <v/>
      </c>
      <c r="AG127" s="53">
        <f>IF(OR(Mitarbeiter!B127="",Mitarbeiter!D127=""),"",Mitarbeiter!D127)</f>
        <v/>
      </c>
    </row>
    <row r="128">
      <c r="A128" s="49">
        <f>IF(Mitarbeiter!B128="","",Mitarbeiter!A128)</f>
        <v/>
      </c>
      <c r="B128" s="50">
        <f>IF(Mitarbeiter!B128="","",Mitarbeiter!B128)</f>
        <v/>
      </c>
      <c r="C128" s="51">
        <f>IF(Mitarbeiter!B128="","",Mitarbeiter!F128)</f>
        <v/>
      </c>
      <c r="D128" s="52" t="n"/>
      <c r="E128" s="52" t="n"/>
      <c r="F128" s="52" t="n"/>
      <c r="G128" s="52" t="n"/>
      <c r="H128" s="52" t="n"/>
      <c r="I128" s="52" t="n"/>
      <c r="J128" s="52" t="n"/>
      <c r="K128" s="52" t="n"/>
      <c r="L128" s="52" t="n"/>
      <c r="M128" s="52" t="n"/>
      <c r="N128" s="52" t="n"/>
      <c r="O128" s="52" t="n"/>
      <c r="P128" s="25">
        <f>IF($B128="","",SUM(D128:O128))</f>
        <v/>
      </c>
      <c r="Q128" s="52" t="n"/>
      <c r="R128" s="52" t="n"/>
      <c r="S128" s="52" t="n"/>
      <c r="T128" s="52" t="n"/>
      <c r="U128" s="52" t="n"/>
      <c r="V128" s="52" t="n"/>
      <c r="W128" s="52" t="n"/>
      <c r="X128" s="52" t="n"/>
      <c r="Y128" s="52" t="n"/>
      <c r="Z128" s="52" t="n"/>
      <c r="AA128" s="52" t="n"/>
      <c r="AB128" s="52" t="n"/>
      <c r="AC128" s="25">
        <f>IF($B128="","",SUM(Q128:AB128))</f>
        <v/>
      </c>
      <c r="AD128" s="25">
        <f>IF($B128="","",SUM(P128,AC128))</f>
        <v/>
      </c>
      <c r="AE128" s="37">
        <f>IF($B128="","",AD128*N(C128))</f>
        <v/>
      </c>
      <c r="AF128" s="53">
        <f>IF(Mitarbeiter!B128="","",Mitarbeiter!C128)</f>
        <v/>
      </c>
      <c r="AG128" s="53">
        <f>IF(OR(Mitarbeiter!B128="",Mitarbeiter!D128=""),"",Mitarbeiter!D128)</f>
        <v/>
      </c>
    </row>
    <row r="129">
      <c r="A129" s="49">
        <f>IF(Mitarbeiter!B129="","",Mitarbeiter!A129)</f>
        <v/>
      </c>
      <c r="B129" s="50">
        <f>IF(Mitarbeiter!B129="","",Mitarbeiter!B129)</f>
        <v/>
      </c>
      <c r="C129" s="51">
        <f>IF(Mitarbeiter!B129="","",Mitarbeiter!F129)</f>
        <v/>
      </c>
      <c r="D129" s="52" t="n"/>
      <c r="E129" s="52" t="n"/>
      <c r="F129" s="52" t="n"/>
      <c r="G129" s="52" t="n"/>
      <c r="H129" s="52" t="n"/>
      <c r="I129" s="52" t="n"/>
      <c r="J129" s="52" t="n"/>
      <c r="K129" s="52" t="n"/>
      <c r="L129" s="52" t="n"/>
      <c r="M129" s="52" t="n"/>
      <c r="N129" s="52" t="n"/>
      <c r="O129" s="52" t="n"/>
      <c r="P129" s="25">
        <f>IF($B129="","",SUM(D129:O129))</f>
        <v/>
      </c>
      <c r="Q129" s="52" t="n"/>
      <c r="R129" s="52" t="n"/>
      <c r="S129" s="52" t="n"/>
      <c r="T129" s="52" t="n"/>
      <c r="U129" s="52" t="n"/>
      <c r="V129" s="52" t="n"/>
      <c r="W129" s="52" t="n"/>
      <c r="X129" s="52" t="n"/>
      <c r="Y129" s="52" t="n"/>
      <c r="Z129" s="52" t="n"/>
      <c r="AA129" s="52" t="n"/>
      <c r="AB129" s="52" t="n"/>
      <c r="AC129" s="25">
        <f>IF($B129="","",SUM(Q129:AB129))</f>
        <v/>
      </c>
      <c r="AD129" s="25">
        <f>IF($B129="","",SUM(P129,AC129))</f>
        <v/>
      </c>
      <c r="AE129" s="37">
        <f>IF($B129="","",AD129*N(C129))</f>
        <v/>
      </c>
      <c r="AF129" s="53">
        <f>IF(Mitarbeiter!B129="","",Mitarbeiter!C129)</f>
        <v/>
      </c>
      <c r="AG129" s="53">
        <f>IF(OR(Mitarbeiter!B129="",Mitarbeiter!D129=""),"",Mitarbeiter!D129)</f>
        <v/>
      </c>
    </row>
    <row r="130">
      <c r="A130" s="49">
        <f>IF(Mitarbeiter!B130="","",Mitarbeiter!A130)</f>
        <v/>
      </c>
      <c r="B130" s="50">
        <f>IF(Mitarbeiter!B130="","",Mitarbeiter!B130)</f>
        <v/>
      </c>
      <c r="C130" s="51">
        <f>IF(Mitarbeiter!B130="","",Mitarbeiter!F130)</f>
        <v/>
      </c>
      <c r="D130" s="52" t="n"/>
      <c r="E130" s="52" t="n"/>
      <c r="F130" s="52" t="n"/>
      <c r="G130" s="52" t="n"/>
      <c r="H130" s="52" t="n"/>
      <c r="I130" s="52" t="n"/>
      <c r="J130" s="52" t="n"/>
      <c r="K130" s="52" t="n"/>
      <c r="L130" s="52" t="n"/>
      <c r="M130" s="52" t="n"/>
      <c r="N130" s="52" t="n"/>
      <c r="O130" s="52" t="n"/>
      <c r="P130" s="25">
        <f>IF($B130="","",SUM(D130:O130))</f>
        <v/>
      </c>
      <c r="Q130" s="52" t="n"/>
      <c r="R130" s="52" t="n"/>
      <c r="S130" s="52" t="n"/>
      <c r="T130" s="52" t="n"/>
      <c r="U130" s="52" t="n"/>
      <c r="V130" s="52" t="n"/>
      <c r="W130" s="52" t="n"/>
      <c r="X130" s="52" t="n"/>
      <c r="Y130" s="52" t="n"/>
      <c r="Z130" s="52" t="n"/>
      <c r="AA130" s="52" t="n"/>
      <c r="AB130" s="52" t="n"/>
      <c r="AC130" s="25">
        <f>IF($B130="","",SUM(Q130:AB130))</f>
        <v/>
      </c>
      <c r="AD130" s="25">
        <f>IF($B130="","",SUM(P130,AC130))</f>
        <v/>
      </c>
      <c r="AE130" s="37">
        <f>IF($B130="","",AD130*N(C130))</f>
        <v/>
      </c>
      <c r="AF130" s="53">
        <f>IF(Mitarbeiter!B130="","",Mitarbeiter!C130)</f>
        <v/>
      </c>
      <c r="AG130" s="53">
        <f>IF(OR(Mitarbeiter!B130="",Mitarbeiter!D130=""),"",Mitarbeiter!D130)</f>
        <v/>
      </c>
    </row>
    <row r="131">
      <c r="A131" s="49">
        <f>IF(Mitarbeiter!B131="","",Mitarbeiter!A131)</f>
        <v/>
      </c>
      <c r="B131" s="50">
        <f>IF(Mitarbeiter!B131="","",Mitarbeiter!B131)</f>
        <v/>
      </c>
      <c r="C131" s="51">
        <f>IF(Mitarbeiter!B131="","",Mitarbeiter!F131)</f>
        <v/>
      </c>
      <c r="D131" s="52" t="n"/>
      <c r="E131" s="52" t="n"/>
      <c r="F131" s="52" t="n"/>
      <c r="G131" s="52" t="n"/>
      <c r="H131" s="52" t="n"/>
      <c r="I131" s="52" t="n"/>
      <c r="J131" s="52" t="n"/>
      <c r="K131" s="52" t="n"/>
      <c r="L131" s="52" t="n"/>
      <c r="M131" s="52" t="n"/>
      <c r="N131" s="52" t="n"/>
      <c r="O131" s="52" t="n"/>
      <c r="P131" s="25">
        <f>IF($B131="","",SUM(D131:O131))</f>
        <v/>
      </c>
      <c r="Q131" s="52" t="n"/>
      <c r="R131" s="52" t="n"/>
      <c r="S131" s="52" t="n"/>
      <c r="T131" s="52" t="n"/>
      <c r="U131" s="52" t="n"/>
      <c r="V131" s="52" t="n"/>
      <c r="W131" s="52" t="n"/>
      <c r="X131" s="52" t="n"/>
      <c r="Y131" s="52" t="n"/>
      <c r="Z131" s="52" t="n"/>
      <c r="AA131" s="52" t="n"/>
      <c r="AB131" s="52" t="n"/>
      <c r="AC131" s="25">
        <f>IF($B131="","",SUM(Q131:AB131))</f>
        <v/>
      </c>
      <c r="AD131" s="25">
        <f>IF($B131="","",SUM(P131,AC131))</f>
        <v/>
      </c>
      <c r="AE131" s="37">
        <f>IF($B131="","",AD131*N(C131))</f>
        <v/>
      </c>
      <c r="AF131" s="53">
        <f>IF(Mitarbeiter!B131="","",Mitarbeiter!C131)</f>
        <v/>
      </c>
      <c r="AG131" s="53">
        <f>IF(OR(Mitarbeiter!B131="",Mitarbeiter!D131=""),"",Mitarbeiter!D131)</f>
        <v/>
      </c>
    </row>
    <row r="132">
      <c r="A132" s="49">
        <f>IF(Mitarbeiter!B132="","",Mitarbeiter!A132)</f>
        <v/>
      </c>
      <c r="B132" s="50">
        <f>IF(Mitarbeiter!B132="","",Mitarbeiter!B132)</f>
        <v/>
      </c>
      <c r="C132" s="51">
        <f>IF(Mitarbeiter!B132="","",Mitarbeiter!F132)</f>
        <v/>
      </c>
      <c r="D132" s="52" t="n"/>
      <c r="E132" s="52" t="n"/>
      <c r="F132" s="52" t="n"/>
      <c r="G132" s="52" t="n"/>
      <c r="H132" s="52" t="n"/>
      <c r="I132" s="52" t="n"/>
      <c r="J132" s="52" t="n"/>
      <c r="K132" s="52" t="n"/>
      <c r="L132" s="52" t="n"/>
      <c r="M132" s="52" t="n"/>
      <c r="N132" s="52" t="n"/>
      <c r="O132" s="52" t="n"/>
      <c r="P132" s="25">
        <f>IF($B132="","",SUM(D132:O132))</f>
        <v/>
      </c>
      <c r="Q132" s="52" t="n"/>
      <c r="R132" s="52" t="n"/>
      <c r="S132" s="52" t="n"/>
      <c r="T132" s="52" t="n"/>
      <c r="U132" s="52" t="n"/>
      <c r="V132" s="52" t="n"/>
      <c r="W132" s="52" t="n"/>
      <c r="X132" s="52" t="n"/>
      <c r="Y132" s="52" t="n"/>
      <c r="Z132" s="52" t="n"/>
      <c r="AA132" s="52" t="n"/>
      <c r="AB132" s="52" t="n"/>
      <c r="AC132" s="25">
        <f>IF($B132="","",SUM(Q132:AB132))</f>
        <v/>
      </c>
      <c r="AD132" s="25">
        <f>IF($B132="","",SUM(P132,AC132))</f>
        <v/>
      </c>
      <c r="AE132" s="37">
        <f>IF($B132="","",AD132*N(C132))</f>
        <v/>
      </c>
      <c r="AF132" s="53">
        <f>IF(Mitarbeiter!B132="","",Mitarbeiter!C132)</f>
        <v/>
      </c>
      <c r="AG132" s="53">
        <f>IF(OR(Mitarbeiter!B132="",Mitarbeiter!D132=""),"",Mitarbeiter!D132)</f>
        <v/>
      </c>
    </row>
    <row r="133">
      <c r="A133" s="49">
        <f>IF(Mitarbeiter!B133="","",Mitarbeiter!A133)</f>
        <v/>
      </c>
      <c r="B133" s="50">
        <f>IF(Mitarbeiter!B133="","",Mitarbeiter!B133)</f>
        <v/>
      </c>
      <c r="C133" s="51">
        <f>IF(Mitarbeiter!B133="","",Mitarbeiter!F133)</f>
        <v/>
      </c>
      <c r="D133" s="52" t="n"/>
      <c r="E133" s="52" t="n"/>
      <c r="F133" s="52" t="n"/>
      <c r="G133" s="52" t="n"/>
      <c r="H133" s="52" t="n"/>
      <c r="I133" s="52" t="n"/>
      <c r="J133" s="52" t="n"/>
      <c r="K133" s="52" t="n"/>
      <c r="L133" s="52" t="n"/>
      <c r="M133" s="52" t="n"/>
      <c r="N133" s="52" t="n"/>
      <c r="O133" s="52" t="n"/>
      <c r="P133" s="25">
        <f>IF($B133="","",SUM(D133:O133))</f>
        <v/>
      </c>
      <c r="Q133" s="52" t="n"/>
      <c r="R133" s="52" t="n"/>
      <c r="S133" s="52" t="n"/>
      <c r="T133" s="52" t="n"/>
      <c r="U133" s="52" t="n"/>
      <c r="V133" s="52" t="n"/>
      <c r="W133" s="52" t="n"/>
      <c r="X133" s="52" t="n"/>
      <c r="Y133" s="52" t="n"/>
      <c r="Z133" s="52" t="n"/>
      <c r="AA133" s="52" t="n"/>
      <c r="AB133" s="52" t="n"/>
      <c r="AC133" s="25">
        <f>IF($B133="","",SUM(Q133:AB133))</f>
        <v/>
      </c>
      <c r="AD133" s="25">
        <f>IF($B133="","",SUM(P133,AC133))</f>
        <v/>
      </c>
      <c r="AE133" s="37">
        <f>IF($B133="","",AD133*N(C133))</f>
        <v/>
      </c>
      <c r="AF133" s="53">
        <f>IF(Mitarbeiter!B133="","",Mitarbeiter!C133)</f>
        <v/>
      </c>
      <c r="AG133" s="53">
        <f>IF(OR(Mitarbeiter!B133="",Mitarbeiter!D133=""),"",Mitarbeiter!D133)</f>
        <v/>
      </c>
    </row>
    <row r="134">
      <c r="A134" s="49">
        <f>IF(Mitarbeiter!B134="","",Mitarbeiter!A134)</f>
        <v/>
      </c>
      <c r="B134" s="50">
        <f>IF(Mitarbeiter!B134="","",Mitarbeiter!B134)</f>
        <v/>
      </c>
      <c r="C134" s="51">
        <f>IF(Mitarbeiter!B134="","",Mitarbeiter!F134)</f>
        <v/>
      </c>
      <c r="D134" s="52" t="n"/>
      <c r="E134" s="52" t="n"/>
      <c r="F134" s="52" t="n"/>
      <c r="G134" s="52" t="n"/>
      <c r="H134" s="52" t="n"/>
      <c r="I134" s="52" t="n"/>
      <c r="J134" s="52" t="n"/>
      <c r="K134" s="52" t="n"/>
      <c r="L134" s="52" t="n"/>
      <c r="M134" s="52" t="n"/>
      <c r="N134" s="52" t="n"/>
      <c r="O134" s="52" t="n"/>
      <c r="P134" s="25">
        <f>IF($B134="","",SUM(D134:O134))</f>
        <v/>
      </c>
      <c r="Q134" s="52" t="n"/>
      <c r="R134" s="52" t="n"/>
      <c r="S134" s="52" t="n"/>
      <c r="T134" s="52" t="n"/>
      <c r="U134" s="52" t="n"/>
      <c r="V134" s="52" t="n"/>
      <c r="W134" s="52" t="n"/>
      <c r="X134" s="52" t="n"/>
      <c r="Y134" s="52" t="n"/>
      <c r="Z134" s="52" t="n"/>
      <c r="AA134" s="52" t="n"/>
      <c r="AB134" s="52" t="n"/>
      <c r="AC134" s="25">
        <f>IF($B134="","",SUM(Q134:AB134))</f>
        <v/>
      </c>
      <c r="AD134" s="25">
        <f>IF($B134="","",SUM(P134,AC134))</f>
        <v/>
      </c>
      <c r="AE134" s="37">
        <f>IF($B134="","",AD134*N(C134))</f>
        <v/>
      </c>
      <c r="AF134" s="53">
        <f>IF(Mitarbeiter!B134="","",Mitarbeiter!C134)</f>
        <v/>
      </c>
      <c r="AG134" s="53">
        <f>IF(OR(Mitarbeiter!B134="",Mitarbeiter!D134=""),"",Mitarbeiter!D134)</f>
        <v/>
      </c>
    </row>
    <row r="135">
      <c r="A135" s="49">
        <f>IF(Mitarbeiter!B135="","",Mitarbeiter!A135)</f>
        <v/>
      </c>
      <c r="B135" s="50">
        <f>IF(Mitarbeiter!B135="","",Mitarbeiter!B135)</f>
        <v/>
      </c>
      <c r="C135" s="51">
        <f>IF(Mitarbeiter!B135="","",Mitarbeiter!F135)</f>
        <v/>
      </c>
      <c r="D135" s="52" t="n"/>
      <c r="E135" s="52" t="n"/>
      <c r="F135" s="52" t="n"/>
      <c r="G135" s="52" t="n"/>
      <c r="H135" s="52" t="n"/>
      <c r="I135" s="52" t="n"/>
      <c r="J135" s="52" t="n"/>
      <c r="K135" s="52" t="n"/>
      <c r="L135" s="52" t="n"/>
      <c r="M135" s="52" t="n"/>
      <c r="N135" s="52" t="n"/>
      <c r="O135" s="52" t="n"/>
      <c r="P135" s="25">
        <f>IF($B135="","",SUM(D135:O135))</f>
        <v/>
      </c>
      <c r="Q135" s="52" t="n"/>
      <c r="R135" s="52" t="n"/>
      <c r="S135" s="52" t="n"/>
      <c r="T135" s="52" t="n"/>
      <c r="U135" s="52" t="n"/>
      <c r="V135" s="52" t="n"/>
      <c r="W135" s="52" t="n"/>
      <c r="X135" s="52" t="n"/>
      <c r="Y135" s="52" t="n"/>
      <c r="Z135" s="52" t="n"/>
      <c r="AA135" s="52" t="n"/>
      <c r="AB135" s="52" t="n"/>
      <c r="AC135" s="25">
        <f>IF($B135="","",SUM(Q135:AB135))</f>
        <v/>
      </c>
      <c r="AD135" s="25">
        <f>IF($B135="","",SUM(P135,AC135))</f>
        <v/>
      </c>
      <c r="AE135" s="37">
        <f>IF($B135="","",AD135*N(C135))</f>
        <v/>
      </c>
      <c r="AF135" s="53">
        <f>IF(Mitarbeiter!B135="","",Mitarbeiter!C135)</f>
        <v/>
      </c>
      <c r="AG135" s="53">
        <f>IF(OR(Mitarbeiter!B135="",Mitarbeiter!D135=""),"",Mitarbeiter!D135)</f>
        <v/>
      </c>
    </row>
    <row r="136">
      <c r="A136" s="49">
        <f>IF(Mitarbeiter!B136="","",Mitarbeiter!A136)</f>
        <v/>
      </c>
      <c r="B136" s="50">
        <f>IF(Mitarbeiter!B136="","",Mitarbeiter!B136)</f>
        <v/>
      </c>
      <c r="C136" s="51">
        <f>IF(Mitarbeiter!B136="","",Mitarbeiter!F136)</f>
        <v/>
      </c>
      <c r="D136" s="52" t="n"/>
      <c r="E136" s="52" t="n"/>
      <c r="F136" s="52" t="n"/>
      <c r="G136" s="52" t="n"/>
      <c r="H136" s="52" t="n"/>
      <c r="I136" s="52" t="n"/>
      <c r="J136" s="52" t="n"/>
      <c r="K136" s="52" t="n"/>
      <c r="L136" s="52" t="n"/>
      <c r="M136" s="52" t="n"/>
      <c r="N136" s="52" t="n"/>
      <c r="O136" s="52" t="n"/>
      <c r="P136" s="25">
        <f>IF($B136="","",SUM(D136:O136))</f>
        <v/>
      </c>
      <c r="Q136" s="52" t="n"/>
      <c r="R136" s="52" t="n"/>
      <c r="S136" s="52" t="n"/>
      <c r="T136" s="52" t="n"/>
      <c r="U136" s="52" t="n"/>
      <c r="V136" s="52" t="n"/>
      <c r="W136" s="52" t="n"/>
      <c r="X136" s="52" t="n"/>
      <c r="Y136" s="52" t="n"/>
      <c r="Z136" s="52" t="n"/>
      <c r="AA136" s="52" t="n"/>
      <c r="AB136" s="52" t="n"/>
      <c r="AC136" s="25">
        <f>IF($B136="","",SUM(Q136:AB136))</f>
        <v/>
      </c>
      <c r="AD136" s="25">
        <f>IF($B136="","",SUM(P136,AC136))</f>
        <v/>
      </c>
      <c r="AE136" s="37">
        <f>IF($B136="","",AD136*N(C136))</f>
        <v/>
      </c>
      <c r="AF136" s="53">
        <f>IF(Mitarbeiter!B136="","",Mitarbeiter!C136)</f>
        <v/>
      </c>
      <c r="AG136" s="53">
        <f>IF(OR(Mitarbeiter!B136="",Mitarbeiter!D136=""),"",Mitarbeiter!D136)</f>
        <v/>
      </c>
    </row>
    <row r="137">
      <c r="A137" s="49">
        <f>IF(Mitarbeiter!B137="","",Mitarbeiter!A137)</f>
        <v/>
      </c>
      <c r="B137" s="50">
        <f>IF(Mitarbeiter!B137="","",Mitarbeiter!B137)</f>
        <v/>
      </c>
      <c r="C137" s="51">
        <f>IF(Mitarbeiter!B137="","",Mitarbeiter!F137)</f>
        <v/>
      </c>
      <c r="D137" s="52" t="n"/>
      <c r="E137" s="52" t="n"/>
      <c r="F137" s="52" t="n"/>
      <c r="G137" s="52" t="n"/>
      <c r="H137" s="52" t="n"/>
      <c r="I137" s="52" t="n"/>
      <c r="J137" s="52" t="n"/>
      <c r="K137" s="52" t="n"/>
      <c r="L137" s="52" t="n"/>
      <c r="M137" s="52" t="n"/>
      <c r="N137" s="52" t="n"/>
      <c r="O137" s="52" t="n"/>
      <c r="P137" s="25">
        <f>IF($B137="","",SUM(D137:O137))</f>
        <v/>
      </c>
      <c r="Q137" s="52" t="n"/>
      <c r="R137" s="52" t="n"/>
      <c r="S137" s="52" t="n"/>
      <c r="T137" s="52" t="n"/>
      <c r="U137" s="52" t="n"/>
      <c r="V137" s="52" t="n"/>
      <c r="W137" s="52" t="n"/>
      <c r="X137" s="52" t="n"/>
      <c r="Y137" s="52" t="n"/>
      <c r="Z137" s="52" t="n"/>
      <c r="AA137" s="52" t="n"/>
      <c r="AB137" s="52" t="n"/>
      <c r="AC137" s="25">
        <f>IF($B137="","",SUM(Q137:AB137))</f>
        <v/>
      </c>
      <c r="AD137" s="25">
        <f>IF($B137="","",SUM(P137,AC137))</f>
        <v/>
      </c>
      <c r="AE137" s="37">
        <f>IF($B137="","",AD137*N(C137))</f>
        <v/>
      </c>
      <c r="AF137" s="53">
        <f>IF(Mitarbeiter!B137="","",Mitarbeiter!C137)</f>
        <v/>
      </c>
      <c r="AG137" s="53">
        <f>IF(OR(Mitarbeiter!B137="",Mitarbeiter!D137=""),"",Mitarbeiter!D137)</f>
        <v/>
      </c>
    </row>
    <row r="138">
      <c r="A138" s="49">
        <f>IF(Mitarbeiter!B138="","",Mitarbeiter!A138)</f>
        <v/>
      </c>
      <c r="B138" s="50">
        <f>IF(Mitarbeiter!B138="","",Mitarbeiter!B138)</f>
        <v/>
      </c>
      <c r="C138" s="51">
        <f>IF(Mitarbeiter!B138="","",Mitarbeiter!F138)</f>
        <v/>
      </c>
      <c r="D138" s="52" t="n"/>
      <c r="E138" s="52" t="n"/>
      <c r="F138" s="52" t="n"/>
      <c r="G138" s="52" t="n"/>
      <c r="H138" s="52" t="n"/>
      <c r="I138" s="52" t="n"/>
      <c r="J138" s="52" t="n"/>
      <c r="K138" s="52" t="n"/>
      <c r="L138" s="52" t="n"/>
      <c r="M138" s="52" t="n"/>
      <c r="N138" s="52" t="n"/>
      <c r="O138" s="52" t="n"/>
      <c r="P138" s="25">
        <f>IF($B138="","",SUM(D138:O138))</f>
        <v/>
      </c>
      <c r="Q138" s="52" t="n"/>
      <c r="R138" s="52" t="n"/>
      <c r="S138" s="52" t="n"/>
      <c r="T138" s="52" t="n"/>
      <c r="U138" s="52" t="n"/>
      <c r="V138" s="52" t="n"/>
      <c r="W138" s="52" t="n"/>
      <c r="X138" s="52" t="n"/>
      <c r="Y138" s="52" t="n"/>
      <c r="Z138" s="52" t="n"/>
      <c r="AA138" s="52" t="n"/>
      <c r="AB138" s="52" t="n"/>
      <c r="AC138" s="25">
        <f>IF($B138="","",SUM(Q138:AB138))</f>
        <v/>
      </c>
      <c r="AD138" s="25">
        <f>IF($B138="","",SUM(P138,AC138))</f>
        <v/>
      </c>
      <c r="AE138" s="37">
        <f>IF($B138="","",AD138*N(C138))</f>
        <v/>
      </c>
      <c r="AF138" s="53">
        <f>IF(Mitarbeiter!B138="","",Mitarbeiter!C138)</f>
        <v/>
      </c>
      <c r="AG138" s="53">
        <f>IF(OR(Mitarbeiter!B138="",Mitarbeiter!D138=""),"",Mitarbeiter!D138)</f>
        <v/>
      </c>
    </row>
    <row r="139">
      <c r="A139" s="49">
        <f>IF(Mitarbeiter!B139="","",Mitarbeiter!A139)</f>
        <v/>
      </c>
      <c r="B139" s="50">
        <f>IF(Mitarbeiter!B139="","",Mitarbeiter!B139)</f>
        <v/>
      </c>
      <c r="C139" s="51">
        <f>IF(Mitarbeiter!B139="","",Mitarbeiter!F139)</f>
        <v/>
      </c>
      <c r="D139" s="52" t="n"/>
      <c r="E139" s="52" t="n"/>
      <c r="F139" s="52" t="n"/>
      <c r="G139" s="52" t="n"/>
      <c r="H139" s="52" t="n"/>
      <c r="I139" s="52" t="n"/>
      <c r="J139" s="52" t="n"/>
      <c r="K139" s="52" t="n"/>
      <c r="L139" s="52" t="n"/>
      <c r="M139" s="52" t="n"/>
      <c r="N139" s="52" t="n"/>
      <c r="O139" s="52" t="n"/>
      <c r="P139" s="25">
        <f>IF($B139="","",SUM(D139:O139))</f>
        <v/>
      </c>
      <c r="Q139" s="52" t="n"/>
      <c r="R139" s="52" t="n"/>
      <c r="S139" s="52" t="n"/>
      <c r="T139" s="52" t="n"/>
      <c r="U139" s="52" t="n"/>
      <c r="V139" s="52" t="n"/>
      <c r="W139" s="52" t="n"/>
      <c r="X139" s="52" t="n"/>
      <c r="Y139" s="52" t="n"/>
      <c r="Z139" s="52" t="n"/>
      <c r="AA139" s="52" t="n"/>
      <c r="AB139" s="52" t="n"/>
      <c r="AC139" s="25">
        <f>IF($B139="","",SUM(Q139:AB139))</f>
        <v/>
      </c>
      <c r="AD139" s="25">
        <f>IF($B139="","",SUM(P139,AC139))</f>
        <v/>
      </c>
      <c r="AE139" s="37">
        <f>IF($B139="","",AD139*N(C139))</f>
        <v/>
      </c>
      <c r="AF139" s="53">
        <f>IF(Mitarbeiter!B139="","",Mitarbeiter!C139)</f>
        <v/>
      </c>
      <c r="AG139" s="53">
        <f>IF(OR(Mitarbeiter!B139="",Mitarbeiter!D139=""),"",Mitarbeiter!D139)</f>
        <v/>
      </c>
    </row>
    <row r="140">
      <c r="A140" s="49">
        <f>IF(Mitarbeiter!B140="","",Mitarbeiter!A140)</f>
        <v/>
      </c>
      <c r="B140" s="50">
        <f>IF(Mitarbeiter!B140="","",Mitarbeiter!B140)</f>
        <v/>
      </c>
      <c r="C140" s="51">
        <f>IF(Mitarbeiter!B140="","",Mitarbeiter!F140)</f>
        <v/>
      </c>
      <c r="D140" s="52" t="n"/>
      <c r="E140" s="52" t="n"/>
      <c r="F140" s="52" t="n"/>
      <c r="G140" s="52" t="n"/>
      <c r="H140" s="52" t="n"/>
      <c r="I140" s="52" t="n"/>
      <c r="J140" s="52" t="n"/>
      <c r="K140" s="52" t="n"/>
      <c r="L140" s="52" t="n"/>
      <c r="M140" s="52" t="n"/>
      <c r="N140" s="52" t="n"/>
      <c r="O140" s="52" t="n"/>
      <c r="P140" s="25">
        <f>IF($B140="","",SUM(D140:O140))</f>
        <v/>
      </c>
      <c r="Q140" s="52" t="n"/>
      <c r="R140" s="52" t="n"/>
      <c r="S140" s="52" t="n"/>
      <c r="T140" s="52" t="n"/>
      <c r="U140" s="52" t="n"/>
      <c r="V140" s="52" t="n"/>
      <c r="W140" s="52" t="n"/>
      <c r="X140" s="52" t="n"/>
      <c r="Y140" s="52" t="n"/>
      <c r="Z140" s="52" t="n"/>
      <c r="AA140" s="52" t="n"/>
      <c r="AB140" s="52" t="n"/>
      <c r="AC140" s="25">
        <f>IF($B140="","",SUM(Q140:AB140))</f>
        <v/>
      </c>
      <c r="AD140" s="25">
        <f>IF($B140="","",SUM(P140,AC140))</f>
        <v/>
      </c>
      <c r="AE140" s="37">
        <f>IF($B140="","",AD140*N(C140))</f>
        <v/>
      </c>
      <c r="AF140" s="53">
        <f>IF(Mitarbeiter!B140="","",Mitarbeiter!C140)</f>
        <v/>
      </c>
      <c r="AG140" s="53">
        <f>IF(OR(Mitarbeiter!B140="",Mitarbeiter!D140=""),"",Mitarbeiter!D140)</f>
        <v/>
      </c>
    </row>
    <row r="141">
      <c r="A141" s="49">
        <f>IF(Mitarbeiter!B141="","",Mitarbeiter!A141)</f>
        <v/>
      </c>
      <c r="B141" s="50">
        <f>IF(Mitarbeiter!B141="","",Mitarbeiter!B141)</f>
        <v/>
      </c>
      <c r="C141" s="51">
        <f>IF(Mitarbeiter!B141="","",Mitarbeiter!F141)</f>
        <v/>
      </c>
      <c r="D141" s="52" t="n"/>
      <c r="E141" s="52" t="n"/>
      <c r="F141" s="52" t="n"/>
      <c r="G141" s="52" t="n"/>
      <c r="H141" s="52" t="n"/>
      <c r="I141" s="52" t="n"/>
      <c r="J141" s="52" t="n"/>
      <c r="K141" s="52" t="n"/>
      <c r="L141" s="52" t="n"/>
      <c r="M141" s="52" t="n"/>
      <c r="N141" s="52" t="n"/>
      <c r="O141" s="52" t="n"/>
      <c r="P141" s="25">
        <f>IF($B141="","",SUM(D141:O141))</f>
        <v/>
      </c>
      <c r="Q141" s="52" t="n"/>
      <c r="R141" s="52" t="n"/>
      <c r="S141" s="52" t="n"/>
      <c r="T141" s="52" t="n"/>
      <c r="U141" s="52" t="n"/>
      <c r="V141" s="52" t="n"/>
      <c r="W141" s="52" t="n"/>
      <c r="X141" s="52" t="n"/>
      <c r="Y141" s="52" t="n"/>
      <c r="Z141" s="52" t="n"/>
      <c r="AA141" s="52" t="n"/>
      <c r="AB141" s="52" t="n"/>
      <c r="AC141" s="25">
        <f>IF($B141="","",SUM(Q141:AB141))</f>
        <v/>
      </c>
      <c r="AD141" s="25">
        <f>IF($B141="","",SUM(P141,AC141))</f>
        <v/>
      </c>
      <c r="AE141" s="37">
        <f>IF($B141="","",AD141*N(C141))</f>
        <v/>
      </c>
      <c r="AF141" s="53">
        <f>IF(Mitarbeiter!B141="","",Mitarbeiter!C141)</f>
        <v/>
      </c>
      <c r="AG141" s="53">
        <f>IF(OR(Mitarbeiter!B141="",Mitarbeiter!D141=""),"",Mitarbeiter!D141)</f>
        <v/>
      </c>
    </row>
    <row r="142">
      <c r="A142" s="49">
        <f>IF(Mitarbeiter!B142="","",Mitarbeiter!A142)</f>
        <v/>
      </c>
      <c r="B142" s="50">
        <f>IF(Mitarbeiter!B142="","",Mitarbeiter!B142)</f>
        <v/>
      </c>
      <c r="C142" s="51">
        <f>IF(Mitarbeiter!B142="","",Mitarbeiter!F142)</f>
        <v/>
      </c>
      <c r="D142" s="52" t="n"/>
      <c r="E142" s="52" t="n"/>
      <c r="F142" s="52" t="n"/>
      <c r="G142" s="52" t="n"/>
      <c r="H142" s="52" t="n"/>
      <c r="I142" s="52" t="n"/>
      <c r="J142" s="52" t="n"/>
      <c r="K142" s="52" t="n"/>
      <c r="L142" s="52" t="n"/>
      <c r="M142" s="52" t="n"/>
      <c r="N142" s="52" t="n"/>
      <c r="O142" s="52" t="n"/>
      <c r="P142" s="25">
        <f>IF($B142="","",SUM(D142:O142))</f>
        <v/>
      </c>
      <c r="Q142" s="52" t="n"/>
      <c r="R142" s="52" t="n"/>
      <c r="S142" s="52" t="n"/>
      <c r="T142" s="52" t="n"/>
      <c r="U142" s="52" t="n"/>
      <c r="V142" s="52" t="n"/>
      <c r="W142" s="52" t="n"/>
      <c r="X142" s="52" t="n"/>
      <c r="Y142" s="52" t="n"/>
      <c r="Z142" s="52" t="n"/>
      <c r="AA142" s="52" t="n"/>
      <c r="AB142" s="52" t="n"/>
      <c r="AC142" s="25">
        <f>IF($B142="","",SUM(Q142:AB142))</f>
        <v/>
      </c>
      <c r="AD142" s="25">
        <f>IF($B142="","",SUM(P142,AC142))</f>
        <v/>
      </c>
      <c r="AE142" s="37">
        <f>IF($B142="","",AD142*N(C142))</f>
        <v/>
      </c>
      <c r="AF142" s="53">
        <f>IF(Mitarbeiter!B142="","",Mitarbeiter!C142)</f>
        <v/>
      </c>
      <c r="AG142" s="53">
        <f>IF(OR(Mitarbeiter!B142="",Mitarbeiter!D142=""),"",Mitarbeiter!D142)</f>
        <v/>
      </c>
    </row>
    <row r="143">
      <c r="A143" s="49">
        <f>IF(Mitarbeiter!B143="","",Mitarbeiter!A143)</f>
        <v/>
      </c>
      <c r="B143" s="50">
        <f>IF(Mitarbeiter!B143="","",Mitarbeiter!B143)</f>
        <v/>
      </c>
      <c r="C143" s="51">
        <f>IF(Mitarbeiter!B143="","",Mitarbeiter!F143)</f>
        <v/>
      </c>
      <c r="D143" s="52" t="n"/>
      <c r="E143" s="52" t="n"/>
      <c r="F143" s="52" t="n"/>
      <c r="G143" s="52" t="n"/>
      <c r="H143" s="52" t="n"/>
      <c r="I143" s="52" t="n"/>
      <c r="J143" s="52" t="n"/>
      <c r="K143" s="52" t="n"/>
      <c r="L143" s="52" t="n"/>
      <c r="M143" s="52" t="n"/>
      <c r="N143" s="52" t="n"/>
      <c r="O143" s="52" t="n"/>
      <c r="P143" s="25">
        <f>IF($B143="","",SUM(D143:O143))</f>
        <v/>
      </c>
      <c r="Q143" s="52" t="n"/>
      <c r="R143" s="52" t="n"/>
      <c r="S143" s="52" t="n"/>
      <c r="T143" s="52" t="n"/>
      <c r="U143" s="52" t="n"/>
      <c r="V143" s="52" t="n"/>
      <c r="W143" s="52" t="n"/>
      <c r="X143" s="52" t="n"/>
      <c r="Y143" s="52" t="n"/>
      <c r="Z143" s="52" t="n"/>
      <c r="AA143" s="52" t="n"/>
      <c r="AB143" s="52" t="n"/>
      <c r="AC143" s="25">
        <f>IF($B143="","",SUM(Q143:AB143))</f>
        <v/>
      </c>
      <c r="AD143" s="25">
        <f>IF($B143="","",SUM(P143,AC143))</f>
        <v/>
      </c>
      <c r="AE143" s="37">
        <f>IF($B143="","",AD143*N(C143))</f>
        <v/>
      </c>
      <c r="AF143" s="53">
        <f>IF(Mitarbeiter!B143="","",Mitarbeiter!C143)</f>
        <v/>
      </c>
      <c r="AG143" s="53">
        <f>IF(OR(Mitarbeiter!B143="",Mitarbeiter!D143=""),"",Mitarbeiter!D143)</f>
        <v/>
      </c>
    </row>
    <row r="144">
      <c r="A144" s="49">
        <f>IF(Mitarbeiter!B144="","",Mitarbeiter!A144)</f>
        <v/>
      </c>
      <c r="B144" s="50">
        <f>IF(Mitarbeiter!B144="","",Mitarbeiter!B144)</f>
        <v/>
      </c>
      <c r="C144" s="51">
        <f>IF(Mitarbeiter!B144="","",Mitarbeiter!F144)</f>
        <v/>
      </c>
      <c r="D144" s="52" t="n"/>
      <c r="E144" s="52" t="n"/>
      <c r="F144" s="52" t="n"/>
      <c r="G144" s="52" t="n"/>
      <c r="H144" s="52" t="n"/>
      <c r="I144" s="52" t="n"/>
      <c r="J144" s="52" t="n"/>
      <c r="K144" s="52" t="n"/>
      <c r="L144" s="52" t="n"/>
      <c r="M144" s="52" t="n"/>
      <c r="N144" s="52" t="n"/>
      <c r="O144" s="52" t="n"/>
      <c r="P144" s="25">
        <f>IF($B144="","",SUM(D144:O144))</f>
        <v/>
      </c>
      <c r="Q144" s="52" t="n"/>
      <c r="R144" s="52" t="n"/>
      <c r="S144" s="52" t="n"/>
      <c r="T144" s="52" t="n"/>
      <c r="U144" s="52" t="n"/>
      <c r="V144" s="52" t="n"/>
      <c r="W144" s="52" t="n"/>
      <c r="X144" s="52" t="n"/>
      <c r="Y144" s="52" t="n"/>
      <c r="Z144" s="52" t="n"/>
      <c r="AA144" s="52" t="n"/>
      <c r="AB144" s="52" t="n"/>
      <c r="AC144" s="25">
        <f>IF($B144="","",SUM(Q144:AB144))</f>
        <v/>
      </c>
      <c r="AD144" s="25">
        <f>IF($B144="","",SUM(P144,AC144))</f>
        <v/>
      </c>
      <c r="AE144" s="37">
        <f>IF($B144="","",AD144*N(C144))</f>
        <v/>
      </c>
      <c r="AF144" s="53">
        <f>IF(Mitarbeiter!B144="","",Mitarbeiter!C144)</f>
        <v/>
      </c>
      <c r="AG144" s="53">
        <f>IF(OR(Mitarbeiter!B144="",Mitarbeiter!D144=""),"",Mitarbeiter!D144)</f>
        <v/>
      </c>
    </row>
    <row r="145">
      <c r="A145" s="49">
        <f>IF(Mitarbeiter!B145="","",Mitarbeiter!A145)</f>
        <v/>
      </c>
      <c r="B145" s="50">
        <f>IF(Mitarbeiter!B145="","",Mitarbeiter!B145)</f>
        <v/>
      </c>
      <c r="C145" s="51">
        <f>IF(Mitarbeiter!B145="","",Mitarbeiter!F145)</f>
        <v/>
      </c>
      <c r="D145" s="52" t="n"/>
      <c r="E145" s="52" t="n"/>
      <c r="F145" s="52" t="n"/>
      <c r="G145" s="52" t="n"/>
      <c r="H145" s="52" t="n"/>
      <c r="I145" s="52" t="n"/>
      <c r="J145" s="52" t="n"/>
      <c r="K145" s="52" t="n"/>
      <c r="L145" s="52" t="n"/>
      <c r="M145" s="52" t="n"/>
      <c r="N145" s="52" t="n"/>
      <c r="O145" s="52" t="n"/>
      <c r="P145" s="25">
        <f>IF($B145="","",SUM(D145:O145))</f>
        <v/>
      </c>
      <c r="Q145" s="52" t="n"/>
      <c r="R145" s="52" t="n"/>
      <c r="S145" s="52" t="n"/>
      <c r="T145" s="52" t="n"/>
      <c r="U145" s="52" t="n"/>
      <c r="V145" s="52" t="n"/>
      <c r="W145" s="52" t="n"/>
      <c r="X145" s="52" t="n"/>
      <c r="Y145" s="52" t="n"/>
      <c r="Z145" s="52" t="n"/>
      <c r="AA145" s="52" t="n"/>
      <c r="AB145" s="52" t="n"/>
      <c r="AC145" s="25">
        <f>IF($B145="","",SUM(Q145:AB145))</f>
        <v/>
      </c>
      <c r="AD145" s="25">
        <f>IF($B145="","",SUM(P145,AC145))</f>
        <v/>
      </c>
      <c r="AE145" s="37">
        <f>IF($B145="","",AD145*N(C145))</f>
        <v/>
      </c>
      <c r="AF145" s="53">
        <f>IF(Mitarbeiter!B145="","",Mitarbeiter!C145)</f>
        <v/>
      </c>
      <c r="AG145" s="53">
        <f>IF(OR(Mitarbeiter!B145="",Mitarbeiter!D145=""),"",Mitarbeiter!D145)</f>
        <v/>
      </c>
    </row>
    <row r="146">
      <c r="A146" s="49">
        <f>IF(Mitarbeiter!B146="","",Mitarbeiter!A146)</f>
        <v/>
      </c>
      <c r="B146" s="50">
        <f>IF(Mitarbeiter!B146="","",Mitarbeiter!B146)</f>
        <v/>
      </c>
      <c r="C146" s="51">
        <f>IF(Mitarbeiter!B146="","",Mitarbeiter!F146)</f>
        <v/>
      </c>
      <c r="D146" s="52" t="n"/>
      <c r="E146" s="52" t="n"/>
      <c r="F146" s="52" t="n"/>
      <c r="G146" s="52" t="n"/>
      <c r="H146" s="52" t="n"/>
      <c r="I146" s="52" t="n"/>
      <c r="J146" s="52" t="n"/>
      <c r="K146" s="52" t="n"/>
      <c r="L146" s="52" t="n"/>
      <c r="M146" s="52" t="n"/>
      <c r="N146" s="52" t="n"/>
      <c r="O146" s="52" t="n"/>
      <c r="P146" s="25">
        <f>IF($B146="","",SUM(D146:O146))</f>
        <v/>
      </c>
      <c r="Q146" s="52" t="n"/>
      <c r="R146" s="52" t="n"/>
      <c r="S146" s="52" t="n"/>
      <c r="T146" s="52" t="n"/>
      <c r="U146" s="52" t="n"/>
      <c r="V146" s="52" t="n"/>
      <c r="W146" s="52" t="n"/>
      <c r="X146" s="52" t="n"/>
      <c r="Y146" s="52" t="n"/>
      <c r="Z146" s="52" t="n"/>
      <c r="AA146" s="52" t="n"/>
      <c r="AB146" s="52" t="n"/>
      <c r="AC146" s="25">
        <f>IF($B146="","",SUM(Q146:AB146))</f>
        <v/>
      </c>
      <c r="AD146" s="25">
        <f>IF($B146="","",SUM(P146,AC146))</f>
        <v/>
      </c>
      <c r="AE146" s="37">
        <f>IF($B146="","",AD146*N(C146))</f>
        <v/>
      </c>
      <c r="AF146" s="53">
        <f>IF(Mitarbeiter!B146="","",Mitarbeiter!C146)</f>
        <v/>
      </c>
      <c r="AG146" s="53">
        <f>IF(OR(Mitarbeiter!B146="",Mitarbeiter!D146=""),"",Mitarbeiter!D146)</f>
        <v/>
      </c>
    </row>
    <row r="147">
      <c r="A147" s="49">
        <f>IF(Mitarbeiter!B147="","",Mitarbeiter!A147)</f>
        <v/>
      </c>
      <c r="B147" s="50">
        <f>IF(Mitarbeiter!B147="","",Mitarbeiter!B147)</f>
        <v/>
      </c>
      <c r="C147" s="51">
        <f>IF(Mitarbeiter!B147="","",Mitarbeiter!F147)</f>
        <v/>
      </c>
      <c r="D147" s="52" t="n"/>
      <c r="E147" s="52" t="n"/>
      <c r="F147" s="52" t="n"/>
      <c r="G147" s="52" t="n"/>
      <c r="H147" s="52" t="n"/>
      <c r="I147" s="52" t="n"/>
      <c r="J147" s="52" t="n"/>
      <c r="K147" s="52" t="n"/>
      <c r="L147" s="52" t="n"/>
      <c r="M147" s="52" t="n"/>
      <c r="N147" s="52" t="n"/>
      <c r="O147" s="52" t="n"/>
      <c r="P147" s="25">
        <f>IF($B147="","",SUM(D147:O147))</f>
        <v/>
      </c>
      <c r="Q147" s="52" t="n"/>
      <c r="R147" s="52" t="n"/>
      <c r="S147" s="52" t="n"/>
      <c r="T147" s="52" t="n"/>
      <c r="U147" s="52" t="n"/>
      <c r="V147" s="52" t="n"/>
      <c r="W147" s="52" t="n"/>
      <c r="X147" s="52" t="n"/>
      <c r="Y147" s="52" t="n"/>
      <c r="Z147" s="52" t="n"/>
      <c r="AA147" s="52" t="n"/>
      <c r="AB147" s="52" t="n"/>
      <c r="AC147" s="25">
        <f>IF($B147="","",SUM(Q147:AB147))</f>
        <v/>
      </c>
      <c r="AD147" s="25">
        <f>IF($B147="","",SUM(P147,AC147))</f>
        <v/>
      </c>
      <c r="AE147" s="37">
        <f>IF($B147="","",AD147*N(C147))</f>
        <v/>
      </c>
      <c r="AF147" s="53">
        <f>IF(Mitarbeiter!B147="","",Mitarbeiter!C147)</f>
        <v/>
      </c>
      <c r="AG147" s="53">
        <f>IF(OR(Mitarbeiter!B147="",Mitarbeiter!D147=""),"",Mitarbeiter!D147)</f>
        <v/>
      </c>
    </row>
    <row r="148">
      <c r="A148" s="49">
        <f>IF(Mitarbeiter!B148="","",Mitarbeiter!A148)</f>
        <v/>
      </c>
      <c r="B148" s="50">
        <f>IF(Mitarbeiter!B148="","",Mitarbeiter!B148)</f>
        <v/>
      </c>
      <c r="C148" s="51">
        <f>IF(Mitarbeiter!B148="","",Mitarbeiter!F148)</f>
        <v/>
      </c>
      <c r="D148" s="52" t="n"/>
      <c r="E148" s="52" t="n"/>
      <c r="F148" s="52" t="n"/>
      <c r="G148" s="52" t="n"/>
      <c r="H148" s="52" t="n"/>
      <c r="I148" s="52" t="n"/>
      <c r="J148" s="52" t="n"/>
      <c r="K148" s="52" t="n"/>
      <c r="L148" s="52" t="n"/>
      <c r="M148" s="52" t="n"/>
      <c r="N148" s="52" t="n"/>
      <c r="O148" s="52" t="n"/>
      <c r="P148" s="25">
        <f>IF($B148="","",SUM(D148:O148))</f>
        <v/>
      </c>
      <c r="Q148" s="52" t="n"/>
      <c r="R148" s="52" t="n"/>
      <c r="S148" s="52" t="n"/>
      <c r="T148" s="52" t="n"/>
      <c r="U148" s="52" t="n"/>
      <c r="V148" s="52" t="n"/>
      <c r="W148" s="52" t="n"/>
      <c r="X148" s="52" t="n"/>
      <c r="Y148" s="52" t="n"/>
      <c r="Z148" s="52" t="n"/>
      <c r="AA148" s="52" t="n"/>
      <c r="AB148" s="52" t="n"/>
      <c r="AC148" s="25">
        <f>IF($B148="","",SUM(Q148:AB148))</f>
        <v/>
      </c>
      <c r="AD148" s="25">
        <f>IF($B148="","",SUM(P148,AC148))</f>
        <v/>
      </c>
      <c r="AE148" s="37">
        <f>IF($B148="","",AD148*N(C148))</f>
        <v/>
      </c>
      <c r="AF148" s="53">
        <f>IF(Mitarbeiter!B148="","",Mitarbeiter!C148)</f>
        <v/>
      </c>
      <c r="AG148" s="53">
        <f>IF(OR(Mitarbeiter!B148="",Mitarbeiter!D148=""),"",Mitarbeiter!D148)</f>
        <v/>
      </c>
    </row>
    <row r="149">
      <c r="A149" s="49">
        <f>IF(Mitarbeiter!B149="","",Mitarbeiter!A149)</f>
        <v/>
      </c>
      <c r="B149" s="50">
        <f>IF(Mitarbeiter!B149="","",Mitarbeiter!B149)</f>
        <v/>
      </c>
      <c r="C149" s="51">
        <f>IF(Mitarbeiter!B149="","",Mitarbeiter!F149)</f>
        <v/>
      </c>
      <c r="D149" s="52" t="n"/>
      <c r="E149" s="52" t="n"/>
      <c r="F149" s="52" t="n"/>
      <c r="G149" s="52" t="n"/>
      <c r="H149" s="52" t="n"/>
      <c r="I149" s="52" t="n"/>
      <c r="J149" s="52" t="n"/>
      <c r="K149" s="52" t="n"/>
      <c r="L149" s="52" t="n"/>
      <c r="M149" s="52" t="n"/>
      <c r="N149" s="52" t="n"/>
      <c r="O149" s="52" t="n"/>
      <c r="P149" s="25">
        <f>IF($B149="","",SUM(D149:O149))</f>
        <v/>
      </c>
      <c r="Q149" s="52" t="n"/>
      <c r="R149" s="52" t="n"/>
      <c r="S149" s="52" t="n"/>
      <c r="T149" s="52" t="n"/>
      <c r="U149" s="52" t="n"/>
      <c r="V149" s="52" t="n"/>
      <c r="W149" s="52" t="n"/>
      <c r="X149" s="52" t="n"/>
      <c r="Y149" s="52" t="n"/>
      <c r="Z149" s="52" t="n"/>
      <c r="AA149" s="52" t="n"/>
      <c r="AB149" s="52" t="n"/>
      <c r="AC149" s="25">
        <f>IF($B149="","",SUM(Q149:AB149))</f>
        <v/>
      </c>
      <c r="AD149" s="25">
        <f>IF($B149="","",SUM(P149,AC149))</f>
        <v/>
      </c>
      <c r="AE149" s="37">
        <f>IF($B149="","",AD149*N(C149))</f>
        <v/>
      </c>
      <c r="AF149" s="53">
        <f>IF(Mitarbeiter!B149="","",Mitarbeiter!C149)</f>
        <v/>
      </c>
      <c r="AG149" s="53">
        <f>IF(OR(Mitarbeiter!B149="",Mitarbeiter!D149=""),"",Mitarbeiter!D149)</f>
        <v/>
      </c>
    </row>
    <row r="150">
      <c r="A150" s="49">
        <f>IF(Mitarbeiter!B150="","",Mitarbeiter!A150)</f>
        <v/>
      </c>
      <c r="B150" s="50">
        <f>IF(Mitarbeiter!B150="","",Mitarbeiter!B150)</f>
        <v/>
      </c>
      <c r="C150" s="51">
        <f>IF(Mitarbeiter!B150="","",Mitarbeiter!F150)</f>
        <v/>
      </c>
      <c r="D150" s="52" t="n"/>
      <c r="E150" s="52" t="n"/>
      <c r="F150" s="52" t="n"/>
      <c r="G150" s="52" t="n"/>
      <c r="H150" s="52" t="n"/>
      <c r="I150" s="52" t="n"/>
      <c r="J150" s="52" t="n"/>
      <c r="K150" s="52" t="n"/>
      <c r="L150" s="52" t="n"/>
      <c r="M150" s="52" t="n"/>
      <c r="N150" s="52" t="n"/>
      <c r="O150" s="52" t="n"/>
      <c r="P150" s="25">
        <f>IF($B150="","",SUM(D150:O150))</f>
        <v/>
      </c>
      <c r="Q150" s="52" t="n"/>
      <c r="R150" s="52" t="n"/>
      <c r="S150" s="52" t="n"/>
      <c r="T150" s="52" t="n"/>
      <c r="U150" s="52" t="n"/>
      <c r="V150" s="52" t="n"/>
      <c r="W150" s="52" t="n"/>
      <c r="X150" s="52" t="n"/>
      <c r="Y150" s="52" t="n"/>
      <c r="Z150" s="52" t="n"/>
      <c r="AA150" s="52" t="n"/>
      <c r="AB150" s="52" t="n"/>
      <c r="AC150" s="25">
        <f>IF($B150="","",SUM(Q150:AB150))</f>
        <v/>
      </c>
      <c r="AD150" s="25">
        <f>IF($B150="","",SUM(P150,AC150))</f>
        <v/>
      </c>
      <c r="AE150" s="37">
        <f>IF($B150="","",AD150*N(C150))</f>
        <v/>
      </c>
      <c r="AF150" s="53">
        <f>IF(Mitarbeiter!B150="","",Mitarbeiter!C150)</f>
        <v/>
      </c>
      <c r="AG150" s="53">
        <f>IF(OR(Mitarbeiter!B150="",Mitarbeiter!D150=""),"",Mitarbeiter!D150)</f>
        <v/>
      </c>
    </row>
    <row r="151">
      <c r="A151" s="49">
        <f>IF(Mitarbeiter!B151="","",Mitarbeiter!A151)</f>
        <v/>
      </c>
      <c r="B151" s="50">
        <f>IF(Mitarbeiter!B151="","",Mitarbeiter!B151)</f>
        <v/>
      </c>
      <c r="C151" s="51">
        <f>IF(Mitarbeiter!B151="","",Mitarbeiter!F151)</f>
        <v/>
      </c>
      <c r="D151" s="52" t="n"/>
      <c r="E151" s="52" t="n"/>
      <c r="F151" s="52" t="n"/>
      <c r="G151" s="52" t="n"/>
      <c r="H151" s="52" t="n"/>
      <c r="I151" s="52" t="n"/>
      <c r="J151" s="52" t="n"/>
      <c r="K151" s="52" t="n"/>
      <c r="L151" s="52" t="n"/>
      <c r="M151" s="52" t="n"/>
      <c r="N151" s="52" t="n"/>
      <c r="O151" s="52" t="n"/>
      <c r="P151" s="25">
        <f>IF($B151="","",SUM(D151:O151))</f>
        <v/>
      </c>
      <c r="Q151" s="52" t="n"/>
      <c r="R151" s="52" t="n"/>
      <c r="S151" s="52" t="n"/>
      <c r="T151" s="52" t="n"/>
      <c r="U151" s="52" t="n"/>
      <c r="V151" s="52" t="n"/>
      <c r="W151" s="52" t="n"/>
      <c r="X151" s="52" t="n"/>
      <c r="Y151" s="52" t="n"/>
      <c r="Z151" s="52" t="n"/>
      <c r="AA151" s="52" t="n"/>
      <c r="AB151" s="52" t="n"/>
      <c r="AC151" s="25">
        <f>IF($B151="","",SUM(Q151:AB151))</f>
        <v/>
      </c>
      <c r="AD151" s="25">
        <f>IF($B151="","",SUM(P151,AC151))</f>
        <v/>
      </c>
      <c r="AE151" s="37">
        <f>IF($B151="","",AD151*N(C151))</f>
        <v/>
      </c>
      <c r="AF151" s="53">
        <f>IF(Mitarbeiter!B151="","",Mitarbeiter!C151)</f>
        <v/>
      </c>
      <c r="AG151" s="53">
        <f>IF(OR(Mitarbeiter!B151="",Mitarbeiter!D151=""),"",Mitarbeiter!D151)</f>
        <v/>
      </c>
    </row>
    <row r="152">
      <c r="A152" s="49">
        <f>IF(Mitarbeiter!B152="","",Mitarbeiter!A152)</f>
        <v/>
      </c>
      <c r="B152" s="50">
        <f>IF(Mitarbeiter!B152="","",Mitarbeiter!B152)</f>
        <v/>
      </c>
      <c r="C152" s="51">
        <f>IF(Mitarbeiter!B152="","",Mitarbeiter!F152)</f>
        <v/>
      </c>
      <c r="D152" s="52" t="n"/>
      <c r="E152" s="52" t="n"/>
      <c r="F152" s="52" t="n"/>
      <c r="G152" s="52" t="n"/>
      <c r="H152" s="52" t="n"/>
      <c r="I152" s="52" t="n"/>
      <c r="J152" s="52" t="n"/>
      <c r="K152" s="52" t="n"/>
      <c r="L152" s="52" t="n"/>
      <c r="M152" s="52" t="n"/>
      <c r="N152" s="52" t="n"/>
      <c r="O152" s="52" t="n"/>
      <c r="P152" s="25">
        <f>IF($B152="","",SUM(D152:O152))</f>
        <v/>
      </c>
      <c r="Q152" s="52" t="n"/>
      <c r="R152" s="52" t="n"/>
      <c r="S152" s="52" t="n"/>
      <c r="T152" s="52" t="n"/>
      <c r="U152" s="52" t="n"/>
      <c r="V152" s="52" t="n"/>
      <c r="W152" s="52" t="n"/>
      <c r="X152" s="52" t="n"/>
      <c r="Y152" s="52" t="n"/>
      <c r="Z152" s="52" t="n"/>
      <c r="AA152" s="52" t="n"/>
      <c r="AB152" s="52" t="n"/>
      <c r="AC152" s="25">
        <f>IF($B152="","",SUM(Q152:AB152))</f>
        <v/>
      </c>
      <c r="AD152" s="25">
        <f>IF($B152="","",SUM(P152,AC152))</f>
        <v/>
      </c>
      <c r="AE152" s="37">
        <f>IF($B152="","",AD152*N(C152))</f>
        <v/>
      </c>
      <c r="AF152" s="53">
        <f>IF(Mitarbeiter!B152="","",Mitarbeiter!C152)</f>
        <v/>
      </c>
      <c r="AG152" s="53">
        <f>IF(OR(Mitarbeiter!B152="",Mitarbeiter!D152=""),"",Mitarbeiter!D152)</f>
        <v/>
      </c>
    </row>
    <row r="153">
      <c r="A153" s="49">
        <f>IF(Mitarbeiter!B153="","",Mitarbeiter!A153)</f>
        <v/>
      </c>
      <c r="B153" s="50">
        <f>IF(Mitarbeiter!B153="","",Mitarbeiter!B153)</f>
        <v/>
      </c>
      <c r="C153" s="51">
        <f>IF(Mitarbeiter!B153="","",Mitarbeiter!F153)</f>
        <v/>
      </c>
      <c r="D153" s="52" t="n"/>
      <c r="E153" s="52" t="n"/>
      <c r="F153" s="52" t="n"/>
      <c r="G153" s="52" t="n"/>
      <c r="H153" s="52" t="n"/>
      <c r="I153" s="52" t="n"/>
      <c r="J153" s="52" t="n"/>
      <c r="K153" s="52" t="n"/>
      <c r="L153" s="52" t="n"/>
      <c r="M153" s="52" t="n"/>
      <c r="N153" s="52" t="n"/>
      <c r="O153" s="52" t="n"/>
      <c r="P153" s="25">
        <f>IF($B153="","",SUM(D153:O153))</f>
        <v/>
      </c>
      <c r="Q153" s="52" t="n"/>
      <c r="R153" s="52" t="n"/>
      <c r="S153" s="52" t="n"/>
      <c r="T153" s="52" t="n"/>
      <c r="U153" s="52" t="n"/>
      <c r="V153" s="52" t="n"/>
      <c r="W153" s="52" t="n"/>
      <c r="X153" s="52" t="n"/>
      <c r="Y153" s="52" t="n"/>
      <c r="Z153" s="52" t="n"/>
      <c r="AA153" s="52" t="n"/>
      <c r="AB153" s="52" t="n"/>
      <c r="AC153" s="25">
        <f>IF($B153="","",SUM(Q153:AB153))</f>
        <v/>
      </c>
      <c r="AD153" s="25">
        <f>IF($B153="","",SUM(P153,AC153))</f>
        <v/>
      </c>
      <c r="AE153" s="37">
        <f>IF($B153="","",AD153*N(C153))</f>
        <v/>
      </c>
      <c r="AF153" s="53">
        <f>IF(Mitarbeiter!B153="","",Mitarbeiter!C153)</f>
        <v/>
      </c>
      <c r="AG153" s="53">
        <f>IF(OR(Mitarbeiter!B153="",Mitarbeiter!D153=""),"",Mitarbeiter!D153)</f>
        <v/>
      </c>
    </row>
    <row r="154">
      <c r="A154" s="49">
        <f>IF(Mitarbeiter!B154="","",Mitarbeiter!A154)</f>
        <v/>
      </c>
      <c r="B154" s="50">
        <f>IF(Mitarbeiter!B154="","",Mitarbeiter!B154)</f>
        <v/>
      </c>
      <c r="C154" s="51">
        <f>IF(Mitarbeiter!B154="","",Mitarbeiter!F154)</f>
        <v/>
      </c>
      <c r="D154" s="52" t="n"/>
      <c r="E154" s="52" t="n"/>
      <c r="F154" s="52" t="n"/>
      <c r="G154" s="52" t="n"/>
      <c r="H154" s="52" t="n"/>
      <c r="I154" s="52" t="n"/>
      <c r="J154" s="52" t="n"/>
      <c r="K154" s="52" t="n"/>
      <c r="L154" s="52" t="n"/>
      <c r="M154" s="52" t="n"/>
      <c r="N154" s="52" t="n"/>
      <c r="O154" s="52" t="n"/>
      <c r="P154" s="25">
        <f>IF($B154="","",SUM(D154:O154))</f>
        <v/>
      </c>
      <c r="Q154" s="52" t="n"/>
      <c r="R154" s="52" t="n"/>
      <c r="S154" s="52" t="n"/>
      <c r="T154" s="52" t="n"/>
      <c r="U154" s="52" t="n"/>
      <c r="V154" s="52" t="n"/>
      <c r="W154" s="52" t="n"/>
      <c r="X154" s="52" t="n"/>
      <c r="Y154" s="52" t="n"/>
      <c r="Z154" s="52" t="n"/>
      <c r="AA154" s="52" t="n"/>
      <c r="AB154" s="52" t="n"/>
      <c r="AC154" s="25">
        <f>IF($B154="","",SUM(Q154:AB154))</f>
        <v/>
      </c>
      <c r="AD154" s="25">
        <f>IF($B154="","",SUM(P154,AC154))</f>
        <v/>
      </c>
      <c r="AE154" s="37">
        <f>IF($B154="","",AD154*N(C154))</f>
        <v/>
      </c>
      <c r="AF154" s="53">
        <f>IF(Mitarbeiter!B154="","",Mitarbeiter!C154)</f>
        <v/>
      </c>
      <c r="AG154" s="53">
        <f>IF(OR(Mitarbeiter!B154="",Mitarbeiter!D154=""),"",Mitarbeiter!D154)</f>
        <v/>
      </c>
    </row>
    <row r="155">
      <c r="A155" s="49">
        <f>IF(Mitarbeiter!B155="","",Mitarbeiter!A155)</f>
        <v/>
      </c>
      <c r="B155" s="50">
        <f>IF(Mitarbeiter!B155="","",Mitarbeiter!B155)</f>
        <v/>
      </c>
      <c r="C155" s="51">
        <f>IF(Mitarbeiter!B155="","",Mitarbeiter!F155)</f>
        <v/>
      </c>
      <c r="D155" s="52" t="n"/>
      <c r="E155" s="52" t="n"/>
      <c r="F155" s="52" t="n"/>
      <c r="G155" s="52" t="n"/>
      <c r="H155" s="52" t="n"/>
      <c r="I155" s="52" t="n"/>
      <c r="J155" s="52" t="n"/>
      <c r="K155" s="52" t="n"/>
      <c r="L155" s="52" t="n"/>
      <c r="M155" s="52" t="n"/>
      <c r="N155" s="52" t="n"/>
      <c r="O155" s="52" t="n"/>
      <c r="P155" s="25">
        <f>IF($B155="","",SUM(D155:O155))</f>
        <v/>
      </c>
      <c r="Q155" s="52" t="n"/>
      <c r="R155" s="52" t="n"/>
      <c r="S155" s="52" t="n"/>
      <c r="T155" s="52" t="n"/>
      <c r="U155" s="52" t="n"/>
      <c r="V155" s="52" t="n"/>
      <c r="W155" s="52" t="n"/>
      <c r="X155" s="52" t="n"/>
      <c r="Y155" s="52" t="n"/>
      <c r="Z155" s="52" t="n"/>
      <c r="AA155" s="52" t="n"/>
      <c r="AB155" s="52" t="n"/>
      <c r="AC155" s="25">
        <f>IF($B155="","",SUM(Q155:AB155))</f>
        <v/>
      </c>
      <c r="AD155" s="25">
        <f>IF($B155="","",SUM(P155,AC155))</f>
        <v/>
      </c>
      <c r="AE155" s="37">
        <f>IF($B155="","",AD155*N(C155))</f>
        <v/>
      </c>
      <c r="AF155" s="53">
        <f>IF(Mitarbeiter!B155="","",Mitarbeiter!C155)</f>
        <v/>
      </c>
      <c r="AG155" s="53">
        <f>IF(OR(Mitarbeiter!B155="",Mitarbeiter!D155=""),"",Mitarbeiter!D155)</f>
        <v/>
      </c>
    </row>
    <row r="156">
      <c r="A156" s="49">
        <f>IF(Mitarbeiter!B156="","",Mitarbeiter!A156)</f>
        <v/>
      </c>
      <c r="B156" s="50">
        <f>IF(Mitarbeiter!B156="","",Mitarbeiter!B156)</f>
        <v/>
      </c>
      <c r="C156" s="51">
        <f>IF(Mitarbeiter!B156="","",Mitarbeiter!F156)</f>
        <v/>
      </c>
      <c r="D156" s="52" t="n"/>
      <c r="E156" s="52" t="n"/>
      <c r="F156" s="52" t="n"/>
      <c r="G156" s="52" t="n"/>
      <c r="H156" s="52" t="n"/>
      <c r="I156" s="52" t="n"/>
      <c r="J156" s="52" t="n"/>
      <c r="K156" s="52" t="n"/>
      <c r="L156" s="52" t="n"/>
      <c r="M156" s="52" t="n"/>
      <c r="N156" s="52" t="n"/>
      <c r="O156" s="52" t="n"/>
      <c r="P156" s="25">
        <f>IF($B156="","",SUM(D156:O156))</f>
        <v/>
      </c>
      <c r="Q156" s="52" t="n"/>
      <c r="R156" s="52" t="n"/>
      <c r="S156" s="52" t="n"/>
      <c r="T156" s="52" t="n"/>
      <c r="U156" s="52" t="n"/>
      <c r="V156" s="52" t="n"/>
      <c r="W156" s="52" t="n"/>
      <c r="X156" s="52" t="n"/>
      <c r="Y156" s="52" t="n"/>
      <c r="Z156" s="52" t="n"/>
      <c r="AA156" s="52" t="n"/>
      <c r="AB156" s="52" t="n"/>
      <c r="AC156" s="25">
        <f>IF($B156="","",SUM(Q156:AB156))</f>
        <v/>
      </c>
      <c r="AD156" s="25">
        <f>IF($B156="","",SUM(P156,AC156))</f>
        <v/>
      </c>
      <c r="AE156" s="37">
        <f>IF($B156="","",AD156*N(C156))</f>
        <v/>
      </c>
      <c r="AF156" s="53">
        <f>IF(Mitarbeiter!B156="","",Mitarbeiter!C156)</f>
        <v/>
      </c>
      <c r="AG156" s="53">
        <f>IF(OR(Mitarbeiter!B156="",Mitarbeiter!D156=""),"",Mitarbeiter!D156)</f>
        <v/>
      </c>
    </row>
    <row r="157">
      <c r="A157" s="49">
        <f>IF(Mitarbeiter!B157="","",Mitarbeiter!A157)</f>
        <v/>
      </c>
      <c r="B157" s="50">
        <f>IF(Mitarbeiter!B157="","",Mitarbeiter!B157)</f>
        <v/>
      </c>
      <c r="C157" s="51">
        <f>IF(Mitarbeiter!B157="","",Mitarbeiter!F157)</f>
        <v/>
      </c>
      <c r="D157" s="52" t="n"/>
      <c r="E157" s="52" t="n"/>
      <c r="F157" s="52" t="n"/>
      <c r="G157" s="52" t="n"/>
      <c r="H157" s="52" t="n"/>
      <c r="I157" s="52" t="n"/>
      <c r="J157" s="52" t="n"/>
      <c r="K157" s="52" t="n"/>
      <c r="L157" s="52" t="n"/>
      <c r="M157" s="52" t="n"/>
      <c r="N157" s="52" t="n"/>
      <c r="O157" s="52" t="n"/>
      <c r="P157" s="25">
        <f>IF($B157="","",SUM(D157:O157))</f>
        <v/>
      </c>
      <c r="Q157" s="52" t="n"/>
      <c r="R157" s="52" t="n"/>
      <c r="S157" s="52" t="n"/>
      <c r="T157" s="52" t="n"/>
      <c r="U157" s="52" t="n"/>
      <c r="V157" s="52" t="n"/>
      <c r="W157" s="52" t="n"/>
      <c r="X157" s="52" t="n"/>
      <c r="Y157" s="52" t="n"/>
      <c r="Z157" s="52" t="n"/>
      <c r="AA157" s="52" t="n"/>
      <c r="AB157" s="52" t="n"/>
      <c r="AC157" s="25">
        <f>IF($B157="","",SUM(Q157:AB157))</f>
        <v/>
      </c>
      <c r="AD157" s="25">
        <f>IF($B157="","",SUM(P157,AC157))</f>
        <v/>
      </c>
      <c r="AE157" s="37">
        <f>IF($B157="","",AD157*N(C157))</f>
        <v/>
      </c>
      <c r="AF157" s="53">
        <f>IF(Mitarbeiter!B157="","",Mitarbeiter!C157)</f>
        <v/>
      </c>
      <c r="AG157" s="53">
        <f>IF(OR(Mitarbeiter!B157="",Mitarbeiter!D157=""),"",Mitarbeiter!D157)</f>
        <v/>
      </c>
    </row>
    <row r="158">
      <c r="A158" s="49">
        <f>IF(Mitarbeiter!B158="","",Mitarbeiter!A158)</f>
        <v/>
      </c>
      <c r="B158" s="50">
        <f>IF(Mitarbeiter!B158="","",Mitarbeiter!B158)</f>
        <v/>
      </c>
      <c r="C158" s="51">
        <f>IF(Mitarbeiter!B158="","",Mitarbeiter!F158)</f>
        <v/>
      </c>
      <c r="D158" s="52" t="n"/>
      <c r="E158" s="52" t="n"/>
      <c r="F158" s="52" t="n"/>
      <c r="G158" s="52" t="n"/>
      <c r="H158" s="52" t="n"/>
      <c r="I158" s="52" t="n"/>
      <c r="J158" s="52" t="n"/>
      <c r="K158" s="52" t="n"/>
      <c r="L158" s="52" t="n"/>
      <c r="M158" s="52" t="n"/>
      <c r="N158" s="52" t="n"/>
      <c r="O158" s="52" t="n"/>
      <c r="P158" s="25">
        <f>IF($B158="","",SUM(D158:O158))</f>
        <v/>
      </c>
      <c r="Q158" s="52" t="n"/>
      <c r="R158" s="52" t="n"/>
      <c r="S158" s="52" t="n"/>
      <c r="T158" s="52" t="n"/>
      <c r="U158" s="52" t="n"/>
      <c r="V158" s="52" t="n"/>
      <c r="W158" s="52" t="n"/>
      <c r="X158" s="52" t="n"/>
      <c r="Y158" s="52" t="n"/>
      <c r="Z158" s="52" t="n"/>
      <c r="AA158" s="52" t="n"/>
      <c r="AB158" s="52" t="n"/>
      <c r="AC158" s="25">
        <f>IF($B158="","",SUM(Q158:AB158))</f>
        <v/>
      </c>
      <c r="AD158" s="25">
        <f>IF($B158="","",SUM(P158,AC158))</f>
        <v/>
      </c>
      <c r="AE158" s="37">
        <f>IF($B158="","",AD158*N(C158))</f>
        <v/>
      </c>
      <c r="AF158" s="53">
        <f>IF(Mitarbeiter!B158="","",Mitarbeiter!C158)</f>
        <v/>
      </c>
      <c r="AG158" s="53">
        <f>IF(OR(Mitarbeiter!B158="",Mitarbeiter!D158=""),"",Mitarbeiter!D158)</f>
        <v/>
      </c>
    </row>
    <row r="159">
      <c r="A159" s="49">
        <f>IF(Mitarbeiter!B159="","",Mitarbeiter!A159)</f>
        <v/>
      </c>
      <c r="B159" s="50">
        <f>IF(Mitarbeiter!B159="","",Mitarbeiter!B159)</f>
        <v/>
      </c>
      <c r="C159" s="51">
        <f>IF(Mitarbeiter!B159="","",Mitarbeiter!F159)</f>
        <v/>
      </c>
      <c r="D159" s="52" t="n"/>
      <c r="E159" s="52" t="n"/>
      <c r="F159" s="52" t="n"/>
      <c r="G159" s="52" t="n"/>
      <c r="H159" s="52" t="n"/>
      <c r="I159" s="52" t="n"/>
      <c r="J159" s="52" t="n"/>
      <c r="K159" s="52" t="n"/>
      <c r="L159" s="52" t="n"/>
      <c r="M159" s="52" t="n"/>
      <c r="N159" s="52" t="n"/>
      <c r="O159" s="52" t="n"/>
      <c r="P159" s="25">
        <f>IF($B159="","",SUM(D159:O159))</f>
        <v/>
      </c>
      <c r="Q159" s="52" t="n"/>
      <c r="R159" s="52" t="n"/>
      <c r="S159" s="52" t="n"/>
      <c r="T159" s="52" t="n"/>
      <c r="U159" s="52" t="n"/>
      <c r="V159" s="52" t="n"/>
      <c r="W159" s="52" t="n"/>
      <c r="X159" s="52" t="n"/>
      <c r="Y159" s="52" t="n"/>
      <c r="Z159" s="52" t="n"/>
      <c r="AA159" s="52" t="n"/>
      <c r="AB159" s="52" t="n"/>
      <c r="AC159" s="25">
        <f>IF($B159="","",SUM(Q159:AB159))</f>
        <v/>
      </c>
      <c r="AD159" s="25">
        <f>IF($B159="","",SUM(P159,AC159))</f>
        <v/>
      </c>
      <c r="AE159" s="37">
        <f>IF($B159="","",AD159*N(C159))</f>
        <v/>
      </c>
      <c r="AF159" s="53">
        <f>IF(Mitarbeiter!B159="","",Mitarbeiter!C159)</f>
        <v/>
      </c>
      <c r="AG159" s="53">
        <f>IF(OR(Mitarbeiter!B159="",Mitarbeiter!D159=""),"",Mitarbeiter!D159)</f>
        <v/>
      </c>
    </row>
    <row r="160">
      <c r="A160" s="49">
        <f>IF(Mitarbeiter!B160="","",Mitarbeiter!A160)</f>
        <v/>
      </c>
      <c r="B160" s="50">
        <f>IF(Mitarbeiter!B160="","",Mitarbeiter!B160)</f>
        <v/>
      </c>
      <c r="C160" s="51">
        <f>IF(Mitarbeiter!B160="","",Mitarbeiter!F160)</f>
        <v/>
      </c>
      <c r="D160" s="52" t="n"/>
      <c r="E160" s="52" t="n"/>
      <c r="F160" s="52" t="n"/>
      <c r="G160" s="52" t="n"/>
      <c r="H160" s="52" t="n"/>
      <c r="I160" s="52" t="n"/>
      <c r="J160" s="52" t="n"/>
      <c r="K160" s="52" t="n"/>
      <c r="L160" s="52" t="n"/>
      <c r="M160" s="52" t="n"/>
      <c r="N160" s="52" t="n"/>
      <c r="O160" s="52" t="n"/>
      <c r="P160" s="25">
        <f>IF($B160="","",SUM(D160:O160))</f>
        <v/>
      </c>
      <c r="Q160" s="52" t="n"/>
      <c r="R160" s="52" t="n"/>
      <c r="S160" s="52" t="n"/>
      <c r="T160" s="52" t="n"/>
      <c r="U160" s="52" t="n"/>
      <c r="V160" s="52" t="n"/>
      <c r="W160" s="52" t="n"/>
      <c r="X160" s="52" t="n"/>
      <c r="Y160" s="52" t="n"/>
      <c r="Z160" s="52" t="n"/>
      <c r="AA160" s="52" t="n"/>
      <c r="AB160" s="52" t="n"/>
      <c r="AC160" s="25">
        <f>IF($B160="","",SUM(Q160:AB160))</f>
        <v/>
      </c>
      <c r="AD160" s="25">
        <f>IF($B160="","",SUM(P160,AC160))</f>
        <v/>
      </c>
      <c r="AE160" s="37">
        <f>IF($B160="","",AD160*N(C160))</f>
        <v/>
      </c>
      <c r="AF160" s="53">
        <f>IF(Mitarbeiter!B160="","",Mitarbeiter!C160)</f>
        <v/>
      </c>
      <c r="AG160" s="53">
        <f>IF(OR(Mitarbeiter!B160="",Mitarbeiter!D160=""),"",Mitarbeiter!D160)</f>
        <v/>
      </c>
    </row>
    <row r="161">
      <c r="A161" s="49">
        <f>IF(Mitarbeiter!B161="","",Mitarbeiter!A161)</f>
        <v/>
      </c>
      <c r="B161" s="50">
        <f>IF(Mitarbeiter!B161="","",Mitarbeiter!B161)</f>
        <v/>
      </c>
      <c r="C161" s="51">
        <f>IF(Mitarbeiter!B161="","",Mitarbeiter!F161)</f>
        <v/>
      </c>
      <c r="D161" s="52" t="n"/>
      <c r="E161" s="52" t="n"/>
      <c r="F161" s="52" t="n"/>
      <c r="G161" s="52" t="n"/>
      <c r="H161" s="52" t="n"/>
      <c r="I161" s="52" t="n"/>
      <c r="J161" s="52" t="n"/>
      <c r="K161" s="52" t="n"/>
      <c r="L161" s="52" t="n"/>
      <c r="M161" s="52" t="n"/>
      <c r="N161" s="52" t="n"/>
      <c r="O161" s="52" t="n"/>
      <c r="P161" s="25">
        <f>IF($B161="","",SUM(D161:O161))</f>
        <v/>
      </c>
      <c r="Q161" s="52" t="n"/>
      <c r="R161" s="52" t="n"/>
      <c r="S161" s="52" t="n"/>
      <c r="T161" s="52" t="n"/>
      <c r="U161" s="52" t="n"/>
      <c r="V161" s="52" t="n"/>
      <c r="W161" s="52" t="n"/>
      <c r="X161" s="52" t="n"/>
      <c r="Y161" s="52" t="n"/>
      <c r="Z161" s="52" t="n"/>
      <c r="AA161" s="52" t="n"/>
      <c r="AB161" s="52" t="n"/>
      <c r="AC161" s="25">
        <f>IF($B161="","",SUM(Q161:AB161))</f>
        <v/>
      </c>
      <c r="AD161" s="25">
        <f>IF($B161="","",SUM(P161,AC161))</f>
        <v/>
      </c>
      <c r="AE161" s="37">
        <f>IF($B161="","",AD161*N(C161))</f>
        <v/>
      </c>
      <c r="AF161" s="53">
        <f>IF(Mitarbeiter!B161="","",Mitarbeiter!C161)</f>
        <v/>
      </c>
      <c r="AG161" s="53">
        <f>IF(OR(Mitarbeiter!B161="",Mitarbeiter!D161=""),"",Mitarbeiter!D161)</f>
        <v/>
      </c>
    </row>
    <row r="162">
      <c r="A162" s="49">
        <f>IF(Mitarbeiter!B162="","",Mitarbeiter!A162)</f>
        <v/>
      </c>
      <c r="B162" s="50">
        <f>IF(Mitarbeiter!B162="","",Mitarbeiter!B162)</f>
        <v/>
      </c>
      <c r="C162" s="51">
        <f>IF(Mitarbeiter!B162="","",Mitarbeiter!F162)</f>
        <v/>
      </c>
      <c r="D162" s="52" t="n"/>
      <c r="E162" s="52" t="n"/>
      <c r="F162" s="52" t="n"/>
      <c r="G162" s="52" t="n"/>
      <c r="H162" s="52" t="n"/>
      <c r="I162" s="52" t="n"/>
      <c r="J162" s="52" t="n"/>
      <c r="K162" s="52" t="n"/>
      <c r="L162" s="52" t="n"/>
      <c r="M162" s="52" t="n"/>
      <c r="N162" s="52" t="n"/>
      <c r="O162" s="52" t="n"/>
      <c r="P162" s="25">
        <f>IF($B162="","",SUM(D162:O162))</f>
        <v/>
      </c>
      <c r="Q162" s="52" t="n"/>
      <c r="R162" s="52" t="n"/>
      <c r="S162" s="52" t="n"/>
      <c r="T162" s="52" t="n"/>
      <c r="U162" s="52" t="n"/>
      <c r="V162" s="52" t="n"/>
      <c r="W162" s="52" t="n"/>
      <c r="X162" s="52" t="n"/>
      <c r="Y162" s="52" t="n"/>
      <c r="Z162" s="52" t="n"/>
      <c r="AA162" s="52" t="n"/>
      <c r="AB162" s="52" t="n"/>
      <c r="AC162" s="25">
        <f>IF($B162="","",SUM(Q162:AB162))</f>
        <v/>
      </c>
      <c r="AD162" s="25">
        <f>IF($B162="","",SUM(P162,AC162))</f>
        <v/>
      </c>
      <c r="AE162" s="37">
        <f>IF($B162="","",AD162*N(C162))</f>
        <v/>
      </c>
      <c r="AF162" s="53">
        <f>IF(Mitarbeiter!B162="","",Mitarbeiter!C162)</f>
        <v/>
      </c>
      <c r="AG162" s="53">
        <f>IF(OR(Mitarbeiter!B162="",Mitarbeiter!D162=""),"",Mitarbeiter!D162)</f>
        <v/>
      </c>
    </row>
    <row r="163">
      <c r="A163" s="49">
        <f>IF(Mitarbeiter!B163="","",Mitarbeiter!A163)</f>
        <v/>
      </c>
      <c r="B163" s="50">
        <f>IF(Mitarbeiter!B163="","",Mitarbeiter!B163)</f>
        <v/>
      </c>
      <c r="C163" s="51">
        <f>IF(Mitarbeiter!B163="","",Mitarbeiter!F163)</f>
        <v/>
      </c>
      <c r="D163" s="52" t="n"/>
      <c r="E163" s="52" t="n"/>
      <c r="F163" s="52" t="n"/>
      <c r="G163" s="52" t="n"/>
      <c r="H163" s="52" t="n"/>
      <c r="I163" s="52" t="n"/>
      <c r="J163" s="52" t="n"/>
      <c r="K163" s="52" t="n"/>
      <c r="L163" s="52" t="n"/>
      <c r="M163" s="52" t="n"/>
      <c r="N163" s="52" t="n"/>
      <c r="O163" s="52" t="n"/>
      <c r="P163" s="25">
        <f>IF($B163="","",SUM(D163:O163))</f>
        <v/>
      </c>
      <c r="Q163" s="52" t="n"/>
      <c r="R163" s="52" t="n"/>
      <c r="S163" s="52" t="n"/>
      <c r="T163" s="52" t="n"/>
      <c r="U163" s="52" t="n"/>
      <c r="V163" s="52" t="n"/>
      <c r="W163" s="52" t="n"/>
      <c r="X163" s="52" t="n"/>
      <c r="Y163" s="52" t="n"/>
      <c r="Z163" s="52" t="n"/>
      <c r="AA163" s="52" t="n"/>
      <c r="AB163" s="52" t="n"/>
      <c r="AC163" s="25">
        <f>IF($B163="","",SUM(Q163:AB163))</f>
        <v/>
      </c>
      <c r="AD163" s="25">
        <f>IF($B163="","",SUM(P163,AC163))</f>
        <v/>
      </c>
      <c r="AE163" s="37">
        <f>IF($B163="","",AD163*N(C163))</f>
        <v/>
      </c>
      <c r="AF163" s="53">
        <f>IF(Mitarbeiter!B163="","",Mitarbeiter!C163)</f>
        <v/>
      </c>
      <c r="AG163" s="53">
        <f>IF(OR(Mitarbeiter!B163="",Mitarbeiter!D163=""),"",Mitarbeiter!D163)</f>
        <v/>
      </c>
    </row>
    <row r="164">
      <c r="A164" s="49">
        <f>IF(Mitarbeiter!B164="","",Mitarbeiter!A164)</f>
        <v/>
      </c>
      <c r="B164" s="50">
        <f>IF(Mitarbeiter!B164="","",Mitarbeiter!B164)</f>
        <v/>
      </c>
      <c r="C164" s="51">
        <f>IF(Mitarbeiter!B164="","",Mitarbeiter!F164)</f>
        <v/>
      </c>
      <c r="D164" s="52" t="n"/>
      <c r="E164" s="52" t="n"/>
      <c r="F164" s="52" t="n"/>
      <c r="G164" s="52" t="n"/>
      <c r="H164" s="52" t="n"/>
      <c r="I164" s="52" t="n"/>
      <c r="J164" s="52" t="n"/>
      <c r="K164" s="52" t="n"/>
      <c r="L164" s="52" t="n"/>
      <c r="M164" s="52" t="n"/>
      <c r="N164" s="52" t="n"/>
      <c r="O164" s="52" t="n"/>
      <c r="P164" s="25">
        <f>IF($B164="","",SUM(D164:O164))</f>
        <v/>
      </c>
      <c r="Q164" s="52" t="n"/>
      <c r="R164" s="52" t="n"/>
      <c r="S164" s="52" t="n"/>
      <c r="T164" s="52" t="n"/>
      <c r="U164" s="52" t="n"/>
      <c r="V164" s="52" t="n"/>
      <c r="W164" s="52" t="n"/>
      <c r="X164" s="52" t="n"/>
      <c r="Y164" s="52" t="n"/>
      <c r="Z164" s="52" t="n"/>
      <c r="AA164" s="52" t="n"/>
      <c r="AB164" s="52" t="n"/>
      <c r="AC164" s="25">
        <f>IF($B164="","",SUM(Q164:AB164))</f>
        <v/>
      </c>
      <c r="AD164" s="25">
        <f>IF($B164="","",SUM(P164,AC164))</f>
        <v/>
      </c>
      <c r="AE164" s="37">
        <f>IF($B164="","",AD164*N(C164))</f>
        <v/>
      </c>
      <c r="AF164" s="53">
        <f>IF(Mitarbeiter!B164="","",Mitarbeiter!C164)</f>
        <v/>
      </c>
      <c r="AG164" s="53">
        <f>IF(OR(Mitarbeiter!B164="",Mitarbeiter!D164=""),"",Mitarbeiter!D164)</f>
        <v/>
      </c>
    </row>
    <row r="165">
      <c r="A165" s="49">
        <f>IF(Mitarbeiter!B165="","",Mitarbeiter!A165)</f>
        <v/>
      </c>
      <c r="B165" s="50">
        <f>IF(Mitarbeiter!B165="","",Mitarbeiter!B165)</f>
        <v/>
      </c>
      <c r="C165" s="51">
        <f>IF(Mitarbeiter!B165="","",Mitarbeiter!F165)</f>
        <v/>
      </c>
      <c r="D165" s="52" t="n"/>
      <c r="E165" s="52" t="n"/>
      <c r="F165" s="52" t="n"/>
      <c r="G165" s="52" t="n"/>
      <c r="H165" s="52" t="n"/>
      <c r="I165" s="52" t="n"/>
      <c r="J165" s="52" t="n"/>
      <c r="K165" s="52" t="n"/>
      <c r="L165" s="52" t="n"/>
      <c r="M165" s="52" t="n"/>
      <c r="N165" s="52" t="n"/>
      <c r="O165" s="52" t="n"/>
      <c r="P165" s="25">
        <f>IF($B165="","",SUM(D165:O165))</f>
        <v/>
      </c>
      <c r="Q165" s="52" t="n"/>
      <c r="R165" s="52" t="n"/>
      <c r="S165" s="52" t="n"/>
      <c r="T165" s="52" t="n"/>
      <c r="U165" s="52" t="n"/>
      <c r="V165" s="52" t="n"/>
      <c r="W165" s="52" t="n"/>
      <c r="X165" s="52" t="n"/>
      <c r="Y165" s="52" t="n"/>
      <c r="Z165" s="52" t="n"/>
      <c r="AA165" s="52" t="n"/>
      <c r="AB165" s="52" t="n"/>
      <c r="AC165" s="25">
        <f>IF($B165="","",SUM(Q165:AB165))</f>
        <v/>
      </c>
      <c r="AD165" s="25">
        <f>IF($B165="","",SUM(P165,AC165))</f>
        <v/>
      </c>
      <c r="AE165" s="37">
        <f>IF($B165="","",AD165*N(C165))</f>
        <v/>
      </c>
      <c r="AF165" s="53">
        <f>IF(Mitarbeiter!B165="","",Mitarbeiter!C165)</f>
        <v/>
      </c>
      <c r="AG165" s="53">
        <f>IF(OR(Mitarbeiter!B165="",Mitarbeiter!D165=""),"",Mitarbeiter!D165)</f>
        <v/>
      </c>
    </row>
    <row r="166">
      <c r="A166" s="49">
        <f>IF(Mitarbeiter!B166="","",Mitarbeiter!A166)</f>
        <v/>
      </c>
      <c r="B166" s="50">
        <f>IF(Mitarbeiter!B166="","",Mitarbeiter!B166)</f>
        <v/>
      </c>
      <c r="C166" s="51">
        <f>IF(Mitarbeiter!B166="","",Mitarbeiter!F166)</f>
        <v/>
      </c>
      <c r="D166" s="52" t="n"/>
      <c r="E166" s="52" t="n"/>
      <c r="F166" s="52" t="n"/>
      <c r="G166" s="52" t="n"/>
      <c r="H166" s="52" t="n"/>
      <c r="I166" s="52" t="n"/>
      <c r="J166" s="52" t="n"/>
      <c r="K166" s="52" t="n"/>
      <c r="L166" s="52" t="n"/>
      <c r="M166" s="52" t="n"/>
      <c r="N166" s="52" t="n"/>
      <c r="O166" s="52" t="n"/>
      <c r="P166" s="25">
        <f>IF($B166="","",SUM(D166:O166))</f>
        <v/>
      </c>
      <c r="Q166" s="52" t="n"/>
      <c r="R166" s="52" t="n"/>
      <c r="S166" s="52" t="n"/>
      <c r="T166" s="52" t="n"/>
      <c r="U166" s="52" t="n"/>
      <c r="V166" s="52" t="n"/>
      <c r="W166" s="52" t="n"/>
      <c r="X166" s="52" t="n"/>
      <c r="Y166" s="52" t="n"/>
      <c r="Z166" s="52" t="n"/>
      <c r="AA166" s="52" t="n"/>
      <c r="AB166" s="52" t="n"/>
      <c r="AC166" s="25">
        <f>IF($B166="","",SUM(Q166:AB166))</f>
        <v/>
      </c>
      <c r="AD166" s="25">
        <f>IF($B166="","",SUM(P166,AC166))</f>
        <v/>
      </c>
      <c r="AE166" s="37">
        <f>IF($B166="","",AD166*N(C166))</f>
        <v/>
      </c>
      <c r="AF166" s="53">
        <f>IF(Mitarbeiter!B166="","",Mitarbeiter!C166)</f>
        <v/>
      </c>
      <c r="AG166" s="53">
        <f>IF(OR(Mitarbeiter!B166="",Mitarbeiter!D166=""),"",Mitarbeiter!D166)</f>
        <v/>
      </c>
    </row>
    <row r="167">
      <c r="A167" s="49">
        <f>IF(Mitarbeiter!B167="","",Mitarbeiter!A167)</f>
        <v/>
      </c>
      <c r="B167" s="50">
        <f>IF(Mitarbeiter!B167="","",Mitarbeiter!B167)</f>
        <v/>
      </c>
      <c r="C167" s="51">
        <f>IF(Mitarbeiter!B167="","",Mitarbeiter!F167)</f>
        <v/>
      </c>
      <c r="D167" s="52" t="n"/>
      <c r="E167" s="52" t="n"/>
      <c r="F167" s="52" t="n"/>
      <c r="G167" s="52" t="n"/>
      <c r="H167" s="52" t="n"/>
      <c r="I167" s="52" t="n"/>
      <c r="J167" s="52" t="n"/>
      <c r="K167" s="52" t="n"/>
      <c r="L167" s="52" t="n"/>
      <c r="M167" s="52" t="n"/>
      <c r="N167" s="52" t="n"/>
      <c r="O167" s="52" t="n"/>
      <c r="P167" s="25">
        <f>IF($B167="","",SUM(D167:O167))</f>
        <v/>
      </c>
      <c r="Q167" s="52" t="n"/>
      <c r="R167" s="52" t="n"/>
      <c r="S167" s="52" t="n"/>
      <c r="T167" s="52" t="n"/>
      <c r="U167" s="52" t="n"/>
      <c r="V167" s="52" t="n"/>
      <c r="W167" s="52" t="n"/>
      <c r="X167" s="52" t="n"/>
      <c r="Y167" s="52" t="n"/>
      <c r="Z167" s="52" t="n"/>
      <c r="AA167" s="52" t="n"/>
      <c r="AB167" s="52" t="n"/>
      <c r="AC167" s="25">
        <f>IF($B167="","",SUM(Q167:AB167))</f>
        <v/>
      </c>
      <c r="AD167" s="25">
        <f>IF($B167="","",SUM(P167,AC167))</f>
        <v/>
      </c>
      <c r="AE167" s="37">
        <f>IF($B167="","",AD167*N(C167))</f>
        <v/>
      </c>
      <c r="AF167" s="53">
        <f>IF(Mitarbeiter!B167="","",Mitarbeiter!C167)</f>
        <v/>
      </c>
      <c r="AG167" s="53">
        <f>IF(OR(Mitarbeiter!B167="",Mitarbeiter!D167=""),"",Mitarbeiter!D167)</f>
        <v/>
      </c>
    </row>
    <row r="168">
      <c r="A168" s="49">
        <f>IF(Mitarbeiter!B168="","",Mitarbeiter!A168)</f>
        <v/>
      </c>
      <c r="B168" s="50">
        <f>IF(Mitarbeiter!B168="","",Mitarbeiter!B168)</f>
        <v/>
      </c>
      <c r="C168" s="51">
        <f>IF(Mitarbeiter!B168="","",Mitarbeiter!F168)</f>
        <v/>
      </c>
      <c r="D168" s="52" t="n"/>
      <c r="E168" s="52" t="n"/>
      <c r="F168" s="52" t="n"/>
      <c r="G168" s="52" t="n"/>
      <c r="H168" s="52" t="n"/>
      <c r="I168" s="52" t="n"/>
      <c r="J168" s="52" t="n"/>
      <c r="K168" s="52" t="n"/>
      <c r="L168" s="52" t="n"/>
      <c r="M168" s="52" t="n"/>
      <c r="N168" s="52" t="n"/>
      <c r="O168" s="52" t="n"/>
      <c r="P168" s="25">
        <f>IF($B168="","",SUM(D168:O168))</f>
        <v/>
      </c>
      <c r="Q168" s="52" t="n"/>
      <c r="R168" s="52" t="n"/>
      <c r="S168" s="52" t="n"/>
      <c r="T168" s="52" t="n"/>
      <c r="U168" s="52" t="n"/>
      <c r="V168" s="52" t="n"/>
      <c r="W168" s="52" t="n"/>
      <c r="X168" s="52" t="n"/>
      <c r="Y168" s="52" t="n"/>
      <c r="Z168" s="52" t="n"/>
      <c r="AA168" s="52" t="n"/>
      <c r="AB168" s="52" t="n"/>
      <c r="AC168" s="25">
        <f>IF($B168="","",SUM(Q168:AB168))</f>
        <v/>
      </c>
      <c r="AD168" s="25">
        <f>IF($B168="","",SUM(P168,AC168))</f>
        <v/>
      </c>
      <c r="AE168" s="37">
        <f>IF($B168="","",AD168*N(C168))</f>
        <v/>
      </c>
      <c r="AF168" s="53">
        <f>IF(Mitarbeiter!B168="","",Mitarbeiter!C168)</f>
        <v/>
      </c>
      <c r="AG168" s="53">
        <f>IF(OR(Mitarbeiter!B168="",Mitarbeiter!D168=""),"",Mitarbeiter!D168)</f>
        <v/>
      </c>
    </row>
    <row r="169">
      <c r="A169" s="49">
        <f>IF(Mitarbeiter!B169="","",Mitarbeiter!A169)</f>
        <v/>
      </c>
      <c r="B169" s="50">
        <f>IF(Mitarbeiter!B169="","",Mitarbeiter!B169)</f>
        <v/>
      </c>
      <c r="C169" s="51">
        <f>IF(Mitarbeiter!B169="","",Mitarbeiter!F169)</f>
        <v/>
      </c>
      <c r="D169" s="52" t="n"/>
      <c r="E169" s="52" t="n"/>
      <c r="F169" s="52" t="n"/>
      <c r="G169" s="52" t="n"/>
      <c r="H169" s="52" t="n"/>
      <c r="I169" s="52" t="n"/>
      <c r="J169" s="52" t="n"/>
      <c r="K169" s="52" t="n"/>
      <c r="L169" s="52" t="n"/>
      <c r="M169" s="52" t="n"/>
      <c r="N169" s="52" t="n"/>
      <c r="O169" s="52" t="n"/>
      <c r="P169" s="25">
        <f>IF($B169="","",SUM(D169:O169))</f>
        <v/>
      </c>
      <c r="Q169" s="52" t="n"/>
      <c r="R169" s="52" t="n"/>
      <c r="S169" s="52" t="n"/>
      <c r="T169" s="52" t="n"/>
      <c r="U169" s="52" t="n"/>
      <c r="V169" s="52" t="n"/>
      <c r="W169" s="52" t="n"/>
      <c r="X169" s="52" t="n"/>
      <c r="Y169" s="52" t="n"/>
      <c r="Z169" s="52" t="n"/>
      <c r="AA169" s="52" t="n"/>
      <c r="AB169" s="52" t="n"/>
      <c r="AC169" s="25">
        <f>IF($B169="","",SUM(Q169:AB169))</f>
        <v/>
      </c>
      <c r="AD169" s="25">
        <f>IF($B169="","",SUM(P169,AC169))</f>
        <v/>
      </c>
      <c r="AE169" s="37">
        <f>IF($B169="","",AD169*N(C169))</f>
        <v/>
      </c>
      <c r="AF169" s="53">
        <f>IF(Mitarbeiter!B169="","",Mitarbeiter!C169)</f>
        <v/>
      </c>
      <c r="AG169" s="53">
        <f>IF(OR(Mitarbeiter!B169="",Mitarbeiter!D169=""),"",Mitarbeiter!D169)</f>
        <v/>
      </c>
    </row>
    <row r="170">
      <c r="A170" s="49">
        <f>IF(Mitarbeiter!B170="","",Mitarbeiter!A170)</f>
        <v/>
      </c>
      <c r="B170" s="50">
        <f>IF(Mitarbeiter!B170="","",Mitarbeiter!B170)</f>
        <v/>
      </c>
      <c r="C170" s="51">
        <f>IF(Mitarbeiter!B170="","",Mitarbeiter!F170)</f>
        <v/>
      </c>
      <c r="D170" s="52" t="n"/>
      <c r="E170" s="52" t="n"/>
      <c r="F170" s="52" t="n"/>
      <c r="G170" s="52" t="n"/>
      <c r="H170" s="52" t="n"/>
      <c r="I170" s="52" t="n"/>
      <c r="J170" s="52" t="n"/>
      <c r="K170" s="52" t="n"/>
      <c r="L170" s="52" t="n"/>
      <c r="M170" s="52" t="n"/>
      <c r="N170" s="52" t="n"/>
      <c r="O170" s="52" t="n"/>
      <c r="P170" s="25">
        <f>IF($B170="","",SUM(D170:O170))</f>
        <v/>
      </c>
      <c r="Q170" s="52" t="n"/>
      <c r="R170" s="52" t="n"/>
      <c r="S170" s="52" t="n"/>
      <c r="T170" s="52" t="n"/>
      <c r="U170" s="52" t="n"/>
      <c r="V170" s="52" t="n"/>
      <c r="W170" s="52" t="n"/>
      <c r="X170" s="52" t="n"/>
      <c r="Y170" s="52" t="n"/>
      <c r="Z170" s="52" t="n"/>
      <c r="AA170" s="52" t="n"/>
      <c r="AB170" s="52" t="n"/>
      <c r="AC170" s="25">
        <f>IF($B170="","",SUM(Q170:AB170))</f>
        <v/>
      </c>
      <c r="AD170" s="25">
        <f>IF($B170="","",SUM(P170,AC170))</f>
        <v/>
      </c>
      <c r="AE170" s="37">
        <f>IF($B170="","",AD170*N(C170))</f>
        <v/>
      </c>
      <c r="AF170" s="53">
        <f>IF(Mitarbeiter!B170="","",Mitarbeiter!C170)</f>
        <v/>
      </c>
      <c r="AG170" s="53">
        <f>IF(OR(Mitarbeiter!B170="",Mitarbeiter!D170=""),"",Mitarbeiter!D170)</f>
        <v/>
      </c>
    </row>
    <row r="171">
      <c r="A171" s="49">
        <f>IF(Mitarbeiter!B171="","",Mitarbeiter!A171)</f>
        <v/>
      </c>
      <c r="B171" s="50">
        <f>IF(Mitarbeiter!B171="","",Mitarbeiter!B171)</f>
        <v/>
      </c>
      <c r="C171" s="51">
        <f>IF(Mitarbeiter!B171="","",Mitarbeiter!F171)</f>
        <v/>
      </c>
      <c r="D171" s="52" t="n"/>
      <c r="E171" s="52" t="n"/>
      <c r="F171" s="52" t="n"/>
      <c r="G171" s="52" t="n"/>
      <c r="H171" s="52" t="n"/>
      <c r="I171" s="52" t="n"/>
      <c r="J171" s="52" t="n"/>
      <c r="K171" s="52" t="n"/>
      <c r="L171" s="52" t="n"/>
      <c r="M171" s="52" t="n"/>
      <c r="N171" s="52" t="n"/>
      <c r="O171" s="52" t="n"/>
      <c r="P171" s="25">
        <f>IF($B171="","",SUM(D171:O171))</f>
        <v/>
      </c>
      <c r="Q171" s="52" t="n"/>
      <c r="R171" s="52" t="n"/>
      <c r="S171" s="52" t="n"/>
      <c r="T171" s="52" t="n"/>
      <c r="U171" s="52" t="n"/>
      <c r="V171" s="52" t="n"/>
      <c r="W171" s="52" t="n"/>
      <c r="X171" s="52" t="n"/>
      <c r="Y171" s="52" t="n"/>
      <c r="Z171" s="52" t="n"/>
      <c r="AA171" s="52" t="n"/>
      <c r="AB171" s="52" t="n"/>
      <c r="AC171" s="25">
        <f>IF($B171="","",SUM(Q171:AB171))</f>
        <v/>
      </c>
      <c r="AD171" s="25">
        <f>IF($B171="","",SUM(P171,AC171))</f>
        <v/>
      </c>
      <c r="AE171" s="37">
        <f>IF($B171="","",AD171*N(C171))</f>
        <v/>
      </c>
      <c r="AF171" s="53">
        <f>IF(Mitarbeiter!B171="","",Mitarbeiter!C171)</f>
        <v/>
      </c>
      <c r="AG171" s="53">
        <f>IF(OR(Mitarbeiter!B171="",Mitarbeiter!D171=""),"",Mitarbeiter!D171)</f>
        <v/>
      </c>
    </row>
    <row r="172">
      <c r="A172" s="49">
        <f>IF(Mitarbeiter!B172="","",Mitarbeiter!A172)</f>
        <v/>
      </c>
      <c r="B172" s="50">
        <f>IF(Mitarbeiter!B172="","",Mitarbeiter!B172)</f>
        <v/>
      </c>
      <c r="C172" s="51">
        <f>IF(Mitarbeiter!B172="","",Mitarbeiter!F172)</f>
        <v/>
      </c>
      <c r="D172" s="52" t="n"/>
      <c r="E172" s="52" t="n"/>
      <c r="F172" s="52" t="n"/>
      <c r="G172" s="52" t="n"/>
      <c r="H172" s="52" t="n"/>
      <c r="I172" s="52" t="n"/>
      <c r="J172" s="52" t="n"/>
      <c r="K172" s="52" t="n"/>
      <c r="L172" s="52" t="n"/>
      <c r="M172" s="52" t="n"/>
      <c r="N172" s="52" t="n"/>
      <c r="O172" s="52" t="n"/>
      <c r="P172" s="25">
        <f>IF($B172="","",SUM(D172:O172))</f>
        <v/>
      </c>
      <c r="Q172" s="52" t="n"/>
      <c r="R172" s="52" t="n"/>
      <c r="S172" s="52" t="n"/>
      <c r="T172" s="52" t="n"/>
      <c r="U172" s="52" t="n"/>
      <c r="V172" s="52" t="n"/>
      <c r="W172" s="52" t="n"/>
      <c r="X172" s="52" t="n"/>
      <c r="Y172" s="52" t="n"/>
      <c r="Z172" s="52" t="n"/>
      <c r="AA172" s="52" t="n"/>
      <c r="AB172" s="52" t="n"/>
      <c r="AC172" s="25">
        <f>IF($B172="","",SUM(Q172:AB172))</f>
        <v/>
      </c>
      <c r="AD172" s="25">
        <f>IF($B172="","",SUM(P172,AC172))</f>
        <v/>
      </c>
      <c r="AE172" s="37">
        <f>IF($B172="","",AD172*N(C172))</f>
        <v/>
      </c>
      <c r="AF172" s="53">
        <f>IF(Mitarbeiter!B172="","",Mitarbeiter!C172)</f>
        <v/>
      </c>
      <c r="AG172" s="53">
        <f>IF(OR(Mitarbeiter!B172="",Mitarbeiter!D172=""),"",Mitarbeiter!D172)</f>
        <v/>
      </c>
    </row>
    <row r="173">
      <c r="A173" s="49">
        <f>IF(Mitarbeiter!B173="","",Mitarbeiter!A173)</f>
        <v/>
      </c>
      <c r="B173" s="50">
        <f>IF(Mitarbeiter!B173="","",Mitarbeiter!B173)</f>
        <v/>
      </c>
      <c r="C173" s="51">
        <f>IF(Mitarbeiter!B173="","",Mitarbeiter!F173)</f>
        <v/>
      </c>
      <c r="D173" s="52" t="n"/>
      <c r="E173" s="52" t="n"/>
      <c r="F173" s="52" t="n"/>
      <c r="G173" s="52" t="n"/>
      <c r="H173" s="52" t="n"/>
      <c r="I173" s="52" t="n"/>
      <c r="J173" s="52" t="n"/>
      <c r="K173" s="52" t="n"/>
      <c r="L173" s="52" t="n"/>
      <c r="M173" s="52" t="n"/>
      <c r="N173" s="52" t="n"/>
      <c r="O173" s="52" t="n"/>
      <c r="P173" s="25">
        <f>IF($B173="","",SUM(D173:O173))</f>
        <v/>
      </c>
      <c r="Q173" s="52" t="n"/>
      <c r="R173" s="52" t="n"/>
      <c r="S173" s="52" t="n"/>
      <c r="T173" s="52" t="n"/>
      <c r="U173" s="52" t="n"/>
      <c r="V173" s="52" t="n"/>
      <c r="W173" s="52" t="n"/>
      <c r="X173" s="52" t="n"/>
      <c r="Y173" s="52" t="n"/>
      <c r="Z173" s="52" t="n"/>
      <c r="AA173" s="52" t="n"/>
      <c r="AB173" s="52" t="n"/>
      <c r="AC173" s="25">
        <f>IF($B173="","",SUM(Q173:AB173))</f>
        <v/>
      </c>
      <c r="AD173" s="25">
        <f>IF($B173="","",SUM(P173,AC173))</f>
        <v/>
      </c>
      <c r="AE173" s="37">
        <f>IF($B173="","",AD173*N(C173))</f>
        <v/>
      </c>
      <c r="AF173" s="53">
        <f>IF(Mitarbeiter!B173="","",Mitarbeiter!C173)</f>
        <v/>
      </c>
      <c r="AG173" s="53">
        <f>IF(OR(Mitarbeiter!B173="",Mitarbeiter!D173=""),"",Mitarbeiter!D173)</f>
        <v/>
      </c>
    </row>
    <row r="174">
      <c r="A174" s="49">
        <f>IF(Mitarbeiter!B174="","",Mitarbeiter!A174)</f>
        <v/>
      </c>
      <c r="B174" s="50">
        <f>IF(Mitarbeiter!B174="","",Mitarbeiter!B174)</f>
        <v/>
      </c>
      <c r="C174" s="51">
        <f>IF(Mitarbeiter!B174="","",Mitarbeiter!F174)</f>
        <v/>
      </c>
      <c r="D174" s="52" t="n"/>
      <c r="E174" s="52" t="n"/>
      <c r="F174" s="52" t="n"/>
      <c r="G174" s="52" t="n"/>
      <c r="H174" s="52" t="n"/>
      <c r="I174" s="52" t="n"/>
      <c r="J174" s="52" t="n"/>
      <c r="K174" s="52" t="n"/>
      <c r="L174" s="52" t="n"/>
      <c r="M174" s="52" t="n"/>
      <c r="N174" s="52" t="n"/>
      <c r="O174" s="52" t="n"/>
      <c r="P174" s="25">
        <f>IF($B174="","",SUM(D174:O174))</f>
        <v/>
      </c>
      <c r="Q174" s="52" t="n"/>
      <c r="R174" s="52" t="n"/>
      <c r="S174" s="52" t="n"/>
      <c r="T174" s="52" t="n"/>
      <c r="U174" s="52" t="n"/>
      <c r="V174" s="52" t="n"/>
      <c r="W174" s="52" t="n"/>
      <c r="X174" s="52" t="n"/>
      <c r="Y174" s="52" t="n"/>
      <c r="Z174" s="52" t="n"/>
      <c r="AA174" s="52" t="n"/>
      <c r="AB174" s="52" t="n"/>
      <c r="AC174" s="25">
        <f>IF($B174="","",SUM(Q174:AB174))</f>
        <v/>
      </c>
      <c r="AD174" s="25">
        <f>IF($B174="","",SUM(P174,AC174))</f>
        <v/>
      </c>
      <c r="AE174" s="37">
        <f>IF($B174="","",AD174*N(C174))</f>
        <v/>
      </c>
      <c r="AF174" s="53">
        <f>IF(Mitarbeiter!B174="","",Mitarbeiter!C174)</f>
        <v/>
      </c>
      <c r="AG174" s="53">
        <f>IF(OR(Mitarbeiter!B174="",Mitarbeiter!D174=""),"",Mitarbeiter!D174)</f>
        <v/>
      </c>
    </row>
    <row r="175">
      <c r="A175" s="49">
        <f>IF(Mitarbeiter!B175="","",Mitarbeiter!A175)</f>
        <v/>
      </c>
      <c r="B175" s="50">
        <f>IF(Mitarbeiter!B175="","",Mitarbeiter!B175)</f>
        <v/>
      </c>
      <c r="C175" s="51">
        <f>IF(Mitarbeiter!B175="","",Mitarbeiter!F175)</f>
        <v/>
      </c>
      <c r="D175" s="52" t="n"/>
      <c r="E175" s="52" t="n"/>
      <c r="F175" s="52" t="n"/>
      <c r="G175" s="52" t="n"/>
      <c r="H175" s="52" t="n"/>
      <c r="I175" s="52" t="n"/>
      <c r="J175" s="52" t="n"/>
      <c r="K175" s="52" t="n"/>
      <c r="L175" s="52" t="n"/>
      <c r="M175" s="52" t="n"/>
      <c r="N175" s="52" t="n"/>
      <c r="O175" s="52" t="n"/>
      <c r="P175" s="25">
        <f>IF($B175="","",SUM(D175:O175))</f>
        <v/>
      </c>
      <c r="Q175" s="52" t="n"/>
      <c r="R175" s="52" t="n"/>
      <c r="S175" s="52" t="n"/>
      <c r="T175" s="52" t="n"/>
      <c r="U175" s="52" t="n"/>
      <c r="V175" s="52" t="n"/>
      <c r="W175" s="52" t="n"/>
      <c r="X175" s="52" t="n"/>
      <c r="Y175" s="52" t="n"/>
      <c r="Z175" s="52" t="n"/>
      <c r="AA175" s="52" t="n"/>
      <c r="AB175" s="52" t="n"/>
      <c r="AC175" s="25">
        <f>IF($B175="","",SUM(Q175:AB175))</f>
        <v/>
      </c>
      <c r="AD175" s="25">
        <f>IF($B175="","",SUM(P175,AC175))</f>
        <v/>
      </c>
      <c r="AE175" s="37">
        <f>IF($B175="","",AD175*N(C175))</f>
        <v/>
      </c>
      <c r="AF175" s="53">
        <f>IF(Mitarbeiter!B175="","",Mitarbeiter!C175)</f>
        <v/>
      </c>
      <c r="AG175" s="53">
        <f>IF(OR(Mitarbeiter!B175="",Mitarbeiter!D175=""),"",Mitarbeiter!D175)</f>
        <v/>
      </c>
    </row>
    <row r="176">
      <c r="A176" s="49">
        <f>IF(Mitarbeiter!B176="","",Mitarbeiter!A176)</f>
        <v/>
      </c>
      <c r="B176" s="50">
        <f>IF(Mitarbeiter!B176="","",Mitarbeiter!B176)</f>
        <v/>
      </c>
      <c r="C176" s="51">
        <f>IF(Mitarbeiter!B176="","",Mitarbeiter!F176)</f>
        <v/>
      </c>
      <c r="D176" s="52" t="n"/>
      <c r="E176" s="52" t="n"/>
      <c r="F176" s="52" t="n"/>
      <c r="G176" s="52" t="n"/>
      <c r="H176" s="52" t="n"/>
      <c r="I176" s="52" t="n"/>
      <c r="J176" s="52" t="n"/>
      <c r="K176" s="52" t="n"/>
      <c r="L176" s="52" t="n"/>
      <c r="M176" s="52" t="n"/>
      <c r="N176" s="52" t="n"/>
      <c r="O176" s="52" t="n"/>
      <c r="P176" s="25">
        <f>IF($B176="","",SUM(D176:O176))</f>
        <v/>
      </c>
      <c r="Q176" s="52" t="n"/>
      <c r="R176" s="52" t="n"/>
      <c r="S176" s="52" t="n"/>
      <c r="T176" s="52" t="n"/>
      <c r="U176" s="52" t="n"/>
      <c r="V176" s="52" t="n"/>
      <c r="W176" s="52" t="n"/>
      <c r="X176" s="52" t="n"/>
      <c r="Y176" s="52" t="n"/>
      <c r="Z176" s="52" t="n"/>
      <c r="AA176" s="52" t="n"/>
      <c r="AB176" s="52" t="n"/>
      <c r="AC176" s="25">
        <f>IF($B176="","",SUM(Q176:AB176))</f>
        <v/>
      </c>
      <c r="AD176" s="25">
        <f>IF($B176="","",SUM(P176,AC176))</f>
        <v/>
      </c>
      <c r="AE176" s="37">
        <f>IF($B176="","",AD176*N(C176))</f>
        <v/>
      </c>
      <c r="AF176" s="53">
        <f>IF(Mitarbeiter!B176="","",Mitarbeiter!C176)</f>
        <v/>
      </c>
      <c r="AG176" s="53">
        <f>IF(OR(Mitarbeiter!B176="",Mitarbeiter!D176=""),"",Mitarbeiter!D176)</f>
        <v/>
      </c>
    </row>
    <row r="177">
      <c r="A177" s="49">
        <f>IF(Mitarbeiter!B177="","",Mitarbeiter!A177)</f>
        <v/>
      </c>
      <c r="B177" s="50">
        <f>IF(Mitarbeiter!B177="","",Mitarbeiter!B177)</f>
        <v/>
      </c>
      <c r="C177" s="51">
        <f>IF(Mitarbeiter!B177="","",Mitarbeiter!F177)</f>
        <v/>
      </c>
      <c r="D177" s="52" t="n"/>
      <c r="E177" s="52" t="n"/>
      <c r="F177" s="52" t="n"/>
      <c r="G177" s="52" t="n"/>
      <c r="H177" s="52" t="n"/>
      <c r="I177" s="52" t="n"/>
      <c r="J177" s="52" t="n"/>
      <c r="K177" s="52" t="n"/>
      <c r="L177" s="52" t="n"/>
      <c r="M177" s="52" t="n"/>
      <c r="N177" s="52" t="n"/>
      <c r="O177" s="52" t="n"/>
      <c r="P177" s="25">
        <f>IF($B177="","",SUM(D177:O177))</f>
        <v/>
      </c>
      <c r="Q177" s="52" t="n"/>
      <c r="R177" s="52" t="n"/>
      <c r="S177" s="52" t="n"/>
      <c r="T177" s="52" t="n"/>
      <c r="U177" s="52" t="n"/>
      <c r="V177" s="52" t="n"/>
      <c r="W177" s="52" t="n"/>
      <c r="X177" s="52" t="n"/>
      <c r="Y177" s="52" t="n"/>
      <c r="Z177" s="52" t="n"/>
      <c r="AA177" s="52" t="n"/>
      <c r="AB177" s="52" t="n"/>
      <c r="AC177" s="25">
        <f>IF($B177="","",SUM(Q177:AB177))</f>
        <v/>
      </c>
      <c r="AD177" s="25">
        <f>IF($B177="","",SUM(P177,AC177))</f>
        <v/>
      </c>
      <c r="AE177" s="37">
        <f>IF($B177="","",AD177*N(C177))</f>
        <v/>
      </c>
      <c r="AF177" s="53">
        <f>IF(Mitarbeiter!B177="","",Mitarbeiter!C177)</f>
        <v/>
      </c>
      <c r="AG177" s="53">
        <f>IF(OR(Mitarbeiter!B177="",Mitarbeiter!D177=""),"",Mitarbeiter!D177)</f>
        <v/>
      </c>
    </row>
    <row r="178">
      <c r="A178" s="49">
        <f>IF(Mitarbeiter!B178="","",Mitarbeiter!A178)</f>
        <v/>
      </c>
      <c r="B178" s="50">
        <f>IF(Mitarbeiter!B178="","",Mitarbeiter!B178)</f>
        <v/>
      </c>
      <c r="C178" s="51">
        <f>IF(Mitarbeiter!B178="","",Mitarbeiter!F178)</f>
        <v/>
      </c>
      <c r="D178" s="52" t="n"/>
      <c r="E178" s="52" t="n"/>
      <c r="F178" s="52" t="n"/>
      <c r="G178" s="52" t="n"/>
      <c r="H178" s="52" t="n"/>
      <c r="I178" s="52" t="n"/>
      <c r="J178" s="52" t="n"/>
      <c r="K178" s="52" t="n"/>
      <c r="L178" s="52" t="n"/>
      <c r="M178" s="52" t="n"/>
      <c r="N178" s="52" t="n"/>
      <c r="O178" s="52" t="n"/>
      <c r="P178" s="25">
        <f>IF($B178="","",SUM(D178:O178))</f>
        <v/>
      </c>
      <c r="Q178" s="52" t="n"/>
      <c r="R178" s="52" t="n"/>
      <c r="S178" s="52" t="n"/>
      <c r="T178" s="52" t="n"/>
      <c r="U178" s="52" t="n"/>
      <c r="V178" s="52" t="n"/>
      <c r="W178" s="52" t="n"/>
      <c r="X178" s="52" t="n"/>
      <c r="Y178" s="52" t="n"/>
      <c r="Z178" s="52" t="n"/>
      <c r="AA178" s="52" t="n"/>
      <c r="AB178" s="52" t="n"/>
      <c r="AC178" s="25">
        <f>IF($B178="","",SUM(Q178:AB178))</f>
        <v/>
      </c>
      <c r="AD178" s="25">
        <f>IF($B178="","",SUM(P178,AC178))</f>
        <v/>
      </c>
      <c r="AE178" s="37">
        <f>IF($B178="","",AD178*N(C178))</f>
        <v/>
      </c>
      <c r="AF178" s="53">
        <f>IF(Mitarbeiter!B178="","",Mitarbeiter!C178)</f>
        <v/>
      </c>
      <c r="AG178" s="53">
        <f>IF(OR(Mitarbeiter!B178="",Mitarbeiter!D178=""),"",Mitarbeiter!D178)</f>
        <v/>
      </c>
    </row>
    <row r="179">
      <c r="A179" s="49">
        <f>IF(Mitarbeiter!B179="","",Mitarbeiter!A179)</f>
        <v/>
      </c>
      <c r="B179" s="50">
        <f>IF(Mitarbeiter!B179="","",Mitarbeiter!B179)</f>
        <v/>
      </c>
      <c r="C179" s="51">
        <f>IF(Mitarbeiter!B179="","",Mitarbeiter!F179)</f>
        <v/>
      </c>
      <c r="D179" s="52" t="n"/>
      <c r="E179" s="52" t="n"/>
      <c r="F179" s="52" t="n"/>
      <c r="G179" s="52" t="n"/>
      <c r="H179" s="52" t="n"/>
      <c r="I179" s="52" t="n"/>
      <c r="J179" s="52" t="n"/>
      <c r="K179" s="52" t="n"/>
      <c r="L179" s="52" t="n"/>
      <c r="M179" s="52" t="n"/>
      <c r="N179" s="52" t="n"/>
      <c r="O179" s="52" t="n"/>
      <c r="P179" s="25">
        <f>IF($B179="","",SUM(D179:O179))</f>
        <v/>
      </c>
      <c r="Q179" s="52" t="n"/>
      <c r="R179" s="52" t="n"/>
      <c r="S179" s="52" t="n"/>
      <c r="T179" s="52" t="n"/>
      <c r="U179" s="52" t="n"/>
      <c r="V179" s="52" t="n"/>
      <c r="W179" s="52" t="n"/>
      <c r="X179" s="52" t="n"/>
      <c r="Y179" s="52" t="n"/>
      <c r="Z179" s="52" t="n"/>
      <c r="AA179" s="52" t="n"/>
      <c r="AB179" s="52" t="n"/>
      <c r="AC179" s="25">
        <f>IF($B179="","",SUM(Q179:AB179))</f>
        <v/>
      </c>
      <c r="AD179" s="25">
        <f>IF($B179="","",SUM(P179,AC179))</f>
        <v/>
      </c>
      <c r="AE179" s="37">
        <f>IF($B179="","",AD179*N(C179))</f>
        <v/>
      </c>
      <c r="AF179" s="53">
        <f>IF(Mitarbeiter!B179="","",Mitarbeiter!C179)</f>
        <v/>
      </c>
      <c r="AG179" s="53">
        <f>IF(OR(Mitarbeiter!B179="",Mitarbeiter!D179=""),"",Mitarbeiter!D179)</f>
        <v/>
      </c>
    </row>
    <row r="180">
      <c r="A180" s="49">
        <f>IF(Mitarbeiter!B180="","",Mitarbeiter!A180)</f>
        <v/>
      </c>
      <c r="B180" s="50">
        <f>IF(Mitarbeiter!B180="","",Mitarbeiter!B180)</f>
        <v/>
      </c>
      <c r="C180" s="51">
        <f>IF(Mitarbeiter!B180="","",Mitarbeiter!F180)</f>
        <v/>
      </c>
      <c r="D180" s="52" t="n"/>
      <c r="E180" s="52" t="n"/>
      <c r="F180" s="52" t="n"/>
      <c r="G180" s="52" t="n"/>
      <c r="H180" s="52" t="n"/>
      <c r="I180" s="52" t="n"/>
      <c r="J180" s="52" t="n"/>
      <c r="K180" s="52" t="n"/>
      <c r="L180" s="52" t="n"/>
      <c r="M180" s="52" t="n"/>
      <c r="N180" s="52" t="n"/>
      <c r="O180" s="52" t="n"/>
      <c r="P180" s="25">
        <f>IF($B180="","",SUM(D180:O180))</f>
        <v/>
      </c>
      <c r="Q180" s="52" t="n"/>
      <c r="R180" s="52" t="n"/>
      <c r="S180" s="52" t="n"/>
      <c r="T180" s="52" t="n"/>
      <c r="U180" s="52" t="n"/>
      <c r="V180" s="52" t="n"/>
      <c r="W180" s="52" t="n"/>
      <c r="X180" s="52" t="n"/>
      <c r="Y180" s="52" t="n"/>
      <c r="Z180" s="52" t="n"/>
      <c r="AA180" s="52" t="n"/>
      <c r="AB180" s="52" t="n"/>
      <c r="AC180" s="25">
        <f>IF($B180="","",SUM(Q180:AB180))</f>
        <v/>
      </c>
      <c r="AD180" s="25">
        <f>IF($B180="","",SUM(P180,AC180))</f>
        <v/>
      </c>
      <c r="AE180" s="37">
        <f>IF($B180="","",AD180*N(C180))</f>
        <v/>
      </c>
      <c r="AF180" s="53">
        <f>IF(Mitarbeiter!B180="","",Mitarbeiter!C180)</f>
        <v/>
      </c>
      <c r="AG180" s="53">
        <f>IF(OR(Mitarbeiter!B180="",Mitarbeiter!D180=""),"",Mitarbeiter!D180)</f>
        <v/>
      </c>
    </row>
    <row r="181">
      <c r="A181" s="49">
        <f>IF(Mitarbeiter!B181="","",Mitarbeiter!A181)</f>
        <v/>
      </c>
      <c r="B181" s="50">
        <f>IF(Mitarbeiter!B181="","",Mitarbeiter!B181)</f>
        <v/>
      </c>
      <c r="C181" s="51">
        <f>IF(Mitarbeiter!B181="","",Mitarbeiter!F181)</f>
        <v/>
      </c>
      <c r="D181" s="52" t="n"/>
      <c r="E181" s="52" t="n"/>
      <c r="F181" s="52" t="n"/>
      <c r="G181" s="52" t="n"/>
      <c r="H181" s="52" t="n"/>
      <c r="I181" s="52" t="n"/>
      <c r="J181" s="52" t="n"/>
      <c r="K181" s="52" t="n"/>
      <c r="L181" s="52" t="n"/>
      <c r="M181" s="52" t="n"/>
      <c r="N181" s="52" t="n"/>
      <c r="O181" s="52" t="n"/>
      <c r="P181" s="25">
        <f>IF($B181="","",SUM(D181:O181))</f>
        <v/>
      </c>
      <c r="Q181" s="52" t="n"/>
      <c r="R181" s="52" t="n"/>
      <c r="S181" s="52" t="n"/>
      <c r="T181" s="52" t="n"/>
      <c r="U181" s="52" t="n"/>
      <c r="V181" s="52" t="n"/>
      <c r="W181" s="52" t="n"/>
      <c r="X181" s="52" t="n"/>
      <c r="Y181" s="52" t="n"/>
      <c r="Z181" s="52" t="n"/>
      <c r="AA181" s="52" t="n"/>
      <c r="AB181" s="52" t="n"/>
      <c r="AC181" s="25">
        <f>IF($B181="","",SUM(Q181:AB181))</f>
        <v/>
      </c>
      <c r="AD181" s="25">
        <f>IF($B181="","",SUM(P181,AC181))</f>
        <v/>
      </c>
      <c r="AE181" s="37">
        <f>IF($B181="","",AD181*N(C181))</f>
        <v/>
      </c>
      <c r="AF181" s="53">
        <f>IF(Mitarbeiter!B181="","",Mitarbeiter!C181)</f>
        <v/>
      </c>
      <c r="AG181" s="53">
        <f>IF(OR(Mitarbeiter!B181="",Mitarbeiter!D181=""),"",Mitarbeiter!D181)</f>
        <v/>
      </c>
    </row>
    <row r="182">
      <c r="A182" s="49">
        <f>IF(Mitarbeiter!B182="","",Mitarbeiter!A182)</f>
        <v/>
      </c>
      <c r="B182" s="50">
        <f>IF(Mitarbeiter!B182="","",Mitarbeiter!B182)</f>
        <v/>
      </c>
      <c r="C182" s="51">
        <f>IF(Mitarbeiter!B182="","",Mitarbeiter!F182)</f>
        <v/>
      </c>
      <c r="D182" s="52" t="n"/>
      <c r="E182" s="52" t="n"/>
      <c r="F182" s="52" t="n"/>
      <c r="G182" s="52" t="n"/>
      <c r="H182" s="52" t="n"/>
      <c r="I182" s="52" t="n"/>
      <c r="J182" s="52" t="n"/>
      <c r="K182" s="52" t="n"/>
      <c r="L182" s="52" t="n"/>
      <c r="M182" s="52" t="n"/>
      <c r="N182" s="52" t="n"/>
      <c r="O182" s="52" t="n"/>
      <c r="P182" s="25">
        <f>IF($B182="","",SUM(D182:O182))</f>
        <v/>
      </c>
      <c r="Q182" s="52" t="n"/>
      <c r="R182" s="52" t="n"/>
      <c r="S182" s="52" t="n"/>
      <c r="T182" s="52" t="n"/>
      <c r="U182" s="52" t="n"/>
      <c r="V182" s="52" t="n"/>
      <c r="W182" s="52" t="n"/>
      <c r="X182" s="52" t="n"/>
      <c r="Y182" s="52" t="n"/>
      <c r="Z182" s="52" t="n"/>
      <c r="AA182" s="52" t="n"/>
      <c r="AB182" s="52" t="n"/>
      <c r="AC182" s="25">
        <f>IF($B182="","",SUM(Q182:AB182))</f>
        <v/>
      </c>
      <c r="AD182" s="25">
        <f>IF($B182="","",SUM(P182,AC182))</f>
        <v/>
      </c>
      <c r="AE182" s="37">
        <f>IF($B182="","",AD182*N(C182))</f>
        <v/>
      </c>
      <c r="AF182" s="53">
        <f>IF(Mitarbeiter!B182="","",Mitarbeiter!C182)</f>
        <v/>
      </c>
      <c r="AG182" s="53">
        <f>IF(OR(Mitarbeiter!B182="",Mitarbeiter!D182=""),"",Mitarbeiter!D182)</f>
        <v/>
      </c>
    </row>
    <row r="183">
      <c r="A183" s="49">
        <f>IF(Mitarbeiter!B183="","",Mitarbeiter!A183)</f>
        <v/>
      </c>
      <c r="B183" s="50">
        <f>IF(Mitarbeiter!B183="","",Mitarbeiter!B183)</f>
        <v/>
      </c>
      <c r="C183" s="51">
        <f>IF(Mitarbeiter!B183="","",Mitarbeiter!F183)</f>
        <v/>
      </c>
      <c r="D183" s="52" t="n"/>
      <c r="E183" s="52" t="n"/>
      <c r="F183" s="52" t="n"/>
      <c r="G183" s="52" t="n"/>
      <c r="H183" s="52" t="n"/>
      <c r="I183" s="52" t="n"/>
      <c r="J183" s="52" t="n"/>
      <c r="K183" s="52" t="n"/>
      <c r="L183" s="52" t="n"/>
      <c r="M183" s="52" t="n"/>
      <c r="N183" s="52" t="n"/>
      <c r="O183" s="52" t="n"/>
      <c r="P183" s="25">
        <f>IF($B183="","",SUM(D183:O183))</f>
        <v/>
      </c>
      <c r="Q183" s="52" t="n"/>
      <c r="R183" s="52" t="n"/>
      <c r="S183" s="52" t="n"/>
      <c r="T183" s="52" t="n"/>
      <c r="U183" s="52" t="n"/>
      <c r="V183" s="52" t="n"/>
      <c r="W183" s="52" t="n"/>
      <c r="X183" s="52" t="n"/>
      <c r="Y183" s="52" t="n"/>
      <c r="Z183" s="52" t="n"/>
      <c r="AA183" s="52" t="n"/>
      <c r="AB183" s="52" t="n"/>
      <c r="AC183" s="25">
        <f>IF($B183="","",SUM(Q183:AB183))</f>
        <v/>
      </c>
      <c r="AD183" s="25">
        <f>IF($B183="","",SUM(P183,AC183))</f>
        <v/>
      </c>
      <c r="AE183" s="37">
        <f>IF($B183="","",AD183*N(C183))</f>
        <v/>
      </c>
      <c r="AF183" s="53">
        <f>IF(Mitarbeiter!B183="","",Mitarbeiter!C183)</f>
        <v/>
      </c>
      <c r="AG183" s="53">
        <f>IF(OR(Mitarbeiter!B183="",Mitarbeiter!D183=""),"",Mitarbeiter!D183)</f>
        <v/>
      </c>
    </row>
    <row r="184">
      <c r="A184" s="49">
        <f>IF(Mitarbeiter!B184="","",Mitarbeiter!A184)</f>
        <v/>
      </c>
      <c r="B184" s="50">
        <f>IF(Mitarbeiter!B184="","",Mitarbeiter!B184)</f>
        <v/>
      </c>
      <c r="C184" s="51">
        <f>IF(Mitarbeiter!B184="","",Mitarbeiter!F184)</f>
        <v/>
      </c>
      <c r="D184" s="52" t="n"/>
      <c r="E184" s="52" t="n"/>
      <c r="F184" s="52" t="n"/>
      <c r="G184" s="52" t="n"/>
      <c r="H184" s="52" t="n"/>
      <c r="I184" s="52" t="n"/>
      <c r="J184" s="52" t="n"/>
      <c r="K184" s="52" t="n"/>
      <c r="L184" s="52" t="n"/>
      <c r="M184" s="52" t="n"/>
      <c r="N184" s="52" t="n"/>
      <c r="O184" s="52" t="n"/>
      <c r="P184" s="25">
        <f>IF($B184="","",SUM(D184:O184))</f>
        <v/>
      </c>
      <c r="Q184" s="52" t="n"/>
      <c r="R184" s="52" t="n"/>
      <c r="S184" s="52" t="n"/>
      <c r="T184" s="52" t="n"/>
      <c r="U184" s="52" t="n"/>
      <c r="V184" s="52" t="n"/>
      <c r="W184" s="52" t="n"/>
      <c r="X184" s="52" t="n"/>
      <c r="Y184" s="52" t="n"/>
      <c r="Z184" s="52" t="n"/>
      <c r="AA184" s="52" t="n"/>
      <c r="AB184" s="52" t="n"/>
      <c r="AC184" s="25">
        <f>IF($B184="","",SUM(Q184:AB184))</f>
        <v/>
      </c>
      <c r="AD184" s="25">
        <f>IF($B184="","",SUM(P184,AC184))</f>
        <v/>
      </c>
      <c r="AE184" s="37">
        <f>IF($B184="","",AD184*N(C184))</f>
        <v/>
      </c>
      <c r="AF184" s="53">
        <f>IF(Mitarbeiter!B184="","",Mitarbeiter!C184)</f>
        <v/>
      </c>
      <c r="AG184" s="53">
        <f>IF(OR(Mitarbeiter!B184="",Mitarbeiter!D184=""),"",Mitarbeiter!D184)</f>
        <v/>
      </c>
    </row>
    <row r="185">
      <c r="A185" s="49">
        <f>IF(Mitarbeiter!B185="","",Mitarbeiter!A185)</f>
        <v/>
      </c>
      <c r="B185" s="50">
        <f>IF(Mitarbeiter!B185="","",Mitarbeiter!B185)</f>
        <v/>
      </c>
      <c r="C185" s="51">
        <f>IF(Mitarbeiter!B185="","",Mitarbeiter!F185)</f>
        <v/>
      </c>
      <c r="D185" s="52" t="n"/>
      <c r="E185" s="52" t="n"/>
      <c r="F185" s="52" t="n"/>
      <c r="G185" s="52" t="n"/>
      <c r="H185" s="52" t="n"/>
      <c r="I185" s="52" t="n"/>
      <c r="J185" s="52" t="n"/>
      <c r="K185" s="52" t="n"/>
      <c r="L185" s="52" t="n"/>
      <c r="M185" s="52" t="n"/>
      <c r="N185" s="52" t="n"/>
      <c r="O185" s="52" t="n"/>
      <c r="P185" s="25">
        <f>IF($B185="","",SUM(D185:O185))</f>
        <v/>
      </c>
      <c r="Q185" s="52" t="n"/>
      <c r="R185" s="52" t="n"/>
      <c r="S185" s="52" t="n"/>
      <c r="T185" s="52" t="n"/>
      <c r="U185" s="52" t="n"/>
      <c r="V185" s="52" t="n"/>
      <c r="W185" s="52" t="n"/>
      <c r="X185" s="52" t="n"/>
      <c r="Y185" s="52" t="n"/>
      <c r="Z185" s="52" t="n"/>
      <c r="AA185" s="52" t="n"/>
      <c r="AB185" s="52" t="n"/>
      <c r="AC185" s="25">
        <f>IF($B185="","",SUM(Q185:AB185))</f>
        <v/>
      </c>
      <c r="AD185" s="25">
        <f>IF($B185="","",SUM(P185,AC185))</f>
        <v/>
      </c>
      <c r="AE185" s="37">
        <f>IF($B185="","",AD185*N(C185))</f>
        <v/>
      </c>
      <c r="AF185" s="53">
        <f>IF(Mitarbeiter!B185="","",Mitarbeiter!C185)</f>
        <v/>
      </c>
      <c r="AG185" s="53">
        <f>IF(OR(Mitarbeiter!B185="",Mitarbeiter!D185=""),"",Mitarbeiter!D185)</f>
        <v/>
      </c>
    </row>
    <row r="186">
      <c r="A186" s="49">
        <f>IF(Mitarbeiter!B186="","",Mitarbeiter!A186)</f>
        <v/>
      </c>
      <c r="B186" s="50">
        <f>IF(Mitarbeiter!B186="","",Mitarbeiter!B186)</f>
        <v/>
      </c>
      <c r="C186" s="51">
        <f>IF(Mitarbeiter!B186="","",Mitarbeiter!F186)</f>
        <v/>
      </c>
      <c r="D186" s="52" t="n"/>
      <c r="E186" s="52" t="n"/>
      <c r="F186" s="52" t="n"/>
      <c r="G186" s="52" t="n"/>
      <c r="H186" s="52" t="n"/>
      <c r="I186" s="52" t="n"/>
      <c r="J186" s="52" t="n"/>
      <c r="K186" s="52" t="n"/>
      <c r="L186" s="52" t="n"/>
      <c r="M186" s="52" t="n"/>
      <c r="N186" s="52" t="n"/>
      <c r="O186" s="52" t="n"/>
      <c r="P186" s="25">
        <f>IF($B186="","",SUM(D186:O186))</f>
        <v/>
      </c>
      <c r="Q186" s="52" t="n"/>
      <c r="R186" s="52" t="n"/>
      <c r="S186" s="52" t="n"/>
      <c r="T186" s="52" t="n"/>
      <c r="U186" s="52" t="n"/>
      <c r="V186" s="52" t="n"/>
      <c r="W186" s="52" t="n"/>
      <c r="X186" s="52" t="n"/>
      <c r="Y186" s="52" t="n"/>
      <c r="Z186" s="52" t="n"/>
      <c r="AA186" s="52" t="n"/>
      <c r="AB186" s="52" t="n"/>
      <c r="AC186" s="25">
        <f>IF($B186="","",SUM(Q186:AB186))</f>
        <v/>
      </c>
      <c r="AD186" s="25">
        <f>IF($B186="","",SUM(P186,AC186))</f>
        <v/>
      </c>
      <c r="AE186" s="37">
        <f>IF($B186="","",AD186*N(C186))</f>
        <v/>
      </c>
      <c r="AF186" s="53">
        <f>IF(Mitarbeiter!B186="","",Mitarbeiter!C186)</f>
        <v/>
      </c>
      <c r="AG186" s="53">
        <f>IF(OR(Mitarbeiter!B186="",Mitarbeiter!D186=""),"",Mitarbeiter!D186)</f>
        <v/>
      </c>
    </row>
    <row r="187">
      <c r="A187" s="49">
        <f>IF(Mitarbeiter!B187="","",Mitarbeiter!A187)</f>
        <v/>
      </c>
      <c r="B187" s="50">
        <f>IF(Mitarbeiter!B187="","",Mitarbeiter!B187)</f>
        <v/>
      </c>
      <c r="C187" s="51">
        <f>IF(Mitarbeiter!B187="","",Mitarbeiter!F187)</f>
        <v/>
      </c>
      <c r="D187" s="52" t="n"/>
      <c r="E187" s="52" t="n"/>
      <c r="F187" s="52" t="n"/>
      <c r="G187" s="52" t="n"/>
      <c r="H187" s="52" t="n"/>
      <c r="I187" s="52" t="n"/>
      <c r="J187" s="52" t="n"/>
      <c r="K187" s="52" t="n"/>
      <c r="L187" s="52" t="n"/>
      <c r="M187" s="52" t="n"/>
      <c r="N187" s="52" t="n"/>
      <c r="O187" s="52" t="n"/>
      <c r="P187" s="25">
        <f>IF($B187="","",SUM(D187:O187))</f>
        <v/>
      </c>
      <c r="Q187" s="52" t="n"/>
      <c r="R187" s="52" t="n"/>
      <c r="S187" s="52" t="n"/>
      <c r="T187" s="52" t="n"/>
      <c r="U187" s="52" t="n"/>
      <c r="V187" s="52" t="n"/>
      <c r="W187" s="52" t="n"/>
      <c r="X187" s="52" t="n"/>
      <c r="Y187" s="52" t="n"/>
      <c r="Z187" s="52" t="n"/>
      <c r="AA187" s="52" t="n"/>
      <c r="AB187" s="52" t="n"/>
      <c r="AC187" s="25">
        <f>IF($B187="","",SUM(Q187:AB187))</f>
        <v/>
      </c>
      <c r="AD187" s="25">
        <f>IF($B187="","",SUM(P187,AC187))</f>
        <v/>
      </c>
      <c r="AE187" s="37">
        <f>IF($B187="","",AD187*N(C187))</f>
        <v/>
      </c>
      <c r="AF187" s="53">
        <f>IF(Mitarbeiter!B187="","",Mitarbeiter!C187)</f>
        <v/>
      </c>
      <c r="AG187" s="53">
        <f>IF(OR(Mitarbeiter!B187="",Mitarbeiter!D187=""),"",Mitarbeiter!D187)</f>
        <v/>
      </c>
    </row>
    <row r="188">
      <c r="A188" s="49">
        <f>IF(Mitarbeiter!B188="","",Mitarbeiter!A188)</f>
        <v/>
      </c>
      <c r="B188" s="50">
        <f>IF(Mitarbeiter!B188="","",Mitarbeiter!B188)</f>
        <v/>
      </c>
      <c r="C188" s="51">
        <f>IF(Mitarbeiter!B188="","",Mitarbeiter!F188)</f>
        <v/>
      </c>
      <c r="D188" s="52" t="n"/>
      <c r="E188" s="52" t="n"/>
      <c r="F188" s="52" t="n"/>
      <c r="G188" s="52" t="n"/>
      <c r="H188" s="52" t="n"/>
      <c r="I188" s="52" t="n"/>
      <c r="J188" s="52" t="n"/>
      <c r="K188" s="52" t="n"/>
      <c r="L188" s="52" t="n"/>
      <c r="M188" s="52" t="n"/>
      <c r="N188" s="52" t="n"/>
      <c r="O188" s="52" t="n"/>
      <c r="P188" s="25">
        <f>IF($B188="","",SUM(D188:O188))</f>
        <v/>
      </c>
      <c r="Q188" s="52" t="n"/>
      <c r="R188" s="52" t="n"/>
      <c r="S188" s="52" t="n"/>
      <c r="T188" s="52" t="n"/>
      <c r="U188" s="52" t="n"/>
      <c r="V188" s="52" t="n"/>
      <c r="W188" s="52" t="n"/>
      <c r="X188" s="52" t="n"/>
      <c r="Y188" s="52" t="n"/>
      <c r="Z188" s="52" t="n"/>
      <c r="AA188" s="52" t="n"/>
      <c r="AB188" s="52" t="n"/>
      <c r="AC188" s="25">
        <f>IF($B188="","",SUM(Q188:AB188))</f>
        <v/>
      </c>
      <c r="AD188" s="25">
        <f>IF($B188="","",SUM(P188,AC188))</f>
        <v/>
      </c>
      <c r="AE188" s="37">
        <f>IF($B188="","",AD188*N(C188))</f>
        <v/>
      </c>
      <c r="AF188" s="53">
        <f>IF(Mitarbeiter!B188="","",Mitarbeiter!C188)</f>
        <v/>
      </c>
      <c r="AG188" s="53">
        <f>IF(OR(Mitarbeiter!B188="",Mitarbeiter!D188=""),"",Mitarbeiter!D188)</f>
        <v/>
      </c>
    </row>
    <row r="189">
      <c r="A189" s="49">
        <f>IF(Mitarbeiter!B189="","",Mitarbeiter!A189)</f>
        <v/>
      </c>
      <c r="B189" s="50">
        <f>IF(Mitarbeiter!B189="","",Mitarbeiter!B189)</f>
        <v/>
      </c>
      <c r="C189" s="51">
        <f>IF(Mitarbeiter!B189="","",Mitarbeiter!F189)</f>
        <v/>
      </c>
      <c r="D189" s="52" t="n"/>
      <c r="E189" s="52" t="n"/>
      <c r="F189" s="52" t="n"/>
      <c r="G189" s="52" t="n"/>
      <c r="H189" s="52" t="n"/>
      <c r="I189" s="52" t="n"/>
      <c r="J189" s="52" t="n"/>
      <c r="K189" s="52" t="n"/>
      <c r="L189" s="52" t="n"/>
      <c r="M189" s="52" t="n"/>
      <c r="N189" s="52" t="n"/>
      <c r="O189" s="52" t="n"/>
      <c r="P189" s="25">
        <f>IF($B189="","",SUM(D189:O189))</f>
        <v/>
      </c>
      <c r="Q189" s="52" t="n"/>
      <c r="R189" s="52" t="n"/>
      <c r="S189" s="52" t="n"/>
      <c r="T189" s="52" t="n"/>
      <c r="U189" s="52" t="n"/>
      <c r="V189" s="52" t="n"/>
      <c r="W189" s="52" t="n"/>
      <c r="X189" s="52" t="n"/>
      <c r="Y189" s="52" t="n"/>
      <c r="Z189" s="52" t="n"/>
      <c r="AA189" s="52" t="n"/>
      <c r="AB189" s="52" t="n"/>
      <c r="AC189" s="25">
        <f>IF($B189="","",SUM(Q189:AB189))</f>
        <v/>
      </c>
      <c r="AD189" s="25">
        <f>IF($B189="","",SUM(P189,AC189))</f>
        <v/>
      </c>
      <c r="AE189" s="37">
        <f>IF($B189="","",AD189*N(C189))</f>
        <v/>
      </c>
      <c r="AF189" s="53">
        <f>IF(Mitarbeiter!B189="","",Mitarbeiter!C189)</f>
        <v/>
      </c>
      <c r="AG189" s="53">
        <f>IF(OR(Mitarbeiter!B189="",Mitarbeiter!D189=""),"",Mitarbeiter!D189)</f>
        <v/>
      </c>
    </row>
    <row r="190">
      <c r="A190" s="49">
        <f>IF(Mitarbeiter!B190="","",Mitarbeiter!A190)</f>
        <v/>
      </c>
      <c r="B190" s="50">
        <f>IF(Mitarbeiter!B190="","",Mitarbeiter!B190)</f>
        <v/>
      </c>
      <c r="C190" s="51">
        <f>IF(Mitarbeiter!B190="","",Mitarbeiter!F190)</f>
        <v/>
      </c>
      <c r="D190" s="52" t="n"/>
      <c r="E190" s="52" t="n"/>
      <c r="F190" s="52" t="n"/>
      <c r="G190" s="52" t="n"/>
      <c r="H190" s="52" t="n"/>
      <c r="I190" s="52" t="n"/>
      <c r="J190" s="52" t="n"/>
      <c r="K190" s="52" t="n"/>
      <c r="L190" s="52" t="n"/>
      <c r="M190" s="52" t="n"/>
      <c r="N190" s="52" t="n"/>
      <c r="O190" s="52" t="n"/>
      <c r="P190" s="25">
        <f>IF($B190="","",SUM(D190:O190))</f>
        <v/>
      </c>
      <c r="Q190" s="52" t="n"/>
      <c r="R190" s="52" t="n"/>
      <c r="S190" s="52" t="n"/>
      <c r="T190" s="52" t="n"/>
      <c r="U190" s="52" t="n"/>
      <c r="V190" s="52" t="n"/>
      <c r="W190" s="52" t="n"/>
      <c r="X190" s="52" t="n"/>
      <c r="Y190" s="52" t="n"/>
      <c r="Z190" s="52" t="n"/>
      <c r="AA190" s="52" t="n"/>
      <c r="AB190" s="52" t="n"/>
      <c r="AC190" s="25">
        <f>IF($B190="","",SUM(Q190:AB190))</f>
        <v/>
      </c>
      <c r="AD190" s="25">
        <f>IF($B190="","",SUM(P190,AC190))</f>
        <v/>
      </c>
      <c r="AE190" s="37">
        <f>IF($B190="","",AD190*N(C190))</f>
        <v/>
      </c>
      <c r="AF190" s="53">
        <f>IF(Mitarbeiter!B190="","",Mitarbeiter!C190)</f>
        <v/>
      </c>
      <c r="AG190" s="53">
        <f>IF(OR(Mitarbeiter!B190="",Mitarbeiter!D190=""),"",Mitarbeiter!D190)</f>
        <v/>
      </c>
    </row>
    <row r="191">
      <c r="A191" s="49">
        <f>IF(Mitarbeiter!B191="","",Mitarbeiter!A191)</f>
        <v/>
      </c>
      <c r="B191" s="50">
        <f>IF(Mitarbeiter!B191="","",Mitarbeiter!B191)</f>
        <v/>
      </c>
      <c r="C191" s="51">
        <f>IF(Mitarbeiter!B191="","",Mitarbeiter!F191)</f>
        <v/>
      </c>
      <c r="D191" s="52" t="n"/>
      <c r="E191" s="52" t="n"/>
      <c r="F191" s="52" t="n"/>
      <c r="G191" s="52" t="n"/>
      <c r="H191" s="52" t="n"/>
      <c r="I191" s="52" t="n"/>
      <c r="J191" s="52" t="n"/>
      <c r="K191" s="52" t="n"/>
      <c r="L191" s="52" t="n"/>
      <c r="M191" s="52" t="n"/>
      <c r="N191" s="52" t="n"/>
      <c r="O191" s="52" t="n"/>
      <c r="P191" s="25">
        <f>IF($B191="","",SUM(D191:O191))</f>
        <v/>
      </c>
      <c r="Q191" s="52" t="n"/>
      <c r="R191" s="52" t="n"/>
      <c r="S191" s="52" t="n"/>
      <c r="T191" s="52" t="n"/>
      <c r="U191" s="52" t="n"/>
      <c r="V191" s="52" t="n"/>
      <c r="W191" s="52" t="n"/>
      <c r="X191" s="52" t="n"/>
      <c r="Y191" s="52" t="n"/>
      <c r="Z191" s="52" t="n"/>
      <c r="AA191" s="52" t="n"/>
      <c r="AB191" s="52" t="n"/>
      <c r="AC191" s="25">
        <f>IF($B191="","",SUM(Q191:AB191))</f>
        <v/>
      </c>
      <c r="AD191" s="25">
        <f>IF($B191="","",SUM(P191,AC191))</f>
        <v/>
      </c>
      <c r="AE191" s="37">
        <f>IF($B191="","",AD191*N(C191))</f>
        <v/>
      </c>
      <c r="AF191" s="53">
        <f>IF(Mitarbeiter!B191="","",Mitarbeiter!C191)</f>
        <v/>
      </c>
      <c r="AG191" s="53">
        <f>IF(OR(Mitarbeiter!B191="",Mitarbeiter!D191=""),"",Mitarbeiter!D191)</f>
        <v/>
      </c>
    </row>
    <row r="192">
      <c r="A192" s="49">
        <f>IF(Mitarbeiter!B192="","",Mitarbeiter!A192)</f>
        <v/>
      </c>
      <c r="B192" s="50">
        <f>IF(Mitarbeiter!B192="","",Mitarbeiter!B192)</f>
        <v/>
      </c>
      <c r="C192" s="51">
        <f>IF(Mitarbeiter!B192="","",Mitarbeiter!F192)</f>
        <v/>
      </c>
      <c r="D192" s="52" t="n"/>
      <c r="E192" s="52" t="n"/>
      <c r="F192" s="52" t="n"/>
      <c r="G192" s="52" t="n"/>
      <c r="H192" s="52" t="n"/>
      <c r="I192" s="52" t="n"/>
      <c r="J192" s="52" t="n"/>
      <c r="K192" s="52" t="n"/>
      <c r="L192" s="52" t="n"/>
      <c r="M192" s="52" t="n"/>
      <c r="N192" s="52" t="n"/>
      <c r="O192" s="52" t="n"/>
      <c r="P192" s="25">
        <f>IF($B192="","",SUM(D192:O192))</f>
        <v/>
      </c>
      <c r="Q192" s="52" t="n"/>
      <c r="R192" s="52" t="n"/>
      <c r="S192" s="52" t="n"/>
      <c r="T192" s="52" t="n"/>
      <c r="U192" s="52" t="n"/>
      <c r="V192" s="52" t="n"/>
      <c r="W192" s="52" t="n"/>
      <c r="X192" s="52" t="n"/>
      <c r="Y192" s="52" t="n"/>
      <c r="Z192" s="52" t="n"/>
      <c r="AA192" s="52" t="n"/>
      <c r="AB192" s="52" t="n"/>
      <c r="AC192" s="25">
        <f>IF($B192="","",SUM(Q192:AB192))</f>
        <v/>
      </c>
      <c r="AD192" s="25">
        <f>IF($B192="","",SUM(P192,AC192))</f>
        <v/>
      </c>
      <c r="AE192" s="37">
        <f>IF($B192="","",AD192*N(C192))</f>
        <v/>
      </c>
      <c r="AF192" s="53">
        <f>IF(Mitarbeiter!B192="","",Mitarbeiter!C192)</f>
        <v/>
      </c>
      <c r="AG192" s="53">
        <f>IF(OR(Mitarbeiter!B192="",Mitarbeiter!D192=""),"",Mitarbeiter!D192)</f>
        <v/>
      </c>
    </row>
    <row r="193">
      <c r="A193" s="49">
        <f>IF(Mitarbeiter!B193="","",Mitarbeiter!A193)</f>
        <v/>
      </c>
      <c r="B193" s="50">
        <f>IF(Mitarbeiter!B193="","",Mitarbeiter!B193)</f>
        <v/>
      </c>
      <c r="C193" s="51">
        <f>IF(Mitarbeiter!B193="","",Mitarbeiter!F193)</f>
        <v/>
      </c>
      <c r="D193" s="52" t="n"/>
      <c r="E193" s="52" t="n"/>
      <c r="F193" s="52" t="n"/>
      <c r="G193" s="52" t="n"/>
      <c r="H193" s="52" t="n"/>
      <c r="I193" s="52" t="n"/>
      <c r="J193" s="52" t="n"/>
      <c r="K193" s="52" t="n"/>
      <c r="L193" s="52" t="n"/>
      <c r="M193" s="52" t="n"/>
      <c r="N193" s="52" t="n"/>
      <c r="O193" s="52" t="n"/>
      <c r="P193" s="25">
        <f>IF($B193="","",SUM(D193:O193))</f>
        <v/>
      </c>
      <c r="Q193" s="52" t="n"/>
      <c r="R193" s="52" t="n"/>
      <c r="S193" s="52" t="n"/>
      <c r="T193" s="52" t="n"/>
      <c r="U193" s="52" t="n"/>
      <c r="V193" s="52" t="n"/>
      <c r="W193" s="52" t="n"/>
      <c r="X193" s="52" t="n"/>
      <c r="Y193" s="52" t="n"/>
      <c r="Z193" s="52" t="n"/>
      <c r="AA193" s="52" t="n"/>
      <c r="AB193" s="52" t="n"/>
      <c r="AC193" s="25">
        <f>IF($B193="","",SUM(Q193:AB193))</f>
        <v/>
      </c>
      <c r="AD193" s="25">
        <f>IF($B193="","",SUM(P193,AC193))</f>
        <v/>
      </c>
      <c r="AE193" s="37">
        <f>IF($B193="","",AD193*N(C193))</f>
        <v/>
      </c>
      <c r="AF193" s="53">
        <f>IF(Mitarbeiter!B193="","",Mitarbeiter!C193)</f>
        <v/>
      </c>
      <c r="AG193" s="53">
        <f>IF(OR(Mitarbeiter!B193="",Mitarbeiter!D193=""),"",Mitarbeiter!D193)</f>
        <v/>
      </c>
    </row>
    <row r="194">
      <c r="A194" s="49">
        <f>IF(Mitarbeiter!B194="","",Mitarbeiter!A194)</f>
        <v/>
      </c>
      <c r="B194" s="50">
        <f>IF(Mitarbeiter!B194="","",Mitarbeiter!B194)</f>
        <v/>
      </c>
      <c r="C194" s="51">
        <f>IF(Mitarbeiter!B194="","",Mitarbeiter!F194)</f>
        <v/>
      </c>
      <c r="D194" s="52" t="n"/>
      <c r="E194" s="52" t="n"/>
      <c r="F194" s="52" t="n"/>
      <c r="G194" s="52" t="n"/>
      <c r="H194" s="52" t="n"/>
      <c r="I194" s="52" t="n"/>
      <c r="J194" s="52" t="n"/>
      <c r="K194" s="52" t="n"/>
      <c r="L194" s="52" t="n"/>
      <c r="M194" s="52" t="n"/>
      <c r="N194" s="52" t="n"/>
      <c r="O194" s="52" t="n"/>
      <c r="P194" s="25">
        <f>IF($B194="","",SUM(D194:O194))</f>
        <v/>
      </c>
      <c r="Q194" s="52" t="n"/>
      <c r="R194" s="52" t="n"/>
      <c r="S194" s="52" t="n"/>
      <c r="T194" s="52" t="n"/>
      <c r="U194" s="52" t="n"/>
      <c r="V194" s="52" t="n"/>
      <c r="W194" s="52" t="n"/>
      <c r="X194" s="52" t="n"/>
      <c r="Y194" s="52" t="n"/>
      <c r="Z194" s="52" t="n"/>
      <c r="AA194" s="52" t="n"/>
      <c r="AB194" s="52" t="n"/>
      <c r="AC194" s="25">
        <f>IF($B194="","",SUM(Q194:AB194))</f>
        <v/>
      </c>
      <c r="AD194" s="25">
        <f>IF($B194="","",SUM(P194,AC194))</f>
        <v/>
      </c>
      <c r="AE194" s="37">
        <f>IF($B194="","",AD194*N(C194))</f>
        <v/>
      </c>
      <c r="AF194" s="53">
        <f>IF(Mitarbeiter!B194="","",Mitarbeiter!C194)</f>
        <v/>
      </c>
      <c r="AG194" s="53">
        <f>IF(OR(Mitarbeiter!B194="",Mitarbeiter!D194=""),"",Mitarbeiter!D194)</f>
        <v/>
      </c>
    </row>
    <row r="195">
      <c r="A195" s="49">
        <f>IF(Mitarbeiter!B195="","",Mitarbeiter!A195)</f>
        <v/>
      </c>
      <c r="B195" s="50">
        <f>IF(Mitarbeiter!B195="","",Mitarbeiter!B195)</f>
        <v/>
      </c>
      <c r="C195" s="51">
        <f>IF(Mitarbeiter!B195="","",Mitarbeiter!F195)</f>
        <v/>
      </c>
      <c r="D195" s="52" t="n"/>
      <c r="E195" s="52" t="n"/>
      <c r="F195" s="52" t="n"/>
      <c r="G195" s="52" t="n"/>
      <c r="H195" s="52" t="n"/>
      <c r="I195" s="52" t="n"/>
      <c r="J195" s="52" t="n"/>
      <c r="K195" s="52" t="n"/>
      <c r="L195" s="52" t="n"/>
      <c r="M195" s="52" t="n"/>
      <c r="N195" s="52" t="n"/>
      <c r="O195" s="52" t="n"/>
      <c r="P195" s="25">
        <f>IF($B195="","",SUM(D195:O195))</f>
        <v/>
      </c>
      <c r="Q195" s="52" t="n"/>
      <c r="R195" s="52" t="n"/>
      <c r="S195" s="52" t="n"/>
      <c r="T195" s="52" t="n"/>
      <c r="U195" s="52" t="n"/>
      <c r="V195" s="52" t="n"/>
      <c r="W195" s="52" t="n"/>
      <c r="X195" s="52" t="n"/>
      <c r="Y195" s="52" t="n"/>
      <c r="Z195" s="52" t="n"/>
      <c r="AA195" s="52" t="n"/>
      <c r="AB195" s="52" t="n"/>
      <c r="AC195" s="25">
        <f>IF($B195="","",SUM(Q195:AB195))</f>
        <v/>
      </c>
      <c r="AD195" s="25">
        <f>IF($B195="","",SUM(P195,AC195))</f>
        <v/>
      </c>
      <c r="AE195" s="37">
        <f>IF($B195="","",AD195*N(C195))</f>
        <v/>
      </c>
      <c r="AF195" s="53">
        <f>IF(Mitarbeiter!B195="","",Mitarbeiter!C195)</f>
        <v/>
      </c>
      <c r="AG195" s="53">
        <f>IF(OR(Mitarbeiter!B195="",Mitarbeiter!D195=""),"",Mitarbeiter!D195)</f>
        <v/>
      </c>
    </row>
    <row r="196">
      <c r="A196" s="49">
        <f>IF(Mitarbeiter!B196="","",Mitarbeiter!A196)</f>
        <v/>
      </c>
      <c r="B196" s="50">
        <f>IF(Mitarbeiter!B196="","",Mitarbeiter!B196)</f>
        <v/>
      </c>
      <c r="C196" s="51">
        <f>IF(Mitarbeiter!B196="","",Mitarbeiter!F196)</f>
        <v/>
      </c>
      <c r="D196" s="52" t="n"/>
      <c r="E196" s="52" t="n"/>
      <c r="F196" s="52" t="n"/>
      <c r="G196" s="52" t="n"/>
      <c r="H196" s="52" t="n"/>
      <c r="I196" s="52" t="n"/>
      <c r="J196" s="52" t="n"/>
      <c r="K196" s="52" t="n"/>
      <c r="L196" s="52" t="n"/>
      <c r="M196" s="52" t="n"/>
      <c r="N196" s="52" t="n"/>
      <c r="O196" s="52" t="n"/>
      <c r="P196" s="25">
        <f>IF($B196="","",SUM(D196:O196))</f>
        <v/>
      </c>
      <c r="Q196" s="52" t="n"/>
      <c r="R196" s="52" t="n"/>
      <c r="S196" s="52" t="n"/>
      <c r="T196" s="52" t="n"/>
      <c r="U196" s="52" t="n"/>
      <c r="V196" s="52" t="n"/>
      <c r="W196" s="52" t="n"/>
      <c r="X196" s="52" t="n"/>
      <c r="Y196" s="52" t="n"/>
      <c r="Z196" s="52" t="n"/>
      <c r="AA196" s="52" t="n"/>
      <c r="AB196" s="52" t="n"/>
      <c r="AC196" s="25">
        <f>IF($B196="","",SUM(Q196:AB196))</f>
        <v/>
      </c>
      <c r="AD196" s="25">
        <f>IF($B196="","",SUM(P196,AC196))</f>
        <v/>
      </c>
      <c r="AE196" s="37">
        <f>IF($B196="","",AD196*N(C196))</f>
        <v/>
      </c>
      <c r="AF196" s="53">
        <f>IF(Mitarbeiter!B196="","",Mitarbeiter!C196)</f>
        <v/>
      </c>
      <c r="AG196" s="53">
        <f>IF(OR(Mitarbeiter!B196="",Mitarbeiter!D196=""),"",Mitarbeiter!D196)</f>
        <v/>
      </c>
    </row>
    <row r="197">
      <c r="A197" s="49">
        <f>IF(Mitarbeiter!B197="","",Mitarbeiter!A197)</f>
        <v/>
      </c>
      <c r="B197" s="50">
        <f>IF(Mitarbeiter!B197="","",Mitarbeiter!B197)</f>
        <v/>
      </c>
      <c r="C197" s="51">
        <f>IF(Mitarbeiter!B197="","",Mitarbeiter!F197)</f>
        <v/>
      </c>
      <c r="D197" s="52" t="n"/>
      <c r="E197" s="52" t="n"/>
      <c r="F197" s="52" t="n"/>
      <c r="G197" s="52" t="n"/>
      <c r="H197" s="52" t="n"/>
      <c r="I197" s="52" t="n"/>
      <c r="J197" s="52" t="n"/>
      <c r="K197" s="52" t="n"/>
      <c r="L197" s="52" t="n"/>
      <c r="M197" s="52" t="n"/>
      <c r="N197" s="52" t="n"/>
      <c r="O197" s="52" t="n"/>
      <c r="P197" s="25">
        <f>IF($B197="","",SUM(D197:O197))</f>
        <v/>
      </c>
      <c r="Q197" s="52" t="n"/>
      <c r="R197" s="52" t="n"/>
      <c r="S197" s="52" t="n"/>
      <c r="T197" s="52" t="n"/>
      <c r="U197" s="52" t="n"/>
      <c r="V197" s="52" t="n"/>
      <c r="W197" s="52" t="n"/>
      <c r="X197" s="52" t="n"/>
      <c r="Y197" s="52" t="n"/>
      <c r="Z197" s="52" t="n"/>
      <c r="AA197" s="52" t="n"/>
      <c r="AB197" s="52" t="n"/>
      <c r="AC197" s="25">
        <f>IF($B197="","",SUM(Q197:AB197))</f>
        <v/>
      </c>
      <c r="AD197" s="25">
        <f>IF($B197="","",SUM(P197,AC197))</f>
        <v/>
      </c>
      <c r="AE197" s="37">
        <f>IF($B197="","",AD197*N(C197))</f>
        <v/>
      </c>
      <c r="AF197" s="53">
        <f>IF(Mitarbeiter!B197="","",Mitarbeiter!C197)</f>
        <v/>
      </c>
      <c r="AG197" s="53">
        <f>IF(OR(Mitarbeiter!B197="",Mitarbeiter!D197=""),"",Mitarbeiter!D197)</f>
        <v/>
      </c>
    </row>
    <row r="198">
      <c r="A198" s="49">
        <f>IF(Mitarbeiter!B198="","",Mitarbeiter!A198)</f>
        <v/>
      </c>
      <c r="B198" s="50">
        <f>IF(Mitarbeiter!B198="","",Mitarbeiter!B198)</f>
        <v/>
      </c>
      <c r="C198" s="51">
        <f>IF(Mitarbeiter!B198="","",Mitarbeiter!F198)</f>
        <v/>
      </c>
      <c r="D198" s="52" t="n"/>
      <c r="E198" s="52" t="n"/>
      <c r="F198" s="52" t="n"/>
      <c r="G198" s="52" t="n"/>
      <c r="H198" s="52" t="n"/>
      <c r="I198" s="52" t="n"/>
      <c r="J198" s="52" t="n"/>
      <c r="K198" s="52" t="n"/>
      <c r="L198" s="52" t="n"/>
      <c r="M198" s="52" t="n"/>
      <c r="N198" s="52" t="n"/>
      <c r="O198" s="52" t="n"/>
      <c r="P198" s="25">
        <f>IF($B198="","",SUM(D198:O198))</f>
        <v/>
      </c>
      <c r="Q198" s="52" t="n"/>
      <c r="R198" s="52" t="n"/>
      <c r="S198" s="52" t="n"/>
      <c r="T198" s="52" t="n"/>
      <c r="U198" s="52" t="n"/>
      <c r="V198" s="52" t="n"/>
      <c r="W198" s="52" t="n"/>
      <c r="X198" s="52" t="n"/>
      <c r="Y198" s="52" t="n"/>
      <c r="Z198" s="52" t="n"/>
      <c r="AA198" s="52" t="n"/>
      <c r="AB198" s="52" t="n"/>
      <c r="AC198" s="25">
        <f>IF($B198="","",SUM(Q198:AB198))</f>
        <v/>
      </c>
      <c r="AD198" s="25">
        <f>IF($B198="","",SUM(P198,AC198))</f>
        <v/>
      </c>
      <c r="AE198" s="37">
        <f>IF($B198="","",AD198*N(C198))</f>
        <v/>
      </c>
      <c r="AF198" s="53">
        <f>IF(Mitarbeiter!B198="","",Mitarbeiter!C198)</f>
        <v/>
      </c>
      <c r="AG198" s="53">
        <f>IF(OR(Mitarbeiter!B198="",Mitarbeiter!D198=""),"",Mitarbeiter!D198)</f>
        <v/>
      </c>
    </row>
    <row r="199">
      <c r="A199" s="49">
        <f>IF(Mitarbeiter!B199="","",Mitarbeiter!A199)</f>
        <v/>
      </c>
      <c r="B199" s="50">
        <f>IF(Mitarbeiter!B199="","",Mitarbeiter!B199)</f>
        <v/>
      </c>
      <c r="C199" s="51">
        <f>IF(Mitarbeiter!B199="","",Mitarbeiter!F199)</f>
        <v/>
      </c>
      <c r="D199" s="52" t="n"/>
      <c r="E199" s="52" t="n"/>
      <c r="F199" s="52" t="n"/>
      <c r="G199" s="52" t="n"/>
      <c r="H199" s="52" t="n"/>
      <c r="I199" s="52" t="n"/>
      <c r="J199" s="52" t="n"/>
      <c r="K199" s="52" t="n"/>
      <c r="L199" s="52" t="n"/>
      <c r="M199" s="52" t="n"/>
      <c r="N199" s="52" t="n"/>
      <c r="O199" s="52" t="n"/>
      <c r="P199" s="25">
        <f>IF($B199="","",SUM(D199:O199))</f>
        <v/>
      </c>
      <c r="Q199" s="52" t="n"/>
      <c r="R199" s="52" t="n"/>
      <c r="S199" s="52" t="n"/>
      <c r="T199" s="52" t="n"/>
      <c r="U199" s="52" t="n"/>
      <c r="V199" s="52" t="n"/>
      <c r="W199" s="52" t="n"/>
      <c r="X199" s="52" t="n"/>
      <c r="Y199" s="52" t="n"/>
      <c r="Z199" s="52" t="n"/>
      <c r="AA199" s="52" t="n"/>
      <c r="AB199" s="52" t="n"/>
      <c r="AC199" s="25">
        <f>IF($B199="","",SUM(Q199:AB199))</f>
        <v/>
      </c>
      <c r="AD199" s="25">
        <f>IF($B199="","",SUM(P199,AC199))</f>
        <v/>
      </c>
      <c r="AE199" s="37">
        <f>IF($B199="","",AD199*N(C199))</f>
        <v/>
      </c>
      <c r="AF199" s="53">
        <f>IF(Mitarbeiter!B199="","",Mitarbeiter!C199)</f>
        <v/>
      </c>
      <c r="AG199" s="53">
        <f>IF(OR(Mitarbeiter!B199="",Mitarbeiter!D199=""),"",Mitarbeiter!D199)</f>
        <v/>
      </c>
    </row>
    <row r="200">
      <c r="A200" s="49">
        <f>IF(Mitarbeiter!B200="","",Mitarbeiter!A200)</f>
        <v/>
      </c>
      <c r="B200" s="50">
        <f>IF(Mitarbeiter!B200="","",Mitarbeiter!B200)</f>
        <v/>
      </c>
      <c r="C200" s="51">
        <f>IF(Mitarbeiter!B200="","",Mitarbeiter!F200)</f>
        <v/>
      </c>
      <c r="D200" s="52" t="n"/>
      <c r="E200" s="52" t="n"/>
      <c r="F200" s="52" t="n"/>
      <c r="G200" s="52" t="n"/>
      <c r="H200" s="52" t="n"/>
      <c r="I200" s="52" t="n"/>
      <c r="J200" s="52" t="n"/>
      <c r="K200" s="52" t="n"/>
      <c r="L200" s="52" t="n"/>
      <c r="M200" s="52" t="n"/>
      <c r="N200" s="52" t="n"/>
      <c r="O200" s="52" t="n"/>
      <c r="P200" s="25">
        <f>IF($B200="","",SUM(D200:O200))</f>
        <v/>
      </c>
      <c r="Q200" s="52" t="n"/>
      <c r="R200" s="52" t="n"/>
      <c r="S200" s="52" t="n"/>
      <c r="T200" s="52" t="n"/>
      <c r="U200" s="52" t="n"/>
      <c r="V200" s="52" t="n"/>
      <c r="W200" s="52" t="n"/>
      <c r="X200" s="52" t="n"/>
      <c r="Y200" s="52" t="n"/>
      <c r="Z200" s="52" t="n"/>
      <c r="AA200" s="52" t="n"/>
      <c r="AB200" s="52" t="n"/>
      <c r="AC200" s="25">
        <f>IF($B200="","",SUM(Q200:AB200))</f>
        <v/>
      </c>
      <c r="AD200" s="25">
        <f>IF($B200="","",SUM(P200,AC200))</f>
        <v/>
      </c>
      <c r="AE200" s="37">
        <f>IF($B200="","",AD200*N(C200))</f>
        <v/>
      </c>
      <c r="AF200" s="53">
        <f>IF(Mitarbeiter!B200="","",Mitarbeiter!C200)</f>
        <v/>
      </c>
      <c r="AG200" s="53">
        <f>IF(OR(Mitarbeiter!B200="",Mitarbeiter!D200=""),"",Mitarbeiter!D200)</f>
        <v/>
      </c>
    </row>
    <row r="201">
      <c r="A201" s="49">
        <f>IF(Mitarbeiter!B201="","",Mitarbeiter!A201)</f>
        <v/>
      </c>
      <c r="B201" s="50">
        <f>IF(Mitarbeiter!B201="","",Mitarbeiter!B201)</f>
        <v/>
      </c>
      <c r="C201" s="51">
        <f>IF(Mitarbeiter!B201="","",Mitarbeiter!F201)</f>
        <v/>
      </c>
      <c r="D201" s="52" t="n"/>
      <c r="E201" s="52" t="n"/>
      <c r="F201" s="52" t="n"/>
      <c r="G201" s="52" t="n"/>
      <c r="H201" s="52" t="n"/>
      <c r="I201" s="52" t="n"/>
      <c r="J201" s="52" t="n"/>
      <c r="K201" s="52" t="n"/>
      <c r="L201" s="52" t="n"/>
      <c r="M201" s="52" t="n"/>
      <c r="N201" s="52" t="n"/>
      <c r="O201" s="52" t="n"/>
      <c r="P201" s="25">
        <f>IF($B201="","",SUM(D201:O201))</f>
        <v/>
      </c>
      <c r="Q201" s="52" t="n"/>
      <c r="R201" s="52" t="n"/>
      <c r="S201" s="52" t="n"/>
      <c r="T201" s="52" t="n"/>
      <c r="U201" s="52" t="n"/>
      <c r="V201" s="52" t="n"/>
      <c r="W201" s="52" t="n"/>
      <c r="X201" s="52" t="n"/>
      <c r="Y201" s="52" t="n"/>
      <c r="Z201" s="52" t="n"/>
      <c r="AA201" s="52" t="n"/>
      <c r="AB201" s="52" t="n"/>
      <c r="AC201" s="25">
        <f>IF($B201="","",SUM(Q201:AB201))</f>
        <v/>
      </c>
      <c r="AD201" s="25">
        <f>IF($B201="","",SUM(P201,AC201))</f>
        <v/>
      </c>
      <c r="AE201" s="37">
        <f>IF($B201="","",AD201*N(C201))</f>
        <v/>
      </c>
      <c r="AF201" s="53">
        <f>IF(Mitarbeiter!B201="","",Mitarbeiter!C201)</f>
        <v/>
      </c>
      <c r="AG201" s="53">
        <f>IF(OR(Mitarbeiter!B201="",Mitarbeiter!D201=""),"",Mitarbeiter!D201)</f>
        <v/>
      </c>
    </row>
    <row r="202">
      <c r="A202" s="49">
        <f>IF(Mitarbeiter!B202="","",Mitarbeiter!A202)</f>
        <v/>
      </c>
      <c r="B202" s="50">
        <f>IF(Mitarbeiter!B202="","",Mitarbeiter!B202)</f>
        <v/>
      </c>
      <c r="C202" s="51">
        <f>IF(Mitarbeiter!B202="","",Mitarbeiter!F202)</f>
        <v/>
      </c>
      <c r="D202" s="52" t="n"/>
      <c r="E202" s="52" t="n"/>
      <c r="F202" s="52" t="n"/>
      <c r="G202" s="52" t="n"/>
      <c r="H202" s="52" t="n"/>
      <c r="I202" s="52" t="n"/>
      <c r="J202" s="52" t="n"/>
      <c r="K202" s="52" t="n"/>
      <c r="L202" s="52" t="n"/>
      <c r="M202" s="52" t="n"/>
      <c r="N202" s="52" t="n"/>
      <c r="O202" s="52" t="n"/>
      <c r="P202" s="25">
        <f>IF($B202="","",SUM(D202:O202))</f>
        <v/>
      </c>
      <c r="Q202" s="52" t="n"/>
      <c r="R202" s="52" t="n"/>
      <c r="S202" s="52" t="n"/>
      <c r="T202" s="52" t="n"/>
      <c r="U202" s="52" t="n"/>
      <c r="V202" s="52" t="n"/>
      <c r="W202" s="52" t="n"/>
      <c r="X202" s="52" t="n"/>
      <c r="Y202" s="52" t="n"/>
      <c r="Z202" s="52" t="n"/>
      <c r="AA202" s="52" t="n"/>
      <c r="AB202" s="52" t="n"/>
      <c r="AC202" s="25">
        <f>IF($B202="","",SUM(Q202:AB202))</f>
        <v/>
      </c>
      <c r="AD202" s="25">
        <f>IF($B202="","",SUM(P202,AC202))</f>
        <v/>
      </c>
      <c r="AE202" s="37">
        <f>IF($B202="","",AD202*N(C202))</f>
        <v/>
      </c>
      <c r="AF202" s="53">
        <f>IF(Mitarbeiter!B202="","",Mitarbeiter!C202)</f>
        <v/>
      </c>
      <c r="AG202" s="53">
        <f>IF(OR(Mitarbeiter!B202="",Mitarbeiter!D202=""),"",Mitarbeiter!D202)</f>
        <v/>
      </c>
    </row>
    <row r="203">
      <c r="A203" s="49">
        <f>IF(Mitarbeiter!B203="","",Mitarbeiter!A203)</f>
        <v/>
      </c>
      <c r="B203" s="50">
        <f>IF(Mitarbeiter!B203="","",Mitarbeiter!B203)</f>
        <v/>
      </c>
      <c r="C203" s="51">
        <f>IF(Mitarbeiter!B203="","",Mitarbeiter!F203)</f>
        <v/>
      </c>
      <c r="D203" s="52" t="n"/>
      <c r="E203" s="52" t="n"/>
      <c r="F203" s="52" t="n"/>
      <c r="G203" s="52" t="n"/>
      <c r="H203" s="52" t="n"/>
      <c r="I203" s="52" t="n"/>
      <c r="J203" s="52" t="n"/>
      <c r="K203" s="52" t="n"/>
      <c r="L203" s="52" t="n"/>
      <c r="M203" s="52" t="n"/>
      <c r="N203" s="52" t="n"/>
      <c r="O203" s="52" t="n"/>
      <c r="P203" s="25">
        <f>IF($B203="","",SUM(D203:O203))</f>
        <v/>
      </c>
      <c r="Q203" s="52" t="n"/>
      <c r="R203" s="52" t="n"/>
      <c r="S203" s="52" t="n"/>
      <c r="T203" s="52" t="n"/>
      <c r="U203" s="52" t="n"/>
      <c r="V203" s="52" t="n"/>
      <c r="W203" s="52" t="n"/>
      <c r="X203" s="52" t="n"/>
      <c r="Y203" s="52" t="n"/>
      <c r="Z203" s="52" t="n"/>
      <c r="AA203" s="52" t="n"/>
      <c r="AB203" s="52" t="n"/>
      <c r="AC203" s="25">
        <f>IF($B203="","",SUM(Q203:AB203))</f>
        <v/>
      </c>
      <c r="AD203" s="25">
        <f>IF($B203="","",SUM(P203,AC203))</f>
        <v/>
      </c>
      <c r="AE203" s="37">
        <f>IF($B203="","",AD203*N(C203))</f>
        <v/>
      </c>
      <c r="AF203" s="53">
        <f>IF(Mitarbeiter!B203="","",Mitarbeiter!C203)</f>
        <v/>
      </c>
      <c r="AG203" s="53">
        <f>IF(OR(Mitarbeiter!B203="",Mitarbeiter!D203=""),"",Mitarbeiter!D203)</f>
        <v/>
      </c>
    </row>
    <row r="204">
      <c r="A204" s="49">
        <f>IF(Mitarbeiter!B204="","",Mitarbeiter!A204)</f>
        <v/>
      </c>
      <c r="B204" s="50">
        <f>IF(Mitarbeiter!B204="","",Mitarbeiter!B204)</f>
        <v/>
      </c>
      <c r="C204" s="51">
        <f>IF(Mitarbeiter!B204="","",Mitarbeiter!F204)</f>
        <v/>
      </c>
      <c r="D204" s="52" t="n"/>
      <c r="E204" s="52" t="n"/>
      <c r="F204" s="52" t="n"/>
      <c r="G204" s="52" t="n"/>
      <c r="H204" s="52" t="n"/>
      <c r="I204" s="52" t="n"/>
      <c r="J204" s="52" t="n"/>
      <c r="K204" s="52" t="n"/>
      <c r="L204" s="52" t="n"/>
      <c r="M204" s="52" t="n"/>
      <c r="N204" s="52" t="n"/>
      <c r="O204" s="52" t="n"/>
      <c r="P204" s="25">
        <f>IF($B204="","",SUM(D204:O204))</f>
        <v/>
      </c>
      <c r="Q204" s="52" t="n"/>
      <c r="R204" s="52" t="n"/>
      <c r="S204" s="52" t="n"/>
      <c r="T204" s="52" t="n"/>
      <c r="U204" s="52" t="n"/>
      <c r="V204" s="52" t="n"/>
      <c r="W204" s="52" t="n"/>
      <c r="X204" s="52" t="n"/>
      <c r="Y204" s="52" t="n"/>
      <c r="Z204" s="52" t="n"/>
      <c r="AA204" s="52" t="n"/>
      <c r="AB204" s="52" t="n"/>
      <c r="AC204" s="25">
        <f>IF($B204="","",SUM(Q204:AB204))</f>
        <v/>
      </c>
      <c r="AD204" s="25">
        <f>IF($B204="","",SUM(P204,AC204))</f>
        <v/>
      </c>
      <c r="AE204" s="37">
        <f>IF($B204="","",AD204*N(C204))</f>
        <v/>
      </c>
      <c r="AF204" s="53">
        <f>IF(Mitarbeiter!B204="","",Mitarbeiter!C204)</f>
        <v/>
      </c>
      <c r="AG204" s="53">
        <f>IF(OR(Mitarbeiter!B204="",Mitarbeiter!D204=""),"",Mitarbeiter!D204)</f>
        <v/>
      </c>
    </row>
    <row r="205">
      <c r="A205" s="49">
        <f>IF(Mitarbeiter!B205="","",Mitarbeiter!A205)</f>
        <v/>
      </c>
      <c r="B205" s="50">
        <f>IF(Mitarbeiter!B205="","",Mitarbeiter!B205)</f>
        <v/>
      </c>
      <c r="C205" s="51">
        <f>IF(Mitarbeiter!B205="","",Mitarbeiter!F205)</f>
        <v/>
      </c>
      <c r="D205" s="52" t="n"/>
      <c r="E205" s="52" t="n"/>
      <c r="F205" s="52" t="n"/>
      <c r="G205" s="52" t="n"/>
      <c r="H205" s="52" t="n"/>
      <c r="I205" s="52" t="n"/>
      <c r="J205" s="52" t="n"/>
      <c r="K205" s="52" t="n"/>
      <c r="L205" s="52" t="n"/>
      <c r="M205" s="52" t="n"/>
      <c r="N205" s="52" t="n"/>
      <c r="O205" s="52" t="n"/>
      <c r="P205" s="25">
        <f>IF($B205="","",SUM(D205:O205))</f>
        <v/>
      </c>
      <c r="Q205" s="52" t="n"/>
      <c r="R205" s="52" t="n"/>
      <c r="S205" s="52" t="n"/>
      <c r="T205" s="52" t="n"/>
      <c r="U205" s="52" t="n"/>
      <c r="V205" s="52" t="n"/>
      <c r="W205" s="52" t="n"/>
      <c r="X205" s="52" t="n"/>
      <c r="Y205" s="52" t="n"/>
      <c r="Z205" s="52" t="n"/>
      <c r="AA205" s="52" t="n"/>
      <c r="AB205" s="52" t="n"/>
      <c r="AC205" s="25">
        <f>IF($B205="","",SUM(Q205:AB205))</f>
        <v/>
      </c>
      <c r="AD205" s="25">
        <f>IF($B205="","",SUM(P205,AC205))</f>
        <v/>
      </c>
      <c r="AE205" s="37">
        <f>IF($B205="","",AD205*N(C205))</f>
        <v/>
      </c>
      <c r="AF205" s="53">
        <f>IF(Mitarbeiter!B205="","",Mitarbeiter!C205)</f>
        <v/>
      </c>
      <c r="AG205" s="53">
        <f>IF(OR(Mitarbeiter!B205="",Mitarbeiter!D205=""),"",Mitarbeiter!D205)</f>
        <v/>
      </c>
    </row>
    <row r="206">
      <c r="A206" s="42" t="n"/>
      <c r="B206" s="42" t="inlineStr">
        <is>
          <t>Summe</t>
        </is>
      </c>
      <c r="C206" s="42" t="n"/>
      <c r="D206" s="54">
        <f>SUM(D6:D205)</f>
        <v/>
      </c>
      <c r="E206" s="54">
        <f>SUM(E6:E205)</f>
        <v/>
      </c>
      <c r="F206" s="54">
        <f>SUM(F6:F205)</f>
        <v/>
      </c>
      <c r="G206" s="54">
        <f>SUM(G6:G205)</f>
        <v/>
      </c>
      <c r="H206" s="54">
        <f>SUM(H6:H205)</f>
        <v/>
      </c>
      <c r="I206" s="54">
        <f>SUM(I6:I205)</f>
        <v/>
      </c>
      <c r="J206" s="54">
        <f>SUM(J6:J205)</f>
        <v/>
      </c>
      <c r="K206" s="54">
        <f>SUM(K6:K205)</f>
        <v/>
      </c>
      <c r="L206" s="54">
        <f>SUM(L6:L205)</f>
        <v/>
      </c>
      <c r="M206" s="54">
        <f>SUM(M6:M205)</f>
        <v/>
      </c>
      <c r="N206" s="54">
        <f>SUM(N6:N205)</f>
        <v/>
      </c>
      <c r="O206" s="54">
        <f>SUM(O6:O205)</f>
        <v/>
      </c>
      <c r="P206" s="54">
        <f>SUM(P6:P205)</f>
        <v/>
      </c>
      <c r="Q206" s="54">
        <f>SUM(Q6:Q205)</f>
        <v/>
      </c>
      <c r="R206" s="54">
        <f>SUM(R6:R205)</f>
        <v/>
      </c>
      <c r="S206" s="54">
        <f>SUM(S6:S205)</f>
        <v/>
      </c>
      <c r="T206" s="54">
        <f>SUM(T6:T205)</f>
        <v/>
      </c>
      <c r="U206" s="54">
        <f>SUM(U6:U205)</f>
        <v/>
      </c>
      <c r="V206" s="54">
        <f>SUM(V6:V205)</f>
        <v/>
      </c>
      <c r="W206" s="54">
        <f>SUM(W6:W205)</f>
        <v/>
      </c>
      <c r="X206" s="54">
        <f>SUM(X6:X205)</f>
        <v/>
      </c>
      <c r="Y206" s="54">
        <f>SUM(Y6:Y205)</f>
        <v/>
      </c>
      <c r="Z206" s="54">
        <f>SUM(Z6:Z205)</f>
        <v/>
      </c>
      <c r="AA206" s="54">
        <f>SUM(AA6:AA205)</f>
        <v/>
      </c>
      <c r="AB206" s="54">
        <f>SUM(AB6:AB205)</f>
        <v/>
      </c>
      <c r="AC206" s="54">
        <f>SUM(AC6:AC205)</f>
        <v/>
      </c>
      <c r="AD206" s="54">
        <f>SUM(AD6:AD205)</f>
        <v/>
      </c>
      <c r="AE206" s="43">
        <f>SUM(AE6:AE205)</f>
        <v/>
      </c>
    </row>
  </sheetData>
  <mergeCells count="3">
    <mergeCell ref="Q4:AC4"/>
    <mergeCell ref="D4:P4"/>
    <mergeCell ref="A2:AE2"/>
  </mergeCells>
  <conditionalFormatting sqref="D6:D205">
    <cfRule type="expression" priority="1" dxfId="3">
      <formula>AND(N(D6)+N(Q6)&gt;0,N(D6)+N(Q6)&gt;DAY(DATE($AF$1,2,0)))</formula>
    </cfRule>
    <cfRule type="expression" priority="2" dxfId="4">
      <formula>AND($B6&lt;&gt;"",OR(DATE($AF$1,2,0)&lt;$AF6,AND($AG6&lt;&gt;"",DATE($AF$1,1,1)&gt;$AG6)))</formula>
    </cfRule>
  </conditionalFormatting>
  <conditionalFormatting sqref="E6:E205">
    <cfRule type="expression" priority="3" dxfId="3">
      <formula>AND(N(E6)+N(R6)&gt;0,N(E6)+N(R6)&gt;DAY(DATE($AF$1,3,0)))</formula>
    </cfRule>
    <cfRule type="expression" priority="4" dxfId="4">
      <formula>AND($B6&lt;&gt;"",OR(DATE($AF$1,3,0)&lt;$AF6,AND($AG6&lt;&gt;"",DATE($AF$1,2,1)&gt;$AG6)))</formula>
    </cfRule>
  </conditionalFormatting>
  <conditionalFormatting sqref="F6:F205">
    <cfRule type="expression" priority="5" dxfId="3">
      <formula>AND(N(F6)+N(S6)&gt;0,N(F6)+N(S6)&gt;DAY(DATE($AF$1,4,0)))</formula>
    </cfRule>
    <cfRule type="expression" priority="6" dxfId="4">
      <formula>AND($B6&lt;&gt;"",OR(DATE($AF$1,4,0)&lt;$AF6,AND($AG6&lt;&gt;"",DATE($AF$1,3,1)&gt;$AG6)))</formula>
    </cfRule>
  </conditionalFormatting>
  <conditionalFormatting sqref="G6:G205">
    <cfRule type="expression" priority="7" dxfId="3">
      <formula>AND(N(G6)+N(T6)&gt;0,N(G6)+N(T6)&gt;DAY(DATE($AF$1,5,0)))</formula>
    </cfRule>
    <cfRule type="expression" priority="8" dxfId="4">
      <formula>AND($B6&lt;&gt;"",OR(DATE($AF$1,5,0)&lt;$AF6,AND($AG6&lt;&gt;"",DATE($AF$1,4,1)&gt;$AG6)))</formula>
    </cfRule>
  </conditionalFormatting>
  <conditionalFormatting sqref="H6:H205">
    <cfRule type="expression" priority="9" dxfId="3">
      <formula>AND(N(H6)+N(U6)&gt;0,N(H6)+N(U6)&gt;DAY(DATE($AF$1,6,0)))</formula>
    </cfRule>
    <cfRule type="expression" priority="10" dxfId="4">
      <formula>AND($B6&lt;&gt;"",OR(DATE($AF$1,6,0)&lt;$AF6,AND($AG6&lt;&gt;"",DATE($AF$1,5,1)&gt;$AG6)))</formula>
    </cfRule>
  </conditionalFormatting>
  <conditionalFormatting sqref="I6:I205">
    <cfRule type="expression" priority="11" dxfId="3">
      <formula>AND(N(I6)+N(V6)&gt;0,N(I6)+N(V6)&gt;DAY(DATE($AF$1,7,0)))</formula>
    </cfRule>
    <cfRule type="expression" priority="12" dxfId="4">
      <formula>AND($B6&lt;&gt;"",OR(DATE($AF$1,7,0)&lt;$AF6,AND($AG6&lt;&gt;"",DATE($AF$1,6,1)&gt;$AG6)))</formula>
    </cfRule>
  </conditionalFormatting>
  <conditionalFormatting sqref="J6:J205">
    <cfRule type="expression" priority="13" dxfId="3">
      <formula>AND(N(J6)+N(W6)&gt;0,N(J6)+N(W6)&gt;DAY(DATE($AF$1,8,0)))</formula>
    </cfRule>
    <cfRule type="expression" priority="14" dxfId="4">
      <formula>AND($B6&lt;&gt;"",OR(DATE($AF$1,8,0)&lt;$AF6,AND($AG6&lt;&gt;"",DATE($AF$1,7,1)&gt;$AG6)))</formula>
    </cfRule>
  </conditionalFormatting>
  <conditionalFormatting sqref="K6:K205">
    <cfRule type="expression" priority="15" dxfId="3">
      <formula>AND(N(K6)+N(X6)&gt;0,N(K6)+N(X6)&gt;DAY(DATE($AF$1,9,0)))</formula>
    </cfRule>
    <cfRule type="expression" priority="16" dxfId="4">
      <formula>AND($B6&lt;&gt;"",OR(DATE($AF$1,9,0)&lt;$AF6,AND($AG6&lt;&gt;"",DATE($AF$1,8,1)&gt;$AG6)))</formula>
    </cfRule>
  </conditionalFormatting>
  <conditionalFormatting sqref="L6:L205">
    <cfRule type="expression" priority="17" dxfId="3">
      <formula>AND(N(L6)+N(Y6)&gt;0,N(L6)+N(Y6)&gt;DAY(DATE($AF$1,10,0)))</formula>
    </cfRule>
    <cfRule type="expression" priority="18" dxfId="4">
      <formula>AND($B6&lt;&gt;"",OR(DATE($AF$1,10,0)&lt;$AF6,AND($AG6&lt;&gt;"",DATE($AF$1,9,1)&gt;$AG6)))</formula>
    </cfRule>
  </conditionalFormatting>
  <conditionalFormatting sqref="M6:M205">
    <cfRule type="expression" priority="19" dxfId="3">
      <formula>AND(N(M6)+N(Z6)&gt;0,N(M6)+N(Z6)&gt;DAY(DATE($AF$1,11,0)))</formula>
    </cfRule>
    <cfRule type="expression" priority="20" dxfId="4">
      <formula>AND($B6&lt;&gt;"",OR(DATE($AF$1,11,0)&lt;$AF6,AND($AG6&lt;&gt;"",DATE($AF$1,10,1)&gt;$AG6)))</formula>
    </cfRule>
  </conditionalFormatting>
  <conditionalFormatting sqref="N6:N205">
    <cfRule type="expression" priority="21" dxfId="3">
      <formula>AND(N(N6)+N(AA6)&gt;0,N(N6)+N(AA6)&gt;DAY(DATE($AF$1,12,0)))</formula>
    </cfRule>
    <cfRule type="expression" priority="22" dxfId="4">
      <formula>AND($B6&lt;&gt;"",OR(DATE($AF$1,12,0)&lt;$AF6,AND($AG6&lt;&gt;"",DATE($AF$1,11,1)&gt;$AG6)))</formula>
    </cfRule>
  </conditionalFormatting>
  <conditionalFormatting sqref="O6:O205">
    <cfRule type="expression" priority="23" dxfId="3">
      <formula>AND(N(O6)+N(AB6)&gt;0,N(O6)+N(AB6)&gt;DAY(DATE($AF$1,13,0)))</formula>
    </cfRule>
    <cfRule type="expression" priority="24" dxfId="4">
      <formula>AND($B6&lt;&gt;"",OR(DATE($AF$1,13,0)&lt;$AF6,AND($AG6&lt;&gt;"",DATE($AF$1,12,1)&gt;$AG6)))</formula>
    </cfRule>
  </conditionalFormatting>
  <conditionalFormatting sqref="Q6:Q205">
    <cfRule type="expression" priority="25" dxfId="3">
      <formula>AND(N(Q6)+N(D6)&gt;0,N(Q6)+N(D6)&gt;DAY(DATE($AF$1,2,0)))</formula>
    </cfRule>
    <cfRule type="expression" priority="26" dxfId="4">
      <formula>AND($B6&lt;&gt;"",OR(DATE($AF$1,2,0)&lt;$AF6,AND($AG6&lt;&gt;"",DATE($AF$1,1,1)&gt;$AG6)))</formula>
    </cfRule>
  </conditionalFormatting>
  <conditionalFormatting sqref="R6:R205">
    <cfRule type="expression" priority="27" dxfId="3">
      <formula>AND(N(R6)+N(E6)&gt;0,N(R6)+N(E6)&gt;DAY(DATE($AF$1,3,0)))</formula>
    </cfRule>
    <cfRule type="expression" priority="28" dxfId="4">
      <formula>AND($B6&lt;&gt;"",OR(DATE($AF$1,3,0)&lt;$AF6,AND($AG6&lt;&gt;"",DATE($AF$1,2,1)&gt;$AG6)))</formula>
    </cfRule>
  </conditionalFormatting>
  <conditionalFormatting sqref="S6:S205">
    <cfRule type="expression" priority="29" dxfId="3">
      <formula>AND(N(S6)+N(F6)&gt;0,N(S6)+N(F6)&gt;DAY(DATE($AF$1,4,0)))</formula>
    </cfRule>
    <cfRule type="expression" priority="30" dxfId="4">
      <formula>AND($B6&lt;&gt;"",OR(DATE($AF$1,4,0)&lt;$AF6,AND($AG6&lt;&gt;"",DATE($AF$1,3,1)&gt;$AG6)))</formula>
    </cfRule>
  </conditionalFormatting>
  <conditionalFormatting sqref="T6:T205">
    <cfRule type="expression" priority="31" dxfId="3">
      <formula>AND(N(T6)+N(G6)&gt;0,N(T6)+N(G6)&gt;DAY(DATE($AF$1,5,0)))</formula>
    </cfRule>
    <cfRule type="expression" priority="32" dxfId="4">
      <formula>AND($B6&lt;&gt;"",OR(DATE($AF$1,5,0)&lt;$AF6,AND($AG6&lt;&gt;"",DATE($AF$1,4,1)&gt;$AG6)))</formula>
    </cfRule>
  </conditionalFormatting>
  <conditionalFormatting sqref="U6:U205">
    <cfRule type="expression" priority="33" dxfId="3">
      <formula>AND(N(U6)+N(H6)&gt;0,N(U6)+N(H6)&gt;DAY(DATE($AF$1,6,0)))</formula>
    </cfRule>
    <cfRule type="expression" priority="34" dxfId="4">
      <formula>AND($B6&lt;&gt;"",OR(DATE($AF$1,6,0)&lt;$AF6,AND($AG6&lt;&gt;"",DATE($AF$1,5,1)&gt;$AG6)))</formula>
    </cfRule>
  </conditionalFormatting>
  <conditionalFormatting sqref="V6:V205">
    <cfRule type="expression" priority="35" dxfId="3">
      <formula>AND(N(V6)+N(I6)&gt;0,N(V6)+N(I6)&gt;DAY(DATE($AF$1,7,0)))</formula>
    </cfRule>
    <cfRule type="expression" priority="36" dxfId="4">
      <formula>AND($B6&lt;&gt;"",OR(DATE($AF$1,7,0)&lt;$AF6,AND($AG6&lt;&gt;"",DATE($AF$1,6,1)&gt;$AG6)))</formula>
    </cfRule>
  </conditionalFormatting>
  <conditionalFormatting sqref="W6:W205">
    <cfRule type="expression" priority="37" dxfId="3">
      <formula>AND(N(W6)+N(J6)&gt;0,N(W6)+N(J6)&gt;DAY(DATE($AF$1,8,0)))</formula>
    </cfRule>
    <cfRule type="expression" priority="38" dxfId="4">
      <formula>AND($B6&lt;&gt;"",OR(DATE($AF$1,8,0)&lt;$AF6,AND($AG6&lt;&gt;"",DATE($AF$1,7,1)&gt;$AG6)))</formula>
    </cfRule>
  </conditionalFormatting>
  <conditionalFormatting sqref="X6:X205">
    <cfRule type="expression" priority="39" dxfId="3">
      <formula>AND(N(X6)+N(K6)&gt;0,N(X6)+N(K6)&gt;DAY(DATE($AF$1,9,0)))</formula>
    </cfRule>
    <cfRule type="expression" priority="40" dxfId="4">
      <formula>AND($B6&lt;&gt;"",OR(DATE($AF$1,9,0)&lt;$AF6,AND($AG6&lt;&gt;"",DATE($AF$1,8,1)&gt;$AG6)))</formula>
    </cfRule>
  </conditionalFormatting>
  <conditionalFormatting sqref="Y6:Y205">
    <cfRule type="expression" priority="41" dxfId="3">
      <formula>AND(N(Y6)+N(L6)&gt;0,N(Y6)+N(L6)&gt;DAY(DATE($AF$1,10,0)))</formula>
    </cfRule>
    <cfRule type="expression" priority="42" dxfId="4">
      <formula>AND($B6&lt;&gt;"",OR(DATE($AF$1,10,0)&lt;$AF6,AND($AG6&lt;&gt;"",DATE($AF$1,9,1)&gt;$AG6)))</formula>
    </cfRule>
  </conditionalFormatting>
  <conditionalFormatting sqref="Z6:Z205">
    <cfRule type="expression" priority="43" dxfId="3">
      <formula>AND(N(Z6)+N(M6)&gt;0,N(Z6)+N(M6)&gt;DAY(DATE($AF$1,11,0)))</formula>
    </cfRule>
    <cfRule type="expression" priority="44" dxfId="4">
      <formula>AND($B6&lt;&gt;"",OR(DATE($AF$1,11,0)&lt;$AF6,AND($AG6&lt;&gt;"",DATE($AF$1,10,1)&gt;$AG6)))</formula>
    </cfRule>
  </conditionalFormatting>
  <conditionalFormatting sqref="AA6:AA205">
    <cfRule type="expression" priority="45" dxfId="3">
      <formula>AND(N(AA6)+N(N6)&gt;0,N(AA6)+N(N6)&gt;DAY(DATE($AF$1,12,0)))</formula>
    </cfRule>
    <cfRule type="expression" priority="46" dxfId="4">
      <formula>AND($B6&lt;&gt;"",OR(DATE($AF$1,12,0)&lt;$AF6,AND($AG6&lt;&gt;"",DATE($AF$1,11,1)&gt;$AG6)))</formula>
    </cfRule>
  </conditionalFormatting>
  <conditionalFormatting sqref="AB6:AB205">
    <cfRule type="expression" priority="47" dxfId="3">
      <formula>AND(N(AB6)+N(O6)&gt;0,N(AB6)+N(O6)&gt;DAY(DATE($AF$1,13,0)))</formula>
    </cfRule>
    <cfRule type="expression" priority="48" dxfId="4">
      <formula>AND($B6&lt;&gt;"",OR(DATE($AF$1,13,0)&lt;$AF6,AND($AG6&lt;&gt;"",DATE($AF$1,12,1)&gt;$AG6)))</formula>
    </cfRule>
  </conditionalFormatting>
  <dataValidations count="1">
    <dataValidation sqref="D6:O205 Q6:AB205" showDropDown="0" showInputMessage="0" showErrorMessage="1" allowBlank="0" error="Krankheitstage 0–31" type="whole" operator="between">
      <formula1>0</formula1>
      <formula2>31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FC000"/>
    <outlinePr summaryBelow="1" summaryRight="1"/>
    <pageSetUpPr/>
  </sheetPr>
  <dimension ref="A1:O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</cols>
  <sheetData>
    <row r="1">
      <c r="A1" s="1" t="inlineStr">
        <is>
          <t>Ist-Stunden je Mitarbeiter und Monat</t>
        </is>
      </c>
      <c r="N1" s="12" t="inlineStr">
        <is>
          <t>→ Erklärung</t>
        </is>
      </c>
    </row>
    <row r="2" ht="30" customHeight="1">
      <c r="A2" s="13" t="inlineStr">
        <is>
          <t>Tatsächlich geleistete Stunden je Mitarbeiter und Monat eintragen (beide Objekte zusammen, z. B. aus Zeiterfassung/Lohnabrechnung). Grundlage für die Krankenquote und Ampel je Mitarbeiter. Ob Krankstunden enthalten sind: siehe Einstellungen.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</row>
    <row r="6">
      <c r="A6" s="49">
        <f>IF(Mitarbeiter!B6="","",Mitarbeiter!A6)</f>
        <v/>
      </c>
      <c r="B6" s="50">
        <f>IF(Mitarbeiter!B6="","",Mitarbeiter!B6)</f>
        <v/>
      </c>
      <c r="C6" s="55" t="n">
        <v>172</v>
      </c>
      <c r="D6" s="55" t="n">
        <v>172</v>
      </c>
      <c r="E6" s="55" t="n">
        <v>190</v>
      </c>
      <c r="F6" s="55" t="n">
        <v>166</v>
      </c>
      <c r="G6" s="55" t="n">
        <v>190</v>
      </c>
      <c r="H6" s="55" t="n">
        <v>126</v>
      </c>
      <c r="I6" s="55" t="n">
        <v>190</v>
      </c>
      <c r="J6" s="55" t="n">
        <v>190</v>
      </c>
      <c r="K6" s="55" t="n">
        <v>160</v>
      </c>
      <c r="L6" s="55" t="n"/>
      <c r="M6" s="55" t="n"/>
      <c r="N6" s="55" t="n"/>
      <c r="O6" s="37">
        <f>IF($B6="","",SUM(C6:N6))</f>
        <v/>
      </c>
    </row>
    <row r="7">
      <c r="A7" s="49">
        <f>IF(Mitarbeiter!B7="","",Mitarbeiter!A7)</f>
        <v/>
      </c>
      <c r="B7" s="50">
        <f>IF(Mitarbeiter!B7="","",Mitarbeiter!B7)</f>
        <v/>
      </c>
      <c r="C7" s="55" t="n">
        <v>92</v>
      </c>
      <c r="D7" s="55" t="n">
        <v>66</v>
      </c>
      <c r="E7" s="55" t="n">
        <v>86</v>
      </c>
      <c r="F7" s="55" t="n">
        <v>86</v>
      </c>
      <c r="G7" s="55" t="n">
        <v>80</v>
      </c>
      <c r="H7" s="55" t="n">
        <v>68</v>
      </c>
      <c r="I7" s="55" t="n">
        <v>104</v>
      </c>
      <c r="J7" s="55" t="n">
        <v>80</v>
      </c>
      <c r="K7" s="55" t="n">
        <v>86</v>
      </c>
      <c r="L7" s="55" t="n"/>
      <c r="M7" s="55" t="n"/>
      <c r="N7" s="55" t="n"/>
      <c r="O7" s="37">
        <f>IF($B7="","",SUM(C7:N7))</f>
        <v/>
      </c>
    </row>
    <row r="8">
      <c r="A8" s="49">
        <f>IF(Mitarbeiter!B8="","",Mitarbeiter!A8)</f>
        <v/>
      </c>
      <c r="B8" s="50">
        <f>IF(Mitarbeiter!B8="","",Mitarbeiter!B8)</f>
        <v/>
      </c>
      <c r="C8" s="55" t="n">
        <v>172</v>
      </c>
      <c r="D8" s="55" t="n">
        <v>152</v>
      </c>
      <c r="E8" s="55" t="n">
        <v>64</v>
      </c>
      <c r="F8" s="55" t="n">
        <v>102</v>
      </c>
      <c r="G8" s="55" t="n">
        <v>172</v>
      </c>
      <c r="H8" s="55" t="n">
        <v>160</v>
      </c>
      <c r="I8" s="55" t="n">
        <v>190</v>
      </c>
      <c r="J8" s="55" t="n">
        <v>142</v>
      </c>
      <c r="K8" s="55" t="n">
        <v>172</v>
      </c>
      <c r="L8" s="55" t="n"/>
      <c r="M8" s="55" t="n"/>
      <c r="N8" s="55" t="n"/>
      <c r="O8" s="37">
        <f>IF($B8="","",SUM(C8:N8))</f>
        <v/>
      </c>
    </row>
    <row r="9">
      <c r="A9" s="49">
        <f>IF(Mitarbeiter!B9="","",Mitarbeiter!A9)</f>
        <v/>
      </c>
      <c r="B9" s="50">
        <f>IF(Mitarbeiter!B9="","",Mitarbeiter!B9)</f>
        <v/>
      </c>
      <c r="C9" s="55" t="n">
        <v>70</v>
      </c>
      <c r="D9" s="55" t="n">
        <v>190</v>
      </c>
      <c r="E9" s="55" t="n">
        <v>166</v>
      </c>
      <c r="F9" s="55" t="n">
        <v>190</v>
      </c>
      <c r="G9" s="55" t="n">
        <v>172</v>
      </c>
      <c r="H9" s="55" t="n">
        <v>172</v>
      </c>
      <c r="I9" s="55" t="n">
        <v>182</v>
      </c>
      <c r="J9" s="55" t="n">
        <v>148</v>
      </c>
      <c r="K9" s="55" t="n">
        <v>190</v>
      </c>
      <c r="L9" s="55" t="n"/>
      <c r="M9" s="55" t="n"/>
      <c r="N9" s="55" t="n"/>
      <c r="O9" s="37">
        <f>IF($B9="","",SUM(C9:N9))</f>
        <v/>
      </c>
    </row>
    <row r="10">
      <c r="A10" s="49">
        <f>IF(Mitarbeiter!B10="","",Mitarbeiter!A10)</f>
        <v/>
      </c>
      <c r="B10" s="50">
        <f>IF(Mitarbeiter!B10="","",Mitarbeiter!B10)</f>
        <v/>
      </c>
      <c r="C10" s="55" t="n">
        <v>178</v>
      </c>
      <c r="D10" s="55" t="n">
        <v>178</v>
      </c>
      <c r="E10" s="55" t="n">
        <v>160</v>
      </c>
      <c r="F10" s="55" t="n">
        <v>182</v>
      </c>
      <c r="G10" s="55" t="n">
        <v>166</v>
      </c>
      <c r="H10" s="55" t="n">
        <v>164</v>
      </c>
      <c r="I10" s="55" t="n">
        <v>182</v>
      </c>
      <c r="J10" s="55" t="n">
        <v>160</v>
      </c>
      <c r="K10" s="55" t="n">
        <v>160</v>
      </c>
      <c r="L10" s="55" t="n"/>
      <c r="M10" s="55" t="n"/>
      <c r="N10" s="55" t="n"/>
      <c r="O10" s="37">
        <f>IF($B10="","",SUM(C10:N10))</f>
        <v/>
      </c>
    </row>
    <row r="11">
      <c r="A11" s="49">
        <f>IF(Mitarbeiter!B11="","",Mitarbeiter!A11)</f>
        <v/>
      </c>
      <c r="B11" s="50">
        <f>IF(Mitarbeiter!B11="","",Mitarbeiter!B11)</f>
        <v/>
      </c>
      <c r="C11" s="55" t="n">
        <v>178</v>
      </c>
      <c r="D11" s="55" t="n">
        <v>154</v>
      </c>
      <c r="E11" s="55" t="n">
        <v>178</v>
      </c>
      <c r="F11" s="55" t="n">
        <v>178</v>
      </c>
      <c r="G11" s="55" t="n">
        <v>166</v>
      </c>
      <c r="H11" s="55" t="n">
        <v>190</v>
      </c>
      <c r="I11" s="55" t="n">
        <v>172</v>
      </c>
      <c r="J11" s="55" t="n">
        <v>112</v>
      </c>
      <c r="K11" s="55" t="n">
        <v>172</v>
      </c>
      <c r="L11" s="55" t="n"/>
      <c r="M11" s="55" t="n"/>
      <c r="N11" s="55" t="n"/>
      <c r="O11" s="37">
        <f>IF($B11="","",SUM(C11:N11))</f>
        <v/>
      </c>
    </row>
    <row r="12">
      <c r="A12" s="49">
        <f>IF(Mitarbeiter!B12="","",Mitarbeiter!A12)</f>
        <v/>
      </c>
      <c r="B12" s="50">
        <f>IF(Mitarbeiter!B12="","",Mitarbeiter!B12)</f>
        <v/>
      </c>
      <c r="C12" s="55" t="n">
        <v>182</v>
      </c>
      <c r="D12" s="55" t="n">
        <v>8</v>
      </c>
      <c r="E12" s="55" t="n">
        <v>178</v>
      </c>
      <c r="F12" s="55" t="n">
        <v>172</v>
      </c>
      <c r="G12" s="55" t="n">
        <v>154</v>
      </c>
      <c r="H12" s="55" t="n">
        <v>172</v>
      </c>
      <c r="I12" s="55" t="n">
        <v>178</v>
      </c>
      <c r="J12" s="55" t="n">
        <v>172</v>
      </c>
      <c r="K12" s="55" t="n">
        <v>178</v>
      </c>
      <c r="L12" s="55" t="n"/>
      <c r="M12" s="55" t="n"/>
      <c r="N12" s="55" t="n"/>
      <c r="O12" s="37">
        <f>IF($B12="","",SUM(C12:N12))</f>
        <v/>
      </c>
    </row>
    <row r="13">
      <c r="A13" s="49">
        <f>IF(Mitarbeiter!B13="","",Mitarbeiter!A13)</f>
        <v/>
      </c>
      <c r="B13" s="50">
        <f>IF(Mitarbeiter!B13="","",Mitarbeiter!B13)</f>
        <v/>
      </c>
      <c r="C13" s="55" t="n">
        <v>139</v>
      </c>
      <c r="D13" s="55" t="n">
        <v>139</v>
      </c>
      <c r="E13" s="55" t="n">
        <v>129</v>
      </c>
      <c r="F13" s="55" t="n">
        <v>129</v>
      </c>
      <c r="G13" s="55" t="n">
        <v>147</v>
      </c>
      <c r="H13" s="55" t="n">
        <v>147</v>
      </c>
      <c r="I13" s="55" t="n">
        <v>135</v>
      </c>
      <c r="J13" s="55" t="n">
        <v>127</v>
      </c>
      <c r="K13" s="55" t="n">
        <v>117</v>
      </c>
      <c r="L13" s="55" t="n"/>
      <c r="M13" s="55" t="n"/>
      <c r="N13" s="55" t="n"/>
      <c r="O13" s="37">
        <f>IF($B13="","",SUM(C13:N13))</f>
        <v/>
      </c>
    </row>
    <row r="14">
      <c r="A14" s="49">
        <f>IF(Mitarbeiter!B14="","",Mitarbeiter!A14)</f>
        <v/>
      </c>
      <c r="B14" s="50">
        <f>IF(Mitarbeiter!B14="","",Mitarbeiter!B14)</f>
        <v/>
      </c>
      <c r="C14" s="55" t="n">
        <v>139</v>
      </c>
      <c r="D14" s="55" t="n">
        <v>117</v>
      </c>
      <c r="E14" s="55" t="n">
        <v>135</v>
      </c>
      <c r="F14" s="55" t="n">
        <v>123</v>
      </c>
      <c r="G14" s="55" t="n">
        <v>129</v>
      </c>
      <c r="H14" s="55" t="n">
        <v>81</v>
      </c>
      <c r="I14" s="55" t="n">
        <v>123</v>
      </c>
      <c r="J14" s="55" t="n">
        <v>135</v>
      </c>
      <c r="K14" s="55" t="n">
        <v>111</v>
      </c>
      <c r="L14" s="55" t="n"/>
      <c r="M14" s="55" t="n"/>
      <c r="N14" s="55" t="n"/>
      <c r="O14" s="37">
        <f>IF($B14="","",SUM(C14:N14))</f>
        <v/>
      </c>
    </row>
    <row r="15">
      <c r="A15" s="49">
        <f>IF(Mitarbeiter!B15="","",Mitarbeiter!A15)</f>
        <v/>
      </c>
      <c r="B15" s="50">
        <f>IF(Mitarbeiter!B15="","",Mitarbeiter!B15)</f>
        <v/>
      </c>
      <c r="C15" s="55" t="n">
        <v>182</v>
      </c>
      <c r="D15" s="55" t="n">
        <v>190</v>
      </c>
      <c r="E15" s="55" t="n">
        <v>178</v>
      </c>
      <c r="F15" s="55" t="n"/>
      <c r="G15" s="55" t="n"/>
      <c r="H15" s="55" t="n"/>
      <c r="I15" s="55" t="n"/>
      <c r="J15" s="55" t="n"/>
      <c r="K15" s="55" t="n"/>
      <c r="L15" s="55" t="n"/>
      <c r="M15" s="55" t="n"/>
      <c r="N15" s="55" t="n"/>
      <c r="O15" s="37">
        <f>IF($B15="","",SUM(C15:N15))</f>
        <v/>
      </c>
    </row>
    <row r="16">
      <c r="A16" s="49">
        <f>IF(Mitarbeiter!B16="","",Mitarbeiter!A16)</f>
        <v/>
      </c>
      <c r="B16" s="50">
        <f>IF(Mitarbeiter!B16="","",Mitarbeiter!B16)</f>
        <v/>
      </c>
      <c r="C16" s="55" t="n">
        <v>93</v>
      </c>
      <c r="D16" s="55" t="n">
        <v>129</v>
      </c>
      <c r="E16" s="55" t="n">
        <v>111</v>
      </c>
      <c r="F16" s="55" t="n">
        <v>111</v>
      </c>
      <c r="G16" s="55" t="n">
        <v>117</v>
      </c>
      <c r="H16" s="55" t="n">
        <v>117</v>
      </c>
      <c r="I16" s="55" t="n">
        <v>147</v>
      </c>
      <c r="J16" s="55" t="n">
        <v>99</v>
      </c>
      <c r="K16" s="55" t="n">
        <v>117</v>
      </c>
      <c r="L16" s="55" t="n"/>
      <c r="M16" s="55" t="n"/>
      <c r="N16" s="55" t="n"/>
      <c r="O16" s="37">
        <f>IF($B16="","",SUM(C16:N16))</f>
        <v/>
      </c>
    </row>
    <row r="17">
      <c r="A17" s="49">
        <f>IF(Mitarbeiter!B17="","",Mitarbeiter!A17)</f>
        <v/>
      </c>
      <c r="B17" s="50">
        <f>IF(Mitarbeiter!B17="","",Mitarbeiter!B17)</f>
        <v/>
      </c>
      <c r="C17" s="55" t="n">
        <v>178</v>
      </c>
      <c r="D17" s="55" t="n">
        <v>190</v>
      </c>
      <c r="E17" s="55" t="n"/>
      <c r="F17" s="55" t="n"/>
      <c r="G17" s="55" t="n"/>
      <c r="H17" s="55" t="n"/>
      <c r="I17" s="55" t="n"/>
      <c r="J17" s="55" t="n"/>
      <c r="K17" s="55" t="n"/>
      <c r="L17" s="55" t="n"/>
      <c r="M17" s="55" t="n"/>
      <c r="N17" s="55" t="n"/>
      <c r="O17" s="37">
        <f>IF($B17="","",SUM(C17:N17))</f>
        <v/>
      </c>
    </row>
    <row r="18">
      <c r="A18" s="49">
        <f>IF(Mitarbeiter!B18="","",Mitarbeiter!A18)</f>
        <v/>
      </c>
      <c r="B18" s="50">
        <f>IF(Mitarbeiter!B18="","",Mitarbeiter!B18)</f>
        <v/>
      </c>
      <c r="C18" s="55" t="n">
        <v>190</v>
      </c>
      <c r="D18" s="55" t="n">
        <v>182</v>
      </c>
      <c r="E18" s="55" t="n">
        <v>124</v>
      </c>
      <c r="F18" s="55" t="n">
        <v>172</v>
      </c>
      <c r="G18" s="55" t="n">
        <v>160</v>
      </c>
      <c r="H18" s="55" t="n"/>
      <c r="I18" s="55" t="n"/>
      <c r="J18" s="55" t="n"/>
      <c r="K18" s="55" t="n"/>
      <c r="L18" s="55" t="n"/>
      <c r="M18" s="55" t="n"/>
      <c r="N18" s="55" t="n"/>
      <c r="O18" s="37">
        <f>IF($B18="","",SUM(C18:N18))</f>
        <v/>
      </c>
    </row>
    <row r="19">
      <c r="A19" s="49">
        <f>IF(Mitarbeiter!B19="","",Mitarbeiter!A19)</f>
        <v/>
      </c>
      <c r="B19" s="50">
        <f>IF(Mitarbeiter!B19="","",Mitarbeiter!B19)</f>
        <v/>
      </c>
      <c r="C19" s="55" t="n">
        <v>172</v>
      </c>
      <c r="D19" s="55" t="n">
        <v>182</v>
      </c>
      <c r="E19" s="55" t="n">
        <v>166</v>
      </c>
      <c r="F19" s="55" t="n">
        <v>160</v>
      </c>
      <c r="G19" s="55" t="n">
        <v>160</v>
      </c>
      <c r="H19" s="55" t="n">
        <v>190</v>
      </c>
      <c r="I19" s="55" t="n">
        <v>160</v>
      </c>
      <c r="J19" s="55" t="n">
        <v>182</v>
      </c>
      <c r="K19" s="55" t="n">
        <v>172</v>
      </c>
      <c r="L19" s="55" t="n"/>
      <c r="M19" s="55" t="n"/>
      <c r="N19" s="55" t="n"/>
      <c r="O19" s="37">
        <f>IF($B19="","",SUM(C19:N19))</f>
        <v/>
      </c>
    </row>
    <row r="20">
      <c r="A20" s="49">
        <f>IF(Mitarbeiter!B20="","",Mitarbeiter!A20)</f>
        <v/>
      </c>
      <c r="B20" s="50">
        <f>IF(Mitarbeiter!B20="","",Mitarbeiter!B20)</f>
        <v/>
      </c>
      <c r="C20" s="55" t="n">
        <v>172</v>
      </c>
      <c r="D20" s="55" t="n">
        <v>158</v>
      </c>
      <c r="E20" s="55" t="n">
        <v>182</v>
      </c>
      <c r="F20" s="55" t="n">
        <v>190</v>
      </c>
      <c r="G20" s="55" t="n">
        <v>182</v>
      </c>
      <c r="H20" s="55" t="n">
        <v>178</v>
      </c>
      <c r="I20" s="55" t="n">
        <v>178</v>
      </c>
      <c r="J20" s="55" t="n">
        <v>178</v>
      </c>
      <c r="K20" s="55" t="n">
        <v>166</v>
      </c>
      <c r="L20" s="55" t="n"/>
      <c r="M20" s="55" t="n"/>
      <c r="N20" s="55" t="n"/>
      <c r="O20" s="37">
        <f>IF($B20="","",SUM(C20:N20))</f>
        <v/>
      </c>
    </row>
    <row r="21">
      <c r="A21" s="49">
        <f>IF(Mitarbeiter!B21="","",Mitarbeiter!A21)</f>
        <v/>
      </c>
      <c r="B21" s="50">
        <f>IF(Mitarbeiter!B21="","",Mitarbeiter!B21)</f>
        <v/>
      </c>
      <c r="C21" s="55" t="n">
        <v>172</v>
      </c>
      <c r="D21" s="55" t="n">
        <v>178</v>
      </c>
      <c r="E21" s="55" t="n">
        <v>160</v>
      </c>
      <c r="F21" s="55" t="n">
        <v>160</v>
      </c>
      <c r="G21" s="55" t="n">
        <v>166</v>
      </c>
      <c r="H21" s="55" t="n">
        <v>172</v>
      </c>
      <c r="I21" s="55" t="n">
        <v>190</v>
      </c>
      <c r="J21" s="55" t="n">
        <v>82</v>
      </c>
      <c r="K21" s="55" t="n">
        <v>172</v>
      </c>
      <c r="L21" s="55" t="n"/>
      <c r="M21" s="55" t="n"/>
      <c r="N21" s="55" t="n"/>
      <c r="O21" s="37">
        <f>IF($B21="","",SUM(C21:N21))</f>
        <v/>
      </c>
    </row>
    <row r="22">
      <c r="A22" s="49">
        <f>IF(Mitarbeiter!B22="","",Mitarbeiter!A22)</f>
        <v/>
      </c>
      <c r="B22" s="50">
        <f>IF(Mitarbeiter!B22="","",Mitarbeiter!B22)</f>
        <v/>
      </c>
      <c r="C22" s="55" t="n">
        <v>129</v>
      </c>
      <c r="D22" s="55" t="n">
        <v>117</v>
      </c>
      <c r="E22" s="55" t="n">
        <v>139</v>
      </c>
      <c r="F22" s="55" t="n">
        <v>129</v>
      </c>
      <c r="G22" s="55" t="n">
        <v>129</v>
      </c>
      <c r="H22" s="55" t="n"/>
      <c r="I22" s="55" t="n"/>
      <c r="J22" s="55" t="n"/>
      <c r="K22" s="55" t="n"/>
      <c r="L22" s="55" t="n"/>
      <c r="M22" s="55" t="n"/>
      <c r="N22" s="55" t="n"/>
      <c r="O22" s="37">
        <f>IF($B22="","",SUM(C22:N22))</f>
        <v/>
      </c>
    </row>
    <row r="23">
      <c r="A23" s="49">
        <f>IF(Mitarbeiter!B23="","",Mitarbeiter!A23)</f>
        <v/>
      </c>
      <c r="B23" s="50">
        <f>IF(Mitarbeiter!B23="","",Mitarbeiter!B23)</f>
        <v/>
      </c>
      <c r="C23" s="55" t="n">
        <v>110</v>
      </c>
      <c r="D23" s="55" t="n">
        <v>190</v>
      </c>
      <c r="E23" s="55" t="n">
        <v>134</v>
      </c>
      <c r="F23" s="55" t="n">
        <v>178</v>
      </c>
      <c r="G23" s="55" t="n">
        <v>166</v>
      </c>
      <c r="H23" s="55" t="n">
        <v>182</v>
      </c>
      <c r="I23" s="55" t="n">
        <v>178</v>
      </c>
      <c r="J23" s="55" t="n">
        <v>172</v>
      </c>
      <c r="K23" s="55" t="n">
        <v>172</v>
      </c>
      <c r="L23" s="55" t="n"/>
      <c r="M23" s="55" t="n"/>
      <c r="N23" s="55" t="n"/>
      <c r="O23" s="37">
        <f>IF($B23="","",SUM(C23:N23))</f>
        <v/>
      </c>
    </row>
    <row r="24">
      <c r="A24" s="49">
        <f>IF(Mitarbeiter!B24="","",Mitarbeiter!A24)</f>
        <v/>
      </c>
      <c r="B24" s="50">
        <f>IF(Mitarbeiter!B24="","",Mitarbeiter!B24)</f>
        <v/>
      </c>
      <c r="C24" s="55" t="n">
        <v>172</v>
      </c>
      <c r="D24" s="55" t="n">
        <v>160</v>
      </c>
      <c r="E24" s="55" t="n">
        <v>190</v>
      </c>
      <c r="F24" s="55" t="n">
        <v>182</v>
      </c>
      <c r="G24" s="55" t="n">
        <v>178</v>
      </c>
      <c r="H24" s="55" t="n">
        <v>182</v>
      </c>
      <c r="I24" s="55" t="n">
        <v>182</v>
      </c>
      <c r="J24" s="55" t="n">
        <v>132</v>
      </c>
      <c r="K24" s="55" t="n">
        <v>142</v>
      </c>
      <c r="L24" s="55" t="n"/>
      <c r="M24" s="55" t="n"/>
      <c r="N24" s="55" t="n"/>
      <c r="O24" s="37">
        <f>IF($B24="","",SUM(C24:N24))</f>
        <v/>
      </c>
    </row>
    <row r="25">
      <c r="A25" s="49">
        <f>IF(Mitarbeiter!B25="","",Mitarbeiter!A25)</f>
        <v/>
      </c>
      <c r="B25" s="50">
        <f>IF(Mitarbeiter!B25="","",Mitarbeiter!B25)</f>
        <v/>
      </c>
      <c r="C25" s="55" t="n">
        <v>136</v>
      </c>
      <c r="D25" s="55" t="n">
        <v>166</v>
      </c>
      <c r="E25" s="55" t="n">
        <v>76</v>
      </c>
      <c r="F25" s="55" t="n">
        <v>172</v>
      </c>
      <c r="G25" s="55" t="n">
        <v>190</v>
      </c>
      <c r="H25" s="55" t="n">
        <v>172</v>
      </c>
      <c r="I25" s="55" t="n">
        <v>190</v>
      </c>
      <c r="J25" s="55" t="n">
        <v>178</v>
      </c>
      <c r="K25" s="55" t="n">
        <v>136</v>
      </c>
      <c r="L25" s="55" t="n"/>
      <c r="M25" s="55" t="n"/>
      <c r="N25" s="55" t="n"/>
      <c r="O25" s="37">
        <f>IF($B25="","",SUM(C25:N25))</f>
        <v/>
      </c>
    </row>
    <row r="26">
      <c r="A26" s="49">
        <f>IF(Mitarbeiter!B26="","",Mitarbeiter!A26)</f>
        <v/>
      </c>
      <c r="B26" s="50">
        <f>IF(Mitarbeiter!B26="","",Mitarbeiter!B26)</f>
        <v/>
      </c>
      <c r="C26" s="55" t="n">
        <v>32</v>
      </c>
      <c r="D26" s="55" t="n">
        <v>74</v>
      </c>
      <c r="E26" s="55" t="n">
        <v>92</v>
      </c>
      <c r="F26" s="55" t="n">
        <v>86</v>
      </c>
      <c r="G26" s="55" t="n">
        <v>104</v>
      </c>
      <c r="H26" s="55" t="n">
        <v>80</v>
      </c>
      <c r="I26" s="55" t="n">
        <v>68</v>
      </c>
      <c r="J26" s="55" t="n">
        <v>68</v>
      </c>
      <c r="K26" s="55" t="n">
        <v>74</v>
      </c>
      <c r="L26" s="55" t="n"/>
      <c r="M26" s="55" t="n"/>
      <c r="N26" s="55" t="n"/>
      <c r="O26" s="37">
        <f>IF($B26="","",SUM(C26:N26))</f>
        <v/>
      </c>
    </row>
    <row r="27">
      <c r="A27" s="49">
        <f>IF(Mitarbeiter!B27="","",Mitarbeiter!A27)</f>
        <v/>
      </c>
      <c r="B27" s="50">
        <f>IF(Mitarbeiter!B27="","",Mitarbeiter!B27)</f>
        <v/>
      </c>
      <c r="C27" s="55" t="n">
        <v>92</v>
      </c>
      <c r="D27" s="55" t="n">
        <v>92</v>
      </c>
      <c r="E27" s="55" t="n">
        <v>96</v>
      </c>
      <c r="F27" s="55" t="n">
        <v>104</v>
      </c>
      <c r="G27" s="55" t="n">
        <v>96</v>
      </c>
      <c r="H27" s="55" t="n">
        <v>92</v>
      </c>
      <c r="I27" s="55" t="n">
        <v>96</v>
      </c>
      <c r="J27" s="55" t="n">
        <v>86</v>
      </c>
      <c r="K27" s="55" t="n">
        <v>82</v>
      </c>
      <c r="L27" s="55" t="n"/>
      <c r="M27" s="55" t="n"/>
      <c r="N27" s="55" t="n"/>
      <c r="O27" s="37">
        <f>IF($B27="","",SUM(C27:N27))</f>
        <v/>
      </c>
    </row>
    <row r="28">
      <c r="A28" s="49">
        <f>IF(Mitarbeiter!B28="","",Mitarbeiter!A28)</f>
        <v/>
      </c>
      <c r="B28" s="50">
        <f>IF(Mitarbeiter!B28="","",Mitarbeiter!B28)</f>
        <v/>
      </c>
      <c r="C28" s="55" t="n">
        <v>166</v>
      </c>
      <c r="D28" s="55" t="n">
        <v>172</v>
      </c>
      <c r="E28" s="55" t="n">
        <v>36</v>
      </c>
      <c r="F28" s="55" t="n">
        <v>138</v>
      </c>
      <c r="G28" s="55" t="n">
        <v>122</v>
      </c>
      <c r="H28" s="55" t="n">
        <v>142</v>
      </c>
      <c r="I28" s="55" t="n">
        <v>172</v>
      </c>
      <c r="J28" s="55" t="n">
        <v>172</v>
      </c>
      <c r="K28" s="55" t="n">
        <v>172</v>
      </c>
      <c r="L28" s="55" t="n"/>
      <c r="M28" s="55" t="n"/>
      <c r="N28" s="55" t="n"/>
      <c r="O28" s="37">
        <f>IF($B28="","",SUM(C28:N28))</f>
        <v/>
      </c>
    </row>
    <row r="29">
      <c r="A29" s="49">
        <f>IF(Mitarbeiter!B29="","",Mitarbeiter!A29)</f>
        <v/>
      </c>
      <c r="B29" s="50">
        <f>IF(Mitarbeiter!B29="","",Mitarbeiter!B29)</f>
        <v/>
      </c>
      <c r="C29" s="55" t="n">
        <v>160</v>
      </c>
      <c r="D29" s="55" t="n">
        <v>178</v>
      </c>
      <c r="E29" s="55" t="n">
        <v>172</v>
      </c>
      <c r="F29" s="55" t="n">
        <v>166</v>
      </c>
      <c r="G29" s="55" t="n">
        <v>172</v>
      </c>
      <c r="H29" s="55" t="n">
        <v>144</v>
      </c>
      <c r="I29" s="55" t="n">
        <v>166</v>
      </c>
      <c r="J29" s="55" t="n"/>
      <c r="K29" s="55" t="n"/>
      <c r="L29" s="55" t="n"/>
      <c r="M29" s="55" t="n"/>
      <c r="N29" s="55" t="n"/>
      <c r="O29" s="37">
        <f>IF($B29="","",SUM(C29:N29))</f>
        <v/>
      </c>
    </row>
    <row r="30">
      <c r="A30" s="49">
        <f>IF(Mitarbeiter!B30="","",Mitarbeiter!A30)</f>
        <v/>
      </c>
      <c r="B30" s="50">
        <f>IF(Mitarbeiter!B30="","",Mitarbeiter!B30)</f>
        <v/>
      </c>
      <c r="C30" s="55" t="n">
        <v>160</v>
      </c>
      <c r="D30" s="55" t="n">
        <v>116</v>
      </c>
      <c r="E30" s="55" t="n">
        <v>178</v>
      </c>
      <c r="F30" s="55" t="n">
        <v>178</v>
      </c>
      <c r="G30" s="55" t="n">
        <v>178</v>
      </c>
      <c r="H30" s="55" t="n">
        <v>178</v>
      </c>
      <c r="I30" s="55" t="n">
        <v>166</v>
      </c>
      <c r="J30" s="55" t="n">
        <v>156</v>
      </c>
      <c r="K30" s="55" t="n">
        <v>166</v>
      </c>
      <c r="L30" s="55" t="n"/>
      <c r="M30" s="55" t="n"/>
      <c r="N30" s="55" t="n"/>
      <c r="O30" s="37">
        <f>IF($B30="","",SUM(C30:N30))</f>
        <v/>
      </c>
    </row>
    <row r="31">
      <c r="A31" s="49">
        <f>IF(Mitarbeiter!B31="","",Mitarbeiter!A31)</f>
        <v/>
      </c>
      <c r="B31" s="50">
        <f>IF(Mitarbeiter!B31="","",Mitarbeiter!B31)</f>
        <v/>
      </c>
      <c r="C31" s="55" t="n">
        <v>172</v>
      </c>
      <c r="D31" s="55" t="n">
        <v>178</v>
      </c>
      <c r="E31" s="55" t="n">
        <v>160</v>
      </c>
      <c r="F31" s="55" t="n">
        <v>142</v>
      </c>
      <c r="G31" s="55" t="n">
        <v>190</v>
      </c>
      <c r="H31" s="55" t="n">
        <v>182</v>
      </c>
      <c r="I31" s="55" t="n">
        <v>172</v>
      </c>
      <c r="J31" s="55" t="n">
        <v>150</v>
      </c>
      <c r="K31" s="55" t="n">
        <v>160</v>
      </c>
      <c r="L31" s="55" t="n"/>
      <c r="M31" s="55" t="n"/>
      <c r="N31" s="55" t="n"/>
      <c r="O31" s="37">
        <f>IF($B31="","",SUM(C31:N31))</f>
        <v/>
      </c>
    </row>
    <row r="32">
      <c r="A32" s="49">
        <f>IF(Mitarbeiter!B32="","",Mitarbeiter!A32)</f>
        <v/>
      </c>
      <c r="B32" s="50">
        <f>IF(Mitarbeiter!B32="","",Mitarbeiter!B32)</f>
        <v/>
      </c>
      <c r="C32" s="55" t="n">
        <v>160</v>
      </c>
      <c r="D32" s="55" t="n">
        <v>172</v>
      </c>
      <c r="E32" s="55" t="n"/>
      <c r="F32" s="55" t="n"/>
      <c r="G32" s="55" t="n"/>
      <c r="H32" s="55" t="n"/>
      <c r="I32" s="55" t="n"/>
      <c r="J32" s="55" t="n"/>
      <c r="K32" s="55" t="n"/>
      <c r="L32" s="55" t="n"/>
      <c r="M32" s="55" t="n"/>
      <c r="N32" s="55" t="n"/>
      <c r="O32" s="37">
        <f>IF($B32="","",SUM(C32:N32))</f>
        <v/>
      </c>
    </row>
    <row r="33">
      <c r="A33" s="49">
        <f>IF(Mitarbeiter!B33="","",Mitarbeiter!A33)</f>
        <v/>
      </c>
      <c r="B33" s="50">
        <f>IF(Mitarbeiter!B33="","",Mitarbeiter!B33)</f>
        <v/>
      </c>
      <c r="C33" s="55" t="n">
        <v>166</v>
      </c>
      <c r="D33" s="55" t="n">
        <v>190</v>
      </c>
      <c r="E33" s="55" t="n">
        <v>178</v>
      </c>
      <c r="F33" s="55" t="n">
        <v>160</v>
      </c>
      <c r="G33" s="55" t="n">
        <v>60</v>
      </c>
      <c r="H33" s="55" t="n">
        <v>166</v>
      </c>
      <c r="I33" s="55" t="n">
        <v>86</v>
      </c>
      <c r="J33" s="55" t="n">
        <v>172</v>
      </c>
      <c r="K33" s="55" t="n">
        <v>182</v>
      </c>
      <c r="L33" s="55" t="n"/>
      <c r="M33" s="55" t="n"/>
      <c r="N33" s="55" t="n"/>
      <c r="O33" s="37">
        <f>IF($B33="","",SUM(C33:N33))</f>
        <v/>
      </c>
    </row>
    <row r="34">
      <c r="A34" s="49">
        <f>IF(Mitarbeiter!B34="","",Mitarbeiter!A34)</f>
        <v/>
      </c>
      <c r="B34" s="50">
        <f>IF(Mitarbeiter!B34="","",Mitarbeiter!B34)</f>
        <v/>
      </c>
      <c r="C34" s="55" t="n">
        <v>129</v>
      </c>
      <c r="D34" s="55" t="n">
        <v>123</v>
      </c>
      <c r="E34" s="55" t="n">
        <v>139</v>
      </c>
      <c r="F34" s="55" t="n">
        <v>135</v>
      </c>
      <c r="G34" s="55" t="n">
        <v>147</v>
      </c>
      <c r="H34" s="55" t="n">
        <v>147</v>
      </c>
      <c r="I34" s="55" t="n">
        <v>129</v>
      </c>
      <c r="J34" s="55" t="n">
        <v>147</v>
      </c>
      <c r="K34" s="55" t="n">
        <v>117</v>
      </c>
      <c r="L34" s="55" t="n"/>
      <c r="M34" s="55" t="n"/>
      <c r="N34" s="55" t="n"/>
      <c r="O34" s="37">
        <f>IF($B34="","",SUM(C34:N34))</f>
        <v/>
      </c>
    </row>
    <row r="35">
      <c r="A35" s="49">
        <f>IF(Mitarbeiter!B35="","",Mitarbeiter!A35)</f>
        <v/>
      </c>
      <c r="B35" s="50">
        <f>IF(Mitarbeiter!B35="","",Mitarbeiter!B35)</f>
        <v/>
      </c>
      <c r="C35" s="55" t="n">
        <v>46</v>
      </c>
      <c r="D35" s="55" t="n">
        <v>80</v>
      </c>
      <c r="E35" s="55" t="n">
        <v>48</v>
      </c>
      <c r="F35" s="55" t="n">
        <v>80</v>
      </c>
      <c r="G35" s="55" t="n">
        <v>54</v>
      </c>
      <c r="H35" s="55" t="n">
        <v>26</v>
      </c>
      <c r="I35" s="55" t="n">
        <v>82</v>
      </c>
      <c r="J35" s="55" t="n">
        <v>80</v>
      </c>
      <c r="K35" s="55" t="n">
        <v>86</v>
      </c>
      <c r="L35" s="55" t="n"/>
      <c r="M35" s="55" t="n"/>
      <c r="N35" s="55" t="n"/>
      <c r="O35" s="37">
        <f>IF($B35="","",SUM(C35:N35))</f>
        <v/>
      </c>
    </row>
    <row r="36">
      <c r="A36" s="49">
        <f>IF(Mitarbeiter!B36="","",Mitarbeiter!A36)</f>
        <v/>
      </c>
      <c r="B36" s="50">
        <f>IF(Mitarbeiter!B36="","",Mitarbeiter!B36)</f>
        <v/>
      </c>
      <c r="C36" s="55" t="n">
        <v>135</v>
      </c>
      <c r="D36" s="55" t="n">
        <v>147</v>
      </c>
      <c r="E36" s="55" t="n">
        <v>87</v>
      </c>
      <c r="F36" s="55" t="n">
        <v>135</v>
      </c>
      <c r="G36" s="55" t="n">
        <v>105</v>
      </c>
      <c r="H36" s="55" t="n">
        <v>111</v>
      </c>
      <c r="I36" s="55" t="n">
        <v>139</v>
      </c>
      <c r="J36" s="55" t="n">
        <v>129</v>
      </c>
      <c r="K36" s="55" t="n">
        <v>129</v>
      </c>
      <c r="L36" s="55" t="n"/>
      <c r="M36" s="55" t="n"/>
      <c r="N36" s="55" t="n"/>
      <c r="O36" s="37">
        <f>IF($B36="","",SUM(C36:N36))</f>
        <v/>
      </c>
    </row>
    <row r="37">
      <c r="A37" s="49">
        <f>IF(Mitarbeiter!B37="","",Mitarbeiter!A37)</f>
        <v/>
      </c>
      <c r="B37" s="50">
        <f>IF(Mitarbeiter!B37="","",Mitarbeiter!B37)</f>
        <v/>
      </c>
      <c r="C37" s="55" t="n">
        <v>104</v>
      </c>
      <c r="D37" s="55" t="n">
        <v>104</v>
      </c>
      <c r="E37" s="55" t="n">
        <v>80</v>
      </c>
      <c r="F37" s="55" t="n">
        <v>96</v>
      </c>
      <c r="G37" s="55" t="n"/>
      <c r="H37" s="55" t="n"/>
      <c r="I37" s="55" t="n"/>
      <c r="J37" s="55" t="n"/>
      <c r="K37" s="55" t="n"/>
      <c r="L37" s="55" t="n"/>
      <c r="M37" s="55" t="n"/>
      <c r="N37" s="55" t="n"/>
      <c r="O37" s="37">
        <f>IF($B37="","",SUM(C37:N37))</f>
        <v/>
      </c>
    </row>
    <row r="38">
      <c r="A38" s="49">
        <f>IF(Mitarbeiter!B38="","",Mitarbeiter!A38)</f>
        <v/>
      </c>
      <c r="B38" s="50">
        <f>IF(Mitarbeiter!B38="","",Mitarbeiter!B38)</f>
        <v/>
      </c>
      <c r="C38" s="55" t="n">
        <v>178</v>
      </c>
      <c r="D38" s="55" t="n">
        <v>178</v>
      </c>
      <c r="E38" s="55" t="n">
        <v>182</v>
      </c>
      <c r="F38" s="55" t="n">
        <v>190</v>
      </c>
      <c r="G38" s="55" t="n">
        <v>190</v>
      </c>
      <c r="H38" s="55" t="n">
        <v>160</v>
      </c>
      <c r="I38" s="55" t="n">
        <v>172</v>
      </c>
      <c r="J38" s="55" t="n">
        <v>160</v>
      </c>
      <c r="K38" s="55" t="n">
        <v>190</v>
      </c>
      <c r="L38" s="55" t="n"/>
      <c r="M38" s="55" t="n"/>
      <c r="N38" s="55" t="n"/>
      <c r="O38" s="37">
        <f>IF($B38="","",SUM(C38:N38))</f>
        <v/>
      </c>
    </row>
    <row r="39">
      <c r="A39" s="49">
        <f>IF(Mitarbeiter!B39="","",Mitarbeiter!A39)</f>
        <v/>
      </c>
      <c r="B39" s="50">
        <f>IF(Mitarbeiter!B39="","",Mitarbeiter!B39)</f>
        <v/>
      </c>
      <c r="C39" s="55" t="n">
        <v>117</v>
      </c>
      <c r="D39" s="55" t="n">
        <v>123</v>
      </c>
      <c r="E39" s="55" t="n">
        <v>21</v>
      </c>
      <c r="F39" s="55" t="n">
        <v>129</v>
      </c>
      <c r="G39" s="55" t="n">
        <v>129</v>
      </c>
      <c r="H39" s="55" t="n"/>
      <c r="I39" s="55" t="n"/>
      <c r="J39" s="55" t="n"/>
      <c r="K39" s="55" t="n"/>
      <c r="L39" s="55" t="n"/>
      <c r="M39" s="55" t="n"/>
      <c r="N39" s="55" t="n"/>
      <c r="O39" s="37">
        <f>IF($B39="","",SUM(C39:N39))</f>
        <v/>
      </c>
    </row>
    <row r="40">
      <c r="A40" s="49">
        <f>IF(Mitarbeiter!B40="","",Mitarbeiter!A40)</f>
        <v/>
      </c>
      <c r="B40" s="50">
        <f>IF(Mitarbeiter!B40="","",Mitarbeiter!B40)</f>
        <v/>
      </c>
      <c r="C40" s="55" t="n">
        <v>166</v>
      </c>
      <c r="D40" s="55" t="n">
        <v>172</v>
      </c>
      <c r="E40" s="55" t="n">
        <v>158</v>
      </c>
      <c r="F40" s="55" t="n">
        <v>182</v>
      </c>
      <c r="G40" s="55" t="n">
        <v>190</v>
      </c>
      <c r="H40" s="55" t="n">
        <v>160</v>
      </c>
      <c r="I40" s="55" t="n">
        <v>166</v>
      </c>
      <c r="J40" s="55" t="n">
        <v>164</v>
      </c>
      <c r="K40" s="55" t="n">
        <v>178</v>
      </c>
      <c r="L40" s="55" t="n"/>
      <c r="M40" s="55" t="n"/>
      <c r="N40" s="55" t="n"/>
      <c r="O40" s="37">
        <f>IF($B40="","",SUM(C40:N40))</f>
        <v/>
      </c>
    </row>
    <row r="41">
      <c r="A41" s="49">
        <f>IF(Mitarbeiter!B41="","",Mitarbeiter!A41)</f>
        <v/>
      </c>
      <c r="B41" s="50">
        <f>IF(Mitarbeiter!B41="","",Mitarbeiter!B41)</f>
        <v/>
      </c>
      <c r="C41" s="55" t="n">
        <v>172</v>
      </c>
      <c r="D41" s="55" t="n">
        <v>156</v>
      </c>
      <c r="E41" s="55" t="n">
        <v>144</v>
      </c>
      <c r="F41" s="55" t="n">
        <v>136</v>
      </c>
      <c r="G41" s="55" t="n">
        <v>178</v>
      </c>
      <c r="H41" s="55" t="n">
        <v>172</v>
      </c>
      <c r="I41" s="55" t="n">
        <v>166</v>
      </c>
      <c r="J41" s="55" t="n">
        <v>182</v>
      </c>
      <c r="K41" s="55" t="n">
        <v>152</v>
      </c>
      <c r="L41" s="55" t="n"/>
      <c r="M41" s="55" t="n"/>
      <c r="N41" s="55" t="n"/>
      <c r="O41" s="37">
        <f>IF($B41="","",SUM(C41:N41))</f>
        <v/>
      </c>
    </row>
    <row r="42">
      <c r="A42" s="49">
        <f>IF(Mitarbeiter!B42="","",Mitarbeiter!A42)</f>
        <v/>
      </c>
      <c r="B42" s="50">
        <f>IF(Mitarbeiter!B42="","",Mitarbeiter!B42)</f>
        <v/>
      </c>
      <c r="C42" s="55" t="n">
        <v>164</v>
      </c>
      <c r="D42" s="55" t="n">
        <v>172</v>
      </c>
      <c r="E42" s="55" t="n">
        <v>172</v>
      </c>
      <c r="F42" s="55" t="n">
        <v>182</v>
      </c>
      <c r="G42" s="55" t="n">
        <v>160</v>
      </c>
      <c r="H42" s="55" t="n">
        <v>172</v>
      </c>
      <c r="I42" s="55" t="n">
        <v>190</v>
      </c>
      <c r="J42" s="55" t="n">
        <v>182</v>
      </c>
      <c r="K42" s="55" t="n">
        <v>182</v>
      </c>
      <c r="L42" s="55" t="n"/>
      <c r="M42" s="55" t="n"/>
      <c r="N42" s="55" t="n"/>
      <c r="O42" s="37">
        <f>IF($B42="","",SUM(C42:N42))</f>
        <v/>
      </c>
    </row>
    <row r="43">
      <c r="A43" s="49">
        <f>IF(Mitarbeiter!B43="","",Mitarbeiter!A43)</f>
        <v/>
      </c>
      <c r="B43" s="50">
        <f>IF(Mitarbeiter!B43="","",Mitarbeiter!B43)</f>
        <v/>
      </c>
      <c r="C43" s="55" t="n">
        <v>172</v>
      </c>
      <c r="D43" s="55" t="n">
        <v>160</v>
      </c>
      <c r="E43" s="55" t="n">
        <v>160</v>
      </c>
      <c r="F43" s="55" t="n">
        <v>190</v>
      </c>
      <c r="G43" s="55" t="n">
        <v>172</v>
      </c>
      <c r="H43" s="55" t="n">
        <v>172</v>
      </c>
      <c r="I43" s="55" t="n">
        <v>190</v>
      </c>
      <c r="J43" s="55" t="n">
        <v>182</v>
      </c>
      <c r="K43" s="55" t="n">
        <v>166</v>
      </c>
      <c r="L43" s="55" t="n"/>
      <c r="M43" s="55" t="n"/>
      <c r="N43" s="55" t="n"/>
      <c r="O43" s="37">
        <f>IF($B43="","",SUM(C43:N43))</f>
        <v/>
      </c>
    </row>
    <row r="44">
      <c r="A44" s="49">
        <f>IF(Mitarbeiter!B44="","",Mitarbeiter!A44)</f>
        <v/>
      </c>
      <c r="B44" s="50">
        <f>IF(Mitarbeiter!B44="","",Mitarbeiter!B44)</f>
        <v/>
      </c>
      <c r="C44" s="55" t="n">
        <v>172</v>
      </c>
      <c r="D44" s="55" t="n">
        <v>172</v>
      </c>
      <c r="E44" s="55" t="n">
        <v>166</v>
      </c>
      <c r="F44" s="55" t="n">
        <v>172</v>
      </c>
      <c r="G44" s="55" t="n">
        <v>172</v>
      </c>
      <c r="H44" s="55" t="n">
        <v>182</v>
      </c>
      <c r="I44" s="55" t="n">
        <v>182</v>
      </c>
      <c r="J44" s="55" t="n">
        <v>190</v>
      </c>
      <c r="K44" s="55" t="n">
        <v>190</v>
      </c>
      <c r="L44" s="55" t="n"/>
      <c r="M44" s="55" t="n"/>
      <c r="N44" s="55" t="n"/>
      <c r="O44" s="37">
        <f>IF($B44="","",SUM(C44:N44))</f>
        <v/>
      </c>
    </row>
    <row r="45">
      <c r="A45" s="49">
        <f>IF(Mitarbeiter!B45="","",Mitarbeiter!A45)</f>
        <v/>
      </c>
      <c r="B45" s="50">
        <f>IF(Mitarbeiter!B45="","",Mitarbeiter!B45)</f>
        <v/>
      </c>
      <c r="C45" s="55" t="n">
        <v>64</v>
      </c>
      <c r="D45" s="55" t="n">
        <v>178</v>
      </c>
      <c r="E45" s="55" t="n">
        <v>120</v>
      </c>
      <c r="F45" s="55" t="n">
        <v>172</v>
      </c>
      <c r="G45" s="55" t="n">
        <v>172</v>
      </c>
      <c r="H45" s="55" t="n">
        <v>172</v>
      </c>
      <c r="I45" s="55" t="n">
        <v>182</v>
      </c>
      <c r="J45" s="55" t="n">
        <v>160</v>
      </c>
      <c r="K45" s="55" t="n">
        <v>154</v>
      </c>
      <c r="L45" s="55" t="n"/>
      <c r="M45" s="55" t="n"/>
      <c r="N45" s="55" t="n"/>
      <c r="O45" s="37">
        <f>IF($B45="","",SUM(C45:N45))</f>
        <v/>
      </c>
    </row>
    <row r="46">
      <c r="A46" s="49">
        <f>IF(Mitarbeiter!B46="","",Mitarbeiter!A46)</f>
        <v/>
      </c>
      <c r="B46" s="50">
        <f>IF(Mitarbeiter!B46="","",Mitarbeiter!B46)</f>
        <v/>
      </c>
      <c r="C46" s="55" t="n">
        <v>172</v>
      </c>
      <c r="D46" s="55" t="n">
        <v>160</v>
      </c>
      <c r="E46" s="55" t="n">
        <v>166</v>
      </c>
      <c r="F46" s="55" t="n">
        <v>172</v>
      </c>
      <c r="G46" s="55" t="n">
        <v>166</v>
      </c>
      <c r="H46" s="55" t="n">
        <v>172</v>
      </c>
      <c r="I46" s="55" t="n">
        <v>182</v>
      </c>
      <c r="J46" s="55" t="n"/>
      <c r="K46" s="55" t="n"/>
      <c r="L46" s="55" t="n"/>
      <c r="M46" s="55" t="n"/>
      <c r="N46" s="55" t="n"/>
      <c r="O46" s="37">
        <f>IF($B46="","",SUM(C46:N46))</f>
        <v/>
      </c>
    </row>
    <row r="47">
      <c r="A47" s="49">
        <f>IF(Mitarbeiter!B47="","",Mitarbeiter!A47)</f>
        <v/>
      </c>
      <c r="B47" s="50">
        <f>IF(Mitarbeiter!B47="","",Mitarbeiter!B47)</f>
        <v/>
      </c>
      <c r="C47" s="55" t="n">
        <v>96</v>
      </c>
      <c r="D47" s="55" t="n">
        <v>62</v>
      </c>
      <c r="E47" s="55" t="n">
        <v>80</v>
      </c>
      <c r="F47" s="55" t="n">
        <v>86</v>
      </c>
      <c r="G47" s="55" t="n">
        <v>74</v>
      </c>
      <c r="H47" s="55" t="n">
        <v>88</v>
      </c>
      <c r="I47" s="55" t="n">
        <v>82</v>
      </c>
      <c r="J47" s="55" t="n">
        <v>86</v>
      </c>
      <c r="K47" s="55" t="n">
        <v>80</v>
      </c>
      <c r="L47" s="55" t="n"/>
      <c r="M47" s="55" t="n"/>
      <c r="N47" s="55" t="n"/>
      <c r="O47" s="37">
        <f>IF($B47="","",SUM(C47:N47))</f>
        <v/>
      </c>
    </row>
    <row r="48">
      <c r="A48" s="49">
        <f>IF(Mitarbeiter!B48="","",Mitarbeiter!A48)</f>
        <v/>
      </c>
      <c r="B48" s="50">
        <f>IF(Mitarbeiter!B48="","",Mitarbeiter!B48)</f>
        <v/>
      </c>
      <c r="C48" s="55" t="n">
        <v>170</v>
      </c>
      <c r="D48" s="55" t="n">
        <v>150</v>
      </c>
      <c r="E48" s="55" t="n">
        <v>172</v>
      </c>
      <c r="F48" s="55" t="n">
        <v>190</v>
      </c>
      <c r="G48" s="55" t="n">
        <v>166</v>
      </c>
      <c r="H48" s="55" t="n">
        <v>160</v>
      </c>
      <c r="I48" s="55" t="n">
        <v>172</v>
      </c>
      <c r="J48" s="55" t="n"/>
      <c r="K48" s="55" t="n"/>
      <c r="L48" s="55" t="n"/>
      <c r="M48" s="55" t="n"/>
      <c r="N48" s="55" t="n"/>
      <c r="O48" s="37">
        <f>IF($B48="","",SUM(C48:N48))</f>
        <v/>
      </c>
    </row>
    <row r="49">
      <c r="A49" s="49">
        <f>IF(Mitarbeiter!B49="","",Mitarbeiter!A49)</f>
        <v/>
      </c>
      <c r="B49" s="50">
        <f>IF(Mitarbeiter!B49="","",Mitarbeiter!B49)</f>
        <v/>
      </c>
      <c r="C49" s="55" t="n">
        <v>172</v>
      </c>
      <c r="D49" s="55" t="n">
        <v>158</v>
      </c>
      <c r="E49" s="55" t="n">
        <v>94</v>
      </c>
      <c r="F49" s="55" t="n"/>
      <c r="G49" s="55" t="n"/>
      <c r="H49" s="55" t="n"/>
      <c r="I49" s="55" t="n"/>
      <c r="J49" s="55" t="n"/>
      <c r="K49" s="55" t="n"/>
      <c r="L49" s="55" t="n"/>
      <c r="M49" s="55" t="n"/>
      <c r="N49" s="55" t="n"/>
      <c r="O49" s="37">
        <f>IF($B49="","",SUM(C49:N49))</f>
        <v/>
      </c>
    </row>
    <row r="50">
      <c r="A50" s="49">
        <f>IF(Mitarbeiter!B50="","",Mitarbeiter!A50)</f>
        <v/>
      </c>
      <c r="B50" s="50">
        <f>IF(Mitarbeiter!B50="","",Mitarbeiter!B50)</f>
        <v/>
      </c>
      <c r="C50" s="55" t="n">
        <v>160</v>
      </c>
      <c r="D50" s="55" t="n">
        <v>160</v>
      </c>
      <c r="E50" s="55" t="n">
        <v>190</v>
      </c>
      <c r="F50" s="55" t="n">
        <v>190</v>
      </c>
      <c r="G50" s="55" t="n">
        <v>166</v>
      </c>
      <c r="H50" s="55" t="n">
        <v>172</v>
      </c>
      <c r="I50" s="55" t="n">
        <v>190</v>
      </c>
      <c r="J50" s="55" t="n">
        <v>160</v>
      </c>
      <c r="K50" s="55" t="n">
        <v>160</v>
      </c>
      <c r="L50" s="55" t="n"/>
      <c r="M50" s="55" t="n"/>
      <c r="N50" s="55" t="n"/>
      <c r="O50" s="37">
        <f>IF($B50="","",SUM(C50:N50))</f>
        <v/>
      </c>
    </row>
    <row r="51">
      <c r="A51" s="49">
        <f>IF(Mitarbeiter!B51="","",Mitarbeiter!A51)</f>
        <v/>
      </c>
      <c r="B51" s="50">
        <f>IF(Mitarbeiter!B51="","",Mitarbeiter!B51)</f>
        <v/>
      </c>
      <c r="C51" s="55" t="n"/>
      <c r="D51" s="55" t="n"/>
      <c r="E51" s="55" t="n"/>
      <c r="F51" s="55" t="n"/>
      <c r="G51" s="55" t="n"/>
      <c r="H51" s="55" t="n"/>
      <c r="I51" s="55" t="n"/>
      <c r="J51" s="55" t="n"/>
      <c r="K51" s="55" t="n"/>
      <c r="L51" s="55" t="n"/>
      <c r="M51" s="55" t="n"/>
      <c r="N51" s="55" t="n"/>
      <c r="O51" s="37">
        <f>IF($B51="","",SUM(C51:N51))</f>
        <v/>
      </c>
    </row>
    <row r="52">
      <c r="A52" s="49">
        <f>IF(Mitarbeiter!B52="","",Mitarbeiter!A52)</f>
        <v/>
      </c>
      <c r="B52" s="50">
        <f>IF(Mitarbeiter!B52="","",Mitarbeiter!B52)</f>
        <v/>
      </c>
      <c r="C52" s="55" t="n"/>
      <c r="D52" s="55" t="n"/>
      <c r="E52" s="55" t="n"/>
      <c r="F52" s="55" t="n"/>
      <c r="G52" s="55" t="n"/>
      <c r="H52" s="55" t="n">
        <v>129</v>
      </c>
      <c r="I52" s="55" t="n">
        <v>135</v>
      </c>
      <c r="J52" s="55" t="n">
        <v>129</v>
      </c>
      <c r="K52" s="55" t="n">
        <v>99</v>
      </c>
      <c r="L52" s="55" t="n"/>
      <c r="M52" s="55" t="n"/>
      <c r="N52" s="55" t="n"/>
      <c r="O52" s="37">
        <f>IF($B52="","",SUM(C52:N52))</f>
        <v/>
      </c>
    </row>
    <row r="53">
      <c r="A53" s="49">
        <f>IF(Mitarbeiter!B53="","",Mitarbeiter!A53)</f>
        <v/>
      </c>
      <c r="B53" s="50">
        <f>IF(Mitarbeiter!B53="","",Mitarbeiter!B53)</f>
        <v/>
      </c>
      <c r="C53" s="55" t="n"/>
      <c r="D53" s="55" t="n">
        <v>94</v>
      </c>
      <c r="E53" s="55" t="n">
        <v>170</v>
      </c>
      <c r="F53" s="55" t="n">
        <v>160</v>
      </c>
      <c r="G53" s="55" t="n">
        <v>160</v>
      </c>
      <c r="H53" s="55" t="n">
        <v>166</v>
      </c>
      <c r="I53" s="55" t="n">
        <v>166</v>
      </c>
      <c r="J53" s="55" t="n"/>
      <c r="K53" s="55" t="n"/>
      <c r="L53" s="55" t="n"/>
      <c r="M53" s="55" t="n"/>
      <c r="N53" s="55" t="n"/>
      <c r="O53" s="37">
        <f>IF($B53="","",SUM(C53:N53))</f>
        <v/>
      </c>
    </row>
    <row r="54">
      <c r="A54" s="49">
        <f>IF(Mitarbeiter!B54="","",Mitarbeiter!A54)</f>
        <v/>
      </c>
      <c r="B54" s="50">
        <f>IF(Mitarbeiter!B54="","",Mitarbeiter!B54)</f>
        <v/>
      </c>
      <c r="C54" s="55" t="n"/>
      <c r="D54" s="55" t="n"/>
      <c r="E54" s="55" t="n"/>
      <c r="F54" s="55" t="n"/>
      <c r="G54" s="55" t="n">
        <v>142</v>
      </c>
      <c r="H54" s="55" t="n">
        <v>172</v>
      </c>
      <c r="I54" s="55" t="n">
        <v>120</v>
      </c>
      <c r="J54" s="55" t="n">
        <v>172</v>
      </c>
      <c r="K54" s="55" t="n">
        <v>162</v>
      </c>
      <c r="L54" s="55" t="n"/>
      <c r="M54" s="55" t="n"/>
      <c r="N54" s="55" t="n"/>
      <c r="O54" s="37">
        <f>IF($B54="","",SUM(C54:N54))</f>
        <v/>
      </c>
    </row>
    <row r="55">
      <c r="A55" s="49">
        <f>IF(Mitarbeiter!B55="","",Mitarbeiter!A55)</f>
        <v/>
      </c>
      <c r="B55" s="50">
        <f>IF(Mitarbeiter!B55="","",Mitarbeiter!B55)</f>
        <v/>
      </c>
      <c r="C55" s="55" t="n"/>
      <c r="D55" s="55" t="n">
        <v>160</v>
      </c>
      <c r="E55" s="55" t="n">
        <v>172</v>
      </c>
      <c r="F55" s="55" t="n">
        <v>178</v>
      </c>
      <c r="G55" s="55" t="n">
        <v>166</v>
      </c>
      <c r="H55" s="55" t="n">
        <v>182</v>
      </c>
      <c r="I55" s="55" t="n">
        <v>76</v>
      </c>
      <c r="J55" s="55" t="n">
        <v>178</v>
      </c>
      <c r="K55" s="55" t="n">
        <v>160</v>
      </c>
      <c r="L55" s="55" t="n"/>
      <c r="M55" s="55" t="n"/>
      <c r="N55" s="55" t="n"/>
      <c r="O55" s="37">
        <f>IF($B55="","",SUM(C55:N55))</f>
        <v/>
      </c>
    </row>
    <row r="56">
      <c r="A56" s="49">
        <f>IF(Mitarbeiter!B56="","",Mitarbeiter!A56)</f>
        <v/>
      </c>
      <c r="B56" s="50">
        <f>IF(Mitarbeiter!B56="","",Mitarbeiter!B56)</f>
        <v/>
      </c>
      <c r="C56" s="55" t="n"/>
      <c r="D56" s="55" t="n"/>
      <c r="E56" s="55" t="n"/>
      <c r="F56" s="55" t="n"/>
      <c r="G56" s="55" t="n"/>
      <c r="H56" s="55" t="n"/>
      <c r="I56" s="55" t="n"/>
      <c r="J56" s="55" t="n">
        <v>160</v>
      </c>
      <c r="K56" s="55" t="n">
        <v>110</v>
      </c>
      <c r="L56" s="55" t="n"/>
      <c r="M56" s="55" t="n"/>
      <c r="N56" s="55" t="n"/>
      <c r="O56" s="37">
        <f>IF($B56="","",SUM(C56:N56))</f>
        <v/>
      </c>
    </row>
    <row r="57">
      <c r="A57" s="49">
        <f>IF(Mitarbeiter!B57="","",Mitarbeiter!A57)</f>
        <v/>
      </c>
      <c r="B57" s="50">
        <f>IF(Mitarbeiter!B57="","",Mitarbeiter!B57)</f>
        <v/>
      </c>
      <c r="C57" s="55" t="n"/>
      <c r="D57" s="55" t="n"/>
      <c r="E57" s="55" t="n">
        <v>82</v>
      </c>
      <c r="F57" s="55" t="n">
        <v>104</v>
      </c>
      <c r="G57" s="55" t="n">
        <v>104</v>
      </c>
      <c r="H57" s="55" t="n">
        <v>92</v>
      </c>
      <c r="I57" s="55" t="n">
        <v>74</v>
      </c>
      <c r="J57" s="55" t="n">
        <v>104</v>
      </c>
      <c r="K57" s="55" t="n">
        <v>92</v>
      </c>
      <c r="L57" s="55" t="n"/>
      <c r="M57" s="55" t="n"/>
      <c r="N57" s="55" t="n"/>
      <c r="O57" s="37">
        <f>IF($B57="","",SUM(C57:N57))</f>
        <v/>
      </c>
    </row>
    <row r="58">
      <c r="A58" s="49">
        <f>IF(Mitarbeiter!B58="","",Mitarbeiter!A58)</f>
        <v/>
      </c>
      <c r="B58" s="50">
        <f>IF(Mitarbeiter!B58="","",Mitarbeiter!B58)</f>
        <v/>
      </c>
      <c r="C58" s="55" t="n"/>
      <c r="D58" s="55" t="n"/>
      <c r="E58" s="55" t="n">
        <v>139</v>
      </c>
      <c r="F58" s="55" t="n">
        <v>97</v>
      </c>
      <c r="G58" s="55" t="n">
        <v>135</v>
      </c>
      <c r="H58" s="55" t="n">
        <v>139</v>
      </c>
      <c r="I58" s="55" t="n">
        <v>117</v>
      </c>
      <c r="J58" s="55" t="n">
        <v>117</v>
      </c>
      <c r="K58" s="55" t="n">
        <v>123</v>
      </c>
      <c r="L58" s="55" t="n"/>
      <c r="M58" s="55" t="n"/>
      <c r="N58" s="55" t="n"/>
      <c r="O58" s="37">
        <f>IF($B58="","",SUM(C58:N58))</f>
        <v/>
      </c>
    </row>
    <row r="59">
      <c r="A59" s="49">
        <f>IF(Mitarbeiter!B59="","",Mitarbeiter!A59)</f>
        <v/>
      </c>
      <c r="B59" s="50">
        <f>IF(Mitarbeiter!B59="","",Mitarbeiter!B59)</f>
        <v/>
      </c>
      <c r="C59" s="55" t="n"/>
      <c r="D59" s="55" t="n">
        <v>160</v>
      </c>
      <c r="E59" s="55" t="n">
        <v>172</v>
      </c>
      <c r="F59" s="55" t="n">
        <v>190</v>
      </c>
      <c r="G59" s="55" t="n">
        <v>182</v>
      </c>
      <c r="H59" s="55" t="n">
        <v>172</v>
      </c>
      <c r="I59" s="55" t="n">
        <v>190</v>
      </c>
      <c r="J59" s="55" t="n"/>
      <c r="K59" s="55" t="n"/>
      <c r="L59" s="55" t="n"/>
      <c r="M59" s="55" t="n"/>
      <c r="N59" s="55" t="n"/>
      <c r="O59" s="37">
        <f>IF($B59="","",SUM(C59:N59))</f>
        <v/>
      </c>
    </row>
    <row r="60">
      <c r="A60" s="49">
        <f>IF(Mitarbeiter!B60="","",Mitarbeiter!A60)</f>
        <v/>
      </c>
      <c r="B60" s="50">
        <f>IF(Mitarbeiter!B60="","",Mitarbeiter!B60)</f>
        <v/>
      </c>
      <c r="C60" s="55" t="n"/>
      <c r="D60" s="55" t="n">
        <v>190</v>
      </c>
      <c r="E60" s="55" t="n">
        <v>166</v>
      </c>
      <c r="F60" s="55" t="n">
        <v>190</v>
      </c>
      <c r="G60" s="55" t="n">
        <v>172</v>
      </c>
      <c r="H60" s="55" t="n">
        <v>148</v>
      </c>
      <c r="I60" s="55" t="n">
        <v>136</v>
      </c>
      <c r="J60" s="55" t="n">
        <v>190</v>
      </c>
      <c r="K60" s="55" t="n">
        <v>190</v>
      </c>
      <c r="L60" s="55" t="n"/>
      <c r="M60" s="55" t="n"/>
      <c r="N60" s="55" t="n"/>
      <c r="O60" s="37">
        <f>IF($B60="","",SUM(C60:N60))</f>
        <v/>
      </c>
    </row>
    <row r="61">
      <c r="A61" s="49">
        <f>IF(Mitarbeiter!B61="","",Mitarbeiter!A61)</f>
        <v/>
      </c>
      <c r="B61" s="50">
        <f>IF(Mitarbeiter!B61="","",Mitarbeiter!B61)</f>
        <v/>
      </c>
      <c r="C61" s="55" t="n"/>
      <c r="D61" s="55" t="n"/>
      <c r="E61" s="55" t="n"/>
      <c r="F61" s="55" t="n"/>
      <c r="G61" s="55" t="n"/>
      <c r="H61" s="55" t="n"/>
      <c r="I61" s="55" t="n"/>
      <c r="J61" s="55" t="n"/>
      <c r="K61" s="55" t="n"/>
      <c r="L61" s="55" t="n"/>
      <c r="M61" s="55" t="n"/>
      <c r="N61" s="55" t="n"/>
      <c r="O61" s="37">
        <f>IF($B61="","",SUM(C61:N61))</f>
        <v/>
      </c>
    </row>
    <row r="62">
      <c r="A62" s="49">
        <f>IF(Mitarbeiter!B62="","",Mitarbeiter!A62)</f>
        <v/>
      </c>
      <c r="B62" s="50">
        <f>IF(Mitarbeiter!B62="","",Mitarbeiter!B62)</f>
        <v/>
      </c>
      <c r="C62" s="55" t="n"/>
      <c r="D62" s="55" t="n"/>
      <c r="E62" s="55" t="n"/>
      <c r="F62" s="55" t="n"/>
      <c r="G62" s="55" t="n"/>
      <c r="H62" s="55" t="n"/>
      <c r="I62" s="55" t="n"/>
      <c r="J62" s="55" t="n"/>
      <c r="K62" s="55" t="n"/>
      <c r="L62" s="55" t="n"/>
      <c r="M62" s="55" t="n"/>
      <c r="N62" s="55" t="n"/>
      <c r="O62" s="37">
        <f>IF($B62="","",SUM(C62:N62))</f>
        <v/>
      </c>
    </row>
    <row r="63">
      <c r="A63" s="49">
        <f>IF(Mitarbeiter!B63="","",Mitarbeiter!A63)</f>
        <v/>
      </c>
      <c r="B63" s="50">
        <f>IF(Mitarbeiter!B63="","",Mitarbeiter!B63)</f>
        <v/>
      </c>
      <c r="C63" s="55" t="n"/>
      <c r="D63" s="55" t="n"/>
      <c r="E63" s="55" t="n"/>
      <c r="F63" s="55" t="n"/>
      <c r="G63" s="55" t="n"/>
      <c r="H63" s="55" t="n"/>
      <c r="I63" s="55" t="n"/>
      <c r="J63" s="55" t="n"/>
      <c r="K63" s="55" t="n"/>
      <c r="L63" s="55" t="n"/>
      <c r="M63" s="55" t="n"/>
      <c r="N63" s="55" t="n"/>
      <c r="O63" s="37">
        <f>IF($B63="","",SUM(C63:N63))</f>
        <v/>
      </c>
    </row>
    <row r="64">
      <c r="A64" s="49">
        <f>IF(Mitarbeiter!B64="","",Mitarbeiter!A64)</f>
        <v/>
      </c>
      <c r="B64" s="50">
        <f>IF(Mitarbeiter!B64="","",Mitarbeiter!B64)</f>
        <v/>
      </c>
      <c r="C64" s="55" t="n"/>
      <c r="D64" s="55" t="n"/>
      <c r="E64" s="55" t="n"/>
      <c r="F64" s="55" t="n"/>
      <c r="G64" s="55" t="n"/>
      <c r="H64" s="55" t="n"/>
      <c r="I64" s="55" t="n"/>
      <c r="J64" s="55" t="n"/>
      <c r="K64" s="55" t="n"/>
      <c r="L64" s="55" t="n"/>
      <c r="M64" s="55" t="n"/>
      <c r="N64" s="55" t="n"/>
      <c r="O64" s="37">
        <f>IF($B64="","",SUM(C64:N64))</f>
        <v/>
      </c>
    </row>
    <row r="65">
      <c r="A65" s="49">
        <f>IF(Mitarbeiter!B65="","",Mitarbeiter!A65)</f>
        <v/>
      </c>
      <c r="B65" s="50">
        <f>IF(Mitarbeiter!B65="","",Mitarbeiter!B65)</f>
        <v/>
      </c>
      <c r="C65" s="55" t="n"/>
      <c r="D65" s="55" t="n"/>
      <c r="E65" s="55" t="n"/>
      <c r="F65" s="55" t="n"/>
      <c r="G65" s="55" t="n"/>
      <c r="H65" s="55" t="n"/>
      <c r="I65" s="55" t="n"/>
      <c r="J65" s="55" t="n"/>
      <c r="K65" s="55" t="n"/>
      <c r="L65" s="55" t="n"/>
      <c r="M65" s="55" t="n"/>
      <c r="N65" s="55" t="n"/>
      <c r="O65" s="37">
        <f>IF($B65="","",SUM(C65:N65))</f>
        <v/>
      </c>
    </row>
    <row r="66">
      <c r="A66" s="49">
        <f>IF(Mitarbeiter!B66="","",Mitarbeiter!A66)</f>
        <v/>
      </c>
      <c r="B66" s="50">
        <f>IF(Mitarbeiter!B66="","",Mitarbeiter!B66)</f>
        <v/>
      </c>
      <c r="C66" s="55" t="n"/>
      <c r="D66" s="55" t="n"/>
      <c r="E66" s="55" t="n"/>
      <c r="F66" s="55" t="n"/>
      <c r="G66" s="55" t="n"/>
      <c r="H66" s="55" t="n"/>
      <c r="I66" s="55" t="n"/>
      <c r="J66" s="55" t="n"/>
      <c r="K66" s="55" t="n"/>
      <c r="L66" s="55" t="n"/>
      <c r="M66" s="55" t="n"/>
      <c r="N66" s="55" t="n"/>
      <c r="O66" s="37">
        <f>IF($B66="","",SUM(C66:N66))</f>
        <v/>
      </c>
    </row>
    <row r="67">
      <c r="A67" s="49">
        <f>IF(Mitarbeiter!B67="","",Mitarbeiter!A67)</f>
        <v/>
      </c>
      <c r="B67" s="50">
        <f>IF(Mitarbeiter!B67="","",Mitarbeiter!B67)</f>
        <v/>
      </c>
      <c r="C67" s="55" t="n"/>
      <c r="D67" s="55" t="n"/>
      <c r="E67" s="55" t="n"/>
      <c r="F67" s="55" t="n"/>
      <c r="G67" s="55" t="n"/>
      <c r="H67" s="55" t="n"/>
      <c r="I67" s="55" t="n"/>
      <c r="J67" s="55" t="n"/>
      <c r="K67" s="55" t="n"/>
      <c r="L67" s="55" t="n"/>
      <c r="M67" s="55" t="n"/>
      <c r="N67" s="55" t="n"/>
      <c r="O67" s="37">
        <f>IF($B67="","",SUM(C67:N67))</f>
        <v/>
      </c>
    </row>
    <row r="68">
      <c r="A68" s="49">
        <f>IF(Mitarbeiter!B68="","",Mitarbeiter!A68)</f>
        <v/>
      </c>
      <c r="B68" s="50">
        <f>IF(Mitarbeiter!B68="","",Mitarbeiter!B68)</f>
        <v/>
      </c>
      <c r="C68" s="55" t="n"/>
      <c r="D68" s="55" t="n"/>
      <c r="E68" s="55" t="n"/>
      <c r="F68" s="55" t="n"/>
      <c r="G68" s="55" t="n"/>
      <c r="H68" s="55" t="n"/>
      <c r="I68" s="55" t="n"/>
      <c r="J68" s="55" t="n"/>
      <c r="K68" s="55" t="n"/>
      <c r="L68" s="55" t="n"/>
      <c r="M68" s="55" t="n"/>
      <c r="N68" s="55" t="n"/>
      <c r="O68" s="37">
        <f>IF($B68="","",SUM(C68:N68))</f>
        <v/>
      </c>
    </row>
    <row r="69">
      <c r="A69" s="49">
        <f>IF(Mitarbeiter!B69="","",Mitarbeiter!A69)</f>
        <v/>
      </c>
      <c r="B69" s="50">
        <f>IF(Mitarbeiter!B69="","",Mitarbeiter!B69)</f>
        <v/>
      </c>
      <c r="C69" s="55" t="n"/>
      <c r="D69" s="55" t="n"/>
      <c r="E69" s="55" t="n"/>
      <c r="F69" s="55" t="n"/>
      <c r="G69" s="55" t="n"/>
      <c r="H69" s="55" t="n"/>
      <c r="I69" s="55" t="n"/>
      <c r="J69" s="55" t="n"/>
      <c r="K69" s="55" t="n"/>
      <c r="L69" s="55" t="n"/>
      <c r="M69" s="55" t="n"/>
      <c r="N69" s="55" t="n"/>
      <c r="O69" s="37">
        <f>IF($B69="","",SUM(C69:N69))</f>
        <v/>
      </c>
    </row>
    <row r="70">
      <c r="A70" s="49">
        <f>IF(Mitarbeiter!B70="","",Mitarbeiter!A70)</f>
        <v/>
      </c>
      <c r="B70" s="50">
        <f>IF(Mitarbeiter!B70="","",Mitarbeiter!B70)</f>
        <v/>
      </c>
      <c r="C70" s="55" t="n"/>
      <c r="D70" s="55" t="n"/>
      <c r="E70" s="55" t="n"/>
      <c r="F70" s="55" t="n"/>
      <c r="G70" s="55" t="n"/>
      <c r="H70" s="55" t="n"/>
      <c r="I70" s="55" t="n"/>
      <c r="J70" s="55" t="n"/>
      <c r="K70" s="55" t="n"/>
      <c r="L70" s="55" t="n"/>
      <c r="M70" s="55" t="n"/>
      <c r="N70" s="55" t="n"/>
      <c r="O70" s="37">
        <f>IF($B70="","",SUM(C70:N70))</f>
        <v/>
      </c>
    </row>
    <row r="71">
      <c r="A71" s="49">
        <f>IF(Mitarbeiter!B71="","",Mitarbeiter!A71)</f>
        <v/>
      </c>
      <c r="B71" s="50">
        <f>IF(Mitarbeiter!B71="","",Mitarbeiter!B71)</f>
        <v/>
      </c>
      <c r="C71" s="55" t="n"/>
      <c r="D71" s="55" t="n"/>
      <c r="E71" s="55" t="n"/>
      <c r="F71" s="55" t="n"/>
      <c r="G71" s="55" t="n"/>
      <c r="H71" s="55" t="n"/>
      <c r="I71" s="55" t="n"/>
      <c r="J71" s="55" t="n"/>
      <c r="K71" s="55" t="n"/>
      <c r="L71" s="55" t="n"/>
      <c r="M71" s="55" t="n"/>
      <c r="N71" s="55" t="n"/>
      <c r="O71" s="37">
        <f>IF($B71="","",SUM(C71:N71))</f>
        <v/>
      </c>
    </row>
    <row r="72">
      <c r="A72" s="49">
        <f>IF(Mitarbeiter!B72="","",Mitarbeiter!A72)</f>
        <v/>
      </c>
      <c r="B72" s="50">
        <f>IF(Mitarbeiter!B72="","",Mitarbeiter!B72)</f>
        <v/>
      </c>
      <c r="C72" s="55" t="n"/>
      <c r="D72" s="55" t="n"/>
      <c r="E72" s="55" t="n"/>
      <c r="F72" s="55" t="n"/>
      <c r="G72" s="55" t="n"/>
      <c r="H72" s="55" t="n"/>
      <c r="I72" s="55" t="n"/>
      <c r="J72" s="55" t="n"/>
      <c r="K72" s="55" t="n"/>
      <c r="L72" s="55" t="n"/>
      <c r="M72" s="55" t="n"/>
      <c r="N72" s="55" t="n"/>
      <c r="O72" s="37">
        <f>IF($B72="","",SUM(C72:N72))</f>
        <v/>
      </c>
    </row>
    <row r="73">
      <c r="A73" s="49">
        <f>IF(Mitarbeiter!B73="","",Mitarbeiter!A73)</f>
        <v/>
      </c>
      <c r="B73" s="50">
        <f>IF(Mitarbeiter!B73="","",Mitarbeiter!B73)</f>
        <v/>
      </c>
      <c r="C73" s="55" t="n"/>
      <c r="D73" s="55" t="n"/>
      <c r="E73" s="55" t="n"/>
      <c r="F73" s="55" t="n"/>
      <c r="G73" s="55" t="n"/>
      <c r="H73" s="55" t="n"/>
      <c r="I73" s="55" t="n"/>
      <c r="J73" s="55" t="n"/>
      <c r="K73" s="55" t="n"/>
      <c r="L73" s="55" t="n"/>
      <c r="M73" s="55" t="n"/>
      <c r="N73" s="55" t="n"/>
      <c r="O73" s="37">
        <f>IF($B73="","",SUM(C73:N73))</f>
        <v/>
      </c>
    </row>
    <row r="74">
      <c r="A74" s="49">
        <f>IF(Mitarbeiter!B74="","",Mitarbeiter!A74)</f>
        <v/>
      </c>
      <c r="B74" s="50">
        <f>IF(Mitarbeiter!B74="","",Mitarbeiter!B74)</f>
        <v/>
      </c>
      <c r="C74" s="55" t="n"/>
      <c r="D74" s="55" t="n"/>
      <c r="E74" s="55" t="n"/>
      <c r="F74" s="55" t="n"/>
      <c r="G74" s="55" t="n"/>
      <c r="H74" s="55" t="n"/>
      <c r="I74" s="55" t="n"/>
      <c r="J74" s="55" t="n"/>
      <c r="K74" s="55" t="n"/>
      <c r="L74" s="55" t="n"/>
      <c r="M74" s="55" t="n"/>
      <c r="N74" s="55" t="n"/>
      <c r="O74" s="37">
        <f>IF($B74="","",SUM(C74:N74))</f>
        <v/>
      </c>
    </row>
    <row r="75">
      <c r="A75" s="49">
        <f>IF(Mitarbeiter!B75="","",Mitarbeiter!A75)</f>
        <v/>
      </c>
      <c r="B75" s="50">
        <f>IF(Mitarbeiter!B75="","",Mitarbeiter!B75)</f>
        <v/>
      </c>
      <c r="C75" s="55" t="n"/>
      <c r="D75" s="55" t="n"/>
      <c r="E75" s="55" t="n"/>
      <c r="F75" s="55" t="n"/>
      <c r="G75" s="55" t="n"/>
      <c r="H75" s="55" t="n"/>
      <c r="I75" s="55" t="n"/>
      <c r="J75" s="55" t="n"/>
      <c r="K75" s="55" t="n"/>
      <c r="L75" s="55" t="n"/>
      <c r="M75" s="55" t="n"/>
      <c r="N75" s="55" t="n"/>
      <c r="O75" s="37">
        <f>IF($B75="","",SUM(C75:N75))</f>
        <v/>
      </c>
    </row>
    <row r="76">
      <c r="A76" s="49">
        <f>IF(Mitarbeiter!B76="","",Mitarbeiter!A76)</f>
        <v/>
      </c>
      <c r="B76" s="50">
        <f>IF(Mitarbeiter!B76="","",Mitarbeiter!B76)</f>
        <v/>
      </c>
      <c r="C76" s="55" t="n"/>
      <c r="D76" s="55" t="n"/>
      <c r="E76" s="55" t="n"/>
      <c r="F76" s="55" t="n"/>
      <c r="G76" s="55" t="n"/>
      <c r="H76" s="55" t="n"/>
      <c r="I76" s="55" t="n"/>
      <c r="J76" s="55" t="n"/>
      <c r="K76" s="55" t="n"/>
      <c r="L76" s="55" t="n"/>
      <c r="M76" s="55" t="n"/>
      <c r="N76" s="55" t="n"/>
      <c r="O76" s="37">
        <f>IF($B76="","",SUM(C76:N76))</f>
        <v/>
      </c>
    </row>
    <row r="77">
      <c r="A77" s="49">
        <f>IF(Mitarbeiter!B77="","",Mitarbeiter!A77)</f>
        <v/>
      </c>
      <c r="B77" s="50">
        <f>IF(Mitarbeiter!B77="","",Mitarbeiter!B77)</f>
        <v/>
      </c>
      <c r="C77" s="55" t="n"/>
      <c r="D77" s="55" t="n"/>
      <c r="E77" s="55" t="n"/>
      <c r="F77" s="55" t="n"/>
      <c r="G77" s="55" t="n"/>
      <c r="H77" s="55" t="n"/>
      <c r="I77" s="55" t="n"/>
      <c r="J77" s="55" t="n"/>
      <c r="K77" s="55" t="n"/>
      <c r="L77" s="55" t="n"/>
      <c r="M77" s="55" t="n"/>
      <c r="N77" s="55" t="n"/>
      <c r="O77" s="37">
        <f>IF($B77="","",SUM(C77:N77))</f>
        <v/>
      </c>
    </row>
    <row r="78">
      <c r="A78" s="49">
        <f>IF(Mitarbeiter!B78="","",Mitarbeiter!A78)</f>
        <v/>
      </c>
      <c r="B78" s="50">
        <f>IF(Mitarbeiter!B78="","",Mitarbeiter!B78)</f>
        <v/>
      </c>
      <c r="C78" s="55" t="n"/>
      <c r="D78" s="55" t="n"/>
      <c r="E78" s="55" t="n"/>
      <c r="F78" s="55" t="n"/>
      <c r="G78" s="55" t="n"/>
      <c r="H78" s="55" t="n"/>
      <c r="I78" s="55" t="n"/>
      <c r="J78" s="55" t="n"/>
      <c r="K78" s="55" t="n"/>
      <c r="L78" s="55" t="n"/>
      <c r="M78" s="55" t="n"/>
      <c r="N78" s="55" t="n"/>
      <c r="O78" s="37">
        <f>IF($B78="","",SUM(C78:N78))</f>
        <v/>
      </c>
    </row>
    <row r="79">
      <c r="A79" s="49">
        <f>IF(Mitarbeiter!B79="","",Mitarbeiter!A79)</f>
        <v/>
      </c>
      <c r="B79" s="50">
        <f>IF(Mitarbeiter!B79="","",Mitarbeiter!B79)</f>
        <v/>
      </c>
      <c r="C79" s="55" t="n"/>
      <c r="D79" s="55" t="n"/>
      <c r="E79" s="55" t="n"/>
      <c r="F79" s="55" t="n"/>
      <c r="G79" s="55" t="n"/>
      <c r="H79" s="55" t="n"/>
      <c r="I79" s="55" t="n"/>
      <c r="J79" s="55" t="n"/>
      <c r="K79" s="55" t="n"/>
      <c r="L79" s="55" t="n"/>
      <c r="M79" s="55" t="n"/>
      <c r="N79" s="55" t="n"/>
      <c r="O79" s="37">
        <f>IF($B79="","",SUM(C79:N79))</f>
        <v/>
      </c>
    </row>
    <row r="80">
      <c r="A80" s="49">
        <f>IF(Mitarbeiter!B80="","",Mitarbeiter!A80)</f>
        <v/>
      </c>
      <c r="B80" s="50">
        <f>IF(Mitarbeiter!B80="","",Mitarbeiter!B80)</f>
        <v/>
      </c>
      <c r="C80" s="55" t="n"/>
      <c r="D80" s="55" t="n"/>
      <c r="E80" s="55" t="n"/>
      <c r="F80" s="55" t="n"/>
      <c r="G80" s="55" t="n"/>
      <c r="H80" s="55" t="n"/>
      <c r="I80" s="55" t="n"/>
      <c r="J80" s="55" t="n"/>
      <c r="K80" s="55" t="n"/>
      <c r="L80" s="55" t="n"/>
      <c r="M80" s="55" t="n"/>
      <c r="N80" s="55" t="n"/>
      <c r="O80" s="37">
        <f>IF($B80="","",SUM(C80:N80))</f>
        <v/>
      </c>
    </row>
    <row r="81">
      <c r="A81" s="49">
        <f>IF(Mitarbeiter!B81="","",Mitarbeiter!A81)</f>
        <v/>
      </c>
      <c r="B81" s="50">
        <f>IF(Mitarbeiter!B81="","",Mitarbeiter!B81)</f>
        <v/>
      </c>
      <c r="C81" s="55" t="n"/>
      <c r="D81" s="55" t="n"/>
      <c r="E81" s="55" t="n"/>
      <c r="F81" s="55" t="n"/>
      <c r="G81" s="55" t="n"/>
      <c r="H81" s="55" t="n"/>
      <c r="I81" s="55" t="n"/>
      <c r="J81" s="55" t="n"/>
      <c r="K81" s="55" t="n"/>
      <c r="L81" s="55" t="n"/>
      <c r="M81" s="55" t="n"/>
      <c r="N81" s="55" t="n"/>
      <c r="O81" s="37">
        <f>IF($B81="","",SUM(C81:N81))</f>
        <v/>
      </c>
    </row>
    <row r="82">
      <c r="A82" s="49">
        <f>IF(Mitarbeiter!B82="","",Mitarbeiter!A82)</f>
        <v/>
      </c>
      <c r="B82" s="50">
        <f>IF(Mitarbeiter!B82="","",Mitarbeiter!B82)</f>
        <v/>
      </c>
      <c r="C82" s="55" t="n"/>
      <c r="D82" s="55" t="n"/>
      <c r="E82" s="55" t="n"/>
      <c r="F82" s="55" t="n"/>
      <c r="G82" s="55" t="n"/>
      <c r="H82" s="55" t="n"/>
      <c r="I82" s="55" t="n"/>
      <c r="J82" s="55" t="n"/>
      <c r="K82" s="55" t="n"/>
      <c r="L82" s="55" t="n"/>
      <c r="M82" s="55" t="n"/>
      <c r="N82" s="55" t="n"/>
      <c r="O82" s="37">
        <f>IF($B82="","",SUM(C82:N82))</f>
        <v/>
      </c>
    </row>
    <row r="83">
      <c r="A83" s="49">
        <f>IF(Mitarbeiter!B83="","",Mitarbeiter!A83)</f>
        <v/>
      </c>
      <c r="B83" s="50">
        <f>IF(Mitarbeiter!B83="","",Mitarbeiter!B83)</f>
        <v/>
      </c>
      <c r="C83" s="55" t="n"/>
      <c r="D83" s="55" t="n"/>
      <c r="E83" s="55" t="n"/>
      <c r="F83" s="55" t="n"/>
      <c r="G83" s="55" t="n"/>
      <c r="H83" s="55" t="n"/>
      <c r="I83" s="55" t="n"/>
      <c r="J83" s="55" t="n"/>
      <c r="K83" s="55" t="n"/>
      <c r="L83" s="55" t="n"/>
      <c r="M83" s="55" t="n"/>
      <c r="N83" s="55" t="n"/>
      <c r="O83" s="37">
        <f>IF($B83="","",SUM(C83:N83))</f>
        <v/>
      </c>
    </row>
    <row r="84">
      <c r="A84" s="49">
        <f>IF(Mitarbeiter!B84="","",Mitarbeiter!A84)</f>
        <v/>
      </c>
      <c r="B84" s="50">
        <f>IF(Mitarbeiter!B84="","",Mitarbeiter!B84)</f>
        <v/>
      </c>
      <c r="C84" s="55" t="n"/>
      <c r="D84" s="55" t="n"/>
      <c r="E84" s="55" t="n"/>
      <c r="F84" s="55" t="n"/>
      <c r="G84" s="55" t="n"/>
      <c r="H84" s="55" t="n"/>
      <c r="I84" s="55" t="n"/>
      <c r="J84" s="55" t="n"/>
      <c r="K84" s="55" t="n"/>
      <c r="L84" s="55" t="n"/>
      <c r="M84" s="55" t="n"/>
      <c r="N84" s="55" t="n"/>
      <c r="O84" s="37">
        <f>IF($B84="","",SUM(C84:N84))</f>
        <v/>
      </c>
    </row>
    <row r="85">
      <c r="A85" s="49">
        <f>IF(Mitarbeiter!B85="","",Mitarbeiter!A85)</f>
        <v/>
      </c>
      <c r="B85" s="50">
        <f>IF(Mitarbeiter!B85="","",Mitarbeiter!B85)</f>
        <v/>
      </c>
      <c r="C85" s="55" t="n"/>
      <c r="D85" s="55" t="n"/>
      <c r="E85" s="55" t="n"/>
      <c r="F85" s="55" t="n"/>
      <c r="G85" s="55" t="n"/>
      <c r="H85" s="55" t="n"/>
      <c r="I85" s="55" t="n"/>
      <c r="J85" s="55" t="n"/>
      <c r="K85" s="55" t="n"/>
      <c r="L85" s="55" t="n"/>
      <c r="M85" s="55" t="n"/>
      <c r="N85" s="55" t="n"/>
      <c r="O85" s="37">
        <f>IF($B85="","",SUM(C85:N85))</f>
        <v/>
      </c>
    </row>
    <row r="86">
      <c r="A86" s="49">
        <f>IF(Mitarbeiter!B86="","",Mitarbeiter!A86)</f>
        <v/>
      </c>
      <c r="B86" s="50">
        <f>IF(Mitarbeiter!B86="","",Mitarbeiter!B86)</f>
        <v/>
      </c>
      <c r="C86" s="55" t="n"/>
      <c r="D86" s="55" t="n"/>
      <c r="E86" s="55" t="n"/>
      <c r="F86" s="55" t="n"/>
      <c r="G86" s="55" t="n"/>
      <c r="H86" s="55" t="n"/>
      <c r="I86" s="55" t="n"/>
      <c r="J86" s="55" t="n"/>
      <c r="K86" s="55" t="n"/>
      <c r="L86" s="55" t="n"/>
      <c r="M86" s="55" t="n"/>
      <c r="N86" s="55" t="n"/>
      <c r="O86" s="37">
        <f>IF($B86="","",SUM(C86:N86))</f>
        <v/>
      </c>
    </row>
    <row r="87">
      <c r="A87" s="49">
        <f>IF(Mitarbeiter!B87="","",Mitarbeiter!A87)</f>
        <v/>
      </c>
      <c r="B87" s="50">
        <f>IF(Mitarbeiter!B87="","",Mitarbeiter!B87)</f>
        <v/>
      </c>
      <c r="C87" s="55" t="n"/>
      <c r="D87" s="55" t="n"/>
      <c r="E87" s="55" t="n"/>
      <c r="F87" s="55" t="n"/>
      <c r="G87" s="55" t="n"/>
      <c r="H87" s="55" t="n"/>
      <c r="I87" s="55" t="n"/>
      <c r="J87" s="55" t="n"/>
      <c r="K87" s="55" t="n"/>
      <c r="L87" s="55" t="n"/>
      <c r="M87" s="55" t="n"/>
      <c r="N87" s="55" t="n"/>
      <c r="O87" s="37">
        <f>IF($B87="","",SUM(C87:N87))</f>
        <v/>
      </c>
    </row>
    <row r="88">
      <c r="A88" s="49">
        <f>IF(Mitarbeiter!B88="","",Mitarbeiter!A88)</f>
        <v/>
      </c>
      <c r="B88" s="50">
        <f>IF(Mitarbeiter!B88="","",Mitarbeiter!B88)</f>
        <v/>
      </c>
      <c r="C88" s="55" t="n"/>
      <c r="D88" s="55" t="n"/>
      <c r="E88" s="55" t="n"/>
      <c r="F88" s="55" t="n"/>
      <c r="G88" s="55" t="n"/>
      <c r="H88" s="55" t="n"/>
      <c r="I88" s="55" t="n"/>
      <c r="J88" s="55" t="n"/>
      <c r="K88" s="55" t="n"/>
      <c r="L88" s="55" t="n"/>
      <c r="M88" s="55" t="n"/>
      <c r="N88" s="55" t="n"/>
      <c r="O88" s="37">
        <f>IF($B88="","",SUM(C88:N88))</f>
        <v/>
      </c>
    </row>
    <row r="89">
      <c r="A89" s="49">
        <f>IF(Mitarbeiter!B89="","",Mitarbeiter!A89)</f>
        <v/>
      </c>
      <c r="B89" s="50">
        <f>IF(Mitarbeiter!B89="","",Mitarbeiter!B89)</f>
        <v/>
      </c>
      <c r="C89" s="55" t="n"/>
      <c r="D89" s="55" t="n"/>
      <c r="E89" s="55" t="n"/>
      <c r="F89" s="55" t="n"/>
      <c r="G89" s="55" t="n"/>
      <c r="H89" s="55" t="n"/>
      <c r="I89" s="55" t="n"/>
      <c r="J89" s="55" t="n"/>
      <c r="K89" s="55" t="n"/>
      <c r="L89" s="55" t="n"/>
      <c r="M89" s="55" t="n"/>
      <c r="N89" s="55" t="n"/>
      <c r="O89" s="37">
        <f>IF($B89="","",SUM(C89:N89))</f>
        <v/>
      </c>
    </row>
    <row r="90">
      <c r="A90" s="49">
        <f>IF(Mitarbeiter!B90="","",Mitarbeiter!A90)</f>
        <v/>
      </c>
      <c r="B90" s="50">
        <f>IF(Mitarbeiter!B90="","",Mitarbeiter!B90)</f>
        <v/>
      </c>
      <c r="C90" s="55" t="n"/>
      <c r="D90" s="55" t="n"/>
      <c r="E90" s="55" t="n"/>
      <c r="F90" s="55" t="n"/>
      <c r="G90" s="55" t="n"/>
      <c r="H90" s="55" t="n"/>
      <c r="I90" s="55" t="n"/>
      <c r="J90" s="55" t="n"/>
      <c r="K90" s="55" t="n"/>
      <c r="L90" s="55" t="n"/>
      <c r="M90" s="55" t="n"/>
      <c r="N90" s="55" t="n"/>
      <c r="O90" s="37">
        <f>IF($B90="","",SUM(C90:N90))</f>
        <v/>
      </c>
    </row>
    <row r="91">
      <c r="A91" s="49">
        <f>IF(Mitarbeiter!B91="","",Mitarbeiter!A91)</f>
        <v/>
      </c>
      <c r="B91" s="50">
        <f>IF(Mitarbeiter!B91="","",Mitarbeiter!B91)</f>
        <v/>
      </c>
      <c r="C91" s="55" t="n"/>
      <c r="D91" s="55" t="n"/>
      <c r="E91" s="55" t="n"/>
      <c r="F91" s="55" t="n"/>
      <c r="G91" s="55" t="n"/>
      <c r="H91" s="55" t="n"/>
      <c r="I91" s="55" t="n"/>
      <c r="J91" s="55" t="n"/>
      <c r="K91" s="55" t="n"/>
      <c r="L91" s="55" t="n"/>
      <c r="M91" s="55" t="n"/>
      <c r="N91" s="55" t="n"/>
      <c r="O91" s="37">
        <f>IF($B91="","",SUM(C91:N91))</f>
        <v/>
      </c>
    </row>
    <row r="92">
      <c r="A92" s="49">
        <f>IF(Mitarbeiter!B92="","",Mitarbeiter!A92)</f>
        <v/>
      </c>
      <c r="B92" s="50">
        <f>IF(Mitarbeiter!B92="","",Mitarbeiter!B92)</f>
        <v/>
      </c>
      <c r="C92" s="55" t="n"/>
      <c r="D92" s="55" t="n"/>
      <c r="E92" s="55" t="n"/>
      <c r="F92" s="55" t="n"/>
      <c r="G92" s="55" t="n"/>
      <c r="H92" s="55" t="n"/>
      <c r="I92" s="55" t="n"/>
      <c r="J92" s="55" t="n"/>
      <c r="K92" s="55" t="n"/>
      <c r="L92" s="55" t="n"/>
      <c r="M92" s="55" t="n"/>
      <c r="N92" s="55" t="n"/>
      <c r="O92" s="37">
        <f>IF($B92="","",SUM(C92:N92))</f>
        <v/>
      </c>
    </row>
    <row r="93">
      <c r="A93" s="49">
        <f>IF(Mitarbeiter!B93="","",Mitarbeiter!A93)</f>
        <v/>
      </c>
      <c r="B93" s="50">
        <f>IF(Mitarbeiter!B93="","",Mitarbeiter!B93)</f>
        <v/>
      </c>
      <c r="C93" s="55" t="n"/>
      <c r="D93" s="55" t="n"/>
      <c r="E93" s="55" t="n"/>
      <c r="F93" s="55" t="n"/>
      <c r="G93" s="55" t="n"/>
      <c r="H93" s="55" t="n"/>
      <c r="I93" s="55" t="n"/>
      <c r="J93" s="55" t="n"/>
      <c r="K93" s="55" t="n"/>
      <c r="L93" s="55" t="n"/>
      <c r="M93" s="55" t="n"/>
      <c r="N93" s="55" t="n"/>
      <c r="O93" s="37">
        <f>IF($B93="","",SUM(C93:N93))</f>
        <v/>
      </c>
    </row>
    <row r="94">
      <c r="A94" s="49">
        <f>IF(Mitarbeiter!B94="","",Mitarbeiter!A94)</f>
        <v/>
      </c>
      <c r="B94" s="50">
        <f>IF(Mitarbeiter!B94="","",Mitarbeiter!B94)</f>
        <v/>
      </c>
      <c r="C94" s="55" t="n"/>
      <c r="D94" s="55" t="n"/>
      <c r="E94" s="55" t="n"/>
      <c r="F94" s="55" t="n"/>
      <c r="G94" s="55" t="n"/>
      <c r="H94" s="55" t="n"/>
      <c r="I94" s="55" t="n"/>
      <c r="J94" s="55" t="n"/>
      <c r="K94" s="55" t="n"/>
      <c r="L94" s="55" t="n"/>
      <c r="M94" s="55" t="n"/>
      <c r="N94" s="55" t="n"/>
      <c r="O94" s="37">
        <f>IF($B94="","",SUM(C94:N94))</f>
        <v/>
      </c>
    </row>
    <row r="95">
      <c r="A95" s="49">
        <f>IF(Mitarbeiter!B95="","",Mitarbeiter!A95)</f>
        <v/>
      </c>
      <c r="B95" s="50">
        <f>IF(Mitarbeiter!B95="","",Mitarbeiter!B95)</f>
        <v/>
      </c>
      <c r="C95" s="55" t="n"/>
      <c r="D95" s="55" t="n"/>
      <c r="E95" s="55" t="n"/>
      <c r="F95" s="55" t="n"/>
      <c r="G95" s="55" t="n"/>
      <c r="H95" s="55" t="n"/>
      <c r="I95" s="55" t="n"/>
      <c r="J95" s="55" t="n"/>
      <c r="K95" s="55" t="n"/>
      <c r="L95" s="55" t="n"/>
      <c r="M95" s="55" t="n"/>
      <c r="N95" s="55" t="n"/>
      <c r="O95" s="37">
        <f>IF($B95="","",SUM(C95:N95))</f>
        <v/>
      </c>
    </row>
    <row r="96">
      <c r="A96" s="49">
        <f>IF(Mitarbeiter!B96="","",Mitarbeiter!A96)</f>
        <v/>
      </c>
      <c r="B96" s="50">
        <f>IF(Mitarbeiter!B96="","",Mitarbeiter!B96)</f>
        <v/>
      </c>
      <c r="C96" s="55" t="n"/>
      <c r="D96" s="55" t="n"/>
      <c r="E96" s="55" t="n"/>
      <c r="F96" s="55" t="n"/>
      <c r="G96" s="55" t="n"/>
      <c r="H96" s="55" t="n"/>
      <c r="I96" s="55" t="n"/>
      <c r="J96" s="55" t="n"/>
      <c r="K96" s="55" t="n"/>
      <c r="L96" s="55" t="n"/>
      <c r="M96" s="55" t="n"/>
      <c r="N96" s="55" t="n"/>
      <c r="O96" s="37">
        <f>IF($B96="","",SUM(C96:N96))</f>
        <v/>
      </c>
    </row>
    <row r="97">
      <c r="A97" s="49">
        <f>IF(Mitarbeiter!B97="","",Mitarbeiter!A97)</f>
        <v/>
      </c>
      <c r="B97" s="50">
        <f>IF(Mitarbeiter!B97="","",Mitarbeiter!B97)</f>
        <v/>
      </c>
      <c r="C97" s="55" t="n"/>
      <c r="D97" s="55" t="n"/>
      <c r="E97" s="55" t="n"/>
      <c r="F97" s="55" t="n"/>
      <c r="G97" s="55" t="n"/>
      <c r="H97" s="55" t="n"/>
      <c r="I97" s="55" t="n"/>
      <c r="J97" s="55" t="n"/>
      <c r="K97" s="55" t="n"/>
      <c r="L97" s="55" t="n"/>
      <c r="M97" s="55" t="n"/>
      <c r="N97" s="55" t="n"/>
      <c r="O97" s="37">
        <f>IF($B97="","",SUM(C97:N97))</f>
        <v/>
      </c>
    </row>
    <row r="98">
      <c r="A98" s="49">
        <f>IF(Mitarbeiter!B98="","",Mitarbeiter!A98)</f>
        <v/>
      </c>
      <c r="B98" s="50">
        <f>IF(Mitarbeiter!B98="","",Mitarbeiter!B98)</f>
        <v/>
      </c>
      <c r="C98" s="55" t="n"/>
      <c r="D98" s="55" t="n"/>
      <c r="E98" s="55" t="n"/>
      <c r="F98" s="55" t="n"/>
      <c r="G98" s="55" t="n"/>
      <c r="H98" s="55" t="n"/>
      <c r="I98" s="55" t="n"/>
      <c r="J98" s="55" t="n"/>
      <c r="K98" s="55" t="n"/>
      <c r="L98" s="55" t="n"/>
      <c r="M98" s="55" t="n"/>
      <c r="N98" s="55" t="n"/>
      <c r="O98" s="37">
        <f>IF($B98="","",SUM(C98:N98))</f>
        <v/>
      </c>
    </row>
    <row r="99">
      <c r="A99" s="49">
        <f>IF(Mitarbeiter!B99="","",Mitarbeiter!A99)</f>
        <v/>
      </c>
      <c r="B99" s="50">
        <f>IF(Mitarbeiter!B99="","",Mitarbeiter!B99)</f>
        <v/>
      </c>
      <c r="C99" s="55" t="n"/>
      <c r="D99" s="55" t="n"/>
      <c r="E99" s="55" t="n"/>
      <c r="F99" s="55" t="n"/>
      <c r="G99" s="55" t="n"/>
      <c r="H99" s="55" t="n"/>
      <c r="I99" s="55" t="n"/>
      <c r="J99" s="55" t="n"/>
      <c r="K99" s="55" t="n"/>
      <c r="L99" s="55" t="n"/>
      <c r="M99" s="55" t="n"/>
      <c r="N99" s="55" t="n"/>
      <c r="O99" s="37">
        <f>IF($B99="","",SUM(C99:N99))</f>
        <v/>
      </c>
    </row>
    <row r="100">
      <c r="A100" s="49">
        <f>IF(Mitarbeiter!B100="","",Mitarbeiter!A100)</f>
        <v/>
      </c>
      <c r="B100" s="50">
        <f>IF(Mitarbeiter!B100="","",Mitarbeiter!B100)</f>
        <v/>
      </c>
      <c r="C100" s="55" t="n"/>
      <c r="D100" s="55" t="n"/>
      <c r="E100" s="55" t="n"/>
      <c r="F100" s="55" t="n"/>
      <c r="G100" s="55" t="n"/>
      <c r="H100" s="55" t="n"/>
      <c r="I100" s="55" t="n"/>
      <c r="J100" s="55" t="n"/>
      <c r="K100" s="55" t="n"/>
      <c r="L100" s="55" t="n"/>
      <c r="M100" s="55" t="n"/>
      <c r="N100" s="55" t="n"/>
      <c r="O100" s="37">
        <f>IF($B100="","",SUM(C100:N100))</f>
        <v/>
      </c>
    </row>
    <row r="101">
      <c r="A101" s="49">
        <f>IF(Mitarbeiter!B101="","",Mitarbeiter!A101)</f>
        <v/>
      </c>
      <c r="B101" s="50">
        <f>IF(Mitarbeiter!B101="","",Mitarbeiter!B101)</f>
        <v/>
      </c>
      <c r="C101" s="55" t="n"/>
      <c r="D101" s="55" t="n"/>
      <c r="E101" s="55" t="n"/>
      <c r="F101" s="55" t="n"/>
      <c r="G101" s="55" t="n"/>
      <c r="H101" s="55" t="n"/>
      <c r="I101" s="55" t="n"/>
      <c r="J101" s="55" t="n"/>
      <c r="K101" s="55" t="n"/>
      <c r="L101" s="55" t="n"/>
      <c r="M101" s="55" t="n"/>
      <c r="N101" s="55" t="n"/>
      <c r="O101" s="37">
        <f>IF($B101="","",SUM(C101:N101))</f>
        <v/>
      </c>
    </row>
    <row r="102">
      <c r="A102" s="49">
        <f>IF(Mitarbeiter!B102="","",Mitarbeiter!A102)</f>
        <v/>
      </c>
      <c r="B102" s="50">
        <f>IF(Mitarbeiter!B102="","",Mitarbeiter!B102)</f>
        <v/>
      </c>
      <c r="C102" s="55" t="n"/>
      <c r="D102" s="55" t="n"/>
      <c r="E102" s="55" t="n"/>
      <c r="F102" s="55" t="n"/>
      <c r="G102" s="55" t="n"/>
      <c r="H102" s="55" t="n"/>
      <c r="I102" s="55" t="n"/>
      <c r="J102" s="55" t="n"/>
      <c r="K102" s="55" t="n"/>
      <c r="L102" s="55" t="n"/>
      <c r="M102" s="55" t="n"/>
      <c r="N102" s="55" t="n"/>
      <c r="O102" s="37">
        <f>IF($B102="","",SUM(C102:N102))</f>
        <v/>
      </c>
    </row>
    <row r="103">
      <c r="A103" s="49">
        <f>IF(Mitarbeiter!B103="","",Mitarbeiter!A103)</f>
        <v/>
      </c>
      <c r="B103" s="50">
        <f>IF(Mitarbeiter!B103="","",Mitarbeiter!B103)</f>
        <v/>
      </c>
      <c r="C103" s="55" t="n"/>
      <c r="D103" s="55" t="n"/>
      <c r="E103" s="55" t="n"/>
      <c r="F103" s="55" t="n"/>
      <c r="G103" s="55" t="n"/>
      <c r="H103" s="55" t="n"/>
      <c r="I103" s="55" t="n"/>
      <c r="J103" s="55" t="n"/>
      <c r="K103" s="55" t="n"/>
      <c r="L103" s="55" t="n"/>
      <c r="M103" s="55" t="n"/>
      <c r="N103" s="55" t="n"/>
      <c r="O103" s="37">
        <f>IF($B103="","",SUM(C103:N103))</f>
        <v/>
      </c>
    </row>
    <row r="104">
      <c r="A104" s="49">
        <f>IF(Mitarbeiter!B104="","",Mitarbeiter!A104)</f>
        <v/>
      </c>
      <c r="B104" s="50">
        <f>IF(Mitarbeiter!B104="","",Mitarbeiter!B104)</f>
        <v/>
      </c>
      <c r="C104" s="55" t="n"/>
      <c r="D104" s="55" t="n"/>
      <c r="E104" s="55" t="n"/>
      <c r="F104" s="55" t="n"/>
      <c r="G104" s="55" t="n"/>
      <c r="H104" s="55" t="n"/>
      <c r="I104" s="55" t="n"/>
      <c r="J104" s="55" t="n"/>
      <c r="K104" s="55" t="n"/>
      <c r="L104" s="55" t="n"/>
      <c r="M104" s="55" t="n"/>
      <c r="N104" s="55" t="n"/>
      <c r="O104" s="37">
        <f>IF($B104="","",SUM(C104:N104))</f>
        <v/>
      </c>
    </row>
    <row r="105">
      <c r="A105" s="49">
        <f>IF(Mitarbeiter!B105="","",Mitarbeiter!A105)</f>
        <v/>
      </c>
      <c r="B105" s="50">
        <f>IF(Mitarbeiter!B105="","",Mitarbeiter!B105)</f>
        <v/>
      </c>
      <c r="C105" s="55" t="n"/>
      <c r="D105" s="55" t="n"/>
      <c r="E105" s="55" t="n"/>
      <c r="F105" s="55" t="n"/>
      <c r="G105" s="55" t="n"/>
      <c r="H105" s="55" t="n"/>
      <c r="I105" s="55" t="n"/>
      <c r="J105" s="55" t="n"/>
      <c r="K105" s="55" t="n"/>
      <c r="L105" s="55" t="n"/>
      <c r="M105" s="55" t="n"/>
      <c r="N105" s="55" t="n"/>
      <c r="O105" s="37">
        <f>IF($B105="","",SUM(C105:N105))</f>
        <v/>
      </c>
    </row>
    <row r="106">
      <c r="A106" s="49">
        <f>IF(Mitarbeiter!B106="","",Mitarbeiter!A106)</f>
        <v/>
      </c>
      <c r="B106" s="50">
        <f>IF(Mitarbeiter!B106="","",Mitarbeiter!B106)</f>
        <v/>
      </c>
      <c r="C106" s="55" t="n"/>
      <c r="D106" s="55" t="n"/>
      <c r="E106" s="55" t="n"/>
      <c r="F106" s="55" t="n"/>
      <c r="G106" s="55" t="n"/>
      <c r="H106" s="55" t="n"/>
      <c r="I106" s="55" t="n"/>
      <c r="J106" s="55" t="n"/>
      <c r="K106" s="55" t="n"/>
      <c r="L106" s="55" t="n"/>
      <c r="M106" s="55" t="n"/>
      <c r="N106" s="55" t="n"/>
      <c r="O106" s="37">
        <f>IF($B106="","",SUM(C106:N106))</f>
        <v/>
      </c>
    </row>
    <row r="107">
      <c r="A107" s="49">
        <f>IF(Mitarbeiter!B107="","",Mitarbeiter!A107)</f>
        <v/>
      </c>
      <c r="B107" s="50">
        <f>IF(Mitarbeiter!B107="","",Mitarbeiter!B107)</f>
        <v/>
      </c>
      <c r="C107" s="55" t="n"/>
      <c r="D107" s="55" t="n"/>
      <c r="E107" s="55" t="n"/>
      <c r="F107" s="55" t="n"/>
      <c r="G107" s="55" t="n"/>
      <c r="H107" s="55" t="n"/>
      <c r="I107" s="55" t="n"/>
      <c r="J107" s="55" t="n"/>
      <c r="K107" s="55" t="n"/>
      <c r="L107" s="55" t="n"/>
      <c r="M107" s="55" t="n"/>
      <c r="N107" s="55" t="n"/>
      <c r="O107" s="37">
        <f>IF($B107="","",SUM(C107:N107))</f>
        <v/>
      </c>
    </row>
    <row r="108">
      <c r="A108" s="49">
        <f>IF(Mitarbeiter!B108="","",Mitarbeiter!A108)</f>
        <v/>
      </c>
      <c r="B108" s="50">
        <f>IF(Mitarbeiter!B108="","",Mitarbeiter!B108)</f>
        <v/>
      </c>
      <c r="C108" s="55" t="n"/>
      <c r="D108" s="55" t="n"/>
      <c r="E108" s="55" t="n"/>
      <c r="F108" s="55" t="n"/>
      <c r="G108" s="55" t="n"/>
      <c r="H108" s="55" t="n"/>
      <c r="I108" s="55" t="n"/>
      <c r="J108" s="55" t="n"/>
      <c r="K108" s="55" t="n"/>
      <c r="L108" s="55" t="n"/>
      <c r="M108" s="55" t="n"/>
      <c r="N108" s="55" t="n"/>
      <c r="O108" s="37">
        <f>IF($B108="","",SUM(C108:N108))</f>
        <v/>
      </c>
    </row>
    <row r="109">
      <c r="A109" s="49">
        <f>IF(Mitarbeiter!B109="","",Mitarbeiter!A109)</f>
        <v/>
      </c>
      <c r="B109" s="50">
        <f>IF(Mitarbeiter!B109="","",Mitarbeiter!B109)</f>
        <v/>
      </c>
      <c r="C109" s="55" t="n"/>
      <c r="D109" s="55" t="n"/>
      <c r="E109" s="55" t="n"/>
      <c r="F109" s="55" t="n"/>
      <c r="G109" s="55" t="n"/>
      <c r="H109" s="55" t="n"/>
      <c r="I109" s="55" t="n"/>
      <c r="J109" s="55" t="n"/>
      <c r="K109" s="55" t="n"/>
      <c r="L109" s="55" t="n"/>
      <c r="M109" s="55" t="n"/>
      <c r="N109" s="55" t="n"/>
      <c r="O109" s="37">
        <f>IF($B109="","",SUM(C109:N109))</f>
        <v/>
      </c>
    </row>
    <row r="110">
      <c r="A110" s="49">
        <f>IF(Mitarbeiter!B110="","",Mitarbeiter!A110)</f>
        <v/>
      </c>
      <c r="B110" s="50">
        <f>IF(Mitarbeiter!B110="","",Mitarbeiter!B110)</f>
        <v/>
      </c>
      <c r="C110" s="55" t="n"/>
      <c r="D110" s="55" t="n"/>
      <c r="E110" s="55" t="n"/>
      <c r="F110" s="55" t="n"/>
      <c r="G110" s="55" t="n"/>
      <c r="H110" s="55" t="n"/>
      <c r="I110" s="55" t="n"/>
      <c r="J110" s="55" t="n"/>
      <c r="K110" s="55" t="n"/>
      <c r="L110" s="55" t="n"/>
      <c r="M110" s="55" t="n"/>
      <c r="N110" s="55" t="n"/>
      <c r="O110" s="37">
        <f>IF($B110="","",SUM(C110:N110))</f>
        <v/>
      </c>
    </row>
    <row r="111">
      <c r="A111" s="49">
        <f>IF(Mitarbeiter!B111="","",Mitarbeiter!A111)</f>
        <v/>
      </c>
      <c r="B111" s="50">
        <f>IF(Mitarbeiter!B111="","",Mitarbeiter!B111)</f>
        <v/>
      </c>
      <c r="C111" s="55" t="n"/>
      <c r="D111" s="55" t="n"/>
      <c r="E111" s="55" t="n"/>
      <c r="F111" s="55" t="n"/>
      <c r="G111" s="55" t="n"/>
      <c r="H111" s="55" t="n"/>
      <c r="I111" s="55" t="n"/>
      <c r="J111" s="55" t="n"/>
      <c r="K111" s="55" t="n"/>
      <c r="L111" s="55" t="n"/>
      <c r="M111" s="55" t="n"/>
      <c r="N111" s="55" t="n"/>
      <c r="O111" s="37">
        <f>IF($B111="","",SUM(C111:N111))</f>
        <v/>
      </c>
    </row>
    <row r="112">
      <c r="A112" s="49">
        <f>IF(Mitarbeiter!B112="","",Mitarbeiter!A112)</f>
        <v/>
      </c>
      <c r="B112" s="50">
        <f>IF(Mitarbeiter!B112="","",Mitarbeiter!B112)</f>
        <v/>
      </c>
      <c r="C112" s="55" t="n"/>
      <c r="D112" s="55" t="n"/>
      <c r="E112" s="55" t="n"/>
      <c r="F112" s="55" t="n"/>
      <c r="G112" s="55" t="n"/>
      <c r="H112" s="55" t="n"/>
      <c r="I112" s="55" t="n"/>
      <c r="J112" s="55" t="n"/>
      <c r="K112" s="55" t="n"/>
      <c r="L112" s="55" t="n"/>
      <c r="M112" s="55" t="n"/>
      <c r="N112" s="55" t="n"/>
      <c r="O112" s="37">
        <f>IF($B112="","",SUM(C112:N112))</f>
        <v/>
      </c>
    </row>
    <row r="113">
      <c r="A113" s="49">
        <f>IF(Mitarbeiter!B113="","",Mitarbeiter!A113)</f>
        <v/>
      </c>
      <c r="B113" s="50">
        <f>IF(Mitarbeiter!B113="","",Mitarbeiter!B113)</f>
        <v/>
      </c>
      <c r="C113" s="55" t="n"/>
      <c r="D113" s="55" t="n"/>
      <c r="E113" s="55" t="n"/>
      <c r="F113" s="55" t="n"/>
      <c r="G113" s="55" t="n"/>
      <c r="H113" s="55" t="n"/>
      <c r="I113" s="55" t="n"/>
      <c r="J113" s="55" t="n"/>
      <c r="K113" s="55" t="n"/>
      <c r="L113" s="55" t="n"/>
      <c r="M113" s="55" t="n"/>
      <c r="N113" s="55" t="n"/>
      <c r="O113" s="37">
        <f>IF($B113="","",SUM(C113:N113))</f>
        <v/>
      </c>
    </row>
    <row r="114">
      <c r="A114" s="49">
        <f>IF(Mitarbeiter!B114="","",Mitarbeiter!A114)</f>
        <v/>
      </c>
      <c r="B114" s="50">
        <f>IF(Mitarbeiter!B114="","",Mitarbeiter!B114)</f>
        <v/>
      </c>
      <c r="C114" s="55" t="n"/>
      <c r="D114" s="55" t="n"/>
      <c r="E114" s="55" t="n"/>
      <c r="F114" s="55" t="n"/>
      <c r="G114" s="55" t="n"/>
      <c r="H114" s="55" t="n"/>
      <c r="I114" s="55" t="n"/>
      <c r="J114" s="55" t="n"/>
      <c r="K114" s="55" t="n"/>
      <c r="L114" s="55" t="n"/>
      <c r="M114" s="55" t="n"/>
      <c r="N114" s="55" t="n"/>
      <c r="O114" s="37">
        <f>IF($B114="","",SUM(C114:N114))</f>
        <v/>
      </c>
    </row>
    <row r="115">
      <c r="A115" s="49">
        <f>IF(Mitarbeiter!B115="","",Mitarbeiter!A115)</f>
        <v/>
      </c>
      <c r="B115" s="50">
        <f>IF(Mitarbeiter!B115="","",Mitarbeiter!B115)</f>
        <v/>
      </c>
      <c r="C115" s="55" t="n"/>
      <c r="D115" s="55" t="n"/>
      <c r="E115" s="55" t="n"/>
      <c r="F115" s="55" t="n"/>
      <c r="G115" s="55" t="n"/>
      <c r="H115" s="55" t="n"/>
      <c r="I115" s="55" t="n"/>
      <c r="J115" s="55" t="n"/>
      <c r="K115" s="55" t="n"/>
      <c r="L115" s="55" t="n"/>
      <c r="M115" s="55" t="n"/>
      <c r="N115" s="55" t="n"/>
      <c r="O115" s="37">
        <f>IF($B115="","",SUM(C115:N115))</f>
        <v/>
      </c>
    </row>
    <row r="116">
      <c r="A116" s="49">
        <f>IF(Mitarbeiter!B116="","",Mitarbeiter!A116)</f>
        <v/>
      </c>
      <c r="B116" s="50">
        <f>IF(Mitarbeiter!B116="","",Mitarbeiter!B116)</f>
        <v/>
      </c>
      <c r="C116" s="55" t="n"/>
      <c r="D116" s="55" t="n"/>
      <c r="E116" s="55" t="n"/>
      <c r="F116" s="55" t="n"/>
      <c r="G116" s="55" t="n"/>
      <c r="H116" s="55" t="n"/>
      <c r="I116" s="55" t="n"/>
      <c r="J116" s="55" t="n"/>
      <c r="K116" s="55" t="n"/>
      <c r="L116" s="55" t="n"/>
      <c r="M116" s="55" t="n"/>
      <c r="N116" s="55" t="n"/>
      <c r="O116" s="37">
        <f>IF($B116="","",SUM(C116:N116))</f>
        <v/>
      </c>
    </row>
    <row r="117">
      <c r="A117" s="49">
        <f>IF(Mitarbeiter!B117="","",Mitarbeiter!A117)</f>
        <v/>
      </c>
      <c r="B117" s="50">
        <f>IF(Mitarbeiter!B117="","",Mitarbeiter!B117)</f>
        <v/>
      </c>
      <c r="C117" s="55" t="n"/>
      <c r="D117" s="55" t="n"/>
      <c r="E117" s="55" t="n"/>
      <c r="F117" s="55" t="n"/>
      <c r="G117" s="55" t="n"/>
      <c r="H117" s="55" t="n"/>
      <c r="I117" s="55" t="n"/>
      <c r="J117" s="55" t="n"/>
      <c r="K117" s="55" t="n"/>
      <c r="L117" s="55" t="n"/>
      <c r="M117" s="55" t="n"/>
      <c r="N117" s="55" t="n"/>
      <c r="O117" s="37">
        <f>IF($B117="","",SUM(C117:N117))</f>
        <v/>
      </c>
    </row>
    <row r="118">
      <c r="A118" s="49">
        <f>IF(Mitarbeiter!B118="","",Mitarbeiter!A118)</f>
        <v/>
      </c>
      <c r="B118" s="50">
        <f>IF(Mitarbeiter!B118="","",Mitarbeiter!B118)</f>
        <v/>
      </c>
      <c r="C118" s="55" t="n"/>
      <c r="D118" s="55" t="n"/>
      <c r="E118" s="55" t="n"/>
      <c r="F118" s="55" t="n"/>
      <c r="G118" s="55" t="n"/>
      <c r="H118" s="55" t="n"/>
      <c r="I118" s="55" t="n"/>
      <c r="J118" s="55" t="n"/>
      <c r="K118" s="55" t="n"/>
      <c r="L118" s="55" t="n"/>
      <c r="M118" s="55" t="n"/>
      <c r="N118" s="55" t="n"/>
      <c r="O118" s="37">
        <f>IF($B118="","",SUM(C118:N118))</f>
        <v/>
      </c>
    </row>
    <row r="119">
      <c r="A119" s="49">
        <f>IF(Mitarbeiter!B119="","",Mitarbeiter!A119)</f>
        <v/>
      </c>
      <c r="B119" s="50">
        <f>IF(Mitarbeiter!B119="","",Mitarbeiter!B119)</f>
        <v/>
      </c>
      <c r="C119" s="55" t="n"/>
      <c r="D119" s="55" t="n"/>
      <c r="E119" s="55" t="n"/>
      <c r="F119" s="55" t="n"/>
      <c r="G119" s="55" t="n"/>
      <c r="H119" s="55" t="n"/>
      <c r="I119" s="55" t="n"/>
      <c r="J119" s="55" t="n"/>
      <c r="K119" s="55" t="n"/>
      <c r="L119" s="55" t="n"/>
      <c r="M119" s="55" t="n"/>
      <c r="N119" s="55" t="n"/>
      <c r="O119" s="37">
        <f>IF($B119="","",SUM(C119:N119))</f>
        <v/>
      </c>
    </row>
    <row r="120">
      <c r="A120" s="49">
        <f>IF(Mitarbeiter!B120="","",Mitarbeiter!A120)</f>
        <v/>
      </c>
      <c r="B120" s="50">
        <f>IF(Mitarbeiter!B120="","",Mitarbeiter!B120)</f>
        <v/>
      </c>
      <c r="C120" s="55" t="n"/>
      <c r="D120" s="55" t="n"/>
      <c r="E120" s="55" t="n"/>
      <c r="F120" s="55" t="n"/>
      <c r="G120" s="55" t="n"/>
      <c r="H120" s="55" t="n"/>
      <c r="I120" s="55" t="n"/>
      <c r="J120" s="55" t="n"/>
      <c r="K120" s="55" t="n"/>
      <c r="L120" s="55" t="n"/>
      <c r="M120" s="55" t="n"/>
      <c r="N120" s="55" t="n"/>
      <c r="O120" s="37">
        <f>IF($B120="","",SUM(C120:N120))</f>
        <v/>
      </c>
    </row>
    <row r="121">
      <c r="A121" s="49">
        <f>IF(Mitarbeiter!B121="","",Mitarbeiter!A121)</f>
        <v/>
      </c>
      <c r="B121" s="50">
        <f>IF(Mitarbeiter!B121="","",Mitarbeiter!B121)</f>
        <v/>
      </c>
      <c r="C121" s="55" t="n"/>
      <c r="D121" s="55" t="n"/>
      <c r="E121" s="55" t="n"/>
      <c r="F121" s="55" t="n"/>
      <c r="G121" s="55" t="n"/>
      <c r="H121" s="55" t="n"/>
      <c r="I121" s="55" t="n"/>
      <c r="J121" s="55" t="n"/>
      <c r="K121" s="55" t="n"/>
      <c r="L121" s="55" t="n"/>
      <c r="M121" s="55" t="n"/>
      <c r="N121" s="55" t="n"/>
      <c r="O121" s="37">
        <f>IF($B121="","",SUM(C121:N121))</f>
        <v/>
      </c>
    </row>
    <row r="122">
      <c r="A122" s="49">
        <f>IF(Mitarbeiter!B122="","",Mitarbeiter!A122)</f>
        <v/>
      </c>
      <c r="B122" s="50">
        <f>IF(Mitarbeiter!B122="","",Mitarbeiter!B122)</f>
        <v/>
      </c>
      <c r="C122" s="55" t="n"/>
      <c r="D122" s="55" t="n"/>
      <c r="E122" s="55" t="n"/>
      <c r="F122" s="55" t="n"/>
      <c r="G122" s="55" t="n"/>
      <c r="H122" s="55" t="n"/>
      <c r="I122" s="55" t="n"/>
      <c r="J122" s="55" t="n"/>
      <c r="K122" s="55" t="n"/>
      <c r="L122" s="55" t="n"/>
      <c r="M122" s="55" t="n"/>
      <c r="N122" s="55" t="n"/>
      <c r="O122" s="37">
        <f>IF($B122="","",SUM(C122:N122))</f>
        <v/>
      </c>
    </row>
    <row r="123">
      <c r="A123" s="49">
        <f>IF(Mitarbeiter!B123="","",Mitarbeiter!A123)</f>
        <v/>
      </c>
      <c r="B123" s="50">
        <f>IF(Mitarbeiter!B123="","",Mitarbeiter!B123)</f>
        <v/>
      </c>
      <c r="C123" s="55" t="n"/>
      <c r="D123" s="55" t="n"/>
      <c r="E123" s="55" t="n"/>
      <c r="F123" s="55" t="n"/>
      <c r="G123" s="55" t="n"/>
      <c r="H123" s="55" t="n"/>
      <c r="I123" s="55" t="n"/>
      <c r="J123" s="55" t="n"/>
      <c r="K123" s="55" t="n"/>
      <c r="L123" s="55" t="n"/>
      <c r="M123" s="55" t="n"/>
      <c r="N123" s="55" t="n"/>
      <c r="O123" s="37">
        <f>IF($B123="","",SUM(C123:N123))</f>
        <v/>
      </c>
    </row>
    <row r="124">
      <c r="A124" s="49">
        <f>IF(Mitarbeiter!B124="","",Mitarbeiter!A124)</f>
        <v/>
      </c>
      <c r="B124" s="50">
        <f>IF(Mitarbeiter!B124="","",Mitarbeiter!B124)</f>
        <v/>
      </c>
      <c r="C124" s="55" t="n"/>
      <c r="D124" s="55" t="n"/>
      <c r="E124" s="55" t="n"/>
      <c r="F124" s="55" t="n"/>
      <c r="G124" s="55" t="n"/>
      <c r="H124" s="55" t="n"/>
      <c r="I124" s="55" t="n"/>
      <c r="J124" s="55" t="n"/>
      <c r="K124" s="55" t="n"/>
      <c r="L124" s="55" t="n"/>
      <c r="M124" s="55" t="n"/>
      <c r="N124" s="55" t="n"/>
      <c r="O124" s="37">
        <f>IF($B124="","",SUM(C124:N124))</f>
        <v/>
      </c>
    </row>
    <row r="125">
      <c r="A125" s="49">
        <f>IF(Mitarbeiter!B125="","",Mitarbeiter!A125)</f>
        <v/>
      </c>
      <c r="B125" s="50">
        <f>IF(Mitarbeiter!B125="","",Mitarbeiter!B125)</f>
        <v/>
      </c>
      <c r="C125" s="55" t="n"/>
      <c r="D125" s="55" t="n"/>
      <c r="E125" s="55" t="n"/>
      <c r="F125" s="55" t="n"/>
      <c r="G125" s="55" t="n"/>
      <c r="H125" s="55" t="n"/>
      <c r="I125" s="55" t="n"/>
      <c r="J125" s="55" t="n"/>
      <c r="K125" s="55" t="n"/>
      <c r="L125" s="55" t="n"/>
      <c r="M125" s="55" t="n"/>
      <c r="N125" s="55" t="n"/>
      <c r="O125" s="37">
        <f>IF($B125="","",SUM(C125:N125))</f>
        <v/>
      </c>
    </row>
    <row r="126">
      <c r="A126" s="49">
        <f>IF(Mitarbeiter!B126="","",Mitarbeiter!A126)</f>
        <v/>
      </c>
      <c r="B126" s="50">
        <f>IF(Mitarbeiter!B126="","",Mitarbeiter!B126)</f>
        <v/>
      </c>
      <c r="C126" s="55" t="n"/>
      <c r="D126" s="55" t="n"/>
      <c r="E126" s="55" t="n"/>
      <c r="F126" s="55" t="n"/>
      <c r="G126" s="55" t="n"/>
      <c r="H126" s="55" t="n"/>
      <c r="I126" s="55" t="n"/>
      <c r="J126" s="55" t="n"/>
      <c r="K126" s="55" t="n"/>
      <c r="L126" s="55" t="n"/>
      <c r="M126" s="55" t="n"/>
      <c r="N126" s="55" t="n"/>
      <c r="O126" s="37">
        <f>IF($B126="","",SUM(C126:N126))</f>
        <v/>
      </c>
    </row>
    <row r="127">
      <c r="A127" s="49">
        <f>IF(Mitarbeiter!B127="","",Mitarbeiter!A127)</f>
        <v/>
      </c>
      <c r="B127" s="50">
        <f>IF(Mitarbeiter!B127="","",Mitarbeiter!B127)</f>
        <v/>
      </c>
      <c r="C127" s="55" t="n"/>
      <c r="D127" s="55" t="n"/>
      <c r="E127" s="55" t="n"/>
      <c r="F127" s="55" t="n"/>
      <c r="G127" s="55" t="n"/>
      <c r="H127" s="55" t="n"/>
      <c r="I127" s="55" t="n"/>
      <c r="J127" s="55" t="n"/>
      <c r="K127" s="55" t="n"/>
      <c r="L127" s="55" t="n"/>
      <c r="M127" s="55" t="n"/>
      <c r="N127" s="55" t="n"/>
      <c r="O127" s="37">
        <f>IF($B127="","",SUM(C127:N127))</f>
        <v/>
      </c>
    </row>
    <row r="128">
      <c r="A128" s="49">
        <f>IF(Mitarbeiter!B128="","",Mitarbeiter!A128)</f>
        <v/>
      </c>
      <c r="B128" s="50">
        <f>IF(Mitarbeiter!B128="","",Mitarbeiter!B128)</f>
        <v/>
      </c>
      <c r="C128" s="55" t="n"/>
      <c r="D128" s="55" t="n"/>
      <c r="E128" s="55" t="n"/>
      <c r="F128" s="55" t="n"/>
      <c r="G128" s="55" t="n"/>
      <c r="H128" s="55" t="n"/>
      <c r="I128" s="55" t="n"/>
      <c r="J128" s="55" t="n"/>
      <c r="K128" s="55" t="n"/>
      <c r="L128" s="55" t="n"/>
      <c r="M128" s="55" t="n"/>
      <c r="N128" s="55" t="n"/>
      <c r="O128" s="37">
        <f>IF($B128="","",SUM(C128:N128))</f>
        <v/>
      </c>
    </row>
    <row r="129">
      <c r="A129" s="49">
        <f>IF(Mitarbeiter!B129="","",Mitarbeiter!A129)</f>
        <v/>
      </c>
      <c r="B129" s="50">
        <f>IF(Mitarbeiter!B129="","",Mitarbeiter!B129)</f>
        <v/>
      </c>
      <c r="C129" s="55" t="n"/>
      <c r="D129" s="55" t="n"/>
      <c r="E129" s="55" t="n"/>
      <c r="F129" s="55" t="n"/>
      <c r="G129" s="55" t="n"/>
      <c r="H129" s="55" t="n"/>
      <c r="I129" s="55" t="n"/>
      <c r="J129" s="55" t="n"/>
      <c r="K129" s="55" t="n"/>
      <c r="L129" s="55" t="n"/>
      <c r="M129" s="55" t="n"/>
      <c r="N129" s="55" t="n"/>
      <c r="O129" s="37">
        <f>IF($B129="","",SUM(C129:N129))</f>
        <v/>
      </c>
    </row>
    <row r="130">
      <c r="A130" s="49">
        <f>IF(Mitarbeiter!B130="","",Mitarbeiter!A130)</f>
        <v/>
      </c>
      <c r="B130" s="50">
        <f>IF(Mitarbeiter!B130="","",Mitarbeiter!B130)</f>
        <v/>
      </c>
      <c r="C130" s="55" t="n"/>
      <c r="D130" s="55" t="n"/>
      <c r="E130" s="55" t="n"/>
      <c r="F130" s="55" t="n"/>
      <c r="G130" s="55" t="n"/>
      <c r="H130" s="55" t="n"/>
      <c r="I130" s="55" t="n"/>
      <c r="J130" s="55" t="n"/>
      <c r="K130" s="55" t="n"/>
      <c r="L130" s="55" t="n"/>
      <c r="M130" s="55" t="n"/>
      <c r="N130" s="55" t="n"/>
      <c r="O130" s="37">
        <f>IF($B130="","",SUM(C130:N130))</f>
        <v/>
      </c>
    </row>
    <row r="131">
      <c r="A131" s="49">
        <f>IF(Mitarbeiter!B131="","",Mitarbeiter!A131)</f>
        <v/>
      </c>
      <c r="B131" s="50">
        <f>IF(Mitarbeiter!B131="","",Mitarbeiter!B131)</f>
        <v/>
      </c>
      <c r="C131" s="55" t="n"/>
      <c r="D131" s="55" t="n"/>
      <c r="E131" s="55" t="n"/>
      <c r="F131" s="55" t="n"/>
      <c r="G131" s="55" t="n"/>
      <c r="H131" s="55" t="n"/>
      <c r="I131" s="55" t="n"/>
      <c r="J131" s="55" t="n"/>
      <c r="K131" s="55" t="n"/>
      <c r="L131" s="55" t="n"/>
      <c r="M131" s="55" t="n"/>
      <c r="N131" s="55" t="n"/>
      <c r="O131" s="37">
        <f>IF($B131="","",SUM(C131:N131))</f>
        <v/>
      </c>
    </row>
    <row r="132">
      <c r="A132" s="49">
        <f>IF(Mitarbeiter!B132="","",Mitarbeiter!A132)</f>
        <v/>
      </c>
      <c r="B132" s="50">
        <f>IF(Mitarbeiter!B132="","",Mitarbeiter!B132)</f>
        <v/>
      </c>
      <c r="C132" s="55" t="n"/>
      <c r="D132" s="55" t="n"/>
      <c r="E132" s="55" t="n"/>
      <c r="F132" s="55" t="n"/>
      <c r="G132" s="55" t="n"/>
      <c r="H132" s="55" t="n"/>
      <c r="I132" s="55" t="n"/>
      <c r="J132" s="55" t="n"/>
      <c r="K132" s="55" t="n"/>
      <c r="L132" s="55" t="n"/>
      <c r="M132" s="55" t="n"/>
      <c r="N132" s="55" t="n"/>
      <c r="O132" s="37">
        <f>IF($B132="","",SUM(C132:N132))</f>
        <v/>
      </c>
    </row>
    <row r="133">
      <c r="A133" s="49">
        <f>IF(Mitarbeiter!B133="","",Mitarbeiter!A133)</f>
        <v/>
      </c>
      <c r="B133" s="50">
        <f>IF(Mitarbeiter!B133="","",Mitarbeiter!B133)</f>
        <v/>
      </c>
      <c r="C133" s="55" t="n"/>
      <c r="D133" s="55" t="n"/>
      <c r="E133" s="55" t="n"/>
      <c r="F133" s="55" t="n"/>
      <c r="G133" s="55" t="n"/>
      <c r="H133" s="55" t="n"/>
      <c r="I133" s="55" t="n"/>
      <c r="J133" s="55" t="n"/>
      <c r="K133" s="55" t="n"/>
      <c r="L133" s="55" t="n"/>
      <c r="M133" s="55" t="n"/>
      <c r="N133" s="55" t="n"/>
      <c r="O133" s="37">
        <f>IF($B133="","",SUM(C133:N133))</f>
        <v/>
      </c>
    </row>
    <row r="134">
      <c r="A134" s="49">
        <f>IF(Mitarbeiter!B134="","",Mitarbeiter!A134)</f>
        <v/>
      </c>
      <c r="B134" s="50">
        <f>IF(Mitarbeiter!B134="","",Mitarbeiter!B134)</f>
        <v/>
      </c>
      <c r="C134" s="55" t="n"/>
      <c r="D134" s="55" t="n"/>
      <c r="E134" s="55" t="n"/>
      <c r="F134" s="55" t="n"/>
      <c r="G134" s="55" t="n"/>
      <c r="H134" s="55" t="n"/>
      <c r="I134" s="55" t="n"/>
      <c r="J134" s="55" t="n"/>
      <c r="K134" s="55" t="n"/>
      <c r="L134" s="55" t="n"/>
      <c r="M134" s="55" t="n"/>
      <c r="N134" s="55" t="n"/>
      <c r="O134" s="37">
        <f>IF($B134="","",SUM(C134:N134))</f>
        <v/>
      </c>
    </row>
    <row r="135">
      <c r="A135" s="49">
        <f>IF(Mitarbeiter!B135="","",Mitarbeiter!A135)</f>
        <v/>
      </c>
      <c r="B135" s="50">
        <f>IF(Mitarbeiter!B135="","",Mitarbeiter!B135)</f>
        <v/>
      </c>
      <c r="C135" s="55" t="n"/>
      <c r="D135" s="55" t="n"/>
      <c r="E135" s="55" t="n"/>
      <c r="F135" s="55" t="n"/>
      <c r="G135" s="55" t="n"/>
      <c r="H135" s="55" t="n"/>
      <c r="I135" s="55" t="n"/>
      <c r="J135" s="55" t="n"/>
      <c r="K135" s="55" t="n"/>
      <c r="L135" s="55" t="n"/>
      <c r="M135" s="55" t="n"/>
      <c r="N135" s="55" t="n"/>
      <c r="O135" s="37">
        <f>IF($B135="","",SUM(C135:N135))</f>
        <v/>
      </c>
    </row>
    <row r="136">
      <c r="A136" s="49">
        <f>IF(Mitarbeiter!B136="","",Mitarbeiter!A136)</f>
        <v/>
      </c>
      <c r="B136" s="50">
        <f>IF(Mitarbeiter!B136="","",Mitarbeiter!B136)</f>
        <v/>
      </c>
      <c r="C136" s="55" t="n"/>
      <c r="D136" s="55" t="n"/>
      <c r="E136" s="55" t="n"/>
      <c r="F136" s="55" t="n"/>
      <c r="G136" s="55" t="n"/>
      <c r="H136" s="55" t="n"/>
      <c r="I136" s="55" t="n"/>
      <c r="J136" s="55" t="n"/>
      <c r="K136" s="55" t="n"/>
      <c r="L136" s="55" t="n"/>
      <c r="M136" s="55" t="n"/>
      <c r="N136" s="55" t="n"/>
      <c r="O136" s="37">
        <f>IF($B136="","",SUM(C136:N136))</f>
        <v/>
      </c>
    </row>
    <row r="137">
      <c r="A137" s="49">
        <f>IF(Mitarbeiter!B137="","",Mitarbeiter!A137)</f>
        <v/>
      </c>
      <c r="B137" s="50">
        <f>IF(Mitarbeiter!B137="","",Mitarbeiter!B137)</f>
        <v/>
      </c>
      <c r="C137" s="55" t="n"/>
      <c r="D137" s="55" t="n"/>
      <c r="E137" s="55" t="n"/>
      <c r="F137" s="55" t="n"/>
      <c r="G137" s="55" t="n"/>
      <c r="H137" s="55" t="n"/>
      <c r="I137" s="55" t="n"/>
      <c r="J137" s="55" t="n"/>
      <c r="K137" s="55" t="n"/>
      <c r="L137" s="55" t="n"/>
      <c r="M137" s="55" t="n"/>
      <c r="N137" s="55" t="n"/>
      <c r="O137" s="37">
        <f>IF($B137="","",SUM(C137:N137))</f>
        <v/>
      </c>
    </row>
    <row r="138">
      <c r="A138" s="49">
        <f>IF(Mitarbeiter!B138="","",Mitarbeiter!A138)</f>
        <v/>
      </c>
      <c r="B138" s="50">
        <f>IF(Mitarbeiter!B138="","",Mitarbeiter!B138)</f>
        <v/>
      </c>
      <c r="C138" s="55" t="n"/>
      <c r="D138" s="55" t="n"/>
      <c r="E138" s="55" t="n"/>
      <c r="F138" s="55" t="n"/>
      <c r="G138" s="55" t="n"/>
      <c r="H138" s="55" t="n"/>
      <c r="I138" s="55" t="n"/>
      <c r="J138" s="55" t="n"/>
      <c r="K138" s="55" t="n"/>
      <c r="L138" s="55" t="n"/>
      <c r="M138" s="55" t="n"/>
      <c r="N138" s="55" t="n"/>
      <c r="O138" s="37">
        <f>IF($B138="","",SUM(C138:N138))</f>
        <v/>
      </c>
    </row>
    <row r="139">
      <c r="A139" s="49">
        <f>IF(Mitarbeiter!B139="","",Mitarbeiter!A139)</f>
        <v/>
      </c>
      <c r="B139" s="50">
        <f>IF(Mitarbeiter!B139="","",Mitarbeiter!B139)</f>
        <v/>
      </c>
      <c r="C139" s="55" t="n"/>
      <c r="D139" s="55" t="n"/>
      <c r="E139" s="55" t="n"/>
      <c r="F139" s="55" t="n"/>
      <c r="G139" s="55" t="n"/>
      <c r="H139" s="55" t="n"/>
      <c r="I139" s="55" t="n"/>
      <c r="J139" s="55" t="n"/>
      <c r="K139" s="55" t="n"/>
      <c r="L139" s="55" t="n"/>
      <c r="M139" s="55" t="n"/>
      <c r="N139" s="55" t="n"/>
      <c r="O139" s="37">
        <f>IF($B139="","",SUM(C139:N139))</f>
        <v/>
      </c>
    </row>
    <row r="140">
      <c r="A140" s="49">
        <f>IF(Mitarbeiter!B140="","",Mitarbeiter!A140)</f>
        <v/>
      </c>
      <c r="B140" s="50">
        <f>IF(Mitarbeiter!B140="","",Mitarbeiter!B140)</f>
        <v/>
      </c>
      <c r="C140" s="55" t="n"/>
      <c r="D140" s="55" t="n"/>
      <c r="E140" s="55" t="n"/>
      <c r="F140" s="55" t="n"/>
      <c r="G140" s="55" t="n"/>
      <c r="H140" s="55" t="n"/>
      <c r="I140" s="55" t="n"/>
      <c r="J140" s="55" t="n"/>
      <c r="K140" s="55" t="n"/>
      <c r="L140" s="55" t="n"/>
      <c r="M140" s="55" t="n"/>
      <c r="N140" s="55" t="n"/>
      <c r="O140" s="37">
        <f>IF($B140="","",SUM(C140:N140))</f>
        <v/>
      </c>
    </row>
    <row r="141">
      <c r="A141" s="49">
        <f>IF(Mitarbeiter!B141="","",Mitarbeiter!A141)</f>
        <v/>
      </c>
      <c r="B141" s="50">
        <f>IF(Mitarbeiter!B141="","",Mitarbeiter!B141)</f>
        <v/>
      </c>
      <c r="C141" s="55" t="n"/>
      <c r="D141" s="55" t="n"/>
      <c r="E141" s="55" t="n"/>
      <c r="F141" s="55" t="n"/>
      <c r="G141" s="55" t="n"/>
      <c r="H141" s="55" t="n"/>
      <c r="I141" s="55" t="n"/>
      <c r="J141" s="55" t="n"/>
      <c r="K141" s="55" t="n"/>
      <c r="L141" s="55" t="n"/>
      <c r="M141" s="55" t="n"/>
      <c r="N141" s="55" t="n"/>
      <c r="O141" s="37">
        <f>IF($B141="","",SUM(C141:N141))</f>
        <v/>
      </c>
    </row>
    <row r="142">
      <c r="A142" s="49">
        <f>IF(Mitarbeiter!B142="","",Mitarbeiter!A142)</f>
        <v/>
      </c>
      <c r="B142" s="50">
        <f>IF(Mitarbeiter!B142="","",Mitarbeiter!B142)</f>
        <v/>
      </c>
      <c r="C142" s="55" t="n"/>
      <c r="D142" s="55" t="n"/>
      <c r="E142" s="55" t="n"/>
      <c r="F142" s="55" t="n"/>
      <c r="G142" s="55" t="n"/>
      <c r="H142" s="55" t="n"/>
      <c r="I142" s="55" t="n"/>
      <c r="J142" s="55" t="n"/>
      <c r="K142" s="55" t="n"/>
      <c r="L142" s="55" t="n"/>
      <c r="M142" s="55" t="n"/>
      <c r="N142" s="55" t="n"/>
      <c r="O142" s="37">
        <f>IF($B142="","",SUM(C142:N142))</f>
        <v/>
      </c>
    </row>
    <row r="143">
      <c r="A143" s="49">
        <f>IF(Mitarbeiter!B143="","",Mitarbeiter!A143)</f>
        <v/>
      </c>
      <c r="B143" s="50">
        <f>IF(Mitarbeiter!B143="","",Mitarbeiter!B143)</f>
        <v/>
      </c>
      <c r="C143" s="55" t="n"/>
      <c r="D143" s="55" t="n"/>
      <c r="E143" s="55" t="n"/>
      <c r="F143" s="55" t="n"/>
      <c r="G143" s="55" t="n"/>
      <c r="H143" s="55" t="n"/>
      <c r="I143" s="55" t="n"/>
      <c r="J143" s="55" t="n"/>
      <c r="K143" s="55" t="n"/>
      <c r="L143" s="55" t="n"/>
      <c r="M143" s="55" t="n"/>
      <c r="N143" s="55" t="n"/>
      <c r="O143" s="37">
        <f>IF($B143="","",SUM(C143:N143))</f>
        <v/>
      </c>
    </row>
    <row r="144">
      <c r="A144" s="49">
        <f>IF(Mitarbeiter!B144="","",Mitarbeiter!A144)</f>
        <v/>
      </c>
      <c r="B144" s="50">
        <f>IF(Mitarbeiter!B144="","",Mitarbeiter!B144)</f>
        <v/>
      </c>
      <c r="C144" s="55" t="n"/>
      <c r="D144" s="55" t="n"/>
      <c r="E144" s="55" t="n"/>
      <c r="F144" s="55" t="n"/>
      <c r="G144" s="55" t="n"/>
      <c r="H144" s="55" t="n"/>
      <c r="I144" s="55" t="n"/>
      <c r="J144" s="55" t="n"/>
      <c r="K144" s="55" t="n"/>
      <c r="L144" s="55" t="n"/>
      <c r="M144" s="55" t="n"/>
      <c r="N144" s="55" t="n"/>
      <c r="O144" s="37">
        <f>IF($B144="","",SUM(C144:N144))</f>
        <v/>
      </c>
    </row>
    <row r="145">
      <c r="A145" s="49">
        <f>IF(Mitarbeiter!B145="","",Mitarbeiter!A145)</f>
        <v/>
      </c>
      <c r="B145" s="50">
        <f>IF(Mitarbeiter!B145="","",Mitarbeiter!B145)</f>
        <v/>
      </c>
      <c r="C145" s="55" t="n"/>
      <c r="D145" s="55" t="n"/>
      <c r="E145" s="55" t="n"/>
      <c r="F145" s="55" t="n"/>
      <c r="G145" s="55" t="n"/>
      <c r="H145" s="55" t="n"/>
      <c r="I145" s="55" t="n"/>
      <c r="J145" s="55" t="n"/>
      <c r="K145" s="55" t="n"/>
      <c r="L145" s="55" t="n"/>
      <c r="M145" s="55" t="n"/>
      <c r="N145" s="55" t="n"/>
      <c r="O145" s="37">
        <f>IF($B145="","",SUM(C145:N145))</f>
        <v/>
      </c>
    </row>
    <row r="146">
      <c r="A146" s="49">
        <f>IF(Mitarbeiter!B146="","",Mitarbeiter!A146)</f>
        <v/>
      </c>
      <c r="B146" s="50">
        <f>IF(Mitarbeiter!B146="","",Mitarbeiter!B146)</f>
        <v/>
      </c>
      <c r="C146" s="55" t="n"/>
      <c r="D146" s="55" t="n"/>
      <c r="E146" s="55" t="n"/>
      <c r="F146" s="55" t="n"/>
      <c r="G146" s="55" t="n"/>
      <c r="H146" s="55" t="n"/>
      <c r="I146" s="55" t="n"/>
      <c r="J146" s="55" t="n"/>
      <c r="K146" s="55" t="n"/>
      <c r="L146" s="55" t="n"/>
      <c r="M146" s="55" t="n"/>
      <c r="N146" s="55" t="n"/>
      <c r="O146" s="37">
        <f>IF($B146="","",SUM(C146:N146))</f>
        <v/>
      </c>
    </row>
    <row r="147">
      <c r="A147" s="49">
        <f>IF(Mitarbeiter!B147="","",Mitarbeiter!A147)</f>
        <v/>
      </c>
      <c r="B147" s="50">
        <f>IF(Mitarbeiter!B147="","",Mitarbeiter!B147)</f>
        <v/>
      </c>
      <c r="C147" s="55" t="n"/>
      <c r="D147" s="55" t="n"/>
      <c r="E147" s="55" t="n"/>
      <c r="F147" s="55" t="n"/>
      <c r="G147" s="55" t="n"/>
      <c r="H147" s="55" t="n"/>
      <c r="I147" s="55" t="n"/>
      <c r="J147" s="55" t="n"/>
      <c r="K147" s="55" t="n"/>
      <c r="L147" s="55" t="n"/>
      <c r="M147" s="55" t="n"/>
      <c r="N147" s="55" t="n"/>
      <c r="O147" s="37">
        <f>IF($B147="","",SUM(C147:N147))</f>
        <v/>
      </c>
    </row>
    <row r="148">
      <c r="A148" s="49">
        <f>IF(Mitarbeiter!B148="","",Mitarbeiter!A148)</f>
        <v/>
      </c>
      <c r="B148" s="50">
        <f>IF(Mitarbeiter!B148="","",Mitarbeiter!B148)</f>
        <v/>
      </c>
      <c r="C148" s="55" t="n"/>
      <c r="D148" s="55" t="n"/>
      <c r="E148" s="55" t="n"/>
      <c r="F148" s="55" t="n"/>
      <c r="G148" s="55" t="n"/>
      <c r="H148" s="55" t="n"/>
      <c r="I148" s="55" t="n"/>
      <c r="J148" s="55" t="n"/>
      <c r="K148" s="55" t="n"/>
      <c r="L148" s="55" t="n"/>
      <c r="M148" s="55" t="n"/>
      <c r="N148" s="55" t="n"/>
      <c r="O148" s="37">
        <f>IF($B148="","",SUM(C148:N148))</f>
        <v/>
      </c>
    </row>
    <row r="149">
      <c r="A149" s="49">
        <f>IF(Mitarbeiter!B149="","",Mitarbeiter!A149)</f>
        <v/>
      </c>
      <c r="B149" s="50">
        <f>IF(Mitarbeiter!B149="","",Mitarbeiter!B149)</f>
        <v/>
      </c>
      <c r="C149" s="55" t="n"/>
      <c r="D149" s="55" t="n"/>
      <c r="E149" s="55" t="n"/>
      <c r="F149" s="55" t="n"/>
      <c r="G149" s="55" t="n"/>
      <c r="H149" s="55" t="n"/>
      <c r="I149" s="55" t="n"/>
      <c r="J149" s="55" t="n"/>
      <c r="K149" s="55" t="n"/>
      <c r="L149" s="55" t="n"/>
      <c r="M149" s="55" t="n"/>
      <c r="N149" s="55" t="n"/>
      <c r="O149" s="37">
        <f>IF($B149="","",SUM(C149:N149))</f>
        <v/>
      </c>
    </row>
    <row r="150">
      <c r="A150" s="49">
        <f>IF(Mitarbeiter!B150="","",Mitarbeiter!A150)</f>
        <v/>
      </c>
      <c r="B150" s="50">
        <f>IF(Mitarbeiter!B150="","",Mitarbeiter!B150)</f>
        <v/>
      </c>
      <c r="C150" s="55" t="n"/>
      <c r="D150" s="55" t="n"/>
      <c r="E150" s="55" t="n"/>
      <c r="F150" s="55" t="n"/>
      <c r="G150" s="55" t="n"/>
      <c r="H150" s="55" t="n"/>
      <c r="I150" s="55" t="n"/>
      <c r="J150" s="55" t="n"/>
      <c r="K150" s="55" t="n"/>
      <c r="L150" s="55" t="n"/>
      <c r="M150" s="55" t="n"/>
      <c r="N150" s="55" t="n"/>
      <c r="O150" s="37">
        <f>IF($B150="","",SUM(C150:N150))</f>
        <v/>
      </c>
    </row>
    <row r="151">
      <c r="A151" s="49">
        <f>IF(Mitarbeiter!B151="","",Mitarbeiter!A151)</f>
        <v/>
      </c>
      <c r="B151" s="50">
        <f>IF(Mitarbeiter!B151="","",Mitarbeiter!B151)</f>
        <v/>
      </c>
      <c r="C151" s="55" t="n"/>
      <c r="D151" s="55" t="n"/>
      <c r="E151" s="55" t="n"/>
      <c r="F151" s="55" t="n"/>
      <c r="G151" s="55" t="n"/>
      <c r="H151" s="55" t="n"/>
      <c r="I151" s="55" t="n"/>
      <c r="J151" s="55" t="n"/>
      <c r="K151" s="55" t="n"/>
      <c r="L151" s="55" t="n"/>
      <c r="M151" s="55" t="n"/>
      <c r="N151" s="55" t="n"/>
      <c r="O151" s="37">
        <f>IF($B151="","",SUM(C151:N151))</f>
        <v/>
      </c>
    </row>
    <row r="152">
      <c r="A152" s="49">
        <f>IF(Mitarbeiter!B152="","",Mitarbeiter!A152)</f>
        <v/>
      </c>
      <c r="B152" s="50">
        <f>IF(Mitarbeiter!B152="","",Mitarbeiter!B152)</f>
        <v/>
      </c>
      <c r="C152" s="55" t="n"/>
      <c r="D152" s="55" t="n"/>
      <c r="E152" s="55" t="n"/>
      <c r="F152" s="55" t="n"/>
      <c r="G152" s="55" t="n"/>
      <c r="H152" s="55" t="n"/>
      <c r="I152" s="55" t="n"/>
      <c r="J152" s="55" t="n"/>
      <c r="K152" s="55" t="n"/>
      <c r="L152" s="55" t="n"/>
      <c r="M152" s="55" t="n"/>
      <c r="N152" s="55" t="n"/>
      <c r="O152" s="37">
        <f>IF($B152="","",SUM(C152:N152))</f>
        <v/>
      </c>
    </row>
    <row r="153">
      <c r="A153" s="49">
        <f>IF(Mitarbeiter!B153="","",Mitarbeiter!A153)</f>
        <v/>
      </c>
      <c r="B153" s="50">
        <f>IF(Mitarbeiter!B153="","",Mitarbeiter!B153)</f>
        <v/>
      </c>
      <c r="C153" s="55" t="n"/>
      <c r="D153" s="55" t="n"/>
      <c r="E153" s="55" t="n"/>
      <c r="F153" s="55" t="n"/>
      <c r="G153" s="55" t="n"/>
      <c r="H153" s="55" t="n"/>
      <c r="I153" s="55" t="n"/>
      <c r="J153" s="55" t="n"/>
      <c r="K153" s="55" t="n"/>
      <c r="L153" s="55" t="n"/>
      <c r="M153" s="55" t="n"/>
      <c r="N153" s="55" t="n"/>
      <c r="O153" s="37">
        <f>IF($B153="","",SUM(C153:N153))</f>
        <v/>
      </c>
    </row>
    <row r="154">
      <c r="A154" s="49">
        <f>IF(Mitarbeiter!B154="","",Mitarbeiter!A154)</f>
        <v/>
      </c>
      <c r="B154" s="50">
        <f>IF(Mitarbeiter!B154="","",Mitarbeiter!B154)</f>
        <v/>
      </c>
      <c r="C154" s="55" t="n"/>
      <c r="D154" s="55" t="n"/>
      <c r="E154" s="55" t="n"/>
      <c r="F154" s="55" t="n"/>
      <c r="G154" s="55" t="n"/>
      <c r="H154" s="55" t="n"/>
      <c r="I154" s="55" t="n"/>
      <c r="J154" s="55" t="n"/>
      <c r="K154" s="55" t="n"/>
      <c r="L154" s="55" t="n"/>
      <c r="M154" s="55" t="n"/>
      <c r="N154" s="55" t="n"/>
      <c r="O154" s="37">
        <f>IF($B154="","",SUM(C154:N154))</f>
        <v/>
      </c>
    </row>
    <row r="155">
      <c r="A155" s="49">
        <f>IF(Mitarbeiter!B155="","",Mitarbeiter!A155)</f>
        <v/>
      </c>
      <c r="B155" s="50">
        <f>IF(Mitarbeiter!B155="","",Mitarbeiter!B155)</f>
        <v/>
      </c>
      <c r="C155" s="55" t="n"/>
      <c r="D155" s="55" t="n"/>
      <c r="E155" s="55" t="n"/>
      <c r="F155" s="55" t="n"/>
      <c r="G155" s="55" t="n"/>
      <c r="H155" s="55" t="n"/>
      <c r="I155" s="55" t="n"/>
      <c r="J155" s="55" t="n"/>
      <c r="K155" s="55" t="n"/>
      <c r="L155" s="55" t="n"/>
      <c r="M155" s="55" t="n"/>
      <c r="N155" s="55" t="n"/>
      <c r="O155" s="37">
        <f>IF($B155="","",SUM(C155:N155))</f>
        <v/>
      </c>
    </row>
    <row r="156">
      <c r="A156" s="49">
        <f>IF(Mitarbeiter!B156="","",Mitarbeiter!A156)</f>
        <v/>
      </c>
      <c r="B156" s="50">
        <f>IF(Mitarbeiter!B156="","",Mitarbeiter!B156)</f>
        <v/>
      </c>
      <c r="C156" s="55" t="n"/>
      <c r="D156" s="55" t="n"/>
      <c r="E156" s="55" t="n"/>
      <c r="F156" s="55" t="n"/>
      <c r="G156" s="55" t="n"/>
      <c r="H156" s="55" t="n"/>
      <c r="I156" s="55" t="n"/>
      <c r="J156" s="55" t="n"/>
      <c r="K156" s="55" t="n"/>
      <c r="L156" s="55" t="n"/>
      <c r="M156" s="55" t="n"/>
      <c r="N156" s="55" t="n"/>
      <c r="O156" s="37">
        <f>IF($B156="","",SUM(C156:N156))</f>
        <v/>
      </c>
    </row>
    <row r="157">
      <c r="A157" s="49">
        <f>IF(Mitarbeiter!B157="","",Mitarbeiter!A157)</f>
        <v/>
      </c>
      <c r="B157" s="50">
        <f>IF(Mitarbeiter!B157="","",Mitarbeiter!B157)</f>
        <v/>
      </c>
      <c r="C157" s="55" t="n"/>
      <c r="D157" s="55" t="n"/>
      <c r="E157" s="55" t="n"/>
      <c r="F157" s="55" t="n"/>
      <c r="G157" s="55" t="n"/>
      <c r="H157" s="55" t="n"/>
      <c r="I157" s="55" t="n"/>
      <c r="J157" s="55" t="n"/>
      <c r="K157" s="55" t="n"/>
      <c r="L157" s="55" t="n"/>
      <c r="M157" s="55" t="n"/>
      <c r="N157" s="55" t="n"/>
      <c r="O157" s="37">
        <f>IF($B157="","",SUM(C157:N157))</f>
        <v/>
      </c>
    </row>
    <row r="158">
      <c r="A158" s="49">
        <f>IF(Mitarbeiter!B158="","",Mitarbeiter!A158)</f>
        <v/>
      </c>
      <c r="B158" s="50">
        <f>IF(Mitarbeiter!B158="","",Mitarbeiter!B158)</f>
        <v/>
      </c>
      <c r="C158" s="55" t="n"/>
      <c r="D158" s="55" t="n"/>
      <c r="E158" s="55" t="n"/>
      <c r="F158" s="55" t="n"/>
      <c r="G158" s="55" t="n"/>
      <c r="H158" s="55" t="n"/>
      <c r="I158" s="55" t="n"/>
      <c r="J158" s="55" t="n"/>
      <c r="K158" s="55" t="n"/>
      <c r="L158" s="55" t="n"/>
      <c r="M158" s="55" t="n"/>
      <c r="N158" s="55" t="n"/>
      <c r="O158" s="37">
        <f>IF($B158="","",SUM(C158:N158))</f>
        <v/>
      </c>
    </row>
    <row r="159">
      <c r="A159" s="49">
        <f>IF(Mitarbeiter!B159="","",Mitarbeiter!A159)</f>
        <v/>
      </c>
      <c r="B159" s="50">
        <f>IF(Mitarbeiter!B159="","",Mitarbeiter!B159)</f>
        <v/>
      </c>
      <c r="C159" s="55" t="n"/>
      <c r="D159" s="55" t="n"/>
      <c r="E159" s="55" t="n"/>
      <c r="F159" s="55" t="n"/>
      <c r="G159" s="55" t="n"/>
      <c r="H159" s="55" t="n"/>
      <c r="I159" s="55" t="n"/>
      <c r="J159" s="55" t="n"/>
      <c r="K159" s="55" t="n"/>
      <c r="L159" s="55" t="n"/>
      <c r="M159" s="55" t="n"/>
      <c r="N159" s="55" t="n"/>
      <c r="O159" s="37">
        <f>IF($B159="","",SUM(C159:N159))</f>
        <v/>
      </c>
    </row>
    <row r="160">
      <c r="A160" s="49">
        <f>IF(Mitarbeiter!B160="","",Mitarbeiter!A160)</f>
        <v/>
      </c>
      <c r="B160" s="50">
        <f>IF(Mitarbeiter!B160="","",Mitarbeiter!B160)</f>
        <v/>
      </c>
      <c r="C160" s="55" t="n"/>
      <c r="D160" s="55" t="n"/>
      <c r="E160" s="55" t="n"/>
      <c r="F160" s="55" t="n"/>
      <c r="G160" s="55" t="n"/>
      <c r="H160" s="55" t="n"/>
      <c r="I160" s="55" t="n"/>
      <c r="J160" s="55" t="n"/>
      <c r="K160" s="55" t="n"/>
      <c r="L160" s="55" t="n"/>
      <c r="M160" s="55" t="n"/>
      <c r="N160" s="55" t="n"/>
      <c r="O160" s="37">
        <f>IF($B160="","",SUM(C160:N160))</f>
        <v/>
      </c>
    </row>
    <row r="161">
      <c r="A161" s="49">
        <f>IF(Mitarbeiter!B161="","",Mitarbeiter!A161)</f>
        <v/>
      </c>
      <c r="B161" s="50">
        <f>IF(Mitarbeiter!B161="","",Mitarbeiter!B161)</f>
        <v/>
      </c>
      <c r="C161" s="55" t="n"/>
      <c r="D161" s="55" t="n"/>
      <c r="E161" s="55" t="n"/>
      <c r="F161" s="55" t="n"/>
      <c r="G161" s="55" t="n"/>
      <c r="H161" s="55" t="n"/>
      <c r="I161" s="55" t="n"/>
      <c r="J161" s="55" t="n"/>
      <c r="K161" s="55" t="n"/>
      <c r="L161" s="55" t="n"/>
      <c r="M161" s="55" t="n"/>
      <c r="N161" s="55" t="n"/>
      <c r="O161" s="37">
        <f>IF($B161="","",SUM(C161:N161))</f>
        <v/>
      </c>
    </row>
    <row r="162">
      <c r="A162" s="49">
        <f>IF(Mitarbeiter!B162="","",Mitarbeiter!A162)</f>
        <v/>
      </c>
      <c r="B162" s="50">
        <f>IF(Mitarbeiter!B162="","",Mitarbeiter!B162)</f>
        <v/>
      </c>
      <c r="C162" s="55" t="n"/>
      <c r="D162" s="55" t="n"/>
      <c r="E162" s="55" t="n"/>
      <c r="F162" s="55" t="n"/>
      <c r="G162" s="55" t="n"/>
      <c r="H162" s="55" t="n"/>
      <c r="I162" s="55" t="n"/>
      <c r="J162" s="55" t="n"/>
      <c r="K162" s="55" t="n"/>
      <c r="L162" s="55" t="n"/>
      <c r="M162" s="55" t="n"/>
      <c r="N162" s="55" t="n"/>
      <c r="O162" s="37">
        <f>IF($B162="","",SUM(C162:N162))</f>
        <v/>
      </c>
    </row>
    <row r="163">
      <c r="A163" s="49">
        <f>IF(Mitarbeiter!B163="","",Mitarbeiter!A163)</f>
        <v/>
      </c>
      <c r="B163" s="50">
        <f>IF(Mitarbeiter!B163="","",Mitarbeiter!B163)</f>
        <v/>
      </c>
      <c r="C163" s="55" t="n"/>
      <c r="D163" s="55" t="n"/>
      <c r="E163" s="55" t="n"/>
      <c r="F163" s="55" t="n"/>
      <c r="G163" s="55" t="n"/>
      <c r="H163" s="55" t="n"/>
      <c r="I163" s="55" t="n"/>
      <c r="J163" s="55" t="n"/>
      <c r="K163" s="55" t="n"/>
      <c r="L163" s="55" t="n"/>
      <c r="M163" s="55" t="n"/>
      <c r="N163" s="55" t="n"/>
      <c r="O163" s="37">
        <f>IF($B163="","",SUM(C163:N163))</f>
        <v/>
      </c>
    </row>
    <row r="164">
      <c r="A164" s="49">
        <f>IF(Mitarbeiter!B164="","",Mitarbeiter!A164)</f>
        <v/>
      </c>
      <c r="B164" s="50">
        <f>IF(Mitarbeiter!B164="","",Mitarbeiter!B164)</f>
        <v/>
      </c>
      <c r="C164" s="55" t="n"/>
      <c r="D164" s="55" t="n"/>
      <c r="E164" s="55" t="n"/>
      <c r="F164" s="55" t="n"/>
      <c r="G164" s="55" t="n"/>
      <c r="H164" s="55" t="n"/>
      <c r="I164" s="55" t="n"/>
      <c r="J164" s="55" t="n"/>
      <c r="K164" s="55" t="n"/>
      <c r="L164" s="55" t="n"/>
      <c r="M164" s="55" t="n"/>
      <c r="N164" s="55" t="n"/>
      <c r="O164" s="37">
        <f>IF($B164="","",SUM(C164:N164))</f>
        <v/>
      </c>
    </row>
    <row r="165">
      <c r="A165" s="49">
        <f>IF(Mitarbeiter!B165="","",Mitarbeiter!A165)</f>
        <v/>
      </c>
      <c r="B165" s="50">
        <f>IF(Mitarbeiter!B165="","",Mitarbeiter!B165)</f>
        <v/>
      </c>
      <c r="C165" s="55" t="n"/>
      <c r="D165" s="55" t="n"/>
      <c r="E165" s="55" t="n"/>
      <c r="F165" s="55" t="n"/>
      <c r="G165" s="55" t="n"/>
      <c r="H165" s="55" t="n"/>
      <c r="I165" s="55" t="n"/>
      <c r="J165" s="55" t="n"/>
      <c r="K165" s="55" t="n"/>
      <c r="L165" s="55" t="n"/>
      <c r="M165" s="55" t="n"/>
      <c r="N165" s="55" t="n"/>
      <c r="O165" s="37">
        <f>IF($B165="","",SUM(C165:N165))</f>
        <v/>
      </c>
    </row>
    <row r="166">
      <c r="A166" s="49">
        <f>IF(Mitarbeiter!B166="","",Mitarbeiter!A166)</f>
        <v/>
      </c>
      <c r="B166" s="50">
        <f>IF(Mitarbeiter!B166="","",Mitarbeiter!B166)</f>
        <v/>
      </c>
      <c r="C166" s="55" t="n"/>
      <c r="D166" s="55" t="n"/>
      <c r="E166" s="55" t="n"/>
      <c r="F166" s="55" t="n"/>
      <c r="G166" s="55" t="n"/>
      <c r="H166" s="55" t="n"/>
      <c r="I166" s="55" t="n"/>
      <c r="J166" s="55" t="n"/>
      <c r="K166" s="55" t="n"/>
      <c r="L166" s="55" t="n"/>
      <c r="M166" s="55" t="n"/>
      <c r="N166" s="55" t="n"/>
      <c r="O166" s="37">
        <f>IF($B166="","",SUM(C166:N166))</f>
        <v/>
      </c>
    </row>
    <row r="167">
      <c r="A167" s="49">
        <f>IF(Mitarbeiter!B167="","",Mitarbeiter!A167)</f>
        <v/>
      </c>
      <c r="B167" s="50">
        <f>IF(Mitarbeiter!B167="","",Mitarbeiter!B167)</f>
        <v/>
      </c>
      <c r="C167" s="55" t="n"/>
      <c r="D167" s="55" t="n"/>
      <c r="E167" s="55" t="n"/>
      <c r="F167" s="55" t="n"/>
      <c r="G167" s="55" t="n"/>
      <c r="H167" s="55" t="n"/>
      <c r="I167" s="55" t="n"/>
      <c r="J167" s="55" t="n"/>
      <c r="K167" s="55" t="n"/>
      <c r="L167" s="55" t="n"/>
      <c r="M167" s="55" t="n"/>
      <c r="N167" s="55" t="n"/>
      <c r="O167" s="37">
        <f>IF($B167="","",SUM(C167:N167))</f>
        <v/>
      </c>
    </row>
    <row r="168">
      <c r="A168" s="49">
        <f>IF(Mitarbeiter!B168="","",Mitarbeiter!A168)</f>
        <v/>
      </c>
      <c r="B168" s="50">
        <f>IF(Mitarbeiter!B168="","",Mitarbeiter!B168)</f>
        <v/>
      </c>
      <c r="C168" s="55" t="n"/>
      <c r="D168" s="55" t="n"/>
      <c r="E168" s="55" t="n"/>
      <c r="F168" s="55" t="n"/>
      <c r="G168" s="55" t="n"/>
      <c r="H168" s="55" t="n"/>
      <c r="I168" s="55" t="n"/>
      <c r="J168" s="55" t="n"/>
      <c r="K168" s="55" t="n"/>
      <c r="L168" s="55" t="n"/>
      <c r="M168" s="55" t="n"/>
      <c r="N168" s="55" t="n"/>
      <c r="O168" s="37">
        <f>IF($B168="","",SUM(C168:N168))</f>
        <v/>
      </c>
    </row>
    <row r="169">
      <c r="A169" s="49">
        <f>IF(Mitarbeiter!B169="","",Mitarbeiter!A169)</f>
        <v/>
      </c>
      <c r="B169" s="50">
        <f>IF(Mitarbeiter!B169="","",Mitarbeiter!B169)</f>
        <v/>
      </c>
      <c r="C169" s="55" t="n"/>
      <c r="D169" s="55" t="n"/>
      <c r="E169" s="55" t="n"/>
      <c r="F169" s="55" t="n"/>
      <c r="G169" s="55" t="n"/>
      <c r="H169" s="55" t="n"/>
      <c r="I169" s="55" t="n"/>
      <c r="J169" s="55" t="n"/>
      <c r="K169" s="55" t="n"/>
      <c r="L169" s="55" t="n"/>
      <c r="M169" s="55" t="n"/>
      <c r="N169" s="55" t="n"/>
      <c r="O169" s="37">
        <f>IF($B169="","",SUM(C169:N169))</f>
        <v/>
      </c>
    </row>
    <row r="170">
      <c r="A170" s="49">
        <f>IF(Mitarbeiter!B170="","",Mitarbeiter!A170)</f>
        <v/>
      </c>
      <c r="B170" s="50">
        <f>IF(Mitarbeiter!B170="","",Mitarbeiter!B170)</f>
        <v/>
      </c>
      <c r="C170" s="55" t="n"/>
      <c r="D170" s="55" t="n"/>
      <c r="E170" s="55" t="n"/>
      <c r="F170" s="55" t="n"/>
      <c r="G170" s="55" t="n"/>
      <c r="H170" s="55" t="n"/>
      <c r="I170" s="55" t="n"/>
      <c r="J170" s="55" t="n"/>
      <c r="K170" s="55" t="n"/>
      <c r="L170" s="55" t="n"/>
      <c r="M170" s="55" t="n"/>
      <c r="N170" s="55" t="n"/>
      <c r="O170" s="37">
        <f>IF($B170="","",SUM(C170:N170))</f>
        <v/>
      </c>
    </row>
    <row r="171">
      <c r="A171" s="49">
        <f>IF(Mitarbeiter!B171="","",Mitarbeiter!A171)</f>
        <v/>
      </c>
      <c r="B171" s="50">
        <f>IF(Mitarbeiter!B171="","",Mitarbeiter!B171)</f>
        <v/>
      </c>
      <c r="C171" s="55" t="n"/>
      <c r="D171" s="55" t="n"/>
      <c r="E171" s="55" t="n"/>
      <c r="F171" s="55" t="n"/>
      <c r="G171" s="55" t="n"/>
      <c r="H171" s="55" t="n"/>
      <c r="I171" s="55" t="n"/>
      <c r="J171" s="55" t="n"/>
      <c r="K171" s="55" t="n"/>
      <c r="L171" s="55" t="n"/>
      <c r="M171" s="55" t="n"/>
      <c r="N171" s="55" t="n"/>
      <c r="O171" s="37">
        <f>IF($B171="","",SUM(C171:N171))</f>
        <v/>
      </c>
    </row>
    <row r="172">
      <c r="A172" s="49">
        <f>IF(Mitarbeiter!B172="","",Mitarbeiter!A172)</f>
        <v/>
      </c>
      <c r="B172" s="50">
        <f>IF(Mitarbeiter!B172="","",Mitarbeiter!B172)</f>
        <v/>
      </c>
      <c r="C172" s="55" t="n"/>
      <c r="D172" s="55" t="n"/>
      <c r="E172" s="55" t="n"/>
      <c r="F172" s="55" t="n"/>
      <c r="G172" s="55" t="n"/>
      <c r="H172" s="55" t="n"/>
      <c r="I172" s="55" t="n"/>
      <c r="J172" s="55" t="n"/>
      <c r="K172" s="55" t="n"/>
      <c r="L172" s="55" t="n"/>
      <c r="M172" s="55" t="n"/>
      <c r="N172" s="55" t="n"/>
      <c r="O172" s="37">
        <f>IF($B172="","",SUM(C172:N172))</f>
        <v/>
      </c>
    </row>
    <row r="173">
      <c r="A173" s="49">
        <f>IF(Mitarbeiter!B173="","",Mitarbeiter!A173)</f>
        <v/>
      </c>
      <c r="B173" s="50">
        <f>IF(Mitarbeiter!B173="","",Mitarbeiter!B173)</f>
        <v/>
      </c>
      <c r="C173" s="55" t="n"/>
      <c r="D173" s="55" t="n"/>
      <c r="E173" s="55" t="n"/>
      <c r="F173" s="55" t="n"/>
      <c r="G173" s="55" t="n"/>
      <c r="H173" s="55" t="n"/>
      <c r="I173" s="55" t="n"/>
      <c r="J173" s="55" t="n"/>
      <c r="K173" s="55" t="n"/>
      <c r="L173" s="55" t="n"/>
      <c r="M173" s="55" t="n"/>
      <c r="N173" s="55" t="n"/>
      <c r="O173" s="37">
        <f>IF($B173="","",SUM(C173:N173))</f>
        <v/>
      </c>
    </row>
    <row r="174">
      <c r="A174" s="49">
        <f>IF(Mitarbeiter!B174="","",Mitarbeiter!A174)</f>
        <v/>
      </c>
      <c r="B174" s="50">
        <f>IF(Mitarbeiter!B174="","",Mitarbeiter!B174)</f>
        <v/>
      </c>
      <c r="C174" s="55" t="n"/>
      <c r="D174" s="55" t="n"/>
      <c r="E174" s="55" t="n"/>
      <c r="F174" s="55" t="n"/>
      <c r="G174" s="55" t="n"/>
      <c r="H174" s="55" t="n"/>
      <c r="I174" s="55" t="n"/>
      <c r="J174" s="55" t="n"/>
      <c r="K174" s="55" t="n"/>
      <c r="L174" s="55" t="n"/>
      <c r="M174" s="55" t="n"/>
      <c r="N174" s="55" t="n"/>
      <c r="O174" s="37">
        <f>IF($B174="","",SUM(C174:N174))</f>
        <v/>
      </c>
    </row>
    <row r="175">
      <c r="A175" s="49">
        <f>IF(Mitarbeiter!B175="","",Mitarbeiter!A175)</f>
        <v/>
      </c>
      <c r="B175" s="50">
        <f>IF(Mitarbeiter!B175="","",Mitarbeiter!B175)</f>
        <v/>
      </c>
      <c r="C175" s="55" t="n"/>
      <c r="D175" s="55" t="n"/>
      <c r="E175" s="55" t="n"/>
      <c r="F175" s="55" t="n"/>
      <c r="G175" s="55" t="n"/>
      <c r="H175" s="55" t="n"/>
      <c r="I175" s="55" t="n"/>
      <c r="J175" s="55" t="n"/>
      <c r="K175" s="55" t="n"/>
      <c r="L175" s="55" t="n"/>
      <c r="M175" s="55" t="n"/>
      <c r="N175" s="55" t="n"/>
      <c r="O175" s="37">
        <f>IF($B175="","",SUM(C175:N175))</f>
        <v/>
      </c>
    </row>
    <row r="176">
      <c r="A176" s="49">
        <f>IF(Mitarbeiter!B176="","",Mitarbeiter!A176)</f>
        <v/>
      </c>
      <c r="B176" s="50">
        <f>IF(Mitarbeiter!B176="","",Mitarbeiter!B176)</f>
        <v/>
      </c>
      <c r="C176" s="55" t="n"/>
      <c r="D176" s="55" t="n"/>
      <c r="E176" s="55" t="n"/>
      <c r="F176" s="55" t="n"/>
      <c r="G176" s="55" t="n"/>
      <c r="H176" s="55" t="n"/>
      <c r="I176" s="55" t="n"/>
      <c r="J176" s="55" t="n"/>
      <c r="K176" s="55" t="n"/>
      <c r="L176" s="55" t="n"/>
      <c r="M176" s="55" t="n"/>
      <c r="N176" s="55" t="n"/>
      <c r="O176" s="37">
        <f>IF($B176="","",SUM(C176:N176))</f>
        <v/>
      </c>
    </row>
    <row r="177">
      <c r="A177" s="49">
        <f>IF(Mitarbeiter!B177="","",Mitarbeiter!A177)</f>
        <v/>
      </c>
      <c r="B177" s="50">
        <f>IF(Mitarbeiter!B177="","",Mitarbeiter!B177)</f>
        <v/>
      </c>
      <c r="C177" s="55" t="n"/>
      <c r="D177" s="55" t="n"/>
      <c r="E177" s="55" t="n"/>
      <c r="F177" s="55" t="n"/>
      <c r="G177" s="55" t="n"/>
      <c r="H177" s="55" t="n"/>
      <c r="I177" s="55" t="n"/>
      <c r="J177" s="55" t="n"/>
      <c r="K177" s="55" t="n"/>
      <c r="L177" s="55" t="n"/>
      <c r="M177" s="55" t="n"/>
      <c r="N177" s="55" t="n"/>
      <c r="O177" s="37">
        <f>IF($B177="","",SUM(C177:N177))</f>
        <v/>
      </c>
    </row>
    <row r="178">
      <c r="A178" s="49">
        <f>IF(Mitarbeiter!B178="","",Mitarbeiter!A178)</f>
        <v/>
      </c>
      <c r="B178" s="50">
        <f>IF(Mitarbeiter!B178="","",Mitarbeiter!B178)</f>
        <v/>
      </c>
      <c r="C178" s="55" t="n"/>
      <c r="D178" s="55" t="n"/>
      <c r="E178" s="55" t="n"/>
      <c r="F178" s="55" t="n"/>
      <c r="G178" s="55" t="n"/>
      <c r="H178" s="55" t="n"/>
      <c r="I178" s="55" t="n"/>
      <c r="J178" s="55" t="n"/>
      <c r="K178" s="55" t="n"/>
      <c r="L178" s="55" t="n"/>
      <c r="M178" s="55" t="n"/>
      <c r="N178" s="55" t="n"/>
      <c r="O178" s="37">
        <f>IF($B178="","",SUM(C178:N178))</f>
        <v/>
      </c>
    </row>
    <row r="179">
      <c r="A179" s="49">
        <f>IF(Mitarbeiter!B179="","",Mitarbeiter!A179)</f>
        <v/>
      </c>
      <c r="B179" s="50">
        <f>IF(Mitarbeiter!B179="","",Mitarbeiter!B179)</f>
        <v/>
      </c>
      <c r="C179" s="55" t="n"/>
      <c r="D179" s="55" t="n"/>
      <c r="E179" s="55" t="n"/>
      <c r="F179" s="55" t="n"/>
      <c r="G179" s="55" t="n"/>
      <c r="H179" s="55" t="n"/>
      <c r="I179" s="55" t="n"/>
      <c r="J179" s="55" t="n"/>
      <c r="K179" s="55" t="n"/>
      <c r="L179" s="55" t="n"/>
      <c r="M179" s="55" t="n"/>
      <c r="N179" s="55" t="n"/>
      <c r="O179" s="37">
        <f>IF($B179="","",SUM(C179:N179))</f>
        <v/>
      </c>
    </row>
    <row r="180">
      <c r="A180" s="49">
        <f>IF(Mitarbeiter!B180="","",Mitarbeiter!A180)</f>
        <v/>
      </c>
      <c r="B180" s="50">
        <f>IF(Mitarbeiter!B180="","",Mitarbeiter!B180)</f>
        <v/>
      </c>
      <c r="C180" s="55" t="n"/>
      <c r="D180" s="55" t="n"/>
      <c r="E180" s="55" t="n"/>
      <c r="F180" s="55" t="n"/>
      <c r="G180" s="55" t="n"/>
      <c r="H180" s="55" t="n"/>
      <c r="I180" s="55" t="n"/>
      <c r="J180" s="55" t="n"/>
      <c r="K180" s="55" t="n"/>
      <c r="L180" s="55" t="n"/>
      <c r="M180" s="55" t="n"/>
      <c r="N180" s="55" t="n"/>
      <c r="O180" s="37">
        <f>IF($B180="","",SUM(C180:N180))</f>
        <v/>
      </c>
    </row>
    <row r="181">
      <c r="A181" s="49">
        <f>IF(Mitarbeiter!B181="","",Mitarbeiter!A181)</f>
        <v/>
      </c>
      <c r="B181" s="50">
        <f>IF(Mitarbeiter!B181="","",Mitarbeiter!B181)</f>
        <v/>
      </c>
      <c r="C181" s="55" t="n"/>
      <c r="D181" s="55" t="n"/>
      <c r="E181" s="55" t="n"/>
      <c r="F181" s="55" t="n"/>
      <c r="G181" s="55" t="n"/>
      <c r="H181" s="55" t="n"/>
      <c r="I181" s="55" t="n"/>
      <c r="J181" s="55" t="n"/>
      <c r="K181" s="55" t="n"/>
      <c r="L181" s="55" t="n"/>
      <c r="M181" s="55" t="n"/>
      <c r="N181" s="55" t="n"/>
      <c r="O181" s="37">
        <f>IF($B181="","",SUM(C181:N181))</f>
        <v/>
      </c>
    </row>
    <row r="182">
      <c r="A182" s="49">
        <f>IF(Mitarbeiter!B182="","",Mitarbeiter!A182)</f>
        <v/>
      </c>
      <c r="B182" s="50">
        <f>IF(Mitarbeiter!B182="","",Mitarbeiter!B182)</f>
        <v/>
      </c>
      <c r="C182" s="55" t="n"/>
      <c r="D182" s="55" t="n"/>
      <c r="E182" s="55" t="n"/>
      <c r="F182" s="55" t="n"/>
      <c r="G182" s="55" t="n"/>
      <c r="H182" s="55" t="n"/>
      <c r="I182" s="55" t="n"/>
      <c r="J182" s="55" t="n"/>
      <c r="K182" s="55" t="n"/>
      <c r="L182" s="55" t="n"/>
      <c r="M182" s="55" t="n"/>
      <c r="N182" s="55" t="n"/>
      <c r="O182" s="37">
        <f>IF($B182="","",SUM(C182:N182))</f>
        <v/>
      </c>
    </row>
    <row r="183">
      <c r="A183" s="49">
        <f>IF(Mitarbeiter!B183="","",Mitarbeiter!A183)</f>
        <v/>
      </c>
      <c r="B183" s="50">
        <f>IF(Mitarbeiter!B183="","",Mitarbeiter!B183)</f>
        <v/>
      </c>
      <c r="C183" s="55" t="n"/>
      <c r="D183" s="55" t="n"/>
      <c r="E183" s="55" t="n"/>
      <c r="F183" s="55" t="n"/>
      <c r="G183" s="55" t="n"/>
      <c r="H183" s="55" t="n"/>
      <c r="I183" s="55" t="n"/>
      <c r="J183" s="55" t="n"/>
      <c r="K183" s="55" t="n"/>
      <c r="L183" s="55" t="n"/>
      <c r="M183" s="55" t="n"/>
      <c r="N183" s="55" t="n"/>
      <c r="O183" s="37">
        <f>IF($B183="","",SUM(C183:N183))</f>
        <v/>
      </c>
    </row>
    <row r="184">
      <c r="A184" s="49">
        <f>IF(Mitarbeiter!B184="","",Mitarbeiter!A184)</f>
        <v/>
      </c>
      <c r="B184" s="50">
        <f>IF(Mitarbeiter!B184="","",Mitarbeiter!B184)</f>
        <v/>
      </c>
      <c r="C184" s="55" t="n"/>
      <c r="D184" s="55" t="n"/>
      <c r="E184" s="55" t="n"/>
      <c r="F184" s="55" t="n"/>
      <c r="G184" s="55" t="n"/>
      <c r="H184" s="55" t="n"/>
      <c r="I184" s="55" t="n"/>
      <c r="J184" s="55" t="n"/>
      <c r="K184" s="55" t="n"/>
      <c r="L184" s="55" t="n"/>
      <c r="M184" s="55" t="n"/>
      <c r="N184" s="55" t="n"/>
      <c r="O184" s="37">
        <f>IF($B184="","",SUM(C184:N184))</f>
        <v/>
      </c>
    </row>
    <row r="185">
      <c r="A185" s="49">
        <f>IF(Mitarbeiter!B185="","",Mitarbeiter!A185)</f>
        <v/>
      </c>
      <c r="B185" s="50">
        <f>IF(Mitarbeiter!B185="","",Mitarbeiter!B185)</f>
        <v/>
      </c>
      <c r="C185" s="55" t="n"/>
      <c r="D185" s="55" t="n"/>
      <c r="E185" s="55" t="n"/>
      <c r="F185" s="55" t="n"/>
      <c r="G185" s="55" t="n"/>
      <c r="H185" s="55" t="n"/>
      <c r="I185" s="55" t="n"/>
      <c r="J185" s="55" t="n"/>
      <c r="K185" s="55" t="n"/>
      <c r="L185" s="55" t="n"/>
      <c r="M185" s="55" t="n"/>
      <c r="N185" s="55" t="n"/>
      <c r="O185" s="37">
        <f>IF($B185="","",SUM(C185:N185))</f>
        <v/>
      </c>
    </row>
    <row r="186">
      <c r="A186" s="49">
        <f>IF(Mitarbeiter!B186="","",Mitarbeiter!A186)</f>
        <v/>
      </c>
      <c r="B186" s="50">
        <f>IF(Mitarbeiter!B186="","",Mitarbeiter!B186)</f>
        <v/>
      </c>
      <c r="C186" s="55" t="n"/>
      <c r="D186" s="55" t="n"/>
      <c r="E186" s="55" t="n"/>
      <c r="F186" s="55" t="n"/>
      <c r="G186" s="55" t="n"/>
      <c r="H186" s="55" t="n"/>
      <c r="I186" s="55" t="n"/>
      <c r="J186" s="55" t="n"/>
      <c r="K186" s="55" t="n"/>
      <c r="L186" s="55" t="n"/>
      <c r="M186" s="55" t="n"/>
      <c r="N186" s="55" t="n"/>
      <c r="O186" s="37">
        <f>IF($B186="","",SUM(C186:N186))</f>
        <v/>
      </c>
    </row>
    <row r="187">
      <c r="A187" s="49">
        <f>IF(Mitarbeiter!B187="","",Mitarbeiter!A187)</f>
        <v/>
      </c>
      <c r="B187" s="50">
        <f>IF(Mitarbeiter!B187="","",Mitarbeiter!B187)</f>
        <v/>
      </c>
      <c r="C187" s="55" t="n"/>
      <c r="D187" s="55" t="n"/>
      <c r="E187" s="55" t="n"/>
      <c r="F187" s="55" t="n"/>
      <c r="G187" s="55" t="n"/>
      <c r="H187" s="55" t="n"/>
      <c r="I187" s="55" t="n"/>
      <c r="J187" s="55" t="n"/>
      <c r="K187" s="55" t="n"/>
      <c r="L187" s="55" t="n"/>
      <c r="M187" s="55" t="n"/>
      <c r="N187" s="55" t="n"/>
      <c r="O187" s="37">
        <f>IF($B187="","",SUM(C187:N187))</f>
        <v/>
      </c>
    </row>
    <row r="188">
      <c r="A188" s="49">
        <f>IF(Mitarbeiter!B188="","",Mitarbeiter!A188)</f>
        <v/>
      </c>
      <c r="B188" s="50">
        <f>IF(Mitarbeiter!B188="","",Mitarbeiter!B188)</f>
        <v/>
      </c>
      <c r="C188" s="55" t="n"/>
      <c r="D188" s="55" t="n"/>
      <c r="E188" s="55" t="n"/>
      <c r="F188" s="55" t="n"/>
      <c r="G188" s="55" t="n"/>
      <c r="H188" s="55" t="n"/>
      <c r="I188" s="55" t="n"/>
      <c r="J188" s="55" t="n"/>
      <c r="K188" s="55" t="n"/>
      <c r="L188" s="55" t="n"/>
      <c r="M188" s="55" t="n"/>
      <c r="N188" s="55" t="n"/>
      <c r="O188" s="37">
        <f>IF($B188="","",SUM(C188:N188))</f>
        <v/>
      </c>
    </row>
    <row r="189">
      <c r="A189" s="49">
        <f>IF(Mitarbeiter!B189="","",Mitarbeiter!A189)</f>
        <v/>
      </c>
      <c r="B189" s="50">
        <f>IF(Mitarbeiter!B189="","",Mitarbeiter!B189)</f>
        <v/>
      </c>
      <c r="C189" s="55" t="n"/>
      <c r="D189" s="55" t="n"/>
      <c r="E189" s="55" t="n"/>
      <c r="F189" s="55" t="n"/>
      <c r="G189" s="55" t="n"/>
      <c r="H189" s="55" t="n"/>
      <c r="I189" s="55" t="n"/>
      <c r="J189" s="55" t="n"/>
      <c r="K189" s="55" t="n"/>
      <c r="L189" s="55" t="n"/>
      <c r="M189" s="55" t="n"/>
      <c r="N189" s="55" t="n"/>
      <c r="O189" s="37">
        <f>IF($B189="","",SUM(C189:N189))</f>
        <v/>
      </c>
    </row>
    <row r="190">
      <c r="A190" s="49">
        <f>IF(Mitarbeiter!B190="","",Mitarbeiter!A190)</f>
        <v/>
      </c>
      <c r="B190" s="50">
        <f>IF(Mitarbeiter!B190="","",Mitarbeiter!B190)</f>
        <v/>
      </c>
      <c r="C190" s="55" t="n"/>
      <c r="D190" s="55" t="n"/>
      <c r="E190" s="55" t="n"/>
      <c r="F190" s="55" t="n"/>
      <c r="G190" s="55" t="n"/>
      <c r="H190" s="55" t="n"/>
      <c r="I190" s="55" t="n"/>
      <c r="J190" s="55" t="n"/>
      <c r="K190" s="55" t="n"/>
      <c r="L190" s="55" t="n"/>
      <c r="M190" s="55" t="n"/>
      <c r="N190" s="55" t="n"/>
      <c r="O190" s="37">
        <f>IF($B190="","",SUM(C190:N190))</f>
        <v/>
      </c>
    </row>
    <row r="191">
      <c r="A191" s="49">
        <f>IF(Mitarbeiter!B191="","",Mitarbeiter!A191)</f>
        <v/>
      </c>
      <c r="B191" s="50">
        <f>IF(Mitarbeiter!B191="","",Mitarbeiter!B191)</f>
        <v/>
      </c>
      <c r="C191" s="55" t="n"/>
      <c r="D191" s="55" t="n"/>
      <c r="E191" s="55" t="n"/>
      <c r="F191" s="55" t="n"/>
      <c r="G191" s="55" t="n"/>
      <c r="H191" s="55" t="n"/>
      <c r="I191" s="55" t="n"/>
      <c r="J191" s="55" t="n"/>
      <c r="K191" s="55" t="n"/>
      <c r="L191" s="55" t="n"/>
      <c r="M191" s="55" t="n"/>
      <c r="N191" s="55" t="n"/>
      <c r="O191" s="37">
        <f>IF($B191="","",SUM(C191:N191))</f>
        <v/>
      </c>
    </row>
    <row r="192">
      <c r="A192" s="49">
        <f>IF(Mitarbeiter!B192="","",Mitarbeiter!A192)</f>
        <v/>
      </c>
      <c r="B192" s="50">
        <f>IF(Mitarbeiter!B192="","",Mitarbeiter!B192)</f>
        <v/>
      </c>
      <c r="C192" s="55" t="n"/>
      <c r="D192" s="55" t="n"/>
      <c r="E192" s="55" t="n"/>
      <c r="F192" s="55" t="n"/>
      <c r="G192" s="55" t="n"/>
      <c r="H192" s="55" t="n"/>
      <c r="I192" s="55" t="n"/>
      <c r="J192" s="55" t="n"/>
      <c r="K192" s="55" t="n"/>
      <c r="L192" s="55" t="n"/>
      <c r="M192" s="55" t="n"/>
      <c r="N192" s="55" t="n"/>
      <c r="O192" s="37">
        <f>IF($B192="","",SUM(C192:N192))</f>
        <v/>
      </c>
    </row>
    <row r="193">
      <c r="A193" s="49">
        <f>IF(Mitarbeiter!B193="","",Mitarbeiter!A193)</f>
        <v/>
      </c>
      <c r="B193" s="50">
        <f>IF(Mitarbeiter!B193="","",Mitarbeiter!B193)</f>
        <v/>
      </c>
      <c r="C193" s="55" t="n"/>
      <c r="D193" s="55" t="n"/>
      <c r="E193" s="55" t="n"/>
      <c r="F193" s="55" t="n"/>
      <c r="G193" s="55" t="n"/>
      <c r="H193" s="55" t="n"/>
      <c r="I193" s="55" t="n"/>
      <c r="J193" s="55" t="n"/>
      <c r="K193" s="55" t="n"/>
      <c r="L193" s="55" t="n"/>
      <c r="M193" s="55" t="n"/>
      <c r="N193" s="55" t="n"/>
      <c r="O193" s="37">
        <f>IF($B193="","",SUM(C193:N193))</f>
        <v/>
      </c>
    </row>
    <row r="194">
      <c r="A194" s="49">
        <f>IF(Mitarbeiter!B194="","",Mitarbeiter!A194)</f>
        <v/>
      </c>
      <c r="B194" s="50">
        <f>IF(Mitarbeiter!B194="","",Mitarbeiter!B194)</f>
        <v/>
      </c>
      <c r="C194" s="55" t="n"/>
      <c r="D194" s="55" t="n"/>
      <c r="E194" s="55" t="n"/>
      <c r="F194" s="55" t="n"/>
      <c r="G194" s="55" t="n"/>
      <c r="H194" s="55" t="n"/>
      <c r="I194" s="55" t="n"/>
      <c r="J194" s="55" t="n"/>
      <c r="K194" s="55" t="n"/>
      <c r="L194" s="55" t="n"/>
      <c r="M194" s="55" t="n"/>
      <c r="N194" s="55" t="n"/>
      <c r="O194" s="37">
        <f>IF($B194="","",SUM(C194:N194))</f>
        <v/>
      </c>
    </row>
    <row r="195">
      <c r="A195" s="49">
        <f>IF(Mitarbeiter!B195="","",Mitarbeiter!A195)</f>
        <v/>
      </c>
      <c r="B195" s="50">
        <f>IF(Mitarbeiter!B195="","",Mitarbeiter!B195)</f>
        <v/>
      </c>
      <c r="C195" s="55" t="n"/>
      <c r="D195" s="55" t="n"/>
      <c r="E195" s="55" t="n"/>
      <c r="F195" s="55" t="n"/>
      <c r="G195" s="55" t="n"/>
      <c r="H195" s="55" t="n"/>
      <c r="I195" s="55" t="n"/>
      <c r="J195" s="55" t="n"/>
      <c r="K195" s="55" t="n"/>
      <c r="L195" s="55" t="n"/>
      <c r="M195" s="55" t="n"/>
      <c r="N195" s="55" t="n"/>
      <c r="O195" s="37">
        <f>IF($B195="","",SUM(C195:N195))</f>
        <v/>
      </c>
    </row>
    <row r="196">
      <c r="A196" s="49">
        <f>IF(Mitarbeiter!B196="","",Mitarbeiter!A196)</f>
        <v/>
      </c>
      <c r="B196" s="50">
        <f>IF(Mitarbeiter!B196="","",Mitarbeiter!B196)</f>
        <v/>
      </c>
      <c r="C196" s="55" t="n"/>
      <c r="D196" s="55" t="n"/>
      <c r="E196" s="55" t="n"/>
      <c r="F196" s="55" t="n"/>
      <c r="G196" s="55" t="n"/>
      <c r="H196" s="55" t="n"/>
      <c r="I196" s="55" t="n"/>
      <c r="J196" s="55" t="n"/>
      <c r="K196" s="55" t="n"/>
      <c r="L196" s="55" t="n"/>
      <c r="M196" s="55" t="n"/>
      <c r="N196" s="55" t="n"/>
      <c r="O196" s="37">
        <f>IF($B196="","",SUM(C196:N196))</f>
        <v/>
      </c>
    </row>
    <row r="197">
      <c r="A197" s="49">
        <f>IF(Mitarbeiter!B197="","",Mitarbeiter!A197)</f>
        <v/>
      </c>
      <c r="B197" s="50">
        <f>IF(Mitarbeiter!B197="","",Mitarbeiter!B197)</f>
        <v/>
      </c>
      <c r="C197" s="55" t="n"/>
      <c r="D197" s="55" t="n"/>
      <c r="E197" s="55" t="n"/>
      <c r="F197" s="55" t="n"/>
      <c r="G197" s="55" t="n"/>
      <c r="H197" s="55" t="n"/>
      <c r="I197" s="55" t="n"/>
      <c r="J197" s="55" t="n"/>
      <c r="K197" s="55" t="n"/>
      <c r="L197" s="55" t="n"/>
      <c r="M197" s="55" t="n"/>
      <c r="N197" s="55" t="n"/>
      <c r="O197" s="37">
        <f>IF($B197="","",SUM(C197:N197))</f>
        <v/>
      </c>
    </row>
    <row r="198">
      <c r="A198" s="49">
        <f>IF(Mitarbeiter!B198="","",Mitarbeiter!A198)</f>
        <v/>
      </c>
      <c r="B198" s="50">
        <f>IF(Mitarbeiter!B198="","",Mitarbeiter!B198)</f>
        <v/>
      </c>
      <c r="C198" s="55" t="n"/>
      <c r="D198" s="55" t="n"/>
      <c r="E198" s="55" t="n"/>
      <c r="F198" s="55" t="n"/>
      <c r="G198" s="55" t="n"/>
      <c r="H198" s="55" t="n"/>
      <c r="I198" s="55" t="n"/>
      <c r="J198" s="55" t="n"/>
      <c r="K198" s="55" t="n"/>
      <c r="L198" s="55" t="n"/>
      <c r="M198" s="55" t="n"/>
      <c r="N198" s="55" t="n"/>
      <c r="O198" s="37">
        <f>IF($B198="","",SUM(C198:N198))</f>
        <v/>
      </c>
    </row>
    <row r="199">
      <c r="A199" s="49">
        <f>IF(Mitarbeiter!B199="","",Mitarbeiter!A199)</f>
        <v/>
      </c>
      <c r="B199" s="50">
        <f>IF(Mitarbeiter!B199="","",Mitarbeiter!B199)</f>
        <v/>
      </c>
      <c r="C199" s="55" t="n"/>
      <c r="D199" s="55" t="n"/>
      <c r="E199" s="55" t="n"/>
      <c r="F199" s="55" t="n"/>
      <c r="G199" s="55" t="n"/>
      <c r="H199" s="55" t="n"/>
      <c r="I199" s="55" t="n"/>
      <c r="J199" s="55" t="n"/>
      <c r="K199" s="55" t="n"/>
      <c r="L199" s="55" t="n"/>
      <c r="M199" s="55" t="n"/>
      <c r="N199" s="55" t="n"/>
      <c r="O199" s="37">
        <f>IF($B199="","",SUM(C199:N199))</f>
        <v/>
      </c>
    </row>
    <row r="200">
      <c r="A200" s="49">
        <f>IF(Mitarbeiter!B200="","",Mitarbeiter!A200)</f>
        <v/>
      </c>
      <c r="B200" s="50">
        <f>IF(Mitarbeiter!B200="","",Mitarbeiter!B200)</f>
        <v/>
      </c>
      <c r="C200" s="55" t="n"/>
      <c r="D200" s="55" t="n"/>
      <c r="E200" s="55" t="n"/>
      <c r="F200" s="55" t="n"/>
      <c r="G200" s="55" t="n"/>
      <c r="H200" s="55" t="n"/>
      <c r="I200" s="55" t="n"/>
      <c r="J200" s="55" t="n"/>
      <c r="K200" s="55" t="n"/>
      <c r="L200" s="55" t="n"/>
      <c r="M200" s="55" t="n"/>
      <c r="N200" s="55" t="n"/>
      <c r="O200" s="37">
        <f>IF($B200="","",SUM(C200:N200))</f>
        <v/>
      </c>
    </row>
    <row r="201">
      <c r="A201" s="49">
        <f>IF(Mitarbeiter!B201="","",Mitarbeiter!A201)</f>
        <v/>
      </c>
      <c r="B201" s="50">
        <f>IF(Mitarbeiter!B201="","",Mitarbeiter!B201)</f>
        <v/>
      </c>
      <c r="C201" s="55" t="n"/>
      <c r="D201" s="55" t="n"/>
      <c r="E201" s="55" t="n"/>
      <c r="F201" s="55" t="n"/>
      <c r="G201" s="55" t="n"/>
      <c r="H201" s="55" t="n"/>
      <c r="I201" s="55" t="n"/>
      <c r="J201" s="55" t="n"/>
      <c r="K201" s="55" t="n"/>
      <c r="L201" s="55" t="n"/>
      <c r="M201" s="55" t="n"/>
      <c r="N201" s="55" t="n"/>
      <c r="O201" s="37">
        <f>IF($B201="","",SUM(C201:N201))</f>
        <v/>
      </c>
    </row>
    <row r="202">
      <c r="A202" s="49">
        <f>IF(Mitarbeiter!B202="","",Mitarbeiter!A202)</f>
        <v/>
      </c>
      <c r="B202" s="50">
        <f>IF(Mitarbeiter!B202="","",Mitarbeiter!B202)</f>
        <v/>
      </c>
      <c r="C202" s="55" t="n"/>
      <c r="D202" s="55" t="n"/>
      <c r="E202" s="55" t="n"/>
      <c r="F202" s="55" t="n"/>
      <c r="G202" s="55" t="n"/>
      <c r="H202" s="55" t="n"/>
      <c r="I202" s="55" t="n"/>
      <c r="J202" s="55" t="n"/>
      <c r="K202" s="55" t="n"/>
      <c r="L202" s="55" t="n"/>
      <c r="M202" s="55" t="n"/>
      <c r="N202" s="55" t="n"/>
      <c r="O202" s="37">
        <f>IF($B202="","",SUM(C202:N202))</f>
        <v/>
      </c>
    </row>
    <row r="203">
      <c r="A203" s="49">
        <f>IF(Mitarbeiter!B203="","",Mitarbeiter!A203)</f>
        <v/>
      </c>
      <c r="B203" s="50">
        <f>IF(Mitarbeiter!B203="","",Mitarbeiter!B203)</f>
        <v/>
      </c>
      <c r="C203" s="55" t="n"/>
      <c r="D203" s="55" t="n"/>
      <c r="E203" s="55" t="n"/>
      <c r="F203" s="55" t="n"/>
      <c r="G203" s="55" t="n"/>
      <c r="H203" s="55" t="n"/>
      <c r="I203" s="55" t="n"/>
      <c r="J203" s="55" t="n"/>
      <c r="K203" s="55" t="n"/>
      <c r="L203" s="55" t="n"/>
      <c r="M203" s="55" t="n"/>
      <c r="N203" s="55" t="n"/>
      <c r="O203" s="37">
        <f>IF($B203="","",SUM(C203:N203))</f>
        <v/>
      </c>
    </row>
    <row r="204">
      <c r="A204" s="49">
        <f>IF(Mitarbeiter!B204="","",Mitarbeiter!A204)</f>
        <v/>
      </c>
      <c r="B204" s="50">
        <f>IF(Mitarbeiter!B204="","",Mitarbeiter!B204)</f>
        <v/>
      </c>
      <c r="C204" s="55" t="n"/>
      <c r="D204" s="55" t="n"/>
      <c r="E204" s="55" t="n"/>
      <c r="F204" s="55" t="n"/>
      <c r="G204" s="55" t="n"/>
      <c r="H204" s="55" t="n"/>
      <c r="I204" s="55" t="n"/>
      <c r="J204" s="55" t="n"/>
      <c r="K204" s="55" t="n"/>
      <c r="L204" s="55" t="n"/>
      <c r="M204" s="55" t="n"/>
      <c r="N204" s="55" t="n"/>
      <c r="O204" s="37">
        <f>IF($B204="","",SUM(C204:N204))</f>
        <v/>
      </c>
    </row>
    <row r="205">
      <c r="A205" s="49">
        <f>IF(Mitarbeiter!B205="","",Mitarbeiter!A205)</f>
        <v/>
      </c>
      <c r="B205" s="50">
        <f>IF(Mitarbeiter!B205="","",Mitarbeiter!B205)</f>
        <v/>
      </c>
      <c r="C205" s="55" t="n"/>
      <c r="D205" s="55" t="n"/>
      <c r="E205" s="55" t="n"/>
      <c r="F205" s="55" t="n"/>
      <c r="G205" s="55" t="n"/>
      <c r="H205" s="55" t="n"/>
      <c r="I205" s="55" t="n"/>
      <c r="J205" s="55" t="n"/>
      <c r="K205" s="55" t="n"/>
      <c r="L205" s="55" t="n"/>
      <c r="M205" s="55" t="n"/>
      <c r="N205" s="55" t="n"/>
      <c r="O205" s="37">
        <f>IF($B205="","",SUM(C205:N205))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</row>
  </sheetData>
  <mergeCells count="1">
    <mergeCell ref="A2:O2"/>
  </mergeCells>
  <conditionalFormatting sqref="C6:C205">
    <cfRule type="expression" priority="1" dxfId="4">
      <formula>AND($B6&lt;&gt;"",OR(DATE(Einstellungen!$C$3,2,0)&lt;Mitarbeiter!$C6,AND(Mitarbeiter!$D6&lt;&gt;"",DATE(Einstellungen!$C$3,1,1)&gt;Mitarbeiter!$D6)))</formula>
    </cfRule>
  </conditionalFormatting>
  <conditionalFormatting sqref="D6:D205">
    <cfRule type="expression" priority="2" dxfId="4">
      <formula>AND($B6&lt;&gt;"",OR(DATE(Einstellungen!$C$3,3,0)&lt;Mitarbeiter!$C6,AND(Mitarbeiter!$D6&lt;&gt;"",DATE(Einstellungen!$C$3,2,1)&gt;Mitarbeiter!$D6)))</formula>
    </cfRule>
  </conditionalFormatting>
  <conditionalFormatting sqref="E6:E205">
    <cfRule type="expression" priority="3" dxfId="4">
      <formula>AND($B6&lt;&gt;"",OR(DATE(Einstellungen!$C$3,4,0)&lt;Mitarbeiter!$C6,AND(Mitarbeiter!$D6&lt;&gt;"",DATE(Einstellungen!$C$3,3,1)&gt;Mitarbeiter!$D6)))</formula>
    </cfRule>
  </conditionalFormatting>
  <conditionalFormatting sqref="F6:F205">
    <cfRule type="expression" priority="4" dxfId="4">
      <formula>AND($B6&lt;&gt;"",OR(DATE(Einstellungen!$C$3,5,0)&lt;Mitarbeiter!$C6,AND(Mitarbeiter!$D6&lt;&gt;"",DATE(Einstellungen!$C$3,4,1)&gt;Mitarbeiter!$D6)))</formula>
    </cfRule>
  </conditionalFormatting>
  <conditionalFormatting sqref="G6:G205">
    <cfRule type="expression" priority="5" dxfId="4">
      <formula>AND($B6&lt;&gt;"",OR(DATE(Einstellungen!$C$3,6,0)&lt;Mitarbeiter!$C6,AND(Mitarbeiter!$D6&lt;&gt;"",DATE(Einstellungen!$C$3,5,1)&gt;Mitarbeiter!$D6)))</formula>
    </cfRule>
  </conditionalFormatting>
  <conditionalFormatting sqref="H6:H205">
    <cfRule type="expression" priority="6" dxfId="4">
      <formula>AND($B6&lt;&gt;"",OR(DATE(Einstellungen!$C$3,7,0)&lt;Mitarbeiter!$C6,AND(Mitarbeiter!$D6&lt;&gt;"",DATE(Einstellungen!$C$3,6,1)&gt;Mitarbeiter!$D6)))</formula>
    </cfRule>
  </conditionalFormatting>
  <conditionalFormatting sqref="I6:I205">
    <cfRule type="expression" priority="7" dxfId="4">
      <formula>AND($B6&lt;&gt;"",OR(DATE(Einstellungen!$C$3,8,0)&lt;Mitarbeiter!$C6,AND(Mitarbeiter!$D6&lt;&gt;"",DATE(Einstellungen!$C$3,7,1)&gt;Mitarbeiter!$D6)))</formula>
    </cfRule>
  </conditionalFormatting>
  <conditionalFormatting sqref="J6:J205">
    <cfRule type="expression" priority="8" dxfId="4">
      <formula>AND($B6&lt;&gt;"",OR(DATE(Einstellungen!$C$3,9,0)&lt;Mitarbeiter!$C6,AND(Mitarbeiter!$D6&lt;&gt;"",DATE(Einstellungen!$C$3,8,1)&gt;Mitarbeiter!$D6)))</formula>
    </cfRule>
  </conditionalFormatting>
  <conditionalFormatting sqref="K6:K205">
    <cfRule type="expression" priority="9" dxfId="4">
      <formula>AND($B6&lt;&gt;"",OR(DATE(Einstellungen!$C$3,10,0)&lt;Mitarbeiter!$C6,AND(Mitarbeiter!$D6&lt;&gt;"",DATE(Einstellungen!$C$3,9,1)&gt;Mitarbeiter!$D6)))</formula>
    </cfRule>
  </conditionalFormatting>
  <conditionalFormatting sqref="L6:L205">
    <cfRule type="expression" priority="10" dxfId="4">
      <formula>AND($B6&lt;&gt;"",OR(DATE(Einstellungen!$C$3,11,0)&lt;Mitarbeiter!$C6,AND(Mitarbeiter!$D6&lt;&gt;"",DATE(Einstellungen!$C$3,10,1)&gt;Mitarbeiter!$D6)))</formula>
    </cfRule>
  </conditionalFormatting>
  <conditionalFormatting sqref="M6:M205">
    <cfRule type="expression" priority="11" dxfId="4">
      <formula>AND($B6&lt;&gt;"",OR(DATE(Einstellungen!$C$3,12,0)&lt;Mitarbeiter!$C6,AND(Mitarbeiter!$D6&lt;&gt;"",DATE(Einstellungen!$C$3,11,1)&gt;Mitarbeiter!$D6)))</formula>
    </cfRule>
  </conditionalFormatting>
  <conditionalFormatting sqref="N6:N205">
    <cfRule type="expression" priority="12" dxfId="4">
      <formula>AND($B6&lt;&gt;"",OR(DATE(Einstellungen!$C$3,13,0)&lt;Mitarbeiter!$C6,AND(Mitarbeiter!$D6&lt;&gt;"",DATE(Einstellungen!$C$3,12,1)&gt;Mitarbeiter!$D6)))</formula>
    </cfRule>
  </conditionalFormatting>
  <dataValidations count="1">
    <dataValidation sqref="C6:N205" showDropDown="0" showInputMessage="0" showErrorMessage="1" allowBlank="0" error="Ist-Stunden je Monat 0–400" type="decimal" operator="between">
      <formula1>0</formula1>
      <formula2>400</formula2>
    </dataValidation>
  </dataValidations>
  <hyperlinks>
    <hyperlink xmlns:r="http://schemas.openxmlformats.org/officeDocument/2006/relationships" ref="N1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P35"/>
  <sheetViews>
    <sheetView showGridLines="0"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.5" customWidth="1" min="2" max="2"/>
    <col width="10.5" customWidth="1" min="3" max="3"/>
    <col width="10.5" customWidth="1" min="4" max="4"/>
    <col width="10.5" customWidth="1" min="5" max="5"/>
    <col width="10.5" customWidth="1" min="6" max="6"/>
    <col width="10.5" customWidth="1" min="7" max="7"/>
    <col width="10.5" customWidth="1" min="8" max="8"/>
    <col width="10.5" customWidth="1" min="9" max="9"/>
    <col width="10.5" customWidth="1" min="10" max="10"/>
    <col width="10.5" customWidth="1" min="11" max="11"/>
    <col width="10.5" customWidth="1" min="12" max="12"/>
    <col width="10.5" customWidth="1" min="13" max="13"/>
    <col width="10.5" customWidth="1" min="14" max="14"/>
    <col width="10.5" customWidth="1" min="15" max="15"/>
    <col width="10.5" customWidth="1" min="16" max="16"/>
  </cols>
  <sheetData>
    <row r="1">
      <c r="A1" s="1" t="inlineStr">
        <is>
          <t>Operative Krankenquote je Objekt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„Stunden Objekte“ und „Krankheitstage“. Quote = Krankstunden ÷ (Gesamtstunden + Krankstunden); falls Gesamtstunden Krankstunden schon enthalten (Einstellungen = Ja): Krankstunden ÷ Gesamtstunden.</t>
        </is>
      </c>
    </row>
    <row r="4">
      <c r="A4" s="42" t="n"/>
      <c r="B4" s="44">
        <f>Einstellungen!$C$4</f>
        <v/>
      </c>
      <c r="C4" s="45" t="n"/>
      <c r="D4" s="45" t="n"/>
      <c r="E4" s="45" t="n"/>
      <c r="F4" s="45" t="n"/>
      <c r="G4" s="46">
        <f>Einstellungen!$C$5</f>
        <v/>
      </c>
      <c r="H4" s="47" t="n"/>
      <c r="I4" s="47" t="n"/>
      <c r="J4" s="47" t="n"/>
      <c r="K4" s="47" t="n"/>
      <c r="L4" s="48" t="inlineStr">
        <is>
          <t>Gesamt (beide Objekte)</t>
        </is>
      </c>
      <c r="M4" s="56" t="n"/>
      <c r="N4" s="56" t="n"/>
      <c r="O4" s="56" t="n"/>
      <c r="P4" s="56" t="n"/>
    </row>
    <row r="5" ht="30" customHeight="1">
      <c r="A5" s="21" t="inlineStr">
        <is>
          <t>Monat</t>
        </is>
      </c>
      <c r="B5" s="44" t="inlineStr">
        <is>
          <t>Gesamt-
stunden</t>
        </is>
      </c>
      <c r="C5" s="44" t="inlineStr">
        <is>
          <t>Krank-
stunden</t>
        </is>
      </c>
      <c r="D5" s="44" t="inlineStr">
        <is>
          <t>Kranken-
quote</t>
        </is>
      </c>
      <c r="E5" s="44" t="inlineStr">
        <is>
          <t>Krank-
tage</t>
        </is>
      </c>
      <c r="F5" s="44" t="inlineStr">
        <is>
          <t>Kranke
MA</t>
        </is>
      </c>
      <c r="G5" s="46" t="inlineStr">
        <is>
          <t>Gesamt-
stunden</t>
        </is>
      </c>
      <c r="H5" s="46" t="inlineStr">
        <is>
          <t>Krank-
stunden</t>
        </is>
      </c>
      <c r="I5" s="46" t="inlineStr">
        <is>
          <t>Kranken-
quote</t>
        </is>
      </c>
      <c r="J5" s="46" t="inlineStr">
        <is>
          <t>Krank-
tage</t>
        </is>
      </c>
      <c r="K5" s="46" t="inlineStr">
        <is>
          <t>Kranke
MA</t>
        </is>
      </c>
      <c r="L5" s="48" t="inlineStr">
        <is>
          <t>Gesamt-
stunden</t>
        </is>
      </c>
      <c r="M5" s="48" t="inlineStr">
        <is>
          <t>Krank-
stunden</t>
        </is>
      </c>
      <c r="N5" s="48" t="inlineStr">
        <is>
          <t>Kranken-
quote</t>
        </is>
      </c>
      <c r="O5" s="48" t="inlineStr">
        <is>
          <t>Krank-
tage</t>
        </is>
      </c>
      <c r="P5" s="48" t="inlineStr">
        <is>
          <t>Kranke
MA</t>
        </is>
      </c>
    </row>
    <row r="6">
      <c r="A6" s="57" t="inlineStr">
        <is>
          <t>Januar</t>
        </is>
      </c>
      <c r="B6" s="58">
        <f>'Stunden Objekte'!B5</f>
        <v/>
      </c>
      <c r="C6" s="59">
        <f>SUMPRODUCT(Krankheitstage!$D$6:$D$205,Krankheitstage!$C$6:$C$205)</f>
        <v/>
      </c>
      <c r="D6" s="40">
        <f>IF(Einstellungen!$C$10="Ja",IF(B6&gt;0,C6/B6,0),IF(B6+C6&gt;0,C6/(B6+C6),0))</f>
        <v/>
      </c>
      <c r="E6" s="36">
        <f>SUM(Krankheitstage!$D$6:$D$205)</f>
        <v/>
      </c>
      <c r="F6" s="36">
        <f>COUNTIF(Krankheitstage!$D$6:$D$205,"&gt;0")</f>
        <v/>
      </c>
      <c r="G6" s="58">
        <f>'Stunden Objekte'!C5</f>
        <v/>
      </c>
      <c r="H6" s="59">
        <f>SUMPRODUCT(Krankheitstage!$Q$6:$Q$205,Krankheitstage!$C$6:$C$205)</f>
        <v/>
      </c>
      <c r="I6" s="40">
        <f>IF(Einstellungen!$C$10="Ja",IF(G6&gt;0,H6/G6,0),IF(G6+H6&gt;0,H6/(G6+H6),0))</f>
        <v/>
      </c>
      <c r="J6" s="36">
        <f>SUM(Krankheitstage!$Q$6:$Q$205)</f>
        <v/>
      </c>
      <c r="K6" s="36">
        <f>COUNTIF(Krankheitstage!$Q$6:$Q$205,"&gt;0")</f>
        <v/>
      </c>
      <c r="L6" s="59">
        <f>B6+G6</f>
        <v/>
      </c>
      <c r="M6" s="59">
        <f>C6+H6</f>
        <v/>
      </c>
      <c r="N6" s="40">
        <f>IF(Einstellungen!$C$10="Ja",IF(L6&gt;0,M6/L6,0),IF(L6+M6&gt;0,M6/(L6+M6),0))</f>
        <v/>
      </c>
      <c r="O6" s="36">
        <f>E6+J6</f>
        <v/>
      </c>
      <c r="P6" s="36">
        <f>SUMPRODUCT(((Krankheitstage!$D$6:$D$205+Krankheitstage!$Q$6:$Q$205)&gt;0)*1)</f>
        <v/>
      </c>
    </row>
    <row r="7">
      <c r="A7" s="57" t="inlineStr">
        <is>
          <t>Februar</t>
        </is>
      </c>
      <c r="B7" s="58">
        <f>'Stunden Objekte'!B6</f>
        <v/>
      </c>
      <c r="C7" s="59">
        <f>SUMPRODUCT(Krankheitstage!$E$6:$E$205,Krankheitstage!$C$6:$C$205)</f>
        <v/>
      </c>
      <c r="D7" s="40">
        <f>IF(Einstellungen!$C$10="Ja",IF(B7&gt;0,C7/B7,0),IF(B7+C7&gt;0,C7/(B7+C7),0))</f>
        <v/>
      </c>
      <c r="E7" s="36">
        <f>SUM(Krankheitstage!$E$6:$E$205)</f>
        <v/>
      </c>
      <c r="F7" s="36">
        <f>COUNTIF(Krankheitstage!$E$6:$E$205,"&gt;0")</f>
        <v/>
      </c>
      <c r="G7" s="58">
        <f>'Stunden Objekte'!C6</f>
        <v/>
      </c>
      <c r="H7" s="59">
        <f>SUMPRODUCT(Krankheitstage!$R$6:$R$205,Krankheitstage!$C$6:$C$205)</f>
        <v/>
      </c>
      <c r="I7" s="40">
        <f>IF(Einstellungen!$C$10="Ja",IF(G7&gt;0,H7/G7,0),IF(G7+H7&gt;0,H7/(G7+H7),0))</f>
        <v/>
      </c>
      <c r="J7" s="36">
        <f>SUM(Krankheitstage!$R$6:$R$205)</f>
        <v/>
      </c>
      <c r="K7" s="36">
        <f>COUNTIF(Krankheitstage!$R$6:$R$205,"&gt;0")</f>
        <v/>
      </c>
      <c r="L7" s="59">
        <f>B7+G7</f>
        <v/>
      </c>
      <c r="M7" s="59">
        <f>C7+H7</f>
        <v/>
      </c>
      <c r="N7" s="40">
        <f>IF(Einstellungen!$C$10="Ja",IF(L7&gt;0,M7/L7,0),IF(L7+M7&gt;0,M7/(L7+M7),0))</f>
        <v/>
      </c>
      <c r="O7" s="36">
        <f>E7+J7</f>
        <v/>
      </c>
      <c r="P7" s="36">
        <f>SUMPRODUCT(((Krankheitstage!$E$6:$E$205+Krankheitstage!$R$6:$R$205)&gt;0)*1)</f>
        <v/>
      </c>
    </row>
    <row r="8">
      <c r="A8" s="57" t="inlineStr">
        <is>
          <t>März</t>
        </is>
      </c>
      <c r="B8" s="58">
        <f>'Stunden Objekte'!B7</f>
        <v/>
      </c>
      <c r="C8" s="59">
        <f>SUMPRODUCT(Krankheitstage!$F$6:$F$205,Krankheitstage!$C$6:$C$205)</f>
        <v/>
      </c>
      <c r="D8" s="40">
        <f>IF(Einstellungen!$C$10="Ja",IF(B8&gt;0,C8/B8,0),IF(B8+C8&gt;0,C8/(B8+C8),0))</f>
        <v/>
      </c>
      <c r="E8" s="36">
        <f>SUM(Krankheitstage!$F$6:$F$205)</f>
        <v/>
      </c>
      <c r="F8" s="36">
        <f>COUNTIF(Krankheitstage!$F$6:$F$205,"&gt;0")</f>
        <v/>
      </c>
      <c r="G8" s="58">
        <f>'Stunden Objekte'!C7</f>
        <v/>
      </c>
      <c r="H8" s="59">
        <f>SUMPRODUCT(Krankheitstage!$S$6:$S$205,Krankheitstage!$C$6:$C$205)</f>
        <v/>
      </c>
      <c r="I8" s="40">
        <f>IF(Einstellungen!$C$10="Ja",IF(G8&gt;0,H8/G8,0),IF(G8+H8&gt;0,H8/(G8+H8),0))</f>
        <v/>
      </c>
      <c r="J8" s="36">
        <f>SUM(Krankheitstage!$S$6:$S$205)</f>
        <v/>
      </c>
      <c r="K8" s="36">
        <f>COUNTIF(Krankheitstage!$S$6:$S$205,"&gt;0")</f>
        <v/>
      </c>
      <c r="L8" s="59">
        <f>B8+G8</f>
        <v/>
      </c>
      <c r="M8" s="59">
        <f>C8+H8</f>
        <v/>
      </c>
      <c r="N8" s="40">
        <f>IF(Einstellungen!$C$10="Ja",IF(L8&gt;0,M8/L8,0),IF(L8+M8&gt;0,M8/(L8+M8),0))</f>
        <v/>
      </c>
      <c r="O8" s="36">
        <f>E8+J8</f>
        <v/>
      </c>
      <c r="P8" s="36">
        <f>SUMPRODUCT(((Krankheitstage!$F$6:$F$205+Krankheitstage!$S$6:$S$205)&gt;0)*1)</f>
        <v/>
      </c>
    </row>
    <row r="9">
      <c r="A9" s="57" t="inlineStr">
        <is>
          <t>April</t>
        </is>
      </c>
      <c r="B9" s="58">
        <f>'Stunden Objekte'!B8</f>
        <v/>
      </c>
      <c r="C9" s="59">
        <f>SUMPRODUCT(Krankheitstage!$G$6:$G$205,Krankheitstage!$C$6:$C$205)</f>
        <v/>
      </c>
      <c r="D9" s="40">
        <f>IF(Einstellungen!$C$10="Ja",IF(B9&gt;0,C9/B9,0),IF(B9+C9&gt;0,C9/(B9+C9),0))</f>
        <v/>
      </c>
      <c r="E9" s="36">
        <f>SUM(Krankheitstage!$G$6:$G$205)</f>
        <v/>
      </c>
      <c r="F9" s="36">
        <f>COUNTIF(Krankheitstage!$G$6:$G$205,"&gt;0")</f>
        <v/>
      </c>
      <c r="G9" s="58">
        <f>'Stunden Objekte'!C8</f>
        <v/>
      </c>
      <c r="H9" s="59">
        <f>SUMPRODUCT(Krankheitstage!$T$6:$T$205,Krankheitstage!$C$6:$C$205)</f>
        <v/>
      </c>
      <c r="I9" s="40">
        <f>IF(Einstellungen!$C$10="Ja",IF(G9&gt;0,H9/G9,0),IF(G9+H9&gt;0,H9/(G9+H9),0))</f>
        <v/>
      </c>
      <c r="J9" s="36">
        <f>SUM(Krankheitstage!$T$6:$T$205)</f>
        <v/>
      </c>
      <c r="K9" s="36">
        <f>COUNTIF(Krankheitstage!$T$6:$T$205,"&gt;0")</f>
        <v/>
      </c>
      <c r="L9" s="59">
        <f>B9+G9</f>
        <v/>
      </c>
      <c r="M9" s="59">
        <f>C9+H9</f>
        <v/>
      </c>
      <c r="N9" s="40">
        <f>IF(Einstellungen!$C$10="Ja",IF(L9&gt;0,M9/L9,0),IF(L9+M9&gt;0,M9/(L9+M9),0))</f>
        <v/>
      </c>
      <c r="O9" s="36">
        <f>E9+J9</f>
        <v/>
      </c>
      <c r="P9" s="36">
        <f>SUMPRODUCT(((Krankheitstage!$G$6:$G$205+Krankheitstage!$T$6:$T$205)&gt;0)*1)</f>
        <v/>
      </c>
    </row>
    <row r="10">
      <c r="A10" s="57" t="inlineStr">
        <is>
          <t>Mai</t>
        </is>
      </c>
      <c r="B10" s="58">
        <f>'Stunden Objekte'!B9</f>
        <v/>
      </c>
      <c r="C10" s="59">
        <f>SUMPRODUCT(Krankheitstage!$H$6:$H$205,Krankheitstage!$C$6:$C$205)</f>
        <v/>
      </c>
      <c r="D10" s="40">
        <f>IF(Einstellungen!$C$10="Ja",IF(B10&gt;0,C10/B10,0),IF(B10+C10&gt;0,C10/(B10+C10),0))</f>
        <v/>
      </c>
      <c r="E10" s="36">
        <f>SUM(Krankheitstage!$H$6:$H$205)</f>
        <v/>
      </c>
      <c r="F10" s="36">
        <f>COUNTIF(Krankheitstage!$H$6:$H$205,"&gt;0")</f>
        <v/>
      </c>
      <c r="G10" s="58">
        <f>'Stunden Objekte'!C9</f>
        <v/>
      </c>
      <c r="H10" s="59">
        <f>SUMPRODUCT(Krankheitstage!$U$6:$U$205,Krankheitstage!$C$6:$C$205)</f>
        <v/>
      </c>
      <c r="I10" s="40">
        <f>IF(Einstellungen!$C$10="Ja",IF(G10&gt;0,H10/G10,0),IF(G10+H10&gt;0,H10/(G10+H10),0))</f>
        <v/>
      </c>
      <c r="J10" s="36">
        <f>SUM(Krankheitstage!$U$6:$U$205)</f>
        <v/>
      </c>
      <c r="K10" s="36">
        <f>COUNTIF(Krankheitstage!$U$6:$U$205,"&gt;0")</f>
        <v/>
      </c>
      <c r="L10" s="59">
        <f>B10+G10</f>
        <v/>
      </c>
      <c r="M10" s="59">
        <f>C10+H10</f>
        <v/>
      </c>
      <c r="N10" s="40">
        <f>IF(Einstellungen!$C$10="Ja",IF(L10&gt;0,M10/L10,0),IF(L10+M10&gt;0,M10/(L10+M10),0))</f>
        <v/>
      </c>
      <c r="O10" s="36">
        <f>E10+J10</f>
        <v/>
      </c>
      <c r="P10" s="36">
        <f>SUMPRODUCT(((Krankheitstage!$H$6:$H$205+Krankheitstage!$U$6:$U$205)&gt;0)*1)</f>
        <v/>
      </c>
    </row>
    <row r="11">
      <c r="A11" s="57" t="inlineStr">
        <is>
          <t>Juni</t>
        </is>
      </c>
      <c r="B11" s="58">
        <f>'Stunden Objekte'!B10</f>
        <v/>
      </c>
      <c r="C11" s="59">
        <f>SUMPRODUCT(Krankheitstage!$I$6:$I$205,Krankheitstage!$C$6:$C$205)</f>
        <v/>
      </c>
      <c r="D11" s="40">
        <f>IF(Einstellungen!$C$10="Ja",IF(B11&gt;0,C11/B11,0),IF(B11+C11&gt;0,C11/(B11+C11),0))</f>
        <v/>
      </c>
      <c r="E11" s="36">
        <f>SUM(Krankheitstage!$I$6:$I$205)</f>
        <v/>
      </c>
      <c r="F11" s="36">
        <f>COUNTIF(Krankheitstage!$I$6:$I$205,"&gt;0")</f>
        <v/>
      </c>
      <c r="G11" s="58">
        <f>'Stunden Objekte'!C10</f>
        <v/>
      </c>
      <c r="H11" s="59">
        <f>SUMPRODUCT(Krankheitstage!$V$6:$V$205,Krankheitstage!$C$6:$C$205)</f>
        <v/>
      </c>
      <c r="I11" s="40">
        <f>IF(Einstellungen!$C$10="Ja",IF(G11&gt;0,H11/G11,0),IF(G11+H11&gt;0,H11/(G11+H11),0))</f>
        <v/>
      </c>
      <c r="J11" s="36">
        <f>SUM(Krankheitstage!$V$6:$V$205)</f>
        <v/>
      </c>
      <c r="K11" s="36">
        <f>COUNTIF(Krankheitstage!$V$6:$V$205,"&gt;0")</f>
        <v/>
      </c>
      <c r="L11" s="59">
        <f>B11+G11</f>
        <v/>
      </c>
      <c r="M11" s="59">
        <f>C11+H11</f>
        <v/>
      </c>
      <c r="N11" s="40">
        <f>IF(Einstellungen!$C$10="Ja",IF(L11&gt;0,M11/L11,0),IF(L11+M11&gt;0,M11/(L11+M11),0))</f>
        <v/>
      </c>
      <c r="O11" s="36">
        <f>E11+J11</f>
        <v/>
      </c>
      <c r="P11" s="36">
        <f>SUMPRODUCT(((Krankheitstage!$I$6:$I$205+Krankheitstage!$V$6:$V$205)&gt;0)*1)</f>
        <v/>
      </c>
    </row>
    <row r="12">
      <c r="A12" s="57" t="inlineStr">
        <is>
          <t>Juli</t>
        </is>
      </c>
      <c r="B12" s="58">
        <f>'Stunden Objekte'!B11</f>
        <v/>
      </c>
      <c r="C12" s="59">
        <f>SUMPRODUCT(Krankheitstage!$J$6:$J$205,Krankheitstage!$C$6:$C$205)</f>
        <v/>
      </c>
      <c r="D12" s="40">
        <f>IF(Einstellungen!$C$10="Ja",IF(B12&gt;0,C12/B12,0),IF(B12+C12&gt;0,C12/(B12+C12),0))</f>
        <v/>
      </c>
      <c r="E12" s="36">
        <f>SUM(Krankheitstage!$J$6:$J$205)</f>
        <v/>
      </c>
      <c r="F12" s="36">
        <f>COUNTIF(Krankheitstage!$J$6:$J$205,"&gt;0")</f>
        <v/>
      </c>
      <c r="G12" s="58">
        <f>'Stunden Objekte'!C11</f>
        <v/>
      </c>
      <c r="H12" s="59">
        <f>SUMPRODUCT(Krankheitstage!$W$6:$W$205,Krankheitstage!$C$6:$C$205)</f>
        <v/>
      </c>
      <c r="I12" s="40">
        <f>IF(Einstellungen!$C$10="Ja",IF(G12&gt;0,H12/G12,0),IF(G12+H12&gt;0,H12/(G12+H12),0))</f>
        <v/>
      </c>
      <c r="J12" s="36">
        <f>SUM(Krankheitstage!$W$6:$W$205)</f>
        <v/>
      </c>
      <c r="K12" s="36">
        <f>COUNTIF(Krankheitstage!$W$6:$W$205,"&gt;0")</f>
        <v/>
      </c>
      <c r="L12" s="59">
        <f>B12+G12</f>
        <v/>
      </c>
      <c r="M12" s="59">
        <f>C12+H12</f>
        <v/>
      </c>
      <c r="N12" s="40">
        <f>IF(Einstellungen!$C$10="Ja",IF(L12&gt;0,M12/L12,0),IF(L12+M12&gt;0,M12/(L12+M12),0))</f>
        <v/>
      </c>
      <c r="O12" s="36">
        <f>E12+J12</f>
        <v/>
      </c>
      <c r="P12" s="36">
        <f>SUMPRODUCT(((Krankheitstage!$J$6:$J$205+Krankheitstage!$W$6:$W$205)&gt;0)*1)</f>
        <v/>
      </c>
    </row>
    <row r="13">
      <c r="A13" s="57" t="inlineStr">
        <is>
          <t>August</t>
        </is>
      </c>
      <c r="B13" s="58">
        <f>'Stunden Objekte'!B12</f>
        <v/>
      </c>
      <c r="C13" s="59">
        <f>SUMPRODUCT(Krankheitstage!$K$6:$K$205,Krankheitstage!$C$6:$C$205)</f>
        <v/>
      </c>
      <c r="D13" s="40">
        <f>IF(Einstellungen!$C$10="Ja",IF(B13&gt;0,C13/B13,0),IF(B13+C13&gt;0,C13/(B13+C13),0))</f>
        <v/>
      </c>
      <c r="E13" s="36">
        <f>SUM(Krankheitstage!$K$6:$K$205)</f>
        <v/>
      </c>
      <c r="F13" s="36">
        <f>COUNTIF(Krankheitstage!$K$6:$K$205,"&gt;0")</f>
        <v/>
      </c>
      <c r="G13" s="58">
        <f>'Stunden Objekte'!C12</f>
        <v/>
      </c>
      <c r="H13" s="59">
        <f>SUMPRODUCT(Krankheitstage!$X$6:$X$205,Krankheitstage!$C$6:$C$205)</f>
        <v/>
      </c>
      <c r="I13" s="40">
        <f>IF(Einstellungen!$C$10="Ja",IF(G13&gt;0,H13/G13,0),IF(G13+H13&gt;0,H13/(G13+H13),0))</f>
        <v/>
      </c>
      <c r="J13" s="36">
        <f>SUM(Krankheitstage!$X$6:$X$205)</f>
        <v/>
      </c>
      <c r="K13" s="36">
        <f>COUNTIF(Krankheitstage!$X$6:$X$205,"&gt;0")</f>
        <v/>
      </c>
      <c r="L13" s="59">
        <f>B13+G13</f>
        <v/>
      </c>
      <c r="M13" s="59">
        <f>C13+H13</f>
        <v/>
      </c>
      <c r="N13" s="40">
        <f>IF(Einstellungen!$C$10="Ja",IF(L13&gt;0,M13/L13,0),IF(L13+M13&gt;0,M13/(L13+M13),0))</f>
        <v/>
      </c>
      <c r="O13" s="36">
        <f>E13+J13</f>
        <v/>
      </c>
      <c r="P13" s="36">
        <f>SUMPRODUCT(((Krankheitstage!$K$6:$K$205+Krankheitstage!$X$6:$X$205)&gt;0)*1)</f>
        <v/>
      </c>
    </row>
    <row r="14">
      <c r="A14" s="57" t="inlineStr">
        <is>
          <t>September</t>
        </is>
      </c>
      <c r="B14" s="58">
        <f>'Stunden Objekte'!B13</f>
        <v/>
      </c>
      <c r="C14" s="59">
        <f>SUMPRODUCT(Krankheitstage!$L$6:$L$205,Krankheitstage!$C$6:$C$205)</f>
        <v/>
      </c>
      <c r="D14" s="40">
        <f>IF(Einstellungen!$C$10="Ja",IF(B14&gt;0,C14/B14,0),IF(B14+C14&gt;0,C14/(B14+C14),0))</f>
        <v/>
      </c>
      <c r="E14" s="36">
        <f>SUM(Krankheitstage!$L$6:$L$205)</f>
        <v/>
      </c>
      <c r="F14" s="36">
        <f>COUNTIF(Krankheitstage!$L$6:$L$205,"&gt;0")</f>
        <v/>
      </c>
      <c r="G14" s="58">
        <f>'Stunden Objekte'!C13</f>
        <v/>
      </c>
      <c r="H14" s="59">
        <f>SUMPRODUCT(Krankheitstage!$Y$6:$Y$205,Krankheitstage!$C$6:$C$205)</f>
        <v/>
      </c>
      <c r="I14" s="40">
        <f>IF(Einstellungen!$C$10="Ja",IF(G14&gt;0,H14/G14,0),IF(G14+H14&gt;0,H14/(G14+H14),0))</f>
        <v/>
      </c>
      <c r="J14" s="36">
        <f>SUM(Krankheitstage!$Y$6:$Y$205)</f>
        <v/>
      </c>
      <c r="K14" s="36">
        <f>COUNTIF(Krankheitstage!$Y$6:$Y$205,"&gt;0")</f>
        <v/>
      </c>
      <c r="L14" s="59">
        <f>B14+G14</f>
        <v/>
      </c>
      <c r="M14" s="59">
        <f>C14+H14</f>
        <v/>
      </c>
      <c r="N14" s="40">
        <f>IF(Einstellungen!$C$10="Ja",IF(L14&gt;0,M14/L14,0),IF(L14+M14&gt;0,M14/(L14+M14),0))</f>
        <v/>
      </c>
      <c r="O14" s="36">
        <f>E14+J14</f>
        <v/>
      </c>
      <c r="P14" s="36">
        <f>SUMPRODUCT(((Krankheitstage!$L$6:$L$205+Krankheitstage!$Y$6:$Y$205)&gt;0)*1)</f>
        <v/>
      </c>
    </row>
    <row r="15">
      <c r="A15" s="57" t="inlineStr">
        <is>
          <t>Oktober</t>
        </is>
      </c>
      <c r="B15" s="58">
        <f>'Stunden Objekte'!B14</f>
        <v/>
      </c>
      <c r="C15" s="59">
        <f>SUMPRODUCT(Krankheitstage!$M$6:$M$205,Krankheitstage!$C$6:$C$205)</f>
        <v/>
      </c>
      <c r="D15" s="40">
        <f>IF(Einstellungen!$C$10="Ja",IF(B15&gt;0,C15/B15,0),IF(B15+C15&gt;0,C15/(B15+C15),0))</f>
        <v/>
      </c>
      <c r="E15" s="36">
        <f>SUM(Krankheitstage!$M$6:$M$205)</f>
        <v/>
      </c>
      <c r="F15" s="36">
        <f>COUNTIF(Krankheitstage!$M$6:$M$205,"&gt;0")</f>
        <v/>
      </c>
      <c r="G15" s="58">
        <f>'Stunden Objekte'!C14</f>
        <v/>
      </c>
      <c r="H15" s="59">
        <f>SUMPRODUCT(Krankheitstage!$Z$6:$Z$205,Krankheitstage!$C$6:$C$205)</f>
        <v/>
      </c>
      <c r="I15" s="40">
        <f>IF(Einstellungen!$C$10="Ja",IF(G15&gt;0,H15/G15,0),IF(G15+H15&gt;0,H15/(G15+H15),0))</f>
        <v/>
      </c>
      <c r="J15" s="36">
        <f>SUM(Krankheitstage!$Z$6:$Z$205)</f>
        <v/>
      </c>
      <c r="K15" s="36">
        <f>COUNTIF(Krankheitstage!$Z$6:$Z$205,"&gt;0")</f>
        <v/>
      </c>
      <c r="L15" s="59">
        <f>B15+G15</f>
        <v/>
      </c>
      <c r="M15" s="59">
        <f>C15+H15</f>
        <v/>
      </c>
      <c r="N15" s="40">
        <f>IF(Einstellungen!$C$10="Ja",IF(L15&gt;0,M15/L15,0),IF(L15+M15&gt;0,M15/(L15+M15),0))</f>
        <v/>
      </c>
      <c r="O15" s="36">
        <f>E15+J15</f>
        <v/>
      </c>
      <c r="P15" s="36">
        <f>SUMPRODUCT(((Krankheitstage!$M$6:$M$205+Krankheitstage!$Z$6:$Z$205)&gt;0)*1)</f>
        <v/>
      </c>
    </row>
    <row r="16">
      <c r="A16" s="57" t="inlineStr">
        <is>
          <t>November</t>
        </is>
      </c>
      <c r="B16" s="58">
        <f>'Stunden Objekte'!B15</f>
        <v/>
      </c>
      <c r="C16" s="59">
        <f>SUMPRODUCT(Krankheitstage!$N$6:$N$205,Krankheitstage!$C$6:$C$205)</f>
        <v/>
      </c>
      <c r="D16" s="40">
        <f>IF(Einstellungen!$C$10="Ja",IF(B16&gt;0,C16/B16,0),IF(B16+C16&gt;0,C16/(B16+C16),0))</f>
        <v/>
      </c>
      <c r="E16" s="36">
        <f>SUM(Krankheitstage!$N$6:$N$205)</f>
        <v/>
      </c>
      <c r="F16" s="36">
        <f>COUNTIF(Krankheitstage!$N$6:$N$205,"&gt;0")</f>
        <v/>
      </c>
      <c r="G16" s="58">
        <f>'Stunden Objekte'!C15</f>
        <v/>
      </c>
      <c r="H16" s="59">
        <f>SUMPRODUCT(Krankheitstage!$AA$6:$AA$205,Krankheitstage!$C$6:$C$205)</f>
        <v/>
      </c>
      <c r="I16" s="40">
        <f>IF(Einstellungen!$C$10="Ja",IF(G16&gt;0,H16/G16,0),IF(G16+H16&gt;0,H16/(G16+H16),0))</f>
        <v/>
      </c>
      <c r="J16" s="36">
        <f>SUM(Krankheitstage!$AA$6:$AA$205)</f>
        <v/>
      </c>
      <c r="K16" s="36">
        <f>COUNTIF(Krankheitstage!$AA$6:$AA$205,"&gt;0")</f>
        <v/>
      </c>
      <c r="L16" s="59">
        <f>B16+G16</f>
        <v/>
      </c>
      <c r="M16" s="59">
        <f>C16+H16</f>
        <v/>
      </c>
      <c r="N16" s="40">
        <f>IF(Einstellungen!$C$10="Ja",IF(L16&gt;0,M16/L16,0),IF(L16+M16&gt;0,M16/(L16+M16),0))</f>
        <v/>
      </c>
      <c r="O16" s="36">
        <f>E16+J16</f>
        <v/>
      </c>
      <c r="P16" s="36">
        <f>SUMPRODUCT(((Krankheitstage!$N$6:$N$205+Krankheitstage!$AA$6:$AA$205)&gt;0)*1)</f>
        <v/>
      </c>
    </row>
    <row r="17">
      <c r="A17" s="57" t="inlineStr">
        <is>
          <t>Dezember</t>
        </is>
      </c>
      <c r="B17" s="58">
        <f>'Stunden Objekte'!B16</f>
        <v/>
      </c>
      <c r="C17" s="59">
        <f>SUMPRODUCT(Krankheitstage!$O$6:$O$205,Krankheitstage!$C$6:$C$205)</f>
        <v/>
      </c>
      <c r="D17" s="40">
        <f>IF(Einstellungen!$C$10="Ja",IF(B17&gt;0,C17/B17,0),IF(B17+C17&gt;0,C17/(B17+C17),0))</f>
        <v/>
      </c>
      <c r="E17" s="36">
        <f>SUM(Krankheitstage!$O$6:$O$205)</f>
        <v/>
      </c>
      <c r="F17" s="36">
        <f>COUNTIF(Krankheitstage!$O$6:$O$205,"&gt;0")</f>
        <v/>
      </c>
      <c r="G17" s="58">
        <f>'Stunden Objekte'!C16</f>
        <v/>
      </c>
      <c r="H17" s="59">
        <f>SUMPRODUCT(Krankheitstage!$AB$6:$AB$205,Krankheitstage!$C$6:$C$205)</f>
        <v/>
      </c>
      <c r="I17" s="40">
        <f>IF(Einstellungen!$C$10="Ja",IF(G17&gt;0,H17/G17,0),IF(G17+H17&gt;0,H17/(G17+H17),0))</f>
        <v/>
      </c>
      <c r="J17" s="36">
        <f>SUM(Krankheitstage!$AB$6:$AB$205)</f>
        <v/>
      </c>
      <c r="K17" s="36">
        <f>COUNTIF(Krankheitstage!$AB$6:$AB$205,"&gt;0")</f>
        <v/>
      </c>
      <c r="L17" s="59">
        <f>B17+G17</f>
        <v/>
      </c>
      <c r="M17" s="59">
        <f>C17+H17</f>
        <v/>
      </c>
      <c r="N17" s="40">
        <f>IF(Einstellungen!$C$10="Ja",IF(L17&gt;0,M17/L17,0),IF(L17+M17&gt;0,M17/(L17+M17),0))</f>
        <v/>
      </c>
      <c r="O17" s="36">
        <f>E17+J17</f>
        <v/>
      </c>
      <c r="P17" s="36">
        <f>SUMPRODUCT(((Krankheitstage!$O$6:$O$205+Krankheitstage!$AB$6:$AB$205)&gt;0)*1)</f>
        <v/>
      </c>
    </row>
    <row r="18">
      <c r="A18" s="21" t="inlineStr">
        <is>
          <t>Jahr</t>
        </is>
      </c>
      <c r="B18" s="37">
        <f>SUM(B6:B17)</f>
        <v/>
      </c>
      <c r="C18" s="37">
        <f>SUM(C6:C17)</f>
        <v/>
      </c>
      <c r="D18" s="60">
        <f>IF(Einstellungen!$C$10="Ja",IF(B18&gt;0,C18/B18,0),IF(B18+C18&gt;0,C18/(B18+C18),0))</f>
        <v/>
      </c>
      <c r="E18" s="25">
        <f>SUM(E6:E17)</f>
        <v/>
      </c>
      <c r="F18" s="25">
        <f>COUNTIF(Krankheitstage!$P$6:$P$205,"&gt;0")</f>
        <v/>
      </c>
      <c r="G18" s="37">
        <f>SUM(G6:G17)</f>
        <v/>
      </c>
      <c r="H18" s="37">
        <f>SUM(H6:H17)</f>
        <v/>
      </c>
      <c r="I18" s="60">
        <f>IF(Einstellungen!$C$10="Ja",IF(G18&gt;0,H18/G18,0),IF(G18+H18&gt;0,H18/(G18+H18),0))</f>
        <v/>
      </c>
      <c r="J18" s="25">
        <f>SUM(J6:J17)</f>
        <v/>
      </c>
      <c r="K18" s="25">
        <f>COUNTIF(Krankheitstage!$AC$6:$AC$205,"&gt;0")</f>
        <v/>
      </c>
      <c r="L18" s="37">
        <f>SUM(L6:L17)</f>
        <v/>
      </c>
      <c r="M18" s="37">
        <f>SUM(M6:M17)</f>
        <v/>
      </c>
      <c r="N18" s="60">
        <f>IF(Einstellungen!$C$10="Ja",IF(L18&gt;0,M18/L18,0),IF(L18+M18&gt;0,M18/(L18+M18),0))</f>
        <v/>
      </c>
      <c r="O18" s="25">
        <f>SUM(O6:O17)</f>
        <v/>
      </c>
      <c r="P18" s="25">
        <f>COUNTIF(Krankheitstage!$AD$6:$AD$205,"&gt;0")</f>
        <v/>
      </c>
    </row>
    <row r="20">
      <c r="A20" s="16" t="inlineStr">
        <is>
          <t>Kranke MA = Personen mit mind. einem Krankheitstag im Objekt/Monat. Gelb/Rot = über Ampel-Schwelle 1/2. Monate ohne Gesamtstunden zeigen „-“.</t>
        </is>
      </c>
    </row>
    <row r="21">
      <c r="A21" s="61" t="inlineStr">
        <is>
          <t>Kumuliert seit Jahresbeginn (Januar bis einschließlich Monat)</t>
        </is>
      </c>
    </row>
    <row r="22">
      <c r="A22" s="42" t="n"/>
      <c r="B22" s="44">
        <f>Einstellungen!$C$4</f>
        <v/>
      </c>
      <c r="C22" s="45" t="n"/>
      <c r="D22" s="45" t="n"/>
      <c r="E22" s="46">
        <f>Einstellungen!$C$5</f>
        <v/>
      </c>
      <c r="F22" s="47" t="n"/>
      <c r="G22" s="47" t="n"/>
      <c r="H22" s="48" t="inlineStr">
        <is>
          <t>Gesamt (beide Objekte)</t>
        </is>
      </c>
      <c r="I22" s="56" t="n"/>
      <c r="J22" s="56" t="n"/>
    </row>
    <row r="23" ht="30" customHeight="1">
      <c r="A23" s="21" t="inlineStr">
        <is>
          <t>bis Monat</t>
        </is>
      </c>
      <c r="B23" s="44" t="inlineStr">
        <is>
          <t>Gesamtstd.
kumuliert</t>
        </is>
      </c>
      <c r="C23" s="44" t="inlineStr">
        <is>
          <t>Krankstd.
kumuliert</t>
        </is>
      </c>
      <c r="D23" s="44" t="inlineStr">
        <is>
          <t>Quote
kumuliert</t>
        </is>
      </c>
      <c r="E23" s="46" t="inlineStr">
        <is>
          <t>Gesamtstd.
kumuliert</t>
        </is>
      </c>
      <c r="F23" s="46" t="inlineStr">
        <is>
          <t>Krankstd.
kumuliert</t>
        </is>
      </c>
      <c r="G23" s="46" t="inlineStr">
        <is>
          <t>Quote
kumuliert</t>
        </is>
      </c>
      <c r="H23" s="48" t="inlineStr">
        <is>
          <t>Gesamtstd.
kumuliert</t>
        </is>
      </c>
      <c r="I23" s="48" t="inlineStr">
        <is>
          <t>Krankstd.
kumuliert</t>
        </is>
      </c>
      <c r="J23" s="48" t="inlineStr">
        <is>
          <t>Quote
kumuliert</t>
        </is>
      </c>
    </row>
    <row r="24">
      <c r="A24" s="57" t="inlineStr">
        <is>
          <t>Januar</t>
        </is>
      </c>
      <c r="B24" s="59">
        <f>SUM(B$6:B6)</f>
        <v/>
      </c>
      <c r="C24" s="59">
        <f>SUM(C$6:C6)</f>
        <v/>
      </c>
      <c r="D24" s="40">
        <f>IF(Einstellungen!$C$10="Ja",IF(B24&gt;0,C24/B24,0),IF(B24+C24&gt;0,C24/(B24+C24),0))</f>
        <v/>
      </c>
      <c r="E24" s="59">
        <f>SUM(G$6:G6)</f>
        <v/>
      </c>
      <c r="F24" s="59">
        <f>SUM(H$6:H6)</f>
        <v/>
      </c>
      <c r="G24" s="40">
        <f>IF(Einstellungen!$C$10="Ja",IF(E24&gt;0,F24/E24,0),IF(E24+F24&gt;0,F24/(E24+F24),0))</f>
        <v/>
      </c>
      <c r="H24" s="59">
        <f>SUM(L$6:L6)</f>
        <v/>
      </c>
      <c r="I24" s="59">
        <f>SUM(M$6:M6)</f>
        <v/>
      </c>
      <c r="J24" s="40">
        <f>IF(Einstellungen!$C$10="Ja",IF(H24&gt;0,I24/H24,0),IF(H24+I24&gt;0,I24/(H24+I24),0))</f>
        <v/>
      </c>
    </row>
    <row r="25">
      <c r="A25" s="57" t="inlineStr">
        <is>
          <t>Februar</t>
        </is>
      </c>
      <c r="B25" s="59">
        <f>SUM(B$6:B7)</f>
        <v/>
      </c>
      <c r="C25" s="59">
        <f>SUM(C$6:C7)</f>
        <v/>
      </c>
      <c r="D25" s="40">
        <f>IF(Einstellungen!$C$10="Ja",IF(B25&gt;0,C25/B25,0),IF(B25+C25&gt;0,C25/(B25+C25),0))</f>
        <v/>
      </c>
      <c r="E25" s="59">
        <f>SUM(G$6:G7)</f>
        <v/>
      </c>
      <c r="F25" s="59">
        <f>SUM(H$6:H7)</f>
        <v/>
      </c>
      <c r="G25" s="40">
        <f>IF(Einstellungen!$C$10="Ja",IF(E25&gt;0,F25/E25,0),IF(E25+F25&gt;0,F25/(E25+F25),0))</f>
        <v/>
      </c>
      <c r="H25" s="59">
        <f>SUM(L$6:L7)</f>
        <v/>
      </c>
      <c r="I25" s="59">
        <f>SUM(M$6:M7)</f>
        <v/>
      </c>
      <c r="J25" s="40">
        <f>IF(Einstellungen!$C$10="Ja",IF(H25&gt;0,I25/H25,0),IF(H25+I25&gt;0,I25/(H25+I25),0))</f>
        <v/>
      </c>
    </row>
    <row r="26">
      <c r="A26" s="57" t="inlineStr">
        <is>
          <t>März</t>
        </is>
      </c>
      <c r="B26" s="59">
        <f>SUM(B$6:B8)</f>
        <v/>
      </c>
      <c r="C26" s="59">
        <f>SUM(C$6:C8)</f>
        <v/>
      </c>
      <c r="D26" s="40">
        <f>IF(Einstellungen!$C$10="Ja",IF(B26&gt;0,C26/B26,0),IF(B26+C26&gt;0,C26/(B26+C26),0))</f>
        <v/>
      </c>
      <c r="E26" s="59">
        <f>SUM(G$6:G8)</f>
        <v/>
      </c>
      <c r="F26" s="59">
        <f>SUM(H$6:H8)</f>
        <v/>
      </c>
      <c r="G26" s="40">
        <f>IF(Einstellungen!$C$10="Ja",IF(E26&gt;0,F26/E26,0),IF(E26+F26&gt;0,F26/(E26+F26),0))</f>
        <v/>
      </c>
      <c r="H26" s="59">
        <f>SUM(L$6:L8)</f>
        <v/>
      </c>
      <c r="I26" s="59">
        <f>SUM(M$6:M8)</f>
        <v/>
      </c>
      <c r="J26" s="40">
        <f>IF(Einstellungen!$C$10="Ja",IF(H26&gt;0,I26/H26,0),IF(H26+I26&gt;0,I26/(H26+I26),0))</f>
        <v/>
      </c>
    </row>
    <row r="27">
      <c r="A27" s="57" t="inlineStr">
        <is>
          <t>April</t>
        </is>
      </c>
      <c r="B27" s="59">
        <f>SUM(B$6:B9)</f>
        <v/>
      </c>
      <c r="C27" s="59">
        <f>SUM(C$6:C9)</f>
        <v/>
      </c>
      <c r="D27" s="40">
        <f>IF(Einstellungen!$C$10="Ja",IF(B27&gt;0,C27/B27,0),IF(B27+C27&gt;0,C27/(B27+C27),0))</f>
        <v/>
      </c>
      <c r="E27" s="59">
        <f>SUM(G$6:G9)</f>
        <v/>
      </c>
      <c r="F27" s="59">
        <f>SUM(H$6:H9)</f>
        <v/>
      </c>
      <c r="G27" s="40">
        <f>IF(Einstellungen!$C$10="Ja",IF(E27&gt;0,F27/E27,0),IF(E27+F27&gt;0,F27/(E27+F27),0))</f>
        <v/>
      </c>
      <c r="H27" s="59">
        <f>SUM(L$6:L9)</f>
        <v/>
      </c>
      <c r="I27" s="59">
        <f>SUM(M$6:M9)</f>
        <v/>
      </c>
      <c r="J27" s="40">
        <f>IF(Einstellungen!$C$10="Ja",IF(H27&gt;0,I27/H27,0),IF(H27+I27&gt;0,I27/(H27+I27),0))</f>
        <v/>
      </c>
    </row>
    <row r="28">
      <c r="A28" s="57" t="inlineStr">
        <is>
          <t>Mai</t>
        </is>
      </c>
      <c r="B28" s="59">
        <f>SUM(B$6:B10)</f>
        <v/>
      </c>
      <c r="C28" s="59">
        <f>SUM(C$6:C10)</f>
        <v/>
      </c>
      <c r="D28" s="40">
        <f>IF(Einstellungen!$C$10="Ja",IF(B28&gt;0,C28/B28,0),IF(B28+C28&gt;0,C28/(B28+C28),0))</f>
        <v/>
      </c>
      <c r="E28" s="59">
        <f>SUM(G$6:G10)</f>
        <v/>
      </c>
      <c r="F28" s="59">
        <f>SUM(H$6:H10)</f>
        <v/>
      </c>
      <c r="G28" s="40">
        <f>IF(Einstellungen!$C$10="Ja",IF(E28&gt;0,F28/E28,0),IF(E28+F28&gt;0,F28/(E28+F28),0))</f>
        <v/>
      </c>
      <c r="H28" s="59">
        <f>SUM(L$6:L10)</f>
        <v/>
      </c>
      <c r="I28" s="59">
        <f>SUM(M$6:M10)</f>
        <v/>
      </c>
      <c r="J28" s="40">
        <f>IF(Einstellungen!$C$10="Ja",IF(H28&gt;0,I28/H28,0),IF(H28+I28&gt;0,I28/(H28+I28),0))</f>
        <v/>
      </c>
    </row>
    <row r="29">
      <c r="A29" s="57" t="inlineStr">
        <is>
          <t>Juni</t>
        </is>
      </c>
      <c r="B29" s="59">
        <f>SUM(B$6:B11)</f>
        <v/>
      </c>
      <c r="C29" s="59">
        <f>SUM(C$6:C11)</f>
        <v/>
      </c>
      <c r="D29" s="40">
        <f>IF(Einstellungen!$C$10="Ja",IF(B29&gt;0,C29/B29,0),IF(B29+C29&gt;0,C29/(B29+C29),0))</f>
        <v/>
      </c>
      <c r="E29" s="59">
        <f>SUM(G$6:G11)</f>
        <v/>
      </c>
      <c r="F29" s="59">
        <f>SUM(H$6:H11)</f>
        <v/>
      </c>
      <c r="G29" s="40">
        <f>IF(Einstellungen!$C$10="Ja",IF(E29&gt;0,F29/E29,0),IF(E29+F29&gt;0,F29/(E29+F29),0))</f>
        <v/>
      </c>
      <c r="H29" s="59">
        <f>SUM(L$6:L11)</f>
        <v/>
      </c>
      <c r="I29" s="59">
        <f>SUM(M$6:M11)</f>
        <v/>
      </c>
      <c r="J29" s="40">
        <f>IF(Einstellungen!$C$10="Ja",IF(H29&gt;0,I29/H29,0),IF(H29+I29&gt;0,I29/(H29+I29),0))</f>
        <v/>
      </c>
    </row>
    <row r="30">
      <c r="A30" s="57" t="inlineStr">
        <is>
          <t>Juli</t>
        </is>
      </c>
      <c r="B30" s="59">
        <f>SUM(B$6:B12)</f>
        <v/>
      </c>
      <c r="C30" s="59">
        <f>SUM(C$6:C12)</f>
        <v/>
      </c>
      <c r="D30" s="40">
        <f>IF(Einstellungen!$C$10="Ja",IF(B30&gt;0,C30/B30,0),IF(B30+C30&gt;0,C30/(B30+C30),0))</f>
        <v/>
      </c>
      <c r="E30" s="59">
        <f>SUM(G$6:G12)</f>
        <v/>
      </c>
      <c r="F30" s="59">
        <f>SUM(H$6:H12)</f>
        <v/>
      </c>
      <c r="G30" s="40">
        <f>IF(Einstellungen!$C$10="Ja",IF(E30&gt;0,F30/E30,0),IF(E30+F30&gt;0,F30/(E30+F30),0))</f>
        <v/>
      </c>
      <c r="H30" s="59">
        <f>SUM(L$6:L12)</f>
        <v/>
      </c>
      <c r="I30" s="59">
        <f>SUM(M$6:M12)</f>
        <v/>
      </c>
      <c r="J30" s="40">
        <f>IF(Einstellungen!$C$10="Ja",IF(H30&gt;0,I30/H30,0),IF(H30+I30&gt;0,I30/(H30+I30),0))</f>
        <v/>
      </c>
    </row>
    <row r="31">
      <c r="A31" s="57" t="inlineStr">
        <is>
          <t>August</t>
        </is>
      </c>
      <c r="B31" s="59">
        <f>SUM(B$6:B13)</f>
        <v/>
      </c>
      <c r="C31" s="59">
        <f>SUM(C$6:C13)</f>
        <v/>
      </c>
      <c r="D31" s="40">
        <f>IF(Einstellungen!$C$10="Ja",IF(B31&gt;0,C31/B31,0),IF(B31+C31&gt;0,C31/(B31+C31),0))</f>
        <v/>
      </c>
      <c r="E31" s="59">
        <f>SUM(G$6:G13)</f>
        <v/>
      </c>
      <c r="F31" s="59">
        <f>SUM(H$6:H13)</f>
        <v/>
      </c>
      <c r="G31" s="40">
        <f>IF(Einstellungen!$C$10="Ja",IF(E31&gt;0,F31/E31,0),IF(E31+F31&gt;0,F31/(E31+F31),0))</f>
        <v/>
      </c>
      <c r="H31" s="59">
        <f>SUM(L$6:L13)</f>
        <v/>
      </c>
      <c r="I31" s="59">
        <f>SUM(M$6:M13)</f>
        <v/>
      </c>
      <c r="J31" s="40">
        <f>IF(Einstellungen!$C$10="Ja",IF(H31&gt;0,I31/H31,0),IF(H31+I31&gt;0,I31/(H31+I31),0))</f>
        <v/>
      </c>
    </row>
    <row r="32">
      <c r="A32" s="57" t="inlineStr">
        <is>
          <t>September</t>
        </is>
      </c>
      <c r="B32" s="59">
        <f>SUM(B$6:B14)</f>
        <v/>
      </c>
      <c r="C32" s="59">
        <f>SUM(C$6:C14)</f>
        <v/>
      </c>
      <c r="D32" s="40">
        <f>IF(Einstellungen!$C$10="Ja",IF(B32&gt;0,C32/B32,0),IF(B32+C32&gt;0,C32/(B32+C32),0))</f>
        <v/>
      </c>
      <c r="E32" s="59">
        <f>SUM(G$6:G14)</f>
        <v/>
      </c>
      <c r="F32" s="59">
        <f>SUM(H$6:H14)</f>
        <v/>
      </c>
      <c r="G32" s="40">
        <f>IF(Einstellungen!$C$10="Ja",IF(E32&gt;0,F32/E32,0),IF(E32+F32&gt;0,F32/(E32+F32),0))</f>
        <v/>
      </c>
      <c r="H32" s="59">
        <f>SUM(L$6:L14)</f>
        <v/>
      </c>
      <c r="I32" s="59">
        <f>SUM(M$6:M14)</f>
        <v/>
      </c>
      <c r="J32" s="40">
        <f>IF(Einstellungen!$C$10="Ja",IF(H32&gt;0,I32/H32,0),IF(H32+I32&gt;0,I32/(H32+I32),0))</f>
        <v/>
      </c>
    </row>
    <row r="33">
      <c r="A33" s="57" t="inlineStr">
        <is>
          <t>Oktober</t>
        </is>
      </c>
      <c r="B33" s="59">
        <f>SUM(B$6:B15)</f>
        <v/>
      </c>
      <c r="C33" s="59">
        <f>SUM(C$6:C15)</f>
        <v/>
      </c>
      <c r="D33" s="40">
        <f>IF(Einstellungen!$C$10="Ja",IF(B33&gt;0,C33/B33,0),IF(B33+C33&gt;0,C33/(B33+C33),0))</f>
        <v/>
      </c>
      <c r="E33" s="59">
        <f>SUM(G$6:G15)</f>
        <v/>
      </c>
      <c r="F33" s="59">
        <f>SUM(H$6:H15)</f>
        <v/>
      </c>
      <c r="G33" s="40">
        <f>IF(Einstellungen!$C$10="Ja",IF(E33&gt;0,F33/E33,0),IF(E33+F33&gt;0,F33/(E33+F33),0))</f>
        <v/>
      </c>
      <c r="H33" s="59">
        <f>SUM(L$6:L15)</f>
        <v/>
      </c>
      <c r="I33" s="59">
        <f>SUM(M$6:M15)</f>
        <v/>
      </c>
      <c r="J33" s="40">
        <f>IF(Einstellungen!$C$10="Ja",IF(H33&gt;0,I33/H33,0),IF(H33+I33&gt;0,I33/(H33+I33),0))</f>
        <v/>
      </c>
    </row>
    <row r="34">
      <c r="A34" s="57" t="inlineStr">
        <is>
          <t>November</t>
        </is>
      </c>
      <c r="B34" s="59">
        <f>SUM(B$6:B16)</f>
        <v/>
      </c>
      <c r="C34" s="59">
        <f>SUM(C$6:C16)</f>
        <v/>
      </c>
      <c r="D34" s="40">
        <f>IF(Einstellungen!$C$10="Ja",IF(B34&gt;0,C34/B34,0),IF(B34+C34&gt;0,C34/(B34+C34),0))</f>
        <v/>
      </c>
      <c r="E34" s="59">
        <f>SUM(G$6:G16)</f>
        <v/>
      </c>
      <c r="F34" s="59">
        <f>SUM(H$6:H16)</f>
        <v/>
      </c>
      <c r="G34" s="40">
        <f>IF(Einstellungen!$C$10="Ja",IF(E34&gt;0,F34/E34,0),IF(E34+F34&gt;0,F34/(E34+F34),0))</f>
        <v/>
      </c>
      <c r="H34" s="59">
        <f>SUM(L$6:L16)</f>
        <v/>
      </c>
      <c r="I34" s="59">
        <f>SUM(M$6:M16)</f>
        <v/>
      </c>
      <c r="J34" s="40">
        <f>IF(Einstellungen!$C$10="Ja",IF(H34&gt;0,I34/H34,0),IF(H34+I34&gt;0,I34/(H34+I34),0))</f>
        <v/>
      </c>
    </row>
    <row r="35">
      <c r="A35" s="57" t="inlineStr">
        <is>
          <t>Dezember</t>
        </is>
      </c>
      <c r="B35" s="59">
        <f>SUM(B$6:B17)</f>
        <v/>
      </c>
      <c r="C35" s="59">
        <f>SUM(C$6:C17)</f>
        <v/>
      </c>
      <c r="D35" s="40">
        <f>IF(Einstellungen!$C$10="Ja",IF(B35&gt;0,C35/B35,0),IF(B35+C35&gt;0,C35/(B35+C35),0))</f>
        <v/>
      </c>
      <c r="E35" s="59">
        <f>SUM(G$6:G17)</f>
        <v/>
      </c>
      <c r="F35" s="59">
        <f>SUM(H$6:H17)</f>
        <v/>
      </c>
      <c r="G35" s="40">
        <f>IF(Einstellungen!$C$10="Ja",IF(E35&gt;0,F35/E35,0),IF(E35+F35&gt;0,F35/(E35+F35),0))</f>
        <v/>
      </c>
      <c r="H35" s="59">
        <f>SUM(L$6:L17)</f>
        <v/>
      </c>
      <c r="I35" s="59">
        <f>SUM(M$6:M17)</f>
        <v/>
      </c>
      <c r="J35" s="40">
        <f>IF(Einstellungen!$C$10="Ja",IF(H35&gt;0,I35/H35,0),IF(H35+I35&gt;0,I35/(H35+I35),0))</f>
        <v/>
      </c>
    </row>
  </sheetData>
  <mergeCells count="7">
    <mergeCell ref="B4:F4"/>
    <mergeCell ref="L4:P4"/>
    <mergeCell ref="E22:G22"/>
    <mergeCell ref="H22:J22"/>
    <mergeCell ref="B22:D22"/>
    <mergeCell ref="G4:K4"/>
    <mergeCell ref="A2:P2"/>
  </mergeCells>
  <conditionalFormatting sqref="D6:D18">
    <cfRule type="cellIs" priority="1" operator="greaterThan" dxfId="2">
      <formula>Einstellungen!$C$8</formula>
    </cfRule>
    <cfRule type="cellIs" priority="2" operator="greaterThan" dxfId="5">
      <formula>Einstellungen!$C$7</formula>
    </cfRule>
  </conditionalFormatting>
  <conditionalFormatting sqref="I6:I18">
    <cfRule type="cellIs" priority="3" operator="greaterThan" dxfId="2">
      <formula>Einstellungen!$C$8</formula>
    </cfRule>
    <cfRule type="cellIs" priority="4" operator="greaterThan" dxfId="5">
      <formula>Einstellungen!$C$7</formula>
    </cfRule>
  </conditionalFormatting>
  <conditionalFormatting sqref="N6:N18">
    <cfRule type="cellIs" priority="5" operator="greaterThan" dxfId="2">
      <formula>Einstellungen!$C$8</formula>
    </cfRule>
    <cfRule type="cellIs" priority="6" operator="greaterThan" dxfId="5">
      <formula>Einstellungen!$C$7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T205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13" customWidth="1" min="3" max="3"/>
    <col width="10" customWidth="1" min="4" max="4"/>
    <col width="10" customWidth="1" min="5" max="5"/>
    <col width="9" customWidth="1" min="6" max="6"/>
    <col width="11" customWidth="1" min="7" max="7"/>
    <col width="11" customWidth="1" min="8" max="8"/>
    <col width="7" customWidth="1" min="9" max="9"/>
    <col width="10" customWidth="1" min="10" max="10"/>
    <col width="10" customWidth="1" min="11" max="11"/>
    <col width="9" customWidth="1" min="12" max="12"/>
    <col width="6" customWidth="1" min="13" max="13"/>
    <col width="14" customWidth="1" min="14" max="14"/>
    <col width="9" customWidth="1" min="15" max="15"/>
    <col width="3" customWidth="1" min="16" max="16"/>
    <col width="30" customWidth="1" min="17" max="17"/>
    <col width="22" customWidth="1" min="18" max="18"/>
    <col width="10" customWidth="1" min="19" max="19"/>
    <col width="10" customWidth="1" min="20" max="20"/>
  </cols>
  <sheetData>
    <row r="1">
      <c r="A1" s="1" t="inlineStr">
        <is>
          <t>Krankenquote nach Mitarbeitern</t>
        </is>
      </c>
      <c r="N1" s="12" t="inlineStr">
        <is>
          <t>→ Erklärung</t>
        </is>
      </c>
    </row>
    <row r="2" ht="28" customHeight="1">
      <c r="A2" s="13" t="inlineStr">
        <is>
          <t>Maßgeblich: Quote (Ist) = Krankstunden ÷ (Ist-Stunden + Krankstunden) – darauf beruhen Rang und Ampel. Quote (Soll) = Krankstunden ÷ Sollstunden nur zur Info. Ohne Ist-Stunden keine Bewertung.</t>
        </is>
      </c>
    </row>
    <row r="4">
      <c r="Q4" s="2" t="inlineStr">
        <is>
          <t>Kennzahlen (Basis Ist-Stunden)</t>
        </is>
      </c>
      <c r="R4" s="2" t="n"/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Status</t>
        </is>
      </c>
      <c r="D5" s="21" t="inlineStr">
        <is>
          <t>Soll-
stunden</t>
        </is>
      </c>
      <c r="E5" s="21" t="inlineStr">
        <is>
          <t>Ist-
stunden</t>
        </is>
      </c>
      <c r="F5" s="21" t="inlineStr">
        <is>
          <t>Krank-
stunden</t>
        </is>
      </c>
      <c r="G5" s="21">
        <f>"Kranktage "&amp;Einstellungen!$C$4</f>
        <v/>
      </c>
      <c r="H5" s="21">
        <f>"Kranktage "&amp;Einstellungen!$C$5</f>
        <v/>
      </c>
      <c r="I5" s="21" t="inlineStr">
        <is>
          <t>Krank-
tage</t>
        </is>
      </c>
      <c r="J5" s="21" t="inlineStr">
        <is>
          <t>Monate mit
Krankheit</t>
        </is>
      </c>
      <c r="K5" s="21" t="inlineStr">
        <is>
          <t>Quote
(Soll, Info)</t>
        </is>
      </c>
      <c r="L5" s="21" t="inlineStr">
        <is>
          <t>Quote
(Ist)</t>
        </is>
      </c>
      <c r="M5" s="21" t="inlineStr">
        <is>
          <t>Rang</t>
        </is>
      </c>
      <c r="N5" s="21" t="inlineStr">
        <is>
          <t>Bewertung</t>
        </is>
      </c>
      <c r="O5" s="21" t="inlineStr">
        <is>
          <t>Sortier-
hilfe</t>
        </is>
      </c>
      <c r="Q5" s="6" t="inlineStr">
        <is>
          <t>MA mit Ist-Stunden</t>
        </is>
      </c>
      <c r="R5" s="34">
        <f>COUNT($L$6:$L$205)</f>
        <v/>
      </c>
    </row>
    <row r="6">
      <c r="A6" s="49">
        <f>IF(Mitarbeiter!B6="","",Mitarbeiter!A6)</f>
        <v/>
      </c>
      <c r="B6" s="50">
        <f>IF(Mitarbeiter!B6="","",Mitarbeiter!B6)</f>
        <v/>
      </c>
      <c r="C6" s="7">
        <f>IF(Mitarbeiter!B6="","",Mitarbeiter!G6)</f>
        <v/>
      </c>
      <c r="D6" s="58">
        <f>IF(Mitarbeiter!B6="","",Mitarbeiter!H6)</f>
        <v/>
      </c>
      <c r="E6" s="58">
        <f>IF(Mitarbeiter!B6="","",'Ist-Stunden'!O6)</f>
        <v/>
      </c>
      <c r="F6" s="58">
        <f>IF(B6="","",Krankheitstage!AE6)</f>
        <v/>
      </c>
      <c r="G6" s="62">
        <f>IF(B6="","",Krankheitstage!P6)</f>
        <v/>
      </c>
      <c r="H6" s="62">
        <f>IF(B6="","",Krankheitstage!AC6)</f>
        <v/>
      </c>
      <c r="I6" s="62">
        <f>IF(B6="","",Krankheitstage!AD6)</f>
        <v/>
      </c>
      <c r="J6" s="36">
        <f>IF(B6="","",SUMPRODUCT(((Krankheitstage!D6:O6+Krankheitstage!Q6:AB6)&gt;0)*1))</f>
        <v/>
      </c>
      <c r="K6" s="63">
        <f>IF(B6="","",IF(N(D6)&gt;0,F6/D6,""))</f>
        <v/>
      </c>
      <c r="L6" s="40">
        <f>IF(B6="","",IF(N(E6)&gt;0,IF(Einstellungen!$C$10="Ja",F6/E6,F6/(E6+F6)),""))</f>
        <v/>
      </c>
      <c r="M6" s="64">
        <f>IF(L6="","",RANK(L6,$L$6:$L$205,0))</f>
        <v/>
      </c>
      <c r="N6" s="57">
        <f>IF(B6="","",IF(L6="","keine Ist-Std.",IF(L6&lt;=Einstellungen!$C$7,"unauffällig",IF(L6&lt;=Einstellungen!$C$8,"auffällig","kritisch"))))</f>
        <v/>
      </c>
      <c r="O6" s="65">
        <f>IF(L6="",-1,L6+ROW()/1000000000)</f>
        <v/>
      </c>
      <c r="Q6" s="6" t="inlineStr">
        <is>
          <t>Ø Krankenquote (gewichtet)</t>
        </is>
      </c>
      <c r="R6" s="40">
        <f>IF(Einstellungen!$C$10="Ja",IF(SUMIFS(E6:E205,E6:E205,"&gt;0")&gt;0,SUMIFS(F6:F205,E6:E205,"&gt;0")/SUMIFS(E6:E205,E6:E205,"&gt;0"),0),IF(SUMIFS(E6:E205,E6:E205,"&gt;0")+SUMIFS(F6:F205,E6:E205,"&gt;0")&gt;0,SUMIFS(F6:F205,E6:E205,"&gt;0")/(SUMIFS(E6:E205,E6:E205,"&gt;0")+SUMIFS(F6:F205,E6:E205,"&gt;0")),0))</f>
        <v/>
      </c>
    </row>
    <row r="7">
      <c r="A7" s="49">
        <f>IF(Mitarbeiter!B7="","",Mitarbeiter!A7)</f>
        <v/>
      </c>
      <c r="B7" s="50">
        <f>IF(Mitarbeiter!B7="","",Mitarbeiter!B7)</f>
        <v/>
      </c>
      <c r="C7" s="7">
        <f>IF(Mitarbeiter!B7="","",Mitarbeiter!G7)</f>
        <v/>
      </c>
      <c r="D7" s="58">
        <f>IF(Mitarbeiter!B7="","",Mitarbeiter!H7)</f>
        <v/>
      </c>
      <c r="E7" s="58">
        <f>IF(Mitarbeiter!B7="","",'Ist-Stunden'!O7)</f>
        <v/>
      </c>
      <c r="F7" s="58">
        <f>IF(B7="","",Krankheitstage!AE7)</f>
        <v/>
      </c>
      <c r="G7" s="62">
        <f>IF(B7="","",Krankheitstage!P7)</f>
        <v/>
      </c>
      <c r="H7" s="62">
        <f>IF(B7="","",Krankheitstage!AC7)</f>
        <v/>
      </c>
      <c r="I7" s="62">
        <f>IF(B7="","",Krankheitstage!AD7)</f>
        <v/>
      </c>
      <c r="J7" s="36">
        <f>IF(B7="","",SUMPRODUCT(((Krankheitstage!D7:O7+Krankheitstage!Q7:AB7)&gt;0)*1))</f>
        <v/>
      </c>
      <c r="K7" s="63">
        <f>IF(B7="","",IF(N(D7)&gt;0,F7/D7,""))</f>
        <v/>
      </c>
      <c r="L7" s="40">
        <f>IF(B7="","",IF(N(E7)&gt;0,IF(Einstellungen!$C$10="Ja",F7/E7,F7/(E7+F7)),""))</f>
        <v/>
      </c>
      <c r="M7" s="64">
        <f>IF(L7="","",RANK(L7,$L$6:$L$205,0))</f>
        <v/>
      </c>
      <c r="N7" s="57">
        <f>IF(B7="","",IF(L7="","keine Ist-Std.",IF(L7&lt;=Einstellungen!$C$7,"unauffällig",IF(L7&lt;=Einstellungen!$C$8,"auffällig","kritisch"))))</f>
        <v/>
      </c>
      <c r="O7" s="65">
        <f>IF(L7="",-1,L7+ROW()/1000000000)</f>
        <v/>
      </c>
      <c r="Q7" s="6" t="inlineStr">
        <is>
          <t>Ø Krankenquote (je MA)</t>
        </is>
      </c>
      <c r="R7" s="40">
        <f>IFERROR(AVERAGE($L$6:$L$205),0)</f>
        <v/>
      </c>
    </row>
    <row r="8">
      <c r="A8" s="49">
        <f>IF(Mitarbeiter!B8="","",Mitarbeiter!A8)</f>
        <v/>
      </c>
      <c r="B8" s="50">
        <f>IF(Mitarbeiter!B8="","",Mitarbeiter!B8)</f>
        <v/>
      </c>
      <c r="C8" s="7">
        <f>IF(Mitarbeiter!B8="","",Mitarbeiter!G8)</f>
        <v/>
      </c>
      <c r="D8" s="58">
        <f>IF(Mitarbeiter!B8="","",Mitarbeiter!H8)</f>
        <v/>
      </c>
      <c r="E8" s="58">
        <f>IF(Mitarbeiter!B8="","",'Ist-Stunden'!O8)</f>
        <v/>
      </c>
      <c r="F8" s="58">
        <f>IF(B8="","",Krankheitstage!AE8)</f>
        <v/>
      </c>
      <c r="G8" s="62">
        <f>IF(B8="","",Krankheitstage!P8)</f>
        <v/>
      </c>
      <c r="H8" s="62">
        <f>IF(B8="","",Krankheitstage!AC8)</f>
        <v/>
      </c>
      <c r="I8" s="62">
        <f>IF(B8="","",Krankheitstage!AD8)</f>
        <v/>
      </c>
      <c r="J8" s="36">
        <f>IF(B8="","",SUMPRODUCT(((Krankheitstage!D8:O8+Krankheitstage!Q8:AB8)&gt;0)*1))</f>
        <v/>
      </c>
      <c r="K8" s="63">
        <f>IF(B8="","",IF(N(D8)&gt;0,F8/D8,""))</f>
        <v/>
      </c>
      <c r="L8" s="40">
        <f>IF(B8="","",IF(N(E8)&gt;0,IF(Einstellungen!$C$10="Ja",F8/E8,F8/(E8+F8)),""))</f>
        <v/>
      </c>
      <c r="M8" s="64">
        <f>IF(L8="","",RANK(L8,$L$6:$L$205,0))</f>
        <v/>
      </c>
      <c r="N8" s="57">
        <f>IF(B8="","",IF(L8="","keine Ist-Std.",IF(L8&lt;=Einstellungen!$C$7,"unauffällig",IF(L8&lt;=Einstellungen!$C$8,"auffällig","kritisch"))))</f>
        <v/>
      </c>
      <c r="O8" s="65">
        <f>IF(L8="",-1,L8+ROW()/1000000000)</f>
        <v/>
      </c>
      <c r="Q8" s="6" t="inlineStr">
        <is>
          <t>Median</t>
        </is>
      </c>
      <c r="R8" s="40">
        <f>IFERROR(MEDIAN($L$6:$L$205),0)</f>
        <v/>
      </c>
    </row>
    <row r="9">
      <c r="A9" s="49">
        <f>IF(Mitarbeiter!B9="","",Mitarbeiter!A9)</f>
        <v/>
      </c>
      <c r="B9" s="50">
        <f>IF(Mitarbeiter!B9="","",Mitarbeiter!B9)</f>
        <v/>
      </c>
      <c r="C9" s="7">
        <f>IF(Mitarbeiter!B9="","",Mitarbeiter!G9)</f>
        <v/>
      </c>
      <c r="D9" s="58">
        <f>IF(Mitarbeiter!B9="","",Mitarbeiter!H9)</f>
        <v/>
      </c>
      <c r="E9" s="58">
        <f>IF(Mitarbeiter!B9="","",'Ist-Stunden'!O9)</f>
        <v/>
      </c>
      <c r="F9" s="58">
        <f>IF(B9="","",Krankheitstage!AE9)</f>
        <v/>
      </c>
      <c r="G9" s="62">
        <f>IF(B9="","",Krankheitstage!P9)</f>
        <v/>
      </c>
      <c r="H9" s="62">
        <f>IF(B9="","",Krankheitstage!AC9)</f>
        <v/>
      </c>
      <c r="I9" s="62">
        <f>IF(B9="","",Krankheitstage!AD9)</f>
        <v/>
      </c>
      <c r="J9" s="36">
        <f>IF(B9="","",SUMPRODUCT(((Krankheitstage!D9:O9+Krankheitstage!Q9:AB9)&gt;0)*1))</f>
        <v/>
      </c>
      <c r="K9" s="63">
        <f>IF(B9="","",IF(N(D9)&gt;0,F9/D9,""))</f>
        <v/>
      </c>
      <c r="L9" s="40">
        <f>IF(B9="","",IF(N(E9)&gt;0,IF(Einstellungen!$C$10="Ja",F9/E9,F9/(E9+F9)),""))</f>
        <v/>
      </c>
      <c r="M9" s="64">
        <f>IF(L9="","",RANK(L9,$L$6:$L$205,0))</f>
        <v/>
      </c>
      <c r="N9" s="57">
        <f>IF(B9="","",IF(L9="","keine Ist-Std.",IF(L9&lt;=Einstellungen!$C$7,"unauffällig",IF(L9&lt;=Einstellungen!$C$8,"auffällig","kritisch"))))</f>
        <v/>
      </c>
      <c r="O9" s="65">
        <f>IF(L9="",-1,L9+ROW()/1000000000)</f>
        <v/>
      </c>
      <c r="Q9" s="6" t="inlineStr">
        <is>
          <t>Höchste Quote</t>
        </is>
      </c>
      <c r="R9" s="40">
        <f>IFERROR(MAX($L$6:$L$205),0)</f>
        <v/>
      </c>
    </row>
    <row r="10">
      <c r="A10" s="49">
        <f>IF(Mitarbeiter!B10="","",Mitarbeiter!A10)</f>
        <v/>
      </c>
      <c r="B10" s="50">
        <f>IF(Mitarbeiter!B10="","",Mitarbeiter!B10)</f>
        <v/>
      </c>
      <c r="C10" s="7">
        <f>IF(Mitarbeiter!B10="","",Mitarbeiter!G10)</f>
        <v/>
      </c>
      <c r="D10" s="58">
        <f>IF(Mitarbeiter!B10="","",Mitarbeiter!H10)</f>
        <v/>
      </c>
      <c r="E10" s="58">
        <f>IF(Mitarbeiter!B10="","",'Ist-Stunden'!O10)</f>
        <v/>
      </c>
      <c r="F10" s="58">
        <f>IF(B10="","",Krankheitstage!AE10)</f>
        <v/>
      </c>
      <c r="G10" s="62">
        <f>IF(B10="","",Krankheitstage!P10)</f>
        <v/>
      </c>
      <c r="H10" s="62">
        <f>IF(B10="","",Krankheitstage!AC10)</f>
        <v/>
      </c>
      <c r="I10" s="62">
        <f>IF(B10="","",Krankheitstage!AD10)</f>
        <v/>
      </c>
      <c r="J10" s="36">
        <f>IF(B10="","",SUMPRODUCT(((Krankheitstage!D10:O10+Krankheitstage!Q10:AB10)&gt;0)*1))</f>
        <v/>
      </c>
      <c r="K10" s="63">
        <f>IF(B10="","",IF(N(D10)&gt;0,F10/D10,""))</f>
        <v/>
      </c>
      <c r="L10" s="40">
        <f>IF(B10="","",IF(N(E10)&gt;0,IF(Einstellungen!$C$10="Ja",F10/E10,F10/(E10+F10)),""))</f>
        <v/>
      </c>
      <c r="M10" s="64">
        <f>IF(L10="","",RANK(L10,$L$6:$L$205,0))</f>
        <v/>
      </c>
      <c r="N10" s="57">
        <f>IF(B10="","",IF(L10="","keine Ist-Std.",IF(L10&lt;=Einstellungen!$C$7,"unauffällig",IF(L10&lt;=Einstellungen!$C$8,"auffällig","kritisch"))))</f>
        <v/>
      </c>
      <c r="O10" s="65">
        <f>IF(L10="",-1,L10+ROW()/1000000000)</f>
        <v/>
      </c>
      <c r="Q10" s="6" t="inlineStr">
        <is>
          <t>MA ohne Krankheitstag</t>
        </is>
      </c>
      <c r="R10" s="34">
        <f>COUNTIFS($L$6:$L$205,0)</f>
        <v/>
      </c>
    </row>
    <row r="11">
      <c r="A11" s="49">
        <f>IF(Mitarbeiter!B11="","",Mitarbeiter!A11)</f>
        <v/>
      </c>
      <c r="B11" s="50">
        <f>IF(Mitarbeiter!B11="","",Mitarbeiter!B11)</f>
        <v/>
      </c>
      <c r="C11" s="7">
        <f>IF(Mitarbeiter!B11="","",Mitarbeiter!G11)</f>
        <v/>
      </c>
      <c r="D11" s="58">
        <f>IF(Mitarbeiter!B11="","",Mitarbeiter!H11)</f>
        <v/>
      </c>
      <c r="E11" s="58">
        <f>IF(Mitarbeiter!B11="","",'Ist-Stunden'!O11)</f>
        <v/>
      </c>
      <c r="F11" s="58">
        <f>IF(B11="","",Krankheitstage!AE11)</f>
        <v/>
      </c>
      <c r="G11" s="62">
        <f>IF(B11="","",Krankheitstage!P11)</f>
        <v/>
      </c>
      <c r="H11" s="62">
        <f>IF(B11="","",Krankheitstage!AC11)</f>
        <v/>
      </c>
      <c r="I11" s="62">
        <f>IF(B11="","",Krankheitstage!AD11)</f>
        <v/>
      </c>
      <c r="J11" s="36">
        <f>IF(B11="","",SUMPRODUCT(((Krankheitstage!D11:O11+Krankheitstage!Q11:AB11)&gt;0)*1))</f>
        <v/>
      </c>
      <c r="K11" s="63">
        <f>IF(B11="","",IF(N(D11)&gt;0,F11/D11,""))</f>
        <v/>
      </c>
      <c r="L11" s="40">
        <f>IF(B11="","",IF(N(E11)&gt;0,IF(Einstellungen!$C$10="Ja",F11/E11,F11/(E11+F11)),""))</f>
        <v/>
      </c>
      <c r="M11" s="64">
        <f>IF(L11="","",RANK(L11,$L$6:$L$205,0))</f>
        <v/>
      </c>
      <c r="N11" s="57">
        <f>IF(B11="","",IF(L11="","keine Ist-Std.",IF(L11&lt;=Einstellungen!$C$7,"unauffällig",IF(L11&lt;=Einstellungen!$C$8,"auffällig","kritisch"))))</f>
        <v/>
      </c>
      <c r="O11" s="65">
        <f>IF(L11="",-1,L11+ROW()/1000000000)</f>
        <v/>
      </c>
      <c r="Q11" s="6" t="inlineStr">
        <is>
          <t>MA unauffällig</t>
        </is>
      </c>
      <c r="R11" s="34">
        <f>COUNTIF($N$6:$N$205,"unauffällig")</f>
        <v/>
      </c>
    </row>
    <row r="12">
      <c r="A12" s="49">
        <f>IF(Mitarbeiter!B12="","",Mitarbeiter!A12)</f>
        <v/>
      </c>
      <c r="B12" s="50">
        <f>IF(Mitarbeiter!B12="","",Mitarbeiter!B12)</f>
        <v/>
      </c>
      <c r="C12" s="7">
        <f>IF(Mitarbeiter!B12="","",Mitarbeiter!G12)</f>
        <v/>
      </c>
      <c r="D12" s="58">
        <f>IF(Mitarbeiter!B12="","",Mitarbeiter!H12)</f>
        <v/>
      </c>
      <c r="E12" s="58">
        <f>IF(Mitarbeiter!B12="","",'Ist-Stunden'!O12)</f>
        <v/>
      </c>
      <c r="F12" s="58">
        <f>IF(B12="","",Krankheitstage!AE12)</f>
        <v/>
      </c>
      <c r="G12" s="62">
        <f>IF(B12="","",Krankheitstage!P12)</f>
        <v/>
      </c>
      <c r="H12" s="62">
        <f>IF(B12="","",Krankheitstage!AC12)</f>
        <v/>
      </c>
      <c r="I12" s="62">
        <f>IF(B12="","",Krankheitstage!AD12)</f>
        <v/>
      </c>
      <c r="J12" s="36">
        <f>IF(B12="","",SUMPRODUCT(((Krankheitstage!D12:O12+Krankheitstage!Q12:AB12)&gt;0)*1))</f>
        <v/>
      </c>
      <c r="K12" s="63">
        <f>IF(B12="","",IF(N(D12)&gt;0,F12/D12,""))</f>
        <v/>
      </c>
      <c r="L12" s="40">
        <f>IF(B12="","",IF(N(E12)&gt;0,IF(Einstellungen!$C$10="Ja",F12/E12,F12/(E12+F12)),""))</f>
        <v/>
      </c>
      <c r="M12" s="64">
        <f>IF(L12="","",RANK(L12,$L$6:$L$205,0))</f>
        <v/>
      </c>
      <c r="N12" s="57">
        <f>IF(B12="","",IF(L12="","keine Ist-Std.",IF(L12&lt;=Einstellungen!$C$7,"unauffällig",IF(L12&lt;=Einstellungen!$C$8,"auffällig","kritisch"))))</f>
        <v/>
      </c>
      <c r="O12" s="65">
        <f>IF(L12="",-1,L12+ROW()/1000000000)</f>
        <v/>
      </c>
      <c r="Q12" s="6" t="inlineStr">
        <is>
          <t>MA auffällig</t>
        </is>
      </c>
      <c r="R12" s="34">
        <f>COUNTIF($N$6:$N$205,"auffällig")</f>
        <v/>
      </c>
    </row>
    <row r="13">
      <c r="A13" s="49">
        <f>IF(Mitarbeiter!B13="","",Mitarbeiter!A13)</f>
        <v/>
      </c>
      <c r="B13" s="50">
        <f>IF(Mitarbeiter!B13="","",Mitarbeiter!B13)</f>
        <v/>
      </c>
      <c r="C13" s="7">
        <f>IF(Mitarbeiter!B13="","",Mitarbeiter!G13)</f>
        <v/>
      </c>
      <c r="D13" s="58">
        <f>IF(Mitarbeiter!B13="","",Mitarbeiter!H13)</f>
        <v/>
      </c>
      <c r="E13" s="58">
        <f>IF(Mitarbeiter!B13="","",'Ist-Stunden'!O13)</f>
        <v/>
      </c>
      <c r="F13" s="58">
        <f>IF(B13="","",Krankheitstage!AE13)</f>
        <v/>
      </c>
      <c r="G13" s="62">
        <f>IF(B13="","",Krankheitstage!P13)</f>
        <v/>
      </c>
      <c r="H13" s="62">
        <f>IF(B13="","",Krankheitstage!AC13)</f>
        <v/>
      </c>
      <c r="I13" s="62">
        <f>IF(B13="","",Krankheitstage!AD13)</f>
        <v/>
      </c>
      <c r="J13" s="36">
        <f>IF(B13="","",SUMPRODUCT(((Krankheitstage!D13:O13+Krankheitstage!Q13:AB13)&gt;0)*1))</f>
        <v/>
      </c>
      <c r="K13" s="63">
        <f>IF(B13="","",IF(N(D13)&gt;0,F13/D13,""))</f>
        <v/>
      </c>
      <c r="L13" s="40">
        <f>IF(B13="","",IF(N(E13)&gt;0,IF(Einstellungen!$C$10="Ja",F13/E13,F13/(E13+F13)),""))</f>
        <v/>
      </c>
      <c r="M13" s="64">
        <f>IF(L13="","",RANK(L13,$L$6:$L$205,0))</f>
        <v/>
      </c>
      <c r="N13" s="57">
        <f>IF(B13="","",IF(L13="","keine Ist-Std.",IF(L13&lt;=Einstellungen!$C$7,"unauffällig",IF(L13&lt;=Einstellungen!$C$8,"auffällig","kritisch"))))</f>
        <v/>
      </c>
      <c r="O13" s="65">
        <f>IF(L13="",-1,L13+ROW()/1000000000)</f>
        <v/>
      </c>
      <c r="Q13" s="6" t="inlineStr">
        <is>
          <t>MA kritisch</t>
        </is>
      </c>
      <c r="R13" s="34">
        <f>COUNTIF($N$6:$N$205,"kritisch")</f>
        <v/>
      </c>
    </row>
    <row r="14">
      <c r="A14" s="49">
        <f>IF(Mitarbeiter!B14="","",Mitarbeiter!A14)</f>
        <v/>
      </c>
      <c r="B14" s="50">
        <f>IF(Mitarbeiter!B14="","",Mitarbeiter!B14)</f>
        <v/>
      </c>
      <c r="C14" s="7">
        <f>IF(Mitarbeiter!B14="","",Mitarbeiter!G14)</f>
        <v/>
      </c>
      <c r="D14" s="58">
        <f>IF(Mitarbeiter!B14="","",Mitarbeiter!H14)</f>
        <v/>
      </c>
      <c r="E14" s="58">
        <f>IF(Mitarbeiter!B14="","",'Ist-Stunden'!O14)</f>
        <v/>
      </c>
      <c r="F14" s="58">
        <f>IF(B14="","",Krankheitstage!AE14)</f>
        <v/>
      </c>
      <c r="G14" s="62">
        <f>IF(B14="","",Krankheitstage!P14)</f>
        <v/>
      </c>
      <c r="H14" s="62">
        <f>IF(B14="","",Krankheitstage!AC14)</f>
        <v/>
      </c>
      <c r="I14" s="62">
        <f>IF(B14="","",Krankheitstage!AD14)</f>
        <v/>
      </c>
      <c r="J14" s="36">
        <f>IF(B14="","",SUMPRODUCT(((Krankheitstage!D14:O14+Krankheitstage!Q14:AB14)&gt;0)*1))</f>
        <v/>
      </c>
      <c r="K14" s="63">
        <f>IF(B14="","",IF(N(D14)&gt;0,F14/D14,""))</f>
        <v/>
      </c>
      <c r="L14" s="40">
        <f>IF(B14="","",IF(N(E14)&gt;0,IF(Einstellungen!$C$10="Ja",F14/E14,F14/(E14+F14)),""))</f>
        <v/>
      </c>
      <c r="M14" s="64">
        <f>IF(L14="","",RANK(L14,$L$6:$L$205,0))</f>
        <v/>
      </c>
      <c r="N14" s="57">
        <f>IF(B14="","",IF(L14="","keine Ist-Std.",IF(L14&lt;=Einstellungen!$C$7,"unauffällig",IF(L14&lt;=Einstellungen!$C$8,"auffällig","kritisch"))))</f>
        <v/>
      </c>
      <c r="O14" s="65">
        <f>IF(L14="",-1,L14+ROW()/1000000000)</f>
        <v/>
      </c>
      <c r="Q14" s="6" t="inlineStr">
        <is>
          <t>MA ohne Ist-Stunden</t>
        </is>
      </c>
      <c r="R14" s="34">
        <f>COUNTIF($N$6:$N$205,"keine Ist-Std.")</f>
        <v/>
      </c>
    </row>
    <row r="15">
      <c r="A15" s="49">
        <f>IF(Mitarbeiter!B15="","",Mitarbeiter!A15)</f>
        <v/>
      </c>
      <c r="B15" s="50">
        <f>IF(Mitarbeiter!B15="","",Mitarbeiter!B15)</f>
        <v/>
      </c>
      <c r="C15" s="7">
        <f>IF(Mitarbeiter!B15="","",Mitarbeiter!G15)</f>
        <v/>
      </c>
      <c r="D15" s="58">
        <f>IF(Mitarbeiter!B15="","",Mitarbeiter!H15)</f>
        <v/>
      </c>
      <c r="E15" s="58">
        <f>IF(Mitarbeiter!B15="","",'Ist-Stunden'!O15)</f>
        <v/>
      </c>
      <c r="F15" s="58">
        <f>IF(B15="","",Krankheitstage!AE15)</f>
        <v/>
      </c>
      <c r="G15" s="62">
        <f>IF(B15="","",Krankheitstage!P15)</f>
        <v/>
      </c>
      <c r="H15" s="62">
        <f>IF(B15="","",Krankheitstage!AC15)</f>
        <v/>
      </c>
      <c r="I15" s="62">
        <f>IF(B15="","",Krankheitstage!AD15)</f>
        <v/>
      </c>
      <c r="J15" s="36">
        <f>IF(B15="","",SUMPRODUCT(((Krankheitstage!D15:O15+Krankheitstage!Q15:AB15)&gt;0)*1))</f>
        <v/>
      </c>
      <c r="K15" s="63">
        <f>IF(B15="","",IF(N(D15)&gt;0,F15/D15,""))</f>
        <v/>
      </c>
      <c r="L15" s="40">
        <f>IF(B15="","",IF(N(E15)&gt;0,IF(Einstellungen!$C$10="Ja",F15/E15,F15/(E15+F15)),""))</f>
        <v/>
      </c>
      <c r="M15" s="64">
        <f>IF(L15="","",RANK(L15,$L$6:$L$205,0))</f>
        <v/>
      </c>
      <c r="N15" s="57">
        <f>IF(B15="","",IF(L15="","keine Ist-Std.",IF(L15&lt;=Einstellungen!$C$7,"unauffällig",IF(L15&lt;=Einstellungen!$C$8,"auffällig","kritisch"))))</f>
        <v/>
      </c>
      <c r="O15" s="65">
        <f>IF(L15="",-1,L15+ROW()/1000000000)</f>
        <v/>
      </c>
      <c r="Q15" s="6" t="inlineStr">
        <is>
          <t>Krankstunden gesamt</t>
        </is>
      </c>
      <c r="R15" s="66">
        <f>SUM(F6:F205)</f>
        <v/>
      </c>
    </row>
    <row r="16">
      <c r="A16" s="49">
        <f>IF(Mitarbeiter!B16="","",Mitarbeiter!A16)</f>
        <v/>
      </c>
      <c r="B16" s="50">
        <f>IF(Mitarbeiter!B16="","",Mitarbeiter!B16)</f>
        <v/>
      </c>
      <c r="C16" s="7">
        <f>IF(Mitarbeiter!B16="","",Mitarbeiter!G16)</f>
        <v/>
      </c>
      <c r="D16" s="58">
        <f>IF(Mitarbeiter!B16="","",Mitarbeiter!H16)</f>
        <v/>
      </c>
      <c r="E16" s="58">
        <f>IF(Mitarbeiter!B16="","",'Ist-Stunden'!O16)</f>
        <v/>
      </c>
      <c r="F16" s="58">
        <f>IF(B16="","",Krankheitstage!AE16)</f>
        <v/>
      </c>
      <c r="G16" s="62">
        <f>IF(B16="","",Krankheitstage!P16)</f>
        <v/>
      </c>
      <c r="H16" s="62">
        <f>IF(B16="","",Krankheitstage!AC16)</f>
        <v/>
      </c>
      <c r="I16" s="62">
        <f>IF(B16="","",Krankheitstage!AD16)</f>
        <v/>
      </c>
      <c r="J16" s="36">
        <f>IF(B16="","",SUMPRODUCT(((Krankheitstage!D16:O16+Krankheitstage!Q16:AB16)&gt;0)*1))</f>
        <v/>
      </c>
      <c r="K16" s="63">
        <f>IF(B16="","",IF(N(D16)&gt;0,F16/D16,""))</f>
        <v/>
      </c>
      <c r="L16" s="40">
        <f>IF(B16="","",IF(N(E16)&gt;0,IF(Einstellungen!$C$10="Ja",F16/E16,F16/(E16+F16)),""))</f>
        <v/>
      </c>
      <c r="M16" s="64">
        <f>IF(L16="","",RANK(L16,$L$6:$L$205,0))</f>
        <v/>
      </c>
      <c r="N16" s="57">
        <f>IF(B16="","",IF(L16="","keine Ist-Std.",IF(L16&lt;=Einstellungen!$C$7,"unauffällig",IF(L16&lt;=Einstellungen!$C$8,"auffällig","kritisch"))))</f>
        <v/>
      </c>
      <c r="O16" s="65">
        <f>IF(L16="",-1,L16+ROW()/1000000000)</f>
        <v/>
      </c>
      <c r="Q16" s="6" t="inlineStr">
        <is>
          <t>Krankheitstage gesamt</t>
        </is>
      </c>
      <c r="R16" s="34">
        <f>SUM(I6:I205)</f>
        <v/>
      </c>
    </row>
    <row r="17">
      <c r="A17" s="49">
        <f>IF(Mitarbeiter!B17="","",Mitarbeiter!A17)</f>
        <v/>
      </c>
      <c r="B17" s="50">
        <f>IF(Mitarbeiter!B17="","",Mitarbeiter!B17)</f>
        <v/>
      </c>
      <c r="C17" s="7">
        <f>IF(Mitarbeiter!B17="","",Mitarbeiter!G17)</f>
        <v/>
      </c>
      <c r="D17" s="58">
        <f>IF(Mitarbeiter!B17="","",Mitarbeiter!H17)</f>
        <v/>
      </c>
      <c r="E17" s="58">
        <f>IF(Mitarbeiter!B17="","",'Ist-Stunden'!O17)</f>
        <v/>
      </c>
      <c r="F17" s="58">
        <f>IF(B17="","",Krankheitstage!AE17)</f>
        <v/>
      </c>
      <c r="G17" s="62">
        <f>IF(B17="","",Krankheitstage!P17)</f>
        <v/>
      </c>
      <c r="H17" s="62">
        <f>IF(B17="","",Krankheitstage!AC17)</f>
        <v/>
      </c>
      <c r="I17" s="62">
        <f>IF(B17="","",Krankheitstage!AD17)</f>
        <v/>
      </c>
      <c r="J17" s="36">
        <f>IF(B17="","",SUMPRODUCT(((Krankheitstage!D17:O17+Krankheitstage!Q17:AB17)&gt;0)*1))</f>
        <v/>
      </c>
      <c r="K17" s="63">
        <f>IF(B17="","",IF(N(D17)&gt;0,F17/D17,""))</f>
        <v/>
      </c>
      <c r="L17" s="40">
        <f>IF(B17="","",IF(N(E17)&gt;0,IF(Einstellungen!$C$10="Ja",F17/E17,F17/(E17+F17)),""))</f>
        <v/>
      </c>
      <c r="M17" s="64">
        <f>IF(L17="","",RANK(L17,$L$6:$L$205,0))</f>
        <v/>
      </c>
      <c r="N17" s="57">
        <f>IF(B17="","",IF(L17="","keine Ist-Std.",IF(L17&lt;=Einstellungen!$C$7,"unauffällig",IF(L17&lt;=Einstellungen!$C$8,"auffällig","kritisch"))))</f>
        <v/>
      </c>
      <c r="O17" s="65">
        <f>IF(L17="",-1,L17+ROW()/1000000000)</f>
        <v/>
      </c>
    </row>
    <row r="18">
      <c r="A18" s="49">
        <f>IF(Mitarbeiter!B18="","",Mitarbeiter!A18)</f>
        <v/>
      </c>
      <c r="B18" s="50">
        <f>IF(Mitarbeiter!B18="","",Mitarbeiter!B18)</f>
        <v/>
      </c>
      <c r="C18" s="7">
        <f>IF(Mitarbeiter!B18="","",Mitarbeiter!G18)</f>
        <v/>
      </c>
      <c r="D18" s="58">
        <f>IF(Mitarbeiter!B18="","",Mitarbeiter!H18)</f>
        <v/>
      </c>
      <c r="E18" s="58">
        <f>IF(Mitarbeiter!B18="","",'Ist-Stunden'!O18)</f>
        <v/>
      </c>
      <c r="F18" s="58">
        <f>IF(B18="","",Krankheitstage!AE18)</f>
        <v/>
      </c>
      <c r="G18" s="62">
        <f>IF(B18="","",Krankheitstage!P18)</f>
        <v/>
      </c>
      <c r="H18" s="62">
        <f>IF(B18="","",Krankheitstage!AC18)</f>
        <v/>
      </c>
      <c r="I18" s="62">
        <f>IF(B18="","",Krankheitstage!AD18)</f>
        <v/>
      </c>
      <c r="J18" s="36">
        <f>IF(B18="","",SUMPRODUCT(((Krankheitstage!D18:O18+Krankheitstage!Q18:AB18)&gt;0)*1))</f>
        <v/>
      </c>
      <c r="K18" s="63">
        <f>IF(B18="","",IF(N(D18)&gt;0,F18/D18,""))</f>
        <v/>
      </c>
      <c r="L18" s="40">
        <f>IF(B18="","",IF(N(E18)&gt;0,IF(Einstellungen!$C$10="Ja",F18/E18,F18/(E18+F18)),""))</f>
        <v/>
      </c>
      <c r="M18" s="64">
        <f>IF(L18="","",RANK(L18,$L$6:$L$205,0))</f>
        <v/>
      </c>
      <c r="N18" s="57">
        <f>IF(B18="","",IF(L18="","keine Ist-Std.",IF(L18&lt;=Einstellungen!$C$7,"unauffällig",IF(L18&lt;=Einstellungen!$C$8,"auffällig","kritisch"))))</f>
        <v/>
      </c>
      <c r="O18" s="65">
        <f>IF(L18="",-1,L18+ROW()/1000000000)</f>
        <v/>
      </c>
      <c r="Q18" s="42" t="inlineStr">
        <is>
          <t>Bewertung</t>
        </is>
      </c>
      <c r="R18" s="21" t="inlineStr">
        <is>
          <t>Anzahl MA</t>
        </is>
      </c>
    </row>
    <row r="19">
      <c r="A19" s="49">
        <f>IF(Mitarbeiter!B19="","",Mitarbeiter!A19)</f>
        <v/>
      </c>
      <c r="B19" s="50">
        <f>IF(Mitarbeiter!B19="","",Mitarbeiter!B19)</f>
        <v/>
      </c>
      <c r="C19" s="7">
        <f>IF(Mitarbeiter!B19="","",Mitarbeiter!G19)</f>
        <v/>
      </c>
      <c r="D19" s="58">
        <f>IF(Mitarbeiter!B19="","",Mitarbeiter!H19)</f>
        <v/>
      </c>
      <c r="E19" s="58">
        <f>IF(Mitarbeiter!B19="","",'Ist-Stunden'!O19)</f>
        <v/>
      </c>
      <c r="F19" s="58">
        <f>IF(B19="","",Krankheitstage!AE19)</f>
        <v/>
      </c>
      <c r="G19" s="62">
        <f>IF(B19="","",Krankheitstage!P19)</f>
        <v/>
      </c>
      <c r="H19" s="62">
        <f>IF(B19="","",Krankheitstage!AC19)</f>
        <v/>
      </c>
      <c r="I19" s="62">
        <f>IF(B19="","",Krankheitstage!AD19)</f>
        <v/>
      </c>
      <c r="J19" s="36">
        <f>IF(B19="","",SUMPRODUCT(((Krankheitstage!D19:O19+Krankheitstage!Q19:AB19)&gt;0)*1))</f>
        <v/>
      </c>
      <c r="K19" s="63">
        <f>IF(B19="","",IF(N(D19)&gt;0,F19/D19,""))</f>
        <v/>
      </c>
      <c r="L19" s="40">
        <f>IF(B19="","",IF(N(E19)&gt;0,IF(Einstellungen!$C$10="Ja",F19/E19,F19/(E19+F19)),""))</f>
        <v/>
      </c>
      <c r="M19" s="64">
        <f>IF(L19="","",RANK(L19,$L$6:$L$205,0))</f>
        <v/>
      </c>
      <c r="N19" s="57">
        <f>IF(B19="","",IF(L19="","keine Ist-Std.",IF(L19&lt;=Einstellungen!$C$7,"unauffällig",IF(L19&lt;=Einstellungen!$C$8,"auffällig","kritisch"))))</f>
        <v/>
      </c>
      <c r="O19" s="65">
        <f>IF(L19="",-1,L19+ROW()/1000000000)</f>
        <v/>
      </c>
      <c r="Q19" s="6" t="inlineStr">
        <is>
          <t>unauffällig</t>
        </is>
      </c>
      <c r="R19" s="34">
        <f>R11</f>
        <v/>
      </c>
    </row>
    <row r="20">
      <c r="A20" s="49">
        <f>IF(Mitarbeiter!B20="","",Mitarbeiter!A20)</f>
        <v/>
      </c>
      <c r="B20" s="50">
        <f>IF(Mitarbeiter!B20="","",Mitarbeiter!B20)</f>
        <v/>
      </c>
      <c r="C20" s="7">
        <f>IF(Mitarbeiter!B20="","",Mitarbeiter!G20)</f>
        <v/>
      </c>
      <c r="D20" s="58">
        <f>IF(Mitarbeiter!B20="","",Mitarbeiter!H20)</f>
        <v/>
      </c>
      <c r="E20" s="58">
        <f>IF(Mitarbeiter!B20="","",'Ist-Stunden'!O20)</f>
        <v/>
      </c>
      <c r="F20" s="58">
        <f>IF(B20="","",Krankheitstage!AE20)</f>
        <v/>
      </c>
      <c r="G20" s="62">
        <f>IF(B20="","",Krankheitstage!P20)</f>
        <v/>
      </c>
      <c r="H20" s="62">
        <f>IF(B20="","",Krankheitstage!AC20)</f>
        <v/>
      </c>
      <c r="I20" s="62">
        <f>IF(B20="","",Krankheitstage!AD20)</f>
        <v/>
      </c>
      <c r="J20" s="36">
        <f>IF(B20="","",SUMPRODUCT(((Krankheitstage!D20:O20+Krankheitstage!Q20:AB20)&gt;0)*1))</f>
        <v/>
      </c>
      <c r="K20" s="63">
        <f>IF(B20="","",IF(N(D20)&gt;0,F20/D20,""))</f>
        <v/>
      </c>
      <c r="L20" s="40">
        <f>IF(B20="","",IF(N(E20)&gt;0,IF(Einstellungen!$C$10="Ja",F20/E20,F20/(E20+F20)),""))</f>
        <v/>
      </c>
      <c r="M20" s="64">
        <f>IF(L20="","",RANK(L20,$L$6:$L$205,0))</f>
        <v/>
      </c>
      <c r="N20" s="57">
        <f>IF(B20="","",IF(L20="","keine Ist-Std.",IF(L20&lt;=Einstellungen!$C$7,"unauffällig",IF(L20&lt;=Einstellungen!$C$8,"auffällig","kritisch"))))</f>
        <v/>
      </c>
      <c r="O20" s="65">
        <f>IF(L20="",-1,L20+ROW()/1000000000)</f>
        <v/>
      </c>
      <c r="Q20" s="6" t="inlineStr">
        <is>
          <t>auffällig</t>
        </is>
      </c>
      <c r="R20" s="34">
        <f>R12</f>
        <v/>
      </c>
    </row>
    <row r="21">
      <c r="A21" s="49">
        <f>IF(Mitarbeiter!B21="","",Mitarbeiter!A21)</f>
        <v/>
      </c>
      <c r="B21" s="50">
        <f>IF(Mitarbeiter!B21="","",Mitarbeiter!B21)</f>
        <v/>
      </c>
      <c r="C21" s="7">
        <f>IF(Mitarbeiter!B21="","",Mitarbeiter!G21)</f>
        <v/>
      </c>
      <c r="D21" s="58">
        <f>IF(Mitarbeiter!B21="","",Mitarbeiter!H21)</f>
        <v/>
      </c>
      <c r="E21" s="58">
        <f>IF(Mitarbeiter!B21="","",'Ist-Stunden'!O21)</f>
        <v/>
      </c>
      <c r="F21" s="58">
        <f>IF(B21="","",Krankheitstage!AE21)</f>
        <v/>
      </c>
      <c r="G21" s="62">
        <f>IF(B21="","",Krankheitstage!P21)</f>
        <v/>
      </c>
      <c r="H21" s="62">
        <f>IF(B21="","",Krankheitstage!AC21)</f>
        <v/>
      </c>
      <c r="I21" s="62">
        <f>IF(B21="","",Krankheitstage!AD21)</f>
        <v/>
      </c>
      <c r="J21" s="36">
        <f>IF(B21="","",SUMPRODUCT(((Krankheitstage!D21:O21+Krankheitstage!Q21:AB21)&gt;0)*1))</f>
        <v/>
      </c>
      <c r="K21" s="63">
        <f>IF(B21="","",IF(N(D21)&gt;0,F21/D21,""))</f>
        <v/>
      </c>
      <c r="L21" s="40">
        <f>IF(B21="","",IF(N(E21)&gt;0,IF(Einstellungen!$C$10="Ja",F21/E21,F21/(E21+F21)),""))</f>
        <v/>
      </c>
      <c r="M21" s="64">
        <f>IF(L21="","",RANK(L21,$L$6:$L$205,0))</f>
        <v/>
      </c>
      <c r="N21" s="57">
        <f>IF(B21="","",IF(L21="","keine Ist-Std.",IF(L21&lt;=Einstellungen!$C$7,"unauffällig",IF(L21&lt;=Einstellungen!$C$8,"auffällig","kritisch"))))</f>
        <v/>
      </c>
      <c r="O21" s="65">
        <f>IF(L21="",-1,L21+ROW()/1000000000)</f>
        <v/>
      </c>
      <c r="Q21" s="6" t="inlineStr">
        <is>
          <t>kritisch</t>
        </is>
      </c>
      <c r="R21" s="34">
        <f>R13</f>
        <v/>
      </c>
    </row>
    <row r="22">
      <c r="A22" s="49">
        <f>IF(Mitarbeiter!B22="","",Mitarbeiter!A22)</f>
        <v/>
      </c>
      <c r="B22" s="50">
        <f>IF(Mitarbeiter!B22="","",Mitarbeiter!B22)</f>
        <v/>
      </c>
      <c r="C22" s="7">
        <f>IF(Mitarbeiter!B22="","",Mitarbeiter!G22)</f>
        <v/>
      </c>
      <c r="D22" s="58">
        <f>IF(Mitarbeiter!B22="","",Mitarbeiter!H22)</f>
        <v/>
      </c>
      <c r="E22" s="58">
        <f>IF(Mitarbeiter!B22="","",'Ist-Stunden'!O22)</f>
        <v/>
      </c>
      <c r="F22" s="58">
        <f>IF(B22="","",Krankheitstage!AE22)</f>
        <v/>
      </c>
      <c r="G22" s="62">
        <f>IF(B22="","",Krankheitstage!P22)</f>
        <v/>
      </c>
      <c r="H22" s="62">
        <f>IF(B22="","",Krankheitstage!AC22)</f>
        <v/>
      </c>
      <c r="I22" s="62">
        <f>IF(B22="","",Krankheitstage!AD22)</f>
        <v/>
      </c>
      <c r="J22" s="36">
        <f>IF(B22="","",SUMPRODUCT(((Krankheitstage!D22:O22+Krankheitstage!Q22:AB22)&gt;0)*1))</f>
        <v/>
      </c>
      <c r="K22" s="63">
        <f>IF(B22="","",IF(N(D22)&gt;0,F22/D22,""))</f>
        <v/>
      </c>
      <c r="L22" s="40">
        <f>IF(B22="","",IF(N(E22)&gt;0,IF(Einstellungen!$C$10="Ja",F22/E22,F22/(E22+F22)),""))</f>
        <v/>
      </c>
      <c r="M22" s="64">
        <f>IF(L22="","",RANK(L22,$L$6:$L$205,0))</f>
        <v/>
      </c>
      <c r="N22" s="57">
        <f>IF(B22="","",IF(L22="","keine Ist-Std.",IF(L22&lt;=Einstellungen!$C$7,"unauffällig",IF(L22&lt;=Einstellungen!$C$8,"auffällig","kritisch"))))</f>
        <v/>
      </c>
      <c r="O22" s="65">
        <f>IF(L22="",-1,L22+ROW()/1000000000)</f>
        <v/>
      </c>
    </row>
    <row r="23">
      <c r="A23" s="49">
        <f>IF(Mitarbeiter!B23="","",Mitarbeiter!A23)</f>
        <v/>
      </c>
      <c r="B23" s="50">
        <f>IF(Mitarbeiter!B23="","",Mitarbeiter!B23)</f>
        <v/>
      </c>
      <c r="C23" s="7">
        <f>IF(Mitarbeiter!B23="","",Mitarbeiter!G23)</f>
        <v/>
      </c>
      <c r="D23" s="58">
        <f>IF(Mitarbeiter!B23="","",Mitarbeiter!H23)</f>
        <v/>
      </c>
      <c r="E23" s="58">
        <f>IF(Mitarbeiter!B23="","",'Ist-Stunden'!O23)</f>
        <v/>
      </c>
      <c r="F23" s="58">
        <f>IF(B23="","",Krankheitstage!AE23)</f>
        <v/>
      </c>
      <c r="G23" s="62">
        <f>IF(B23="","",Krankheitstage!P23)</f>
        <v/>
      </c>
      <c r="H23" s="62">
        <f>IF(B23="","",Krankheitstage!AC23)</f>
        <v/>
      </c>
      <c r="I23" s="62">
        <f>IF(B23="","",Krankheitstage!AD23)</f>
        <v/>
      </c>
      <c r="J23" s="36">
        <f>IF(B23="","",SUMPRODUCT(((Krankheitstage!D23:O23+Krankheitstage!Q23:AB23)&gt;0)*1))</f>
        <v/>
      </c>
      <c r="K23" s="63">
        <f>IF(B23="","",IF(N(D23)&gt;0,F23/D23,""))</f>
        <v/>
      </c>
      <c r="L23" s="40">
        <f>IF(B23="","",IF(N(E23)&gt;0,IF(Einstellungen!$C$10="Ja",F23/E23,F23/(E23+F23)),""))</f>
        <v/>
      </c>
      <c r="M23" s="64">
        <f>IF(L23="","",RANK(L23,$L$6:$L$205,0))</f>
        <v/>
      </c>
      <c r="N23" s="57">
        <f>IF(B23="","",IF(L23="","keine Ist-Std.",IF(L23&lt;=Einstellungen!$C$7,"unauffällig",IF(L23&lt;=Einstellungen!$C$8,"auffällig","kritisch"))))</f>
        <v/>
      </c>
      <c r="O23" s="65">
        <f>IF(L23="",-1,L23+ROW()/1000000000)</f>
        <v/>
      </c>
    </row>
    <row r="24">
      <c r="A24" s="49">
        <f>IF(Mitarbeiter!B24="","",Mitarbeiter!A24)</f>
        <v/>
      </c>
      <c r="B24" s="50">
        <f>IF(Mitarbeiter!B24="","",Mitarbeiter!B24)</f>
        <v/>
      </c>
      <c r="C24" s="7">
        <f>IF(Mitarbeiter!B24="","",Mitarbeiter!G24)</f>
        <v/>
      </c>
      <c r="D24" s="58">
        <f>IF(Mitarbeiter!B24="","",Mitarbeiter!H24)</f>
        <v/>
      </c>
      <c r="E24" s="58">
        <f>IF(Mitarbeiter!B24="","",'Ist-Stunden'!O24)</f>
        <v/>
      </c>
      <c r="F24" s="58">
        <f>IF(B24="","",Krankheitstage!AE24)</f>
        <v/>
      </c>
      <c r="G24" s="62">
        <f>IF(B24="","",Krankheitstage!P24)</f>
        <v/>
      </c>
      <c r="H24" s="62">
        <f>IF(B24="","",Krankheitstage!AC24)</f>
        <v/>
      </c>
      <c r="I24" s="62">
        <f>IF(B24="","",Krankheitstage!AD24)</f>
        <v/>
      </c>
      <c r="J24" s="36">
        <f>IF(B24="","",SUMPRODUCT(((Krankheitstage!D24:O24+Krankheitstage!Q24:AB24)&gt;0)*1))</f>
        <v/>
      </c>
      <c r="K24" s="63">
        <f>IF(B24="","",IF(N(D24)&gt;0,F24/D24,""))</f>
        <v/>
      </c>
      <c r="L24" s="40">
        <f>IF(B24="","",IF(N(E24)&gt;0,IF(Einstellungen!$C$10="Ja",F24/E24,F24/(E24+F24)),""))</f>
        <v/>
      </c>
      <c r="M24" s="64">
        <f>IF(L24="","",RANK(L24,$L$6:$L$205,0))</f>
        <v/>
      </c>
      <c r="N24" s="57">
        <f>IF(B24="","",IF(L24="","keine Ist-Std.",IF(L24&lt;=Einstellungen!$C$7,"unauffällig",IF(L24&lt;=Einstellungen!$C$8,"auffällig","kritisch"))))</f>
        <v/>
      </c>
      <c r="O24" s="65">
        <f>IF(L24="",-1,L24+ROW()/1000000000)</f>
        <v/>
      </c>
      <c r="Q24" s="2" t="inlineStr">
        <is>
          <t>Top 10 – höchste Krankenquote (Ist)</t>
        </is>
      </c>
      <c r="R24" s="2" t="n"/>
      <c r="S24" s="2" t="n"/>
      <c r="T24" s="2" t="n"/>
    </row>
    <row r="25" ht="18" customHeight="1">
      <c r="A25" s="49">
        <f>IF(Mitarbeiter!B25="","",Mitarbeiter!A25)</f>
        <v/>
      </c>
      <c r="B25" s="50">
        <f>IF(Mitarbeiter!B25="","",Mitarbeiter!B25)</f>
        <v/>
      </c>
      <c r="C25" s="7">
        <f>IF(Mitarbeiter!B25="","",Mitarbeiter!G25)</f>
        <v/>
      </c>
      <c r="D25" s="58">
        <f>IF(Mitarbeiter!B25="","",Mitarbeiter!H25)</f>
        <v/>
      </c>
      <c r="E25" s="58">
        <f>IF(Mitarbeiter!B25="","",'Ist-Stunden'!O25)</f>
        <v/>
      </c>
      <c r="F25" s="58">
        <f>IF(B25="","",Krankheitstage!AE25)</f>
        <v/>
      </c>
      <c r="G25" s="62">
        <f>IF(B25="","",Krankheitstage!P25)</f>
        <v/>
      </c>
      <c r="H25" s="62">
        <f>IF(B25="","",Krankheitstage!AC25)</f>
        <v/>
      </c>
      <c r="I25" s="62">
        <f>IF(B25="","",Krankheitstage!AD25)</f>
        <v/>
      </c>
      <c r="J25" s="36">
        <f>IF(B25="","",SUMPRODUCT(((Krankheitstage!D25:O25+Krankheitstage!Q25:AB25)&gt;0)*1))</f>
        <v/>
      </c>
      <c r="K25" s="63">
        <f>IF(B25="","",IF(N(D25)&gt;0,F25/D25,""))</f>
        <v/>
      </c>
      <c r="L25" s="40">
        <f>IF(B25="","",IF(N(E25)&gt;0,IF(Einstellungen!$C$10="Ja",F25/E25,F25/(E25+F25)),""))</f>
        <v/>
      </c>
      <c r="M25" s="64">
        <f>IF(L25="","",RANK(L25,$L$6:$L$205,0))</f>
        <v/>
      </c>
      <c r="N25" s="57">
        <f>IF(B25="","",IF(L25="","keine Ist-Std.",IF(L25&lt;=Einstellungen!$C$7,"unauffällig",IF(L25&lt;=Einstellungen!$C$8,"auffällig","kritisch"))))</f>
        <v/>
      </c>
      <c r="O25" s="65">
        <f>IF(L25="",-1,L25+ROW()/1000000000)</f>
        <v/>
      </c>
      <c r="Q25" s="21" t="inlineStr">
        <is>
          <t>Rang</t>
        </is>
      </c>
      <c r="R25" s="21" t="inlineStr">
        <is>
          <t>Name</t>
        </is>
      </c>
      <c r="S25" s="21" t="inlineStr">
        <is>
          <t>Quote</t>
        </is>
      </c>
      <c r="T25" s="21" t="inlineStr">
        <is>
          <t>Krankstd.</t>
        </is>
      </c>
    </row>
    <row r="26">
      <c r="A26" s="49">
        <f>IF(Mitarbeiter!B26="","",Mitarbeiter!A26)</f>
        <v/>
      </c>
      <c r="B26" s="50">
        <f>IF(Mitarbeiter!B26="","",Mitarbeiter!B26)</f>
        <v/>
      </c>
      <c r="C26" s="7">
        <f>IF(Mitarbeiter!B26="","",Mitarbeiter!G26)</f>
        <v/>
      </c>
      <c r="D26" s="58">
        <f>IF(Mitarbeiter!B26="","",Mitarbeiter!H26)</f>
        <v/>
      </c>
      <c r="E26" s="58">
        <f>IF(Mitarbeiter!B26="","",'Ist-Stunden'!O26)</f>
        <v/>
      </c>
      <c r="F26" s="58">
        <f>IF(B26="","",Krankheitstage!AE26)</f>
        <v/>
      </c>
      <c r="G26" s="62">
        <f>IF(B26="","",Krankheitstage!P26)</f>
        <v/>
      </c>
      <c r="H26" s="62">
        <f>IF(B26="","",Krankheitstage!AC26)</f>
        <v/>
      </c>
      <c r="I26" s="62">
        <f>IF(B26="","",Krankheitstage!AD26)</f>
        <v/>
      </c>
      <c r="J26" s="36">
        <f>IF(B26="","",SUMPRODUCT(((Krankheitstage!D26:O26+Krankheitstage!Q26:AB26)&gt;0)*1))</f>
        <v/>
      </c>
      <c r="K26" s="63">
        <f>IF(B26="","",IF(N(D26)&gt;0,F26/D26,""))</f>
        <v/>
      </c>
      <c r="L26" s="40">
        <f>IF(B26="","",IF(N(E26)&gt;0,IF(Einstellungen!$C$10="Ja",F26/E26,F26/(E26+F26)),""))</f>
        <v/>
      </c>
      <c r="M26" s="64">
        <f>IF(L26="","",RANK(L26,$L$6:$L$205,0))</f>
        <v/>
      </c>
      <c r="N26" s="57">
        <f>IF(B26="","",IF(L26="","keine Ist-Std.",IF(L26&lt;=Einstellungen!$C$7,"unauffällig",IF(L26&lt;=Einstellungen!$C$8,"auffällig","kritisch"))))</f>
        <v/>
      </c>
      <c r="O26" s="65">
        <f>IF(L26="",-1,L26+ROW()/1000000000)</f>
        <v/>
      </c>
      <c r="Q26" s="57" t="n">
        <v>1</v>
      </c>
      <c r="R26" s="6">
        <f>IFERROR(IF(LARGE($O$6:$O$205,1)&gt;0,INDEX($B$6:$B$205,MATCH(LARGE($O$6:$O$205,1),$O$6:$O$205,0)),""),"")</f>
        <v/>
      </c>
      <c r="S26" s="40">
        <f>IFERROR(IF(LARGE($O$6:$O$205,1)&gt;0,INDEX($L$6:$L$205,MATCH(LARGE($O$6:$O$205,1),$O$6:$O$205,0)),""),"")</f>
        <v/>
      </c>
      <c r="T26" s="59">
        <f>IFERROR(IF(LARGE($O$6:$O$205,1)&gt;0,INDEX($F$6:$F$205,MATCH(LARGE($O$6:$O$205,1),$O$6:$O$205,0)),""),"")</f>
        <v/>
      </c>
    </row>
    <row r="27">
      <c r="A27" s="49">
        <f>IF(Mitarbeiter!B27="","",Mitarbeiter!A27)</f>
        <v/>
      </c>
      <c r="B27" s="50">
        <f>IF(Mitarbeiter!B27="","",Mitarbeiter!B27)</f>
        <v/>
      </c>
      <c r="C27" s="7">
        <f>IF(Mitarbeiter!B27="","",Mitarbeiter!G27)</f>
        <v/>
      </c>
      <c r="D27" s="58">
        <f>IF(Mitarbeiter!B27="","",Mitarbeiter!H27)</f>
        <v/>
      </c>
      <c r="E27" s="58">
        <f>IF(Mitarbeiter!B27="","",'Ist-Stunden'!O27)</f>
        <v/>
      </c>
      <c r="F27" s="58">
        <f>IF(B27="","",Krankheitstage!AE27)</f>
        <v/>
      </c>
      <c r="G27" s="62">
        <f>IF(B27="","",Krankheitstage!P27)</f>
        <v/>
      </c>
      <c r="H27" s="62">
        <f>IF(B27="","",Krankheitstage!AC27)</f>
        <v/>
      </c>
      <c r="I27" s="62">
        <f>IF(B27="","",Krankheitstage!AD27)</f>
        <v/>
      </c>
      <c r="J27" s="36">
        <f>IF(B27="","",SUMPRODUCT(((Krankheitstage!D27:O27+Krankheitstage!Q27:AB27)&gt;0)*1))</f>
        <v/>
      </c>
      <c r="K27" s="63">
        <f>IF(B27="","",IF(N(D27)&gt;0,F27/D27,""))</f>
        <v/>
      </c>
      <c r="L27" s="40">
        <f>IF(B27="","",IF(N(E27)&gt;0,IF(Einstellungen!$C$10="Ja",F27/E27,F27/(E27+F27)),""))</f>
        <v/>
      </c>
      <c r="M27" s="64">
        <f>IF(L27="","",RANK(L27,$L$6:$L$205,0))</f>
        <v/>
      </c>
      <c r="N27" s="57">
        <f>IF(B27="","",IF(L27="","keine Ist-Std.",IF(L27&lt;=Einstellungen!$C$7,"unauffällig",IF(L27&lt;=Einstellungen!$C$8,"auffällig","kritisch"))))</f>
        <v/>
      </c>
      <c r="O27" s="65">
        <f>IF(L27="",-1,L27+ROW()/1000000000)</f>
        <v/>
      </c>
      <c r="Q27" s="57" t="n">
        <v>2</v>
      </c>
      <c r="R27" s="6">
        <f>IFERROR(IF(LARGE($O$6:$O$205,2)&gt;0,INDEX($B$6:$B$205,MATCH(LARGE($O$6:$O$205,2),$O$6:$O$205,0)),""),"")</f>
        <v/>
      </c>
      <c r="S27" s="40">
        <f>IFERROR(IF(LARGE($O$6:$O$205,2)&gt;0,INDEX($L$6:$L$205,MATCH(LARGE($O$6:$O$205,2),$O$6:$O$205,0)),""),"")</f>
        <v/>
      </c>
      <c r="T27" s="59">
        <f>IFERROR(IF(LARGE($O$6:$O$205,2)&gt;0,INDEX($F$6:$F$205,MATCH(LARGE($O$6:$O$205,2),$O$6:$O$205,0)),""),"")</f>
        <v/>
      </c>
    </row>
    <row r="28">
      <c r="A28" s="49">
        <f>IF(Mitarbeiter!B28="","",Mitarbeiter!A28)</f>
        <v/>
      </c>
      <c r="B28" s="50">
        <f>IF(Mitarbeiter!B28="","",Mitarbeiter!B28)</f>
        <v/>
      </c>
      <c r="C28" s="7">
        <f>IF(Mitarbeiter!B28="","",Mitarbeiter!G28)</f>
        <v/>
      </c>
      <c r="D28" s="58">
        <f>IF(Mitarbeiter!B28="","",Mitarbeiter!H28)</f>
        <v/>
      </c>
      <c r="E28" s="58">
        <f>IF(Mitarbeiter!B28="","",'Ist-Stunden'!O28)</f>
        <v/>
      </c>
      <c r="F28" s="58">
        <f>IF(B28="","",Krankheitstage!AE28)</f>
        <v/>
      </c>
      <c r="G28" s="62">
        <f>IF(B28="","",Krankheitstage!P28)</f>
        <v/>
      </c>
      <c r="H28" s="62">
        <f>IF(B28="","",Krankheitstage!AC28)</f>
        <v/>
      </c>
      <c r="I28" s="62">
        <f>IF(B28="","",Krankheitstage!AD28)</f>
        <v/>
      </c>
      <c r="J28" s="36">
        <f>IF(B28="","",SUMPRODUCT(((Krankheitstage!D28:O28+Krankheitstage!Q28:AB28)&gt;0)*1))</f>
        <v/>
      </c>
      <c r="K28" s="63">
        <f>IF(B28="","",IF(N(D28)&gt;0,F28/D28,""))</f>
        <v/>
      </c>
      <c r="L28" s="40">
        <f>IF(B28="","",IF(N(E28)&gt;0,IF(Einstellungen!$C$10="Ja",F28/E28,F28/(E28+F28)),""))</f>
        <v/>
      </c>
      <c r="M28" s="64">
        <f>IF(L28="","",RANK(L28,$L$6:$L$205,0))</f>
        <v/>
      </c>
      <c r="N28" s="57">
        <f>IF(B28="","",IF(L28="","keine Ist-Std.",IF(L28&lt;=Einstellungen!$C$7,"unauffällig",IF(L28&lt;=Einstellungen!$C$8,"auffällig","kritisch"))))</f>
        <v/>
      </c>
      <c r="O28" s="65">
        <f>IF(L28="",-1,L28+ROW()/1000000000)</f>
        <v/>
      </c>
      <c r="Q28" s="57" t="n">
        <v>3</v>
      </c>
      <c r="R28" s="6">
        <f>IFERROR(IF(LARGE($O$6:$O$205,3)&gt;0,INDEX($B$6:$B$205,MATCH(LARGE($O$6:$O$205,3),$O$6:$O$205,0)),""),"")</f>
        <v/>
      </c>
      <c r="S28" s="40">
        <f>IFERROR(IF(LARGE($O$6:$O$205,3)&gt;0,INDEX($L$6:$L$205,MATCH(LARGE($O$6:$O$205,3),$O$6:$O$205,0)),""),"")</f>
        <v/>
      </c>
      <c r="T28" s="59">
        <f>IFERROR(IF(LARGE($O$6:$O$205,3)&gt;0,INDEX($F$6:$F$205,MATCH(LARGE($O$6:$O$205,3),$O$6:$O$205,0)),""),"")</f>
        <v/>
      </c>
    </row>
    <row r="29">
      <c r="A29" s="49">
        <f>IF(Mitarbeiter!B29="","",Mitarbeiter!A29)</f>
        <v/>
      </c>
      <c r="B29" s="50">
        <f>IF(Mitarbeiter!B29="","",Mitarbeiter!B29)</f>
        <v/>
      </c>
      <c r="C29" s="7">
        <f>IF(Mitarbeiter!B29="","",Mitarbeiter!G29)</f>
        <v/>
      </c>
      <c r="D29" s="58">
        <f>IF(Mitarbeiter!B29="","",Mitarbeiter!H29)</f>
        <v/>
      </c>
      <c r="E29" s="58">
        <f>IF(Mitarbeiter!B29="","",'Ist-Stunden'!O29)</f>
        <v/>
      </c>
      <c r="F29" s="58">
        <f>IF(B29="","",Krankheitstage!AE29)</f>
        <v/>
      </c>
      <c r="G29" s="62">
        <f>IF(B29="","",Krankheitstage!P29)</f>
        <v/>
      </c>
      <c r="H29" s="62">
        <f>IF(B29="","",Krankheitstage!AC29)</f>
        <v/>
      </c>
      <c r="I29" s="62">
        <f>IF(B29="","",Krankheitstage!AD29)</f>
        <v/>
      </c>
      <c r="J29" s="36">
        <f>IF(B29="","",SUMPRODUCT(((Krankheitstage!D29:O29+Krankheitstage!Q29:AB29)&gt;0)*1))</f>
        <v/>
      </c>
      <c r="K29" s="63">
        <f>IF(B29="","",IF(N(D29)&gt;0,F29/D29,""))</f>
        <v/>
      </c>
      <c r="L29" s="40">
        <f>IF(B29="","",IF(N(E29)&gt;0,IF(Einstellungen!$C$10="Ja",F29/E29,F29/(E29+F29)),""))</f>
        <v/>
      </c>
      <c r="M29" s="64">
        <f>IF(L29="","",RANK(L29,$L$6:$L$205,0))</f>
        <v/>
      </c>
      <c r="N29" s="57">
        <f>IF(B29="","",IF(L29="","keine Ist-Std.",IF(L29&lt;=Einstellungen!$C$7,"unauffällig",IF(L29&lt;=Einstellungen!$C$8,"auffällig","kritisch"))))</f>
        <v/>
      </c>
      <c r="O29" s="65">
        <f>IF(L29="",-1,L29+ROW()/1000000000)</f>
        <v/>
      </c>
      <c r="Q29" s="57" t="n">
        <v>4</v>
      </c>
      <c r="R29" s="6">
        <f>IFERROR(IF(LARGE($O$6:$O$205,4)&gt;0,INDEX($B$6:$B$205,MATCH(LARGE($O$6:$O$205,4),$O$6:$O$205,0)),""),"")</f>
        <v/>
      </c>
      <c r="S29" s="40">
        <f>IFERROR(IF(LARGE($O$6:$O$205,4)&gt;0,INDEX($L$6:$L$205,MATCH(LARGE($O$6:$O$205,4),$O$6:$O$205,0)),""),"")</f>
        <v/>
      </c>
      <c r="T29" s="59">
        <f>IFERROR(IF(LARGE($O$6:$O$205,4)&gt;0,INDEX($F$6:$F$205,MATCH(LARGE($O$6:$O$205,4),$O$6:$O$205,0)),""),"")</f>
        <v/>
      </c>
    </row>
    <row r="30">
      <c r="A30" s="49">
        <f>IF(Mitarbeiter!B30="","",Mitarbeiter!A30)</f>
        <v/>
      </c>
      <c r="B30" s="50">
        <f>IF(Mitarbeiter!B30="","",Mitarbeiter!B30)</f>
        <v/>
      </c>
      <c r="C30" s="7">
        <f>IF(Mitarbeiter!B30="","",Mitarbeiter!G30)</f>
        <v/>
      </c>
      <c r="D30" s="58">
        <f>IF(Mitarbeiter!B30="","",Mitarbeiter!H30)</f>
        <v/>
      </c>
      <c r="E30" s="58">
        <f>IF(Mitarbeiter!B30="","",'Ist-Stunden'!O30)</f>
        <v/>
      </c>
      <c r="F30" s="58">
        <f>IF(B30="","",Krankheitstage!AE30)</f>
        <v/>
      </c>
      <c r="G30" s="62">
        <f>IF(B30="","",Krankheitstage!P30)</f>
        <v/>
      </c>
      <c r="H30" s="62">
        <f>IF(B30="","",Krankheitstage!AC30)</f>
        <v/>
      </c>
      <c r="I30" s="62">
        <f>IF(B30="","",Krankheitstage!AD30)</f>
        <v/>
      </c>
      <c r="J30" s="36">
        <f>IF(B30="","",SUMPRODUCT(((Krankheitstage!D30:O30+Krankheitstage!Q30:AB30)&gt;0)*1))</f>
        <v/>
      </c>
      <c r="K30" s="63">
        <f>IF(B30="","",IF(N(D30)&gt;0,F30/D30,""))</f>
        <v/>
      </c>
      <c r="L30" s="40">
        <f>IF(B30="","",IF(N(E30)&gt;0,IF(Einstellungen!$C$10="Ja",F30/E30,F30/(E30+F30)),""))</f>
        <v/>
      </c>
      <c r="M30" s="64">
        <f>IF(L30="","",RANK(L30,$L$6:$L$205,0))</f>
        <v/>
      </c>
      <c r="N30" s="57">
        <f>IF(B30="","",IF(L30="","keine Ist-Std.",IF(L30&lt;=Einstellungen!$C$7,"unauffällig",IF(L30&lt;=Einstellungen!$C$8,"auffällig","kritisch"))))</f>
        <v/>
      </c>
      <c r="O30" s="65">
        <f>IF(L30="",-1,L30+ROW()/1000000000)</f>
        <v/>
      </c>
      <c r="Q30" s="57" t="n">
        <v>5</v>
      </c>
      <c r="R30" s="6">
        <f>IFERROR(IF(LARGE($O$6:$O$205,5)&gt;0,INDEX($B$6:$B$205,MATCH(LARGE($O$6:$O$205,5),$O$6:$O$205,0)),""),"")</f>
        <v/>
      </c>
      <c r="S30" s="40">
        <f>IFERROR(IF(LARGE($O$6:$O$205,5)&gt;0,INDEX($L$6:$L$205,MATCH(LARGE($O$6:$O$205,5),$O$6:$O$205,0)),""),"")</f>
        <v/>
      </c>
      <c r="T30" s="59">
        <f>IFERROR(IF(LARGE($O$6:$O$205,5)&gt;0,INDEX($F$6:$F$205,MATCH(LARGE($O$6:$O$205,5),$O$6:$O$205,0)),""),"")</f>
        <v/>
      </c>
    </row>
    <row r="31">
      <c r="A31" s="49">
        <f>IF(Mitarbeiter!B31="","",Mitarbeiter!A31)</f>
        <v/>
      </c>
      <c r="B31" s="50">
        <f>IF(Mitarbeiter!B31="","",Mitarbeiter!B31)</f>
        <v/>
      </c>
      <c r="C31" s="7">
        <f>IF(Mitarbeiter!B31="","",Mitarbeiter!G31)</f>
        <v/>
      </c>
      <c r="D31" s="58">
        <f>IF(Mitarbeiter!B31="","",Mitarbeiter!H31)</f>
        <v/>
      </c>
      <c r="E31" s="58">
        <f>IF(Mitarbeiter!B31="","",'Ist-Stunden'!O31)</f>
        <v/>
      </c>
      <c r="F31" s="58">
        <f>IF(B31="","",Krankheitstage!AE31)</f>
        <v/>
      </c>
      <c r="G31" s="62">
        <f>IF(B31="","",Krankheitstage!P31)</f>
        <v/>
      </c>
      <c r="H31" s="62">
        <f>IF(B31="","",Krankheitstage!AC31)</f>
        <v/>
      </c>
      <c r="I31" s="62">
        <f>IF(B31="","",Krankheitstage!AD31)</f>
        <v/>
      </c>
      <c r="J31" s="36">
        <f>IF(B31="","",SUMPRODUCT(((Krankheitstage!D31:O31+Krankheitstage!Q31:AB31)&gt;0)*1))</f>
        <v/>
      </c>
      <c r="K31" s="63">
        <f>IF(B31="","",IF(N(D31)&gt;0,F31/D31,""))</f>
        <v/>
      </c>
      <c r="L31" s="40">
        <f>IF(B31="","",IF(N(E31)&gt;0,IF(Einstellungen!$C$10="Ja",F31/E31,F31/(E31+F31)),""))</f>
        <v/>
      </c>
      <c r="M31" s="64">
        <f>IF(L31="","",RANK(L31,$L$6:$L$205,0))</f>
        <v/>
      </c>
      <c r="N31" s="57">
        <f>IF(B31="","",IF(L31="","keine Ist-Std.",IF(L31&lt;=Einstellungen!$C$7,"unauffällig",IF(L31&lt;=Einstellungen!$C$8,"auffällig","kritisch"))))</f>
        <v/>
      </c>
      <c r="O31" s="65">
        <f>IF(L31="",-1,L31+ROW()/1000000000)</f>
        <v/>
      </c>
      <c r="Q31" s="57" t="n">
        <v>6</v>
      </c>
      <c r="R31" s="6">
        <f>IFERROR(IF(LARGE($O$6:$O$205,6)&gt;0,INDEX($B$6:$B$205,MATCH(LARGE($O$6:$O$205,6),$O$6:$O$205,0)),""),"")</f>
        <v/>
      </c>
      <c r="S31" s="40">
        <f>IFERROR(IF(LARGE($O$6:$O$205,6)&gt;0,INDEX($L$6:$L$205,MATCH(LARGE($O$6:$O$205,6),$O$6:$O$205,0)),""),"")</f>
        <v/>
      </c>
      <c r="T31" s="59">
        <f>IFERROR(IF(LARGE($O$6:$O$205,6)&gt;0,INDEX($F$6:$F$205,MATCH(LARGE($O$6:$O$205,6),$O$6:$O$205,0)),""),"")</f>
        <v/>
      </c>
    </row>
    <row r="32">
      <c r="A32" s="49">
        <f>IF(Mitarbeiter!B32="","",Mitarbeiter!A32)</f>
        <v/>
      </c>
      <c r="B32" s="50">
        <f>IF(Mitarbeiter!B32="","",Mitarbeiter!B32)</f>
        <v/>
      </c>
      <c r="C32" s="7">
        <f>IF(Mitarbeiter!B32="","",Mitarbeiter!G32)</f>
        <v/>
      </c>
      <c r="D32" s="58">
        <f>IF(Mitarbeiter!B32="","",Mitarbeiter!H32)</f>
        <v/>
      </c>
      <c r="E32" s="58">
        <f>IF(Mitarbeiter!B32="","",'Ist-Stunden'!O32)</f>
        <v/>
      </c>
      <c r="F32" s="58">
        <f>IF(B32="","",Krankheitstage!AE32)</f>
        <v/>
      </c>
      <c r="G32" s="62">
        <f>IF(B32="","",Krankheitstage!P32)</f>
        <v/>
      </c>
      <c r="H32" s="62">
        <f>IF(B32="","",Krankheitstage!AC32)</f>
        <v/>
      </c>
      <c r="I32" s="62">
        <f>IF(B32="","",Krankheitstage!AD32)</f>
        <v/>
      </c>
      <c r="J32" s="36">
        <f>IF(B32="","",SUMPRODUCT(((Krankheitstage!D32:O32+Krankheitstage!Q32:AB32)&gt;0)*1))</f>
        <v/>
      </c>
      <c r="K32" s="63">
        <f>IF(B32="","",IF(N(D32)&gt;0,F32/D32,""))</f>
        <v/>
      </c>
      <c r="L32" s="40">
        <f>IF(B32="","",IF(N(E32)&gt;0,IF(Einstellungen!$C$10="Ja",F32/E32,F32/(E32+F32)),""))</f>
        <v/>
      </c>
      <c r="M32" s="64">
        <f>IF(L32="","",RANK(L32,$L$6:$L$205,0))</f>
        <v/>
      </c>
      <c r="N32" s="57">
        <f>IF(B32="","",IF(L32="","keine Ist-Std.",IF(L32&lt;=Einstellungen!$C$7,"unauffällig",IF(L32&lt;=Einstellungen!$C$8,"auffällig","kritisch"))))</f>
        <v/>
      </c>
      <c r="O32" s="65">
        <f>IF(L32="",-1,L32+ROW()/1000000000)</f>
        <v/>
      </c>
      <c r="Q32" s="57" t="n">
        <v>7</v>
      </c>
      <c r="R32" s="6">
        <f>IFERROR(IF(LARGE($O$6:$O$205,7)&gt;0,INDEX($B$6:$B$205,MATCH(LARGE($O$6:$O$205,7),$O$6:$O$205,0)),""),"")</f>
        <v/>
      </c>
      <c r="S32" s="40">
        <f>IFERROR(IF(LARGE($O$6:$O$205,7)&gt;0,INDEX($L$6:$L$205,MATCH(LARGE($O$6:$O$205,7),$O$6:$O$205,0)),""),"")</f>
        <v/>
      </c>
      <c r="T32" s="59">
        <f>IFERROR(IF(LARGE($O$6:$O$205,7)&gt;0,INDEX($F$6:$F$205,MATCH(LARGE($O$6:$O$205,7),$O$6:$O$205,0)),""),"")</f>
        <v/>
      </c>
    </row>
    <row r="33">
      <c r="A33" s="49">
        <f>IF(Mitarbeiter!B33="","",Mitarbeiter!A33)</f>
        <v/>
      </c>
      <c r="B33" s="50">
        <f>IF(Mitarbeiter!B33="","",Mitarbeiter!B33)</f>
        <v/>
      </c>
      <c r="C33" s="7">
        <f>IF(Mitarbeiter!B33="","",Mitarbeiter!G33)</f>
        <v/>
      </c>
      <c r="D33" s="58">
        <f>IF(Mitarbeiter!B33="","",Mitarbeiter!H33)</f>
        <v/>
      </c>
      <c r="E33" s="58">
        <f>IF(Mitarbeiter!B33="","",'Ist-Stunden'!O33)</f>
        <v/>
      </c>
      <c r="F33" s="58">
        <f>IF(B33="","",Krankheitstage!AE33)</f>
        <v/>
      </c>
      <c r="G33" s="62">
        <f>IF(B33="","",Krankheitstage!P33)</f>
        <v/>
      </c>
      <c r="H33" s="62">
        <f>IF(B33="","",Krankheitstage!AC33)</f>
        <v/>
      </c>
      <c r="I33" s="62">
        <f>IF(B33="","",Krankheitstage!AD33)</f>
        <v/>
      </c>
      <c r="J33" s="36">
        <f>IF(B33="","",SUMPRODUCT(((Krankheitstage!D33:O33+Krankheitstage!Q33:AB33)&gt;0)*1))</f>
        <v/>
      </c>
      <c r="K33" s="63">
        <f>IF(B33="","",IF(N(D33)&gt;0,F33/D33,""))</f>
        <v/>
      </c>
      <c r="L33" s="40">
        <f>IF(B33="","",IF(N(E33)&gt;0,IF(Einstellungen!$C$10="Ja",F33/E33,F33/(E33+F33)),""))</f>
        <v/>
      </c>
      <c r="M33" s="64">
        <f>IF(L33="","",RANK(L33,$L$6:$L$205,0))</f>
        <v/>
      </c>
      <c r="N33" s="57">
        <f>IF(B33="","",IF(L33="","keine Ist-Std.",IF(L33&lt;=Einstellungen!$C$7,"unauffällig",IF(L33&lt;=Einstellungen!$C$8,"auffällig","kritisch"))))</f>
        <v/>
      </c>
      <c r="O33" s="65">
        <f>IF(L33="",-1,L33+ROW()/1000000000)</f>
        <v/>
      </c>
      <c r="Q33" s="57" t="n">
        <v>8</v>
      </c>
      <c r="R33" s="6">
        <f>IFERROR(IF(LARGE($O$6:$O$205,8)&gt;0,INDEX($B$6:$B$205,MATCH(LARGE($O$6:$O$205,8),$O$6:$O$205,0)),""),"")</f>
        <v/>
      </c>
      <c r="S33" s="40">
        <f>IFERROR(IF(LARGE($O$6:$O$205,8)&gt;0,INDEX($L$6:$L$205,MATCH(LARGE($O$6:$O$205,8),$O$6:$O$205,0)),""),"")</f>
        <v/>
      </c>
      <c r="T33" s="59">
        <f>IFERROR(IF(LARGE($O$6:$O$205,8)&gt;0,INDEX($F$6:$F$205,MATCH(LARGE($O$6:$O$205,8),$O$6:$O$205,0)),""),"")</f>
        <v/>
      </c>
    </row>
    <row r="34">
      <c r="A34" s="49">
        <f>IF(Mitarbeiter!B34="","",Mitarbeiter!A34)</f>
        <v/>
      </c>
      <c r="B34" s="50">
        <f>IF(Mitarbeiter!B34="","",Mitarbeiter!B34)</f>
        <v/>
      </c>
      <c r="C34" s="7">
        <f>IF(Mitarbeiter!B34="","",Mitarbeiter!G34)</f>
        <v/>
      </c>
      <c r="D34" s="58">
        <f>IF(Mitarbeiter!B34="","",Mitarbeiter!H34)</f>
        <v/>
      </c>
      <c r="E34" s="58">
        <f>IF(Mitarbeiter!B34="","",'Ist-Stunden'!O34)</f>
        <v/>
      </c>
      <c r="F34" s="58">
        <f>IF(B34="","",Krankheitstage!AE34)</f>
        <v/>
      </c>
      <c r="G34" s="62">
        <f>IF(B34="","",Krankheitstage!P34)</f>
        <v/>
      </c>
      <c r="H34" s="62">
        <f>IF(B34="","",Krankheitstage!AC34)</f>
        <v/>
      </c>
      <c r="I34" s="62">
        <f>IF(B34="","",Krankheitstage!AD34)</f>
        <v/>
      </c>
      <c r="J34" s="36">
        <f>IF(B34="","",SUMPRODUCT(((Krankheitstage!D34:O34+Krankheitstage!Q34:AB34)&gt;0)*1))</f>
        <v/>
      </c>
      <c r="K34" s="63">
        <f>IF(B34="","",IF(N(D34)&gt;0,F34/D34,""))</f>
        <v/>
      </c>
      <c r="L34" s="40">
        <f>IF(B34="","",IF(N(E34)&gt;0,IF(Einstellungen!$C$10="Ja",F34/E34,F34/(E34+F34)),""))</f>
        <v/>
      </c>
      <c r="M34" s="64">
        <f>IF(L34="","",RANK(L34,$L$6:$L$205,0))</f>
        <v/>
      </c>
      <c r="N34" s="57">
        <f>IF(B34="","",IF(L34="","keine Ist-Std.",IF(L34&lt;=Einstellungen!$C$7,"unauffällig",IF(L34&lt;=Einstellungen!$C$8,"auffällig","kritisch"))))</f>
        <v/>
      </c>
      <c r="O34" s="65">
        <f>IF(L34="",-1,L34+ROW()/1000000000)</f>
        <v/>
      </c>
      <c r="Q34" s="57" t="n">
        <v>9</v>
      </c>
      <c r="R34" s="6">
        <f>IFERROR(IF(LARGE($O$6:$O$205,9)&gt;0,INDEX($B$6:$B$205,MATCH(LARGE($O$6:$O$205,9),$O$6:$O$205,0)),""),"")</f>
        <v/>
      </c>
      <c r="S34" s="40">
        <f>IFERROR(IF(LARGE($O$6:$O$205,9)&gt;0,INDEX($L$6:$L$205,MATCH(LARGE($O$6:$O$205,9),$O$6:$O$205,0)),""),"")</f>
        <v/>
      </c>
      <c r="T34" s="59">
        <f>IFERROR(IF(LARGE($O$6:$O$205,9)&gt;0,INDEX($F$6:$F$205,MATCH(LARGE($O$6:$O$205,9),$O$6:$O$205,0)),""),"")</f>
        <v/>
      </c>
    </row>
    <row r="35">
      <c r="A35" s="49">
        <f>IF(Mitarbeiter!B35="","",Mitarbeiter!A35)</f>
        <v/>
      </c>
      <c r="B35" s="50">
        <f>IF(Mitarbeiter!B35="","",Mitarbeiter!B35)</f>
        <v/>
      </c>
      <c r="C35" s="7">
        <f>IF(Mitarbeiter!B35="","",Mitarbeiter!G35)</f>
        <v/>
      </c>
      <c r="D35" s="58">
        <f>IF(Mitarbeiter!B35="","",Mitarbeiter!H35)</f>
        <v/>
      </c>
      <c r="E35" s="58">
        <f>IF(Mitarbeiter!B35="","",'Ist-Stunden'!O35)</f>
        <v/>
      </c>
      <c r="F35" s="58">
        <f>IF(B35="","",Krankheitstage!AE35)</f>
        <v/>
      </c>
      <c r="G35" s="62">
        <f>IF(B35="","",Krankheitstage!P35)</f>
        <v/>
      </c>
      <c r="H35" s="62">
        <f>IF(B35="","",Krankheitstage!AC35)</f>
        <v/>
      </c>
      <c r="I35" s="62">
        <f>IF(B35="","",Krankheitstage!AD35)</f>
        <v/>
      </c>
      <c r="J35" s="36">
        <f>IF(B35="","",SUMPRODUCT(((Krankheitstage!D35:O35+Krankheitstage!Q35:AB35)&gt;0)*1))</f>
        <v/>
      </c>
      <c r="K35" s="63">
        <f>IF(B35="","",IF(N(D35)&gt;0,F35/D35,""))</f>
        <v/>
      </c>
      <c r="L35" s="40">
        <f>IF(B35="","",IF(N(E35)&gt;0,IF(Einstellungen!$C$10="Ja",F35/E35,F35/(E35+F35)),""))</f>
        <v/>
      </c>
      <c r="M35" s="64">
        <f>IF(L35="","",RANK(L35,$L$6:$L$205,0))</f>
        <v/>
      </c>
      <c r="N35" s="57">
        <f>IF(B35="","",IF(L35="","keine Ist-Std.",IF(L35&lt;=Einstellungen!$C$7,"unauffällig",IF(L35&lt;=Einstellungen!$C$8,"auffällig","kritisch"))))</f>
        <v/>
      </c>
      <c r="O35" s="65">
        <f>IF(L35="",-1,L35+ROW()/1000000000)</f>
        <v/>
      </c>
      <c r="Q35" s="57" t="n">
        <v>10</v>
      </c>
      <c r="R35" s="6">
        <f>IFERROR(IF(LARGE($O$6:$O$205,10)&gt;0,INDEX($B$6:$B$205,MATCH(LARGE($O$6:$O$205,10),$O$6:$O$205,0)),""),"")</f>
        <v/>
      </c>
      <c r="S35" s="40">
        <f>IFERROR(IF(LARGE($O$6:$O$205,10)&gt;0,INDEX($L$6:$L$205,MATCH(LARGE($O$6:$O$205,10),$O$6:$O$205,0)),""),"")</f>
        <v/>
      </c>
      <c r="T35" s="59">
        <f>IFERROR(IF(LARGE($O$6:$O$205,10)&gt;0,INDEX($F$6:$F$205,MATCH(LARGE($O$6:$O$205,10),$O$6:$O$205,0)),""),"")</f>
        <v/>
      </c>
    </row>
    <row r="36">
      <c r="A36" s="49">
        <f>IF(Mitarbeiter!B36="","",Mitarbeiter!A36)</f>
        <v/>
      </c>
      <c r="B36" s="50">
        <f>IF(Mitarbeiter!B36="","",Mitarbeiter!B36)</f>
        <v/>
      </c>
      <c r="C36" s="7">
        <f>IF(Mitarbeiter!B36="","",Mitarbeiter!G36)</f>
        <v/>
      </c>
      <c r="D36" s="58">
        <f>IF(Mitarbeiter!B36="","",Mitarbeiter!H36)</f>
        <v/>
      </c>
      <c r="E36" s="58">
        <f>IF(Mitarbeiter!B36="","",'Ist-Stunden'!O36)</f>
        <v/>
      </c>
      <c r="F36" s="58">
        <f>IF(B36="","",Krankheitstage!AE36)</f>
        <v/>
      </c>
      <c r="G36" s="62">
        <f>IF(B36="","",Krankheitstage!P36)</f>
        <v/>
      </c>
      <c r="H36" s="62">
        <f>IF(B36="","",Krankheitstage!AC36)</f>
        <v/>
      </c>
      <c r="I36" s="62">
        <f>IF(B36="","",Krankheitstage!AD36)</f>
        <v/>
      </c>
      <c r="J36" s="36">
        <f>IF(B36="","",SUMPRODUCT(((Krankheitstage!D36:O36+Krankheitstage!Q36:AB36)&gt;0)*1))</f>
        <v/>
      </c>
      <c r="K36" s="63">
        <f>IF(B36="","",IF(N(D36)&gt;0,F36/D36,""))</f>
        <v/>
      </c>
      <c r="L36" s="40">
        <f>IF(B36="","",IF(N(E36)&gt;0,IF(Einstellungen!$C$10="Ja",F36/E36,F36/(E36+F36)),""))</f>
        <v/>
      </c>
      <c r="M36" s="64">
        <f>IF(L36="","",RANK(L36,$L$6:$L$205,0))</f>
        <v/>
      </c>
      <c r="N36" s="57">
        <f>IF(B36="","",IF(L36="","keine Ist-Std.",IF(L36&lt;=Einstellungen!$C$7,"unauffällig",IF(L36&lt;=Einstellungen!$C$8,"auffällig","kritisch"))))</f>
        <v/>
      </c>
      <c r="O36" s="65">
        <f>IF(L36="",-1,L36+ROW()/1000000000)</f>
        <v/>
      </c>
    </row>
    <row r="37">
      <c r="A37" s="49">
        <f>IF(Mitarbeiter!B37="","",Mitarbeiter!A37)</f>
        <v/>
      </c>
      <c r="B37" s="50">
        <f>IF(Mitarbeiter!B37="","",Mitarbeiter!B37)</f>
        <v/>
      </c>
      <c r="C37" s="7">
        <f>IF(Mitarbeiter!B37="","",Mitarbeiter!G37)</f>
        <v/>
      </c>
      <c r="D37" s="58">
        <f>IF(Mitarbeiter!B37="","",Mitarbeiter!H37)</f>
        <v/>
      </c>
      <c r="E37" s="58">
        <f>IF(Mitarbeiter!B37="","",'Ist-Stunden'!O37)</f>
        <v/>
      </c>
      <c r="F37" s="58">
        <f>IF(B37="","",Krankheitstage!AE37)</f>
        <v/>
      </c>
      <c r="G37" s="62">
        <f>IF(B37="","",Krankheitstage!P37)</f>
        <v/>
      </c>
      <c r="H37" s="62">
        <f>IF(B37="","",Krankheitstage!AC37)</f>
        <v/>
      </c>
      <c r="I37" s="62">
        <f>IF(B37="","",Krankheitstage!AD37)</f>
        <v/>
      </c>
      <c r="J37" s="36">
        <f>IF(B37="","",SUMPRODUCT(((Krankheitstage!D37:O37+Krankheitstage!Q37:AB37)&gt;0)*1))</f>
        <v/>
      </c>
      <c r="K37" s="63">
        <f>IF(B37="","",IF(N(D37)&gt;0,F37/D37,""))</f>
        <v/>
      </c>
      <c r="L37" s="40">
        <f>IF(B37="","",IF(N(E37)&gt;0,IF(Einstellungen!$C$10="Ja",F37/E37,F37/(E37+F37)),""))</f>
        <v/>
      </c>
      <c r="M37" s="64">
        <f>IF(L37="","",RANK(L37,$L$6:$L$205,0))</f>
        <v/>
      </c>
      <c r="N37" s="57">
        <f>IF(B37="","",IF(L37="","keine Ist-Std.",IF(L37&lt;=Einstellungen!$C$7,"unauffällig",IF(L37&lt;=Einstellungen!$C$8,"auffällig","kritisch"))))</f>
        <v/>
      </c>
      <c r="O37" s="65">
        <f>IF(L37="",-1,L37+ROW()/1000000000)</f>
        <v/>
      </c>
    </row>
    <row r="38">
      <c r="A38" s="49">
        <f>IF(Mitarbeiter!B38="","",Mitarbeiter!A38)</f>
        <v/>
      </c>
      <c r="B38" s="50">
        <f>IF(Mitarbeiter!B38="","",Mitarbeiter!B38)</f>
        <v/>
      </c>
      <c r="C38" s="7">
        <f>IF(Mitarbeiter!B38="","",Mitarbeiter!G38)</f>
        <v/>
      </c>
      <c r="D38" s="58">
        <f>IF(Mitarbeiter!B38="","",Mitarbeiter!H38)</f>
        <v/>
      </c>
      <c r="E38" s="58">
        <f>IF(Mitarbeiter!B38="","",'Ist-Stunden'!O38)</f>
        <v/>
      </c>
      <c r="F38" s="58">
        <f>IF(B38="","",Krankheitstage!AE38)</f>
        <v/>
      </c>
      <c r="G38" s="62">
        <f>IF(B38="","",Krankheitstage!P38)</f>
        <v/>
      </c>
      <c r="H38" s="62">
        <f>IF(B38="","",Krankheitstage!AC38)</f>
        <v/>
      </c>
      <c r="I38" s="62">
        <f>IF(B38="","",Krankheitstage!AD38)</f>
        <v/>
      </c>
      <c r="J38" s="36">
        <f>IF(B38="","",SUMPRODUCT(((Krankheitstage!D38:O38+Krankheitstage!Q38:AB38)&gt;0)*1))</f>
        <v/>
      </c>
      <c r="K38" s="63">
        <f>IF(B38="","",IF(N(D38)&gt;0,F38/D38,""))</f>
        <v/>
      </c>
      <c r="L38" s="40">
        <f>IF(B38="","",IF(N(E38)&gt;0,IF(Einstellungen!$C$10="Ja",F38/E38,F38/(E38+F38)),""))</f>
        <v/>
      </c>
      <c r="M38" s="64">
        <f>IF(L38="","",RANK(L38,$L$6:$L$205,0))</f>
        <v/>
      </c>
      <c r="N38" s="57">
        <f>IF(B38="","",IF(L38="","keine Ist-Std.",IF(L38&lt;=Einstellungen!$C$7,"unauffällig",IF(L38&lt;=Einstellungen!$C$8,"auffällig","kritisch"))))</f>
        <v/>
      </c>
      <c r="O38" s="65">
        <f>IF(L38="",-1,L38+ROW()/1000000000)</f>
        <v/>
      </c>
    </row>
    <row r="39">
      <c r="A39" s="49">
        <f>IF(Mitarbeiter!B39="","",Mitarbeiter!A39)</f>
        <v/>
      </c>
      <c r="B39" s="50">
        <f>IF(Mitarbeiter!B39="","",Mitarbeiter!B39)</f>
        <v/>
      </c>
      <c r="C39" s="7">
        <f>IF(Mitarbeiter!B39="","",Mitarbeiter!G39)</f>
        <v/>
      </c>
      <c r="D39" s="58">
        <f>IF(Mitarbeiter!B39="","",Mitarbeiter!H39)</f>
        <v/>
      </c>
      <c r="E39" s="58">
        <f>IF(Mitarbeiter!B39="","",'Ist-Stunden'!O39)</f>
        <v/>
      </c>
      <c r="F39" s="58">
        <f>IF(B39="","",Krankheitstage!AE39)</f>
        <v/>
      </c>
      <c r="G39" s="62">
        <f>IF(B39="","",Krankheitstage!P39)</f>
        <v/>
      </c>
      <c r="H39" s="62">
        <f>IF(B39="","",Krankheitstage!AC39)</f>
        <v/>
      </c>
      <c r="I39" s="62">
        <f>IF(B39="","",Krankheitstage!AD39)</f>
        <v/>
      </c>
      <c r="J39" s="36">
        <f>IF(B39="","",SUMPRODUCT(((Krankheitstage!D39:O39+Krankheitstage!Q39:AB39)&gt;0)*1))</f>
        <v/>
      </c>
      <c r="K39" s="63">
        <f>IF(B39="","",IF(N(D39)&gt;0,F39/D39,""))</f>
        <v/>
      </c>
      <c r="L39" s="40">
        <f>IF(B39="","",IF(N(E39)&gt;0,IF(Einstellungen!$C$10="Ja",F39/E39,F39/(E39+F39)),""))</f>
        <v/>
      </c>
      <c r="M39" s="64">
        <f>IF(L39="","",RANK(L39,$L$6:$L$205,0))</f>
        <v/>
      </c>
      <c r="N39" s="57">
        <f>IF(B39="","",IF(L39="","keine Ist-Std.",IF(L39&lt;=Einstellungen!$C$7,"unauffällig",IF(L39&lt;=Einstellungen!$C$8,"auffällig","kritisch"))))</f>
        <v/>
      </c>
      <c r="O39" s="65">
        <f>IF(L39="",-1,L39+ROW()/1000000000)</f>
        <v/>
      </c>
    </row>
    <row r="40">
      <c r="A40" s="49">
        <f>IF(Mitarbeiter!B40="","",Mitarbeiter!A40)</f>
        <v/>
      </c>
      <c r="B40" s="50">
        <f>IF(Mitarbeiter!B40="","",Mitarbeiter!B40)</f>
        <v/>
      </c>
      <c r="C40" s="7">
        <f>IF(Mitarbeiter!B40="","",Mitarbeiter!G40)</f>
        <v/>
      </c>
      <c r="D40" s="58">
        <f>IF(Mitarbeiter!B40="","",Mitarbeiter!H40)</f>
        <v/>
      </c>
      <c r="E40" s="58">
        <f>IF(Mitarbeiter!B40="","",'Ist-Stunden'!O40)</f>
        <v/>
      </c>
      <c r="F40" s="58">
        <f>IF(B40="","",Krankheitstage!AE40)</f>
        <v/>
      </c>
      <c r="G40" s="62">
        <f>IF(B40="","",Krankheitstage!P40)</f>
        <v/>
      </c>
      <c r="H40" s="62">
        <f>IF(B40="","",Krankheitstage!AC40)</f>
        <v/>
      </c>
      <c r="I40" s="62">
        <f>IF(B40="","",Krankheitstage!AD40)</f>
        <v/>
      </c>
      <c r="J40" s="36">
        <f>IF(B40="","",SUMPRODUCT(((Krankheitstage!D40:O40+Krankheitstage!Q40:AB40)&gt;0)*1))</f>
        <v/>
      </c>
      <c r="K40" s="63">
        <f>IF(B40="","",IF(N(D40)&gt;0,F40/D40,""))</f>
        <v/>
      </c>
      <c r="L40" s="40">
        <f>IF(B40="","",IF(N(E40)&gt;0,IF(Einstellungen!$C$10="Ja",F40/E40,F40/(E40+F40)),""))</f>
        <v/>
      </c>
      <c r="M40" s="64">
        <f>IF(L40="","",RANK(L40,$L$6:$L$205,0))</f>
        <v/>
      </c>
      <c r="N40" s="57">
        <f>IF(B40="","",IF(L40="","keine Ist-Std.",IF(L40&lt;=Einstellungen!$C$7,"unauffällig",IF(L40&lt;=Einstellungen!$C$8,"auffällig","kritisch"))))</f>
        <v/>
      </c>
      <c r="O40" s="65">
        <f>IF(L40="",-1,L40+ROW()/1000000000)</f>
        <v/>
      </c>
    </row>
    <row r="41">
      <c r="A41" s="49">
        <f>IF(Mitarbeiter!B41="","",Mitarbeiter!A41)</f>
        <v/>
      </c>
      <c r="B41" s="50">
        <f>IF(Mitarbeiter!B41="","",Mitarbeiter!B41)</f>
        <v/>
      </c>
      <c r="C41" s="7">
        <f>IF(Mitarbeiter!B41="","",Mitarbeiter!G41)</f>
        <v/>
      </c>
      <c r="D41" s="58">
        <f>IF(Mitarbeiter!B41="","",Mitarbeiter!H41)</f>
        <v/>
      </c>
      <c r="E41" s="58">
        <f>IF(Mitarbeiter!B41="","",'Ist-Stunden'!O41)</f>
        <v/>
      </c>
      <c r="F41" s="58">
        <f>IF(B41="","",Krankheitstage!AE41)</f>
        <v/>
      </c>
      <c r="G41" s="62">
        <f>IF(B41="","",Krankheitstage!P41)</f>
        <v/>
      </c>
      <c r="H41" s="62">
        <f>IF(B41="","",Krankheitstage!AC41)</f>
        <v/>
      </c>
      <c r="I41" s="62">
        <f>IF(B41="","",Krankheitstage!AD41)</f>
        <v/>
      </c>
      <c r="J41" s="36">
        <f>IF(B41="","",SUMPRODUCT(((Krankheitstage!D41:O41+Krankheitstage!Q41:AB41)&gt;0)*1))</f>
        <v/>
      </c>
      <c r="K41" s="63">
        <f>IF(B41="","",IF(N(D41)&gt;0,F41/D41,""))</f>
        <v/>
      </c>
      <c r="L41" s="40">
        <f>IF(B41="","",IF(N(E41)&gt;0,IF(Einstellungen!$C$10="Ja",F41/E41,F41/(E41+F41)),""))</f>
        <v/>
      </c>
      <c r="M41" s="64">
        <f>IF(L41="","",RANK(L41,$L$6:$L$205,0))</f>
        <v/>
      </c>
      <c r="N41" s="57">
        <f>IF(B41="","",IF(L41="","keine Ist-Std.",IF(L41&lt;=Einstellungen!$C$7,"unauffällig",IF(L41&lt;=Einstellungen!$C$8,"auffällig","kritisch"))))</f>
        <v/>
      </c>
      <c r="O41" s="65">
        <f>IF(L41="",-1,L41+ROW()/1000000000)</f>
        <v/>
      </c>
    </row>
    <row r="42">
      <c r="A42" s="49">
        <f>IF(Mitarbeiter!B42="","",Mitarbeiter!A42)</f>
        <v/>
      </c>
      <c r="B42" s="50">
        <f>IF(Mitarbeiter!B42="","",Mitarbeiter!B42)</f>
        <v/>
      </c>
      <c r="C42" s="7">
        <f>IF(Mitarbeiter!B42="","",Mitarbeiter!G42)</f>
        <v/>
      </c>
      <c r="D42" s="58">
        <f>IF(Mitarbeiter!B42="","",Mitarbeiter!H42)</f>
        <v/>
      </c>
      <c r="E42" s="58">
        <f>IF(Mitarbeiter!B42="","",'Ist-Stunden'!O42)</f>
        <v/>
      </c>
      <c r="F42" s="58">
        <f>IF(B42="","",Krankheitstage!AE42)</f>
        <v/>
      </c>
      <c r="G42" s="62">
        <f>IF(B42="","",Krankheitstage!P42)</f>
        <v/>
      </c>
      <c r="H42" s="62">
        <f>IF(B42="","",Krankheitstage!AC42)</f>
        <v/>
      </c>
      <c r="I42" s="62">
        <f>IF(B42="","",Krankheitstage!AD42)</f>
        <v/>
      </c>
      <c r="J42" s="36">
        <f>IF(B42="","",SUMPRODUCT(((Krankheitstage!D42:O42+Krankheitstage!Q42:AB42)&gt;0)*1))</f>
        <v/>
      </c>
      <c r="K42" s="63">
        <f>IF(B42="","",IF(N(D42)&gt;0,F42/D42,""))</f>
        <v/>
      </c>
      <c r="L42" s="40">
        <f>IF(B42="","",IF(N(E42)&gt;0,IF(Einstellungen!$C$10="Ja",F42/E42,F42/(E42+F42)),""))</f>
        <v/>
      </c>
      <c r="M42" s="64">
        <f>IF(L42="","",RANK(L42,$L$6:$L$205,0))</f>
        <v/>
      </c>
      <c r="N42" s="57">
        <f>IF(B42="","",IF(L42="","keine Ist-Std.",IF(L42&lt;=Einstellungen!$C$7,"unauffällig",IF(L42&lt;=Einstellungen!$C$8,"auffällig","kritisch"))))</f>
        <v/>
      </c>
      <c r="O42" s="65">
        <f>IF(L42="",-1,L42+ROW()/1000000000)</f>
        <v/>
      </c>
    </row>
    <row r="43">
      <c r="A43" s="49">
        <f>IF(Mitarbeiter!B43="","",Mitarbeiter!A43)</f>
        <v/>
      </c>
      <c r="B43" s="50">
        <f>IF(Mitarbeiter!B43="","",Mitarbeiter!B43)</f>
        <v/>
      </c>
      <c r="C43" s="7">
        <f>IF(Mitarbeiter!B43="","",Mitarbeiter!G43)</f>
        <v/>
      </c>
      <c r="D43" s="58">
        <f>IF(Mitarbeiter!B43="","",Mitarbeiter!H43)</f>
        <v/>
      </c>
      <c r="E43" s="58">
        <f>IF(Mitarbeiter!B43="","",'Ist-Stunden'!O43)</f>
        <v/>
      </c>
      <c r="F43" s="58">
        <f>IF(B43="","",Krankheitstage!AE43)</f>
        <v/>
      </c>
      <c r="G43" s="62">
        <f>IF(B43="","",Krankheitstage!P43)</f>
        <v/>
      </c>
      <c r="H43" s="62">
        <f>IF(B43="","",Krankheitstage!AC43)</f>
        <v/>
      </c>
      <c r="I43" s="62">
        <f>IF(B43="","",Krankheitstage!AD43)</f>
        <v/>
      </c>
      <c r="J43" s="36">
        <f>IF(B43="","",SUMPRODUCT(((Krankheitstage!D43:O43+Krankheitstage!Q43:AB43)&gt;0)*1))</f>
        <v/>
      </c>
      <c r="K43" s="63">
        <f>IF(B43="","",IF(N(D43)&gt;0,F43/D43,""))</f>
        <v/>
      </c>
      <c r="L43" s="40">
        <f>IF(B43="","",IF(N(E43)&gt;0,IF(Einstellungen!$C$10="Ja",F43/E43,F43/(E43+F43)),""))</f>
        <v/>
      </c>
      <c r="M43" s="64">
        <f>IF(L43="","",RANK(L43,$L$6:$L$205,0))</f>
        <v/>
      </c>
      <c r="N43" s="57">
        <f>IF(B43="","",IF(L43="","keine Ist-Std.",IF(L43&lt;=Einstellungen!$C$7,"unauffällig",IF(L43&lt;=Einstellungen!$C$8,"auffällig","kritisch"))))</f>
        <v/>
      </c>
      <c r="O43" s="65">
        <f>IF(L43="",-1,L43+ROW()/1000000000)</f>
        <v/>
      </c>
    </row>
    <row r="44">
      <c r="A44" s="49">
        <f>IF(Mitarbeiter!B44="","",Mitarbeiter!A44)</f>
        <v/>
      </c>
      <c r="B44" s="50">
        <f>IF(Mitarbeiter!B44="","",Mitarbeiter!B44)</f>
        <v/>
      </c>
      <c r="C44" s="7">
        <f>IF(Mitarbeiter!B44="","",Mitarbeiter!G44)</f>
        <v/>
      </c>
      <c r="D44" s="58">
        <f>IF(Mitarbeiter!B44="","",Mitarbeiter!H44)</f>
        <v/>
      </c>
      <c r="E44" s="58">
        <f>IF(Mitarbeiter!B44="","",'Ist-Stunden'!O44)</f>
        <v/>
      </c>
      <c r="F44" s="58">
        <f>IF(B44="","",Krankheitstage!AE44)</f>
        <v/>
      </c>
      <c r="G44" s="62">
        <f>IF(B44="","",Krankheitstage!P44)</f>
        <v/>
      </c>
      <c r="H44" s="62">
        <f>IF(B44="","",Krankheitstage!AC44)</f>
        <v/>
      </c>
      <c r="I44" s="62">
        <f>IF(B44="","",Krankheitstage!AD44)</f>
        <v/>
      </c>
      <c r="J44" s="36">
        <f>IF(B44="","",SUMPRODUCT(((Krankheitstage!D44:O44+Krankheitstage!Q44:AB44)&gt;0)*1))</f>
        <v/>
      </c>
      <c r="K44" s="63">
        <f>IF(B44="","",IF(N(D44)&gt;0,F44/D44,""))</f>
        <v/>
      </c>
      <c r="L44" s="40">
        <f>IF(B44="","",IF(N(E44)&gt;0,IF(Einstellungen!$C$10="Ja",F44/E44,F44/(E44+F44)),""))</f>
        <v/>
      </c>
      <c r="M44" s="64">
        <f>IF(L44="","",RANK(L44,$L$6:$L$205,0))</f>
        <v/>
      </c>
      <c r="N44" s="57">
        <f>IF(B44="","",IF(L44="","keine Ist-Std.",IF(L44&lt;=Einstellungen!$C$7,"unauffällig",IF(L44&lt;=Einstellungen!$C$8,"auffällig","kritisch"))))</f>
        <v/>
      </c>
      <c r="O44" s="65">
        <f>IF(L44="",-1,L44+ROW()/1000000000)</f>
        <v/>
      </c>
    </row>
    <row r="45">
      <c r="A45" s="49">
        <f>IF(Mitarbeiter!B45="","",Mitarbeiter!A45)</f>
        <v/>
      </c>
      <c r="B45" s="50">
        <f>IF(Mitarbeiter!B45="","",Mitarbeiter!B45)</f>
        <v/>
      </c>
      <c r="C45" s="7">
        <f>IF(Mitarbeiter!B45="","",Mitarbeiter!G45)</f>
        <v/>
      </c>
      <c r="D45" s="58">
        <f>IF(Mitarbeiter!B45="","",Mitarbeiter!H45)</f>
        <v/>
      </c>
      <c r="E45" s="58">
        <f>IF(Mitarbeiter!B45="","",'Ist-Stunden'!O45)</f>
        <v/>
      </c>
      <c r="F45" s="58">
        <f>IF(B45="","",Krankheitstage!AE45)</f>
        <v/>
      </c>
      <c r="G45" s="62">
        <f>IF(B45="","",Krankheitstage!P45)</f>
        <v/>
      </c>
      <c r="H45" s="62">
        <f>IF(B45="","",Krankheitstage!AC45)</f>
        <v/>
      </c>
      <c r="I45" s="62">
        <f>IF(B45="","",Krankheitstage!AD45)</f>
        <v/>
      </c>
      <c r="J45" s="36">
        <f>IF(B45="","",SUMPRODUCT(((Krankheitstage!D45:O45+Krankheitstage!Q45:AB45)&gt;0)*1))</f>
        <v/>
      </c>
      <c r="K45" s="63">
        <f>IF(B45="","",IF(N(D45)&gt;0,F45/D45,""))</f>
        <v/>
      </c>
      <c r="L45" s="40">
        <f>IF(B45="","",IF(N(E45)&gt;0,IF(Einstellungen!$C$10="Ja",F45/E45,F45/(E45+F45)),""))</f>
        <v/>
      </c>
      <c r="M45" s="64">
        <f>IF(L45="","",RANK(L45,$L$6:$L$205,0))</f>
        <v/>
      </c>
      <c r="N45" s="57">
        <f>IF(B45="","",IF(L45="","keine Ist-Std.",IF(L45&lt;=Einstellungen!$C$7,"unauffällig",IF(L45&lt;=Einstellungen!$C$8,"auffällig","kritisch"))))</f>
        <v/>
      </c>
      <c r="O45" s="65">
        <f>IF(L45="",-1,L45+ROW()/1000000000)</f>
        <v/>
      </c>
    </row>
    <row r="46">
      <c r="A46" s="49">
        <f>IF(Mitarbeiter!B46="","",Mitarbeiter!A46)</f>
        <v/>
      </c>
      <c r="B46" s="50">
        <f>IF(Mitarbeiter!B46="","",Mitarbeiter!B46)</f>
        <v/>
      </c>
      <c r="C46" s="7">
        <f>IF(Mitarbeiter!B46="","",Mitarbeiter!G46)</f>
        <v/>
      </c>
      <c r="D46" s="58">
        <f>IF(Mitarbeiter!B46="","",Mitarbeiter!H46)</f>
        <v/>
      </c>
      <c r="E46" s="58">
        <f>IF(Mitarbeiter!B46="","",'Ist-Stunden'!O46)</f>
        <v/>
      </c>
      <c r="F46" s="58">
        <f>IF(B46="","",Krankheitstage!AE46)</f>
        <v/>
      </c>
      <c r="G46" s="62">
        <f>IF(B46="","",Krankheitstage!P46)</f>
        <v/>
      </c>
      <c r="H46" s="62">
        <f>IF(B46="","",Krankheitstage!AC46)</f>
        <v/>
      </c>
      <c r="I46" s="62">
        <f>IF(B46="","",Krankheitstage!AD46)</f>
        <v/>
      </c>
      <c r="J46" s="36">
        <f>IF(B46="","",SUMPRODUCT(((Krankheitstage!D46:O46+Krankheitstage!Q46:AB46)&gt;0)*1))</f>
        <v/>
      </c>
      <c r="K46" s="63">
        <f>IF(B46="","",IF(N(D46)&gt;0,F46/D46,""))</f>
        <v/>
      </c>
      <c r="L46" s="40">
        <f>IF(B46="","",IF(N(E46)&gt;0,IF(Einstellungen!$C$10="Ja",F46/E46,F46/(E46+F46)),""))</f>
        <v/>
      </c>
      <c r="M46" s="64">
        <f>IF(L46="","",RANK(L46,$L$6:$L$205,0))</f>
        <v/>
      </c>
      <c r="N46" s="57">
        <f>IF(B46="","",IF(L46="","keine Ist-Std.",IF(L46&lt;=Einstellungen!$C$7,"unauffällig",IF(L46&lt;=Einstellungen!$C$8,"auffällig","kritisch"))))</f>
        <v/>
      </c>
      <c r="O46" s="65">
        <f>IF(L46="",-1,L46+ROW()/1000000000)</f>
        <v/>
      </c>
    </row>
    <row r="47">
      <c r="A47" s="49">
        <f>IF(Mitarbeiter!B47="","",Mitarbeiter!A47)</f>
        <v/>
      </c>
      <c r="B47" s="50">
        <f>IF(Mitarbeiter!B47="","",Mitarbeiter!B47)</f>
        <v/>
      </c>
      <c r="C47" s="7">
        <f>IF(Mitarbeiter!B47="","",Mitarbeiter!G47)</f>
        <v/>
      </c>
      <c r="D47" s="58">
        <f>IF(Mitarbeiter!B47="","",Mitarbeiter!H47)</f>
        <v/>
      </c>
      <c r="E47" s="58">
        <f>IF(Mitarbeiter!B47="","",'Ist-Stunden'!O47)</f>
        <v/>
      </c>
      <c r="F47" s="58">
        <f>IF(B47="","",Krankheitstage!AE47)</f>
        <v/>
      </c>
      <c r="G47" s="62">
        <f>IF(B47="","",Krankheitstage!P47)</f>
        <v/>
      </c>
      <c r="H47" s="62">
        <f>IF(B47="","",Krankheitstage!AC47)</f>
        <v/>
      </c>
      <c r="I47" s="62">
        <f>IF(B47="","",Krankheitstage!AD47)</f>
        <v/>
      </c>
      <c r="J47" s="36">
        <f>IF(B47="","",SUMPRODUCT(((Krankheitstage!D47:O47+Krankheitstage!Q47:AB47)&gt;0)*1))</f>
        <v/>
      </c>
      <c r="K47" s="63">
        <f>IF(B47="","",IF(N(D47)&gt;0,F47/D47,""))</f>
        <v/>
      </c>
      <c r="L47" s="40">
        <f>IF(B47="","",IF(N(E47)&gt;0,IF(Einstellungen!$C$10="Ja",F47/E47,F47/(E47+F47)),""))</f>
        <v/>
      </c>
      <c r="M47" s="64">
        <f>IF(L47="","",RANK(L47,$L$6:$L$205,0))</f>
        <v/>
      </c>
      <c r="N47" s="57">
        <f>IF(B47="","",IF(L47="","keine Ist-Std.",IF(L47&lt;=Einstellungen!$C$7,"unauffällig",IF(L47&lt;=Einstellungen!$C$8,"auffällig","kritisch"))))</f>
        <v/>
      </c>
      <c r="O47" s="65">
        <f>IF(L47="",-1,L47+ROW()/1000000000)</f>
        <v/>
      </c>
    </row>
    <row r="48">
      <c r="A48" s="49">
        <f>IF(Mitarbeiter!B48="","",Mitarbeiter!A48)</f>
        <v/>
      </c>
      <c r="B48" s="50">
        <f>IF(Mitarbeiter!B48="","",Mitarbeiter!B48)</f>
        <v/>
      </c>
      <c r="C48" s="7">
        <f>IF(Mitarbeiter!B48="","",Mitarbeiter!G48)</f>
        <v/>
      </c>
      <c r="D48" s="58">
        <f>IF(Mitarbeiter!B48="","",Mitarbeiter!H48)</f>
        <v/>
      </c>
      <c r="E48" s="58">
        <f>IF(Mitarbeiter!B48="","",'Ist-Stunden'!O48)</f>
        <v/>
      </c>
      <c r="F48" s="58">
        <f>IF(B48="","",Krankheitstage!AE48)</f>
        <v/>
      </c>
      <c r="G48" s="62">
        <f>IF(B48="","",Krankheitstage!P48)</f>
        <v/>
      </c>
      <c r="H48" s="62">
        <f>IF(B48="","",Krankheitstage!AC48)</f>
        <v/>
      </c>
      <c r="I48" s="62">
        <f>IF(B48="","",Krankheitstage!AD48)</f>
        <v/>
      </c>
      <c r="J48" s="36">
        <f>IF(B48="","",SUMPRODUCT(((Krankheitstage!D48:O48+Krankheitstage!Q48:AB48)&gt;0)*1))</f>
        <v/>
      </c>
      <c r="K48" s="63">
        <f>IF(B48="","",IF(N(D48)&gt;0,F48/D48,""))</f>
        <v/>
      </c>
      <c r="L48" s="40">
        <f>IF(B48="","",IF(N(E48)&gt;0,IF(Einstellungen!$C$10="Ja",F48/E48,F48/(E48+F48)),""))</f>
        <v/>
      </c>
      <c r="M48" s="64">
        <f>IF(L48="","",RANK(L48,$L$6:$L$205,0))</f>
        <v/>
      </c>
      <c r="N48" s="57">
        <f>IF(B48="","",IF(L48="","keine Ist-Std.",IF(L48&lt;=Einstellungen!$C$7,"unauffällig",IF(L48&lt;=Einstellungen!$C$8,"auffällig","kritisch"))))</f>
        <v/>
      </c>
      <c r="O48" s="65">
        <f>IF(L48="",-1,L48+ROW()/1000000000)</f>
        <v/>
      </c>
    </row>
    <row r="49">
      <c r="A49" s="49">
        <f>IF(Mitarbeiter!B49="","",Mitarbeiter!A49)</f>
        <v/>
      </c>
      <c r="B49" s="50">
        <f>IF(Mitarbeiter!B49="","",Mitarbeiter!B49)</f>
        <v/>
      </c>
      <c r="C49" s="7">
        <f>IF(Mitarbeiter!B49="","",Mitarbeiter!G49)</f>
        <v/>
      </c>
      <c r="D49" s="58">
        <f>IF(Mitarbeiter!B49="","",Mitarbeiter!H49)</f>
        <v/>
      </c>
      <c r="E49" s="58">
        <f>IF(Mitarbeiter!B49="","",'Ist-Stunden'!O49)</f>
        <v/>
      </c>
      <c r="F49" s="58">
        <f>IF(B49="","",Krankheitstage!AE49)</f>
        <v/>
      </c>
      <c r="G49" s="62">
        <f>IF(B49="","",Krankheitstage!P49)</f>
        <v/>
      </c>
      <c r="H49" s="62">
        <f>IF(B49="","",Krankheitstage!AC49)</f>
        <v/>
      </c>
      <c r="I49" s="62">
        <f>IF(B49="","",Krankheitstage!AD49)</f>
        <v/>
      </c>
      <c r="J49" s="36">
        <f>IF(B49="","",SUMPRODUCT(((Krankheitstage!D49:O49+Krankheitstage!Q49:AB49)&gt;0)*1))</f>
        <v/>
      </c>
      <c r="K49" s="63">
        <f>IF(B49="","",IF(N(D49)&gt;0,F49/D49,""))</f>
        <v/>
      </c>
      <c r="L49" s="40">
        <f>IF(B49="","",IF(N(E49)&gt;0,IF(Einstellungen!$C$10="Ja",F49/E49,F49/(E49+F49)),""))</f>
        <v/>
      </c>
      <c r="M49" s="64">
        <f>IF(L49="","",RANK(L49,$L$6:$L$205,0))</f>
        <v/>
      </c>
      <c r="N49" s="57">
        <f>IF(B49="","",IF(L49="","keine Ist-Std.",IF(L49&lt;=Einstellungen!$C$7,"unauffällig",IF(L49&lt;=Einstellungen!$C$8,"auffällig","kritisch"))))</f>
        <v/>
      </c>
      <c r="O49" s="65">
        <f>IF(L49="",-1,L49+ROW()/1000000000)</f>
        <v/>
      </c>
    </row>
    <row r="50">
      <c r="A50" s="49">
        <f>IF(Mitarbeiter!B50="","",Mitarbeiter!A50)</f>
        <v/>
      </c>
      <c r="B50" s="50">
        <f>IF(Mitarbeiter!B50="","",Mitarbeiter!B50)</f>
        <v/>
      </c>
      <c r="C50" s="7">
        <f>IF(Mitarbeiter!B50="","",Mitarbeiter!G50)</f>
        <v/>
      </c>
      <c r="D50" s="58">
        <f>IF(Mitarbeiter!B50="","",Mitarbeiter!H50)</f>
        <v/>
      </c>
      <c r="E50" s="58">
        <f>IF(Mitarbeiter!B50="","",'Ist-Stunden'!O50)</f>
        <v/>
      </c>
      <c r="F50" s="58">
        <f>IF(B50="","",Krankheitstage!AE50)</f>
        <v/>
      </c>
      <c r="G50" s="62">
        <f>IF(B50="","",Krankheitstage!P50)</f>
        <v/>
      </c>
      <c r="H50" s="62">
        <f>IF(B50="","",Krankheitstage!AC50)</f>
        <v/>
      </c>
      <c r="I50" s="62">
        <f>IF(B50="","",Krankheitstage!AD50)</f>
        <v/>
      </c>
      <c r="J50" s="36">
        <f>IF(B50="","",SUMPRODUCT(((Krankheitstage!D50:O50+Krankheitstage!Q50:AB50)&gt;0)*1))</f>
        <v/>
      </c>
      <c r="K50" s="63">
        <f>IF(B50="","",IF(N(D50)&gt;0,F50/D50,""))</f>
        <v/>
      </c>
      <c r="L50" s="40">
        <f>IF(B50="","",IF(N(E50)&gt;0,IF(Einstellungen!$C$10="Ja",F50/E50,F50/(E50+F50)),""))</f>
        <v/>
      </c>
      <c r="M50" s="64">
        <f>IF(L50="","",RANK(L50,$L$6:$L$205,0))</f>
        <v/>
      </c>
      <c r="N50" s="57">
        <f>IF(B50="","",IF(L50="","keine Ist-Std.",IF(L50&lt;=Einstellungen!$C$7,"unauffällig",IF(L50&lt;=Einstellungen!$C$8,"auffällig","kritisch"))))</f>
        <v/>
      </c>
      <c r="O50" s="65">
        <f>IF(L50="",-1,L50+ROW()/1000000000)</f>
        <v/>
      </c>
    </row>
    <row r="51">
      <c r="A51" s="49">
        <f>IF(Mitarbeiter!B51="","",Mitarbeiter!A51)</f>
        <v/>
      </c>
      <c r="B51" s="50">
        <f>IF(Mitarbeiter!B51="","",Mitarbeiter!B51)</f>
        <v/>
      </c>
      <c r="C51" s="7">
        <f>IF(Mitarbeiter!B51="","",Mitarbeiter!G51)</f>
        <v/>
      </c>
      <c r="D51" s="58">
        <f>IF(Mitarbeiter!B51="","",Mitarbeiter!H51)</f>
        <v/>
      </c>
      <c r="E51" s="58">
        <f>IF(Mitarbeiter!B51="","",'Ist-Stunden'!O51)</f>
        <v/>
      </c>
      <c r="F51" s="58">
        <f>IF(B51="","",Krankheitstage!AE51)</f>
        <v/>
      </c>
      <c r="G51" s="62">
        <f>IF(B51="","",Krankheitstage!P51)</f>
        <v/>
      </c>
      <c r="H51" s="62">
        <f>IF(B51="","",Krankheitstage!AC51)</f>
        <v/>
      </c>
      <c r="I51" s="62">
        <f>IF(B51="","",Krankheitstage!AD51)</f>
        <v/>
      </c>
      <c r="J51" s="36">
        <f>IF(B51="","",SUMPRODUCT(((Krankheitstage!D51:O51+Krankheitstage!Q51:AB51)&gt;0)*1))</f>
        <v/>
      </c>
      <c r="K51" s="63">
        <f>IF(B51="","",IF(N(D51)&gt;0,F51/D51,""))</f>
        <v/>
      </c>
      <c r="L51" s="40">
        <f>IF(B51="","",IF(N(E51)&gt;0,IF(Einstellungen!$C$10="Ja",F51/E51,F51/(E51+F51)),""))</f>
        <v/>
      </c>
      <c r="M51" s="64">
        <f>IF(L51="","",RANK(L51,$L$6:$L$205,0))</f>
        <v/>
      </c>
      <c r="N51" s="57">
        <f>IF(B51="","",IF(L51="","keine Ist-Std.",IF(L51&lt;=Einstellungen!$C$7,"unauffällig",IF(L51&lt;=Einstellungen!$C$8,"auffällig","kritisch"))))</f>
        <v/>
      </c>
      <c r="O51" s="65">
        <f>IF(L51="",-1,L51+ROW()/1000000000)</f>
        <v/>
      </c>
    </row>
    <row r="52">
      <c r="A52" s="49">
        <f>IF(Mitarbeiter!B52="","",Mitarbeiter!A52)</f>
        <v/>
      </c>
      <c r="B52" s="50">
        <f>IF(Mitarbeiter!B52="","",Mitarbeiter!B52)</f>
        <v/>
      </c>
      <c r="C52" s="7">
        <f>IF(Mitarbeiter!B52="","",Mitarbeiter!G52)</f>
        <v/>
      </c>
      <c r="D52" s="58">
        <f>IF(Mitarbeiter!B52="","",Mitarbeiter!H52)</f>
        <v/>
      </c>
      <c r="E52" s="58">
        <f>IF(Mitarbeiter!B52="","",'Ist-Stunden'!O52)</f>
        <v/>
      </c>
      <c r="F52" s="58">
        <f>IF(B52="","",Krankheitstage!AE52)</f>
        <v/>
      </c>
      <c r="G52" s="62">
        <f>IF(B52="","",Krankheitstage!P52)</f>
        <v/>
      </c>
      <c r="H52" s="62">
        <f>IF(B52="","",Krankheitstage!AC52)</f>
        <v/>
      </c>
      <c r="I52" s="62">
        <f>IF(B52="","",Krankheitstage!AD52)</f>
        <v/>
      </c>
      <c r="J52" s="36">
        <f>IF(B52="","",SUMPRODUCT(((Krankheitstage!D52:O52+Krankheitstage!Q52:AB52)&gt;0)*1))</f>
        <v/>
      </c>
      <c r="K52" s="63">
        <f>IF(B52="","",IF(N(D52)&gt;0,F52/D52,""))</f>
        <v/>
      </c>
      <c r="L52" s="40">
        <f>IF(B52="","",IF(N(E52)&gt;0,IF(Einstellungen!$C$10="Ja",F52/E52,F52/(E52+F52)),""))</f>
        <v/>
      </c>
      <c r="M52" s="64">
        <f>IF(L52="","",RANK(L52,$L$6:$L$205,0))</f>
        <v/>
      </c>
      <c r="N52" s="57">
        <f>IF(B52="","",IF(L52="","keine Ist-Std.",IF(L52&lt;=Einstellungen!$C$7,"unauffällig",IF(L52&lt;=Einstellungen!$C$8,"auffällig","kritisch"))))</f>
        <v/>
      </c>
      <c r="O52" s="65">
        <f>IF(L52="",-1,L52+ROW()/1000000000)</f>
        <v/>
      </c>
    </row>
    <row r="53">
      <c r="A53" s="49">
        <f>IF(Mitarbeiter!B53="","",Mitarbeiter!A53)</f>
        <v/>
      </c>
      <c r="B53" s="50">
        <f>IF(Mitarbeiter!B53="","",Mitarbeiter!B53)</f>
        <v/>
      </c>
      <c r="C53" s="7">
        <f>IF(Mitarbeiter!B53="","",Mitarbeiter!G53)</f>
        <v/>
      </c>
      <c r="D53" s="58">
        <f>IF(Mitarbeiter!B53="","",Mitarbeiter!H53)</f>
        <v/>
      </c>
      <c r="E53" s="58">
        <f>IF(Mitarbeiter!B53="","",'Ist-Stunden'!O53)</f>
        <v/>
      </c>
      <c r="F53" s="58">
        <f>IF(B53="","",Krankheitstage!AE53)</f>
        <v/>
      </c>
      <c r="G53" s="62">
        <f>IF(B53="","",Krankheitstage!P53)</f>
        <v/>
      </c>
      <c r="H53" s="62">
        <f>IF(B53="","",Krankheitstage!AC53)</f>
        <v/>
      </c>
      <c r="I53" s="62">
        <f>IF(B53="","",Krankheitstage!AD53)</f>
        <v/>
      </c>
      <c r="J53" s="36">
        <f>IF(B53="","",SUMPRODUCT(((Krankheitstage!D53:O53+Krankheitstage!Q53:AB53)&gt;0)*1))</f>
        <v/>
      </c>
      <c r="K53" s="63">
        <f>IF(B53="","",IF(N(D53)&gt;0,F53/D53,""))</f>
        <v/>
      </c>
      <c r="L53" s="40">
        <f>IF(B53="","",IF(N(E53)&gt;0,IF(Einstellungen!$C$10="Ja",F53/E53,F53/(E53+F53)),""))</f>
        <v/>
      </c>
      <c r="M53" s="64">
        <f>IF(L53="","",RANK(L53,$L$6:$L$205,0))</f>
        <v/>
      </c>
      <c r="N53" s="57">
        <f>IF(B53="","",IF(L53="","keine Ist-Std.",IF(L53&lt;=Einstellungen!$C$7,"unauffällig",IF(L53&lt;=Einstellungen!$C$8,"auffällig","kritisch"))))</f>
        <v/>
      </c>
      <c r="O53" s="65">
        <f>IF(L53="",-1,L53+ROW()/1000000000)</f>
        <v/>
      </c>
    </row>
    <row r="54">
      <c r="A54" s="49">
        <f>IF(Mitarbeiter!B54="","",Mitarbeiter!A54)</f>
        <v/>
      </c>
      <c r="B54" s="50">
        <f>IF(Mitarbeiter!B54="","",Mitarbeiter!B54)</f>
        <v/>
      </c>
      <c r="C54" s="7">
        <f>IF(Mitarbeiter!B54="","",Mitarbeiter!G54)</f>
        <v/>
      </c>
      <c r="D54" s="58">
        <f>IF(Mitarbeiter!B54="","",Mitarbeiter!H54)</f>
        <v/>
      </c>
      <c r="E54" s="58">
        <f>IF(Mitarbeiter!B54="","",'Ist-Stunden'!O54)</f>
        <v/>
      </c>
      <c r="F54" s="58">
        <f>IF(B54="","",Krankheitstage!AE54)</f>
        <v/>
      </c>
      <c r="G54" s="62">
        <f>IF(B54="","",Krankheitstage!P54)</f>
        <v/>
      </c>
      <c r="H54" s="62">
        <f>IF(B54="","",Krankheitstage!AC54)</f>
        <v/>
      </c>
      <c r="I54" s="62">
        <f>IF(B54="","",Krankheitstage!AD54)</f>
        <v/>
      </c>
      <c r="J54" s="36">
        <f>IF(B54="","",SUMPRODUCT(((Krankheitstage!D54:O54+Krankheitstage!Q54:AB54)&gt;0)*1))</f>
        <v/>
      </c>
      <c r="K54" s="63">
        <f>IF(B54="","",IF(N(D54)&gt;0,F54/D54,""))</f>
        <v/>
      </c>
      <c r="L54" s="40">
        <f>IF(B54="","",IF(N(E54)&gt;0,IF(Einstellungen!$C$10="Ja",F54/E54,F54/(E54+F54)),""))</f>
        <v/>
      </c>
      <c r="M54" s="64">
        <f>IF(L54="","",RANK(L54,$L$6:$L$205,0))</f>
        <v/>
      </c>
      <c r="N54" s="57">
        <f>IF(B54="","",IF(L54="","keine Ist-Std.",IF(L54&lt;=Einstellungen!$C$7,"unauffällig",IF(L54&lt;=Einstellungen!$C$8,"auffällig","kritisch"))))</f>
        <v/>
      </c>
      <c r="O54" s="65">
        <f>IF(L54="",-1,L54+ROW()/1000000000)</f>
        <v/>
      </c>
    </row>
    <row r="55">
      <c r="A55" s="49">
        <f>IF(Mitarbeiter!B55="","",Mitarbeiter!A55)</f>
        <v/>
      </c>
      <c r="B55" s="50">
        <f>IF(Mitarbeiter!B55="","",Mitarbeiter!B55)</f>
        <v/>
      </c>
      <c r="C55" s="7">
        <f>IF(Mitarbeiter!B55="","",Mitarbeiter!G55)</f>
        <v/>
      </c>
      <c r="D55" s="58">
        <f>IF(Mitarbeiter!B55="","",Mitarbeiter!H55)</f>
        <v/>
      </c>
      <c r="E55" s="58">
        <f>IF(Mitarbeiter!B55="","",'Ist-Stunden'!O55)</f>
        <v/>
      </c>
      <c r="F55" s="58">
        <f>IF(B55="","",Krankheitstage!AE55)</f>
        <v/>
      </c>
      <c r="G55" s="62">
        <f>IF(B55="","",Krankheitstage!P55)</f>
        <v/>
      </c>
      <c r="H55" s="62">
        <f>IF(B55="","",Krankheitstage!AC55)</f>
        <v/>
      </c>
      <c r="I55" s="62">
        <f>IF(B55="","",Krankheitstage!AD55)</f>
        <v/>
      </c>
      <c r="J55" s="36">
        <f>IF(B55="","",SUMPRODUCT(((Krankheitstage!D55:O55+Krankheitstage!Q55:AB55)&gt;0)*1))</f>
        <v/>
      </c>
      <c r="K55" s="63">
        <f>IF(B55="","",IF(N(D55)&gt;0,F55/D55,""))</f>
        <v/>
      </c>
      <c r="L55" s="40">
        <f>IF(B55="","",IF(N(E55)&gt;0,IF(Einstellungen!$C$10="Ja",F55/E55,F55/(E55+F55)),""))</f>
        <v/>
      </c>
      <c r="M55" s="64">
        <f>IF(L55="","",RANK(L55,$L$6:$L$205,0))</f>
        <v/>
      </c>
      <c r="N55" s="57">
        <f>IF(B55="","",IF(L55="","keine Ist-Std.",IF(L55&lt;=Einstellungen!$C$7,"unauffällig",IF(L55&lt;=Einstellungen!$C$8,"auffällig","kritisch"))))</f>
        <v/>
      </c>
      <c r="O55" s="65">
        <f>IF(L55="",-1,L55+ROW()/1000000000)</f>
        <v/>
      </c>
    </row>
    <row r="56">
      <c r="A56" s="49">
        <f>IF(Mitarbeiter!B56="","",Mitarbeiter!A56)</f>
        <v/>
      </c>
      <c r="B56" s="50">
        <f>IF(Mitarbeiter!B56="","",Mitarbeiter!B56)</f>
        <v/>
      </c>
      <c r="C56" s="7">
        <f>IF(Mitarbeiter!B56="","",Mitarbeiter!G56)</f>
        <v/>
      </c>
      <c r="D56" s="58">
        <f>IF(Mitarbeiter!B56="","",Mitarbeiter!H56)</f>
        <v/>
      </c>
      <c r="E56" s="58">
        <f>IF(Mitarbeiter!B56="","",'Ist-Stunden'!O56)</f>
        <v/>
      </c>
      <c r="F56" s="58">
        <f>IF(B56="","",Krankheitstage!AE56)</f>
        <v/>
      </c>
      <c r="G56" s="62">
        <f>IF(B56="","",Krankheitstage!P56)</f>
        <v/>
      </c>
      <c r="H56" s="62">
        <f>IF(B56="","",Krankheitstage!AC56)</f>
        <v/>
      </c>
      <c r="I56" s="62">
        <f>IF(B56="","",Krankheitstage!AD56)</f>
        <v/>
      </c>
      <c r="J56" s="36">
        <f>IF(B56="","",SUMPRODUCT(((Krankheitstage!D56:O56+Krankheitstage!Q56:AB56)&gt;0)*1))</f>
        <v/>
      </c>
      <c r="K56" s="63">
        <f>IF(B56="","",IF(N(D56)&gt;0,F56/D56,""))</f>
        <v/>
      </c>
      <c r="L56" s="40">
        <f>IF(B56="","",IF(N(E56)&gt;0,IF(Einstellungen!$C$10="Ja",F56/E56,F56/(E56+F56)),""))</f>
        <v/>
      </c>
      <c r="M56" s="64">
        <f>IF(L56="","",RANK(L56,$L$6:$L$205,0))</f>
        <v/>
      </c>
      <c r="N56" s="57">
        <f>IF(B56="","",IF(L56="","keine Ist-Std.",IF(L56&lt;=Einstellungen!$C$7,"unauffällig",IF(L56&lt;=Einstellungen!$C$8,"auffällig","kritisch"))))</f>
        <v/>
      </c>
      <c r="O56" s="65">
        <f>IF(L56="",-1,L56+ROW()/1000000000)</f>
        <v/>
      </c>
    </row>
    <row r="57">
      <c r="A57" s="49">
        <f>IF(Mitarbeiter!B57="","",Mitarbeiter!A57)</f>
        <v/>
      </c>
      <c r="B57" s="50">
        <f>IF(Mitarbeiter!B57="","",Mitarbeiter!B57)</f>
        <v/>
      </c>
      <c r="C57" s="7">
        <f>IF(Mitarbeiter!B57="","",Mitarbeiter!G57)</f>
        <v/>
      </c>
      <c r="D57" s="58">
        <f>IF(Mitarbeiter!B57="","",Mitarbeiter!H57)</f>
        <v/>
      </c>
      <c r="E57" s="58">
        <f>IF(Mitarbeiter!B57="","",'Ist-Stunden'!O57)</f>
        <v/>
      </c>
      <c r="F57" s="58">
        <f>IF(B57="","",Krankheitstage!AE57)</f>
        <v/>
      </c>
      <c r="G57" s="62">
        <f>IF(B57="","",Krankheitstage!P57)</f>
        <v/>
      </c>
      <c r="H57" s="62">
        <f>IF(B57="","",Krankheitstage!AC57)</f>
        <v/>
      </c>
      <c r="I57" s="62">
        <f>IF(B57="","",Krankheitstage!AD57)</f>
        <v/>
      </c>
      <c r="J57" s="36">
        <f>IF(B57="","",SUMPRODUCT(((Krankheitstage!D57:O57+Krankheitstage!Q57:AB57)&gt;0)*1))</f>
        <v/>
      </c>
      <c r="K57" s="63">
        <f>IF(B57="","",IF(N(D57)&gt;0,F57/D57,""))</f>
        <v/>
      </c>
      <c r="L57" s="40">
        <f>IF(B57="","",IF(N(E57)&gt;0,IF(Einstellungen!$C$10="Ja",F57/E57,F57/(E57+F57)),""))</f>
        <v/>
      </c>
      <c r="M57" s="64">
        <f>IF(L57="","",RANK(L57,$L$6:$L$205,0))</f>
        <v/>
      </c>
      <c r="N57" s="57">
        <f>IF(B57="","",IF(L57="","keine Ist-Std.",IF(L57&lt;=Einstellungen!$C$7,"unauffällig",IF(L57&lt;=Einstellungen!$C$8,"auffällig","kritisch"))))</f>
        <v/>
      </c>
      <c r="O57" s="65">
        <f>IF(L57="",-1,L57+ROW()/1000000000)</f>
        <v/>
      </c>
    </row>
    <row r="58">
      <c r="A58" s="49">
        <f>IF(Mitarbeiter!B58="","",Mitarbeiter!A58)</f>
        <v/>
      </c>
      <c r="B58" s="50">
        <f>IF(Mitarbeiter!B58="","",Mitarbeiter!B58)</f>
        <v/>
      </c>
      <c r="C58" s="7">
        <f>IF(Mitarbeiter!B58="","",Mitarbeiter!G58)</f>
        <v/>
      </c>
      <c r="D58" s="58">
        <f>IF(Mitarbeiter!B58="","",Mitarbeiter!H58)</f>
        <v/>
      </c>
      <c r="E58" s="58">
        <f>IF(Mitarbeiter!B58="","",'Ist-Stunden'!O58)</f>
        <v/>
      </c>
      <c r="F58" s="58">
        <f>IF(B58="","",Krankheitstage!AE58)</f>
        <v/>
      </c>
      <c r="G58" s="62">
        <f>IF(B58="","",Krankheitstage!P58)</f>
        <v/>
      </c>
      <c r="H58" s="62">
        <f>IF(B58="","",Krankheitstage!AC58)</f>
        <v/>
      </c>
      <c r="I58" s="62">
        <f>IF(B58="","",Krankheitstage!AD58)</f>
        <v/>
      </c>
      <c r="J58" s="36">
        <f>IF(B58="","",SUMPRODUCT(((Krankheitstage!D58:O58+Krankheitstage!Q58:AB58)&gt;0)*1))</f>
        <v/>
      </c>
      <c r="K58" s="63">
        <f>IF(B58="","",IF(N(D58)&gt;0,F58/D58,""))</f>
        <v/>
      </c>
      <c r="L58" s="40">
        <f>IF(B58="","",IF(N(E58)&gt;0,IF(Einstellungen!$C$10="Ja",F58/E58,F58/(E58+F58)),""))</f>
        <v/>
      </c>
      <c r="M58" s="64">
        <f>IF(L58="","",RANK(L58,$L$6:$L$205,0))</f>
        <v/>
      </c>
      <c r="N58" s="57">
        <f>IF(B58="","",IF(L58="","keine Ist-Std.",IF(L58&lt;=Einstellungen!$C$7,"unauffällig",IF(L58&lt;=Einstellungen!$C$8,"auffällig","kritisch"))))</f>
        <v/>
      </c>
      <c r="O58" s="65">
        <f>IF(L58="",-1,L58+ROW()/1000000000)</f>
        <v/>
      </c>
    </row>
    <row r="59">
      <c r="A59" s="49">
        <f>IF(Mitarbeiter!B59="","",Mitarbeiter!A59)</f>
        <v/>
      </c>
      <c r="B59" s="50">
        <f>IF(Mitarbeiter!B59="","",Mitarbeiter!B59)</f>
        <v/>
      </c>
      <c r="C59" s="7">
        <f>IF(Mitarbeiter!B59="","",Mitarbeiter!G59)</f>
        <v/>
      </c>
      <c r="D59" s="58">
        <f>IF(Mitarbeiter!B59="","",Mitarbeiter!H59)</f>
        <v/>
      </c>
      <c r="E59" s="58">
        <f>IF(Mitarbeiter!B59="","",'Ist-Stunden'!O59)</f>
        <v/>
      </c>
      <c r="F59" s="58">
        <f>IF(B59="","",Krankheitstage!AE59)</f>
        <v/>
      </c>
      <c r="G59" s="62">
        <f>IF(B59="","",Krankheitstage!P59)</f>
        <v/>
      </c>
      <c r="H59" s="62">
        <f>IF(B59="","",Krankheitstage!AC59)</f>
        <v/>
      </c>
      <c r="I59" s="62">
        <f>IF(B59="","",Krankheitstage!AD59)</f>
        <v/>
      </c>
      <c r="J59" s="36">
        <f>IF(B59="","",SUMPRODUCT(((Krankheitstage!D59:O59+Krankheitstage!Q59:AB59)&gt;0)*1))</f>
        <v/>
      </c>
      <c r="K59" s="63">
        <f>IF(B59="","",IF(N(D59)&gt;0,F59/D59,""))</f>
        <v/>
      </c>
      <c r="L59" s="40">
        <f>IF(B59="","",IF(N(E59)&gt;0,IF(Einstellungen!$C$10="Ja",F59/E59,F59/(E59+F59)),""))</f>
        <v/>
      </c>
      <c r="M59" s="64">
        <f>IF(L59="","",RANK(L59,$L$6:$L$205,0))</f>
        <v/>
      </c>
      <c r="N59" s="57">
        <f>IF(B59="","",IF(L59="","keine Ist-Std.",IF(L59&lt;=Einstellungen!$C$7,"unauffällig",IF(L59&lt;=Einstellungen!$C$8,"auffällig","kritisch"))))</f>
        <v/>
      </c>
      <c r="O59" s="65">
        <f>IF(L59="",-1,L59+ROW()/1000000000)</f>
        <v/>
      </c>
    </row>
    <row r="60">
      <c r="A60" s="49">
        <f>IF(Mitarbeiter!B60="","",Mitarbeiter!A60)</f>
        <v/>
      </c>
      <c r="B60" s="50">
        <f>IF(Mitarbeiter!B60="","",Mitarbeiter!B60)</f>
        <v/>
      </c>
      <c r="C60" s="7">
        <f>IF(Mitarbeiter!B60="","",Mitarbeiter!G60)</f>
        <v/>
      </c>
      <c r="D60" s="58">
        <f>IF(Mitarbeiter!B60="","",Mitarbeiter!H60)</f>
        <v/>
      </c>
      <c r="E60" s="58">
        <f>IF(Mitarbeiter!B60="","",'Ist-Stunden'!O60)</f>
        <v/>
      </c>
      <c r="F60" s="58">
        <f>IF(B60="","",Krankheitstage!AE60)</f>
        <v/>
      </c>
      <c r="G60" s="62">
        <f>IF(B60="","",Krankheitstage!P60)</f>
        <v/>
      </c>
      <c r="H60" s="62">
        <f>IF(B60="","",Krankheitstage!AC60)</f>
        <v/>
      </c>
      <c r="I60" s="62">
        <f>IF(B60="","",Krankheitstage!AD60)</f>
        <v/>
      </c>
      <c r="J60" s="36">
        <f>IF(B60="","",SUMPRODUCT(((Krankheitstage!D60:O60+Krankheitstage!Q60:AB60)&gt;0)*1))</f>
        <v/>
      </c>
      <c r="K60" s="63">
        <f>IF(B60="","",IF(N(D60)&gt;0,F60/D60,""))</f>
        <v/>
      </c>
      <c r="L60" s="40">
        <f>IF(B60="","",IF(N(E60)&gt;0,IF(Einstellungen!$C$10="Ja",F60/E60,F60/(E60+F60)),""))</f>
        <v/>
      </c>
      <c r="M60" s="64">
        <f>IF(L60="","",RANK(L60,$L$6:$L$205,0))</f>
        <v/>
      </c>
      <c r="N60" s="57">
        <f>IF(B60="","",IF(L60="","keine Ist-Std.",IF(L60&lt;=Einstellungen!$C$7,"unauffällig",IF(L60&lt;=Einstellungen!$C$8,"auffällig","kritisch"))))</f>
        <v/>
      </c>
      <c r="O60" s="65">
        <f>IF(L60="",-1,L60+ROW()/1000000000)</f>
        <v/>
      </c>
    </row>
    <row r="61">
      <c r="A61" s="49">
        <f>IF(Mitarbeiter!B61="","",Mitarbeiter!A61)</f>
        <v/>
      </c>
      <c r="B61" s="50">
        <f>IF(Mitarbeiter!B61="","",Mitarbeiter!B61)</f>
        <v/>
      </c>
      <c r="C61" s="7">
        <f>IF(Mitarbeiter!B61="","",Mitarbeiter!G61)</f>
        <v/>
      </c>
      <c r="D61" s="58">
        <f>IF(Mitarbeiter!B61="","",Mitarbeiter!H61)</f>
        <v/>
      </c>
      <c r="E61" s="58">
        <f>IF(Mitarbeiter!B61="","",'Ist-Stunden'!O61)</f>
        <v/>
      </c>
      <c r="F61" s="58">
        <f>IF(B61="","",Krankheitstage!AE61)</f>
        <v/>
      </c>
      <c r="G61" s="62">
        <f>IF(B61="","",Krankheitstage!P61)</f>
        <v/>
      </c>
      <c r="H61" s="62">
        <f>IF(B61="","",Krankheitstage!AC61)</f>
        <v/>
      </c>
      <c r="I61" s="62">
        <f>IF(B61="","",Krankheitstage!AD61)</f>
        <v/>
      </c>
      <c r="J61" s="36">
        <f>IF(B61="","",SUMPRODUCT(((Krankheitstage!D61:O61+Krankheitstage!Q61:AB61)&gt;0)*1))</f>
        <v/>
      </c>
      <c r="K61" s="63">
        <f>IF(B61="","",IF(N(D61)&gt;0,F61/D61,""))</f>
        <v/>
      </c>
      <c r="L61" s="40">
        <f>IF(B61="","",IF(N(E61)&gt;0,IF(Einstellungen!$C$10="Ja",F61/E61,F61/(E61+F61)),""))</f>
        <v/>
      </c>
      <c r="M61" s="64">
        <f>IF(L61="","",RANK(L61,$L$6:$L$205,0))</f>
        <v/>
      </c>
      <c r="N61" s="57">
        <f>IF(B61="","",IF(L61="","keine Ist-Std.",IF(L61&lt;=Einstellungen!$C$7,"unauffällig",IF(L61&lt;=Einstellungen!$C$8,"auffällig","kritisch"))))</f>
        <v/>
      </c>
      <c r="O61" s="65">
        <f>IF(L61="",-1,L61+ROW()/1000000000)</f>
        <v/>
      </c>
    </row>
    <row r="62">
      <c r="A62" s="49">
        <f>IF(Mitarbeiter!B62="","",Mitarbeiter!A62)</f>
        <v/>
      </c>
      <c r="B62" s="50">
        <f>IF(Mitarbeiter!B62="","",Mitarbeiter!B62)</f>
        <v/>
      </c>
      <c r="C62" s="7">
        <f>IF(Mitarbeiter!B62="","",Mitarbeiter!G62)</f>
        <v/>
      </c>
      <c r="D62" s="58">
        <f>IF(Mitarbeiter!B62="","",Mitarbeiter!H62)</f>
        <v/>
      </c>
      <c r="E62" s="58">
        <f>IF(Mitarbeiter!B62="","",'Ist-Stunden'!O62)</f>
        <v/>
      </c>
      <c r="F62" s="58">
        <f>IF(B62="","",Krankheitstage!AE62)</f>
        <v/>
      </c>
      <c r="G62" s="62">
        <f>IF(B62="","",Krankheitstage!P62)</f>
        <v/>
      </c>
      <c r="H62" s="62">
        <f>IF(B62="","",Krankheitstage!AC62)</f>
        <v/>
      </c>
      <c r="I62" s="62">
        <f>IF(B62="","",Krankheitstage!AD62)</f>
        <v/>
      </c>
      <c r="J62" s="36">
        <f>IF(B62="","",SUMPRODUCT(((Krankheitstage!D62:O62+Krankheitstage!Q62:AB62)&gt;0)*1))</f>
        <v/>
      </c>
      <c r="K62" s="63">
        <f>IF(B62="","",IF(N(D62)&gt;0,F62/D62,""))</f>
        <v/>
      </c>
      <c r="L62" s="40">
        <f>IF(B62="","",IF(N(E62)&gt;0,IF(Einstellungen!$C$10="Ja",F62/E62,F62/(E62+F62)),""))</f>
        <v/>
      </c>
      <c r="M62" s="64">
        <f>IF(L62="","",RANK(L62,$L$6:$L$205,0))</f>
        <v/>
      </c>
      <c r="N62" s="57">
        <f>IF(B62="","",IF(L62="","keine Ist-Std.",IF(L62&lt;=Einstellungen!$C$7,"unauffällig",IF(L62&lt;=Einstellungen!$C$8,"auffällig","kritisch"))))</f>
        <v/>
      </c>
      <c r="O62" s="65">
        <f>IF(L62="",-1,L62+ROW()/1000000000)</f>
        <v/>
      </c>
    </row>
    <row r="63">
      <c r="A63" s="49">
        <f>IF(Mitarbeiter!B63="","",Mitarbeiter!A63)</f>
        <v/>
      </c>
      <c r="B63" s="50">
        <f>IF(Mitarbeiter!B63="","",Mitarbeiter!B63)</f>
        <v/>
      </c>
      <c r="C63" s="7">
        <f>IF(Mitarbeiter!B63="","",Mitarbeiter!G63)</f>
        <v/>
      </c>
      <c r="D63" s="58">
        <f>IF(Mitarbeiter!B63="","",Mitarbeiter!H63)</f>
        <v/>
      </c>
      <c r="E63" s="58">
        <f>IF(Mitarbeiter!B63="","",'Ist-Stunden'!O63)</f>
        <v/>
      </c>
      <c r="F63" s="58">
        <f>IF(B63="","",Krankheitstage!AE63)</f>
        <v/>
      </c>
      <c r="G63" s="62">
        <f>IF(B63="","",Krankheitstage!P63)</f>
        <v/>
      </c>
      <c r="H63" s="62">
        <f>IF(B63="","",Krankheitstage!AC63)</f>
        <v/>
      </c>
      <c r="I63" s="62">
        <f>IF(B63="","",Krankheitstage!AD63)</f>
        <v/>
      </c>
      <c r="J63" s="36">
        <f>IF(B63="","",SUMPRODUCT(((Krankheitstage!D63:O63+Krankheitstage!Q63:AB63)&gt;0)*1))</f>
        <v/>
      </c>
      <c r="K63" s="63">
        <f>IF(B63="","",IF(N(D63)&gt;0,F63/D63,""))</f>
        <v/>
      </c>
      <c r="L63" s="40">
        <f>IF(B63="","",IF(N(E63)&gt;0,IF(Einstellungen!$C$10="Ja",F63/E63,F63/(E63+F63)),""))</f>
        <v/>
      </c>
      <c r="M63" s="64">
        <f>IF(L63="","",RANK(L63,$L$6:$L$205,0))</f>
        <v/>
      </c>
      <c r="N63" s="57">
        <f>IF(B63="","",IF(L63="","keine Ist-Std.",IF(L63&lt;=Einstellungen!$C$7,"unauffällig",IF(L63&lt;=Einstellungen!$C$8,"auffällig","kritisch"))))</f>
        <v/>
      </c>
      <c r="O63" s="65">
        <f>IF(L63="",-1,L63+ROW()/1000000000)</f>
        <v/>
      </c>
    </row>
    <row r="64">
      <c r="A64" s="49">
        <f>IF(Mitarbeiter!B64="","",Mitarbeiter!A64)</f>
        <v/>
      </c>
      <c r="B64" s="50">
        <f>IF(Mitarbeiter!B64="","",Mitarbeiter!B64)</f>
        <v/>
      </c>
      <c r="C64" s="7">
        <f>IF(Mitarbeiter!B64="","",Mitarbeiter!G64)</f>
        <v/>
      </c>
      <c r="D64" s="58">
        <f>IF(Mitarbeiter!B64="","",Mitarbeiter!H64)</f>
        <v/>
      </c>
      <c r="E64" s="58">
        <f>IF(Mitarbeiter!B64="","",'Ist-Stunden'!O64)</f>
        <v/>
      </c>
      <c r="F64" s="58">
        <f>IF(B64="","",Krankheitstage!AE64)</f>
        <v/>
      </c>
      <c r="G64" s="62">
        <f>IF(B64="","",Krankheitstage!P64)</f>
        <v/>
      </c>
      <c r="H64" s="62">
        <f>IF(B64="","",Krankheitstage!AC64)</f>
        <v/>
      </c>
      <c r="I64" s="62">
        <f>IF(B64="","",Krankheitstage!AD64)</f>
        <v/>
      </c>
      <c r="J64" s="36">
        <f>IF(B64="","",SUMPRODUCT(((Krankheitstage!D64:O64+Krankheitstage!Q64:AB64)&gt;0)*1))</f>
        <v/>
      </c>
      <c r="K64" s="63">
        <f>IF(B64="","",IF(N(D64)&gt;0,F64/D64,""))</f>
        <v/>
      </c>
      <c r="L64" s="40">
        <f>IF(B64="","",IF(N(E64)&gt;0,IF(Einstellungen!$C$10="Ja",F64/E64,F64/(E64+F64)),""))</f>
        <v/>
      </c>
      <c r="M64" s="64">
        <f>IF(L64="","",RANK(L64,$L$6:$L$205,0))</f>
        <v/>
      </c>
      <c r="N64" s="57">
        <f>IF(B64="","",IF(L64="","keine Ist-Std.",IF(L64&lt;=Einstellungen!$C$7,"unauffällig",IF(L64&lt;=Einstellungen!$C$8,"auffällig","kritisch"))))</f>
        <v/>
      </c>
      <c r="O64" s="65">
        <f>IF(L64="",-1,L64+ROW()/1000000000)</f>
        <v/>
      </c>
    </row>
    <row r="65">
      <c r="A65" s="49">
        <f>IF(Mitarbeiter!B65="","",Mitarbeiter!A65)</f>
        <v/>
      </c>
      <c r="B65" s="50">
        <f>IF(Mitarbeiter!B65="","",Mitarbeiter!B65)</f>
        <v/>
      </c>
      <c r="C65" s="7">
        <f>IF(Mitarbeiter!B65="","",Mitarbeiter!G65)</f>
        <v/>
      </c>
      <c r="D65" s="58">
        <f>IF(Mitarbeiter!B65="","",Mitarbeiter!H65)</f>
        <v/>
      </c>
      <c r="E65" s="58">
        <f>IF(Mitarbeiter!B65="","",'Ist-Stunden'!O65)</f>
        <v/>
      </c>
      <c r="F65" s="58">
        <f>IF(B65="","",Krankheitstage!AE65)</f>
        <v/>
      </c>
      <c r="G65" s="62">
        <f>IF(B65="","",Krankheitstage!P65)</f>
        <v/>
      </c>
      <c r="H65" s="62">
        <f>IF(B65="","",Krankheitstage!AC65)</f>
        <v/>
      </c>
      <c r="I65" s="62">
        <f>IF(B65="","",Krankheitstage!AD65)</f>
        <v/>
      </c>
      <c r="J65" s="36">
        <f>IF(B65="","",SUMPRODUCT(((Krankheitstage!D65:O65+Krankheitstage!Q65:AB65)&gt;0)*1))</f>
        <v/>
      </c>
      <c r="K65" s="63">
        <f>IF(B65="","",IF(N(D65)&gt;0,F65/D65,""))</f>
        <v/>
      </c>
      <c r="L65" s="40">
        <f>IF(B65="","",IF(N(E65)&gt;0,IF(Einstellungen!$C$10="Ja",F65/E65,F65/(E65+F65)),""))</f>
        <v/>
      </c>
      <c r="M65" s="64">
        <f>IF(L65="","",RANK(L65,$L$6:$L$205,0))</f>
        <v/>
      </c>
      <c r="N65" s="57">
        <f>IF(B65="","",IF(L65="","keine Ist-Std.",IF(L65&lt;=Einstellungen!$C$7,"unauffällig",IF(L65&lt;=Einstellungen!$C$8,"auffällig","kritisch"))))</f>
        <v/>
      </c>
      <c r="O65" s="65">
        <f>IF(L65="",-1,L65+ROW()/1000000000)</f>
        <v/>
      </c>
    </row>
    <row r="66">
      <c r="A66" s="49">
        <f>IF(Mitarbeiter!B66="","",Mitarbeiter!A66)</f>
        <v/>
      </c>
      <c r="B66" s="50">
        <f>IF(Mitarbeiter!B66="","",Mitarbeiter!B66)</f>
        <v/>
      </c>
      <c r="C66" s="7">
        <f>IF(Mitarbeiter!B66="","",Mitarbeiter!G66)</f>
        <v/>
      </c>
      <c r="D66" s="58">
        <f>IF(Mitarbeiter!B66="","",Mitarbeiter!H66)</f>
        <v/>
      </c>
      <c r="E66" s="58">
        <f>IF(Mitarbeiter!B66="","",'Ist-Stunden'!O66)</f>
        <v/>
      </c>
      <c r="F66" s="58">
        <f>IF(B66="","",Krankheitstage!AE66)</f>
        <v/>
      </c>
      <c r="G66" s="62">
        <f>IF(B66="","",Krankheitstage!P66)</f>
        <v/>
      </c>
      <c r="H66" s="62">
        <f>IF(B66="","",Krankheitstage!AC66)</f>
        <v/>
      </c>
      <c r="I66" s="62">
        <f>IF(B66="","",Krankheitstage!AD66)</f>
        <v/>
      </c>
      <c r="J66" s="36">
        <f>IF(B66="","",SUMPRODUCT(((Krankheitstage!D66:O66+Krankheitstage!Q66:AB66)&gt;0)*1))</f>
        <v/>
      </c>
      <c r="K66" s="63">
        <f>IF(B66="","",IF(N(D66)&gt;0,F66/D66,""))</f>
        <v/>
      </c>
      <c r="L66" s="40">
        <f>IF(B66="","",IF(N(E66)&gt;0,IF(Einstellungen!$C$10="Ja",F66/E66,F66/(E66+F66)),""))</f>
        <v/>
      </c>
      <c r="M66" s="64">
        <f>IF(L66="","",RANK(L66,$L$6:$L$205,0))</f>
        <v/>
      </c>
      <c r="N66" s="57">
        <f>IF(B66="","",IF(L66="","keine Ist-Std.",IF(L66&lt;=Einstellungen!$C$7,"unauffällig",IF(L66&lt;=Einstellungen!$C$8,"auffällig","kritisch"))))</f>
        <v/>
      </c>
      <c r="O66" s="65">
        <f>IF(L66="",-1,L66+ROW()/1000000000)</f>
        <v/>
      </c>
    </row>
    <row r="67">
      <c r="A67" s="49">
        <f>IF(Mitarbeiter!B67="","",Mitarbeiter!A67)</f>
        <v/>
      </c>
      <c r="B67" s="50">
        <f>IF(Mitarbeiter!B67="","",Mitarbeiter!B67)</f>
        <v/>
      </c>
      <c r="C67" s="7">
        <f>IF(Mitarbeiter!B67="","",Mitarbeiter!G67)</f>
        <v/>
      </c>
      <c r="D67" s="58">
        <f>IF(Mitarbeiter!B67="","",Mitarbeiter!H67)</f>
        <v/>
      </c>
      <c r="E67" s="58">
        <f>IF(Mitarbeiter!B67="","",'Ist-Stunden'!O67)</f>
        <v/>
      </c>
      <c r="F67" s="58">
        <f>IF(B67="","",Krankheitstage!AE67)</f>
        <v/>
      </c>
      <c r="G67" s="62">
        <f>IF(B67="","",Krankheitstage!P67)</f>
        <v/>
      </c>
      <c r="H67" s="62">
        <f>IF(B67="","",Krankheitstage!AC67)</f>
        <v/>
      </c>
      <c r="I67" s="62">
        <f>IF(B67="","",Krankheitstage!AD67)</f>
        <v/>
      </c>
      <c r="J67" s="36">
        <f>IF(B67="","",SUMPRODUCT(((Krankheitstage!D67:O67+Krankheitstage!Q67:AB67)&gt;0)*1))</f>
        <v/>
      </c>
      <c r="K67" s="63">
        <f>IF(B67="","",IF(N(D67)&gt;0,F67/D67,""))</f>
        <v/>
      </c>
      <c r="L67" s="40">
        <f>IF(B67="","",IF(N(E67)&gt;0,IF(Einstellungen!$C$10="Ja",F67/E67,F67/(E67+F67)),""))</f>
        <v/>
      </c>
      <c r="M67" s="64">
        <f>IF(L67="","",RANK(L67,$L$6:$L$205,0))</f>
        <v/>
      </c>
      <c r="N67" s="57">
        <f>IF(B67="","",IF(L67="","keine Ist-Std.",IF(L67&lt;=Einstellungen!$C$7,"unauffällig",IF(L67&lt;=Einstellungen!$C$8,"auffällig","kritisch"))))</f>
        <v/>
      </c>
      <c r="O67" s="65">
        <f>IF(L67="",-1,L67+ROW()/1000000000)</f>
        <v/>
      </c>
    </row>
    <row r="68">
      <c r="A68" s="49">
        <f>IF(Mitarbeiter!B68="","",Mitarbeiter!A68)</f>
        <v/>
      </c>
      <c r="B68" s="50">
        <f>IF(Mitarbeiter!B68="","",Mitarbeiter!B68)</f>
        <v/>
      </c>
      <c r="C68" s="7">
        <f>IF(Mitarbeiter!B68="","",Mitarbeiter!G68)</f>
        <v/>
      </c>
      <c r="D68" s="58">
        <f>IF(Mitarbeiter!B68="","",Mitarbeiter!H68)</f>
        <v/>
      </c>
      <c r="E68" s="58">
        <f>IF(Mitarbeiter!B68="","",'Ist-Stunden'!O68)</f>
        <v/>
      </c>
      <c r="F68" s="58">
        <f>IF(B68="","",Krankheitstage!AE68)</f>
        <v/>
      </c>
      <c r="G68" s="62">
        <f>IF(B68="","",Krankheitstage!P68)</f>
        <v/>
      </c>
      <c r="H68" s="62">
        <f>IF(B68="","",Krankheitstage!AC68)</f>
        <v/>
      </c>
      <c r="I68" s="62">
        <f>IF(B68="","",Krankheitstage!AD68)</f>
        <v/>
      </c>
      <c r="J68" s="36">
        <f>IF(B68="","",SUMPRODUCT(((Krankheitstage!D68:O68+Krankheitstage!Q68:AB68)&gt;0)*1))</f>
        <v/>
      </c>
      <c r="K68" s="63">
        <f>IF(B68="","",IF(N(D68)&gt;0,F68/D68,""))</f>
        <v/>
      </c>
      <c r="L68" s="40">
        <f>IF(B68="","",IF(N(E68)&gt;0,IF(Einstellungen!$C$10="Ja",F68/E68,F68/(E68+F68)),""))</f>
        <v/>
      </c>
      <c r="M68" s="64">
        <f>IF(L68="","",RANK(L68,$L$6:$L$205,0))</f>
        <v/>
      </c>
      <c r="N68" s="57">
        <f>IF(B68="","",IF(L68="","keine Ist-Std.",IF(L68&lt;=Einstellungen!$C$7,"unauffällig",IF(L68&lt;=Einstellungen!$C$8,"auffällig","kritisch"))))</f>
        <v/>
      </c>
      <c r="O68" s="65">
        <f>IF(L68="",-1,L68+ROW()/1000000000)</f>
        <v/>
      </c>
    </row>
    <row r="69">
      <c r="A69" s="49">
        <f>IF(Mitarbeiter!B69="","",Mitarbeiter!A69)</f>
        <v/>
      </c>
      <c r="B69" s="50">
        <f>IF(Mitarbeiter!B69="","",Mitarbeiter!B69)</f>
        <v/>
      </c>
      <c r="C69" s="7">
        <f>IF(Mitarbeiter!B69="","",Mitarbeiter!G69)</f>
        <v/>
      </c>
      <c r="D69" s="58">
        <f>IF(Mitarbeiter!B69="","",Mitarbeiter!H69)</f>
        <v/>
      </c>
      <c r="E69" s="58">
        <f>IF(Mitarbeiter!B69="","",'Ist-Stunden'!O69)</f>
        <v/>
      </c>
      <c r="F69" s="58">
        <f>IF(B69="","",Krankheitstage!AE69)</f>
        <v/>
      </c>
      <c r="G69" s="62">
        <f>IF(B69="","",Krankheitstage!P69)</f>
        <v/>
      </c>
      <c r="H69" s="62">
        <f>IF(B69="","",Krankheitstage!AC69)</f>
        <v/>
      </c>
      <c r="I69" s="62">
        <f>IF(B69="","",Krankheitstage!AD69)</f>
        <v/>
      </c>
      <c r="J69" s="36">
        <f>IF(B69="","",SUMPRODUCT(((Krankheitstage!D69:O69+Krankheitstage!Q69:AB69)&gt;0)*1))</f>
        <v/>
      </c>
      <c r="K69" s="63">
        <f>IF(B69="","",IF(N(D69)&gt;0,F69/D69,""))</f>
        <v/>
      </c>
      <c r="L69" s="40">
        <f>IF(B69="","",IF(N(E69)&gt;0,IF(Einstellungen!$C$10="Ja",F69/E69,F69/(E69+F69)),""))</f>
        <v/>
      </c>
      <c r="M69" s="64">
        <f>IF(L69="","",RANK(L69,$L$6:$L$205,0))</f>
        <v/>
      </c>
      <c r="N69" s="57">
        <f>IF(B69="","",IF(L69="","keine Ist-Std.",IF(L69&lt;=Einstellungen!$C$7,"unauffällig",IF(L69&lt;=Einstellungen!$C$8,"auffällig","kritisch"))))</f>
        <v/>
      </c>
      <c r="O69" s="65">
        <f>IF(L69="",-1,L69+ROW()/1000000000)</f>
        <v/>
      </c>
    </row>
    <row r="70">
      <c r="A70" s="49">
        <f>IF(Mitarbeiter!B70="","",Mitarbeiter!A70)</f>
        <v/>
      </c>
      <c r="B70" s="50">
        <f>IF(Mitarbeiter!B70="","",Mitarbeiter!B70)</f>
        <v/>
      </c>
      <c r="C70" s="7">
        <f>IF(Mitarbeiter!B70="","",Mitarbeiter!G70)</f>
        <v/>
      </c>
      <c r="D70" s="58">
        <f>IF(Mitarbeiter!B70="","",Mitarbeiter!H70)</f>
        <v/>
      </c>
      <c r="E70" s="58">
        <f>IF(Mitarbeiter!B70="","",'Ist-Stunden'!O70)</f>
        <v/>
      </c>
      <c r="F70" s="58">
        <f>IF(B70="","",Krankheitstage!AE70)</f>
        <v/>
      </c>
      <c r="G70" s="62">
        <f>IF(B70="","",Krankheitstage!P70)</f>
        <v/>
      </c>
      <c r="H70" s="62">
        <f>IF(B70="","",Krankheitstage!AC70)</f>
        <v/>
      </c>
      <c r="I70" s="62">
        <f>IF(B70="","",Krankheitstage!AD70)</f>
        <v/>
      </c>
      <c r="J70" s="36">
        <f>IF(B70="","",SUMPRODUCT(((Krankheitstage!D70:O70+Krankheitstage!Q70:AB70)&gt;0)*1))</f>
        <v/>
      </c>
      <c r="K70" s="63">
        <f>IF(B70="","",IF(N(D70)&gt;0,F70/D70,""))</f>
        <v/>
      </c>
      <c r="L70" s="40">
        <f>IF(B70="","",IF(N(E70)&gt;0,IF(Einstellungen!$C$10="Ja",F70/E70,F70/(E70+F70)),""))</f>
        <v/>
      </c>
      <c r="M70" s="64">
        <f>IF(L70="","",RANK(L70,$L$6:$L$205,0))</f>
        <v/>
      </c>
      <c r="N70" s="57">
        <f>IF(B70="","",IF(L70="","keine Ist-Std.",IF(L70&lt;=Einstellungen!$C$7,"unauffällig",IF(L70&lt;=Einstellungen!$C$8,"auffällig","kritisch"))))</f>
        <v/>
      </c>
      <c r="O70" s="65">
        <f>IF(L70="",-1,L70+ROW()/1000000000)</f>
        <v/>
      </c>
    </row>
    <row r="71">
      <c r="A71" s="49">
        <f>IF(Mitarbeiter!B71="","",Mitarbeiter!A71)</f>
        <v/>
      </c>
      <c r="B71" s="50">
        <f>IF(Mitarbeiter!B71="","",Mitarbeiter!B71)</f>
        <v/>
      </c>
      <c r="C71" s="7">
        <f>IF(Mitarbeiter!B71="","",Mitarbeiter!G71)</f>
        <v/>
      </c>
      <c r="D71" s="58">
        <f>IF(Mitarbeiter!B71="","",Mitarbeiter!H71)</f>
        <v/>
      </c>
      <c r="E71" s="58">
        <f>IF(Mitarbeiter!B71="","",'Ist-Stunden'!O71)</f>
        <v/>
      </c>
      <c r="F71" s="58">
        <f>IF(B71="","",Krankheitstage!AE71)</f>
        <v/>
      </c>
      <c r="G71" s="62">
        <f>IF(B71="","",Krankheitstage!P71)</f>
        <v/>
      </c>
      <c r="H71" s="62">
        <f>IF(B71="","",Krankheitstage!AC71)</f>
        <v/>
      </c>
      <c r="I71" s="62">
        <f>IF(B71="","",Krankheitstage!AD71)</f>
        <v/>
      </c>
      <c r="J71" s="36">
        <f>IF(B71="","",SUMPRODUCT(((Krankheitstage!D71:O71+Krankheitstage!Q71:AB71)&gt;0)*1))</f>
        <v/>
      </c>
      <c r="K71" s="63">
        <f>IF(B71="","",IF(N(D71)&gt;0,F71/D71,""))</f>
        <v/>
      </c>
      <c r="L71" s="40">
        <f>IF(B71="","",IF(N(E71)&gt;0,IF(Einstellungen!$C$10="Ja",F71/E71,F71/(E71+F71)),""))</f>
        <v/>
      </c>
      <c r="M71" s="64">
        <f>IF(L71="","",RANK(L71,$L$6:$L$205,0))</f>
        <v/>
      </c>
      <c r="N71" s="57">
        <f>IF(B71="","",IF(L71="","keine Ist-Std.",IF(L71&lt;=Einstellungen!$C$7,"unauffällig",IF(L71&lt;=Einstellungen!$C$8,"auffällig","kritisch"))))</f>
        <v/>
      </c>
      <c r="O71" s="65">
        <f>IF(L71="",-1,L71+ROW()/1000000000)</f>
        <v/>
      </c>
    </row>
    <row r="72">
      <c r="A72" s="49">
        <f>IF(Mitarbeiter!B72="","",Mitarbeiter!A72)</f>
        <v/>
      </c>
      <c r="B72" s="50">
        <f>IF(Mitarbeiter!B72="","",Mitarbeiter!B72)</f>
        <v/>
      </c>
      <c r="C72" s="7">
        <f>IF(Mitarbeiter!B72="","",Mitarbeiter!G72)</f>
        <v/>
      </c>
      <c r="D72" s="58">
        <f>IF(Mitarbeiter!B72="","",Mitarbeiter!H72)</f>
        <v/>
      </c>
      <c r="E72" s="58">
        <f>IF(Mitarbeiter!B72="","",'Ist-Stunden'!O72)</f>
        <v/>
      </c>
      <c r="F72" s="58">
        <f>IF(B72="","",Krankheitstage!AE72)</f>
        <v/>
      </c>
      <c r="G72" s="62">
        <f>IF(B72="","",Krankheitstage!P72)</f>
        <v/>
      </c>
      <c r="H72" s="62">
        <f>IF(B72="","",Krankheitstage!AC72)</f>
        <v/>
      </c>
      <c r="I72" s="62">
        <f>IF(B72="","",Krankheitstage!AD72)</f>
        <v/>
      </c>
      <c r="J72" s="36">
        <f>IF(B72="","",SUMPRODUCT(((Krankheitstage!D72:O72+Krankheitstage!Q72:AB72)&gt;0)*1))</f>
        <v/>
      </c>
      <c r="K72" s="63">
        <f>IF(B72="","",IF(N(D72)&gt;0,F72/D72,""))</f>
        <v/>
      </c>
      <c r="L72" s="40">
        <f>IF(B72="","",IF(N(E72)&gt;0,IF(Einstellungen!$C$10="Ja",F72/E72,F72/(E72+F72)),""))</f>
        <v/>
      </c>
      <c r="M72" s="64">
        <f>IF(L72="","",RANK(L72,$L$6:$L$205,0))</f>
        <v/>
      </c>
      <c r="N72" s="57">
        <f>IF(B72="","",IF(L72="","keine Ist-Std.",IF(L72&lt;=Einstellungen!$C$7,"unauffällig",IF(L72&lt;=Einstellungen!$C$8,"auffällig","kritisch"))))</f>
        <v/>
      </c>
      <c r="O72" s="65">
        <f>IF(L72="",-1,L72+ROW()/1000000000)</f>
        <v/>
      </c>
    </row>
    <row r="73">
      <c r="A73" s="49">
        <f>IF(Mitarbeiter!B73="","",Mitarbeiter!A73)</f>
        <v/>
      </c>
      <c r="B73" s="50">
        <f>IF(Mitarbeiter!B73="","",Mitarbeiter!B73)</f>
        <v/>
      </c>
      <c r="C73" s="7">
        <f>IF(Mitarbeiter!B73="","",Mitarbeiter!G73)</f>
        <v/>
      </c>
      <c r="D73" s="58">
        <f>IF(Mitarbeiter!B73="","",Mitarbeiter!H73)</f>
        <v/>
      </c>
      <c r="E73" s="58">
        <f>IF(Mitarbeiter!B73="","",'Ist-Stunden'!O73)</f>
        <v/>
      </c>
      <c r="F73" s="58">
        <f>IF(B73="","",Krankheitstage!AE73)</f>
        <v/>
      </c>
      <c r="G73" s="62">
        <f>IF(B73="","",Krankheitstage!P73)</f>
        <v/>
      </c>
      <c r="H73" s="62">
        <f>IF(B73="","",Krankheitstage!AC73)</f>
        <v/>
      </c>
      <c r="I73" s="62">
        <f>IF(B73="","",Krankheitstage!AD73)</f>
        <v/>
      </c>
      <c r="J73" s="36">
        <f>IF(B73="","",SUMPRODUCT(((Krankheitstage!D73:O73+Krankheitstage!Q73:AB73)&gt;0)*1))</f>
        <v/>
      </c>
      <c r="K73" s="63">
        <f>IF(B73="","",IF(N(D73)&gt;0,F73/D73,""))</f>
        <v/>
      </c>
      <c r="L73" s="40">
        <f>IF(B73="","",IF(N(E73)&gt;0,IF(Einstellungen!$C$10="Ja",F73/E73,F73/(E73+F73)),""))</f>
        <v/>
      </c>
      <c r="M73" s="64">
        <f>IF(L73="","",RANK(L73,$L$6:$L$205,0))</f>
        <v/>
      </c>
      <c r="N73" s="57">
        <f>IF(B73="","",IF(L73="","keine Ist-Std.",IF(L73&lt;=Einstellungen!$C$7,"unauffällig",IF(L73&lt;=Einstellungen!$C$8,"auffällig","kritisch"))))</f>
        <v/>
      </c>
      <c r="O73" s="65">
        <f>IF(L73="",-1,L73+ROW()/1000000000)</f>
        <v/>
      </c>
    </row>
    <row r="74">
      <c r="A74" s="49">
        <f>IF(Mitarbeiter!B74="","",Mitarbeiter!A74)</f>
        <v/>
      </c>
      <c r="B74" s="50">
        <f>IF(Mitarbeiter!B74="","",Mitarbeiter!B74)</f>
        <v/>
      </c>
      <c r="C74" s="7">
        <f>IF(Mitarbeiter!B74="","",Mitarbeiter!G74)</f>
        <v/>
      </c>
      <c r="D74" s="58">
        <f>IF(Mitarbeiter!B74="","",Mitarbeiter!H74)</f>
        <v/>
      </c>
      <c r="E74" s="58">
        <f>IF(Mitarbeiter!B74="","",'Ist-Stunden'!O74)</f>
        <v/>
      </c>
      <c r="F74" s="58">
        <f>IF(B74="","",Krankheitstage!AE74)</f>
        <v/>
      </c>
      <c r="G74" s="62">
        <f>IF(B74="","",Krankheitstage!P74)</f>
        <v/>
      </c>
      <c r="H74" s="62">
        <f>IF(B74="","",Krankheitstage!AC74)</f>
        <v/>
      </c>
      <c r="I74" s="62">
        <f>IF(B74="","",Krankheitstage!AD74)</f>
        <v/>
      </c>
      <c r="J74" s="36">
        <f>IF(B74="","",SUMPRODUCT(((Krankheitstage!D74:O74+Krankheitstage!Q74:AB74)&gt;0)*1))</f>
        <v/>
      </c>
      <c r="K74" s="63">
        <f>IF(B74="","",IF(N(D74)&gt;0,F74/D74,""))</f>
        <v/>
      </c>
      <c r="L74" s="40">
        <f>IF(B74="","",IF(N(E74)&gt;0,IF(Einstellungen!$C$10="Ja",F74/E74,F74/(E74+F74)),""))</f>
        <v/>
      </c>
      <c r="M74" s="64">
        <f>IF(L74="","",RANK(L74,$L$6:$L$205,0))</f>
        <v/>
      </c>
      <c r="N74" s="57">
        <f>IF(B74="","",IF(L74="","keine Ist-Std.",IF(L74&lt;=Einstellungen!$C$7,"unauffällig",IF(L74&lt;=Einstellungen!$C$8,"auffällig","kritisch"))))</f>
        <v/>
      </c>
      <c r="O74" s="65">
        <f>IF(L74="",-1,L74+ROW()/1000000000)</f>
        <v/>
      </c>
    </row>
    <row r="75">
      <c r="A75" s="49">
        <f>IF(Mitarbeiter!B75="","",Mitarbeiter!A75)</f>
        <v/>
      </c>
      <c r="B75" s="50">
        <f>IF(Mitarbeiter!B75="","",Mitarbeiter!B75)</f>
        <v/>
      </c>
      <c r="C75" s="7">
        <f>IF(Mitarbeiter!B75="","",Mitarbeiter!G75)</f>
        <v/>
      </c>
      <c r="D75" s="58">
        <f>IF(Mitarbeiter!B75="","",Mitarbeiter!H75)</f>
        <v/>
      </c>
      <c r="E75" s="58">
        <f>IF(Mitarbeiter!B75="","",'Ist-Stunden'!O75)</f>
        <v/>
      </c>
      <c r="F75" s="58">
        <f>IF(B75="","",Krankheitstage!AE75)</f>
        <v/>
      </c>
      <c r="G75" s="62">
        <f>IF(B75="","",Krankheitstage!P75)</f>
        <v/>
      </c>
      <c r="H75" s="62">
        <f>IF(B75="","",Krankheitstage!AC75)</f>
        <v/>
      </c>
      <c r="I75" s="62">
        <f>IF(B75="","",Krankheitstage!AD75)</f>
        <v/>
      </c>
      <c r="J75" s="36">
        <f>IF(B75="","",SUMPRODUCT(((Krankheitstage!D75:O75+Krankheitstage!Q75:AB75)&gt;0)*1))</f>
        <v/>
      </c>
      <c r="K75" s="63">
        <f>IF(B75="","",IF(N(D75)&gt;0,F75/D75,""))</f>
        <v/>
      </c>
      <c r="L75" s="40">
        <f>IF(B75="","",IF(N(E75)&gt;0,IF(Einstellungen!$C$10="Ja",F75/E75,F75/(E75+F75)),""))</f>
        <v/>
      </c>
      <c r="M75" s="64">
        <f>IF(L75="","",RANK(L75,$L$6:$L$205,0))</f>
        <v/>
      </c>
      <c r="N75" s="57">
        <f>IF(B75="","",IF(L75="","keine Ist-Std.",IF(L75&lt;=Einstellungen!$C$7,"unauffällig",IF(L75&lt;=Einstellungen!$C$8,"auffällig","kritisch"))))</f>
        <v/>
      </c>
      <c r="O75" s="65">
        <f>IF(L75="",-1,L75+ROW()/1000000000)</f>
        <v/>
      </c>
    </row>
    <row r="76">
      <c r="A76" s="49">
        <f>IF(Mitarbeiter!B76="","",Mitarbeiter!A76)</f>
        <v/>
      </c>
      <c r="B76" s="50">
        <f>IF(Mitarbeiter!B76="","",Mitarbeiter!B76)</f>
        <v/>
      </c>
      <c r="C76" s="7">
        <f>IF(Mitarbeiter!B76="","",Mitarbeiter!G76)</f>
        <v/>
      </c>
      <c r="D76" s="58">
        <f>IF(Mitarbeiter!B76="","",Mitarbeiter!H76)</f>
        <v/>
      </c>
      <c r="E76" s="58">
        <f>IF(Mitarbeiter!B76="","",'Ist-Stunden'!O76)</f>
        <v/>
      </c>
      <c r="F76" s="58">
        <f>IF(B76="","",Krankheitstage!AE76)</f>
        <v/>
      </c>
      <c r="G76" s="62">
        <f>IF(B76="","",Krankheitstage!P76)</f>
        <v/>
      </c>
      <c r="H76" s="62">
        <f>IF(B76="","",Krankheitstage!AC76)</f>
        <v/>
      </c>
      <c r="I76" s="62">
        <f>IF(B76="","",Krankheitstage!AD76)</f>
        <v/>
      </c>
      <c r="J76" s="36">
        <f>IF(B76="","",SUMPRODUCT(((Krankheitstage!D76:O76+Krankheitstage!Q76:AB76)&gt;0)*1))</f>
        <v/>
      </c>
      <c r="K76" s="63">
        <f>IF(B76="","",IF(N(D76)&gt;0,F76/D76,""))</f>
        <v/>
      </c>
      <c r="L76" s="40">
        <f>IF(B76="","",IF(N(E76)&gt;0,IF(Einstellungen!$C$10="Ja",F76/E76,F76/(E76+F76)),""))</f>
        <v/>
      </c>
      <c r="M76" s="64">
        <f>IF(L76="","",RANK(L76,$L$6:$L$205,0))</f>
        <v/>
      </c>
      <c r="N76" s="57">
        <f>IF(B76="","",IF(L76="","keine Ist-Std.",IF(L76&lt;=Einstellungen!$C$7,"unauffällig",IF(L76&lt;=Einstellungen!$C$8,"auffällig","kritisch"))))</f>
        <v/>
      </c>
      <c r="O76" s="65">
        <f>IF(L76="",-1,L76+ROW()/1000000000)</f>
        <v/>
      </c>
    </row>
    <row r="77">
      <c r="A77" s="49">
        <f>IF(Mitarbeiter!B77="","",Mitarbeiter!A77)</f>
        <v/>
      </c>
      <c r="B77" s="50">
        <f>IF(Mitarbeiter!B77="","",Mitarbeiter!B77)</f>
        <v/>
      </c>
      <c r="C77" s="7">
        <f>IF(Mitarbeiter!B77="","",Mitarbeiter!G77)</f>
        <v/>
      </c>
      <c r="D77" s="58">
        <f>IF(Mitarbeiter!B77="","",Mitarbeiter!H77)</f>
        <v/>
      </c>
      <c r="E77" s="58">
        <f>IF(Mitarbeiter!B77="","",'Ist-Stunden'!O77)</f>
        <v/>
      </c>
      <c r="F77" s="58">
        <f>IF(B77="","",Krankheitstage!AE77)</f>
        <v/>
      </c>
      <c r="G77" s="62">
        <f>IF(B77="","",Krankheitstage!P77)</f>
        <v/>
      </c>
      <c r="H77" s="62">
        <f>IF(B77="","",Krankheitstage!AC77)</f>
        <v/>
      </c>
      <c r="I77" s="62">
        <f>IF(B77="","",Krankheitstage!AD77)</f>
        <v/>
      </c>
      <c r="J77" s="36">
        <f>IF(B77="","",SUMPRODUCT(((Krankheitstage!D77:O77+Krankheitstage!Q77:AB77)&gt;0)*1))</f>
        <v/>
      </c>
      <c r="K77" s="63">
        <f>IF(B77="","",IF(N(D77)&gt;0,F77/D77,""))</f>
        <v/>
      </c>
      <c r="L77" s="40">
        <f>IF(B77="","",IF(N(E77)&gt;0,IF(Einstellungen!$C$10="Ja",F77/E77,F77/(E77+F77)),""))</f>
        <v/>
      </c>
      <c r="M77" s="64">
        <f>IF(L77="","",RANK(L77,$L$6:$L$205,0))</f>
        <v/>
      </c>
      <c r="N77" s="57">
        <f>IF(B77="","",IF(L77="","keine Ist-Std.",IF(L77&lt;=Einstellungen!$C$7,"unauffällig",IF(L77&lt;=Einstellungen!$C$8,"auffällig","kritisch"))))</f>
        <v/>
      </c>
      <c r="O77" s="65">
        <f>IF(L77="",-1,L77+ROW()/1000000000)</f>
        <v/>
      </c>
    </row>
    <row r="78">
      <c r="A78" s="49">
        <f>IF(Mitarbeiter!B78="","",Mitarbeiter!A78)</f>
        <v/>
      </c>
      <c r="B78" s="50">
        <f>IF(Mitarbeiter!B78="","",Mitarbeiter!B78)</f>
        <v/>
      </c>
      <c r="C78" s="7">
        <f>IF(Mitarbeiter!B78="","",Mitarbeiter!G78)</f>
        <v/>
      </c>
      <c r="D78" s="58">
        <f>IF(Mitarbeiter!B78="","",Mitarbeiter!H78)</f>
        <v/>
      </c>
      <c r="E78" s="58">
        <f>IF(Mitarbeiter!B78="","",'Ist-Stunden'!O78)</f>
        <v/>
      </c>
      <c r="F78" s="58">
        <f>IF(B78="","",Krankheitstage!AE78)</f>
        <v/>
      </c>
      <c r="G78" s="62">
        <f>IF(B78="","",Krankheitstage!P78)</f>
        <v/>
      </c>
      <c r="H78" s="62">
        <f>IF(B78="","",Krankheitstage!AC78)</f>
        <v/>
      </c>
      <c r="I78" s="62">
        <f>IF(B78="","",Krankheitstage!AD78)</f>
        <v/>
      </c>
      <c r="J78" s="36">
        <f>IF(B78="","",SUMPRODUCT(((Krankheitstage!D78:O78+Krankheitstage!Q78:AB78)&gt;0)*1))</f>
        <v/>
      </c>
      <c r="K78" s="63">
        <f>IF(B78="","",IF(N(D78)&gt;0,F78/D78,""))</f>
        <v/>
      </c>
      <c r="L78" s="40">
        <f>IF(B78="","",IF(N(E78)&gt;0,IF(Einstellungen!$C$10="Ja",F78/E78,F78/(E78+F78)),""))</f>
        <v/>
      </c>
      <c r="M78" s="64">
        <f>IF(L78="","",RANK(L78,$L$6:$L$205,0))</f>
        <v/>
      </c>
      <c r="N78" s="57">
        <f>IF(B78="","",IF(L78="","keine Ist-Std.",IF(L78&lt;=Einstellungen!$C$7,"unauffällig",IF(L78&lt;=Einstellungen!$C$8,"auffällig","kritisch"))))</f>
        <v/>
      </c>
      <c r="O78" s="65">
        <f>IF(L78="",-1,L78+ROW()/1000000000)</f>
        <v/>
      </c>
    </row>
    <row r="79">
      <c r="A79" s="49">
        <f>IF(Mitarbeiter!B79="","",Mitarbeiter!A79)</f>
        <v/>
      </c>
      <c r="B79" s="50">
        <f>IF(Mitarbeiter!B79="","",Mitarbeiter!B79)</f>
        <v/>
      </c>
      <c r="C79" s="7">
        <f>IF(Mitarbeiter!B79="","",Mitarbeiter!G79)</f>
        <v/>
      </c>
      <c r="D79" s="58">
        <f>IF(Mitarbeiter!B79="","",Mitarbeiter!H79)</f>
        <v/>
      </c>
      <c r="E79" s="58">
        <f>IF(Mitarbeiter!B79="","",'Ist-Stunden'!O79)</f>
        <v/>
      </c>
      <c r="F79" s="58">
        <f>IF(B79="","",Krankheitstage!AE79)</f>
        <v/>
      </c>
      <c r="G79" s="62">
        <f>IF(B79="","",Krankheitstage!P79)</f>
        <v/>
      </c>
      <c r="H79" s="62">
        <f>IF(B79="","",Krankheitstage!AC79)</f>
        <v/>
      </c>
      <c r="I79" s="62">
        <f>IF(B79="","",Krankheitstage!AD79)</f>
        <v/>
      </c>
      <c r="J79" s="36">
        <f>IF(B79="","",SUMPRODUCT(((Krankheitstage!D79:O79+Krankheitstage!Q79:AB79)&gt;0)*1))</f>
        <v/>
      </c>
      <c r="K79" s="63">
        <f>IF(B79="","",IF(N(D79)&gt;0,F79/D79,""))</f>
        <v/>
      </c>
      <c r="L79" s="40">
        <f>IF(B79="","",IF(N(E79)&gt;0,IF(Einstellungen!$C$10="Ja",F79/E79,F79/(E79+F79)),""))</f>
        <v/>
      </c>
      <c r="M79" s="64">
        <f>IF(L79="","",RANK(L79,$L$6:$L$205,0))</f>
        <v/>
      </c>
      <c r="N79" s="57">
        <f>IF(B79="","",IF(L79="","keine Ist-Std.",IF(L79&lt;=Einstellungen!$C$7,"unauffällig",IF(L79&lt;=Einstellungen!$C$8,"auffällig","kritisch"))))</f>
        <v/>
      </c>
      <c r="O79" s="65">
        <f>IF(L79="",-1,L79+ROW()/1000000000)</f>
        <v/>
      </c>
    </row>
    <row r="80">
      <c r="A80" s="49">
        <f>IF(Mitarbeiter!B80="","",Mitarbeiter!A80)</f>
        <v/>
      </c>
      <c r="B80" s="50">
        <f>IF(Mitarbeiter!B80="","",Mitarbeiter!B80)</f>
        <v/>
      </c>
      <c r="C80" s="7">
        <f>IF(Mitarbeiter!B80="","",Mitarbeiter!G80)</f>
        <v/>
      </c>
      <c r="D80" s="58">
        <f>IF(Mitarbeiter!B80="","",Mitarbeiter!H80)</f>
        <v/>
      </c>
      <c r="E80" s="58">
        <f>IF(Mitarbeiter!B80="","",'Ist-Stunden'!O80)</f>
        <v/>
      </c>
      <c r="F80" s="58">
        <f>IF(B80="","",Krankheitstage!AE80)</f>
        <v/>
      </c>
      <c r="G80" s="62">
        <f>IF(B80="","",Krankheitstage!P80)</f>
        <v/>
      </c>
      <c r="H80" s="62">
        <f>IF(B80="","",Krankheitstage!AC80)</f>
        <v/>
      </c>
      <c r="I80" s="62">
        <f>IF(B80="","",Krankheitstage!AD80)</f>
        <v/>
      </c>
      <c r="J80" s="36">
        <f>IF(B80="","",SUMPRODUCT(((Krankheitstage!D80:O80+Krankheitstage!Q80:AB80)&gt;0)*1))</f>
        <v/>
      </c>
      <c r="K80" s="63">
        <f>IF(B80="","",IF(N(D80)&gt;0,F80/D80,""))</f>
        <v/>
      </c>
      <c r="L80" s="40">
        <f>IF(B80="","",IF(N(E80)&gt;0,IF(Einstellungen!$C$10="Ja",F80/E80,F80/(E80+F80)),""))</f>
        <v/>
      </c>
      <c r="M80" s="64">
        <f>IF(L80="","",RANK(L80,$L$6:$L$205,0))</f>
        <v/>
      </c>
      <c r="N80" s="57">
        <f>IF(B80="","",IF(L80="","keine Ist-Std.",IF(L80&lt;=Einstellungen!$C$7,"unauffällig",IF(L80&lt;=Einstellungen!$C$8,"auffällig","kritisch"))))</f>
        <v/>
      </c>
      <c r="O80" s="65">
        <f>IF(L80="",-1,L80+ROW()/1000000000)</f>
        <v/>
      </c>
    </row>
    <row r="81">
      <c r="A81" s="49">
        <f>IF(Mitarbeiter!B81="","",Mitarbeiter!A81)</f>
        <v/>
      </c>
      <c r="B81" s="50">
        <f>IF(Mitarbeiter!B81="","",Mitarbeiter!B81)</f>
        <v/>
      </c>
      <c r="C81" s="7">
        <f>IF(Mitarbeiter!B81="","",Mitarbeiter!G81)</f>
        <v/>
      </c>
      <c r="D81" s="58">
        <f>IF(Mitarbeiter!B81="","",Mitarbeiter!H81)</f>
        <v/>
      </c>
      <c r="E81" s="58">
        <f>IF(Mitarbeiter!B81="","",'Ist-Stunden'!O81)</f>
        <v/>
      </c>
      <c r="F81" s="58">
        <f>IF(B81="","",Krankheitstage!AE81)</f>
        <v/>
      </c>
      <c r="G81" s="62">
        <f>IF(B81="","",Krankheitstage!P81)</f>
        <v/>
      </c>
      <c r="H81" s="62">
        <f>IF(B81="","",Krankheitstage!AC81)</f>
        <v/>
      </c>
      <c r="I81" s="62">
        <f>IF(B81="","",Krankheitstage!AD81)</f>
        <v/>
      </c>
      <c r="J81" s="36">
        <f>IF(B81="","",SUMPRODUCT(((Krankheitstage!D81:O81+Krankheitstage!Q81:AB81)&gt;0)*1))</f>
        <v/>
      </c>
      <c r="K81" s="63">
        <f>IF(B81="","",IF(N(D81)&gt;0,F81/D81,""))</f>
        <v/>
      </c>
      <c r="L81" s="40">
        <f>IF(B81="","",IF(N(E81)&gt;0,IF(Einstellungen!$C$10="Ja",F81/E81,F81/(E81+F81)),""))</f>
        <v/>
      </c>
      <c r="M81" s="64">
        <f>IF(L81="","",RANK(L81,$L$6:$L$205,0))</f>
        <v/>
      </c>
      <c r="N81" s="57">
        <f>IF(B81="","",IF(L81="","keine Ist-Std.",IF(L81&lt;=Einstellungen!$C$7,"unauffällig",IF(L81&lt;=Einstellungen!$C$8,"auffällig","kritisch"))))</f>
        <v/>
      </c>
      <c r="O81" s="65">
        <f>IF(L81="",-1,L81+ROW()/1000000000)</f>
        <v/>
      </c>
    </row>
    <row r="82">
      <c r="A82" s="49">
        <f>IF(Mitarbeiter!B82="","",Mitarbeiter!A82)</f>
        <v/>
      </c>
      <c r="B82" s="50">
        <f>IF(Mitarbeiter!B82="","",Mitarbeiter!B82)</f>
        <v/>
      </c>
      <c r="C82" s="7">
        <f>IF(Mitarbeiter!B82="","",Mitarbeiter!G82)</f>
        <v/>
      </c>
      <c r="D82" s="58">
        <f>IF(Mitarbeiter!B82="","",Mitarbeiter!H82)</f>
        <v/>
      </c>
      <c r="E82" s="58">
        <f>IF(Mitarbeiter!B82="","",'Ist-Stunden'!O82)</f>
        <v/>
      </c>
      <c r="F82" s="58">
        <f>IF(B82="","",Krankheitstage!AE82)</f>
        <v/>
      </c>
      <c r="G82" s="62">
        <f>IF(B82="","",Krankheitstage!P82)</f>
        <v/>
      </c>
      <c r="H82" s="62">
        <f>IF(B82="","",Krankheitstage!AC82)</f>
        <v/>
      </c>
      <c r="I82" s="62">
        <f>IF(B82="","",Krankheitstage!AD82)</f>
        <v/>
      </c>
      <c r="J82" s="36">
        <f>IF(B82="","",SUMPRODUCT(((Krankheitstage!D82:O82+Krankheitstage!Q82:AB82)&gt;0)*1))</f>
        <v/>
      </c>
      <c r="K82" s="63">
        <f>IF(B82="","",IF(N(D82)&gt;0,F82/D82,""))</f>
        <v/>
      </c>
      <c r="L82" s="40">
        <f>IF(B82="","",IF(N(E82)&gt;0,IF(Einstellungen!$C$10="Ja",F82/E82,F82/(E82+F82)),""))</f>
        <v/>
      </c>
      <c r="M82" s="64">
        <f>IF(L82="","",RANK(L82,$L$6:$L$205,0))</f>
        <v/>
      </c>
      <c r="N82" s="57">
        <f>IF(B82="","",IF(L82="","keine Ist-Std.",IF(L82&lt;=Einstellungen!$C$7,"unauffällig",IF(L82&lt;=Einstellungen!$C$8,"auffällig","kritisch"))))</f>
        <v/>
      </c>
      <c r="O82" s="65">
        <f>IF(L82="",-1,L82+ROW()/1000000000)</f>
        <v/>
      </c>
    </row>
    <row r="83">
      <c r="A83" s="49">
        <f>IF(Mitarbeiter!B83="","",Mitarbeiter!A83)</f>
        <v/>
      </c>
      <c r="B83" s="50">
        <f>IF(Mitarbeiter!B83="","",Mitarbeiter!B83)</f>
        <v/>
      </c>
      <c r="C83" s="7">
        <f>IF(Mitarbeiter!B83="","",Mitarbeiter!G83)</f>
        <v/>
      </c>
      <c r="D83" s="58">
        <f>IF(Mitarbeiter!B83="","",Mitarbeiter!H83)</f>
        <v/>
      </c>
      <c r="E83" s="58">
        <f>IF(Mitarbeiter!B83="","",'Ist-Stunden'!O83)</f>
        <v/>
      </c>
      <c r="F83" s="58">
        <f>IF(B83="","",Krankheitstage!AE83)</f>
        <v/>
      </c>
      <c r="G83" s="62">
        <f>IF(B83="","",Krankheitstage!P83)</f>
        <v/>
      </c>
      <c r="H83" s="62">
        <f>IF(B83="","",Krankheitstage!AC83)</f>
        <v/>
      </c>
      <c r="I83" s="62">
        <f>IF(B83="","",Krankheitstage!AD83)</f>
        <v/>
      </c>
      <c r="J83" s="36">
        <f>IF(B83="","",SUMPRODUCT(((Krankheitstage!D83:O83+Krankheitstage!Q83:AB83)&gt;0)*1))</f>
        <v/>
      </c>
      <c r="K83" s="63">
        <f>IF(B83="","",IF(N(D83)&gt;0,F83/D83,""))</f>
        <v/>
      </c>
      <c r="L83" s="40">
        <f>IF(B83="","",IF(N(E83)&gt;0,IF(Einstellungen!$C$10="Ja",F83/E83,F83/(E83+F83)),""))</f>
        <v/>
      </c>
      <c r="M83" s="64">
        <f>IF(L83="","",RANK(L83,$L$6:$L$205,0))</f>
        <v/>
      </c>
      <c r="N83" s="57">
        <f>IF(B83="","",IF(L83="","keine Ist-Std.",IF(L83&lt;=Einstellungen!$C$7,"unauffällig",IF(L83&lt;=Einstellungen!$C$8,"auffällig","kritisch"))))</f>
        <v/>
      </c>
      <c r="O83" s="65">
        <f>IF(L83="",-1,L83+ROW()/1000000000)</f>
        <v/>
      </c>
    </row>
    <row r="84">
      <c r="A84" s="49">
        <f>IF(Mitarbeiter!B84="","",Mitarbeiter!A84)</f>
        <v/>
      </c>
      <c r="B84" s="50">
        <f>IF(Mitarbeiter!B84="","",Mitarbeiter!B84)</f>
        <v/>
      </c>
      <c r="C84" s="7">
        <f>IF(Mitarbeiter!B84="","",Mitarbeiter!G84)</f>
        <v/>
      </c>
      <c r="D84" s="58">
        <f>IF(Mitarbeiter!B84="","",Mitarbeiter!H84)</f>
        <v/>
      </c>
      <c r="E84" s="58">
        <f>IF(Mitarbeiter!B84="","",'Ist-Stunden'!O84)</f>
        <v/>
      </c>
      <c r="F84" s="58">
        <f>IF(B84="","",Krankheitstage!AE84)</f>
        <v/>
      </c>
      <c r="G84" s="62">
        <f>IF(B84="","",Krankheitstage!P84)</f>
        <v/>
      </c>
      <c r="H84" s="62">
        <f>IF(B84="","",Krankheitstage!AC84)</f>
        <v/>
      </c>
      <c r="I84" s="62">
        <f>IF(B84="","",Krankheitstage!AD84)</f>
        <v/>
      </c>
      <c r="J84" s="36">
        <f>IF(B84="","",SUMPRODUCT(((Krankheitstage!D84:O84+Krankheitstage!Q84:AB84)&gt;0)*1))</f>
        <v/>
      </c>
      <c r="K84" s="63">
        <f>IF(B84="","",IF(N(D84)&gt;0,F84/D84,""))</f>
        <v/>
      </c>
      <c r="L84" s="40">
        <f>IF(B84="","",IF(N(E84)&gt;0,IF(Einstellungen!$C$10="Ja",F84/E84,F84/(E84+F84)),""))</f>
        <v/>
      </c>
      <c r="M84" s="64">
        <f>IF(L84="","",RANK(L84,$L$6:$L$205,0))</f>
        <v/>
      </c>
      <c r="N84" s="57">
        <f>IF(B84="","",IF(L84="","keine Ist-Std.",IF(L84&lt;=Einstellungen!$C$7,"unauffällig",IF(L84&lt;=Einstellungen!$C$8,"auffällig","kritisch"))))</f>
        <v/>
      </c>
      <c r="O84" s="65">
        <f>IF(L84="",-1,L84+ROW()/1000000000)</f>
        <v/>
      </c>
    </row>
    <row r="85">
      <c r="A85" s="49">
        <f>IF(Mitarbeiter!B85="","",Mitarbeiter!A85)</f>
        <v/>
      </c>
      <c r="B85" s="50">
        <f>IF(Mitarbeiter!B85="","",Mitarbeiter!B85)</f>
        <v/>
      </c>
      <c r="C85" s="7">
        <f>IF(Mitarbeiter!B85="","",Mitarbeiter!G85)</f>
        <v/>
      </c>
      <c r="D85" s="58">
        <f>IF(Mitarbeiter!B85="","",Mitarbeiter!H85)</f>
        <v/>
      </c>
      <c r="E85" s="58">
        <f>IF(Mitarbeiter!B85="","",'Ist-Stunden'!O85)</f>
        <v/>
      </c>
      <c r="F85" s="58">
        <f>IF(B85="","",Krankheitstage!AE85)</f>
        <v/>
      </c>
      <c r="G85" s="62">
        <f>IF(B85="","",Krankheitstage!P85)</f>
        <v/>
      </c>
      <c r="H85" s="62">
        <f>IF(B85="","",Krankheitstage!AC85)</f>
        <v/>
      </c>
      <c r="I85" s="62">
        <f>IF(B85="","",Krankheitstage!AD85)</f>
        <v/>
      </c>
      <c r="J85" s="36">
        <f>IF(B85="","",SUMPRODUCT(((Krankheitstage!D85:O85+Krankheitstage!Q85:AB85)&gt;0)*1))</f>
        <v/>
      </c>
      <c r="K85" s="63">
        <f>IF(B85="","",IF(N(D85)&gt;0,F85/D85,""))</f>
        <v/>
      </c>
      <c r="L85" s="40">
        <f>IF(B85="","",IF(N(E85)&gt;0,IF(Einstellungen!$C$10="Ja",F85/E85,F85/(E85+F85)),""))</f>
        <v/>
      </c>
      <c r="M85" s="64">
        <f>IF(L85="","",RANK(L85,$L$6:$L$205,0))</f>
        <v/>
      </c>
      <c r="N85" s="57">
        <f>IF(B85="","",IF(L85="","keine Ist-Std.",IF(L85&lt;=Einstellungen!$C$7,"unauffällig",IF(L85&lt;=Einstellungen!$C$8,"auffällig","kritisch"))))</f>
        <v/>
      </c>
      <c r="O85" s="65">
        <f>IF(L85="",-1,L85+ROW()/1000000000)</f>
        <v/>
      </c>
    </row>
    <row r="86">
      <c r="A86" s="49">
        <f>IF(Mitarbeiter!B86="","",Mitarbeiter!A86)</f>
        <v/>
      </c>
      <c r="B86" s="50">
        <f>IF(Mitarbeiter!B86="","",Mitarbeiter!B86)</f>
        <v/>
      </c>
      <c r="C86" s="7">
        <f>IF(Mitarbeiter!B86="","",Mitarbeiter!G86)</f>
        <v/>
      </c>
      <c r="D86" s="58">
        <f>IF(Mitarbeiter!B86="","",Mitarbeiter!H86)</f>
        <v/>
      </c>
      <c r="E86" s="58">
        <f>IF(Mitarbeiter!B86="","",'Ist-Stunden'!O86)</f>
        <v/>
      </c>
      <c r="F86" s="58">
        <f>IF(B86="","",Krankheitstage!AE86)</f>
        <v/>
      </c>
      <c r="G86" s="62">
        <f>IF(B86="","",Krankheitstage!P86)</f>
        <v/>
      </c>
      <c r="H86" s="62">
        <f>IF(B86="","",Krankheitstage!AC86)</f>
        <v/>
      </c>
      <c r="I86" s="62">
        <f>IF(B86="","",Krankheitstage!AD86)</f>
        <v/>
      </c>
      <c r="J86" s="36">
        <f>IF(B86="","",SUMPRODUCT(((Krankheitstage!D86:O86+Krankheitstage!Q86:AB86)&gt;0)*1))</f>
        <v/>
      </c>
      <c r="K86" s="63">
        <f>IF(B86="","",IF(N(D86)&gt;0,F86/D86,""))</f>
        <v/>
      </c>
      <c r="L86" s="40">
        <f>IF(B86="","",IF(N(E86)&gt;0,IF(Einstellungen!$C$10="Ja",F86/E86,F86/(E86+F86)),""))</f>
        <v/>
      </c>
      <c r="M86" s="64">
        <f>IF(L86="","",RANK(L86,$L$6:$L$205,0))</f>
        <v/>
      </c>
      <c r="N86" s="57">
        <f>IF(B86="","",IF(L86="","keine Ist-Std.",IF(L86&lt;=Einstellungen!$C$7,"unauffällig",IF(L86&lt;=Einstellungen!$C$8,"auffällig","kritisch"))))</f>
        <v/>
      </c>
      <c r="O86" s="65">
        <f>IF(L86="",-1,L86+ROW()/1000000000)</f>
        <v/>
      </c>
    </row>
    <row r="87">
      <c r="A87" s="49">
        <f>IF(Mitarbeiter!B87="","",Mitarbeiter!A87)</f>
        <v/>
      </c>
      <c r="B87" s="50">
        <f>IF(Mitarbeiter!B87="","",Mitarbeiter!B87)</f>
        <v/>
      </c>
      <c r="C87" s="7">
        <f>IF(Mitarbeiter!B87="","",Mitarbeiter!G87)</f>
        <v/>
      </c>
      <c r="D87" s="58">
        <f>IF(Mitarbeiter!B87="","",Mitarbeiter!H87)</f>
        <v/>
      </c>
      <c r="E87" s="58">
        <f>IF(Mitarbeiter!B87="","",'Ist-Stunden'!O87)</f>
        <v/>
      </c>
      <c r="F87" s="58">
        <f>IF(B87="","",Krankheitstage!AE87)</f>
        <v/>
      </c>
      <c r="G87" s="62">
        <f>IF(B87="","",Krankheitstage!P87)</f>
        <v/>
      </c>
      <c r="H87" s="62">
        <f>IF(B87="","",Krankheitstage!AC87)</f>
        <v/>
      </c>
      <c r="I87" s="62">
        <f>IF(B87="","",Krankheitstage!AD87)</f>
        <v/>
      </c>
      <c r="J87" s="36">
        <f>IF(B87="","",SUMPRODUCT(((Krankheitstage!D87:O87+Krankheitstage!Q87:AB87)&gt;0)*1))</f>
        <v/>
      </c>
      <c r="K87" s="63">
        <f>IF(B87="","",IF(N(D87)&gt;0,F87/D87,""))</f>
        <v/>
      </c>
      <c r="L87" s="40">
        <f>IF(B87="","",IF(N(E87)&gt;0,IF(Einstellungen!$C$10="Ja",F87/E87,F87/(E87+F87)),""))</f>
        <v/>
      </c>
      <c r="M87" s="64">
        <f>IF(L87="","",RANK(L87,$L$6:$L$205,0))</f>
        <v/>
      </c>
      <c r="N87" s="57">
        <f>IF(B87="","",IF(L87="","keine Ist-Std.",IF(L87&lt;=Einstellungen!$C$7,"unauffällig",IF(L87&lt;=Einstellungen!$C$8,"auffällig","kritisch"))))</f>
        <v/>
      </c>
      <c r="O87" s="65">
        <f>IF(L87="",-1,L87+ROW()/1000000000)</f>
        <v/>
      </c>
    </row>
    <row r="88">
      <c r="A88" s="49">
        <f>IF(Mitarbeiter!B88="","",Mitarbeiter!A88)</f>
        <v/>
      </c>
      <c r="B88" s="50">
        <f>IF(Mitarbeiter!B88="","",Mitarbeiter!B88)</f>
        <v/>
      </c>
      <c r="C88" s="7">
        <f>IF(Mitarbeiter!B88="","",Mitarbeiter!G88)</f>
        <v/>
      </c>
      <c r="D88" s="58">
        <f>IF(Mitarbeiter!B88="","",Mitarbeiter!H88)</f>
        <v/>
      </c>
      <c r="E88" s="58">
        <f>IF(Mitarbeiter!B88="","",'Ist-Stunden'!O88)</f>
        <v/>
      </c>
      <c r="F88" s="58">
        <f>IF(B88="","",Krankheitstage!AE88)</f>
        <v/>
      </c>
      <c r="G88" s="62">
        <f>IF(B88="","",Krankheitstage!P88)</f>
        <v/>
      </c>
      <c r="H88" s="62">
        <f>IF(B88="","",Krankheitstage!AC88)</f>
        <v/>
      </c>
      <c r="I88" s="62">
        <f>IF(B88="","",Krankheitstage!AD88)</f>
        <v/>
      </c>
      <c r="J88" s="36">
        <f>IF(B88="","",SUMPRODUCT(((Krankheitstage!D88:O88+Krankheitstage!Q88:AB88)&gt;0)*1))</f>
        <v/>
      </c>
      <c r="K88" s="63">
        <f>IF(B88="","",IF(N(D88)&gt;0,F88/D88,""))</f>
        <v/>
      </c>
      <c r="L88" s="40">
        <f>IF(B88="","",IF(N(E88)&gt;0,IF(Einstellungen!$C$10="Ja",F88/E88,F88/(E88+F88)),""))</f>
        <v/>
      </c>
      <c r="M88" s="64">
        <f>IF(L88="","",RANK(L88,$L$6:$L$205,0))</f>
        <v/>
      </c>
      <c r="N88" s="57">
        <f>IF(B88="","",IF(L88="","keine Ist-Std.",IF(L88&lt;=Einstellungen!$C$7,"unauffällig",IF(L88&lt;=Einstellungen!$C$8,"auffällig","kritisch"))))</f>
        <v/>
      </c>
      <c r="O88" s="65">
        <f>IF(L88="",-1,L88+ROW()/1000000000)</f>
        <v/>
      </c>
    </row>
    <row r="89">
      <c r="A89" s="49">
        <f>IF(Mitarbeiter!B89="","",Mitarbeiter!A89)</f>
        <v/>
      </c>
      <c r="B89" s="50">
        <f>IF(Mitarbeiter!B89="","",Mitarbeiter!B89)</f>
        <v/>
      </c>
      <c r="C89" s="7">
        <f>IF(Mitarbeiter!B89="","",Mitarbeiter!G89)</f>
        <v/>
      </c>
      <c r="D89" s="58">
        <f>IF(Mitarbeiter!B89="","",Mitarbeiter!H89)</f>
        <v/>
      </c>
      <c r="E89" s="58">
        <f>IF(Mitarbeiter!B89="","",'Ist-Stunden'!O89)</f>
        <v/>
      </c>
      <c r="F89" s="58">
        <f>IF(B89="","",Krankheitstage!AE89)</f>
        <v/>
      </c>
      <c r="G89" s="62">
        <f>IF(B89="","",Krankheitstage!P89)</f>
        <v/>
      </c>
      <c r="H89" s="62">
        <f>IF(B89="","",Krankheitstage!AC89)</f>
        <v/>
      </c>
      <c r="I89" s="62">
        <f>IF(B89="","",Krankheitstage!AD89)</f>
        <v/>
      </c>
      <c r="J89" s="36">
        <f>IF(B89="","",SUMPRODUCT(((Krankheitstage!D89:O89+Krankheitstage!Q89:AB89)&gt;0)*1))</f>
        <v/>
      </c>
      <c r="K89" s="63">
        <f>IF(B89="","",IF(N(D89)&gt;0,F89/D89,""))</f>
        <v/>
      </c>
      <c r="L89" s="40">
        <f>IF(B89="","",IF(N(E89)&gt;0,IF(Einstellungen!$C$10="Ja",F89/E89,F89/(E89+F89)),""))</f>
        <v/>
      </c>
      <c r="M89" s="64">
        <f>IF(L89="","",RANK(L89,$L$6:$L$205,0))</f>
        <v/>
      </c>
      <c r="N89" s="57">
        <f>IF(B89="","",IF(L89="","keine Ist-Std.",IF(L89&lt;=Einstellungen!$C$7,"unauffällig",IF(L89&lt;=Einstellungen!$C$8,"auffällig","kritisch"))))</f>
        <v/>
      </c>
      <c r="O89" s="65">
        <f>IF(L89="",-1,L89+ROW()/1000000000)</f>
        <v/>
      </c>
    </row>
    <row r="90">
      <c r="A90" s="49">
        <f>IF(Mitarbeiter!B90="","",Mitarbeiter!A90)</f>
        <v/>
      </c>
      <c r="B90" s="50">
        <f>IF(Mitarbeiter!B90="","",Mitarbeiter!B90)</f>
        <v/>
      </c>
      <c r="C90" s="7">
        <f>IF(Mitarbeiter!B90="","",Mitarbeiter!G90)</f>
        <v/>
      </c>
      <c r="D90" s="58">
        <f>IF(Mitarbeiter!B90="","",Mitarbeiter!H90)</f>
        <v/>
      </c>
      <c r="E90" s="58">
        <f>IF(Mitarbeiter!B90="","",'Ist-Stunden'!O90)</f>
        <v/>
      </c>
      <c r="F90" s="58">
        <f>IF(B90="","",Krankheitstage!AE90)</f>
        <v/>
      </c>
      <c r="G90" s="62">
        <f>IF(B90="","",Krankheitstage!P90)</f>
        <v/>
      </c>
      <c r="H90" s="62">
        <f>IF(B90="","",Krankheitstage!AC90)</f>
        <v/>
      </c>
      <c r="I90" s="62">
        <f>IF(B90="","",Krankheitstage!AD90)</f>
        <v/>
      </c>
      <c r="J90" s="36">
        <f>IF(B90="","",SUMPRODUCT(((Krankheitstage!D90:O90+Krankheitstage!Q90:AB90)&gt;0)*1))</f>
        <v/>
      </c>
      <c r="K90" s="63">
        <f>IF(B90="","",IF(N(D90)&gt;0,F90/D90,""))</f>
        <v/>
      </c>
      <c r="L90" s="40">
        <f>IF(B90="","",IF(N(E90)&gt;0,IF(Einstellungen!$C$10="Ja",F90/E90,F90/(E90+F90)),""))</f>
        <v/>
      </c>
      <c r="M90" s="64">
        <f>IF(L90="","",RANK(L90,$L$6:$L$205,0))</f>
        <v/>
      </c>
      <c r="N90" s="57">
        <f>IF(B90="","",IF(L90="","keine Ist-Std.",IF(L90&lt;=Einstellungen!$C$7,"unauffällig",IF(L90&lt;=Einstellungen!$C$8,"auffällig","kritisch"))))</f>
        <v/>
      </c>
      <c r="O90" s="65">
        <f>IF(L90="",-1,L90+ROW()/1000000000)</f>
        <v/>
      </c>
    </row>
    <row r="91">
      <c r="A91" s="49">
        <f>IF(Mitarbeiter!B91="","",Mitarbeiter!A91)</f>
        <v/>
      </c>
      <c r="B91" s="50">
        <f>IF(Mitarbeiter!B91="","",Mitarbeiter!B91)</f>
        <v/>
      </c>
      <c r="C91" s="7">
        <f>IF(Mitarbeiter!B91="","",Mitarbeiter!G91)</f>
        <v/>
      </c>
      <c r="D91" s="58">
        <f>IF(Mitarbeiter!B91="","",Mitarbeiter!H91)</f>
        <v/>
      </c>
      <c r="E91" s="58">
        <f>IF(Mitarbeiter!B91="","",'Ist-Stunden'!O91)</f>
        <v/>
      </c>
      <c r="F91" s="58">
        <f>IF(B91="","",Krankheitstage!AE91)</f>
        <v/>
      </c>
      <c r="G91" s="62">
        <f>IF(B91="","",Krankheitstage!P91)</f>
        <v/>
      </c>
      <c r="H91" s="62">
        <f>IF(B91="","",Krankheitstage!AC91)</f>
        <v/>
      </c>
      <c r="I91" s="62">
        <f>IF(B91="","",Krankheitstage!AD91)</f>
        <v/>
      </c>
      <c r="J91" s="36">
        <f>IF(B91="","",SUMPRODUCT(((Krankheitstage!D91:O91+Krankheitstage!Q91:AB91)&gt;0)*1))</f>
        <v/>
      </c>
      <c r="K91" s="63">
        <f>IF(B91="","",IF(N(D91)&gt;0,F91/D91,""))</f>
        <v/>
      </c>
      <c r="L91" s="40">
        <f>IF(B91="","",IF(N(E91)&gt;0,IF(Einstellungen!$C$10="Ja",F91/E91,F91/(E91+F91)),""))</f>
        <v/>
      </c>
      <c r="M91" s="64">
        <f>IF(L91="","",RANK(L91,$L$6:$L$205,0))</f>
        <v/>
      </c>
      <c r="N91" s="57">
        <f>IF(B91="","",IF(L91="","keine Ist-Std.",IF(L91&lt;=Einstellungen!$C$7,"unauffällig",IF(L91&lt;=Einstellungen!$C$8,"auffällig","kritisch"))))</f>
        <v/>
      </c>
      <c r="O91" s="65">
        <f>IF(L91="",-1,L91+ROW()/1000000000)</f>
        <v/>
      </c>
    </row>
    <row r="92">
      <c r="A92" s="49">
        <f>IF(Mitarbeiter!B92="","",Mitarbeiter!A92)</f>
        <v/>
      </c>
      <c r="B92" s="50">
        <f>IF(Mitarbeiter!B92="","",Mitarbeiter!B92)</f>
        <v/>
      </c>
      <c r="C92" s="7">
        <f>IF(Mitarbeiter!B92="","",Mitarbeiter!G92)</f>
        <v/>
      </c>
      <c r="D92" s="58">
        <f>IF(Mitarbeiter!B92="","",Mitarbeiter!H92)</f>
        <v/>
      </c>
      <c r="E92" s="58">
        <f>IF(Mitarbeiter!B92="","",'Ist-Stunden'!O92)</f>
        <v/>
      </c>
      <c r="F92" s="58">
        <f>IF(B92="","",Krankheitstage!AE92)</f>
        <v/>
      </c>
      <c r="G92" s="62">
        <f>IF(B92="","",Krankheitstage!P92)</f>
        <v/>
      </c>
      <c r="H92" s="62">
        <f>IF(B92="","",Krankheitstage!AC92)</f>
        <v/>
      </c>
      <c r="I92" s="62">
        <f>IF(B92="","",Krankheitstage!AD92)</f>
        <v/>
      </c>
      <c r="J92" s="36">
        <f>IF(B92="","",SUMPRODUCT(((Krankheitstage!D92:O92+Krankheitstage!Q92:AB92)&gt;0)*1))</f>
        <v/>
      </c>
      <c r="K92" s="63">
        <f>IF(B92="","",IF(N(D92)&gt;0,F92/D92,""))</f>
        <v/>
      </c>
      <c r="L92" s="40">
        <f>IF(B92="","",IF(N(E92)&gt;0,IF(Einstellungen!$C$10="Ja",F92/E92,F92/(E92+F92)),""))</f>
        <v/>
      </c>
      <c r="M92" s="64">
        <f>IF(L92="","",RANK(L92,$L$6:$L$205,0))</f>
        <v/>
      </c>
      <c r="N92" s="57">
        <f>IF(B92="","",IF(L92="","keine Ist-Std.",IF(L92&lt;=Einstellungen!$C$7,"unauffällig",IF(L92&lt;=Einstellungen!$C$8,"auffällig","kritisch"))))</f>
        <v/>
      </c>
      <c r="O92" s="65">
        <f>IF(L92="",-1,L92+ROW()/1000000000)</f>
        <v/>
      </c>
    </row>
    <row r="93">
      <c r="A93" s="49">
        <f>IF(Mitarbeiter!B93="","",Mitarbeiter!A93)</f>
        <v/>
      </c>
      <c r="B93" s="50">
        <f>IF(Mitarbeiter!B93="","",Mitarbeiter!B93)</f>
        <v/>
      </c>
      <c r="C93" s="7">
        <f>IF(Mitarbeiter!B93="","",Mitarbeiter!G93)</f>
        <v/>
      </c>
      <c r="D93" s="58">
        <f>IF(Mitarbeiter!B93="","",Mitarbeiter!H93)</f>
        <v/>
      </c>
      <c r="E93" s="58">
        <f>IF(Mitarbeiter!B93="","",'Ist-Stunden'!O93)</f>
        <v/>
      </c>
      <c r="F93" s="58">
        <f>IF(B93="","",Krankheitstage!AE93)</f>
        <v/>
      </c>
      <c r="G93" s="62">
        <f>IF(B93="","",Krankheitstage!P93)</f>
        <v/>
      </c>
      <c r="H93" s="62">
        <f>IF(B93="","",Krankheitstage!AC93)</f>
        <v/>
      </c>
      <c r="I93" s="62">
        <f>IF(B93="","",Krankheitstage!AD93)</f>
        <v/>
      </c>
      <c r="J93" s="36">
        <f>IF(B93="","",SUMPRODUCT(((Krankheitstage!D93:O93+Krankheitstage!Q93:AB93)&gt;0)*1))</f>
        <v/>
      </c>
      <c r="K93" s="63">
        <f>IF(B93="","",IF(N(D93)&gt;0,F93/D93,""))</f>
        <v/>
      </c>
      <c r="L93" s="40">
        <f>IF(B93="","",IF(N(E93)&gt;0,IF(Einstellungen!$C$10="Ja",F93/E93,F93/(E93+F93)),""))</f>
        <v/>
      </c>
      <c r="M93" s="64">
        <f>IF(L93="","",RANK(L93,$L$6:$L$205,0))</f>
        <v/>
      </c>
      <c r="N93" s="57">
        <f>IF(B93="","",IF(L93="","keine Ist-Std.",IF(L93&lt;=Einstellungen!$C$7,"unauffällig",IF(L93&lt;=Einstellungen!$C$8,"auffällig","kritisch"))))</f>
        <v/>
      </c>
      <c r="O93" s="65">
        <f>IF(L93="",-1,L93+ROW()/1000000000)</f>
        <v/>
      </c>
    </row>
    <row r="94">
      <c r="A94" s="49">
        <f>IF(Mitarbeiter!B94="","",Mitarbeiter!A94)</f>
        <v/>
      </c>
      <c r="B94" s="50">
        <f>IF(Mitarbeiter!B94="","",Mitarbeiter!B94)</f>
        <v/>
      </c>
      <c r="C94" s="7">
        <f>IF(Mitarbeiter!B94="","",Mitarbeiter!G94)</f>
        <v/>
      </c>
      <c r="D94" s="58">
        <f>IF(Mitarbeiter!B94="","",Mitarbeiter!H94)</f>
        <v/>
      </c>
      <c r="E94" s="58">
        <f>IF(Mitarbeiter!B94="","",'Ist-Stunden'!O94)</f>
        <v/>
      </c>
      <c r="F94" s="58">
        <f>IF(B94="","",Krankheitstage!AE94)</f>
        <v/>
      </c>
      <c r="G94" s="62">
        <f>IF(B94="","",Krankheitstage!P94)</f>
        <v/>
      </c>
      <c r="H94" s="62">
        <f>IF(B94="","",Krankheitstage!AC94)</f>
        <v/>
      </c>
      <c r="I94" s="62">
        <f>IF(B94="","",Krankheitstage!AD94)</f>
        <v/>
      </c>
      <c r="J94" s="36">
        <f>IF(B94="","",SUMPRODUCT(((Krankheitstage!D94:O94+Krankheitstage!Q94:AB94)&gt;0)*1))</f>
        <v/>
      </c>
      <c r="K94" s="63">
        <f>IF(B94="","",IF(N(D94)&gt;0,F94/D94,""))</f>
        <v/>
      </c>
      <c r="L94" s="40">
        <f>IF(B94="","",IF(N(E94)&gt;0,IF(Einstellungen!$C$10="Ja",F94/E94,F94/(E94+F94)),""))</f>
        <v/>
      </c>
      <c r="M94" s="64">
        <f>IF(L94="","",RANK(L94,$L$6:$L$205,0))</f>
        <v/>
      </c>
      <c r="N94" s="57">
        <f>IF(B94="","",IF(L94="","keine Ist-Std.",IF(L94&lt;=Einstellungen!$C$7,"unauffällig",IF(L94&lt;=Einstellungen!$C$8,"auffällig","kritisch"))))</f>
        <v/>
      </c>
      <c r="O94" s="65">
        <f>IF(L94="",-1,L94+ROW()/1000000000)</f>
        <v/>
      </c>
    </row>
    <row r="95">
      <c r="A95" s="49">
        <f>IF(Mitarbeiter!B95="","",Mitarbeiter!A95)</f>
        <v/>
      </c>
      <c r="B95" s="50">
        <f>IF(Mitarbeiter!B95="","",Mitarbeiter!B95)</f>
        <v/>
      </c>
      <c r="C95" s="7">
        <f>IF(Mitarbeiter!B95="","",Mitarbeiter!G95)</f>
        <v/>
      </c>
      <c r="D95" s="58">
        <f>IF(Mitarbeiter!B95="","",Mitarbeiter!H95)</f>
        <v/>
      </c>
      <c r="E95" s="58">
        <f>IF(Mitarbeiter!B95="","",'Ist-Stunden'!O95)</f>
        <v/>
      </c>
      <c r="F95" s="58">
        <f>IF(B95="","",Krankheitstage!AE95)</f>
        <v/>
      </c>
      <c r="G95" s="62">
        <f>IF(B95="","",Krankheitstage!P95)</f>
        <v/>
      </c>
      <c r="H95" s="62">
        <f>IF(B95="","",Krankheitstage!AC95)</f>
        <v/>
      </c>
      <c r="I95" s="62">
        <f>IF(B95="","",Krankheitstage!AD95)</f>
        <v/>
      </c>
      <c r="J95" s="36">
        <f>IF(B95="","",SUMPRODUCT(((Krankheitstage!D95:O95+Krankheitstage!Q95:AB95)&gt;0)*1))</f>
        <v/>
      </c>
      <c r="K95" s="63">
        <f>IF(B95="","",IF(N(D95)&gt;0,F95/D95,""))</f>
        <v/>
      </c>
      <c r="L95" s="40">
        <f>IF(B95="","",IF(N(E95)&gt;0,IF(Einstellungen!$C$10="Ja",F95/E95,F95/(E95+F95)),""))</f>
        <v/>
      </c>
      <c r="M95" s="64">
        <f>IF(L95="","",RANK(L95,$L$6:$L$205,0))</f>
        <v/>
      </c>
      <c r="N95" s="57">
        <f>IF(B95="","",IF(L95="","keine Ist-Std.",IF(L95&lt;=Einstellungen!$C$7,"unauffällig",IF(L95&lt;=Einstellungen!$C$8,"auffällig","kritisch"))))</f>
        <v/>
      </c>
      <c r="O95" s="65">
        <f>IF(L95="",-1,L95+ROW()/1000000000)</f>
        <v/>
      </c>
    </row>
    <row r="96">
      <c r="A96" s="49">
        <f>IF(Mitarbeiter!B96="","",Mitarbeiter!A96)</f>
        <v/>
      </c>
      <c r="B96" s="50">
        <f>IF(Mitarbeiter!B96="","",Mitarbeiter!B96)</f>
        <v/>
      </c>
      <c r="C96" s="7">
        <f>IF(Mitarbeiter!B96="","",Mitarbeiter!G96)</f>
        <v/>
      </c>
      <c r="D96" s="58">
        <f>IF(Mitarbeiter!B96="","",Mitarbeiter!H96)</f>
        <v/>
      </c>
      <c r="E96" s="58">
        <f>IF(Mitarbeiter!B96="","",'Ist-Stunden'!O96)</f>
        <v/>
      </c>
      <c r="F96" s="58">
        <f>IF(B96="","",Krankheitstage!AE96)</f>
        <v/>
      </c>
      <c r="G96" s="62">
        <f>IF(B96="","",Krankheitstage!P96)</f>
        <v/>
      </c>
      <c r="H96" s="62">
        <f>IF(B96="","",Krankheitstage!AC96)</f>
        <v/>
      </c>
      <c r="I96" s="62">
        <f>IF(B96="","",Krankheitstage!AD96)</f>
        <v/>
      </c>
      <c r="J96" s="36">
        <f>IF(B96="","",SUMPRODUCT(((Krankheitstage!D96:O96+Krankheitstage!Q96:AB96)&gt;0)*1))</f>
        <v/>
      </c>
      <c r="K96" s="63">
        <f>IF(B96="","",IF(N(D96)&gt;0,F96/D96,""))</f>
        <v/>
      </c>
      <c r="L96" s="40">
        <f>IF(B96="","",IF(N(E96)&gt;0,IF(Einstellungen!$C$10="Ja",F96/E96,F96/(E96+F96)),""))</f>
        <v/>
      </c>
      <c r="M96" s="64">
        <f>IF(L96="","",RANK(L96,$L$6:$L$205,0))</f>
        <v/>
      </c>
      <c r="N96" s="57">
        <f>IF(B96="","",IF(L96="","keine Ist-Std.",IF(L96&lt;=Einstellungen!$C$7,"unauffällig",IF(L96&lt;=Einstellungen!$C$8,"auffällig","kritisch"))))</f>
        <v/>
      </c>
      <c r="O96" s="65">
        <f>IF(L96="",-1,L96+ROW()/1000000000)</f>
        <v/>
      </c>
    </row>
    <row r="97">
      <c r="A97" s="49">
        <f>IF(Mitarbeiter!B97="","",Mitarbeiter!A97)</f>
        <v/>
      </c>
      <c r="B97" s="50">
        <f>IF(Mitarbeiter!B97="","",Mitarbeiter!B97)</f>
        <v/>
      </c>
      <c r="C97" s="7">
        <f>IF(Mitarbeiter!B97="","",Mitarbeiter!G97)</f>
        <v/>
      </c>
      <c r="D97" s="58">
        <f>IF(Mitarbeiter!B97="","",Mitarbeiter!H97)</f>
        <v/>
      </c>
      <c r="E97" s="58">
        <f>IF(Mitarbeiter!B97="","",'Ist-Stunden'!O97)</f>
        <v/>
      </c>
      <c r="F97" s="58">
        <f>IF(B97="","",Krankheitstage!AE97)</f>
        <v/>
      </c>
      <c r="G97" s="62">
        <f>IF(B97="","",Krankheitstage!P97)</f>
        <v/>
      </c>
      <c r="H97" s="62">
        <f>IF(B97="","",Krankheitstage!AC97)</f>
        <v/>
      </c>
      <c r="I97" s="62">
        <f>IF(B97="","",Krankheitstage!AD97)</f>
        <v/>
      </c>
      <c r="J97" s="36">
        <f>IF(B97="","",SUMPRODUCT(((Krankheitstage!D97:O97+Krankheitstage!Q97:AB97)&gt;0)*1))</f>
        <v/>
      </c>
      <c r="K97" s="63">
        <f>IF(B97="","",IF(N(D97)&gt;0,F97/D97,""))</f>
        <v/>
      </c>
      <c r="L97" s="40">
        <f>IF(B97="","",IF(N(E97)&gt;0,IF(Einstellungen!$C$10="Ja",F97/E97,F97/(E97+F97)),""))</f>
        <v/>
      </c>
      <c r="M97" s="64">
        <f>IF(L97="","",RANK(L97,$L$6:$L$205,0))</f>
        <v/>
      </c>
      <c r="N97" s="57">
        <f>IF(B97="","",IF(L97="","keine Ist-Std.",IF(L97&lt;=Einstellungen!$C$7,"unauffällig",IF(L97&lt;=Einstellungen!$C$8,"auffällig","kritisch"))))</f>
        <v/>
      </c>
      <c r="O97" s="65">
        <f>IF(L97="",-1,L97+ROW()/1000000000)</f>
        <v/>
      </c>
    </row>
    <row r="98">
      <c r="A98" s="49">
        <f>IF(Mitarbeiter!B98="","",Mitarbeiter!A98)</f>
        <v/>
      </c>
      <c r="B98" s="50">
        <f>IF(Mitarbeiter!B98="","",Mitarbeiter!B98)</f>
        <v/>
      </c>
      <c r="C98" s="7">
        <f>IF(Mitarbeiter!B98="","",Mitarbeiter!G98)</f>
        <v/>
      </c>
      <c r="D98" s="58">
        <f>IF(Mitarbeiter!B98="","",Mitarbeiter!H98)</f>
        <v/>
      </c>
      <c r="E98" s="58">
        <f>IF(Mitarbeiter!B98="","",'Ist-Stunden'!O98)</f>
        <v/>
      </c>
      <c r="F98" s="58">
        <f>IF(B98="","",Krankheitstage!AE98)</f>
        <v/>
      </c>
      <c r="G98" s="62">
        <f>IF(B98="","",Krankheitstage!P98)</f>
        <v/>
      </c>
      <c r="H98" s="62">
        <f>IF(B98="","",Krankheitstage!AC98)</f>
        <v/>
      </c>
      <c r="I98" s="62">
        <f>IF(B98="","",Krankheitstage!AD98)</f>
        <v/>
      </c>
      <c r="J98" s="36">
        <f>IF(B98="","",SUMPRODUCT(((Krankheitstage!D98:O98+Krankheitstage!Q98:AB98)&gt;0)*1))</f>
        <v/>
      </c>
      <c r="K98" s="63">
        <f>IF(B98="","",IF(N(D98)&gt;0,F98/D98,""))</f>
        <v/>
      </c>
      <c r="L98" s="40">
        <f>IF(B98="","",IF(N(E98)&gt;0,IF(Einstellungen!$C$10="Ja",F98/E98,F98/(E98+F98)),""))</f>
        <v/>
      </c>
      <c r="M98" s="64">
        <f>IF(L98="","",RANK(L98,$L$6:$L$205,0))</f>
        <v/>
      </c>
      <c r="N98" s="57">
        <f>IF(B98="","",IF(L98="","keine Ist-Std.",IF(L98&lt;=Einstellungen!$C$7,"unauffällig",IF(L98&lt;=Einstellungen!$C$8,"auffällig","kritisch"))))</f>
        <v/>
      </c>
      <c r="O98" s="65">
        <f>IF(L98="",-1,L98+ROW()/1000000000)</f>
        <v/>
      </c>
    </row>
    <row r="99">
      <c r="A99" s="49">
        <f>IF(Mitarbeiter!B99="","",Mitarbeiter!A99)</f>
        <v/>
      </c>
      <c r="B99" s="50">
        <f>IF(Mitarbeiter!B99="","",Mitarbeiter!B99)</f>
        <v/>
      </c>
      <c r="C99" s="7">
        <f>IF(Mitarbeiter!B99="","",Mitarbeiter!G99)</f>
        <v/>
      </c>
      <c r="D99" s="58">
        <f>IF(Mitarbeiter!B99="","",Mitarbeiter!H99)</f>
        <v/>
      </c>
      <c r="E99" s="58">
        <f>IF(Mitarbeiter!B99="","",'Ist-Stunden'!O99)</f>
        <v/>
      </c>
      <c r="F99" s="58">
        <f>IF(B99="","",Krankheitstage!AE99)</f>
        <v/>
      </c>
      <c r="G99" s="62">
        <f>IF(B99="","",Krankheitstage!P99)</f>
        <v/>
      </c>
      <c r="H99" s="62">
        <f>IF(B99="","",Krankheitstage!AC99)</f>
        <v/>
      </c>
      <c r="I99" s="62">
        <f>IF(B99="","",Krankheitstage!AD99)</f>
        <v/>
      </c>
      <c r="J99" s="36">
        <f>IF(B99="","",SUMPRODUCT(((Krankheitstage!D99:O99+Krankheitstage!Q99:AB99)&gt;0)*1))</f>
        <v/>
      </c>
      <c r="K99" s="63">
        <f>IF(B99="","",IF(N(D99)&gt;0,F99/D99,""))</f>
        <v/>
      </c>
      <c r="L99" s="40">
        <f>IF(B99="","",IF(N(E99)&gt;0,IF(Einstellungen!$C$10="Ja",F99/E99,F99/(E99+F99)),""))</f>
        <v/>
      </c>
      <c r="M99" s="64">
        <f>IF(L99="","",RANK(L99,$L$6:$L$205,0))</f>
        <v/>
      </c>
      <c r="N99" s="57">
        <f>IF(B99="","",IF(L99="","keine Ist-Std.",IF(L99&lt;=Einstellungen!$C$7,"unauffällig",IF(L99&lt;=Einstellungen!$C$8,"auffällig","kritisch"))))</f>
        <v/>
      </c>
      <c r="O99" s="65">
        <f>IF(L99="",-1,L99+ROW()/1000000000)</f>
        <v/>
      </c>
    </row>
    <row r="100">
      <c r="A100" s="49">
        <f>IF(Mitarbeiter!B100="","",Mitarbeiter!A100)</f>
        <v/>
      </c>
      <c r="B100" s="50">
        <f>IF(Mitarbeiter!B100="","",Mitarbeiter!B100)</f>
        <v/>
      </c>
      <c r="C100" s="7">
        <f>IF(Mitarbeiter!B100="","",Mitarbeiter!G100)</f>
        <v/>
      </c>
      <c r="D100" s="58">
        <f>IF(Mitarbeiter!B100="","",Mitarbeiter!H100)</f>
        <v/>
      </c>
      <c r="E100" s="58">
        <f>IF(Mitarbeiter!B100="","",'Ist-Stunden'!O100)</f>
        <v/>
      </c>
      <c r="F100" s="58">
        <f>IF(B100="","",Krankheitstage!AE100)</f>
        <v/>
      </c>
      <c r="G100" s="62">
        <f>IF(B100="","",Krankheitstage!P100)</f>
        <v/>
      </c>
      <c r="H100" s="62">
        <f>IF(B100="","",Krankheitstage!AC100)</f>
        <v/>
      </c>
      <c r="I100" s="62">
        <f>IF(B100="","",Krankheitstage!AD100)</f>
        <v/>
      </c>
      <c r="J100" s="36">
        <f>IF(B100="","",SUMPRODUCT(((Krankheitstage!D100:O100+Krankheitstage!Q100:AB100)&gt;0)*1))</f>
        <v/>
      </c>
      <c r="K100" s="63">
        <f>IF(B100="","",IF(N(D100)&gt;0,F100/D100,""))</f>
        <v/>
      </c>
      <c r="L100" s="40">
        <f>IF(B100="","",IF(N(E100)&gt;0,IF(Einstellungen!$C$10="Ja",F100/E100,F100/(E100+F100)),""))</f>
        <v/>
      </c>
      <c r="M100" s="64">
        <f>IF(L100="","",RANK(L100,$L$6:$L$205,0))</f>
        <v/>
      </c>
      <c r="N100" s="57">
        <f>IF(B100="","",IF(L100="","keine Ist-Std.",IF(L100&lt;=Einstellungen!$C$7,"unauffällig",IF(L100&lt;=Einstellungen!$C$8,"auffällig","kritisch"))))</f>
        <v/>
      </c>
      <c r="O100" s="65">
        <f>IF(L100="",-1,L100+ROW()/1000000000)</f>
        <v/>
      </c>
    </row>
    <row r="101">
      <c r="A101" s="49">
        <f>IF(Mitarbeiter!B101="","",Mitarbeiter!A101)</f>
        <v/>
      </c>
      <c r="B101" s="50">
        <f>IF(Mitarbeiter!B101="","",Mitarbeiter!B101)</f>
        <v/>
      </c>
      <c r="C101" s="7">
        <f>IF(Mitarbeiter!B101="","",Mitarbeiter!G101)</f>
        <v/>
      </c>
      <c r="D101" s="58">
        <f>IF(Mitarbeiter!B101="","",Mitarbeiter!H101)</f>
        <v/>
      </c>
      <c r="E101" s="58">
        <f>IF(Mitarbeiter!B101="","",'Ist-Stunden'!O101)</f>
        <v/>
      </c>
      <c r="F101" s="58">
        <f>IF(B101="","",Krankheitstage!AE101)</f>
        <v/>
      </c>
      <c r="G101" s="62">
        <f>IF(B101="","",Krankheitstage!P101)</f>
        <v/>
      </c>
      <c r="H101" s="62">
        <f>IF(B101="","",Krankheitstage!AC101)</f>
        <v/>
      </c>
      <c r="I101" s="62">
        <f>IF(B101="","",Krankheitstage!AD101)</f>
        <v/>
      </c>
      <c r="J101" s="36">
        <f>IF(B101="","",SUMPRODUCT(((Krankheitstage!D101:O101+Krankheitstage!Q101:AB101)&gt;0)*1))</f>
        <v/>
      </c>
      <c r="K101" s="63">
        <f>IF(B101="","",IF(N(D101)&gt;0,F101/D101,""))</f>
        <v/>
      </c>
      <c r="L101" s="40">
        <f>IF(B101="","",IF(N(E101)&gt;0,IF(Einstellungen!$C$10="Ja",F101/E101,F101/(E101+F101)),""))</f>
        <v/>
      </c>
      <c r="M101" s="64">
        <f>IF(L101="","",RANK(L101,$L$6:$L$205,0))</f>
        <v/>
      </c>
      <c r="N101" s="57">
        <f>IF(B101="","",IF(L101="","keine Ist-Std.",IF(L101&lt;=Einstellungen!$C$7,"unauffällig",IF(L101&lt;=Einstellungen!$C$8,"auffällig","kritisch"))))</f>
        <v/>
      </c>
      <c r="O101" s="65">
        <f>IF(L101="",-1,L101+ROW()/1000000000)</f>
        <v/>
      </c>
    </row>
    <row r="102">
      <c r="A102" s="49">
        <f>IF(Mitarbeiter!B102="","",Mitarbeiter!A102)</f>
        <v/>
      </c>
      <c r="B102" s="50">
        <f>IF(Mitarbeiter!B102="","",Mitarbeiter!B102)</f>
        <v/>
      </c>
      <c r="C102" s="7">
        <f>IF(Mitarbeiter!B102="","",Mitarbeiter!G102)</f>
        <v/>
      </c>
      <c r="D102" s="58">
        <f>IF(Mitarbeiter!B102="","",Mitarbeiter!H102)</f>
        <v/>
      </c>
      <c r="E102" s="58">
        <f>IF(Mitarbeiter!B102="","",'Ist-Stunden'!O102)</f>
        <v/>
      </c>
      <c r="F102" s="58">
        <f>IF(B102="","",Krankheitstage!AE102)</f>
        <v/>
      </c>
      <c r="G102" s="62">
        <f>IF(B102="","",Krankheitstage!P102)</f>
        <v/>
      </c>
      <c r="H102" s="62">
        <f>IF(B102="","",Krankheitstage!AC102)</f>
        <v/>
      </c>
      <c r="I102" s="62">
        <f>IF(B102="","",Krankheitstage!AD102)</f>
        <v/>
      </c>
      <c r="J102" s="36">
        <f>IF(B102="","",SUMPRODUCT(((Krankheitstage!D102:O102+Krankheitstage!Q102:AB102)&gt;0)*1))</f>
        <v/>
      </c>
      <c r="K102" s="63">
        <f>IF(B102="","",IF(N(D102)&gt;0,F102/D102,""))</f>
        <v/>
      </c>
      <c r="L102" s="40">
        <f>IF(B102="","",IF(N(E102)&gt;0,IF(Einstellungen!$C$10="Ja",F102/E102,F102/(E102+F102)),""))</f>
        <v/>
      </c>
      <c r="M102" s="64">
        <f>IF(L102="","",RANK(L102,$L$6:$L$205,0))</f>
        <v/>
      </c>
      <c r="N102" s="57">
        <f>IF(B102="","",IF(L102="","keine Ist-Std.",IF(L102&lt;=Einstellungen!$C$7,"unauffällig",IF(L102&lt;=Einstellungen!$C$8,"auffällig","kritisch"))))</f>
        <v/>
      </c>
      <c r="O102" s="65">
        <f>IF(L102="",-1,L102+ROW()/1000000000)</f>
        <v/>
      </c>
    </row>
    <row r="103">
      <c r="A103" s="49">
        <f>IF(Mitarbeiter!B103="","",Mitarbeiter!A103)</f>
        <v/>
      </c>
      <c r="B103" s="50">
        <f>IF(Mitarbeiter!B103="","",Mitarbeiter!B103)</f>
        <v/>
      </c>
      <c r="C103" s="7">
        <f>IF(Mitarbeiter!B103="","",Mitarbeiter!G103)</f>
        <v/>
      </c>
      <c r="D103" s="58">
        <f>IF(Mitarbeiter!B103="","",Mitarbeiter!H103)</f>
        <v/>
      </c>
      <c r="E103" s="58">
        <f>IF(Mitarbeiter!B103="","",'Ist-Stunden'!O103)</f>
        <v/>
      </c>
      <c r="F103" s="58">
        <f>IF(B103="","",Krankheitstage!AE103)</f>
        <v/>
      </c>
      <c r="G103" s="62">
        <f>IF(B103="","",Krankheitstage!P103)</f>
        <v/>
      </c>
      <c r="H103" s="62">
        <f>IF(B103="","",Krankheitstage!AC103)</f>
        <v/>
      </c>
      <c r="I103" s="62">
        <f>IF(B103="","",Krankheitstage!AD103)</f>
        <v/>
      </c>
      <c r="J103" s="36">
        <f>IF(B103="","",SUMPRODUCT(((Krankheitstage!D103:O103+Krankheitstage!Q103:AB103)&gt;0)*1))</f>
        <v/>
      </c>
      <c r="K103" s="63">
        <f>IF(B103="","",IF(N(D103)&gt;0,F103/D103,""))</f>
        <v/>
      </c>
      <c r="L103" s="40">
        <f>IF(B103="","",IF(N(E103)&gt;0,IF(Einstellungen!$C$10="Ja",F103/E103,F103/(E103+F103)),""))</f>
        <v/>
      </c>
      <c r="M103" s="64">
        <f>IF(L103="","",RANK(L103,$L$6:$L$205,0))</f>
        <v/>
      </c>
      <c r="N103" s="57">
        <f>IF(B103="","",IF(L103="","keine Ist-Std.",IF(L103&lt;=Einstellungen!$C$7,"unauffällig",IF(L103&lt;=Einstellungen!$C$8,"auffällig","kritisch"))))</f>
        <v/>
      </c>
      <c r="O103" s="65">
        <f>IF(L103="",-1,L103+ROW()/1000000000)</f>
        <v/>
      </c>
    </row>
    <row r="104">
      <c r="A104" s="49">
        <f>IF(Mitarbeiter!B104="","",Mitarbeiter!A104)</f>
        <v/>
      </c>
      <c r="B104" s="50">
        <f>IF(Mitarbeiter!B104="","",Mitarbeiter!B104)</f>
        <v/>
      </c>
      <c r="C104" s="7">
        <f>IF(Mitarbeiter!B104="","",Mitarbeiter!G104)</f>
        <v/>
      </c>
      <c r="D104" s="58">
        <f>IF(Mitarbeiter!B104="","",Mitarbeiter!H104)</f>
        <v/>
      </c>
      <c r="E104" s="58">
        <f>IF(Mitarbeiter!B104="","",'Ist-Stunden'!O104)</f>
        <v/>
      </c>
      <c r="F104" s="58">
        <f>IF(B104="","",Krankheitstage!AE104)</f>
        <v/>
      </c>
      <c r="G104" s="62">
        <f>IF(B104="","",Krankheitstage!P104)</f>
        <v/>
      </c>
      <c r="H104" s="62">
        <f>IF(B104="","",Krankheitstage!AC104)</f>
        <v/>
      </c>
      <c r="I104" s="62">
        <f>IF(B104="","",Krankheitstage!AD104)</f>
        <v/>
      </c>
      <c r="J104" s="36">
        <f>IF(B104="","",SUMPRODUCT(((Krankheitstage!D104:O104+Krankheitstage!Q104:AB104)&gt;0)*1))</f>
        <v/>
      </c>
      <c r="K104" s="63">
        <f>IF(B104="","",IF(N(D104)&gt;0,F104/D104,""))</f>
        <v/>
      </c>
      <c r="L104" s="40">
        <f>IF(B104="","",IF(N(E104)&gt;0,IF(Einstellungen!$C$10="Ja",F104/E104,F104/(E104+F104)),""))</f>
        <v/>
      </c>
      <c r="M104" s="64">
        <f>IF(L104="","",RANK(L104,$L$6:$L$205,0))</f>
        <v/>
      </c>
      <c r="N104" s="57">
        <f>IF(B104="","",IF(L104="","keine Ist-Std.",IF(L104&lt;=Einstellungen!$C$7,"unauffällig",IF(L104&lt;=Einstellungen!$C$8,"auffällig","kritisch"))))</f>
        <v/>
      </c>
      <c r="O104" s="65">
        <f>IF(L104="",-1,L104+ROW()/1000000000)</f>
        <v/>
      </c>
    </row>
    <row r="105">
      <c r="A105" s="49">
        <f>IF(Mitarbeiter!B105="","",Mitarbeiter!A105)</f>
        <v/>
      </c>
      <c r="B105" s="50">
        <f>IF(Mitarbeiter!B105="","",Mitarbeiter!B105)</f>
        <v/>
      </c>
      <c r="C105" s="7">
        <f>IF(Mitarbeiter!B105="","",Mitarbeiter!G105)</f>
        <v/>
      </c>
      <c r="D105" s="58">
        <f>IF(Mitarbeiter!B105="","",Mitarbeiter!H105)</f>
        <v/>
      </c>
      <c r="E105" s="58">
        <f>IF(Mitarbeiter!B105="","",'Ist-Stunden'!O105)</f>
        <v/>
      </c>
      <c r="F105" s="58">
        <f>IF(B105="","",Krankheitstage!AE105)</f>
        <v/>
      </c>
      <c r="G105" s="62">
        <f>IF(B105="","",Krankheitstage!P105)</f>
        <v/>
      </c>
      <c r="H105" s="62">
        <f>IF(B105="","",Krankheitstage!AC105)</f>
        <v/>
      </c>
      <c r="I105" s="62">
        <f>IF(B105="","",Krankheitstage!AD105)</f>
        <v/>
      </c>
      <c r="J105" s="36">
        <f>IF(B105="","",SUMPRODUCT(((Krankheitstage!D105:O105+Krankheitstage!Q105:AB105)&gt;0)*1))</f>
        <v/>
      </c>
      <c r="K105" s="63">
        <f>IF(B105="","",IF(N(D105)&gt;0,F105/D105,""))</f>
        <v/>
      </c>
      <c r="L105" s="40">
        <f>IF(B105="","",IF(N(E105)&gt;0,IF(Einstellungen!$C$10="Ja",F105/E105,F105/(E105+F105)),""))</f>
        <v/>
      </c>
      <c r="M105" s="64">
        <f>IF(L105="","",RANK(L105,$L$6:$L$205,0))</f>
        <v/>
      </c>
      <c r="N105" s="57">
        <f>IF(B105="","",IF(L105="","keine Ist-Std.",IF(L105&lt;=Einstellungen!$C$7,"unauffällig",IF(L105&lt;=Einstellungen!$C$8,"auffällig","kritisch"))))</f>
        <v/>
      </c>
      <c r="O105" s="65">
        <f>IF(L105="",-1,L105+ROW()/1000000000)</f>
        <v/>
      </c>
    </row>
    <row r="106">
      <c r="A106" s="49">
        <f>IF(Mitarbeiter!B106="","",Mitarbeiter!A106)</f>
        <v/>
      </c>
      <c r="B106" s="50">
        <f>IF(Mitarbeiter!B106="","",Mitarbeiter!B106)</f>
        <v/>
      </c>
      <c r="C106" s="7">
        <f>IF(Mitarbeiter!B106="","",Mitarbeiter!G106)</f>
        <v/>
      </c>
      <c r="D106" s="58">
        <f>IF(Mitarbeiter!B106="","",Mitarbeiter!H106)</f>
        <v/>
      </c>
      <c r="E106" s="58">
        <f>IF(Mitarbeiter!B106="","",'Ist-Stunden'!O106)</f>
        <v/>
      </c>
      <c r="F106" s="58">
        <f>IF(B106="","",Krankheitstage!AE106)</f>
        <v/>
      </c>
      <c r="G106" s="62">
        <f>IF(B106="","",Krankheitstage!P106)</f>
        <v/>
      </c>
      <c r="H106" s="62">
        <f>IF(B106="","",Krankheitstage!AC106)</f>
        <v/>
      </c>
      <c r="I106" s="62">
        <f>IF(B106="","",Krankheitstage!AD106)</f>
        <v/>
      </c>
      <c r="J106" s="36">
        <f>IF(B106="","",SUMPRODUCT(((Krankheitstage!D106:O106+Krankheitstage!Q106:AB106)&gt;0)*1))</f>
        <v/>
      </c>
      <c r="K106" s="63">
        <f>IF(B106="","",IF(N(D106)&gt;0,F106/D106,""))</f>
        <v/>
      </c>
      <c r="L106" s="40">
        <f>IF(B106="","",IF(N(E106)&gt;0,IF(Einstellungen!$C$10="Ja",F106/E106,F106/(E106+F106)),""))</f>
        <v/>
      </c>
      <c r="M106" s="64">
        <f>IF(L106="","",RANK(L106,$L$6:$L$205,0))</f>
        <v/>
      </c>
      <c r="N106" s="57">
        <f>IF(B106="","",IF(L106="","keine Ist-Std.",IF(L106&lt;=Einstellungen!$C$7,"unauffällig",IF(L106&lt;=Einstellungen!$C$8,"auffällig","kritisch"))))</f>
        <v/>
      </c>
      <c r="O106" s="65">
        <f>IF(L106="",-1,L106+ROW()/1000000000)</f>
        <v/>
      </c>
    </row>
    <row r="107">
      <c r="A107" s="49">
        <f>IF(Mitarbeiter!B107="","",Mitarbeiter!A107)</f>
        <v/>
      </c>
      <c r="B107" s="50">
        <f>IF(Mitarbeiter!B107="","",Mitarbeiter!B107)</f>
        <v/>
      </c>
      <c r="C107" s="7">
        <f>IF(Mitarbeiter!B107="","",Mitarbeiter!G107)</f>
        <v/>
      </c>
      <c r="D107" s="58">
        <f>IF(Mitarbeiter!B107="","",Mitarbeiter!H107)</f>
        <v/>
      </c>
      <c r="E107" s="58">
        <f>IF(Mitarbeiter!B107="","",'Ist-Stunden'!O107)</f>
        <v/>
      </c>
      <c r="F107" s="58">
        <f>IF(B107="","",Krankheitstage!AE107)</f>
        <v/>
      </c>
      <c r="G107" s="62">
        <f>IF(B107="","",Krankheitstage!P107)</f>
        <v/>
      </c>
      <c r="H107" s="62">
        <f>IF(B107="","",Krankheitstage!AC107)</f>
        <v/>
      </c>
      <c r="I107" s="62">
        <f>IF(B107="","",Krankheitstage!AD107)</f>
        <v/>
      </c>
      <c r="J107" s="36">
        <f>IF(B107="","",SUMPRODUCT(((Krankheitstage!D107:O107+Krankheitstage!Q107:AB107)&gt;0)*1))</f>
        <v/>
      </c>
      <c r="K107" s="63">
        <f>IF(B107="","",IF(N(D107)&gt;0,F107/D107,""))</f>
        <v/>
      </c>
      <c r="L107" s="40">
        <f>IF(B107="","",IF(N(E107)&gt;0,IF(Einstellungen!$C$10="Ja",F107/E107,F107/(E107+F107)),""))</f>
        <v/>
      </c>
      <c r="M107" s="64">
        <f>IF(L107="","",RANK(L107,$L$6:$L$205,0))</f>
        <v/>
      </c>
      <c r="N107" s="57">
        <f>IF(B107="","",IF(L107="","keine Ist-Std.",IF(L107&lt;=Einstellungen!$C$7,"unauffällig",IF(L107&lt;=Einstellungen!$C$8,"auffällig","kritisch"))))</f>
        <v/>
      </c>
      <c r="O107" s="65">
        <f>IF(L107="",-1,L107+ROW()/1000000000)</f>
        <v/>
      </c>
    </row>
    <row r="108">
      <c r="A108" s="49">
        <f>IF(Mitarbeiter!B108="","",Mitarbeiter!A108)</f>
        <v/>
      </c>
      <c r="B108" s="50">
        <f>IF(Mitarbeiter!B108="","",Mitarbeiter!B108)</f>
        <v/>
      </c>
      <c r="C108" s="7">
        <f>IF(Mitarbeiter!B108="","",Mitarbeiter!G108)</f>
        <v/>
      </c>
      <c r="D108" s="58">
        <f>IF(Mitarbeiter!B108="","",Mitarbeiter!H108)</f>
        <v/>
      </c>
      <c r="E108" s="58">
        <f>IF(Mitarbeiter!B108="","",'Ist-Stunden'!O108)</f>
        <v/>
      </c>
      <c r="F108" s="58">
        <f>IF(B108="","",Krankheitstage!AE108)</f>
        <v/>
      </c>
      <c r="G108" s="62">
        <f>IF(B108="","",Krankheitstage!P108)</f>
        <v/>
      </c>
      <c r="H108" s="62">
        <f>IF(B108="","",Krankheitstage!AC108)</f>
        <v/>
      </c>
      <c r="I108" s="62">
        <f>IF(B108="","",Krankheitstage!AD108)</f>
        <v/>
      </c>
      <c r="J108" s="36">
        <f>IF(B108="","",SUMPRODUCT(((Krankheitstage!D108:O108+Krankheitstage!Q108:AB108)&gt;0)*1))</f>
        <v/>
      </c>
      <c r="K108" s="63">
        <f>IF(B108="","",IF(N(D108)&gt;0,F108/D108,""))</f>
        <v/>
      </c>
      <c r="L108" s="40">
        <f>IF(B108="","",IF(N(E108)&gt;0,IF(Einstellungen!$C$10="Ja",F108/E108,F108/(E108+F108)),""))</f>
        <v/>
      </c>
      <c r="M108" s="64">
        <f>IF(L108="","",RANK(L108,$L$6:$L$205,0))</f>
        <v/>
      </c>
      <c r="N108" s="57">
        <f>IF(B108="","",IF(L108="","keine Ist-Std.",IF(L108&lt;=Einstellungen!$C$7,"unauffällig",IF(L108&lt;=Einstellungen!$C$8,"auffällig","kritisch"))))</f>
        <v/>
      </c>
      <c r="O108" s="65">
        <f>IF(L108="",-1,L108+ROW()/1000000000)</f>
        <v/>
      </c>
    </row>
    <row r="109">
      <c r="A109" s="49">
        <f>IF(Mitarbeiter!B109="","",Mitarbeiter!A109)</f>
        <v/>
      </c>
      <c r="B109" s="50">
        <f>IF(Mitarbeiter!B109="","",Mitarbeiter!B109)</f>
        <v/>
      </c>
      <c r="C109" s="7">
        <f>IF(Mitarbeiter!B109="","",Mitarbeiter!G109)</f>
        <v/>
      </c>
      <c r="D109" s="58">
        <f>IF(Mitarbeiter!B109="","",Mitarbeiter!H109)</f>
        <v/>
      </c>
      <c r="E109" s="58">
        <f>IF(Mitarbeiter!B109="","",'Ist-Stunden'!O109)</f>
        <v/>
      </c>
      <c r="F109" s="58">
        <f>IF(B109="","",Krankheitstage!AE109)</f>
        <v/>
      </c>
      <c r="G109" s="62">
        <f>IF(B109="","",Krankheitstage!P109)</f>
        <v/>
      </c>
      <c r="H109" s="62">
        <f>IF(B109="","",Krankheitstage!AC109)</f>
        <v/>
      </c>
      <c r="I109" s="62">
        <f>IF(B109="","",Krankheitstage!AD109)</f>
        <v/>
      </c>
      <c r="J109" s="36">
        <f>IF(B109="","",SUMPRODUCT(((Krankheitstage!D109:O109+Krankheitstage!Q109:AB109)&gt;0)*1))</f>
        <v/>
      </c>
      <c r="K109" s="63">
        <f>IF(B109="","",IF(N(D109)&gt;0,F109/D109,""))</f>
        <v/>
      </c>
      <c r="L109" s="40">
        <f>IF(B109="","",IF(N(E109)&gt;0,IF(Einstellungen!$C$10="Ja",F109/E109,F109/(E109+F109)),""))</f>
        <v/>
      </c>
      <c r="M109" s="64">
        <f>IF(L109="","",RANK(L109,$L$6:$L$205,0))</f>
        <v/>
      </c>
      <c r="N109" s="57">
        <f>IF(B109="","",IF(L109="","keine Ist-Std.",IF(L109&lt;=Einstellungen!$C$7,"unauffällig",IF(L109&lt;=Einstellungen!$C$8,"auffällig","kritisch"))))</f>
        <v/>
      </c>
      <c r="O109" s="65">
        <f>IF(L109="",-1,L109+ROW()/1000000000)</f>
        <v/>
      </c>
    </row>
    <row r="110">
      <c r="A110" s="49">
        <f>IF(Mitarbeiter!B110="","",Mitarbeiter!A110)</f>
        <v/>
      </c>
      <c r="B110" s="50">
        <f>IF(Mitarbeiter!B110="","",Mitarbeiter!B110)</f>
        <v/>
      </c>
      <c r="C110" s="7">
        <f>IF(Mitarbeiter!B110="","",Mitarbeiter!G110)</f>
        <v/>
      </c>
      <c r="D110" s="58">
        <f>IF(Mitarbeiter!B110="","",Mitarbeiter!H110)</f>
        <v/>
      </c>
      <c r="E110" s="58">
        <f>IF(Mitarbeiter!B110="","",'Ist-Stunden'!O110)</f>
        <v/>
      </c>
      <c r="F110" s="58">
        <f>IF(B110="","",Krankheitstage!AE110)</f>
        <v/>
      </c>
      <c r="G110" s="62">
        <f>IF(B110="","",Krankheitstage!P110)</f>
        <v/>
      </c>
      <c r="H110" s="62">
        <f>IF(B110="","",Krankheitstage!AC110)</f>
        <v/>
      </c>
      <c r="I110" s="62">
        <f>IF(B110="","",Krankheitstage!AD110)</f>
        <v/>
      </c>
      <c r="J110" s="36">
        <f>IF(B110="","",SUMPRODUCT(((Krankheitstage!D110:O110+Krankheitstage!Q110:AB110)&gt;0)*1))</f>
        <v/>
      </c>
      <c r="K110" s="63">
        <f>IF(B110="","",IF(N(D110)&gt;0,F110/D110,""))</f>
        <v/>
      </c>
      <c r="L110" s="40">
        <f>IF(B110="","",IF(N(E110)&gt;0,IF(Einstellungen!$C$10="Ja",F110/E110,F110/(E110+F110)),""))</f>
        <v/>
      </c>
      <c r="M110" s="64">
        <f>IF(L110="","",RANK(L110,$L$6:$L$205,0))</f>
        <v/>
      </c>
      <c r="N110" s="57">
        <f>IF(B110="","",IF(L110="","keine Ist-Std.",IF(L110&lt;=Einstellungen!$C$7,"unauffällig",IF(L110&lt;=Einstellungen!$C$8,"auffällig","kritisch"))))</f>
        <v/>
      </c>
      <c r="O110" s="65">
        <f>IF(L110="",-1,L110+ROW()/1000000000)</f>
        <v/>
      </c>
    </row>
    <row r="111">
      <c r="A111" s="49">
        <f>IF(Mitarbeiter!B111="","",Mitarbeiter!A111)</f>
        <v/>
      </c>
      <c r="B111" s="50">
        <f>IF(Mitarbeiter!B111="","",Mitarbeiter!B111)</f>
        <v/>
      </c>
      <c r="C111" s="7">
        <f>IF(Mitarbeiter!B111="","",Mitarbeiter!G111)</f>
        <v/>
      </c>
      <c r="D111" s="58">
        <f>IF(Mitarbeiter!B111="","",Mitarbeiter!H111)</f>
        <v/>
      </c>
      <c r="E111" s="58">
        <f>IF(Mitarbeiter!B111="","",'Ist-Stunden'!O111)</f>
        <v/>
      </c>
      <c r="F111" s="58">
        <f>IF(B111="","",Krankheitstage!AE111)</f>
        <v/>
      </c>
      <c r="G111" s="62">
        <f>IF(B111="","",Krankheitstage!P111)</f>
        <v/>
      </c>
      <c r="H111" s="62">
        <f>IF(B111="","",Krankheitstage!AC111)</f>
        <v/>
      </c>
      <c r="I111" s="62">
        <f>IF(B111="","",Krankheitstage!AD111)</f>
        <v/>
      </c>
      <c r="J111" s="36">
        <f>IF(B111="","",SUMPRODUCT(((Krankheitstage!D111:O111+Krankheitstage!Q111:AB111)&gt;0)*1))</f>
        <v/>
      </c>
      <c r="K111" s="63">
        <f>IF(B111="","",IF(N(D111)&gt;0,F111/D111,""))</f>
        <v/>
      </c>
      <c r="L111" s="40">
        <f>IF(B111="","",IF(N(E111)&gt;0,IF(Einstellungen!$C$10="Ja",F111/E111,F111/(E111+F111)),""))</f>
        <v/>
      </c>
      <c r="M111" s="64">
        <f>IF(L111="","",RANK(L111,$L$6:$L$205,0))</f>
        <v/>
      </c>
      <c r="N111" s="57">
        <f>IF(B111="","",IF(L111="","keine Ist-Std.",IF(L111&lt;=Einstellungen!$C$7,"unauffällig",IF(L111&lt;=Einstellungen!$C$8,"auffällig","kritisch"))))</f>
        <v/>
      </c>
      <c r="O111" s="65">
        <f>IF(L111="",-1,L111+ROW()/1000000000)</f>
        <v/>
      </c>
    </row>
    <row r="112">
      <c r="A112" s="49">
        <f>IF(Mitarbeiter!B112="","",Mitarbeiter!A112)</f>
        <v/>
      </c>
      <c r="B112" s="50">
        <f>IF(Mitarbeiter!B112="","",Mitarbeiter!B112)</f>
        <v/>
      </c>
      <c r="C112" s="7">
        <f>IF(Mitarbeiter!B112="","",Mitarbeiter!G112)</f>
        <v/>
      </c>
      <c r="D112" s="58">
        <f>IF(Mitarbeiter!B112="","",Mitarbeiter!H112)</f>
        <v/>
      </c>
      <c r="E112" s="58">
        <f>IF(Mitarbeiter!B112="","",'Ist-Stunden'!O112)</f>
        <v/>
      </c>
      <c r="F112" s="58">
        <f>IF(B112="","",Krankheitstage!AE112)</f>
        <v/>
      </c>
      <c r="G112" s="62">
        <f>IF(B112="","",Krankheitstage!P112)</f>
        <v/>
      </c>
      <c r="H112" s="62">
        <f>IF(B112="","",Krankheitstage!AC112)</f>
        <v/>
      </c>
      <c r="I112" s="62">
        <f>IF(B112="","",Krankheitstage!AD112)</f>
        <v/>
      </c>
      <c r="J112" s="36">
        <f>IF(B112="","",SUMPRODUCT(((Krankheitstage!D112:O112+Krankheitstage!Q112:AB112)&gt;0)*1))</f>
        <v/>
      </c>
      <c r="K112" s="63">
        <f>IF(B112="","",IF(N(D112)&gt;0,F112/D112,""))</f>
        <v/>
      </c>
      <c r="L112" s="40">
        <f>IF(B112="","",IF(N(E112)&gt;0,IF(Einstellungen!$C$10="Ja",F112/E112,F112/(E112+F112)),""))</f>
        <v/>
      </c>
      <c r="M112" s="64">
        <f>IF(L112="","",RANK(L112,$L$6:$L$205,0))</f>
        <v/>
      </c>
      <c r="N112" s="57">
        <f>IF(B112="","",IF(L112="","keine Ist-Std.",IF(L112&lt;=Einstellungen!$C$7,"unauffällig",IF(L112&lt;=Einstellungen!$C$8,"auffällig","kritisch"))))</f>
        <v/>
      </c>
      <c r="O112" s="65">
        <f>IF(L112="",-1,L112+ROW()/1000000000)</f>
        <v/>
      </c>
    </row>
    <row r="113">
      <c r="A113" s="49">
        <f>IF(Mitarbeiter!B113="","",Mitarbeiter!A113)</f>
        <v/>
      </c>
      <c r="B113" s="50">
        <f>IF(Mitarbeiter!B113="","",Mitarbeiter!B113)</f>
        <v/>
      </c>
      <c r="C113" s="7">
        <f>IF(Mitarbeiter!B113="","",Mitarbeiter!G113)</f>
        <v/>
      </c>
      <c r="D113" s="58">
        <f>IF(Mitarbeiter!B113="","",Mitarbeiter!H113)</f>
        <v/>
      </c>
      <c r="E113" s="58">
        <f>IF(Mitarbeiter!B113="","",'Ist-Stunden'!O113)</f>
        <v/>
      </c>
      <c r="F113" s="58">
        <f>IF(B113="","",Krankheitstage!AE113)</f>
        <v/>
      </c>
      <c r="G113" s="62">
        <f>IF(B113="","",Krankheitstage!P113)</f>
        <v/>
      </c>
      <c r="H113" s="62">
        <f>IF(B113="","",Krankheitstage!AC113)</f>
        <v/>
      </c>
      <c r="I113" s="62">
        <f>IF(B113="","",Krankheitstage!AD113)</f>
        <v/>
      </c>
      <c r="J113" s="36">
        <f>IF(B113="","",SUMPRODUCT(((Krankheitstage!D113:O113+Krankheitstage!Q113:AB113)&gt;0)*1))</f>
        <v/>
      </c>
      <c r="K113" s="63">
        <f>IF(B113="","",IF(N(D113)&gt;0,F113/D113,""))</f>
        <v/>
      </c>
      <c r="L113" s="40">
        <f>IF(B113="","",IF(N(E113)&gt;0,IF(Einstellungen!$C$10="Ja",F113/E113,F113/(E113+F113)),""))</f>
        <v/>
      </c>
      <c r="M113" s="64">
        <f>IF(L113="","",RANK(L113,$L$6:$L$205,0))</f>
        <v/>
      </c>
      <c r="N113" s="57">
        <f>IF(B113="","",IF(L113="","keine Ist-Std.",IF(L113&lt;=Einstellungen!$C$7,"unauffällig",IF(L113&lt;=Einstellungen!$C$8,"auffällig","kritisch"))))</f>
        <v/>
      </c>
      <c r="O113" s="65">
        <f>IF(L113="",-1,L113+ROW()/1000000000)</f>
        <v/>
      </c>
    </row>
    <row r="114">
      <c r="A114" s="49">
        <f>IF(Mitarbeiter!B114="","",Mitarbeiter!A114)</f>
        <v/>
      </c>
      <c r="B114" s="50">
        <f>IF(Mitarbeiter!B114="","",Mitarbeiter!B114)</f>
        <v/>
      </c>
      <c r="C114" s="7">
        <f>IF(Mitarbeiter!B114="","",Mitarbeiter!G114)</f>
        <v/>
      </c>
      <c r="D114" s="58">
        <f>IF(Mitarbeiter!B114="","",Mitarbeiter!H114)</f>
        <v/>
      </c>
      <c r="E114" s="58">
        <f>IF(Mitarbeiter!B114="","",'Ist-Stunden'!O114)</f>
        <v/>
      </c>
      <c r="F114" s="58">
        <f>IF(B114="","",Krankheitstage!AE114)</f>
        <v/>
      </c>
      <c r="G114" s="62">
        <f>IF(B114="","",Krankheitstage!P114)</f>
        <v/>
      </c>
      <c r="H114" s="62">
        <f>IF(B114="","",Krankheitstage!AC114)</f>
        <v/>
      </c>
      <c r="I114" s="62">
        <f>IF(B114="","",Krankheitstage!AD114)</f>
        <v/>
      </c>
      <c r="J114" s="36">
        <f>IF(B114="","",SUMPRODUCT(((Krankheitstage!D114:O114+Krankheitstage!Q114:AB114)&gt;0)*1))</f>
        <v/>
      </c>
      <c r="K114" s="63">
        <f>IF(B114="","",IF(N(D114)&gt;0,F114/D114,""))</f>
        <v/>
      </c>
      <c r="L114" s="40">
        <f>IF(B114="","",IF(N(E114)&gt;0,IF(Einstellungen!$C$10="Ja",F114/E114,F114/(E114+F114)),""))</f>
        <v/>
      </c>
      <c r="M114" s="64">
        <f>IF(L114="","",RANK(L114,$L$6:$L$205,0))</f>
        <v/>
      </c>
      <c r="N114" s="57">
        <f>IF(B114="","",IF(L114="","keine Ist-Std.",IF(L114&lt;=Einstellungen!$C$7,"unauffällig",IF(L114&lt;=Einstellungen!$C$8,"auffällig","kritisch"))))</f>
        <v/>
      </c>
      <c r="O114" s="65">
        <f>IF(L114="",-1,L114+ROW()/1000000000)</f>
        <v/>
      </c>
    </row>
    <row r="115">
      <c r="A115" s="49">
        <f>IF(Mitarbeiter!B115="","",Mitarbeiter!A115)</f>
        <v/>
      </c>
      <c r="B115" s="50">
        <f>IF(Mitarbeiter!B115="","",Mitarbeiter!B115)</f>
        <v/>
      </c>
      <c r="C115" s="7">
        <f>IF(Mitarbeiter!B115="","",Mitarbeiter!G115)</f>
        <v/>
      </c>
      <c r="D115" s="58">
        <f>IF(Mitarbeiter!B115="","",Mitarbeiter!H115)</f>
        <v/>
      </c>
      <c r="E115" s="58">
        <f>IF(Mitarbeiter!B115="","",'Ist-Stunden'!O115)</f>
        <v/>
      </c>
      <c r="F115" s="58">
        <f>IF(B115="","",Krankheitstage!AE115)</f>
        <v/>
      </c>
      <c r="G115" s="62">
        <f>IF(B115="","",Krankheitstage!P115)</f>
        <v/>
      </c>
      <c r="H115" s="62">
        <f>IF(B115="","",Krankheitstage!AC115)</f>
        <v/>
      </c>
      <c r="I115" s="62">
        <f>IF(B115="","",Krankheitstage!AD115)</f>
        <v/>
      </c>
      <c r="J115" s="36">
        <f>IF(B115="","",SUMPRODUCT(((Krankheitstage!D115:O115+Krankheitstage!Q115:AB115)&gt;0)*1))</f>
        <v/>
      </c>
      <c r="K115" s="63">
        <f>IF(B115="","",IF(N(D115)&gt;0,F115/D115,""))</f>
        <v/>
      </c>
      <c r="L115" s="40">
        <f>IF(B115="","",IF(N(E115)&gt;0,IF(Einstellungen!$C$10="Ja",F115/E115,F115/(E115+F115)),""))</f>
        <v/>
      </c>
      <c r="M115" s="64">
        <f>IF(L115="","",RANK(L115,$L$6:$L$205,0))</f>
        <v/>
      </c>
      <c r="N115" s="57">
        <f>IF(B115="","",IF(L115="","keine Ist-Std.",IF(L115&lt;=Einstellungen!$C$7,"unauffällig",IF(L115&lt;=Einstellungen!$C$8,"auffällig","kritisch"))))</f>
        <v/>
      </c>
      <c r="O115" s="65">
        <f>IF(L115="",-1,L115+ROW()/1000000000)</f>
        <v/>
      </c>
    </row>
    <row r="116">
      <c r="A116" s="49">
        <f>IF(Mitarbeiter!B116="","",Mitarbeiter!A116)</f>
        <v/>
      </c>
      <c r="B116" s="50">
        <f>IF(Mitarbeiter!B116="","",Mitarbeiter!B116)</f>
        <v/>
      </c>
      <c r="C116" s="7">
        <f>IF(Mitarbeiter!B116="","",Mitarbeiter!G116)</f>
        <v/>
      </c>
      <c r="D116" s="58">
        <f>IF(Mitarbeiter!B116="","",Mitarbeiter!H116)</f>
        <v/>
      </c>
      <c r="E116" s="58">
        <f>IF(Mitarbeiter!B116="","",'Ist-Stunden'!O116)</f>
        <v/>
      </c>
      <c r="F116" s="58">
        <f>IF(B116="","",Krankheitstage!AE116)</f>
        <v/>
      </c>
      <c r="G116" s="62">
        <f>IF(B116="","",Krankheitstage!P116)</f>
        <v/>
      </c>
      <c r="H116" s="62">
        <f>IF(B116="","",Krankheitstage!AC116)</f>
        <v/>
      </c>
      <c r="I116" s="62">
        <f>IF(B116="","",Krankheitstage!AD116)</f>
        <v/>
      </c>
      <c r="J116" s="36">
        <f>IF(B116="","",SUMPRODUCT(((Krankheitstage!D116:O116+Krankheitstage!Q116:AB116)&gt;0)*1))</f>
        <v/>
      </c>
      <c r="K116" s="63">
        <f>IF(B116="","",IF(N(D116)&gt;0,F116/D116,""))</f>
        <v/>
      </c>
      <c r="L116" s="40">
        <f>IF(B116="","",IF(N(E116)&gt;0,IF(Einstellungen!$C$10="Ja",F116/E116,F116/(E116+F116)),""))</f>
        <v/>
      </c>
      <c r="M116" s="64">
        <f>IF(L116="","",RANK(L116,$L$6:$L$205,0))</f>
        <v/>
      </c>
      <c r="N116" s="57">
        <f>IF(B116="","",IF(L116="","keine Ist-Std.",IF(L116&lt;=Einstellungen!$C$7,"unauffällig",IF(L116&lt;=Einstellungen!$C$8,"auffällig","kritisch"))))</f>
        <v/>
      </c>
      <c r="O116" s="65">
        <f>IF(L116="",-1,L116+ROW()/1000000000)</f>
        <v/>
      </c>
    </row>
    <row r="117">
      <c r="A117" s="49">
        <f>IF(Mitarbeiter!B117="","",Mitarbeiter!A117)</f>
        <v/>
      </c>
      <c r="B117" s="50">
        <f>IF(Mitarbeiter!B117="","",Mitarbeiter!B117)</f>
        <v/>
      </c>
      <c r="C117" s="7">
        <f>IF(Mitarbeiter!B117="","",Mitarbeiter!G117)</f>
        <v/>
      </c>
      <c r="D117" s="58">
        <f>IF(Mitarbeiter!B117="","",Mitarbeiter!H117)</f>
        <v/>
      </c>
      <c r="E117" s="58">
        <f>IF(Mitarbeiter!B117="","",'Ist-Stunden'!O117)</f>
        <v/>
      </c>
      <c r="F117" s="58">
        <f>IF(B117="","",Krankheitstage!AE117)</f>
        <v/>
      </c>
      <c r="G117" s="62">
        <f>IF(B117="","",Krankheitstage!P117)</f>
        <v/>
      </c>
      <c r="H117" s="62">
        <f>IF(B117="","",Krankheitstage!AC117)</f>
        <v/>
      </c>
      <c r="I117" s="62">
        <f>IF(B117="","",Krankheitstage!AD117)</f>
        <v/>
      </c>
      <c r="J117" s="36">
        <f>IF(B117="","",SUMPRODUCT(((Krankheitstage!D117:O117+Krankheitstage!Q117:AB117)&gt;0)*1))</f>
        <v/>
      </c>
      <c r="K117" s="63">
        <f>IF(B117="","",IF(N(D117)&gt;0,F117/D117,""))</f>
        <v/>
      </c>
      <c r="L117" s="40">
        <f>IF(B117="","",IF(N(E117)&gt;0,IF(Einstellungen!$C$10="Ja",F117/E117,F117/(E117+F117)),""))</f>
        <v/>
      </c>
      <c r="M117" s="64">
        <f>IF(L117="","",RANK(L117,$L$6:$L$205,0))</f>
        <v/>
      </c>
      <c r="N117" s="57">
        <f>IF(B117="","",IF(L117="","keine Ist-Std.",IF(L117&lt;=Einstellungen!$C$7,"unauffällig",IF(L117&lt;=Einstellungen!$C$8,"auffällig","kritisch"))))</f>
        <v/>
      </c>
      <c r="O117" s="65">
        <f>IF(L117="",-1,L117+ROW()/1000000000)</f>
        <v/>
      </c>
    </row>
    <row r="118">
      <c r="A118" s="49">
        <f>IF(Mitarbeiter!B118="","",Mitarbeiter!A118)</f>
        <v/>
      </c>
      <c r="B118" s="50">
        <f>IF(Mitarbeiter!B118="","",Mitarbeiter!B118)</f>
        <v/>
      </c>
      <c r="C118" s="7">
        <f>IF(Mitarbeiter!B118="","",Mitarbeiter!G118)</f>
        <v/>
      </c>
      <c r="D118" s="58">
        <f>IF(Mitarbeiter!B118="","",Mitarbeiter!H118)</f>
        <v/>
      </c>
      <c r="E118" s="58">
        <f>IF(Mitarbeiter!B118="","",'Ist-Stunden'!O118)</f>
        <v/>
      </c>
      <c r="F118" s="58">
        <f>IF(B118="","",Krankheitstage!AE118)</f>
        <v/>
      </c>
      <c r="G118" s="62">
        <f>IF(B118="","",Krankheitstage!P118)</f>
        <v/>
      </c>
      <c r="H118" s="62">
        <f>IF(B118="","",Krankheitstage!AC118)</f>
        <v/>
      </c>
      <c r="I118" s="62">
        <f>IF(B118="","",Krankheitstage!AD118)</f>
        <v/>
      </c>
      <c r="J118" s="36">
        <f>IF(B118="","",SUMPRODUCT(((Krankheitstage!D118:O118+Krankheitstage!Q118:AB118)&gt;0)*1))</f>
        <v/>
      </c>
      <c r="K118" s="63">
        <f>IF(B118="","",IF(N(D118)&gt;0,F118/D118,""))</f>
        <v/>
      </c>
      <c r="L118" s="40">
        <f>IF(B118="","",IF(N(E118)&gt;0,IF(Einstellungen!$C$10="Ja",F118/E118,F118/(E118+F118)),""))</f>
        <v/>
      </c>
      <c r="M118" s="64">
        <f>IF(L118="","",RANK(L118,$L$6:$L$205,0))</f>
        <v/>
      </c>
      <c r="N118" s="57">
        <f>IF(B118="","",IF(L118="","keine Ist-Std.",IF(L118&lt;=Einstellungen!$C$7,"unauffällig",IF(L118&lt;=Einstellungen!$C$8,"auffällig","kritisch"))))</f>
        <v/>
      </c>
      <c r="O118" s="65">
        <f>IF(L118="",-1,L118+ROW()/1000000000)</f>
        <v/>
      </c>
    </row>
    <row r="119">
      <c r="A119" s="49">
        <f>IF(Mitarbeiter!B119="","",Mitarbeiter!A119)</f>
        <v/>
      </c>
      <c r="B119" s="50">
        <f>IF(Mitarbeiter!B119="","",Mitarbeiter!B119)</f>
        <v/>
      </c>
      <c r="C119" s="7">
        <f>IF(Mitarbeiter!B119="","",Mitarbeiter!G119)</f>
        <v/>
      </c>
      <c r="D119" s="58">
        <f>IF(Mitarbeiter!B119="","",Mitarbeiter!H119)</f>
        <v/>
      </c>
      <c r="E119" s="58">
        <f>IF(Mitarbeiter!B119="","",'Ist-Stunden'!O119)</f>
        <v/>
      </c>
      <c r="F119" s="58">
        <f>IF(B119="","",Krankheitstage!AE119)</f>
        <v/>
      </c>
      <c r="G119" s="62">
        <f>IF(B119="","",Krankheitstage!P119)</f>
        <v/>
      </c>
      <c r="H119" s="62">
        <f>IF(B119="","",Krankheitstage!AC119)</f>
        <v/>
      </c>
      <c r="I119" s="62">
        <f>IF(B119="","",Krankheitstage!AD119)</f>
        <v/>
      </c>
      <c r="J119" s="36">
        <f>IF(B119="","",SUMPRODUCT(((Krankheitstage!D119:O119+Krankheitstage!Q119:AB119)&gt;0)*1))</f>
        <v/>
      </c>
      <c r="K119" s="63">
        <f>IF(B119="","",IF(N(D119)&gt;0,F119/D119,""))</f>
        <v/>
      </c>
      <c r="L119" s="40">
        <f>IF(B119="","",IF(N(E119)&gt;0,IF(Einstellungen!$C$10="Ja",F119/E119,F119/(E119+F119)),""))</f>
        <v/>
      </c>
      <c r="M119" s="64">
        <f>IF(L119="","",RANK(L119,$L$6:$L$205,0))</f>
        <v/>
      </c>
      <c r="N119" s="57">
        <f>IF(B119="","",IF(L119="","keine Ist-Std.",IF(L119&lt;=Einstellungen!$C$7,"unauffällig",IF(L119&lt;=Einstellungen!$C$8,"auffällig","kritisch"))))</f>
        <v/>
      </c>
      <c r="O119" s="65">
        <f>IF(L119="",-1,L119+ROW()/1000000000)</f>
        <v/>
      </c>
    </row>
    <row r="120">
      <c r="A120" s="49">
        <f>IF(Mitarbeiter!B120="","",Mitarbeiter!A120)</f>
        <v/>
      </c>
      <c r="B120" s="50">
        <f>IF(Mitarbeiter!B120="","",Mitarbeiter!B120)</f>
        <v/>
      </c>
      <c r="C120" s="7">
        <f>IF(Mitarbeiter!B120="","",Mitarbeiter!G120)</f>
        <v/>
      </c>
      <c r="D120" s="58">
        <f>IF(Mitarbeiter!B120="","",Mitarbeiter!H120)</f>
        <v/>
      </c>
      <c r="E120" s="58">
        <f>IF(Mitarbeiter!B120="","",'Ist-Stunden'!O120)</f>
        <v/>
      </c>
      <c r="F120" s="58">
        <f>IF(B120="","",Krankheitstage!AE120)</f>
        <v/>
      </c>
      <c r="G120" s="62">
        <f>IF(B120="","",Krankheitstage!P120)</f>
        <v/>
      </c>
      <c r="H120" s="62">
        <f>IF(B120="","",Krankheitstage!AC120)</f>
        <v/>
      </c>
      <c r="I120" s="62">
        <f>IF(B120="","",Krankheitstage!AD120)</f>
        <v/>
      </c>
      <c r="J120" s="36">
        <f>IF(B120="","",SUMPRODUCT(((Krankheitstage!D120:O120+Krankheitstage!Q120:AB120)&gt;0)*1))</f>
        <v/>
      </c>
      <c r="K120" s="63">
        <f>IF(B120="","",IF(N(D120)&gt;0,F120/D120,""))</f>
        <v/>
      </c>
      <c r="L120" s="40">
        <f>IF(B120="","",IF(N(E120)&gt;0,IF(Einstellungen!$C$10="Ja",F120/E120,F120/(E120+F120)),""))</f>
        <v/>
      </c>
      <c r="M120" s="64">
        <f>IF(L120="","",RANK(L120,$L$6:$L$205,0))</f>
        <v/>
      </c>
      <c r="N120" s="57">
        <f>IF(B120="","",IF(L120="","keine Ist-Std.",IF(L120&lt;=Einstellungen!$C$7,"unauffällig",IF(L120&lt;=Einstellungen!$C$8,"auffällig","kritisch"))))</f>
        <v/>
      </c>
      <c r="O120" s="65">
        <f>IF(L120="",-1,L120+ROW()/1000000000)</f>
        <v/>
      </c>
    </row>
    <row r="121">
      <c r="A121" s="49">
        <f>IF(Mitarbeiter!B121="","",Mitarbeiter!A121)</f>
        <v/>
      </c>
      <c r="B121" s="50">
        <f>IF(Mitarbeiter!B121="","",Mitarbeiter!B121)</f>
        <v/>
      </c>
      <c r="C121" s="7">
        <f>IF(Mitarbeiter!B121="","",Mitarbeiter!G121)</f>
        <v/>
      </c>
      <c r="D121" s="58">
        <f>IF(Mitarbeiter!B121="","",Mitarbeiter!H121)</f>
        <v/>
      </c>
      <c r="E121" s="58">
        <f>IF(Mitarbeiter!B121="","",'Ist-Stunden'!O121)</f>
        <v/>
      </c>
      <c r="F121" s="58">
        <f>IF(B121="","",Krankheitstage!AE121)</f>
        <v/>
      </c>
      <c r="G121" s="62">
        <f>IF(B121="","",Krankheitstage!P121)</f>
        <v/>
      </c>
      <c r="H121" s="62">
        <f>IF(B121="","",Krankheitstage!AC121)</f>
        <v/>
      </c>
      <c r="I121" s="62">
        <f>IF(B121="","",Krankheitstage!AD121)</f>
        <v/>
      </c>
      <c r="J121" s="36">
        <f>IF(B121="","",SUMPRODUCT(((Krankheitstage!D121:O121+Krankheitstage!Q121:AB121)&gt;0)*1))</f>
        <v/>
      </c>
      <c r="K121" s="63">
        <f>IF(B121="","",IF(N(D121)&gt;0,F121/D121,""))</f>
        <v/>
      </c>
      <c r="L121" s="40">
        <f>IF(B121="","",IF(N(E121)&gt;0,IF(Einstellungen!$C$10="Ja",F121/E121,F121/(E121+F121)),""))</f>
        <v/>
      </c>
      <c r="M121" s="64">
        <f>IF(L121="","",RANK(L121,$L$6:$L$205,0))</f>
        <v/>
      </c>
      <c r="N121" s="57">
        <f>IF(B121="","",IF(L121="","keine Ist-Std.",IF(L121&lt;=Einstellungen!$C$7,"unauffällig",IF(L121&lt;=Einstellungen!$C$8,"auffällig","kritisch"))))</f>
        <v/>
      </c>
      <c r="O121" s="65">
        <f>IF(L121="",-1,L121+ROW()/1000000000)</f>
        <v/>
      </c>
    </row>
    <row r="122">
      <c r="A122" s="49">
        <f>IF(Mitarbeiter!B122="","",Mitarbeiter!A122)</f>
        <v/>
      </c>
      <c r="B122" s="50">
        <f>IF(Mitarbeiter!B122="","",Mitarbeiter!B122)</f>
        <v/>
      </c>
      <c r="C122" s="7">
        <f>IF(Mitarbeiter!B122="","",Mitarbeiter!G122)</f>
        <v/>
      </c>
      <c r="D122" s="58">
        <f>IF(Mitarbeiter!B122="","",Mitarbeiter!H122)</f>
        <v/>
      </c>
      <c r="E122" s="58">
        <f>IF(Mitarbeiter!B122="","",'Ist-Stunden'!O122)</f>
        <v/>
      </c>
      <c r="F122" s="58">
        <f>IF(B122="","",Krankheitstage!AE122)</f>
        <v/>
      </c>
      <c r="G122" s="62">
        <f>IF(B122="","",Krankheitstage!P122)</f>
        <v/>
      </c>
      <c r="H122" s="62">
        <f>IF(B122="","",Krankheitstage!AC122)</f>
        <v/>
      </c>
      <c r="I122" s="62">
        <f>IF(B122="","",Krankheitstage!AD122)</f>
        <v/>
      </c>
      <c r="J122" s="36">
        <f>IF(B122="","",SUMPRODUCT(((Krankheitstage!D122:O122+Krankheitstage!Q122:AB122)&gt;0)*1))</f>
        <v/>
      </c>
      <c r="K122" s="63">
        <f>IF(B122="","",IF(N(D122)&gt;0,F122/D122,""))</f>
        <v/>
      </c>
      <c r="L122" s="40">
        <f>IF(B122="","",IF(N(E122)&gt;0,IF(Einstellungen!$C$10="Ja",F122/E122,F122/(E122+F122)),""))</f>
        <v/>
      </c>
      <c r="M122" s="64">
        <f>IF(L122="","",RANK(L122,$L$6:$L$205,0))</f>
        <v/>
      </c>
      <c r="N122" s="57">
        <f>IF(B122="","",IF(L122="","keine Ist-Std.",IF(L122&lt;=Einstellungen!$C$7,"unauffällig",IF(L122&lt;=Einstellungen!$C$8,"auffällig","kritisch"))))</f>
        <v/>
      </c>
      <c r="O122" s="65">
        <f>IF(L122="",-1,L122+ROW()/1000000000)</f>
        <v/>
      </c>
    </row>
    <row r="123">
      <c r="A123" s="49">
        <f>IF(Mitarbeiter!B123="","",Mitarbeiter!A123)</f>
        <v/>
      </c>
      <c r="B123" s="50">
        <f>IF(Mitarbeiter!B123="","",Mitarbeiter!B123)</f>
        <v/>
      </c>
      <c r="C123" s="7">
        <f>IF(Mitarbeiter!B123="","",Mitarbeiter!G123)</f>
        <v/>
      </c>
      <c r="D123" s="58">
        <f>IF(Mitarbeiter!B123="","",Mitarbeiter!H123)</f>
        <v/>
      </c>
      <c r="E123" s="58">
        <f>IF(Mitarbeiter!B123="","",'Ist-Stunden'!O123)</f>
        <v/>
      </c>
      <c r="F123" s="58">
        <f>IF(B123="","",Krankheitstage!AE123)</f>
        <v/>
      </c>
      <c r="G123" s="62">
        <f>IF(B123="","",Krankheitstage!P123)</f>
        <v/>
      </c>
      <c r="H123" s="62">
        <f>IF(B123="","",Krankheitstage!AC123)</f>
        <v/>
      </c>
      <c r="I123" s="62">
        <f>IF(B123="","",Krankheitstage!AD123)</f>
        <v/>
      </c>
      <c r="J123" s="36">
        <f>IF(B123="","",SUMPRODUCT(((Krankheitstage!D123:O123+Krankheitstage!Q123:AB123)&gt;0)*1))</f>
        <v/>
      </c>
      <c r="K123" s="63">
        <f>IF(B123="","",IF(N(D123)&gt;0,F123/D123,""))</f>
        <v/>
      </c>
      <c r="L123" s="40">
        <f>IF(B123="","",IF(N(E123)&gt;0,IF(Einstellungen!$C$10="Ja",F123/E123,F123/(E123+F123)),""))</f>
        <v/>
      </c>
      <c r="M123" s="64">
        <f>IF(L123="","",RANK(L123,$L$6:$L$205,0))</f>
        <v/>
      </c>
      <c r="N123" s="57">
        <f>IF(B123="","",IF(L123="","keine Ist-Std.",IF(L123&lt;=Einstellungen!$C$7,"unauffällig",IF(L123&lt;=Einstellungen!$C$8,"auffällig","kritisch"))))</f>
        <v/>
      </c>
      <c r="O123" s="65">
        <f>IF(L123="",-1,L123+ROW()/1000000000)</f>
        <v/>
      </c>
    </row>
    <row r="124">
      <c r="A124" s="49">
        <f>IF(Mitarbeiter!B124="","",Mitarbeiter!A124)</f>
        <v/>
      </c>
      <c r="B124" s="50">
        <f>IF(Mitarbeiter!B124="","",Mitarbeiter!B124)</f>
        <v/>
      </c>
      <c r="C124" s="7">
        <f>IF(Mitarbeiter!B124="","",Mitarbeiter!G124)</f>
        <v/>
      </c>
      <c r="D124" s="58">
        <f>IF(Mitarbeiter!B124="","",Mitarbeiter!H124)</f>
        <v/>
      </c>
      <c r="E124" s="58">
        <f>IF(Mitarbeiter!B124="","",'Ist-Stunden'!O124)</f>
        <v/>
      </c>
      <c r="F124" s="58">
        <f>IF(B124="","",Krankheitstage!AE124)</f>
        <v/>
      </c>
      <c r="G124" s="62">
        <f>IF(B124="","",Krankheitstage!P124)</f>
        <v/>
      </c>
      <c r="H124" s="62">
        <f>IF(B124="","",Krankheitstage!AC124)</f>
        <v/>
      </c>
      <c r="I124" s="62">
        <f>IF(B124="","",Krankheitstage!AD124)</f>
        <v/>
      </c>
      <c r="J124" s="36">
        <f>IF(B124="","",SUMPRODUCT(((Krankheitstage!D124:O124+Krankheitstage!Q124:AB124)&gt;0)*1))</f>
        <v/>
      </c>
      <c r="K124" s="63">
        <f>IF(B124="","",IF(N(D124)&gt;0,F124/D124,""))</f>
        <v/>
      </c>
      <c r="L124" s="40">
        <f>IF(B124="","",IF(N(E124)&gt;0,IF(Einstellungen!$C$10="Ja",F124/E124,F124/(E124+F124)),""))</f>
        <v/>
      </c>
      <c r="M124" s="64">
        <f>IF(L124="","",RANK(L124,$L$6:$L$205,0))</f>
        <v/>
      </c>
      <c r="N124" s="57">
        <f>IF(B124="","",IF(L124="","keine Ist-Std.",IF(L124&lt;=Einstellungen!$C$7,"unauffällig",IF(L124&lt;=Einstellungen!$C$8,"auffällig","kritisch"))))</f>
        <v/>
      </c>
      <c r="O124" s="65">
        <f>IF(L124="",-1,L124+ROW()/1000000000)</f>
        <v/>
      </c>
    </row>
    <row r="125">
      <c r="A125" s="49">
        <f>IF(Mitarbeiter!B125="","",Mitarbeiter!A125)</f>
        <v/>
      </c>
      <c r="B125" s="50">
        <f>IF(Mitarbeiter!B125="","",Mitarbeiter!B125)</f>
        <v/>
      </c>
      <c r="C125" s="7">
        <f>IF(Mitarbeiter!B125="","",Mitarbeiter!G125)</f>
        <v/>
      </c>
      <c r="D125" s="58">
        <f>IF(Mitarbeiter!B125="","",Mitarbeiter!H125)</f>
        <v/>
      </c>
      <c r="E125" s="58">
        <f>IF(Mitarbeiter!B125="","",'Ist-Stunden'!O125)</f>
        <v/>
      </c>
      <c r="F125" s="58">
        <f>IF(B125="","",Krankheitstage!AE125)</f>
        <v/>
      </c>
      <c r="G125" s="62">
        <f>IF(B125="","",Krankheitstage!P125)</f>
        <v/>
      </c>
      <c r="H125" s="62">
        <f>IF(B125="","",Krankheitstage!AC125)</f>
        <v/>
      </c>
      <c r="I125" s="62">
        <f>IF(B125="","",Krankheitstage!AD125)</f>
        <v/>
      </c>
      <c r="J125" s="36">
        <f>IF(B125="","",SUMPRODUCT(((Krankheitstage!D125:O125+Krankheitstage!Q125:AB125)&gt;0)*1))</f>
        <v/>
      </c>
      <c r="K125" s="63">
        <f>IF(B125="","",IF(N(D125)&gt;0,F125/D125,""))</f>
        <v/>
      </c>
      <c r="L125" s="40">
        <f>IF(B125="","",IF(N(E125)&gt;0,IF(Einstellungen!$C$10="Ja",F125/E125,F125/(E125+F125)),""))</f>
        <v/>
      </c>
      <c r="M125" s="64">
        <f>IF(L125="","",RANK(L125,$L$6:$L$205,0))</f>
        <v/>
      </c>
      <c r="N125" s="57">
        <f>IF(B125="","",IF(L125="","keine Ist-Std.",IF(L125&lt;=Einstellungen!$C$7,"unauffällig",IF(L125&lt;=Einstellungen!$C$8,"auffällig","kritisch"))))</f>
        <v/>
      </c>
      <c r="O125" s="65">
        <f>IF(L125="",-1,L125+ROW()/1000000000)</f>
        <v/>
      </c>
    </row>
    <row r="126">
      <c r="A126" s="49">
        <f>IF(Mitarbeiter!B126="","",Mitarbeiter!A126)</f>
        <v/>
      </c>
      <c r="B126" s="50">
        <f>IF(Mitarbeiter!B126="","",Mitarbeiter!B126)</f>
        <v/>
      </c>
      <c r="C126" s="7">
        <f>IF(Mitarbeiter!B126="","",Mitarbeiter!G126)</f>
        <v/>
      </c>
      <c r="D126" s="58">
        <f>IF(Mitarbeiter!B126="","",Mitarbeiter!H126)</f>
        <v/>
      </c>
      <c r="E126" s="58">
        <f>IF(Mitarbeiter!B126="","",'Ist-Stunden'!O126)</f>
        <v/>
      </c>
      <c r="F126" s="58">
        <f>IF(B126="","",Krankheitstage!AE126)</f>
        <v/>
      </c>
      <c r="G126" s="62">
        <f>IF(B126="","",Krankheitstage!P126)</f>
        <v/>
      </c>
      <c r="H126" s="62">
        <f>IF(B126="","",Krankheitstage!AC126)</f>
        <v/>
      </c>
      <c r="I126" s="62">
        <f>IF(B126="","",Krankheitstage!AD126)</f>
        <v/>
      </c>
      <c r="J126" s="36">
        <f>IF(B126="","",SUMPRODUCT(((Krankheitstage!D126:O126+Krankheitstage!Q126:AB126)&gt;0)*1))</f>
        <v/>
      </c>
      <c r="K126" s="63">
        <f>IF(B126="","",IF(N(D126)&gt;0,F126/D126,""))</f>
        <v/>
      </c>
      <c r="L126" s="40">
        <f>IF(B126="","",IF(N(E126)&gt;0,IF(Einstellungen!$C$10="Ja",F126/E126,F126/(E126+F126)),""))</f>
        <v/>
      </c>
      <c r="M126" s="64">
        <f>IF(L126="","",RANK(L126,$L$6:$L$205,0))</f>
        <v/>
      </c>
      <c r="N126" s="57">
        <f>IF(B126="","",IF(L126="","keine Ist-Std.",IF(L126&lt;=Einstellungen!$C$7,"unauffällig",IF(L126&lt;=Einstellungen!$C$8,"auffällig","kritisch"))))</f>
        <v/>
      </c>
      <c r="O126" s="65">
        <f>IF(L126="",-1,L126+ROW()/1000000000)</f>
        <v/>
      </c>
    </row>
    <row r="127">
      <c r="A127" s="49">
        <f>IF(Mitarbeiter!B127="","",Mitarbeiter!A127)</f>
        <v/>
      </c>
      <c r="B127" s="50">
        <f>IF(Mitarbeiter!B127="","",Mitarbeiter!B127)</f>
        <v/>
      </c>
      <c r="C127" s="7">
        <f>IF(Mitarbeiter!B127="","",Mitarbeiter!G127)</f>
        <v/>
      </c>
      <c r="D127" s="58">
        <f>IF(Mitarbeiter!B127="","",Mitarbeiter!H127)</f>
        <v/>
      </c>
      <c r="E127" s="58">
        <f>IF(Mitarbeiter!B127="","",'Ist-Stunden'!O127)</f>
        <v/>
      </c>
      <c r="F127" s="58">
        <f>IF(B127="","",Krankheitstage!AE127)</f>
        <v/>
      </c>
      <c r="G127" s="62">
        <f>IF(B127="","",Krankheitstage!P127)</f>
        <v/>
      </c>
      <c r="H127" s="62">
        <f>IF(B127="","",Krankheitstage!AC127)</f>
        <v/>
      </c>
      <c r="I127" s="62">
        <f>IF(B127="","",Krankheitstage!AD127)</f>
        <v/>
      </c>
      <c r="J127" s="36">
        <f>IF(B127="","",SUMPRODUCT(((Krankheitstage!D127:O127+Krankheitstage!Q127:AB127)&gt;0)*1))</f>
        <v/>
      </c>
      <c r="K127" s="63">
        <f>IF(B127="","",IF(N(D127)&gt;0,F127/D127,""))</f>
        <v/>
      </c>
      <c r="L127" s="40">
        <f>IF(B127="","",IF(N(E127)&gt;0,IF(Einstellungen!$C$10="Ja",F127/E127,F127/(E127+F127)),""))</f>
        <v/>
      </c>
      <c r="M127" s="64">
        <f>IF(L127="","",RANK(L127,$L$6:$L$205,0))</f>
        <v/>
      </c>
      <c r="N127" s="57">
        <f>IF(B127="","",IF(L127="","keine Ist-Std.",IF(L127&lt;=Einstellungen!$C$7,"unauffällig",IF(L127&lt;=Einstellungen!$C$8,"auffällig","kritisch"))))</f>
        <v/>
      </c>
      <c r="O127" s="65">
        <f>IF(L127="",-1,L127+ROW()/1000000000)</f>
        <v/>
      </c>
    </row>
    <row r="128">
      <c r="A128" s="49">
        <f>IF(Mitarbeiter!B128="","",Mitarbeiter!A128)</f>
        <v/>
      </c>
      <c r="B128" s="50">
        <f>IF(Mitarbeiter!B128="","",Mitarbeiter!B128)</f>
        <v/>
      </c>
      <c r="C128" s="7">
        <f>IF(Mitarbeiter!B128="","",Mitarbeiter!G128)</f>
        <v/>
      </c>
      <c r="D128" s="58">
        <f>IF(Mitarbeiter!B128="","",Mitarbeiter!H128)</f>
        <v/>
      </c>
      <c r="E128" s="58">
        <f>IF(Mitarbeiter!B128="","",'Ist-Stunden'!O128)</f>
        <v/>
      </c>
      <c r="F128" s="58">
        <f>IF(B128="","",Krankheitstage!AE128)</f>
        <v/>
      </c>
      <c r="G128" s="62">
        <f>IF(B128="","",Krankheitstage!P128)</f>
        <v/>
      </c>
      <c r="H128" s="62">
        <f>IF(B128="","",Krankheitstage!AC128)</f>
        <v/>
      </c>
      <c r="I128" s="62">
        <f>IF(B128="","",Krankheitstage!AD128)</f>
        <v/>
      </c>
      <c r="J128" s="36">
        <f>IF(B128="","",SUMPRODUCT(((Krankheitstage!D128:O128+Krankheitstage!Q128:AB128)&gt;0)*1))</f>
        <v/>
      </c>
      <c r="K128" s="63">
        <f>IF(B128="","",IF(N(D128)&gt;0,F128/D128,""))</f>
        <v/>
      </c>
      <c r="L128" s="40">
        <f>IF(B128="","",IF(N(E128)&gt;0,IF(Einstellungen!$C$10="Ja",F128/E128,F128/(E128+F128)),""))</f>
        <v/>
      </c>
      <c r="M128" s="64">
        <f>IF(L128="","",RANK(L128,$L$6:$L$205,0))</f>
        <v/>
      </c>
      <c r="N128" s="57">
        <f>IF(B128="","",IF(L128="","keine Ist-Std.",IF(L128&lt;=Einstellungen!$C$7,"unauffällig",IF(L128&lt;=Einstellungen!$C$8,"auffällig","kritisch"))))</f>
        <v/>
      </c>
      <c r="O128" s="65">
        <f>IF(L128="",-1,L128+ROW()/1000000000)</f>
        <v/>
      </c>
    </row>
    <row r="129">
      <c r="A129" s="49">
        <f>IF(Mitarbeiter!B129="","",Mitarbeiter!A129)</f>
        <v/>
      </c>
      <c r="B129" s="50">
        <f>IF(Mitarbeiter!B129="","",Mitarbeiter!B129)</f>
        <v/>
      </c>
      <c r="C129" s="7">
        <f>IF(Mitarbeiter!B129="","",Mitarbeiter!G129)</f>
        <v/>
      </c>
      <c r="D129" s="58">
        <f>IF(Mitarbeiter!B129="","",Mitarbeiter!H129)</f>
        <v/>
      </c>
      <c r="E129" s="58">
        <f>IF(Mitarbeiter!B129="","",'Ist-Stunden'!O129)</f>
        <v/>
      </c>
      <c r="F129" s="58">
        <f>IF(B129="","",Krankheitstage!AE129)</f>
        <v/>
      </c>
      <c r="G129" s="62">
        <f>IF(B129="","",Krankheitstage!P129)</f>
        <v/>
      </c>
      <c r="H129" s="62">
        <f>IF(B129="","",Krankheitstage!AC129)</f>
        <v/>
      </c>
      <c r="I129" s="62">
        <f>IF(B129="","",Krankheitstage!AD129)</f>
        <v/>
      </c>
      <c r="J129" s="36">
        <f>IF(B129="","",SUMPRODUCT(((Krankheitstage!D129:O129+Krankheitstage!Q129:AB129)&gt;0)*1))</f>
        <v/>
      </c>
      <c r="K129" s="63">
        <f>IF(B129="","",IF(N(D129)&gt;0,F129/D129,""))</f>
        <v/>
      </c>
      <c r="L129" s="40">
        <f>IF(B129="","",IF(N(E129)&gt;0,IF(Einstellungen!$C$10="Ja",F129/E129,F129/(E129+F129)),""))</f>
        <v/>
      </c>
      <c r="M129" s="64">
        <f>IF(L129="","",RANK(L129,$L$6:$L$205,0))</f>
        <v/>
      </c>
      <c r="N129" s="57">
        <f>IF(B129="","",IF(L129="","keine Ist-Std.",IF(L129&lt;=Einstellungen!$C$7,"unauffällig",IF(L129&lt;=Einstellungen!$C$8,"auffällig","kritisch"))))</f>
        <v/>
      </c>
      <c r="O129" s="65">
        <f>IF(L129="",-1,L129+ROW()/1000000000)</f>
        <v/>
      </c>
    </row>
    <row r="130">
      <c r="A130" s="49">
        <f>IF(Mitarbeiter!B130="","",Mitarbeiter!A130)</f>
        <v/>
      </c>
      <c r="B130" s="50">
        <f>IF(Mitarbeiter!B130="","",Mitarbeiter!B130)</f>
        <v/>
      </c>
      <c r="C130" s="7">
        <f>IF(Mitarbeiter!B130="","",Mitarbeiter!G130)</f>
        <v/>
      </c>
      <c r="D130" s="58">
        <f>IF(Mitarbeiter!B130="","",Mitarbeiter!H130)</f>
        <v/>
      </c>
      <c r="E130" s="58">
        <f>IF(Mitarbeiter!B130="","",'Ist-Stunden'!O130)</f>
        <v/>
      </c>
      <c r="F130" s="58">
        <f>IF(B130="","",Krankheitstage!AE130)</f>
        <v/>
      </c>
      <c r="G130" s="62">
        <f>IF(B130="","",Krankheitstage!P130)</f>
        <v/>
      </c>
      <c r="H130" s="62">
        <f>IF(B130="","",Krankheitstage!AC130)</f>
        <v/>
      </c>
      <c r="I130" s="62">
        <f>IF(B130="","",Krankheitstage!AD130)</f>
        <v/>
      </c>
      <c r="J130" s="36">
        <f>IF(B130="","",SUMPRODUCT(((Krankheitstage!D130:O130+Krankheitstage!Q130:AB130)&gt;0)*1))</f>
        <v/>
      </c>
      <c r="K130" s="63">
        <f>IF(B130="","",IF(N(D130)&gt;0,F130/D130,""))</f>
        <v/>
      </c>
      <c r="L130" s="40">
        <f>IF(B130="","",IF(N(E130)&gt;0,IF(Einstellungen!$C$10="Ja",F130/E130,F130/(E130+F130)),""))</f>
        <v/>
      </c>
      <c r="M130" s="64">
        <f>IF(L130="","",RANK(L130,$L$6:$L$205,0))</f>
        <v/>
      </c>
      <c r="N130" s="57">
        <f>IF(B130="","",IF(L130="","keine Ist-Std.",IF(L130&lt;=Einstellungen!$C$7,"unauffällig",IF(L130&lt;=Einstellungen!$C$8,"auffällig","kritisch"))))</f>
        <v/>
      </c>
      <c r="O130" s="65">
        <f>IF(L130="",-1,L130+ROW()/1000000000)</f>
        <v/>
      </c>
    </row>
    <row r="131">
      <c r="A131" s="49">
        <f>IF(Mitarbeiter!B131="","",Mitarbeiter!A131)</f>
        <v/>
      </c>
      <c r="B131" s="50">
        <f>IF(Mitarbeiter!B131="","",Mitarbeiter!B131)</f>
        <v/>
      </c>
      <c r="C131" s="7">
        <f>IF(Mitarbeiter!B131="","",Mitarbeiter!G131)</f>
        <v/>
      </c>
      <c r="D131" s="58">
        <f>IF(Mitarbeiter!B131="","",Mitarbeiter!H131)</f>
        <v/>
      </c>
      <c r="E131" s="58">
        <f>IF(Mitarbeiter!B131="","",'Ist-Stunden'!O131)</f>
        <v/>
      </c>
      <c r="F131" s="58">
        <f>IF(B131="","",Krankheitstage!AE131)</f>
        <v/>
      </c>
      <c r="G131" s="62">
        <f>IF(B131="","",Krankheitstage!P131)</f>
        <v/>
      </c>
      <c r="H131" s="62">
        <f>IF(B131="","",Krankheitstage!AC131)</f>
        <v/>
      </c>
      <c r="I131" s="62">
        <f>IF(B131="","",Krankheitstage!AD131)</f>
        <v/>
      </c>
      <c r="J131" s="36">
        <f>IF(B131="","",SUMPRODUCT(((Krankheitstage!D131:O131+Krankheitstage!Q131:AB131)&gt;0)*1))</f>
        <v/>
      </c>
      <c r="K131" s="63">
        <f>IF(B131="","",IF(N(D131)&gt;0,F131/D131,""))</f>
        <v/>
      </c>
      <c r="L131" s="40">
        <f>IF(B131="","",IF(N(E131)&gt;0,IF(Einstellungen!$C$10="Ja",F131/E131,F131/(E131+F131)),""))</f>
        <v/>
      </c>
      <c r="M131" s="64">
        <f>IF(L131="","",RANK(L131,$L$6:$L$205,0))</f>
        <v/>
      </c>
      <c r="N131" s="57">
        <f>IF(B131="","",IF(L131="","keine Ist-Std.",IF(L131&lt;=Einstellungen!$C$7,"unauffällig",IF(L131&lt;=Einstellungen!$C$8,"auffällig","kritisch"))))</f>
        <v/>
      </c>
      <c r="O131" s="65">
        <f>IF(L131="",-1,L131+ROW()/1000000000)</f>
        <v/>
      </c>
    </row>
    <row r="132">
      <c r="A132" s="49">
        <f>IF(Mitarbeiter!B132="","",Mitarbeiter!A132)</f>
        <v/>
      </c>
      <c r="B132" s="50">
        <f>IF(Mitarbeiter!B132="","",Mitarbeiter!B132)</f>
        <v/>
      </c>
      <c r="C132" s="7">
        <f>IF(Mitarbeiter!B132="","",Mitarbeiter!G132)</f>
        <v/>
      </c>
      <c r="D132" s="58">
        <f>IF(Mitarbeiter!B132="","",Mitarbeiter!H132)</f>
        <v/>
      </c>
      <c r="E132" s="58">
        <f>IF(Mitarbeiter!B132="","",'Ist-Stunden'!O132)</f>
        <v/>
      </c>
      <c r="F132" s="58">
        <f>IF(B132="","",Krankheitstage!AE132)</f>
        <v/>
      </c>
      <c r="G132" s="62">
        <f>IF(B132="","",Krankheitstage!P132)</f>
        <v/>
      </c>
      <c r="H132" s="62">
        <f>IF(B132="","",Krankheitstage!AC132)</f>
        <v/>
      </c>
      <c r="I132" s="62">
        <f>IF(B132="","",Krankheitstage!AD132)</f>
        <v/>
      </c>
      <c r="J132" s="36">
        <f>IF(B132="","",SUMPRODUCT(((Krankheitstage!D132:O132+Krankheitstage!Q132:AB132)&gt;0)*1))</f>
        <v/>
      </c>
      <c r="K132" s="63">
        <f>IF(B132="","",IF(N(D132)&gt;0,F132/D132,""))</f>
        <v/>
      </c>
      <c r="L132" s="40">
        <f>IF(B132="","",IF(N(E132)&gt;0,IF(Einstellungen!$C$10="Ja",F132/E132,F132/(E132+F132)),""))</f>
        <v/>
      </c>
      <c r="M132" s="64">
        <f>IF(L132="","",RANK(L132,$L$6:$L$205,0))</f>
        <v/>
      </c>
      <c r="N132" s="57">
        <f>IF(B132="","",IF(L132="","keine Ist-Std.",IF(L132&lt;=Einstellungen!$C$7,"unauffällig",IF(L132&lt;=Einstellungen!$C$8,"auffällig","kritisch"))))</f>
        <v/>
      </c>
      <c r="O132" s="65">
        <f>IF(L132="",-1,L132+ROW()/1000000000)</f>
        <v/>
      </c>
    </row>
    <row r="133">
      <c r="A133" s="49">
        <f>IF(Mitarbeiter!B133="","",Mitarbeiter!A133)</f>
        <v/>
      </c>
      <c r="B133" s="50">
        <f>IF(Mitarbeiter!B133="","",Mitarbeiter!B133)</f>
        <v/>
      </c>
      <c r="C133" s="7">
        <f>IF(Mitarbeiter!B133="","",Mitarbeiter!G133)</f>
        <v/>
      </c>
      <c r="D133" s="58">
        <f>IF(Mitarbeiter!B133="","",Mitarbeiter!H133)</f>
        <v/>
      </c>
      <c r="E133" s="58">
        <f>IF(Mitarbeiter!B133="","",'Ist-Stunden'!O133)</f>
        <v/>
      </c>
      <c r="F133" s="58">
        <f>IF(B133="","",Krankheitstage!AE133)</f>
        <v/>
      </c>
      <c r="G133" s="62">
        <f>IF(B133="","",Krankheitstage!P133)</f>
        <v/>
      </c>
      <c r="H133" s="62">
        <f>IF(B133="","",Krankheitstage!AC133)</f>
        <v/>
      </c>
      <c r="I133" s="62">
        <f>IF(B133="","",Krankheitstage!AD133)</f>
        <v/>
      </c>
      <c r="J133" s="36">
        <f>IF(B133="","",SUMPRODUCT(((Krankheitstage!D133:O133+Krankheitstage!Q133:AB133)&gt;0)*1))</f>
        <v/>
      </c>
      <c r="K133" s="63">
        <f>IF(B133="","",IF(N(D133)&gt;0,F133/D133,""))</f>
        <v/>
      </c>
      <c r="L133" s="40">
        <f>IF(B133="","",IF(N(E133)&gt;0,IF(Einstellungen!$C$10="Ja",F133/E133,F133/(E133+F133)),""))</f>
        <v/>
      </c>
      <c r="M133" s="64">
        <f>IF(L133="","",RANK(L133,$L$6:$L$205,0))</f>
        <v/>
      </c>
      <c r="N133" s="57">
        <f>IF(B133="","",IF(L133="","keine Ist-Std.",IF(L133&lt;=Einstellungen!$C$7,"unauffällig",IF(L133&lt;=Einstellungen!$C$8,"auffällig","kritisch"))))</f>
        <v/>
      </c>
      <c r="O133" s="65">
        <f>IF(L133="",-1,L133+ROW()/1000000000)</f>
        <v/>
      </c>
    </row>
    <row r="134">
      <c r="A134" s="49">
        <f>IF(Mitarbeiter!B134="","",Mitarbeiter!A134)</f>
        <v/>
      </c>
      <c r="B134" s="50">
        <f>IF(Mitarbeiter!B134="","",Mitarbeiter!B134)</f>
        <v/>
      </c>
      <c r="C134" s="7">
        <f>IF(Mitarbeiter!B134="","",Mitarbeiter!G134)</f>
        <v/>
      </c>
      <c r="D134" s="58">
        <f>IF(Mitarbeiter!B134="","",Mitarbeiter!H134)</f>
        <v/>
      </c>
      <c r="E134" s="58">
        <f>IF(Mitarbeiter!B134="","",'Ist-Stunden'!O134)</f>
        <v/>
      </c>
      <c r="F134" s="58">
        <f>IF(B134="","",Krankheitstage!AE134)</f>
        <v/>
      </c>
      <c r="G134" s="62">
        <f>IF(B134="","",Krankheitstage!P134)</f>
        <v/>
      </c>
      <c r="H134" s="62">
        <f>IF(B134="","",Krankheitstage!AC134)</f>
        <v/>
      </c>
      <c r="I134" s="62">
        <f>IF(B134="","",Krankheitstage!AD134)</f>
        <v/>
      </c>
      <c r="J134" s="36">
        <f>IF(B134="","",SUMPRODUCT(((Krankheitstage!D134:O134+Krankheitstage!Q134:AB134)&gt;0)*1))</f>
        <v/>
      </c>
      <c r="K134" s="63">
        <f>IF(B134="","",IF(N(D134)&gt;0,F134/D134,""))</f>
        <v/>
      </c>
      <c r="L134" s="40">
        <f>IF(B134="","",IF(N(E134)&gt;0,IF(Einstellungen!$C$10="Ja",F134/E134,F134/(E134+F134)),""))</f>
        <v/>
      </c>
      <c r="M134" s="64">
        <f>IF(L134="","",RANK(L134,$L$6:$L$205,0))</f>
        <v/>
      </c>
      <c r="N134" s="57">
        <f>IF(B134="","",IF(L134="","keine Ist-Std.",IF(L134&lt;=Einstellungen!$C$7,"unauffällig",IF(L134&lt;=Einstellungen!$C$8,"auffällig","kritisch"))))</f>
        <v/>
      </c>
      <c r="O134" s="65">
        <f>IF(L134="",-1,L134+ROW()/1000000000)</f>
        <v/>
      </c>
    </row>
    <row r="135">
      <c r="A135" s="49">
        <f>IF(Mitarbeiter!B135="","",Mitarbeiter!A135)</f>
        <v/>
      </c>
      <c r="B135" s="50">
        <f>IF(Mitarbeiter!B135="","",Mitarbeiter!B135)</f>
        <v/>
      </c>
      <c r="C135" s="7">
        <f>IF(Mitarbeiter!B135="","",Mitarbeiter!G135)</f>
        <v/>
      </c>
      <c r="D135" s="58">
        <f>IF(Mitarbeiter!B135="","",Mitarbeiter!H135)</f>
        <v/>
      </c>
      <c r="E135" s="58">
        <f>IF(Mitarbeiter!B135="","",'Ist-Stunden'!O135)</f>
        <v/>
      </c>
      <c r="F135" s="58">
        <f>IF(B135="","",Krankheitstage!AE135)</f>
        <v/>
      </c>
      <c r="G135" s="62">
        <f>IF(B135="","",Krankheitstage!P135)</f>
        <v/>
      </c>
      <c r="H135" s="62">
        <f>IF(B135="","",Krankheitstage!AC135)</f>
        <v/>
      </c>
      <c r="I135" s="62">
        <f>IF(B135="","",Krankheitstage!AD135)</f>
        <v/>
      </c>
      <c r="J135" s="36">
        <f>IF(B135="","",SUMPRODUCT(((Krankheitstage!D135:O135+Krankheitstage!Q135:AB135)&gt;0)*1))</f>
        <v/>
      </c>
      <c r="K135" s="63">
        <f>IF(B135="","",IF(N(D135)&gt;0,F135/D135,""))</f>
        <v/>
      </c>
      <c r="L135" s="40">
        <f>IF(B135="","",IF(N(E135)&gt;0,IF(Einstellungen!$C$10="Ja",F135/E135,F135/(E135+F135)),""))</f>
        <v/>
      </c>
      <c r="M135" s="64">
        <f>IF(L135="","",RANK(L135,$L$6:$L$205,0))</f>
        <v/>
      </c>
      <c r="N135" s="57">
        <f>IF(B135="","",IF(L135="","keine Ist-Std.",IF(L135&lt;=Einstellungen!$C$7,"unauffällig",IF(L135&lt;=Einstellungen!$C$8,"auffällig","kritisch"))))</f>
        <v/>
      </c>
      <c r="O135" s="65">
        <f>IF(L135="",-1,L135+ROW()/1000000000)</f>
        <v/>
      </c>
    </row>
    <row r="136">
      <c r="A136" s="49">
        <f>IF(Mitarbeiter!B136="","",Mitarbeiter!A136)</f>
        <v/>
      </c>
      <c r="B136" s="50">
        <f>IF(Mitarbeiter!B136="","",Mitarbeiter!B136)</f>
        <v/>
      </c>
      <c r="C136" s="7">
        <f>IF(Mitarbeiter!B136="","",Mitarbeiter!G136)</f>
        <v/>
      </c>
      <c r="D136" s="58">
        <f>IF(Mitarbeiter!B136="","",Mitarbeiter!H136)</f>
        <v/>
      </c>
      <c r="E136" s="58">
        <f>IF(Mitarbeiter!B136="","",'Ist-Stunden'!O136)</f>
        <v/>
      </c>
      <c r="F136" s="58">
        <f>IF(B136="","",Krankheitstage!AE136)</f>
        <v/>
      </c>
      <c r="G136" s="62">
        <f>IF(B136="","",Krankheitstage!P136)</f>
        <v/>
      </c>
      <c r="H136" s="62">
        <f>IF(B136="","",Krankheitstage!AC136)</f>
        <v/>
      </c>
      <c r="I136" s="62">
        <f>IF(B136="","",Krankheitstage!AD136)</f>
        <v/>
      </c>
      <c r="J136" s="36">
        <f>IF(B136="","",SUMPRODUCT(((Krankheitstage!D136:O136+Krankheitstage!Q136:AB136)&gt;0)*1))</f>
        <v/>
      </c>
      <c r="K136" s="63">
        <f>IF(B136="","",IF(N(D136)&gt;0,F136/D136,""))</f>
        <v/>
      </c>
      <c r="L136" s="40">
        <f>IF(B136="","",IF(N(E136)&gt;0,IF(Einstellungen!$C$10="Ja",F136/E136,F136/(E136+F136)),""))</f>
        <v/>
      </c>
      <c r="M136" s="64">
        <f>IF(L136="","",RANK(L136,$L$6:$L$205,0))</f>
        <v/>
      </c>
      <c r="N136" s="57">
        <f>IF(B136="","",IF(L136="","keine Ist-Std.",IF(L136&lt;=Einstellungen!$C$7,"unauffällig",IF(L136&lt;=Einstellungen!$C$8,"auffällig","kritisch"))))</f>
        <v/>
      </c>
      <c r="O136" s="65">
        <f>IF(L136="",-1,L136+ROW()/1000000000)</f>
        <v/>
      </c>
    </row>
    <row r="137">
      <c r="A137" s="49">
        <f>IF(Mitarbeiter!B137="","",Mitarbeiter!A137)</f>
        <v/>
      </c>
      <c r="B137" s="50">
        <f>IF(Mitarbeiter!B137="","",Mitarbeiter!B137)</f>
        <v/>
      </c>
      <c r="C137" s="7">
        <f>IF(Mitarbeiter!B137="","",Mitarbeiter!G137)</f>
        <v/>
      </c>
      <c r="D137" s="58">
        <f>IF(Mitarbeiter!B137="","",Mitarbeiter!H137)</f>
        <v/>
      </c>
      <c r="E137" s="58">
        <f>IF(Mitarbeiter!B137="","",'Ist-Stunden'!O137)</f>
        <v/>
      </c>
      <c r="F137" s="58">
        <f>IF(B137="","",Krankheitstage!AE137)</f>
        <v/>
      </c>
      <c r="G137" s="62">
        <f>IF(B137="","",Krankheitstage!P137)</f>
        <v/>
      </c>
      <c r="H137" s="62">
        <f>IF(B137="","",Krankheitstage!AC137)</f>
        <v/>
      </c>
      <c r="I137" s="62">
        <f>IF(B137="","",Krankheitstage!AD137)</f>
        <v/>
      </c>
      <c r="J137" s="36">
        <f>IF(B137="","",SUMPRODUCT(((Krankheitstage!D137:O137+Krankheitstage!Q137:AB137)&gt;0)*1))</f>
        <v/>
      </c>
      <c r="K137" s="63">
        <f>IF(B137="","",IF(N(D137)&gt;0,F137/D137,""))</f>
        <v/>
      </c>
      <c r="L137" s="40">
        <f>IF(B137="","",IF(N(E137)&gt;0,IF(Einstellungen!$C$10="Ja",F137/E137,F137/(E137+F137)),""))</f>
        <v/>
      </c>
      <c r="M137" s="64">
        <f>IF(L137="","",RANK(L137,$L$6:$L$205,0))</f>
        <v/>
      </c>
      <c r="N137" s="57">
        <f>IF(B137="","",IF(L137="","keine Ist-Std.",IF(L137&lt;=Einstellungen!$C$7,"unauffällig",IF(L137&lt;=Einstellungen!$C$8,"auffällig","kritisch"))))</f>
        <v/>
      </c>
      <c r="O137" s="65">
        <f>IF(L137="",-1,L137+ROW()/1000000000)</f>
        <v/>
      </c>
    </row>
    <row r="138">
      <c r="A138" s="49">
        <f>IF(Mitarbeiter!B138="","",Mitarbeiter!A138)</f>
        <v/>
      </c>
      <c r="B138" s="50">
        <f>IF(Mitarbeiter!B138="","",Mitarbeiter!B138)</f>
        <v/>
      </c>
      <c r="C138" s="7">
        <f>IF(Mitarbeiter!B138="","",Mitarbeiter!G138)</f>
        <v/>
      </c>
      <c r="D138" s="58">
        <f>IF(Mitarbeiter!B138="","",Mitarbeiter!H138)</f>
        <v/>
      </c>
      <c r="E138" s="58">
        <f>IF(Mitarbeiter!B138="","",'Ist-Stunden'!O138)</f>
        <v/>
      </c>
      <c r="F138" s="58">
        <f>IF(B138="","",Krankheitstage!AE138)</f>
        <v/>
      </c>
      <c r="G138" s="62">
        <f>IF(B138="","",Krankheitstage!P138)</f>
        <v/>
      </c>
      <c r="H138" s="62">
        <f>IF(B138="","",Krankheitstage!AC138)</f>
        <v/>
      </c>
      <c r="I138" s="62">
        <f>IF(B138="","",Krankheitstage!AD138)</f>
        <v/>
      </c>
      <c r="J138" s="36">
        <f>IF(B138="","",SUMPRODUCT(((Krankheitstage!D138:O138+Krankheitstage!Q138:AB138)&gt;0)*1))</f>
        <v/>
      </c>
      <c r="K138" s="63">
        <f>IF(B138="","",IF(N(D138)&gt;0,F138/D138,""))</f>
        <v/>
      </c>
      <c r="L138" s="40">
        <f>IF(B138="","",IF(N(E138)&gt;0,IF(Einstellungen!$C$10="Ja",F138/E138,F138/(E138+F138)),""))</f>
        <v/>
      </c>
      <c r="M138" s="64">
        <f>IF(L138="","",RANK(L138,$L$6:$L$205,0))</f>
        <v/>
      </c>
      <c r="N138" s="57">
        <f>IF(B138="","",IF(L138="","keine Ist-Std.",IF(L138&lt;=Einstellungen!$C$7,"unauffällig",IF(L138&lt;=Einstellungen!$C$8,"auffällig","kritisch"))))</f>
        <v/>
      </c>
      <c r="O138" s="65">
        <f>IF(L138="",-1,L138+ROW()/1000000000)</f>
        <v/>
      </c>
    </row>
    <row r="139">
      <c r="A139" s="49">
        <f>IF(Mitarbeiter!B139="","",Mitarbeiter!A139)</f>
        <v/>
      </c>
      <c r="B139" s="50">
        <f>IF(Mitarbeiter!B139="","",Mitarbeiter!B139)</f>
        <v/>
      </c>
      <c r="C139" s="7">
        <f>IF(Mitarbeiter!B139="","",Mitarbeiter!G139)</f>
        <v/>
      </c>
      <c r="D139" s="58">
        <f>IF(Mitarbeiter!B139="","",Mitarbeiter!H139)</f>
        <v/>
      </c>
      <c r="E139" s="58">
        <f>IF(Mitarbeiter!B139="","",'Ist-Stunden'!O139)</f>
        <v/>
      </c>
      <c r="F139" s="58">
        <f>IF(B139="","",Krankheitstage!AE139)</f>
        <v/>
      </c>
      <c r="G139" s="62">
        <f>IF(B139="","",Krankheitstage!P139)</f>
        <v/>
      </c>
      <c r="H139" s="62">
        <f>IF(B139="","",Krankheitstage!AC139)</f>
        <v/>
      </c>
      <c r="I139" s="62">
        <f>IF(B139="","",Krankheitstage!AD139)</f>
        <v/>
      </c>
      <c r="J139" s="36">
        <f>IF(B139="","",SUMPRODUCT(((Krankheitstage!D139:O139+Krankheitstage!Q139:AB139)&gt;0)*1))</f>
        <v/>
      </c>
      <c r="K139" s="63">
        <f>IF(B139="","",IF(N(D139)&gt;0,F139/D139,""))</f>
        <v/>
      </c>
      <c r="L139" s="40">
        <f>IF(B139="","",IF(N(E139)&gt;0,IF(Einstellungen!$C$10="Ja",F139/E139,F139/(E139+F139)),""))</f>
        <v/>
      </c>
      <c r="M139" s="64">
        <f>IF(L139="","",RANK(L139,$L$6:$L$205,0))</f>
        <v/>
      </c>
      <c r="N139" s="57">
        <f>IF(B139="","",IF(L139="","keine Ist-Std.",IF(L139&lt;=Einstellungen!$C$7,"unauffällig",IF(L139&lt;=Einstellungen!$C$8,"auffällig","kritisch"))))</f>
        <v/>
      </c>
      <c r="O139" s="65">
        <f>IF(L139="",-1,L139+ROW()/1000000000)</f>
        <v/>
      </c>
    </row>
    <row r="140">
      <c r="A140" s="49">
        <f>IF(Mitarbeiter!B140="","",Mitarbeiter!A140)</f>
        <v/>
      </c>
      <c r="B140" s="50">
        <f>IF(Mitarbeiter!B140="","",Mitarbeiter!B140)</f>
        <v/>
      </c>
      <c r="C140" s="7">
        <f>IF(Mitarbeiter!B140="","",Mitarbeiter!G140)</f>
        <v/>
      </c>
      <c r="D140" s="58">
        <f>IF(Mitarbeiter!B140="","",Mitarbeiter!H140)</f>
        <v/>
      </c>
      <c r="E140" s="58">
        <f>IF(Mitarbeiter!B140="","",'Ist-Stunden'!O140)</f>
        <v/>
      </c>
      <c r="F140" s="58">
        <f>IF(B140="","",Krankheitstage!AE140)</f>
        <v/>
      </c>
      <c r="G140" s="62">
        <f>IF(B140="","",Krankheitstage!P140)</f>
        <v/>
      </c>
      <c r="H140" s="62">
        <f>IF(B140="","",Krankheitstage!AC140)</f>
        <v/>
      </c>
      <c r="I140" s="62">
        <f>IF(B140="","",Krankheitstage!AD140)</f>
        <v/>
      </c>
      <c r="J140" s="36">
        <f>IF(B140="","",SUMPRODUCT(((Krankheitstage!D140:O140+Krankheitstage!Q140:AB140)&gt;0)*1))</f>
        <v/>
      </c>
      <c r="K140" s="63">
        <f>IF(B140="","",IF(N(D140)&gt;0,F140/D140,""))</f>
        <v/>
      </c>
      <c r="L140" s="40">
        <f>IF(B140="","",IF(N(E140)&gt;0,IF(Einstellungen!$C$10="Ja",F140/E140,F140/(E140+F140)),""))</f>
        <v/>
      </c>
      <c r="M140" s="64">
        <f>IF(L140="","",RANK(L140,$L$6:$L$205,0))</f>
        <v/>
      </c>
      <c r="N140" s="57">
        <f>IF(B140="","",IF(L140="","keine Ist-Std.",IF(L140&lt;=Einstellungen!$C$7,"unauffällig",IF(L140&lt;=Einstellungen!$C$8,"auffällig","kritisch"))))</f>
        <v/>
      </c>
      <c r="O140" s="65">
        <f>IF(L140="",-1,L140+ROW()/1000000000)</f>
        <v/>
      </c>
    </row>
    <row r="141">
      <c r="A141" s="49">
        <f>IF(Mitarbeiter!B141="","",Mitarbeiter!A141)</f>
        <v/>
      </c>
      <c r="B141" s="50">
        <f>IF(Mitarbeiter!B141="","",Mitarbeiter!B141)</f>
        <v/>
      </c>
      <c r="C141" s="7">
        <f>IF(Mitarbeiter!B141="","",Mitarbeiter!G141)</f>
        <v/>
      </c>
      <c r="D141" s="58">
        <f>IF(Mitarbeiter!B141="","",Mitarbeiter!H141)</f>
        <v/>
      </c>
      <c r="E141" s="58">
        <f>IF(Mitarbeiter!B141="","",'Ist-Stunden'!O141)</f>
        <v/>
      </c>
      <c r="F141" s="58">
        <f>IF(B141="","",Krankheitstage!AE141)</f>
        <v/>
      </c>
      <c r="G141" s="62">
        <f>IF(B141="","",Krankheitstage!P141)</f>
        <v/>
      </c>
      <c r="H141" s="62">
        <f>IF(B141="","",Krankheitstage!AC141)</f>
        <v/>
      </c>
      <c r="I141" s="62">
        <f>IF(B141="","",Krankheitstage!AD141)</f>
        <v/>
      </c>
      <c r="J141" s="36">
        <f>IF(B141="","",SUMPRODUCT(((Krankheitstage!D141:O141+Krankheitstage!Q141:AB141)&gt;0)*1))</f>
        <v/>
      </c>
      <c r="K141" s="63">
        <f>IF(B141="","",IF(N(D141)&gt;0,F141/D141,""))</f>
        <v/>
      </c>
      <c r="L141" s="40">
        <f>IF(B141="","",IF(N(E141)&gt;0,IF(Einstellungen!$C$10="Ja",F141/E141,F141/(E141+F141)),""))</f>
        <v/>
      </c>
      <c r="M141" s="64">
        <f>IF(L141="","",RANK(L141,$L$6:$L$205,0))</f>
        <v/>
      </c>
      <c r="N141" s="57">
        <f>IF(B141="","",IF(L141="","keine Ist-Std.",IF(L141&lt;=Einstellungen!$C$7,"unauffällig",IF(L141&lt;=Einstellungen!$C$8,"auffällig","kritisch"))))</f>
        <v/>
      </c>
      <c r="O141" s="65">
        <f>IF(L141="",-1,L141+ROW()/1000000000)</f>
        <v/>
      </c>
    </row>
    <row r="142">
      <c r="A142" s="49">
        <f>IF(Mitarbeiter!B142="","",Mitarbeiter!A142)</f>
        <v/>
      </c>
      <c r="B142" s="50">
        <f>IF(Mitarbeiter!B142="","",Mitarbeiter!B142)</f>
        <v/>
      </c>
      <c r="C142" s="7">
        <f>IF(Mitarbeiter!B142="","",Mitarbeiter!G142)</f>
        <v/>
      </c>
      <c r="D142" s="58">
        <f>IF(Mitarbeiter!B142="","",Mitarbeiter!H142)</f>
        <v/>
      </c>
      <c r="E142" s="58">
        <f>IF(Mitarbeiter!B142="","",'Ist-Stunden'!O142)</f>
        <v/>
      </c>
      <c r="F142" s="58">
        <f>IF(B142="","",Krankheitstage!AE142)</f>
        <v/>
      </c>
      <c r="G142" s="62">
        <f>IF(B142="","",Krankheitstage!P142)</f>
        <v/>
      </c>
      <c r="H142" s="62">
        <f>IF(B142="","",Krankheitstage!AC142)</f>
        <v/>
      </c>
      <c r="I142" s="62">
        <f>IF(B142="","",Krankheitstage!AD142)</f>
        <v/>
      </c>
      <c r="J142" s="36">
        <f>IF(B142="","",SUMPRODUCT(((Krankheitstage!D142:O142+Krankheitstage!Q142:AB142)&gt;0)*1))</f>
        <v/>
      </c>
      <c r="K142" s="63">
        <f>IF(B142="","",IF(N(D142)&gt;0,F142/D142,""))</f>
        <v/>
      </c>
      <c r="L142" s="40">
        <f>IF(B142="","",IF(N(E142)&gt;0,IF(Einstellungen!$C$10="Ja",F142/E142,F142/(E142+F142)),""))</f>
        <v/>
      </c>
      <c r="M142" s="64">
        <f>IF(L142="","",RANK(L142,$L$6:$L$205,0))</f>
        <v/>
      </c>
      <c r="N142" s="57">
        <f>IF(B142="","",IF(L142="","keine Ist-Std.",IF(L142&lt;=Einstellungen!$C$7,"unauffällig",IF(L142&lt;=Einstellungen!$C$8,"auffällig","kritisch"))))</f>
        <v/>
      </c>
      <c r="O142" s="65">
        <f>IF(L142="",-1,L142+ROW()/1000000000)</f>
        <v/>
      </c>
    </row>
    <row r="143">
      <c r="A143" s="49">
        <f>IF(Mitarbeiter!B143="","",Mitarbeiter!A143)</f>
        <v/>
      </c>
      <c r="B143" s="50">
        <f>IF(Mitarbeiter!B143="","",Mitarbeiter!B143)</f>
        <v/>
      </c>
      <c r="C143" s="7">
        <f>IF(Mitarbeiter!B143="","",Mitarbeiter!G143)</f>
        <v/>
      </c>
      <c r="D143" s="58">
        <f>IF(Mitarbeiter!B143="","",Mitarbeiter!H143)</f>
        <v/>
      </c>
      <c r="E143" s="58">
        <f>IF(Mitarbeiter!B143="","",'Ist-Stunden'!O143)</f>
        <v/>
      </c>
      <c r="F143" s="58">
        <f>IF(B143="","",Krankheitstage!AE143)</f>
        <v/>
      </c>
      <c r="G143" s="62">
        <f>IF(B143="","",Krankheitstage!P143)</f>
        <v/>
      </c>
      <c r="H143" s="62">
        <f>IF(B143="","",Krankheitstage!AC143)</f>
        <v/>
      </c>
      <c r="I143" s="62">
        <f>IF(B143="","",Krankheitstage!AD143)</f>
        <v/>
      </c>
      <c r="J143" s="36">
        <f>IF(B143="","",SUMPRODUCT(((Krankheitstage!D143:O143+Krankheitstage!Q143:AB143)&gt;0)*1))</f>
        <v/>
      </c>
      <c r="K143" s="63">
        <f>IF(B143="","",IF(N(D143)&gt;0,F143/D143,""))</f>
        <v/>
      </c>
      <c r="L143" s="40">
        <f>IF(B143="","",IF(N(E143)&gt;0,IF(Einstellungen!$C$10="Ja",F143/E143,F143/(E143+F143)),""))</f>
        <v/>
      </c>
      <c r="M143" s="64">
        <f>IF(L143="","",RANK(L143,$L$6:$L$205,0))</f>
        <v/>
      </c>
      <c r="N143" s="57">
        <f>IF(B143="","",IF(L143="","keine Ist-Std.",IF(L143&lt;=Einstellungen!$C$7,"unauffällig",IF(L143&lt;=Einstellungen!$C$8,"auffällig","kritisch"))))</f>
        <v/>
      </c>
      <c r="O143" s="65">
        <f>IF(L143="",-1,L143+ROW()/1000000000)</f>
        <v/>
      </c>
    </row>
    <row r="144">
      <c r="A144" s="49">
        <f>IF(Mitarbeiter!B144="","",Mitarbeiter!A144)</f>
        <v/>
      </c>
      <c r="B144" s="50">
        <f>IF(Mitarbeiter!B144="","",Mitarbeiter!B144)</f>
        <v/>
      </c>
      <c r="C144" s="7">
        <f>IF(Mitarbeiter!B144="","",Mitarbeiter!G144)</f>
        <v/>
      </c>
      <c r="D144" s="58">
        <f>IF(Mitarbeiter!B144="","",Mitarbeiter!H144)</f>
        <v/>
      </c>
      <c r="E144" s="58">
        <f>IF(Mitarbeiter!B144="","",'Ist-Stunden'!O144)</f>
        <v/>
      </c>
      <c r="F144" s="58">
        <f>IF(B144="","",Krankheitstage!AE144)</f>
        <v/>
      </c>
      <c r="G144" s="62">
        <f>IF(B144="","",Krankheitstage!P144)</f>
        <v/>
      </c>
      <c r="H144" s="62">
        <f>IF(B144="","",Krankheitstage!AC144)</f>
        <v/>
      </c>
      <c r="I144" s="62">
        <f>IF(B144="","",Krankheitstage!AD144)</f>
        <v/>
      </c>
      <c r="J144" s="36">
        <f>IF(B144="","",SUMPRODUCT(((Krankheitstage!D144:O144+Krankheitstage!Q144:AB144)&gt;0)*1))</f>
        <v/>
      </c>
      <c r="K144" s="63">
        <f>IF(B144="","",IF(N(D144)&gt;0,F144/D144,""))</f>
        <v/>
      </c>
      <c r="L144" s="40">
        <f>IF(B144="","",IF(N(E144)&gt;0,IF(Einstellungen!$C$10="Ja",F144/E144,F144/(E144+F144)),""))</f>
        <v/>
      </c>
      <c r="M144" s="64">
        <f>IF(L144="","",RANK(L144,$L$6:$L$205,0))</f>
        <v/>
      </c>
      <c r="N144" s="57">
        <f>IF(B144="","",IF(L144="","keine Ist-Std.",IF(L144&lt;=Einstellungen!$C$7,"unauffällig",IF(L144&lt;=Einstellungen!$C$8,"auffällig","kritisch"))))</f>
        <v/>
      </c>
      <c r="O144" s="65">
        <f>IF(L144="",-1,L144+ROW()/1000000000)</f>
        <v/>
      </c>
    </row>
    <row r="145">
      <c r="A145" s="49">
        <f>IF(Mitarbeiter!B145="","",Mitarbeiter!A145)</f>
        <v/>
      </c>
      <c r="B145" s="50">
        <f>IF(Mitarbeiter!B145="","",Mitarbeiter!B145)</f>
        <v/>
      </c>
      <c r="C145" s="7">
        <f>IF(Mitarbeiter!B145="","",Mitarbeiter!G145)</f>
        <v/>
      </c>
      <c r="D145" s="58">
        <f>IF(Mitarbeiter!B145="","",Mitarbeiter!H145)</f>
        <v/>
      </c>
      <c r="E145" s="58">
        <f>IF(Mitarbeiter!B145="","",'Ist-Stunden'!O145)</f>
        <v/>
      </c>
      <c r="F145" s="58">
        <f>IF(B145="","",Krankheitstage!AE145)</f>
        <v/>
      </c>
      <c r="G145" s="62">
        <f>IF(B145="","",Krankheitstage!P145)</f>
        <v/>
      </c>
      <c r="H145" s="62">
        <f>IF(B145="","",Krankheitstage!AC145)</f>
        <v/>
      </c>
      <c r="I145" s="62">
        <f>IF(B145="","",Krankheitstage!AD145)</f>
        <v/>
      </c>
      <c r="J145" s="36">
        <f>IF(B145="","",SUMPRODUCT(((Krankheitstage!D145:O145+Krankheitstage!Q145:AB145)&gt;0)*1))</f>
        <v/>
      </c>
      <c r="K145" s="63">
        <f>IF(B145="","",IF(N(D145)&gt;0,F145/D145,""))</f>
        <v/>
      </c>
      <c r="L145" s="40">
        <f>IF(B145="","",IF(N(E145)&gt;0,IF(Einstellungen!$C$10="Ja",F145/E145,F145/(E145+F145)),""))</f>
        <v/>
      </c>
      <c r="M145" s="64">
        <f>IF(L145="","",RANK(L145,$L$6:$L$205,0))</f>
        <v/>
      </c>
      <c r="N145" s="57">
        <f>IF(B145="","",IF(L145="","keine Ist-Std.",IF(L145&lt;=Einstellungen!$C$7,"unauffällig",IF(L145&lt;=Einstellungen!$C$8,"auffällig","kritisch"))))</f>
        <v/>
      </c>
      <c r="O145" s="65">
        <f>IF(L145="",-1,L145+ROW()/1000000000)</f>
        <v/>
      </c>
    </row>
    <row r="146">
      <c r="A146" s="49">
        <f>IF(Mitarbeiter!B146="","",Mitarbeiter!A146)</f>
        <v/>
      </c>
      <c r="B146" s="50">
        <f>IF(Mitarbeiter!B146="","",Mitarbeiter!B146)</f>
        <v/>
      </c>
      <c r="C146" s="7">
        <f>IF(Mitarbeiter!B146="","",Mitarbeiter!G146)</f>
        <v/>
      </c>
      <c r="D146" s="58">
        <f>IF(Mitarbeiter!B146="","",Mitarbeiter!H146)</f>
        <v/>
      </c>
      <c r="E146" s="58">
        <f>IF(Mitarbeiter!B146="","",'Ist-Stunden'!O146)</f>
        <v/>
      </c>
      <c r="F146" s="58">
        <f>IF(B146="","",Krankheitstage!AE146)</f>
        <v/>
      </c>
      <c r="G146" s="62">
        <f>IF(B146="","",Krankheitstage!P146)</f>
        <v/>
      </c>
      <c r="H146" s="62">
        <f>IF(B146="","",Krankheitstage!AC146)</f>
        <v/>
      </c>
      <c r="I146" s="62">
        <f>IF(B146="","",Krankheitstage!AD146)</f>
        <v/>
      </c>
      <c r="J146" s="36">
        <f>IF(B146="","",SUMPRODUCT(((Krankheitstage!D146:O146+Krankheitstage!Q146:AB146)&gt;0)*1))</f>
        <v/>
      </c>
      <c r="K146" s="63">
        <f>IF(B146="","",IF(N(D146)&gt;0,F146/D146,""))</f>
        <v/>
      </c>
      <c r="L146" s="40">
        <f>IF(B146="","",IF(N(E146)&gt;0,IF(Einstellungen!$C$10="Ja",F146/E146,F146/(E146+F146)),""))</f>
        <v/>
      </c>
      <c r="M146" s="64">
        <f>IF(L146="","",RANK(L146,$L$6:$L$205,0))</f>
        <v/>
      </c>
      <c r="N146" s="57">
        <f>IF(B146="","",IF(L146="","keine Ist-Std.",IF(L146&lt;=Einstellungen!$C$7,"unauffällig",IF(L146&lt;=Einstellungen!$C$8,"auffällig","kritisch"))))</f>
        <v/>
      </c>
      <c r="O146" s="65">
        <f>IF(L146="",-1,L146+ROW()/1000000000)</f>
        <v/>
      </c>
    </row>
    <row r="147">
      <c r="A147" s="49">
        <f>IF(Mitarbeiter!B147="","",Mitarbeiter!A147)</f>
        <v/>
      </c>
      <c r="B147" s="50">
        <f>IF(Mitarbeiter!B147="","",Mitarbeiter!B147)</f>
        <v/>
      </c>
      <c r="C147" s="7">
        <f>IF(Mitarbeiter!B147="","",Mitarbeiter!G147)</f>
        <v/>
      </c>
      <c r="D147" s="58">
        <f>IF(Mitarbeiter!B147="","",Mitarbeiter!H147)</f>
        <v/>
      </c>
      <c r="E147" s="58">
        <f>IF(Mitarbeiter!B147="","",'Ist-Stunden'!O147)</f>
        <v/>
      </c>
      <c r="F147" s="58">
        <f>IF(B147="","",Krankheitstage!AE147)</f>
        <v/>
      </c>
      <c r="G147" s="62">
        <f>IF(B147="","",Krankheitstage!P147)</f>
        <v/>
      </c>
      <c r="H147" s="62">
        <f>IF(B147="","",Krankheitstage!AC147)</f>
        <v/>
      </c>
      <c r="I147" s="62">
        <f>IF(B147="","",Krankheitstage!AD147)</f>
        <v/>
      </c>
      <c r="J147" s="36">
        <f>IF(B147="","",SUMPRODUCT(((Krankheitstage!D147:O147+Krankheitstage!Q147:AB147)&gt;0)*1))</f>
        <v/>
      </c>
      <c r="K147" s="63">
        <f>IF(B147="","",IF(N(D147)&gt;0,F147/D147,""))</f>
        <v/>
      </c>
      <c r="L147" s="40">
        <f>IF(B147="","",IF(N(E147)&gt;0,IF(Einstellungen!$C$10="Ja",F147/E147,F147/(E147+F147)),""))</f>
        <v/>
      </c>
      <c r="M147" s="64">
        <f>IF(L147="","",RANK(L147,$L$6:$L$205,0))</f>
        <v/>
      </c>
      <c r="N147" s="57">
        <f>IF(B147="","",IF(L147="","keine Ist-Std.",IF(L147&lt;=Einstellungen!$C$7,"unauffällig",IF(L147&lt;=Einstellungen!$C$8,"auffällig","kritisch"))))</f>
        <v/>
      </c>
      <c r="O147" s="65">
        <f>IF(L147="",-1,L147+ROW()/1000000000)</f>
        <v/>
      </c>
    </row>
    <row r="148">
      <c r="A148" s="49">
        <f>IF(Mitarbeiter!B148="","",Mitarbeiter!A148)</f>
        <v/>
      </c>
      <c r="B148" s="50">
        <f>IF(Mitarbeiter!B148="","",Mitarbeiter!B148)</f>
        <v/>
      </c>
      <c r="C148" s="7">
        <f>IF(Mitarbeiter!B148="","",Mitarbeiter!G148)</f>
        <v/>
      </c>
      <c r="D148" s="58">
        <f>IF(Mitarbeiter!B148="","",Mitarbeiter!H148)</f>
        <v/>
      </c>
      <c r="E148" s="58">
        <f>IF(Mitarbeiter!B148="","",'Ist-Stunden'!O148)</f>
        <v/>
      </c>
      <c r="F148" s="58">
        <f>IF(B148="","",Krankheitstage!AE148)</f>
        <v/>
      </c>
      <c r="G148" s="62">
        <f>IF(B148="","",Krankheitstage!P148)</f>
        <v/>
      </c>
      <c r="H148" s="62">
        <f>IF(B148="","",Krankheitstage!AC148)</f>
        <v/>
      </c>
      <c r="I148" s="62">
        <f>IF(B148="","",Krankheitstage!AD148)</f>
        <v/>
      </c>
      <c r="J148" s="36">
        <f>IF(B148="","",SUMPRODUCT(((Krankheitstage!D148:O148+Krankheitstage!Q148:AB148)&gt;0)*1))</f>
        <v/>
      </c>
      <c r="K148" s="63">
        <f>IF(B148="","",IF(N(D148)&gt;0,F148/D148,""))</f>
        <v/>
      </c>
      <c r="L148" s="40">
        <f>IF(B148="","",IF(N(E148)&gt;0,IF(Einstellungen!$C$10="Ja",F148/E148,F148/(E148+F148)),""))</f>
        <v/>
      </c>
      <c r="M148" s="64">
        <f>IF(L148="","",RANK(L148,$L$6:$L$205,0))</f>
        <v/>
      </c>
      <c r="N148" s="57">
        <f>IF(B148="","",IF(L148="","keine Ist-Std.",IF(L148&lt;=Einstellungen!$C$7,"unauffällig",IF(L148&lt;=Einstellungen!$C$8,"auffällig","kritisch"))))</f>
        <v/>
      </c>
      <c r="O148" s="65">
        <f>IF(L148="",-1,L148+ROW()/1000000000)</f>
        <v/>
      </c>
    </row>
    <row r="149">
      <c r="A149" s="49">
        <f>IF(Mitarbeiter!B149="","",Mitarbeiter!A149)</f>
        <v/>
      </c>
      <c r="B149" s="50">
        <f>IF(Mitarbeiter!B149="","",Mitarbeiter!B149)</f>
        <v/>
      </c>
      <c r="C149" s="7">
        <f>IF(Mitarbeiter!B149="","",Mitarbeiter!G149)</f>
        <v/>
      </c>
      <c r="D149" s="58">
        <f>IF(Mitarbeiter!B149="","",Mitarbeiter!H149)</f>
        <v/>
      </c>
      <c r="E149" s="58">
        <f>IF(Mitarbeiter!B149="","",'Ist-Stunden'!O149)</f>
        <v/>
      </c>
      <c r="F149" s="58">
        <f>IF(B149="","",Krankheitstage!AE149)</f>
        <v/>
      </c>
      <c r="G149" s="62">
        <f>IF(B149="","",Krankheitstage!P149)</f>
        <v/>
      </c>
      <c r="H149" s="62">
        <f>IF(B149="","",Krankheitstage!AC149)</f>
        <v/>
      </c>
      <c r="I149" s="62">
        <f>IF(B149="","",Krankheitstage!AD149)</f>
        <v/>
      </c>
      <c r="J149" s="36">
        <f>IF(B149="","",SUMPRODUCT(((Krankheitstage!D149:O149+Krankheitstage!Q149:AB149)&gt;0)*1))</f>
        <v/>
      </c>
      <c r="K149" s="63">
        <f>IF(B149="","",IF(N(D149)&gt;0,F149/D149,""))</f>
        <v/>
      </c>
      <c r="L149" s="40">
        <f>IF(B149="","",IF(N(E149)&gt;0,IF(Einstellungen!$C$10="Ja",F149/E149,F149/(E149+F149)),""))</f>
        <v/>
      </c>
      <c r="M149" s="64">
        <f>IF(L149="","",RANK(L149,$L$6:$L$205,0))</f>
        <v/>
      </c>
      <c r="N149" s="57">
        <f>IF(B149="","",IF(L149="","keine Ist-Std.",IF(L149&lt;=Einstellungen!$C$7,"unauffällig",IF(L149&lt;=Einstellungen!$C$8,"auffällig","kritisch"))))</f>
        <v/>
      </c>
      <c r="O149" s="65">
        <f>IF(L149="",-1,L149+ROW()/1000000000)</f>
        <v/>
      </c>
    </row>
    <row r="150">
      <c r="A150" s="49">
        <f>IF(Mitarbeiter!B150="","",Mitarbeiter!A150)</f>
        <v/>
      </c>
      <c r="B150" s="50">
        <f>IF(Mitarbeiter!B150="","",Mitarbeiter!B150)</f>
        <v/>
      </c>
      <c r="C150" s="7">
        <f>IF(Mitarbeiter!B150="","",Mitarbeiter!G150)</f>
        <v/>
      </c>
      <c r="D150" s="58">
        <f>IF(Mitarbeiter!B150="","",Mitarbeiter!H150)</f>
        <v/>
      </c>
      <c r="E150" s="58">
        <f>IF(Mitarbeiter!B150="","",'Ist-Stunden'!O150)</f>
        <v/>
      </c>
      <c r="F150" s="58">
        <f>IF(B150="","",Krankheitstage!AE150)</f>
        <v/>
      </c>
      <c r="G150" s="62">
        <f>IF(B150="","",Krankheitstage!P150)</f>
        <v/>
      </c>
      <c r="H150" s="62">
        <f>IF(B150="","",Krankheitstage!AC150)</f>
        <v/>
      </c>
      <c r="I150" s="62">
        <f>IF(B150="","",Krankheitstage!AD150)</f>
        <v/>
      </c>
      <c r="J150" s="36">
        <f>IF(B150="","",SUMPRODUCT(((Krankheitstage!D150:O150+Krankheitstage!Q150:AB150)&gt;0)*1))</f>
        <v/>
      </c>
      <c r="K150" s="63">
        <f>IF(B150="","",IF(N(D150)&gt;0,F150/D150,""))</f>
        <v/>
      </c>
      <c r="L150" s="40">
        <f>IF(B150="","",IF(N(E150)&gt;0,IF(Einstellungen!$C$10="Ja",F150/E150,F150/(E150+F150)),""))</f>
        <v/>
      </c>
      <c r="M150" s="64">
        <f>IF(L150="","",RANK(L150,$L$6:$L$205,0))</f>
        <v/>
      </c>
      <c r="N150" s="57">
        <f>IF(B150="","",IF(L150="","keine Ist-Std.",IF(L150&lt;=Einstellungen!$C$7,"unauffällig",IF(L150&lt;=Einstellungen!$C$8,"auffällig","kritisch"))))</f>
        <v/>
      </c>
      <c r="O150" s="65">
        <f>IF(L150="",-1,L150+ROW()/1000000000)</f>
        <v/>
      </c>
    </row>
    <row r="151">
      <c r="A151" s="49">
        <f>IF(Mitarbeiter!B151="","",Mitarbeiter!A151)</f>
        <v/>
      </c>
      <c r="B151" s="50">
        <f>IF(Mitarbeiter!B151="","",Mitarbeiter!B151)</f>
        <v/>
      </c>
      <c r="C151" s="7">
        <f>IF(Mitarbeiter!B151="","",Mitarbeiter!G151)</f>
        <v/>
      </c>
      <c r="D151" s="58">
        <f>IF(Mitarbeiter!B151="","",Mitarbeiter!H151)</f>
        <v/>
      </c>
      <c r="E151" s="58">
        <f>IF(Mitarbeiter!B151="","",'Ist-Stunden'!O151)</f>
        <v/>
      </c>
      <c r="F151" s="58">
        <f>IF(B151="","",Krankheitstage!AE151)</f>
        <v/>
      </c>
      <c r="G151" s="62">
        <f>IF(B151="","",Krankheitstage!P151)</f>
        <v/>
      </c>
      <c r="H151" s="62">
        <f>IF(B151="","",Krankheitstage!AC151)</f>
        <v/>
      </c>
      <c r="I151" s="62">
        <f>IF(B151="","",Krankheitstage!AD151)</f>
        <v/>
      </c>
      <c r="J151" s="36">
        <f>IF(B151="","",SUMPRODUCT(((Krankheitstage!D151:O151+Krankheitstage!Q151:AB151)&gt;0)*1))</f>
        <v/>
      </c>
      <c r="K151" s="63">
        <f>IF(B151="","",IF(N(D151)&gt;0,F151/D151,""))</f>
        <v/>
      </c>
      <c r="L151" s="40">
        <f>IF(B151="","",IF(N(E151)&gt;0,IF(Einstellungen!$C$10="Ja",F151/E151,F151/(E151+F151)),""))</f>
        <v/>
      </c>
      <c r="M151" s="64">
        <f>IF(L151="","",RANK(L151,$L$6:$L$205,0))</f>
        <v/>
      </c>
      <c r="N151" s="57">
        <f>IF(B151="","",IF(L151="","keine Ist-Std.",IF(L151&lt;=Einstellungen!$C$7,"unauffällig",IF(L151&lt;=Einstellungen!$C$8,"auffällig","kritisch"))))</f>
        <v/>
      </c>
      <c r="O151" s="65">
        <f>IF(L151="",-1,L151+ROW()/1000000000)</f>
        <v/>
      </c>
    </row>
    <row r="152">
      <c r="A152" s="49">
        <f>IF(Mitarbeiter!B152="","",Mitarbeiter!A152)</f>
        <v/>
      </c>
      <c r="B152" s="50">
        <f>IF(Mitarbeiter!B152="","",Mitarbeiter!B152)</f>
        <v/>
      </c>
      <c r="C152" s="7">
        <f>IF(Mitarbeiter!B152="","",Mitarbeiter!G152)</f>
        <v/>
      </c>
      <c r="D152" s="58">
        <f>IF(Mitarbeiter!B152="","",Mitarbeiter!H152)</f>
        <v/>
      </c>
      <c r="E152" s="58">
        <f>IF(Mitarbeiter!B152="","",'Ist-Stunden'!O152)</f>
        <v/>
      </c>
      <c r="F152" s="58">
        <f>IF(B152="","",Krankheitstage!AE152)</f>
        <v/>
      </c>
      <c r="G152" s="62">
        <f>IF(B152="","",Krankheitstage!P152)</f>
        <v/>
      </c>
      <c r="H152" s="62">
        <f>IF(B152="","",Krankheitstage!AC152)</f>
        <v/>
      </c>
      <c r="I152" s="62">
        <f>IF(B152="","",Krankheitstage!AD152)</f>
        <v/>
      </c>
      <c r="J152" s="36">
        <f>IF(B152="","",SUMPRODUCT(((Krankheitstage!D152:O152+Krankheitstage!Q152:AB152)&gt;0)*1))</f>
        <v/>
      </c>
      <c r="K152" s="63">
        <f>IF(B152="","",IF(N(D152)&gt;0,F152/D152,""))</f>
        <v/>
      </c>
      <c r="L152" s="40">
        <f>IF(B152="","",IF(N(E152)&gt;0,IF(Einstellungen!$C$10="Ja",F152/E152,F152/(E152+F152)),""))</f>
        <v/>
      </c>
      <c r="M152" s="64">
        <f>IF(L152="","",RANK(L152,$L$6:$L$205,0))</f>
        <v/>
      </c>
      <c r="N152" s="57">
        <f>IF(B152="","",IF(L152="","keine Ist-Std.",IF(L152&lt;=Einstellungen!$C$7,"unauffällig",IF(L152&lt;=Einstellungen!$C$8,"auffällig","kritisch"))))</f>
        <v/>
      </c>
      <c r="O152" s="65">
        <f>IF(L152="",-1,L152+ROW()/1000000000)</f>
        <v/>
      </c>
    </row>
    <row r="153">
      <c r="A153" s="49">
        <f>IF(Mitarbeiter!B153="","",Mitarbeiter!A153)</f>
        <v/>
      </c>
      <c r="B153" s="50">
        <f>IF(Mitarbeiter!B153="","",Mitarbeiter!B153)</f>
        <v/>
      </c>
      <c r="C153" s="7">
        <f>IF(Mitarbeiter!B153="","",Mitarbeiter!G153)</f>
        <v/>
      </c>
      <c r="D153" s="58">
        <f>IF(Mitarbeiter!B153="","",Mitarbeiter!H153)</f>
        <v/>
      </c>
      <c r="E153" s="58">
        <f>IF(Mitarbeiter!B153="","",'Ist-Stunden'!O153)</f>
        <v/>
      </c>
      <c r="F153" s="58">
        <f>IF(B153="","",Krankheitstage!AE153)</f>
        <v/>
      </c>
      <c r="G153" s="62">
        <f>IF(B153="","",Krankheitstage!P153)</f>
        <v/>
      </c>
      <c r="H153" s="62">
        <f>IF(B153="","",Krankheitstage!AC153)</f>
        <v/>
      </c>
      <c r="I153" s="62">
        <f>IF(B153="","",Krankheitstage!AD153)</f>
        <v/>
      </c>
      <c r="J153" s="36">
        <f>IF(B153="","",SUMPRODUCT(((Krankheitstage!D153:O153+Krankheitstage!Q153:AB153)&gt;0)*1))</f>
        <v/>
      </c>
      <c r="K153" s="63">
        <f>IF(B153="","",IF(N(D153)&gt;0,F153/D153,""))</f>
        <v/>
      </c>
      <c r="L153" s="40">
        <f>IF(B153="","",IF(N(E153)&gt;0,IF(Einstellungen!$C$10="Ja",F153/E153,F153/(E153+F153)),""))</f>
        <v/>
      </c>
      <c r="M153" s="64">
        <f>IF(L153="","",RANK(L153,$L$6:$L$205,0))</f>
        <v/>
      </c>
      <c r="N153" s="57">
        <f>IF(B153="","",IF(L153="","keine Ist-Std.",IF(L153&lt;=Einstellungen!$C$7,"unauffällig",IF(L153&lt;=Einstellungen!$C$8,"auffällig","kritisch"))))</f>
        <v/>
      </c>
      <c r="O153" s="65">
        <f>IF(L153="",-1,L153+ROW()/1000000000)</f>
        <v/>
      </c>
    </row>
    <row r="154">
      <c r="A154" s="49">
        <f>IF(Mitarbeiter!B154="","",Mitarbeiter!A154)</f>
        <v/>
      </c>
      <c r="B154" s="50">
        <f>IF(Mitarbeiter!B154="","",Mitarbeiter!B154)</f>
        <v/>
      </c>
      <c r="C154" s="7">
        <f>IF(Mitarbeiter!B154="","",Mitarbeiter!G154)</f>
        <v/>
      </c>
      <c r="D154" s="58">
        <f>IF(Mitarbeiter!B154="","",Mitarbeiter!H154)</f>
        <v/>
      </c>
      <c r="E154" s="58">
        <f>IF(Mitarbeiter!B154="","",'Ist-Stunden'!O154)</f>
        <v/>
      </c>
      <c r="F154" s="58">
        <f>IF(B154="","",Krankheitstage!AE154)</f>
        <v/>
      </c>
      <c r="G154" s="62">
        <f>IF(B154="","",Krankheitstage!P154)</f>
        <v/>
      </c>
      <c r="H154" s="62">
        <f>IF(B154="","",Krankheitstage!AC154)</f>
        <v/>
      </c>
      <c r="I154" s="62">
        <f>IF(B154="","",Krankheitstage!AD154)</f>
        <v/>
      </c>
      <c r="J154" s="36">
        <f>IF(B154="","",SUMPRODUCT(((Krankheitstage!D154:O154+Krankheitstage!Q154:AB154)&gt;0)*1))</f>
        <v/>
      </c>
      <c r="K154" s="63">
        <f>IF(B154="","",IF(N(D154)&gt;0,F154/D154,""))</f>
        <v/>
      </c>
      <c r="L154" s="40">
        <f>IF(B154="","",IF(N(E154)&gt;0,IF(Einstellungen!$C$10="Ja",F154/E154,F154/(E154+F154)),""))</f>
        <v/>
      </c>
      <c r="M154" s="64">
        <f>IF(L154="","",RANK(L154,$L$6:$L$205,0))</f>
        <v/>
      </c>
      <c r="N154" s="57">
        <f>IF(B154="","",IF(L154="","keine Ist-Std.",IF(L154&lt;=Einstellungen!$C$7,"unauffällig",IF(L154&lt;=Einstellungen!$C$8,"auffällig","kritisch"))))</f>
        <v/>
      </c>
      <c r="O154" s="65">
        <f>IF(L154="",-1,L154+ROW()/1000000000)</f>
        <v/>
      </c>
    </row>
    <row r="155">
      <c r="A155" s="49">
        <f>IF(Mitarbeiter!B155="","",Mitarbeiter!A155)</f>
        <v/>
      </c>
      <c r="B155" s="50">
        <f>IF(Mitarbeiter!B155="","",Mitarbeiter!B155)</f>
        <v/>
      </c>
      <c r="C155" s="7">
        <f>IF(Mitarbeiter!B155="","",Mitarbeiter!G155)</f>
        <v/>
      </c>
      <c r="D155" s="58">
        <f>IF(Mitarbeiter!B155="","",Mitarbeiter!H155)</f>
        <v/>
      </c>
      <c r="E155" s="58">
        <f>IF(Mitarbeiter!B155="","",'Ist-Stunden'!O155)</f>
        <v/>
      </c>
      <c r="F155" s="58">
        <f>IF(B155="","",Krankheitstage!AE155)</f>
        <v/>
      </c>
      <c r="G155" s="62">
        <f>IF(B155="","",Krankheitstage!P155)</f>
        <v/>
      </c>
      <c r="H155" s="62">
        <f>IF(B155="","",Krankheitstage!AC155)</f>
        <v/>
      </c>
      <c r="I155" s="62">
        <f>IF(B155="","",Krankheitstage!AD155)</f>
        <v/>
      </c>
      <c r="J155" s="36">
        <f>IF(B155="","",SUMPRODUCT(((Krankheitstage!D155:O155+Krankheitstage!Q155:AB155)&gt;0)*1))</f>
        <v/>
      </c>
      <c r="K155" s="63">
        <f>IF(B155="","",IF(N(D155)&gt;0,F155/D155,""))</f>
        <v/>
      </c>
      <c r="L155" s="40">
        <f>IF(B155="","",IF(N(E155)&gt;0,IF(Einstellungen!$C$10="Ja",F155/E155,F155/(E155+F155)),""))</f>
        <v/>
      </c>
      <c r="M155" s="64">
        <f>IF(L155="","",RANK(L155,$L$6:$L$205,0))</f>
        <v/>
      </c>
      <c r="N155" s="57">
        <f>IF(B155="","",IF(L155="","keine Ist-Std.",IF(L155&lt;=Einstellungen!$C$7,"unauffällig",IF(L155&lt;=Einstellungen!$C$8,"auffällig","kritisch"))))</f>
        <v/>
      </c>
      <c r="O155" s="65">
        <f>IF(L155="",-1,L155+ROW()/1000000000)</f>
        <v/>
      </c>
    </row>
    <row r="156">
      <c r="A156" s="49">
        <f>IF(Mitarbeiter!B156="","",Mitarbeiter!A156)</f>
        <v/>
      </c>
      <c r="B156" s="50">
        <f>IF(Mitarbeiter!B156="","",Mitarbeiter!B156)</f>
        <v/>
      </c>
      <c r="C156" s="7">
        <f>IF(Mitarbeiter!B156="","",Mitarbeiter!G156)</f>
        <v/>
      </c>
      <c r="D156" s="58">
        <f>IF(Mitarbeiter!B156="","",Mitarbeiter!H156)</f>
        <v/>
      </c>
      <c r="E156" s="58">
        <f>IF(Mitarbeiter!B156="","",'Ist-Stunden'!O156)</f>
        <v/>
      </c>
      <c r="F156" s="58">
        <f>IF(B156="","",Krankheitstage!AE156)</f>
        <v/>
      </c>
      <c r="G156" s="62">
        <f>IF(B156="","",Krankheitstage!P156)</f>
        <v/>
      </c>
      <c r="H156" s="62">
        <f>IF(B156="","",Krankheitstage!AC156)</f>
        <v/>
      </c>
      <c r="I156" s="62">
        <f>IF(B156="","",Krankheitstage!AD156)</f>
        <v/>
      </c>
      <c r="J156" s="36">
        <f>IF(B156="","",SUMPRODUCT(((Krankheitstage!D156:O156+Krankheitstage!Q156:AB156)&gt;0)*1))</f>
        <v/>
      </c>
      <c r="K156" s="63">
        <f>IF(B156="","",IF(N(D156)&gt;0,F156/D156,""))</f>
        <v/>
      </c>
      <c r="L156" s="40">
        <f>IF(B156="","",IF(N(E156)&gt;0,IF(Einstellungen!$C$10="Ja",F156/E156,F156/(E156+F156)),""))</f>
        <v/>
      </c>
      <c r="M156" s="64">
        <f>IF(L156="","",RANK(L156,$L$6:$L$205,0))</f>
        <v/>
      </c>
      <c r="N156" s="57">
        <f>IF(B156="","",IF(L156="","keine Ist-Std.",IF(L156&lt;=Einstellungen!$C$7,"unauffällig",IF(L156&lt;=Einstellungen!$C$8,"auffällig","kritisch"))))</f>
        <v/>
      </c>
      <c r="O156" s="65">
        <f>IF(L156="",-1,L156+ROW()/1000000000)</f>
        <v/>
      </c>
    </row>
    <row r="157">
      <c r="A157" s="49">
        <f>IF(Mitarbeiter!B157="","",Mitarbeiter!A157)</f>
        <v/>
      </c>
      <c r="B157" s="50">
        <f>IF(Mitarbeiter!B157="","",Mitarbeiter!B157)</f>
        <v/>
      </c>
      <c r="C157" s="7">
        <f>IF(Mitarbeiter!B157="","",Mitarbeiter!G157)</f>
        <v/>
      </c>
      <c r="D157" s="58">
        <f>IF(Mitarbeiter!B157="","",Mitarbeiter!H157)</f>
        <v/>
      </c>
      <c r="E157" s="58">
        <f>IF(Mitarbeiter!B157="","",'Ist-Stunden'!O157)</f>
        <v/>
      </c>
      <c r="F157" s="58">
        <f>IF(B157="","",Krankheitstage!AE157)</f>
        <v/>
      </c>
      <c r="G157" s="62">
        <f>IF(B157="","",Krankheitstage!P157)</f>
        <v/>
      </c>
      <c r="H157" s="62">
        <f>IF(B157="","",Krankheitstage!AC157)</f>
        <v/>
      </c>
      <c r="I157" s="62">
        <f>IF(B157="","",Krankheitstage!AD157)</f>
        <v/>
      </c>
      <c r="J157" s="36">
        <f>IF(B157="","",SUMPRODUCT(((Krankheitstage!D157:O157+Krankheitstage!Q157:AB157)&gt;0)*1))</f>
        <v/>
      </c>
      <c r="K157" s="63">
        <f>IF(B157="","",IF(N(D157)&gt;0,F157/D157,""))</f>
        <v/>
      </c>
      <c r="L157" s="40">
        <f>IF(B157="","",IF(N(E157)&gt;0,IF(Einstellungen!$C$10="Ja",F157/E157,F157/(E157+F157)),""))</f>
        <v/>
      </c>
      <c r="M157" s="64">
        <f>IF(L157="","",RANK(L157,$L$6:$L$205,0))</f>
        <v/>
      </c>
      <c r="N157" s="57">
        <f>IF(B157="","",IF(L157="","keine Ist-Std.",IF(L157&lt;=Einstellungen!$C$7,"unauffällig",IF(L157&lt;=Einstellungen!$C$8,"auffällig","kritisch"))))</f>
        <v/>
      </c>
      <c r="O157" s="65">
        <f>IF(L157="",-1,L157+ROW()/1000000000)</f>
        <v/>
      </c>
    </row>
    <row r="158">
      <c r="A158" s="49">
        <f>IF(Mitarbeiter!B158="","",Mitarbeiter!A158)</f>
        <v/>
      </c>
      <c r="B158" s="50">
        <f>IF(Mitarbeiter!B158="","",Mitarbeiter!B158)</f>
        <v/>
      </c>
      <c r="C158" s="7">
        <f>IF(Mitarbeiter!B158="","",Mitarbeiter!G158)</f>
        <v/>
      </c>
      <c r="D158" s="58">
        <f>IF(Mitarbeiter!B158="","",Mitarbeiter!H158)</f>
        <v/>
      </c>
      <c r="E158" s="58">
        <f>IF(Mitarbeiter!B158="","",'Ist-Stunden'!O158)</f>
        <v/>
      </c>
      <c r="F158" s="58">
        <f>IF(B158="","",Krankheitstage!AE158)</f>
        <v/>
      </c>
      <c r="G158" s="62">
        <f>IF(B158="","",Krankheitstage!P158)</f>
        <v/>
      </c>
      <c r="H158" s="62">
        <f>IF(B158="","",Krankheitstage!AC158)</f>
        <v/>
      </c>
      <c r="I158" s="62">
        <f>IF(B158="","",Krankheitstage!AD158)</f>
        <v/>
      </c>
      <c r="J158" s="36">
        <f>IF(B158="","",SUMPRODUCT(((Krankheitstage!D158:O158+Krankheitstage!Q158:AB158)&gt;0)*1))</f>
        <v/>
      </c>
      <c r="K158" s="63">
        <f>IF(B158="","",IF(N(D158)&gt;0,F158/D158,""))</f>
        <v/>
      </c>
      <c r="L158" s="40">
        <f>IF(B158="","",IF(N(E158)&gt;0,IF(Einstellungen!$C$10="Ja",F158/E158,F158/(E158+F158)),""))</f>
        <v/>
      </c>
      <c r="M158" s="64">
        <f>IF(L158="","",RANK(L158,$L$6:$L$205,0))</f>
        <v/>
      </c>
      <c r="N158" s="57">
        <f>IF(B158="","",IF(L158="","keine Ist-Std.",IF(L158&lt;=Einstellungen!$C$7,"unauffällig",IF(L158&lt;=Einstellungen!$C$8,"auffällig","kritisch"))))</f>
        <v/>
      </c>
      <c r="O158" s="65">
        <f>IF(L158="",-1,L158+ROW()/1000000000)</f>
        <v/>
      </c>
    </row>
    <row r="159">
      <c r="A159" s="49">
        <f>IF(Mitarbeiter!B159="","",Mitarbeiter!A159)</f>
        <v/>
      </c>
      <c r="B159" s="50">
        <f>IF(Mitarbeiter!B159="","",Mitarbeiter!B159)</f>
        <v/>
      </c>
      <c r="C159" s="7">
        <f>IF(Mitarbeiter!B159="","",Mitarbeiter!G159)</f>
        <v/>
      </c>
      <c r="D159" s="58">
        <f>IF(Mitarbeiter!B159="","",Mitarbeiter!H159)</f>
        <v/>
      </c>
      <c r="E159" s="58">
        <f>IF(Mitarbeiter!B159="","",'Ist-Stunden'!O159)</f>
        <v/>
      </c>
      <c r="F159" s="58">
        <f>IF(B159="","",Krankheitstage!AE159)</f>
        <v/>
      </c>
      <c r="G159" s="62">
        <f>IF(B159="","",Krankheitstage!P159)</f>
        <v/>
      </c>
      <c r="H159" s="62">
        <f>IF(B159="","",Krankheitstage!AC159)</f>
        <v/>
      </c>
      <c r="I159" s="62">
        <f>IF(B159="","",Krankheitstage!AD159)</f>
        <v/>
      </c>
      <c r="J159" s="36">
        <f>IF(B159="","",SUMPRODUCT(((Krankheitstage!D159:O159+Krankheitstage!Q159:AB159)&gt;0)*1))</f>
        <v/>
      </c>
      <c r="K159" s="63">
        <f>IF(B159="","",IF(N(D159)&gt;0,F159/D159,""))</f>
        <v/>
      </c>
      <c r="L159" s="40">
        <f>IF(B159="","",IF(N(E159)&gt;0,IF(Einstellungen!$C$10="Ja",F159/E159,F159/(E159+F159)),""))</f>
        <v/>
      </c>
      <c r="M159" s="64">
        <f>IF(L159="","",RANK(L159,$L$6:$L$205,0))</f>
        <v/>
      </c>
      <c r="N159" s="57">
        <f>IF(B159="","",IF(L159="","keine Ist-Std.",IF(L159&lt;=Einstellungen!$C$7,"unauffällig",IF(L159&lt;=Einstellungen!$C$8,"auffällig","kritisch"))))</f>
        <v/>
      </c>
      <c r="O159" s="65">
        <f>IF(L159="",-1,L159+ROW()/1000000000)</f>
        <v/>
      </c>
    </row>
    <row r="160">
      <c r="A160" s="49">
        <f>IF(Mitarbeiter!B160="","",Mitarbeiter!A160)</f>
        <v/>
      </c>
      <c r="B160" s="50">
        <f>IF(Mitarbeiter!B160="","",Mitarbeiter!B160)</f>
        <v/>
      </c>
      <c r="C160" s="7">
        <f>IF(Mitarbeiter!B160="","",Mitarbeiter!G160)</f>
        <v/>
      </c>
      <c r="D160" s="58">
        <f>IF(Mitarbeiter!B160="","",Mitarbeiter!H160)</f>
        <v/>
      </c>
      <c r="E160" s="58">
        <f>IF(Mitarbeiter!B160="","",'Ist-Stunden'!O160)</f>
        <v/>
      </c>
      <c r="F160" s="58">
        <f>IF(B160="","",Krankheitstage!AE160)</f>
        <v/>
      </c>
      <c r="G160" s="62">
        <f>IF(B160="","",Krankheitstage!P160)</f>
        <v/>
      </c>
      <c r="H160" s="62">
        <f>IF(B160="","",Krankheitstage!AC160)</f>
        <v/>
      </c>
      <c r="I160" s="62">
        <f>IF(B160="","",Krankheitstage!AD160)</f>
        <v/>
      </c>
      <c r="J160" s="36">
        <f>IF(B160="","",SUMPRODUCT(((Krankheitstage!D160:O160+Krankheitstage!Q160:AB160)&gt;0)*1))</f>
        <v/>
      </c>
      <c r="K160" s="63">
        <f>IF(B160="","",IF(N(D160)&gt;0,F160/D160,""))</f>
        <v/>
      </c>
      <c r="L160" s="40">
        <f>IF(B160="","",IF(N(E160)&gt;0,IF(Einstellungen!$C$10="Ja",F160/E160,F160/(E160+F160)),""))</f>
        <v/>
      </c>
      <c r="M160" s="64">
        <f>IF(L160="","",RANK(L160,$L$6:$L$205,0))</f>
        <v/>
      </c>
      <c r="N160" s="57">
        <f>IF(B160="","",IF(L160="","keine Ist-Std.",IF(L160&lt;=Einstellungen!$C$7,"unauffällig",IF(L160&lt;=Einstellungen!$C$8,"auffällig","kritisch"))))</f>
        <v/>
      </c>
      <c r="O160" s="65">
        <f>IF(L160="",-1,L160+ROW()/1000000000)</f>
        <v/>
      </c>
    </row>
    <row r="161">
      <c r="A161" s="49">
        <f>IF(Mitarbeiter!B161="","",Mitarbeiter!A161)</f>
        <v/>
      </c>
      <c r="B161" s="50">
        <f>IF(Mitarbeiter!B161="","",Mitarbeiter!B161)</f>
        <v/>
      </c>
      <c r="C161" s="7">
        <f>IF(Mitarbeiter!B161="","",Mitarbeiter!G161)</f>
        <v/>
      </c>
      <c r="D161" s="58">
        <f>IF(Mitarbeiter!B161="","",Mitarbeiter!H161)</f>
        <v/>
      </c>
      <c r="E161" s="58">
        <f>IF(Mitarbeiter!B161="","",'Ist-Stunden'!O161)</f>
        <v/>
      </c>
      <c r="F161" s="58">
        <f>IF(B161="","",Krankheitstage!AE161)</f>
        <v/>
      </c>
      <c r="G161" s="62">
        <f>IF(B161="","",Krankheitstage!P161)</f>
        <v/>
      </c>
      <c r="H161" s="62">
        <f>IF(B161="","",Krankheitstage!AC161)</f>
        <v/>
      </c>
      <c r="I161" s="62">
        <f>IF(B161="","",Krankheitstage!AD161)</f>
        <v/>
      </c>
      <c r="J161" s="36">
        <f>IF(B161="","",SUMPRODUCT(((Krankheitstage!D161:O161+Krankheitstage!Q161:AB161)&gt;0)*1))</f>
        <v/>
      </c>
      <c r="K161" s="63">
        <f>IF(B161="","",IF(N(D161)&gt;0,F161/D161,""))</f>
        <v/>
      </c>
      <c r="L161" s="40">
        <f>IF(B161="","",IF(N(E161)&gt;0,IF(Einstellungen!$C$10="Ja",F161/E161,F161/(E161+F161)),""))</f>
        <v/>
      </c>
      <c r="M161" s="64">
        <f>IF(L161="","",RANK(L161,$L$6:$L$205,0))</f>
        <v/>
      </c>
      <c r="N161" s="57">
        <f>IF(B161="","",IF(L161="","keine Ist-Std.",IF(L161&lt;=Einstellungen!$C$7,"unauffällig",IF(L161&lt;=Einstellungen!$C$8,"auffällig","kritisch"))))</f>
        <v/>
      </c>
      <c r="O161" s="65">
        <f>IF(L161="",-1,L161+ROW()/1000000000)</f>
        <v/>
      </c>
    </row>
    <row r="162">
      <c r="A162" s="49">
        <f>IF(Mitarbeiter!B162="","",Mitarbeiter!A162)</f>
        <v/>
      </c>
      <c r="B162" s="50">
        <f>IF(Mitarbeiter!B162="","",Mitarbeiter!B162)</f>
        <v/>
      </c>
      <c r="C162" s="7">
        <f>IF(Mitarbeiter!B162="","",Mitarbeiter!G162)</f>
        <v/>
      </c>
      <c r="D162" s="58">
        <f>IF(Mitarbeiter!B162="","",Mitarbeiter!H162)</f>
        <v/>
      </c>
      <c r="E162" s="58">
        <f>IF(Mitarbeiter!B162="","",'Ist-Stunden'!O162)</f>
        <v/>
      </c>
      <c r="F162" s="58">
        <f>IF(B162="","",Krankheitstage!AE162)</f>
        <v/>
      </c>
      <c r="G162" s="62">
        <f>IF(B162="","",Krankheitstage!P162)</f>
        <v/>
      </c>
      <c r="H162" s="62">
        <f>IF(B162="","",Krankheitstage!AC162)</f>
        <v/>
      </c>
      <c r="I162" s="62">
        <f>IF(B162="","",Krankheitstage!AD162)</f>
        <v/>
      </c>
      <c r="J162" s="36">
        <f>IF(B162="","",SUMPRODUCT(((Krankheitstage!D162:O162+Krankheitstage!Q162:AB162)&gt;0)*1))</f>
        <v/>
      </c>
      <c r="K162" s="63">
        <f>IF(B162="","",IF(N(D162)&gt;0,F162/D162,""))</f>
        <v/>
      </c>
      <c r="L162" s="40">
        <f>IF(B162="","",IF(N(E162)&gt;0,IF(Einstellungen!$C$10="Ja",F162/E162,F162/(E162+F162)),""))</f>
        <v/>
      </c>
      <c r="M162" s="64">
        <f>IF(L162="","",RANK(L162,$L$6:$L$205,0))</f>
        <v/>
      </c>
      <c r="N162" s="57">
        <f>IF(B162="","",IF(L162="","keine Ist-Std.",IF(L162&lt;=Einstellungen!$C$7,"unauffällig",IF(L162&lt;=Einstellungen!$C$8,"auffällig","kritisch"))))</f>
        <v/>
      </c>
      <c r="O162" s="65">
        <f>IF(L162="",-1,L162+ROW()/1000000000)</f>
        <v/>
      </c>
    </row>
    <row r="163">
      <c r="A163" s="49">
        <f>IF(Mitarbeiter!B163="","",Mitarbeiter!A163)</f>
        <v/>
      </c>
      <c r="B163" s="50">
        <f>IF(Mitarbeiter!B163="","",Mitarbeiter!B163)</f>
        <v/>
      </c>
      <c r="C163" s="7">
        <f>IF(Mitarbeiter!B163="","",Mitarbeiter!G163)</f>
        <v/>
      </c>
      <c r="D163" s="58">
        <f>IF(Mitarbeiter!B163="","",Mitarbeiter!H163)</f>
        <v/>
      </c>
      <c r="E163" s="58">
        <f>IF(Mitarbeiter!B163="","",'Ist-Stunden'!O163)</f>
        <v/>
      </c>
      <c r="F163" s="58">
        <f>IF(B163="","",Krankheitstage!AE163)</f>
        <v/>
      </c>
      <c r="G163" s="62">
        <f>IF(B163="","",Krankheitstage!P163)</f>
        <v/>
      </c>
      <c r="H163" s="62">
        <f>IF(B163="","",Krankheitstage!AC163)</f>
        <v/>
      </c>
      <c r="I163" s="62">
        <f>IF(B163="","",Krankheitstage!AD163)</f>
        <v/>
      </c>
      <c r="J163" s="36">
        <f>IF(B163="","",SUMPRODUCT(((Krankheitstage!D163:O163+Krankheitstage!Q163:AB163)&gt;0)*1))</f>
        <v/>
      </c>
      <c r="K163" s="63">
        <f>IF(B163="","",IF(N(D163)&gt;0,F163/D163,""))</f>
        <v/>
      </c>
      <c r="L163" s="40">
        <f>IF(B163="","",IF(N(E163)&gt;0,IF(Einstellungen!$C$10="Ja",F163/E163,F163/(E163+F163)),""))</f>
        <v/>
      </c>
      <c r="M163" s="64">
        <f>IF(L163="","",RANK(L163,$L$6:$L$205,0))</f>
        <v/>
      </c>
      <c r="N163" s="57">
        <f>IF(B163="","",IF(L163="","keine Ist-Std.",IF(L163&lt;=Einstellungen!$C$7,"unauffällig",IF(L163&lt;=Einstellungen!$C$8,"auffällig","kritisch"))))</f>
        <v/>
      </c>
      <c r="O163" s="65">
        <f>IF(L163="",-1,L163+ROW()/1000000000)</f>
        <v/>
      </c>
    </row>
    <row r="164">
      <c r="A164" s="49">
        <f>IF(Mitarbeiter!B164="","",Mitarbeiter!A164)</f>
        <v/>
      </c>
      <c r="B164" s="50">
        <f>IF(Mitarbeiter!B164="","",Mitarbeiter!B164)</f>
        <v/>
      </c>
      <c r="C164" s="7">
        <f>IF(Mitarbeiter!B164="","",Mitarbeiter!G164)</f>
        <v/>
      </c>
      <c r="D164" s="58">
        <f>IF(Mitarbeiter!B164="","",Mitarbeiter!H164)</f>
        <v/>
      </c>
      <c r="E164" s="58">
        <f>IF(Mitarbeiter!B164="","",'Ist-Stunden'!O164)</f>
        <v/>
      </c>
      <c r="F164" s="58">
        <f>IF(B164="","",Krankheitstage!AE164)</f>
        <v/>
      </c>
      <c r="G164" s="62">
        <f>IF(B164="","",Krankheitstage!P164)</f>
        <v/>
      </c>
      <c r="H164" s="62">
        <f>IF(B164="","",Krankheitstage!AC164)</f>
        <v/>
      </c>
      <c r="I164" s="62">
        <f>IF(B164="","",Krankheitstage!AD164)</f>
        <v/>
      </c>
      <c r="J164" s="36">
        <f>IF(B164="","",SUMPRODUCT(((Krankheitstage!D164:O164+Krankheitstage!Q164:AB164)&gt;0)*1))</f>
        <v/>
      </c>
      <c r="K164" s="63">
        <f>IF(B164="","",IF(N(D164)&gt;0,F164/D164,""))</f>
        <v/>
      </c>
      <c r="L164" s="40">
        <f>IF(B164="","",IF(N(E164)&gt;0,IF(Einstellungen!$C$10="Ja",F164/E164,F164/(E164+F164)),""))</f>
        <v/>
      </c>
      <c r="M164" s="64">
        <f>IF(L164="","",RANK(L164,$L$6:$L$205,0))</f>
        <v/>
      </c>
      <c r="N164" s="57">
        <f>IF(B164="","",IF(L164="","keine Ist-Std.",IF(L164&lt;=Einstellungen!$C$7,"unauffällig",IF(L164&lt;=Einstellungen!$C$8,"auffällig","kritisch"))))</f>
        <v/>
      </c>
      <c r="O164" s="65">
        <f>IF(L164="",-1,L164+ROW()/1000000000)</f>
        <v/>
      </c>
    </row>
    <row r="165">
      <c r="A165" s="49">
        <f>IF(Mitarbeiter!B165="","",Mitarbeiter!A165)</f>
        <v/>
      </c>
      <c r="B165" s="50">
        <f>IF(Mitarbeiter!B165="","",Mitarbeiter!B165)</f>
        <v/>
      </c>
      <c r="C165" s="7">
        <f>IF(Mitarbeiter!B165="","",Mitarbeiter!G165)</f>
        <v/>
      </c>
      <c r="D165" s="58">
        <f>IF(Mitarbeiter!B165="","",Mitarbeiter!H165)</f>
        <v/>
      </c>
      <c r="E165" s="58">
        <f>IF(Mitarbeiter!B165="","",'Ist-Stunden'!O165)</f>
        <v/>
      </c>
      <c r="F165" s="58">
        <f>IF(B165="","",Krankheitstage!AE165)</f>
        <v/>
      </c>
      <c r="G165" s="62">
        <f>IF(B165="","",Krankheitstage!P165)</f>
        <v/>
      </c>
      <c r="H165" s="62">
        <f>IF(B165="","",Krankheitstage!AC165)</f>
        <v/>
      </c>
      <c r="I165" s="62">
        <f>IF(B165="","",Krankheitstage!AD165)</f>
        <v/>
      </c>
      <c r="J165" s="36">
        <f>IF(B165="","",SUMPRODUCT(((Krankheitstage!D165:O165+Krankheitstage!Q165:AB165)&gt;0)*1))</f>
        <v/>
      </c>
      <c r="K165" s="63">
        <f>IF(B165="","",IF(N(D165)&gt;0,F165/D165,""))</f>
        <v/>
      </c>
      <c r="L165" s="40">
        <f>IF(B165="","",IF(N(E165)&gt;0,IF(Einstellungen!$C$10="Ja",F165/E165,F165/(E165+F165)),""))</f>
        <v/>
      </c>
      <c r="M165" s="64">
        <f>IF(L165="","",RANK(L165,$L$6:$L$205,0))</f>
        <v/>
      </c>
      <c r="N165" s="57">
        <f>IF(B165="","",IF(L165="","keine Ist-Std.",IF(L165&lt;=Einstellungen!$C$7,"unauffällig",IF(L165&lt;=Einstellungen!$C$8,"auffällig","kritisch"))))</f>
        <v/>
      </c>
      <c r="O165" s="65">
        <f>IF(L165="",-1,L165+ROW()/1000000000)</f>
        <v/>
      </c>
    </row>
    <row r="166">
      <c r="A166" s="49">
        <f>IF(Mitarbeiter!B166="","",Mitarbeiter!A166)</f>
        <v/>
      </c>
      <c r="B166" s="50">
        <f>IF(Mitarbeiter!B166="","",Mitarbeiter!B166)</f>
        <v/>
      </c>
      <c r="C166" s="7">
        <f>IF(Mitarbeiter!B166="","",Mitarbeiter!G166)</f>
        <v/>
      </c>
      <c r="D166" s="58">
        <f>IF(Mitarbeiter!B166="","",Mitarbeiter!H166)</f>
        <v/>
      </c>
      <c r="E166" s="58">
        <f>IF(Mitarbeiter!B166="","",'Ist-Stunden'!O166)</f>
        <v/>
      </c>
      <c r="F166" s="58">
        <f>IF(B166="","",Krankheitstage!AE166)</f>
        <v/>
      </c>
      <c r="G166" s="62">
        <f>IF(B166="","",Krankheitstage!P166)</f>
        <v/>
      </c>
      <c r="H166" s="62">
        <f>IF(B166="","",Krankheitstage!AC166)</f>
        <v/>
      </c>
      <c r="I166" s="62">
        <f>IF(B166="","",Krankheitstage!AD166)</f>
        <v/>
      </c>
      <c r="J166" s="36">
        <f>IF(B166="","",SUMPRODUCT(((Krankheitstage!D166:O166+Krankheitstage!Q166:AB166)&gt;0)*1))</f>
        <v/>
      </c>
      <c r="K166" s="63">
        <f>IF(B166="","",IF(N(D166)&gt;0,F166/D166,""))</f>
        <v/>
      </c>
      <c r="L166" s="40">
        <f>IF(B166="","",IF(N(E166)&gt;0,IF(Einstellungen!$C$10="Ja",F166/E166,F166/(E166+F166)),""))</f>
        <v/>
      </c>
      <c r="M166" s="64">
        <f>IF(L166="","",RANK(L166,$L$6:$L$205,0))</f>
        <v/>
      </c>
      <c r="N166" s="57">
        <f>IF(B166="","",IF(L166="","keine Ist-Std.",IF(L166&lt;=Einstellungen!$C$7,"unauffällig",IF(L166&lt;=Einstellungen!$C$8,"auffällig","kritisch"))))</f>
        <v/>
      </c>
      <c r="O166" s="65">
        <f>IF(L166="",-1,L166+ROW()/1000000000)</f>
        <v/>
      </c>
    </row>
    <row r="167">
      <c r="A167" s="49">
        <f>IF(Mitarbeiter!B167="","",Mitarbeiter!A167)</f>
        <v/>
      </c>
      <c r="B167" s="50">
        <f>IF(Mitarbeiter!B167="","",Mitarbeiter!B167)</f>
        <v/>
      </c>
      <c r="C167" s="7">
        <f>IF(Mitarbeiter!B167="","",Mitarbeiter!G167)</f>
        <v/>
      </c>
      <c r="D167" s="58">
        <f>IF(Mitarbeiter!B167="","",Mitarbeiter!H167)</f>
        <v/>
      </c>
      <c r="E167" s="58">
        <f>IF(Mitarbeiter!B167="","",'Ist-Stunden'!O167)</f>
        <v/>
      </c>
      <c r="F167" s="58">
        <f>IF(B167="","",Krankheitstage!AE167)</f>
        <v/>
      </c>
      <c r="G167" s="62">
        <f>IF(B167="","",Krankheitstage!P167)</f>
        <v/>
      </c>
      <c r="H167" s="62">
        <f>IF(B167="","",Krankheitstage!AC167)</f>
        <v/>
      </c>
      <c r="I167" s="62">
        <f>IF(B167="","",Krankheitstage!AD167)</f>
        <v/>
      </c>
      <c r="J167" s="36">
        <f>IF(B167="","",SUMPRODUCT(((Krankheitstage!D167:O167+Krankheitstage!Q167:AB167)&gt;0)*1))</f>
        <v/>
      </c>
      <c r="K167" s="63">
        <f>IF(B167="","",IF(N(D167)&gt;0,F167/D167,""))</f>
        <v/>
      </c>
      <c r="L167" s="40">
        <f>IF(B167="","",IF(N(E167)&gt;0,IF(Einstellungen!$C$10="Ja",F167/E167,F167/(E167+F167)),""))</f>
        <v/>
      </c>
      <c r="M167" s="64">
        <f>IF(L167="","",RANK(L167,$L$6:$L$205,0))</f>
        <v/>
      </c>
      <c r="N167" s="57">
        <f>IF(B167="","",IF(L167="","keine Ist-Std.",IF(L167&lt;=Einstellungen!$C$7,"unauffällig",IF(L167&lt;=Einstellungen!$C$8,"auffällig","kritisch"))))</f>
        <v/>
      </c>
      <c r="O167" s="65">
        <f>IF(L167="",-1,L167+ROW()/1000000000)</f>
        <v/>
      </c>
    </row>
    <row r="168">
      <c r="A168" s="49">
        <f>IF(Mitarbeiter!B168="","",Mitarbeiter!A168)</f>
        <v/>
      </c>
      <c r="B168" s="50">
        <f>IF(Mitarbeiter!B168="","",Mitarbeiter!B168)</f>
        <v/>
      </c>
      <c r="C168" s="7">
        <f>IF(Mitarbeiter!B168="","",Mitarbeiter!G168)</f>
        <v/>
      </c>
      <c r="D168" s="58">
        <f>IF(Mitarbeiter!B168="","",Mitarbeiter!H168)</f>
        <v/>
      </c>
      <c r="E168" s="58">
        <f>IF(Mitarbeiter!B168="","",'Ist-Stunden'!O168)</f>
        <v/>
      </c>
      <c r="F168" s="58">
        <f>IF(B168="","",Krankheitstage!AE168)</f>
        <v/>
      </c>
      <c r="G168" s="62">
        <f>IF(B168="","",Krankheitstage!P168)</f>
        <v/>
      </c>
      <c r="H168" s="62">
        <f>IF(B168="","",Krankheitstage!AC168)</f>
        <v/>
      </c>
      <c r="I168" s="62">
        <f>IF(B168="","",Krankheitstage!AD168)</f>
        <v/>
      </c>
      <c r="J168" s="36">
        <f>IF(B168="","",SUMPRODUCT(((Krankheitstage!D168:O168+Krankheitstage!Q168:AB168)&gt;0)*1))</f>
        <v/>
      </c>
      <c r="K168" s="63">
        <f>IF(B168="","",IF(N(D168)&gt;0,F168/D168,""))</f>
        <v/>
      </c>
      <c r="L168" s="40">
        <f>IF(B168="","",IF(N(E168)&gt;0,IF(Einstellungen!$C$10="Ja",F168/E168,F168/(E168+F168)),""))</f>
        <v/>
      </c>
      <c r="M168" s="64">
        <f>IF(L168="","",RANK(L168,$L$6:$L$205,0))</f>
        <v/>
      </c>
      <c r="N168" s="57">
        <f>IF(B168="","",IF(L168="","keine Ist-Std.",IF(L168&lt;=Einstellungen!$C$7,"unauffällig",IF(L168&lt;=Einstellungen!$C$8,"auffällig","kritisch"))))</f>
        <v/>
      </c>
      <c r="O168" s="65">
        <f>IF(L168="",-1,L168+ROW()/1000000000)</f>
        <v/>
      </c>
    </row>
    <row r="169">
      <c r="A169" s="49">
        <f>IF(Mitarbeiter!B169="","",Mitarbeiter!A169)</f>
        <v/>
      </c>
      <c r="B169" s="50">
        <f>IF(Mitarbeiter!B169="","",Mitarbeiter!B169)</f>
        <v/>
      </c>
      <c r="C169" s="7">
        <f>IF(Mitarbeiter!B169="","",Mitarbeiter!G169)</f>
        <v/>
      </c>
      <c r="D169" s="58">
        <f>IF(Mitarbeiter!B169="","",Mitarbeiter!H169)</f>
        <v/>
      </c>
      <c r="E169" s="58">
        <f>IF(Mitarbeiter!B169="","",'Ist-Stunden'!O169)</f>
        <v/>
      </c>
      <c r="F169" s="58">
        <f>IF(B169="","",Krankheitstage!AE169)</f>
        <v/>
      </c>
      <c r="G169" s="62">
        <f>IF(B169="","",Krankheitstage!P169)</f>
        <v/>
      </c>
      <c r="H169" s="62">
        <f>IF(B169="","",Krankheitstage!AC169)</f>
        <v/>
      </c>
      <c r="I169" s="62">
        <f>IF(B169="","",Krankheitstage!AD169)</f>
        <v/>
      </c>
      <c r="J169" s="36">
        <f>IF(B169="","",SUMPRODUCT(((Krankheitstage!D169:O169+Krankheitstage!Q169:AB169)&gt;0)*1))</f>
        <v/>
      </c>
      <c r="K169" s="63">
        <f>IF(B169="","",IF(N(D169)&gt;0,F169/D169,""))</f>
        <v/>
      </c>
      <c r="L169" s="40">
        <f>IF(B169="","",IF(N(E169)&gt;0,IF(Einstellungen!$C$10="Ja",F169/E169,F169/(E169+F169)),""))</f>
        <v/>
      </c>
      <c r="M169" s="64">
        <f>IF(L169="","",RANK(L169,$L$6:$L$205,0))</f>
        <v/>
      </c>
      <c r="N169" s="57">
        <f>IF(B169="","",IF(L169="","keine Ist-Std.",IF(L169&lt;=Einstellungen!$C$7,"unauffällig",IF(L169&lt;=Einstellungen!$C$8,"auffällig","kritisch"))))</f>
        <v/>
      </c>
      <c r="O169" s="65">
        <f>IF(L169="",-1,L169+ROW()/1000000000)</f>
        <v/>
      </c>
    </row>
    <row r="170">
      <c r="A170" s="49">
        <f>IF(Mitarbeiter!B170="","",Mitarbeiter!A170)</f>
        <v/>
      </c>
      <c r="B170" s="50">
        <f>IF(Mitarbeiter!B170="","",Mitarbeiter!B170)</f>
        <v/>
      </c>
      <c r="C170" s="7">
        <f>IF(Mitarbeiter!B170="","",Mitarbeiter!G170)</f>
        <v/>
      </c>
      <c r="D170" s="58">
        <f>IF(Mitarbeiter!B170="","",Mitarbeiter!H170)</f>
        <v/>
      </c>
      <c r="E170" s="58">
        <f>IF(Mitarbeiter!B170="","",'Ist-Stunden'!O170)</f>
        <v/>
      </c>
      <c r="F170" s="58">
        <f>IF(B170="","",Krankheitstage!AE170)</f>
        <v/>
      </c>
      <c r="G170" s="62">
        <f>IF(B170="","",Krankheitstage!P170)</f>
        <v/>
      </c>
      <c r="H170" s="62">
        <f>IF(B170="","",Krankheitstage!AC170)</f>
        <v/>
      </c>
      <c r="I170" s="62">
        <f>IF(B170="","",Krankheitstage!AD170)</f>
        <v/>
      </c>
      <c r="J170" s="36">
        <f>IF(B170="","",SUMPRODUCT(((Krankheitstage!D170:O170+Krankheitstage!Q170:AB170)&gt;0)*1))</f>
        <v/>
      </c>
      <c r="K170" s="63">
        <f>IF(B170="","",IF(N(D170)&gt;0,F170/D170,""))</f>
        <v/>
      </c>
      <c r="L170" s="40">
        <f>IF(B170="","",IF(N(E170)&gt;0,IF(Einstellungen!$C$10="Ja",F170/E170,F170/(E170+F170)),""))</f>
        <v/>
      </c>
      <c r="M170" s="64">
        <f>IF(L170="","",RANK(L170,$L$6:$L$205,0))</f>
        <v/>
      </c>
      <c r="N170" s="57">
        <f>IF(B170="","",IF(L170="","keine Ist-Std.",IF(L170&lt;=Einstellungen!$C$7,"unauffällig",IF(L170&lt;=Einstellungen!$C$8,"auffällig","kritisch"))))</f>
        <v/>
      </c>
      <c r="O170" s="65">
        <f>IF(L170="",-1,L170+ROW()/1000000000)</f>
        <v/>
      </c>
    </row>
    <row r="171">
      <c r="A171" s="49">
        <f>IF(Mitarbeiter!B171="","",Mitarbeiter!A171)</f>
        <v/>
      </c>
      <c r="B171" s="50">
        <f>IF(Mitarbeiter!B171="","",Mitarbeiter!B171)</f>
        <v/>
      </c>
      <c r="C171" s="7">
        <f>IF(Mitarbeiter!B171="","",Mitarbeiter!G171)</f>
        <v/>
      </c>
      <c r="D171" s="58">
        <f>IF(Mitarbeiter!B171="","",Mitarbeiter!H171)</f>
        <v/>
      </c>
      <c r="E171" s="58">
        <f>IF(Mitarbeiter!B171="","",'Ist-Stunden'!O171)</f>
        <v/>
      </c>
      <c r="F171" s="58">
        <f>IF(B171="","",Krankheitstage!AE171)</f>
        <v/>
      </c>
      <c r="G171" s="62">
        <f>IF(B171="","",Krankheitstage!P171)</f>
        <v/>
      </c>
      <c r="H171" s="62">
        <f>IF(B171="","",Krankheitstage!AC171)</f>
        <v/>
      </c>
      <c r="I171" s="62">
        <f>IF(B171="","",Krankheitstage!AD171)</f>
        <v/>
      </c>
      <c r="J171" s="36">
        <f>IF(B171="","",SUMPRODUCT(((Krankheitstage!D171:O171+Krankheitstage!Q171:AB171)&gt;0)*1))</f>
        <v/>
      </c>
      <c r="K171" s="63">
        <f>IF(B171="","",IF(N(D171)&gt;0,F171/D171,""))</f>
        <v/>
      </c>
      <c r="L171" s="40">
        <f>IF(B171="","",IF(N(E171)&gt;0,IF(Einstellungen!$C$10="Ja",F171/E171,F171/(E171+F171)),""))</f>
        <v/>
      </c>
      <c r="M171" s="64">
        <f>IF(L171="","",RANK(L171,$L$6:$L$205,0))</f>
        <v/>
      </c>
      <c r="N171" s="57">
        <f>IF(B171="","",IF(L171="","keine Ist-Std.",IF(L171&lt;=Einstellungen!$C$7,"unauffällig",IF(L171&lt;=Einstellungen!$C$8,"auffällig","kritisch"))))</f>
        <v/>
      </c>
      <c r="O171" s="65">
        <f>IF(L171="",-1,L171+ROW()/1000000000)</f>
        <v/>
      </c>
    </row>
    <row r="172">
      <c r="A172" s="49">
        <f>IF(Mitarbeiter!B172="","",Mitarbeiter!A172)</f>
        <v/>
      </c>
      <c r="B172" s="50">
        <f>IF(Mitarbeiter!B172="","",Mitarbeiter!B172)</f>
        <v/>
      </c>
      <c r="C172" s="7">
        <f>IF(Mitarbeiter!B172="","",Mitarbeiter!G172)</f>
        <v/>
      </c>
      <c r="D172" s="58">
        <f>IF(Mitarbeiter!B172="","",Mitarbeiter!H172)</f>
        <v/>
      </c>
      <c r="E172" s="58">
        <f>IF(Mitarbeiter!B172="","",'Ist-Stunden'!O172)</f>
        <v/>
      </c>
      <c r="F172" s="58">
        <f>IF(B172="","",Krankheitstage!AE172)</f>
        <v/>
      </c>
      <c r="G172" s="62">
        <f>IF(B172="","",Krankheitstage!P172)</f>
        <v/>
      </c>
      <c r="H172" s="62">
        <f>IF(B172="","",Krankheitstage!AC172)</f>
        <v/>
      </c>
      <c r="I172" s="62">
        <f>IF(B172="","",Krankheitstage!AD172)</f>
        <v/>
      </c>
      <c r="J172" s="36">
        <f>IF(B172="","",SUMPRODUCT(((Krankheitstage!D172:O172+Krankheitstage!Q172:AB172)&gt;0)*1))</f>
        <v/>
      </c>
      <c r="K172" s="63">
        <f>IF(B172="","",IF(N(D172)&gt;0,F172/D172,""))</f>
        <v/>
      </c>
      <c r="L172" s="40">
        <f>IF(B172="","",IF(N(E172)&gt;0,IF(Einstellungen!$C$10="Ja",F172/E172,F172/(E172+F172)),""))</f>
        <v/>
      </c>
      <c r="M172" s="64">
        <f>IF(L172="","",RANK(L172,$L$6:$L$205,0))</f>
        <v/>
      </c>
      <c r="N172" s="57">
        <f>IF(B172="","",IF(L172="","keine Ist-Std.",IF(L172&lt;=Einstellungen!$C$7,"unauffällig",IF(L172&lt;=Einstellungen!$C$8,"auffällig","kritisch"))))</f>
        <v/>
      </c>
      <c r="O172" s="65">
        <f>IF(L172="",-1,L172+ROW()/1000000000)</f>
        <v/>
      </c>
    </row>
    <row r="173">
      <c r="A173" s="49">
        <f>IF(Mitarbeiter!B173="","",Mitarbeiter!A173)</f>
        <v/>
      </c>
      <c r="B173" s="50">
        <f>IF(Mitarbeiter!B173="","",Mitarbeiter!B173)</f>
        <v/>
      </c>
      <c r="C173" s="7">
        <f>IF(Mitarbeiter!B173="","",Mitarbeiter!G173)</f>
        <v/>
      </c>
      <c r="D173" s="58">
        <f>IF(Mitarbeiter!B173="","",Mitarbeiter!H173)</f>
        <v/>
      </c>
      <c r="E173" s="58">
        <f>IF(Mitarbeiter!B173="","",'Ist-Stunden'!O173)</f>
        <v/>
      </c>
      <c r="F173" s="58">
        <f>IF(B173="","",Krankheitstage!AE173)</f>
        <v/>
      </c>
      <c r="G173" s="62">
        <f>IF(B173="","",Krankheitstage!P173)</f>
        <v/>
      </c>
      <c r="H173" s="62">
        <f>IF(B173="","",Krankheitstage!AC173)</f>
        <v/>
      </c>
      <c r="I173" s="62">
        <f>IF(B173="","",Krankheitstage!AD173)</f>
        <v/>
      </c>
      <c r="J173" s="36">
        <f>IF(B173="","",SUMPRODUCT(((Krankheitstage!D173:O173+Krankheitstage!Q173:AB173)&gt;0)*1))</f>
        <v/>
      </c>
      <c r="K173" s="63">
        <f>IF(B173="","",IF(N(D173)&gt;0,F173/D173,""))</f>
        <v/>
      </c>
      <c r="L173" s="40">
        <f>IF(B173="","",IF(N(E173)&gt;0,IF(Einstellungen!$C$10="Ja",F173/E173,F173/(E173+F173)),""))</f>
        <v/>
      </c>
      <c r="M173" s="64">
        <f>IF(L173="","",RANK(L173,$L$6:$L$205,0))</f>
        <v/>
      </c>
      <c r="N173" s="57">
        <f>IF(B173="","",IF(L173="","keine Ist-Std.",IF(L173&lt;=Einstellungen!$C$7,"unauffällig",IF(L173&lt;=Einstellungen!$C$8,"auffällig","kritisch"))))</f>
        <v/>
      </c>
      <c r="O173" s="65">
        <f>IF(L173="",-1,L173+ROW()/1000000000)</f>
        <v/>
      </c>
    </row>
    <row r="174">
      <c r="A174" s="49">
        <f>IF(Mitarbeiter!B174="","",Mitarbeiter!A174)</f>
        <v/>
      </c>
      <c r="B174" s="50">
        <f>IF(Mitarbeiter!B174="","",Mitarbeiter!B174)</f>
        <v/>
      </c>
      <c r="C174" s="7">
        <f>IF(Mitarbeiter!B174="","",Mitarbeiter!G174)</f>
        <v/>
      </c>
      <c r="D174" s="58">
        <f>IF(Mitarbeiter!B174="","",Mitarbeiter!H174)</f>
        <v/>
      </c>
      <c r="E174" s="58">
        <f>IF(Mitarbeiter!B174="","",'Ist-Stunden'!O174)</f>
        <v/>
      </c>
      <c r="F174" s="58">
        <f>IF(B174="","",Krankheitstage!AE174)</f>
        <v/>
      </c>
      <c r="G174" s="62">
        <f>IF(B174="","",Krankheitstage!P174)</f>
        <v/>
      </c>
      <c r="H174" s="62">
        <f>IF(B174="","",Krankheitstage!AC174)</f>
        <v/>
      </c>
      <c r="I174" s="62">
        <f>IF(B174="","",Krankheitstage!AD174)</f>
        <v/>
      </c>
      <c r="J174" s="36">
        <f>IF(B174="","",SUMPRODUCT(((Krankheitstage!D174:O174+Krankheitstage!Q174:AB174)&gt;0)*1))</f>
        <v/>
      </c>
      <c r="K174" s="63">
        <f>IF(B174="","",IF(N(D174)&gt;0,F174/D174,""))</f>
        <v/>
      </c>
      <c r="L174" s="40">
        <f>IF(B174="","",IF(N(E174)&gt;0,IF(Einstellungen!$C$10="Ja",F174/E174,F174/(E174+F174)),""))</f>
        <v/>
      </c>
      <c r="M174" s="64">
        <f>IF(L174="","",RANK(L174,$L$6:$L$205,0))</f>
        <v/>
      </c>
      <c r="N174" s="57">
        <f>IF(B174="","",IF(L174="","keine Ist-Std.",IF(L174&lt;=Einstellungen!$C$7,"unauffällig",IF(L174&lt;=Einstellungen!$C$8,"auffällig","kritisch"))))</f>
        <v/>
      </c>
      <c r="O174" s="65">
        <f>IF(L174="",-1,L174+ROW()/1000000000)</f>
        <v/>
      </c>
    </row>
    <row r="175">
      <c r="A175" s="49">
        <f>IF(Mitarbeiter!B175="","",Mitarbeiter!A175)</f>
        <v/>
      </c>
      <c r="B175" s="50">
        <f>IF(Mitarbeiter!B175="","",Mitarbeiter!B175)</f>
        <v/>
      </c>
      <c r="C175" s="7">
        <f>IF(Mitarbeiter!B175="","",Mitarbeiter!G175)</f>
        <v/>
      </c>
      <c r="D175" s="58">
        <f>IF(Mitarbeiter!B175="","",Mitarbeiter!H175)</f>
        <v/>
      </c>
      <c r="E175" s="58">
        <f>IF(Mitarbeiter!B175="","",'Ist-Stunden'!O175)</f>
        <v/>
      </c>
      <c r="F175" s="58">
        <f>IF(B175="","",Krankheitstage!AE175)</f>
        <v/>
      </c>
      <c r="G175" s="62">
        <f>IF(B175="","",Krankheitstage!P175)</f>
        <v/>
      </c>
      <c r="H175" s="62">
        <f>IF(B175="","",Krankheitstage!AC175)</f>
        <v/>
      </c>
      <c r="I175" s="62">
        <f>IF(B175="","",Krankheitstage!AD175)</f>
        <v/>
      </c>
      <c r="J175" s="36">
        <f>IF(B175="","",SUMPRODUCT(((Krankheitstage!D175:O175+Krankheitstage!Q175:AB175)&gt;0)*1))</f>
        <v/>
      </c>
      <c r="K175" s="63">
        <f>IF(B175="","",IF(N(D175)&gt;0,F175/D175,""))</f>
        <v/>
      </c>
      <c r="L175" s="40">
        <f>IF(B175="","",IF(N(E175)&gt;0,IF(Einstellungen!$C$10="Ja",F175/E175,F175/(E175+F175)),""))</f>
        <v/>
      </c>
      <c r="M175" s="64">
        <f>IF(L175="","",RANK(L175,$L$6:$L$205,0))</f>
        <v/>
      </c>
      <c r="N175" s="57">
        <f>IF(B175="","",IF(L175="","keine Ist-Std.",IF(L175&lt;=Einstellungen!$C$7,"unauffällig",IF(L175&lt;=Einstellungen!$C$8,"auffällig","kritisch"))))</f>
        <v/>
      </c>
      <c r="O175" s="65">
        <f>IF(L175="",-1,L175+ROW()/1000000000)</f>
        <v/>
      </c>
    </row>
    <row r="176">
      <c r="A176" s="49">
        <f>IF(Mitarbeiter!B176="","",Mitarbeiter!A176)</f>
        <v/>
      </c>
      <c r="B176" s="50">
        <f>IF(Mitarbeiter!B176="","",Mitarbeiter!B176)</f>
        <v/>
      </c>
      <c r="C176" s="7">
        <f>IF(Mitarbeiter!B176="","",Mitarbeiter!G176)</f>
        <v/>
      </c>
      <c r="D176" s="58">
        <f>IF(Mitarbeiter!B176="","",Mitarbeiter!H176)</f>
        <v/>
      </c>
      <c r="E176" s="58">
        <f>IF(Mitarbeiter!B176="","",'Ist-Stunden'!O176)</f>
        <v/>
      </c>
      <c r="F176" s="58">
        <f>IF(B176="","",Krankheitstage!AE176)</f>
        <v/>
      </c>
      <c r="G176" s="62">
        <f>IF(B176="","",Krankheitstage!P176)</f>
        <v/>
      </c>
      <c r="H176" s="62">
        <f>IF(B176="","",Krankheitstage!AC176)</f>
        <v/>
      </c>
      <c r="I176" s="62">
        <f>IF(B176="","",Krankheitstage!AD176)</f>
        <v/>
      </c>
      <c r="J176" s="36">
        <f>IF(B176="","",SUMPRODUCT(((Krankheitstage!D176:O176+Krankheitstage!Q176:AB176)&gt;0)*1))</f>
        <v/>
      </c>
      <c r="K176" s="63">
        <f>IF(B176="","",IF(N(D176)&gt;0,F176/D176,""))</f>
        <v/>
      </c>
      <c r="L176" s="40">
        <f>IF(B176="","",IF(N(E176)&gt;0,IF(Einstellungen!$C$10="Ja",F176/E176,F176/(E176+F176)),""))</f>
        <v/>
      </c>
      <c r="M176" s="64">
        <f>IF(L176="","",RANK(L176,$L$6:$L$205,0))</f>
        <v/>
      </c>
      <c r="N176" s="57">
        <f>IF(B176="","",IF(L176="","keine Ist-Std.",IF(L176&lt;=Einstellungen!$C$7,"unauffällig",IF(L176&lt;=Einstellungen!$C$8,"auffällig","kritisch"))))</f>
        <v/>
      </c>
      <c r="O176" s="65">
        <f>IF(L176="",-1,L176+ROW()/1000000000)</f>
        <v/>
      </c>
    </row>
    <row r="177">
      <c r="A177" s="49">
        <f>IF(Mitarbeiter!B177="","",Mitarbeiter!A177)</f>
        <v/>
      </c>
      <c r="B177" s="50">
        <f>IF(Mitarbeiter!B177="","",Mitarbeiter!B177)</f>
        <v/>
      </c>
      <c r="C177" s="7">
        <f>IF(Mitarbeiter!B177="","",Mitarbeiter!G177)</f>
        <v/>
      </c>
      <c r="D177" s="58">
        <f>IF(Mitarbeiter!B177="","",Mitarbeiter!H177)</f>
        <v/>
      </c>
      <c r="E177" s="58">
        <f>IF(Mitarbeiter!B177="","",'Ist-Stunden'!O177)</f>
        <v/>
      </c>
      <c r="F177" s="58">
        <f>IF(B177="","",Krankheitstage!AE177)</f>
        <v/>
      </c>
      <c r="G177" s="62">
        <f>IF(B177="","",Krankheitstage!P177)</f>
        <v/>
      </c>
      <c r="H177" s="62">
        <f>IF(B177="","",Krankheitstage!AC177)</f>
        <v/>
      </c>
      <c r="I177" s="62">
        <f>IF(B177="","",Krankheitstage!AD177)</f>
        <v/>
      </c>
      <c r="J177" s="36">
        <f>IF(B177="","",SUMPRODUCT(((Krankheitstage!D177:O177+Krankheitstage!Q177:AB177)&gt;0)*1))</f>
        <v/>
      </c>
      <c r="K177" s="63">
        <f>IF(B177="","",IF(N(D177)&gt;0,F177/D177,""))</f>
        <v/>
      </c>
      <c r="L177" s="40">
        <f>IF(B177="","",IF(N(E177)&gt;0,IF(Einstellungen!$C$10="Ja",F177/E177,F177/(E177+F177)),""))</f>
        <v/>
      </c>
      <c r="M177" s="64">
        <f>IF(L177="","",RANK(L177,$L$6:$L$205,0))</f>
        <v/>
      </c>
      <c r="N177" s="57">
        <f>IF(B177="","",IF(L177="","keine Ist-Std.",IF(L177&lt;=Einstellungen!$C$7,"unauffällig",IF(L177&lt;=Einstellungen!$C$8,"auffällig","kritisch"))))</f>
        <v/>
      </c>
      <c r="O177" s="65">
        <f>IF(L177="",-1,L177+ROW()/1000000000)</f>
        <v/>
      </c>
    </row>
    <row r="178">
      <c r="A178" s="49">
        <f>IF(Mitarbeiter!B178="","",Mitarbeiter!A178)</f>
        <v/>
      </c>
      <c r="B178" s="50">
        <f>IF(Mitarbeiter!B178="","",Mitarbeiter!B178)</f>
        <v/>
      </c>
      <c r="C178" s="7">
        <f>IF(Mitarbeiter!B178="","",Mitarbeiter!G178)</f>
        <v/>
      </c>
      <c r="D178" s="58">
        <f>IF(Mitarbeiter!B178="","",Mitarbeiter!H178)</f>
        <v/>
      </c>
      <c r="E178" s="58">
        <f>IF(Mitarbeiter!B178="","",'Ist-Stunden'!O178)</f>
        <v/>
      </c>
      <c r="F178" s="58">
        <f>IF(B178="","",Krankheitstage!AE178)</f>
        <v/>
      </c>
      <c r="G178" s="62">
        <f>IF(B178="","",Krankheitstage!P178)</f>
        <v/>
      </c>
      <c r="H178" s="62">
        <f>IF(B178="","",Krankheitstage!AC178)</f>
        <v/>
      </c>
      <c r="I178" s="62">
        <f>IF(B178="","",Krankheitstage!AD178)</f>
        <v/>
      </c>
      <c r="J178" s="36">
        <f>IF(B178="","",SUMPRODUCT(((Krankheitstage!D178:O178+Krankheitstage!Q178:AB178)&gt;0)*1))</f>
        <v/>
      </c>
      <c r="K178" s="63">
        <f>IF(B178="","",IF(N(D178)&gt;0,F178/D178,""))</f>
        <v/>
      </c>
      <c r="L178" s="40">
        <f>IF(B178="","",IF(N(E178)&gt;0,IF(Einstellungen!$C$10="Ja",F178/E178,F178/(E178+F178)),""))</f>
        <v/>
      </c>
      <c r="M178" s="64">
        <f>IF(L178="","",RANK(L178,$L$6:$L$205,0))</f>
        <v/>
      </c>
      <c r="N178" s="57">
        <f>IF(B178="","",IF(L178="","keine Ist-Std.",IF(L178&lt;=Einstellungen!$C$7,"unauffällig",IF(L178&lt;=Einstellungen!$C$8,"auffällig","kritisch"))))</f>
        <v/>
      </c>
      <c r="O178" s="65">
        <f>IF(L178="",-1,L178+ROW()/1000000000)</f>
        <v/>
      </c>
    </row>
    <row r="179">
      <c r="A179" s="49">
        <f>IF(Mitarbeiter!B179="","",Mitarbeiter!A179)</f>
        <v/>
      </c>
      <c r="B179" s="50">
        <f>IF(Mitarbeiter!B179="","",Mitarbeiter!B179)</f>
        <v/>
      </c>
      <c r="C179" s="7">
        <f>IF(Mitarbeiter!B179="","",Mitarbeiter!G179)</f>
        <v/>
      </c>
      <c r="D179" s="58">
        <f>IF(Mitarbeiter!B179="","",Mitarbeiter!H179)</f>
        <v/>
      </c>
      <c r="E179" s="58">
        <f>IF(Mitarbeiter!B179="","",'Ist-Stunden'!O179)</f>
        <v/>
      </c>
      <c r="F179" s="58">
        <f>IF(B179="","",Krankheitstage!AE179)</f>
        <v/>
      </c>
      <c r="G179" s="62">
        <f>IF(B179="","",Krankheitstage!P179)</f>
        <v/>
      </c>
      <c r="H179" s="62">
        <f>IF(B179="","",Krankheitstage!AC179)</f>
        <v/>
      </c>
      <c r="I179" s="62">
        <f>IF(B179="","",Krankheitstage!AD179)</f>
        <v/>
      </c>
      <c r="J179" s="36">
        <f>IF(B179="","",SUMPRODUCT(((Krankheitstage!D179:O179+Krankheitstage!Q179:AB179)&gt;0)*1))</f>
        <v/>
      </c>
      <c r="K179" s="63">
        <f>IF(B179="","",IF(N(D179)&gt;0,F179/D179,""))</f>
        <v/>
      </c>
      <c r="L179" s="40">
        <f>IF(B179="","",IF(N(E179)&gt;0,IF(Einstellungen!$C$10="Ja",F179/E179,F179/(E179+F179)),""))</f>
        <v/>
      </c>
      <c r="M179" s="64">
        <f>IF(L179="","",RANK(L179,$L$6:$L$205,0))</f>
        <v/>
      </c>
      <c r="N179" s="57">
        <f>IF(B179="","",IF(L179="","keine Ist-Std.",IF(L179&lt;=Einstellungen!$C$7,"unauffällig",IF(L179&lt;=Einstellungen!$C$8,"auffällig","kritisch"))))</f>
        <v/>
      </c>
      <c r="O179" s="65">
        <f>IF(L179="",-1,L179+ROW()/1000000000)</f>
        <v/>
      </c>
    </row>
    <row r="180">
      <c r="A180" s="49">
        <f>IF(Mitarbeiter!B180="","",Mitarbeiter!A180)</f>
        <v/>
      </c>
      <c r="B180" s="50">
        <f>IF(Mitarbeiter!B180="","",Mitarbeiter!B180)</f>
        <v/>
      </c>
      <c r="C180" s="7">
        <f>IF(Mitarbeiter!B180="","",Mitarbeiter!G180)</f>
        <v/>
      </c>
      <c r="D180" s="58">
        <f>IF(Mitarbeiter!B180="","",Mitarbeiter!H180)</f>
        <v/>
      </c>
      <c r="E180" s="58">
        <f>IF(Mitarbeiter!B180="","",'Ist-Stunden'!O180)</f>
        <v/>
      </c>
      <c r="F180" s="58">
        <f>IF(B180="","",Krankheitstage!AE180)</f>
        <v/>
      </c>
      <c r="G180" s="62">
        <f>IF(B180="","",Krankheitstage!P180)</f>
        <v/>
      </c>
      <c r="H180" s="62">
        <f>IF(B180="","",Krankheitstage!AC180)</f>
        <v/>
      </c>
      <c r="I180" s="62">
        <f>IF(B180="","",Krankheitstage!AD180)</f>
        <v/>
      </c>
      <c r="J180" s="36">
        <f>IF(B180="","",SUMPRODUCT(((Krankheitstage!D180:O180+Krankheitstage!Q180:AB180)&gt;0)*1))</f>
        <v/>
      </c>
      <c r="K180" s="63">
        <f>IF(B180="","",IF(N(D180)&gt;0,F180/D180,""))</f>
        <v/>
      </c>
      <c r="L180" s="40">
        <f>IF(B180="","",IF(N(E180)&gt;0,IF(Einstellungen!$C$10="Ja",F180/E180,F180/(E180+F180)),""))</f>
        <v/>
      </c>
      <c r="M180" s="64">
        <f>IF(L180="","",RANK(L180,$L$6:$L$205,0))</f>
        <v/>
      </c>
      <c r="N180" s="57">
        <f>IF(B180="","",IF(L180="","keine Ist-Std.",IF(L180&lt;=Einstellungen!$C$7,"unauffällig",IF(L180&lt;=Einstellungen!$C$8,"auffällig","kritisch"))))</f>
        <v/>
      </c>
      <c r="O180" s="65">
        <f>IF(L180="",-1,L180+ROW()/1000000000)</f>
        <v/>
      </c>
    </row>
    <row r="181">
      <c r="A181" s="49">
        <f>IF(Mitarbeiter!B181="","",Mitarbeiter!A181)</f>
        <v/>
      </c>
      <c r="B181" s="50">
        <f>IF(Mitarbeiter!B181="","",Mitarbeiter!B181)</f>
        <v/>
      </c>
      <c r="C181" s="7">
        <f>IF(Mitarbeiter!B181="","",Mitarbeiter!G181)</f>
        <v/>
      </c>
      <c r="D181" s="58">
        <f>IF(Mitarbeiter!B181="","",Mitarbeiter!H181)</f>
        <v/>
      </c>
      <c r="E181" s="58">
        <f>IF(Mitarbeiter!B181="","",'Ist-Stunden'!O181)</f>
        <v/>
      </c>
      <c r="F181" s="58">
        <f>IF(B181="","",Krankheitstage!AE181)</f>
        <v/>
      </c>
      <c r="G181" s="62">
        <f>IF(B181="","",Krankheitstage!P181)</f>
        <v/>
      </c>
      <c r="H181" s="62">
        <f>IF(B181="","",Krankheitstage!AC181)</f>
        <v/>
      </c>
      <c r="I181" s="62">
        <f>IF(B181="","",Krankheitstage!AD181)</f>
        <v/>
      </c>
      <c r="J181" s="36">
        <f>IF(B181="","",SUMPRODUCT(((Krankheitstage!D181:O181+Krankheitstage!Q181:AB181)&gt;0)*1))</f>
        <v/>
      </c>
      <c r="K181" s="63">
        <f>IF(B181="","",IF(N(D181)&gt;0,F181/D181,""))</f>
        <v/>
      </c>
      <c r="L181" s="40">
        <f>IF(B181="","",IF(N(E181)&gt;0,IF(Einstellungen!$C$10="Ja",F181/E181,F181/(E181+F181)),""))</f>
        <v/>
      </c>
      <c r="M181" s="64">
        <f>IF(L181="","",RANK(L181,$L$6:$L$205,0))</f>
        <v/>
      </c>
      <c r="N181" s="57">
        <f>IF(B181="","",IF(L181="","keine Ist-Std.",IF(L181&lt;=Einstellungen!$C$7,"unauffällig",IF(L181&lt;=Einstellungen!$C$8,"auffällig","kritisch"))))</f>
        <v/>
      </c>
      <c r="O181" s="65">
        <f>IF(L181="",-1,L181+ROW()/1000000000)</f>
        <v/>
      </c>
    </row>
    <row r="182">
      <c r="A182" s="49">
        <f>IF(Mitarbeiter!B182="","",Mitarbeiter!A182)</f>
        <v/>
      </c>
      <c r="B182" s="50">
        <f>IF(Mitarbeiter!B182="","",Mitarbeiter!B182)</f>
        <v/>
      </c>
      <c r="C182" s="7">
        <f>IF(Mitarbeiter!B182="","",Mitarbeiter!G182)</f>
        <v/>
      </c>
      <c r="D182" s="58">
        <f>IF(Mitarbeiter!B182="","",Mitarbeiter!H182)</f>
        <v/>
      </c>
      <c r="E182" s="58">
        <f>IF(Mitarbeiter!B182="","",'Ist-Stunden'!O182)</f>
        <v/>
      </c>
      <c r="F182" s="58">
        <f>IF(B182="","",Krankheitstage!AE182)</f>
        <v/>
      </c>
      <c r="G182" s="62">
        <f>IF(B182="","",Krankheitstage!P182)</f>
        <v/>
      </c>
      <c r="H182" s="62">
        <f>IF(B182="","",Krankheitstage!AC182)</f>
        <v/>
      </c>
      <c r="I182" s="62">
        <f>IF(B182="","",Krankheitstage!AD182)</f>
        <v/>
      </c>
      <c r="J182" s="36">
        <f>IF(B182="","",SUMPRODUCT(((Krankheitstage!D182:O182+Krankheitstage!Q182:AB182)&gt;0)*1))</f>
        <v/>
      </c>
      <c r="K182" s="63">
        <f>IF(B182="","",IF(N(D182)&gt;0,F182/D182,""))</f>
        <v/>
      </c>
      <c r="L182" s="40">
        <f>IF(B182="","",IF(N(E182)&gt;0,IF(Einstellungen!$C$10="Ja",F182/E182,F182/(E182+F182)),""))</f>
        <v/>
      </c>
      <c r="M182" s="64">
        <f>IF(L182="","",RANK(L182,$L$6:$L$205,0))</f>
        <v/>
      </c>
      <c r="N182" s="57">
        <f>IF(B182="","",IF(L182="","keine Ist-Std.",IF(L182&lt;=Einstellungen!$C$7,"unauffällig",IF(L182&lt;=Einstellungen!$C$8,"auffällig","kritisch"))))</f>
        <v/>
      </c>
      <c r="O182" s="65">
        <f>IF(L182="",-1,L182+ROW()/1000000000)</f>
        <v/>
      </c>
    </row>
    <row r="183">
      <c r="A183" s="49">
        <f>IF(Mitarbeiter!B183="","",Mitarbeiter!A183)</f>
        <v/>
      </c>
      <c r="B183" s="50">
        <f>IF(Mitarbeiter!B183="","",Mitarbeiter!B183)</f>
        <v/>
      </c>
      <c r="C183" s="7">
        <f>IF(Mitarbeiter!B183="","",Mitarbeiter!G183)</f>
        <v/>
      </c>
      <c r="D183" s="58">
        <f>IF(Mitarbeiter!B183="","",Mitarbeiter!H183)</f>
        <v/>
      </c>
      <c r="E183" s="58">
        <f>IF(Mitarbeiter!B183="","",'Ist-Stunden'!O183)</f>
        <v/>
      </c>
      <c r="F183" s="58">
        <f>IF(B183="","",Krankheitstage!AE183)</f>
        <v/>
      </c>
      <c r="G183" s="62">
        <f>IF(B183="","",Krankheitstage!P183)</f>
        <v/>
      </c>
      <c r="H183" s="62">
        <f>IF(B183="","",Krankheitstage!AC183)</f>
        <v/>
      </c>
      <c r="I183" s="62">
        <f>IF(B183="","",Krankheitstage!AD183)</f>
        <v/>
      </c>
      <c r="J183" s="36">
        <f>IF(B183="","",SUMPRODUCT(((Krankheitstage!D183:O183+Krankheitstage!Q183:AB183)&gt;0)*1))</f>
        <v/>
      </c>
      <c r="K183" s="63">
        <f>IF(B183="","",IF(N(D183)&gt;0,F183/D183,""))</f>
        <v/>
      </c>
      <c r="L183" s="40">
        <f>IF(B183="","",IF(N(E183)&gt;0,IF(Einstellungen!$C$10="Ja",F183/E183,F183/(E183+F183)),""))</f>
        <v/>
      </c>
      <c r="M183" s="64">
        <f>IF(L183="","",RANK(L183,$L$6:$L$205,0))</f>
        <v/>
      </c>
      <c r="N183" s="57">
        <f>IF(B183="","",IF(L183="","keine Ist-Std.",IF(L183&lt;=Einstellungen!$C$7,"unauffällig",IF(L183&lt;=Einstellungen!$C$8,"auffällig","kritisch"))))</f>
        <v/>
      </c>
      <c r="O183" s="65">
        <f>IF(L183="",-1,L183+ROW()/1000000000)</f>
        <v/>
      </c>
    </row>
    <row r="184">
      <c r="A184" s="49">
        <f>IF(Mitarbeiter!B184="","",Mitarbeiter!A184)</f>
        <v/>
      </c>
      <c r="B184" s="50">
        <f>IF(Mitarbeiter!B184="","",Mitarbeiter!B184)</f>
        <v/>
      </c>
      <c r="C184" s="7">
        <f>IF(Mitarbeiter!B184="","",Mitarbeiter!G184)</f>
        <v/>
      </c>
      <c r="D184" s="58">
        <f>IF(Mitarbeiter!B184="","",Mitarbeiter!H184)</f>
        <v/>
      </c>
      <c r="E184" s="58">
        <f>IF(Mitarbeiter!B184="","",'Ist-Stunden'!O184)</f>
        <v/>
      </c>
      <c r="F184" s="58">
        <f>IF(B184="","",Krankheitstage!AE184)</f>
        <v/>
      </c>
      <c r="G184" s="62">
        <f>IF(B184="","",Krankheitstage!P184)</f>
        <v/>
      </c>
      <c r="H184" s="62">
        <f>IF(B184="","",Krankheitstage!AC184)</f>
        <v/>
      </c>
      <c r="I184" s="62">
        <f>IF(B184="","",Krankheitstage!AD184)</f>
        <v/>
      </c>
      <c r="J184" s="36">
        <f>IF(B184="","",SUMPRODUCT(((Krankheitstage!D184:O184+Krankheitstage!Q184:AB184)&gt;0)*1))</f>
        <v/>
      </c>
      <c r="K184" s="63">
        <f>IF(B184="","",IF(N(D184)&gt;0,F184/D184,""))</f>
        <v/>
      </c>
      <c r="L184" s="40">
        <f>IF(B184="","",IF(N(E184)&gt;0,IF(Einstellungen!$C$10="Ja",F184/E184,F184/(E184+F184)),""))</f>
        <v/>
      </c>
      <c r="M184" s="64">
        <f>IF(L184="","",RANK(L184,$L$6:$L$205,0))</f>
        <v/>
      </c>
      <c r="N184" s="57">
        <f>IF(B184="","",IF(L184="","keine Ist-Std.",IF(L184&lt;=Einstellungen!$C$7,"unauffällig",IF(L184&lt;=Einstellungen!$C$8,"auffällig","kritisch"))))</f>
        <v/>
      </c>
      <c r="O184" s="65">
        <f>IF(L184="",-1,L184+ROW()/1000000000)</f>
        <v/>
      </c>
    </row>
    <row r="185">
      <c r="A185" s="49">
        <f>IF(Mitarbeiter!B185="","",Mitarbeiter!A185)</f>
        <v/>
      </c>
      <c r="B185" s="50">
        <f>IF(Mitarbeiter!B185="","",Mitarbeiter!B185)</f>
        <v/>
      </c>
      <c r="C185" s="7">
        <f>IF(Mitarbeiter!B185="","",Mitarbeiter!G185)</f>
        <v/>
      </c>
      <c r="D185" s="58">
        <f>IF(Mitarbeiter!B185="","",Mitarbeiter!H185)</f>
        <v/>
      </c>
      <c r="E185" s="58">
        <f>IF(Mitarbeiter!B185="","",'Ist-Stunden'!O185)</f>
        <v/>
      </c>
      <c r="F185" s="58">
        <f>IF(B185="","",Krankheitstage!AE185)</f>
        <v/>
      </c>
      <c r="G185" s="62">
        <f>IF(B185="","",Krankheitstage!P185)</f>
        <v/>
      </c>
      <c r="H185" s="62">
        <f>IF(B185="","",Krankheitstage!AC185)</f>
        <v/>
      </c>
      <c r="I185" s="62">
        <f>IF(B185="","",Krankheitstage!AD185)</f>
        <v/>
      </c>
      <c r="J185" s="36">
        <f>IF(B185="","",SUMPRODUCT(((Krankheitstage!D185:O185+Krankheitstage!Q185:AB185)&gt;0)*1))</f>
        <v/>
      </c>
      <c r="K185" s="63">
        <f>IF(B185="","",IF(N(D185)&gt;0,F185/D185,""))</f>
        <v/>
      </c>
      <c r="L185" s="40">
        <f>IF(B185="","",IF(N(E185)&gt;0,IF(Einstellungen!$C$10="Ja",F185/E185,F185/(E185+F185)),""))</f>
        <v/>
      </c>
      <c r="M185" s="64">
        <f>IF(L185="","",RANK(L185,$L$6:$L$205,0))</f>
        <v/>
      </c>
      <c r="N185" s="57">
        <f>IF(B185="","",IF(L185="","keine Ist-Std.",IF(L185&lt;=Einstellungen!$C$7,"unauffällig",IF(L185&lt;=Einstellungen!$C$8,"auffällig","kritisch"))))</f>
        <v/>
      </c>
      <c r="O185" s="65">
        <f>IF(L185="",-1,L185+ROW()/1000000000)</f>
        <v/>
      </c>
    </row>
    <row r="186">
      <c r="A186" s="49">
        <f>IF(Mitarbeiter!B186="","",Mitarbeiter!A186)</f>
        <v/>
      </c>
      <c r="B186" s="50">
        <f>IF(Mitarbeiter!B186="","",Mitarbeiter!B186)</f>
        <v/>
      </c>
      <c r="C186" s="7">
        <f>IF(Mitarbeiter!B186="","",Mitarbeiter!G186)</f>
        <v/>
      </c>
      <c r="D186" s="58">
        <f>IF(Mitarbeiter!B186="","",Mitarbeiter!H186)</f>
        <v/>
      </c>
      <c r="E186" s="58">
        <f>IF(Mitarbeiter!B186="","",'Ist-Stunden'!O186)</f>
        <v/>
      </c>
      <c r="F186" s="58">
        <f>IF(B186="","",Krankheitstage!AE186)</f>
        <v/>
      </c>
      <c r="G186" s="62">
        <f>IF(B186="","",Krankheitstage!P186)</f>
        <v/>
      </c>
      <c r="H186" s="62">
        <f>IF(B186="","",Krankheitstage!AC186)</f>
        <v/>
      </c>
      <c r="I186" s="62">
        <f>IF(B186="","",Krankheitstage!AD186)</f>
        <v/>
      </c>
      <c r="J186" s="36">
        <f>IF(B186="","",SUMPRODUCT(((Krankheitstage!D186:O186+Krankheitstage!Q186:AB186)&gt;0)*1))</f>
        <v/>
      </c>
      <c r="K186" s="63">
        <f>IF(B186="","",IF(N(D186)&gt;0,F186/D186,""))</f>
        <v/>
      </c>
      <c r="L186" s="40">
        <f>IF(B186="","",IF(N(E186)&gt;0,IF(Einstellungen!$C$10="Ja",F186/E186,F186/(E186+F186)),""))</f>
        <v/>
      </c>
      <c r="M186" s="64">
        <f>IF(L186="","",RANK(L186,$L$6:$L$205,0))</f>
        <v/>
      </c>
      <c r="N186" s="57">
        <f>IF(B186="","",IF(L186="","keine Ist-Std.",IF(L186&lt;=Einstellungen!$C$7,"unauffällig",IF(L186&lt;=Einstellungen!$C$8,"auffällig","kritisch"))))</f>
        <v/>
      </c>
      <c r="O186" s="65">
        <f>IF(L186="",-1,L186+ROW()/1000000000)</f>
        <v/>
      </c>
    </row>
    <row r="187">
      <c r="A187" s="49">
        <f>IF(Mitarbeiter!B187="","",Mitarbeiter!A187)</f>
        <v/>
      </c>
      <c r="B187" s="50">
        <f>IF(Mitarbeiter!B187="","",Mitarbeiter!B187)</f>
        <v/>
      </c>
      <c r="C187" s="7">
        <f>IF(Mitarbeiter!B187="","",Mitarbeiter!G187)</f>
        <v/>
      </c>
      <c r="D187" s="58">
        <f>IF(Mitarbeiter!B187="","",Mitarbeiter!H187)</f>
        <v/>
      </c>
      <c r="E187" s="58">
        <f>IF(Mitarbeiter!B187="","",'Ist-Stunden'!O187)</f>
        <v/>
      </c>
      <c r="F187" s="58">
        <f>IF(B187="","",Krankheitstage!AE187)</f>
        <v/>
      </c>
      <c r="G187" s="62">
        <f>IF(B187="","",Krankheitstage!P187)</f>
        <v/>
      </c>
      <c r="H187" s="62">
        <f>IF(B187="","",Krankheitstage!AC187)</f>
        <v/>
      </c>
      <c r="I187" s="62">
        <f>IF(B187="","",Krankheitstage!AD187)</f>
        <v/>
      </c>
      <c r="J187" s="36">
        <f>IF(B187="","",SUMPRODUCT(((Krankheitstage!D187:O187+Krankheitstage!Q187:AB187)&gt;0)*1))</f>
        <v/>
      </c>
      <c r="K187" s="63">
        <f>IF(B187="","",IF(N(D187)&gt;0,F187/D187,""))</f>
        <v/>
      </c>
      <c r="L187" s="40">
        <f>IF(B187="","",IF(N(E187)&gt;0,IF(Einstellungen!$C$10="Ja",F187/E187,F187/(E187+F187)),""))</f>
        <v/>
      </c>
      <c r="M187" s="64">
        <f>IF(L187="","",RANK(L187,$L$6:$L$205,0))</f>
        <v/>
      </c>
      <c r="N187" s="57">
        <f>IF(B187="","",IF(L187="","keine Ist-Std.",IF(L187&lt;=Einstellungen!$C$7,"unauffällig",IF(L187&lt;=Einstellungen!$C$8,"auffällig","kritisch"))))</f>
        <v/>
      </c>
      <c r="O187" s="65">
        <f>IF(L187="",-1,L187+ROW()/1000000000)</f>
        <v/>
      </c>
    </row>
    <row r="188">
      <c r="A188" s="49">
        <f>IF(Mitarbeiter!B188="","",Mitarbeiter!A188)</f>
        <v/>
      </c>
      <c r="B188" s="50">
        <f>IF(Mitarbeiter!B188="","",Mitarbeiter!B188)</f>
        <v/>
      </c>
      <c r="C188" s="7">
        <f>IF(Mitarbeiter!B188="","",Mitarbeiter!G188)</f>
        <v/>
      </c>
      <c r="D188" s="58">
        <f>IF(Mitarbeiter!B188="","",Mitarbeiter!H188)</f>
        <v/>
      </c>
      <c r="E188" s="58">
        <f>IF(Mitarbeiter!B188="","",'Ist-Stunden'!O188)</f>
        <v/>
      </c>
      <c r="F188" s="58">
        <f>IF(B188="","",Krankheitstage!AE188)</f>
        <v/>
      </c>
      <c r="G188" s="62">
        <f>IF(B188="","",Krankheitstage!P188)</f>
        <v/>
      </c>
      <c r="H188" s="62">
        <f>IF(B188="","",Krankheitstage!AC188)</f>
        <v/>
      </c>
      <c r="I188" s="62">
        <f>IF(B188="","",Krankheitstage!AD188)</f>
        <v/>
      </c>
      <c r="J188" s="36">
        <f>IF(B188="","",SUMPRODUCT(((Krankheitstage!D188:O188+Krankheitstage!Q188:AB188)&gt;0)*1))</f>
        <v/>
      </c>
      <c r="K188" s="63">
        <f>IF(B188="","",IF(N(D188)&gt;0,F188/D188,""))</f>
        <v/>
      </c>
      <c r="L188" s="40">
        <f>IF(B188="","",IF(N(E188)&gt;0,IF(Einstellungen!$C$10="Ja",F188/E188,F188/(E188+F188)),""))</f>
        <v/>
      </c>
      <c r="M188" s="64">
        <f>IF(L188="","",RANK(L188,$L$6:$L$205,0))</f>
        <v/>
      </c>
      <c r="N188" s="57">
        <f>IF(B188="","",IF(L188="","keine Ist-Std.",IF(L188&lt;=Einstellungen!$C$7,"unauffällig",IF(L188&lt;=Einstellungen!$C$8,"auffällig","kritisch"))))</f>
        <v/>
      </c>
      <c r="O188" s="65">
        <f>IF(L188="",-1,L188+ROW()/1000000000)</f>
        <v/>
      </c>
    </row>
    <row r="189">
      <c r="A189" s="49">
        <f>IF(Mitarbeiter!B189="","",Mitarbeiter!A189)</f>
        <v/>
      </c>
      <c r="B189" s="50">
        <f>IF(Mitarbeiter!B189="","",Mitarbeiter!B189)</f>
        <v/>
      </c>
      <c r="C189" s="7">
        <f>IF(Mitarbeiter!B189="","",Mitarbeiter!G189)</f>
        <v/>
      </c>
      <c r="D189" s="58">
        <f>IF(Mitarbeiter!B189="","",Mitarbeiter!H189)</f>
        <v/>
      </c>
      <c r="E189" s="58">
        <f>IF(Mitarbeiter!B189="","",'Ist-Stunden'!O189)</f>
        <v/>
      </c>
      <c r="F189" s="58">
        <f>IF(B189="","",Krankheitstage!AE189)</f>
        <v/>
      </c>
      <c r="G189" s="62">
        <f>IF(B189="","",Krankheitstage!P189)</f>
        <v/>
      </c>
      <c r="H189" s="62">
        <f>IF(B189="","",Krankheitstage!AC189)</f>
        <v/>
      </c>
      <c r="I189" s="62">
        <f>IF(B189="","",Krankheitstage!AD189)</f>
        <v/>
      </c>
      <c r="J189" s="36">
        <f>IF(B189="","",SUMPRODUCT(((Krankheitstage!D189:O189+Krankheitstage!Q189:AB189)&gt;0)*1))</f>
        <v/>
      </c>
      <c r="K189" s="63">
        <f>IF(B189="","",IF(N(D189)&gt;0,F189/D189,""))</f>
        <v/>
      </c>
      <c r="L189" s="40">
        <f>IF(B189="","",IF(N(E189)&gt;0,IF(Einstellungen!$C$10="Ja",F189/E189,F189/(E189+F189)),""))</f>
        <v/>
      </c>
      <c r="M189" s="64">
        <f>IF(L189="","",RANK(L189,$L$6:$L$205,0))</f>
        <v/>
      </c>
      <c r="N189" s="57">
        <f>IF(B189="","",IF(L189="","keine Ist-Std.",IF(L189&lt;=Einstellungen!$C$7,"unauffällig",IF(L189&lt;=Einstellungen!$C$8,"auffällig","kritisch"))))</f>
        <v/>
      </c>
      <c r="O189" s="65">
        <f>IF(L189="",-1,L189+ROW()/1000000000)</f>
        <v/>
      </c>
    </row>
    <row r="190">
      <c r="A190" s="49">
        <f>IF(Mitarbeiter!B190="","",Mitarbeiter!A190)</f>
        <v/>
      </c>
      <c r="B190" s="50">
        <f>IF(Mitarbeiter!B190="","",Mitarbeiter!B190)</f>
        <v/>
      </c>
      <c r="C190" s="7">
        <f>IF(Mitarbeiter!B190="","",Mitarbeiter!G190)</f>
        <v/>
      </c>
      <c r="D190" s="58">
        <f>IF(Mitarbeiter!B190="","",Mitarbeiter!H190)</f>
        <v/>
      </c>
      <c r="E190" s="58">
        <f>IF(Mitarbeiter!B190="","",'Ist-Stunden'!O190)</f>
        <v/>
      </c>
      <c r="F190" s="58">
        <f>IF(B190="","",Krankheitstage!AE190)</f>
        <v/>
      </c>
      <c r="G190" s="62">
        <f>IF(B190="","",Krankheitstage!P190)</f>
        <v/>
      </c>
      <c r="H190" s="62">
        <f>IF(B190="","",Krankheitstage!AC190)</f>
        <v/>
      </c>
      <c r="I190" s="62">
        <f>IF(B190="","",Krankheitstage!AD190)</f>
        <v/>
      </c>
      <c r="J190" s="36">
        <f>IF(B190="","",SUMPRODUCT(((Krankheitstage!D190:O190+Krankheitstage!Q190:AB190)&gt;0)*1))</f>
        <v/>
      </c>
      <c r="K190" s="63">
        <f>IF(B190="","",IF(N(D190)&gt;0,F190/D190,""))</f>
        <v/>
      </c>
      <c r="L190" s="40">
        <f>IF(B190="","",IF(N(E190)&gt;0,IF(Einstellungen!$C$10="Ja",F190/E190,F190/(E190+F190)),""))</f>
        <v/>
      </c>
      <c r="M190" s="64">
        <f>IF(L190="","",RANK(L190,$L$6:$L$205,0))</f>
        <v/>
      </c>
      <c r="N190" s="57">
        <f>IF(B190="","",IF(L190="","keine Ist-Std.",IF(L190&lt;=Einstellungen!$C$7,"unauffällig",IF(L190&lt;=Einstellungen!$C$8,"auffällig","kritisch"))))</f>
        <v/>
      </c>
      <c r="O190" s="65">
        <f>IF(L190="",-1,L190+ROW()/1000000000)</f>
        <v/>
      </c>
    </row>
    <row r="191">
      <c r="A191" s="49">
        <f>IF(Mitarbeiter!B191="","",Mitarbeiter!A191)</f>
        <v/>
      </c>
      <c r="B191" s="50">
        <f>IF(Mitarbeiter!B191="","",Mitarbeiter!B191)</f>
        <v/>
      </c>
      <c r="C191" s="7">
        <f>IF(Mitarbeiter!B191="","",Mitarbeiter!G191)</f>
        <v/>
      </c>
      <c r="D191" s="58">
        <f>IF(Mitarbeiter!B191="","",Mitarbeiter!H191)</f>
        <v/>
      </c>
      <c r="E191" s="58">
        <f>IF(Mitarbeiter!B191="","",'Ist-Stunden'!O191)</f>
        <v/>
      </c>
      <c r="F191" s="58">
        <f>IF(B191="","",Krankheitstage!AE191)</f>
        <v/>
      </c>
      <c r="G191" s="62">
        <f>IF(B191="","",Krankheitstage!P191)</f>
        <v/>
      </c>
      <c r="H191" s="62">
        <f>IF(B191="","",Krankheitstage!AC191)</f>
        <v/>
      </c>
      <c r="I191" s="62">
        <f>IF(B191="","",Krankheitstage!AD191)</f>
        <v/>
      </c>
      <c r="J191" s="36">
        <f>IF(B191="","",SUMPRODUCT(((Krankheitstage!D191:O191+Krankheitstage!Q191:AB191)&gt;0)*1))</f>
        <v/>
      </c>
      <c r="K191" s="63">
        <f>IF(B191="","",IF(N(D191)&gt;0,F191/D191,""))</f>
        <v/>
      </c>
      <c r="L191" s="40">
        <f>IF(B191="","",IF(N(E191)&gt;0,IF(Einstellungen!$C$10="Ja",F191/E191,F191/(E191+F191)),""))</f>
        <v/>
      </c>
      <c r="M191" s="64">
        <f>IF(L191="","",RANK(L191,$L$6:$L$205,0))</f>
        <v/>
      </c>
      <c r="N191" s="57">
        <f>IF(B191="","",IF(L191="","keine Ist-Std.",IF(L191&lt;=Einstellungen!$C$7,"unauffällig",IF(L191&lt;=Einstellungen!$C$8,"auffällig","kritisch"))))</f>
        <v/>
      </c>
      <c r="O191" s="65">
        <f>IF(L191="",-1,L191+ROW()/1000000000)</f>
        <v/>
      </c>
    </row>
    <row r="192">
      <c r="A192" s="49">
        <f>IF(Mitarbeiter!B192="","",Mitarbeiter!A192)</f>
        <v/>
      </c>
      <c r="B192" s="50">
        <f>IF(Mitarbeiter!B192="","",Mitarbeiter!B192)</f>
        <v/>
      </c>
      <c r="C192" s="7">
        <f>IF(Mitarbeiter!B192="","",Mitarbeiter!G192)</f>
        <v/>
      </c>
      <c r="D192" s="58">
        <f>IF(Mitarbeiter!B192="","",Mitarbeiter!H192)</f>
        <v/>
      </c>
      <c r="E192" s="58">
        <f>IF(Mitarbeiter!B192="","",'Ist-Stunden'!O192)</f>
        <v/>
      </c>
      <c r="F192" s="58">
        <f>IF(B192="","",Krankheitstage!AE192)</f>
        <v/>
      </c>
      <c r="G192" s="62">
        <f>IF(B192="","",Krankheitstage!P192)</f>
        <v/>
      </c>
      <c r="H192" s="62">
        <f>IF(B192="","",Krankheitstage!AC192)</f>
        <v/>
      </c>
      <c r="I192" s="62">
        <f>IF(B192="","",Krankheitstage!AD192)</f>
        <v/>
      </c>
      <c r="J192" s="36">
        <f>IF(B192="","",SUMPRODUCT(((Krankheitstage!D192:O192+Krankheitstage!Q192:AB192)&gt;0)*1))</f>
        <v/>
      </c>
      <c r="K192" s="63">
        <f>IF(B192="","",IF(N(D192)&gt;0,F192/D192,""))</f>
        <v/>
      </c>
      <c r="L192" s="40">
        <f>IF(B192="","",IF(N(E192)&gt;0,IF(Einstellungen!$C$10="Ja",F192/E192,F192/(E192+F192)),""))</f>
        <v/>
      </c>
      <c r="M192" s="64">
        <f>IF(L192="","",RANK(L192,$L$6:$L$205,0))</f>
        <v/>
      </c>
      <c r="N192" s="57">
        <f>IF(B192="","",IF(L192="","keine Ist-Std.",IF(L192&lt;=Einstellungen!$C$7,"unauffällig",IF(L192&lt;=Einstellungen!$C$8,"auffällig","kritisch"))))</f>
        <v/>
      </c>
      <c r="O192" s="65">
        <f>IF(L192="",-1,L192+ROW()/1000000000)</f>
        <v/>
      </c>
    </row>
    <row r="193">
      <c r="A193" s="49">
        <f>IF(Mitarbeiter!B193="","",Mitarbeiter!A193)</f>
        <v/>
      </c>
      <c r="B193" s="50">
        <f>IF(Mitarbeiter!B193="","",Mitarbeiter!B193)</f>
        <v/>
      </c>
      <c r="C193" s="7">
        <f>IF(Mitarbeiter!B193="","",Mitarbeiter!G193)</f>
        <v/>
      </c>
      <c r="D193" s="58">
        <f>IF(Mitarbeiter!B193="","",Mitarbeiter!H193)</f>
        <v/>
      </c>
      <c r="E193" s="58">
        <f>IF(Mitarbeiter!B193="","",'Ist-Stunden'!O193)</f>
        <v/>
      </c>
      <c r="F193" s="58">
        <f>IF(B193="","",Krankheitstage!AE193)</f>
        <v/>
      </c>
      <c r="G193" s="62">
        <f>IF(B193="","",Krankheitstage!P193)</f>
        <v/>
      </c>
      <c r="H193" s="62">
        <f>IF(B193="","",Krankheitstage!AC193)</f>
        <v/>
      </c>
      <c r="I193" s="62">
        <f>IF(B193="","",Krankheitstage!AD193)</f>
        <v/>
      </c>
      <c r="J193" s="36">
        <f>IF(B193="","",SUMPRODUCT(((Krankheitstage!D193:O193+Krankheitstage!Q193:AB193)&gt;0)*1))</f>
        <v/>
      </c>
      <c r="K193" s="63">
        <f>IF(B193="","",IF(N(D193)&gt;0,F193/D193,""))</f>
        <v/>
      </c>
      <c r="L193" s="40">
        <f>IF(B193="","",IF(N(E193)&gt;0,IF(Einstellungen!$C$10="Ja",F193/E193,F193/(E193+F193)),""))</f>
        <v/>
      </c>
      <c r="M193" s="64">
        <f>IF(L193="","",RANK(L193,$L$6:$L$205,0))</f>
        <v/>
      </c>
      <c r="N193" s="57">
        <f>IF(B193="","",IF(L193="","keine Ist-Std.",IF(L193&lt;=Einstellungen!$C$7,"unauffällig",IF(L193&lt;=Einstellungen!$C$8,"auffällig","kritisch"))))</f>
        <v/>
      </c>
      <c r="O193" s="65">
        <f>IF(L193="",-1,L193+ROW()/1000000000)</f>
        <v/>
      </c>
    </row>
    <row r="194">
      <c r="A194" s="49">
        <f>IF(Mitarbeiter!B194="","",Mitarbeiter!A194)</f>
        <v/>
      </c>
      <c r="B194" s="50">
        <f>IF(Mitarbeiter!B194="","",Mitarbeiter!B194)</f>
        <v/>
      </c>
      <c r="C194" s="7">
        <f>IF(Mitarbeiter!B194="","",Mitarbeiter!G194)</f>
        <v/>
      </c>
      <c r="D194" s="58">
        <f>IF(Mitarbeiter!B194="","",Mitarbeiter!H194)</f>
        <v/>
      </c>
      <c r="E194" s="58">
        <f>IF(Mitarbeiter!B194="","",'Ist-Stunden'!O194)</f>
        <v/>
      </c>
      <c r="F194" s="58">
        <f>IF(B194="","",Krankheitstage!AE194)</f>
        <v/>
      </c>
      <c r="G194" s="62">
        <f>IF(B194="","",Krankheitstage!P194)</f>
        <v/>
      </c>
      <c r="H194" s="62">
        <f>IF(B194="","",Krankheitstage!AC194)</f>
        <v/>
      </c>
      <c r="I194" s="62">
        <f>IF(B194="","",Krankheitstage!AD194)</f>
        <v/>
      </c>
      <c r="J194" s="36">
        <f>IF(B194="","",SUMPRODUCT(((Krankheitstage!D194:O194+Krankheitstage!Q194:AB194)&gt;0)*1))</f>
        <v/>
      </c>
      <c r="K194" s="63">
        <f>IF(B194="","",IF(N(D194)&gt;0,F194/D194,""))</f>
        <v/>
      </c>
      <c r="L194" s="40">
        <f>IF(B194="","",IF(N(E194)&gt;0,IF(Einstellungen!$C$10="Ja",F194/E194,F194/(E194+F194)),""))</f>
        <v/>
      </c>
      <c r="M194" s="64">
        <f>IF(L194="","",RANK(L194,$L$6:$L$205,0))</f>
        <v/>
      </c>
      <c r="N194" s="57">
        <f>IF(B194="","",IF(L194="","keine Ist-Std.",IF(L194&lt;=Einstellungen!$C$7,"unauffällig",IF(L194&lt;=Einstellungen!$C$8,"auffällig","kritisch"))))</f>
        <v/>
      </c>
      <c r="O194" s="65">
        <f>IF(L194="",-1,L194+ROW()/1000000000)</f>
        <v/>
      </c>
    </row>
    <row r="195">
      <c r="A195" s="49">
        <f>IF(Mitarbeiter!B195="","",Mitarbeiter!A195)</f>
        <v/>
      </c>
      <c r="B195" s="50">
        <f>IF(Mitarbeiter!B195="","",Mitarbeiter!B195)</f>
        <v/>
      </c>
      <c r="C195" s="7">
        <f>IF(Mitarbeiter!B195="","",Mitarbeiter!G195)</f>
        <v/>
      </c>
      <c r="D195" s="58">
        <f>IF(Mitarbeiter!B195="","",Mitarbeiter!H195)</f>
        <v/>
      </c>
      <c r="E195" s="58">
        <f>IF(Mitarbeiter!B195="","",'Ist-Stunden'!O195)</f>
        <v/>
      </c>
      <c r="F195" s="58">
        <f>IF(B195="","",Krankheitstage!AE195)</f>
        <v/>
      </c>
      <c r="G195" s="62">
        <f>IF(B195="","",Krankheitstage!P195)</f>
        <v/>
      </c>
      <c r="H195" s="62">
        <f>IF(B195="","",Krankheitstage!AC195)</f>
        <v/>
      </c>
      <c r="I195" s="62">
        <f>IF(B195="","",Krankheitstage!AD195)</f>
        <v/>
      </c>
      <c r="J195" s="36">
        <f>IF(B195="","",SUMPRODUCT(((Krankheitstage!D195:O195+Krankheitstage!Q195:AB195)&gt;0)*1))</f>
        <v/>
      </c>
      <c r="K195" s="63">
        <f>IF(B195="","",IF(N(D195)&gt;0,F195/D195,""))</f>
        <v/>
      </c>
      <c r="L195" s="40">
        <f>IF(B195="","",IF(N(E195)&gt;0,IF(Einstellungen!$C$10="Ja",F195/E195,F195/(E195+F195)),""))</f>
        <v/>
      </c>
      <c r="M195" s="64">
        <f>IF(L195="","",RANK(L195,$L$6:$L$205,0))</f>
        <v/>
      </c>
      <c r="N195" s="57">
        <f>IF(B195="","",IF(L195="","keine Ist-Std.",IF(L195&lt;=Einstellungen!$C$7,"unauffällig",IF(L195&lt;=Einstellungen!$C$8,"auffällig","kritisch"))))</f>
        <v/>
      </c>
      <c r="O195" s="65">
        <f>IF(L195="",-1,L195+ROW()/1000000000)</f>
        <v/>
      </c>
    </row>
    <row r="196">
      <c r="A196" s="49">
        <f>IF(Mitarbeiter!B196="","",Mitarbeiter!A196)</f>
        <v/>
      </c>
      <c r="B196" s="50">
        <f>IF(Mitarbeiter!B196="","",Mitarbeiter!B196)</f>
        <v/>
      </c>
      <c r="C196" s="7">
        <f>IF(Mitarbeiter!B196="","",Mitarbeiter!G196)</f>
        <v/>
      </c>
      <c r="D196" s="58">
        <f>IF(Mitarbeiter!B196="","",Mitarbeiter!H196)</f>
        <v/>
      </c>
      <c r="E196" s="58">
        <f>IF(Mitarbeiter!B196="","",'Ist-Stunden'!O196)</f>
        <v/>
      </c>
      <c r="F196" s="58">
        <f>IF(B196="","",Krankheitstage!AE196)</f>
        <v/>
      </c>
      <c r="G196" s="62">
        <f>IF(B196="","",Krankheitstage!P196)</f>
        <v/>
      </c>
      <c r="H196" s="62">
        <f>IF(B196="","",Krankheitstage!AC196)</f>
        <v/>
      </c>
      <c r="I196" s="62">
        <f>IF(B196="","",Krankheitstage!AD196)</f>
        <v/>
      </c>
      <c r="J196" s="36">
        <f>IF(B196="","",SUMPRODUCT(((Krankheitstage!D196:O196+Krankheitstage!Q196:AB196)&gt;0)*1))</f>
        <v/>
      </c>
      <c r="K196" s="63">
        <f>IF(B196="","",IF(N(D196)&gt;0,F196/D196,""))</f>
        <v/>
      </c>
      <c r="L196" s="40">
        <f>IF(B196="","",IF(N(E196)&gt;0,IF(Einstellungen!$C$10="Ja",F196/E196,F196/(E196+F196)),""))</f>
        <v/>
      </c>
      <c r="M196" s="64">
        <f>IF(L196="","",RANK(L196,$L$6:$L$205,0))</f>
        <v/>
      </c>
      <c r="N196" s="57">
        <f>IF(B196="","",IF(L196="","keine Ist-Std.",IF(L196&lt;=Einstellungen!$C$7,"unauffällig",IF(L196&lt;=Einstellungen!$C$8,"auffällig","kritisch"))))</f>
        <v/>
      </c>
      <c r="O196" s="65">
        <f>IF(L196="",-1,L196+ROW()/1000000000)</f>
        <v/>
      </c>
    </row>
    <row r="197">
      <c r="A197" s="49">
        <f>IF(Mitarbeiter!B197="","",Mitarbeiter!A197)</f>
        <v/>
      </c>
      <c r="B197" s="50">
        <f>IF(Mitarbeiter!B197="","",Mitarbeiter!B197)</f>
        <v/>
      </c>
      <c r="C197" s="7">
        <f>IF(Mitarbeiter!B197="","",Mitarbeiter!G197)</f>
        <v/>
      </c>
      <c r="D197" s="58">
        <f>IF(Mitarbeiter!B197="","",Mitarbeiter!H197)</f>
        <v/>
      </c>
      <c r="E197" s="58">
        <f>IF(Mitarbeiter!B197="","",'Ist-Stunden'!O197)</f>
        <v/>
      </c>
      <c r="F197" s="58">
        <f>IF(B197="","",Krankheitstage!AE197)</f>
        <v/>
      </c>
      <c r="G197" s="62">
        <f>IF(B197="","",Krankheitstage!P197)</f>
        <v/>
      </c>
      <c r="H197" s="62">
        <f>IF(B197="","",Krankheitstage!AC197)</f>
        <v/>
      </c>
      <c r="I197" s="62">
        <f>IF(B197="","",Krankheitstage!AD197)</f>
        <v/>
      </c>
      <c r="J197" s="36">
        <f>IF(B197="","",SUMPRODUCT(((Krankheitstage!D197:O197+Krankheitstage!Q197:AB197)&gt;0)*1))</f>
        <v/>
      </c>
      <c r="K197" s="63">
        <f>IF(B197="","",IF(N(D197)&gt;0,F197/D197,""))</f>
        <v/>
      </c>
      <c r="L197" s="40">
        <f>IF(B197="","",IF(N(E197)&gt;0,IF(Einstellungen!$C$10="Ja",F197/E197,F197/(E197+F197)),""))</f>
        <v/>
      </c>
      <c r="M197" s="64">
        <f>IF(L197="","",RANK(L197,$L$6:$L$205,0))</f>
        <v/>
      </c>
      <c r="N197" s="57">
        <f>IF(B197="","",IF(L197="","keine Ist-Std.",IF(L197&lt;=Einstellungen!$C$7,"unauffällig",IF(L197&lt;=Einstellungen!$C$8,"auffällig","kritisch"))))</f>
        <v/>
      </c>
      <c r="O197" s="65">
        <f>IF(L197="",-1,L197+ROW()/1000000000)</f>
        <v/>
      </c>
    </row>
    <row r="198">
      <c r="A198" s="49">
        <f>IF(Mitarbeiter!B198="","",Mitarbeiter!A198)</f>
        <v/>
      </c>
      <c r="B198" s="50">
        <f>IF(Mitarbeiter!B198="","",Mitarbeiter!B198)</f>
        <v/>
      </c>
      <c r="C198" s="7">
        <f>IF(Mitarbeiter!B198="","",Mitarbeiter!G198)</f>
        <v/>
      </c>
      <c r="D198" s="58">
        <f>IF(Mitarbeiter!B198="","",Mitarbeiter!H198)</f>
        <v/>
      </c>
      <c r="E198" s="58">
        <f>IF(Mitarbeiter!B198="","",'Ist-Stunden'!O198)</f>
        <v/>
      </c>
      <c r="F198" s="58">
        <f>IF(B198="","",Krankheitstage!AE198)</f>
        <v/>
      </c>
      <c r="G198" s="62">
        <f>IF(B198="","",Krankheitstage!P198)</f>
        <v/>
      </c>
      <c r="H198" s="62">
        <f>IF(B198="","",Krankheitstage!AC198)</f>
        <v/>
      </c>
      <c r="I198" s="62">
        <f>IF(B198="","",Krankheitstage!AD198)</f>
        <v/>
      </c>
      <c r="J198" s="36">
        <f>IF(B198="","",SUMPRODUCT(((Krankheitstage!D198:O198+Krankheitstage!Q198:AB198)&gt;0)*1))</f>
        <v/>
      </c>
      <c r="K198" s="63">
        <f>IF(B198="","",IF(N(D198)&gt;0,F198/D198,""))</f>
        <v/>
      </c>
      <c r="L198" s="40">
        <f>IF(B198="","",IF(N(E198)&gt;0,IF(Einstellungen!$C$10="Ja",F198/E198,F198/(E198+F198)),""))</f>
        <v/>
      </c>
      <c r="M198" s="64">
        <f>IF(L198="","",RANK(L198,$L$6:$L$205,0))</f>
        <v/>
      </c>
      <c r="N198" s="57">
        <f>IF(B198="","",IF(L198="","keine Ist-Std.",IF(L198&lt;=Einstellungen!$C$7,"unauffällig",IF(L198&lt;=Einstellungen!$C$8,"auffällig","kritisch"))))</f>
        <v/>
      </c>
      <c r="O198" s="65">
        <f>IF(L198="",-1,L198+ROW()/1000000000)</f>
        <v/>
      </c>
    </row>
    <row r="199">
      <c r="A199" s="49">
        <f>IF(Mitarbeiter!B199="","",Mitarbeiter!A199)</f>
        <v/>
      </c>
      <c r="B199" s="50">
        <f>IF(Mitarbeiter!B199="","",Mitarbeiter!B199)</f>
        <v/>
      </c>
      <c r="C199" s="7">
        <f>IF(Mitarbeiter!B199="","",Mitarbeiter!G199)</f>
        <v/>
      </c>
      <c r="D199" s="58">
        <f>IF(Mitarbeiter!B199="","",Mitarbeiter!H199)</f>
        <v/>
      </c>
      <c r="E199" s="58">
        <f>IF(Mitarbeiter!B199="","",'Ist-Stunden'!O199)</f>
        <v/>
      </c>
      <c r="F199" s="58">
        <f>IF(B199="","",Krankheitstage!AE199)</f>
        <v/>
      </c>
      <c r="G199" s="62">
        <f>IF(B199="","",Krankheitstage!P199)</f>
        <v/>
      </c>
      <c r="H199" s="62">
        <f>IF(B199="","",Krankheitstage!AC199)</f>
        <v/>
      </c>
      <c r="I199" s="62">
        <f>IF(B199="","",Krankheitstage!AD199)</f>
        <v/>
      </c>
      <c r="J199" s="36">
        <f>IF(B199="","",SUMPRODUCT(((Krankheitstage!D199:O199+Krankheitstage!Q199:AB199)&gt;0)*1))</f>
        <v/>
      </c>
      <c r="K199" s="63">
        <f>IF(B199="","",IF(N(D199)&gt;0,F199/D199,""))</f>
        <v/>
      </c>
      <c r="L199" s="40">
        <f>IF(B199="","",IF(N(E199)&gt;0,IF(Einstellungen!$C$10="Ja",F199/E199,F199/(E199+F199)),""))</f>
        <v/>
      </c>
      <c r="M199" s="64">
        <f>IF(L199="","",RANK(L199,$L$6:$L$205,0))</f>
        <v/>
      </c>
      <c r="N199" s="57">
        <f>IF(B199="","",IF(L199="","keine Ist-Std.",IF(L199&lt;=Einstellungen!$C$7,"unauffällig",IF(L199&lt;=Einstellungen!$C$8,"auffällig","kritisch"))))</f>
        <v/>
      </c>
      <c r="O199" s="65">
        <f>IF(L199="",-1,L199+ROW()/1000000000)</f>
        <v/>
      </c>
    </row>
    <row r="200">
      <c r="A200" s="49">
        <f>IF(Mitarbeiter!B200="","",Mitarbeiter!A200)</f>
        <v/>
      </c>
      <c r="B200" s="50">
        <f>IF(Mitarbeiter!B200="","",Mitarbeiter!B200)</f>
        <v/>
      </c>
      <c r="C200" s="7">
        <f>IF(Mitarbeiter!B200="","",Mitarbeiter!G200)</f>
        <v/>
      </c>
      <c r="D200" s="58">
        <f>IF(Mitarbeiter!B200="","",Mitarbeiter!H200)</f>
        <v/>
      </c>
      <c r="E200" s="58">
        <f>IF(Mitarbeiter!B200="","",'Ist-Stunden'!O200)</f>
        <v/>
      </c>
      <c r="F200" s="58">
        <f>IF(B200="","",Krankheitstage!AE200)</f>
        <v/>
      </c>
      <c r="G200" s="62">
        <f>IF(B200="","",Krankheitstage!P200)</f>
        <v/>
      </c>
      <c r="H200" s="62">
        <f>IF(B200="","",Krankheitstage!AC200)</f>
        <v/>
      </c>
      <c r="I200" s="62">
        <f>IF(B200="","",Krankheitstage!AD200)</f>
        <v/>
      </c>
      <c r="J200" s="36">
        <f>IF(B200="","",SUMPRODUCT(((Krankheitstage!D200:O200+Krankheitstage!Q200:AB200)&gt;0)*1))</f>
        <v/>
      </c>
      <c r="K200" s="63">
        <f>IF(B200="","",IF(N(D200)&gt;0,F200/D200,""))</f>
        <v/>
      </c>
      <c r="L200" s="40">
        <f>IF(B200="","",IF(N(E200)&gt;0,IF(Einstellungen!$C$10="Ja",F200/E200,F200/(E200+F200)),""))</f>
        <v/>
      </c>
      <c r="M200" s="64">
        <f>IF(L200="","",RANK(L200,$L$6:$L$205,0))</f>
        <v/>
      </c>
      <c r="N200" s="57">
        <f>IF(B200="","",IF(L200="","keine Ist-Std.",IF(L200&lt;=Einstellungen!$C$7,"unauffällig",IF(L200&lt;=Einstellungen!$C$8,"auffällig","kritisch"))))</f>
        <v/>
      </c>
      <c r="O200" s="65">
        <f>IF(L200="",-1,L200+ROW()/1000000000)</f>
        <v/>
      </c>
    </row>
    <row r="201">
      <c r="A201" s="49">
        <f>IF(Mitarbeiter!B201="","",Mitarbeiter!A201)</f>
        <v/>
      </c>
      <c r="B201" s="50">
        <f>IF(Mitarbeiter!B201="","",Mitarbeiter!B201)</f>
        <v/>
      </c>
      <c r="C201" s="7">
        <f>IF(Mitarbeiter!B201="","",Mitarbeiter!G201)</f>
        <v/>
      </c>
      <c r="D201" s="58">
        <f>IF(Mitarbeiter!B201="","",Mitarbeiter!H201)</f>
        <v/>
      </c>
      <c r="E201" s="58">
        <f>IF(Mitarbeiter!B201="","",'Ist-Stunden'!O201)</f>
        <v/>
      </c>
      <c r="F201" s="58">
        <f>IF(B201="","",Krankheitstage!AE201)</f>
        <v/>
      </c>
      <c r="G201" s="62">
        <f>IF(B201="","",Krankheitstage!P201)</f>
        <v/>
      </c>
      <c r="H201" s="62">
        <f>IF(B201="","",Krankheitstage!AC201)</f>
        <v/>
      </c>
      <c r="I201" s="62">
        <f>IF(B201="","",Krankheitstage!AD201)</f>
        <v/>
      </c>
      <c r="J201" s="36">
        <f>IF(B201="","",SUMPRODUCT(((Krankheitstage!D201:O201+Krankheitstage!Q201:AB201)&gt;0)*1))</f>
        <v/>
      </c>
      <c r="K201" s="63">
        <f>IF(B201="","",IF(N(D201)&gt;0,F201/D201,""))</f>
        <v/>
      </c>
      <c r="L201" s="40">
        <f>IF(B201="","",IF(N(E201)&gt;0,IF(Einstellungen!$C$10="Ja",F201/E201,F201/(E201+F201)),""))</f>
        <v/>
      </c>
      <c r="M201" s="64">
        <f>IF(L201="","",RANK(L201,$L$6:$L$205,0))</f>
        <v/>
      </c>
      <c r="N201" s="57">
        <f>IF(B201="","",IF(L201="","keine Ist-Std.",IF(L201&lt;=Einstellungen!$C$7,"unauffällig",IF(L201&lt;=Einstellungen!$C$8,"auffällig","kritisch"))))</f>
        <v/>
      </c>
      <c r="O201" s="65">
        <f>IF(L201="",-1,L201+ROW()/1000000000)</f>
        <v/>
      </c>
    </row>
    <row r="202">
      <c r="A202" s="49">
        <f>IF(Mitarbeiter!B202="","",Mitarbeiter!A202)</f>
        <v/>
      </c>
      <c r="B202" s="50">
        <f>IF(Mitarbeiter!B202="","",Mitarbeiter!B202)</f>
        <v/>
      </c>
      <c r="C202" s="7">
        <f>IF(Mitarbeiter!B202="","",Mitarbeiter!G202)</f>
        <v/>
      </c>
      <c r="D202" s="58">
        <f>IF(Mitarbeiter!B202="","",Mitarbeiter!H202)</f>
        <v/>
      </c>
      <c r="E202" s="58">
        <f>IF(Mitarbeiter!B202="","",'Ist-Stunden'!O202)</f>
        <v/>
      </c>
      <c r="F202" s="58">
        <f>IF(B202="","",Krankheitstage!AE202)</f>
        <v/>
      </c>
      <c r="G202" s="62">
        <f>IF(B202="","",Krankheitstage!P202)</f>
        <v/>
      </c>
      <c r="H202" s="62">
        <f>IF(B202="","",Krankheitstage!AC202)</f>
        <v/>
      </c>
      <c r="I202" s="62">
        <f>IF(B202="","",Krankheitstage!AD202)</f>
        <v/>
      </c>
      <c r="J202" s="36">
        <f>IF(B202="","",SUMPRODUCT(((Krankheitstage!D202:O202+Krankheitstage!Q202:AB202)&gt;0)*1))</f>
        <v/>
      </c>
      <c r="K202" s="63">
        <f>IF(B202="","",IF(N(D202)&gt;0,F202/D202,""))</f>
        <v/>
      </c>
      <c r="L202" s="40">
        <f>IF(B202="","",IF(N(E202)&gt;0,IF(Einstellungen!$C$10="Ja",F202/E202,F202/(E202+F202)),""))</f>
        <v/>
      </c>
      <c r="M202" s="64">
        <f>IF(L202="","",RANK(L202,$L$6:$L$205,0))</f>
        <v/>
      </c>
      <c r="N202" s="57">
        <f>IF(B202="","",IF(L202="","keine Ist-Std.",IF(L202&lt;=Einstellungen!$C$7,"unauffällig",IF(L202&lt;=Einstellungen!$C$8,"auffällig","kritisch"))))</f>
        <v/>
      </c>
      <c r="O202" s="65">
        <f>IF(L202="",-1,L202+ROW()/1000000000)</f>
        <v/>
      </c>
    </row>
    <row r="203">
      <c r="A203" s="49">
        <f>IF(Mitarbeiter!B203="","",Mitarbeiter!A203)</f>
        <v/>
      </c>
      <c r="B203" s="50">
        <f>IF(Mitarbeiter!B203="","",Mitarbeiter!B203)</f>
        <v/>
      </c>
      <c r="C203" s="7">
        <f>IF(Mitarbeiter!B203="","",Mitarbeiter!G203)</f>
        <v/>
      </c>
      <c r="D203" s="58">
        <f>IF(Mitarbeiter!B203="","",Mitarbeiter!H203)</f>
        <v/>
      </c>
      <c r="E203" s="58">
        <f>IF(Mitarbeiter!B203="","",'Ist-Stunden'!O203)</f>
        <v/>
      </c>
      <c r="F203" s="58">
        <f>IF(B203="","",Krankheitstage!AE203)</f>
        <v/>
      </c>
      <c r="G203" s="62">
        <f>IF(B203="","",Krankheitstage!P203)</f>
        <v/>
      </c>
      <c r="H203" s="62">
        <f>IF(B203="","",Krankheitstage!AC203)</f>
        <v/>
      </c>
      <c r="I203" s="62">
        <f>IF(B203="","",Krankheitstage!AD203)</f>
        <v/>
      </c>
      <c r="J203" s="36">
        <f>IF(B203="","",SUMPRODUCT(((Krankheitstage!D203:O203+Krankheitstage!Q203:AB203)&gt;0)*1))</f>
        <v/>
      </c>
      <c r="K203" s="63">
        <f>IF(B203="","",IF(N(D203)&gt;0,F203/D203,""))</f>
        <v/>
      </c>
      <c r="L203" s="40">
        <f>IF(B203="","",IF(N(E203)&gt;0,IF(Einstellungen!$C$10="Ja",F203/E203,F203/(E203+F203)),""))</f>
        <v/>
      </c>
      <c r="M203" s="64">
        <f>IF(L203="","",RANK(L203,$L$6:$L$205,0))</f>
        <v/>
      </c>
      <c r="N203" s="57">
        <f>IF(B203="","",IF(L203="","keine Ist-Std.",IF(L203&lt;=Einstellungen!$C$7,"unauffällig",IF(L203&lt;=Einstellungen!$C$8,"auffällig","kritisch"))))</f>
        <v/>
      </c>
      <c r="O203" s="65">
        <f>IF(L203="",-1,L203+ROW()/1000000000)</f>
        <v/>
      </c>
    </row>
    <row r="204">
      <c r="A204" s="49">
        <f>IF(Mitarbeiter!B204="","",Mitarbeiter!A204)</f>
        <v/>
      </c>
      <c r="B204" s="50">
        <f>IF(Mitarbeiter!B204="","",Mitarbeiter!B204)</f>
        <v/>
      </c>
      <c r="C204" s="7">
        <f>IF(Mitarbeiter!B204="","",Mitarbeiter!G204)</f>
        <v/>
      </c>
      <c r="D204" s="58">
        <f>IF(Mitarbeiter!B204="","",Mitarbeiter!H204)</f>
        <v/>
      </c>
      <c r="E204" s="58">
        <f>IF(Mitarbeiter!B204="","",'Ist-Stunden'!O204)</f>
        <v/>
      </c>
      <c r="F204" s="58">
        <f>IF(B204="","",Krankheitstage!AE204)</f>
        <v/>
      </c>
      <c r="G204" s="62">
        <f>IF(B204="","",Krankheitstage!P204)</f>
        <v/>
      </c>
      <c r="H204" s="62">
        <f>IF(B204="","",Krankheitstage!AC204)</f>
        <v/>
      </c>
      <c r="I204" s="62">
        <f>IF(B204="","",Krankheitstage!AD204)</f>
        <v/>
      </c>
      <c r="J204" s="36">
        <f>IF(B204="","",SUMPRODUCT(((Krankheitstage!D204:O204+Krankheitstage!Q204:AB204)&gt;0)*1))</f>
        <v/>
      </c>
      <c r="K204" s="63">
        <f>IF(B204="","",IF(N(D204)&gt;0,F204/D204,""))</f>
        <v/>
      </c>
      <c r="L204" s="40">
        <f>IF(B204="","",IF(N(E204)&gt;0,IF(Einstellungen!$C$10="Ja",F204/E204,F204/(E204+F204)),""))</f>
        <v/>
      </c>
      <c r="M204" s="64">
        <f>IF(L204="","",RANK(L204,$L$6:$L$205,0))</f>
        <v/>
      </c>
      <c r="N204" s="57">
        <f>IF(B204="","",IF(L204="","keine Ist-Std.",IF(L204&lt;=Einstellungen!$C$7,"unauffällig",IF(L204&lt;=Einstellungen!$C$8,"auffällig","kritisch"))))</f>
        <v/>
      </c>
      <c r="O204" s="65">
        <f>IF(L204="",-1,L204+ROW()/1000000000)</f>
        <v/>
      </c>
    </row>
    <row r="205">
      <c r="A205" s="49">
        <f>IF(Mitarbeiter!B205="","",Mitarbeiter!A205)</f>
        <v/>
      </c>
      <c r="B205" s="50">
        <f>IF(Mitarbeiter!B205="","",Mitarbeiter!B205)</f>
        <v/>
      </c>
      <c r="C205" s="7">
        <f>IF(Mitarbeiter!B205="","",Mitarbeiter!G205)</f>
        <v/>
      </c>
      <c r="D205" s="58">
        <f>IF(Mitarbeiter!B205="","",Mitarbeiter!H205)</f>
        <v/>
      </c>
      <c r="E205" s="58">
        <f>IF(Mitarbeiter!B205="","",'Ist-Stunden'!O205)</f>
        <v/>
      </c>
      <c r="F205" s="58">
        <f>IF(B205="","",Krankheitstage!AE205)</f>
        <v/>
      </c>
      <c r="G205" s="62">
        <f>IF(B205="","",Krankheitstage!P205)</f>
        <v/>
      </c>
      <c r="H205" s="62">
        <f>IF(B205="","",Krankheitstage!AC205)</f>
        <v/>
      </c>
      <c r="I205" s="62">
        <f>IF(B205="","",Krankheitstage!AD205)</f>
        <v/>
      </c>
      <c r="J205" s="36">
        <f>IF(B205="","",SUMPRODUCT(((Krankheitstage!D205:O205+Krankheitstage!Q205:AB205)&gt;0)*1))</f>
        <v/>
      </c>
      <c r="K205" s="63">
        <f>IF(B205="","",IF(N(D205)&gt;0,F205/D205,""))</f>
        <v/>
      </c>
      <c r="L205" s="40">
        <f>IF(B205="","",IF(N(E205)&gt;0,IF(Einstellungen!$C$10="Ja",F205/E205,F205/(E205+F205)),""))</f>
        <v/>
      </c>
      <c r="M205" s="64">
        <f>IF(L205="","",RANK(L205,$L$6:$L$205,0))</f>
        <v/>
      </c>
      <c r="N205" s="57">
        <f>IF(B205="","",IF(L205="","keine Ist-Std.",IF(L205&lt;=Einstellungen!$C$7,"unauffällig",IF(L205&lt;=Einstellungen!$C$8,"auffällig","kritisch"))))</f>
        <v/>
      </c>
      <c r="O205" s="65">
        <f>IF(L205="",-1,L205+ROW()/1000000000)</f>
        <v/>
      </c>
    </row>
  </sheetData>
  <mergeCells count="1">
    <mergeCell ref="A2:O2"/>
  </mergeCells>
  <conditionalFormatting sqref="N6:N205">
    <cfRule type="cellIs" priority="1" operator="equal" dxfId="6">
      <formula>"unauffällig"</formula>
    </cfRule>
    <cfRule type="cellIs" priority="2" operator="equal" dxfId="7">
      <formula>"auffällig"</formula>
    </cfRule>
    <cfRule type="cellIs" priority="3" operator="equal" dxfId="3">
      <formula>"kritisch"</formula>
    </cfRule>
    <cfRule type="cellIs" priority="4" operator="equal" dxfId="8">
      <formula>"keine Ist-Std."</formula>
    </cfRule>
  </conditionalFormatting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N10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1" customWidth="1" min="2" max="2"/>
    <col width="11" customWidth="1" min="3" max="3"/>
    <col width="10" customWidth="1" min="4" max="4"/>
    <col width="10" customWidth="1" min="5" max="5"/>
    <col width="9" customWidth="1" min="6" max="6"/>
    <col width="11" customWidth="1" min="7" max="7"/>
    <col width="10" customWidth="1" min="8" max="8"/>
    <col width="11" customWidth="1" min="9" max="9"/>
    <col width="10" customWidth="1" min="10" max="10"/>
  </cols>
  <sheetData>
    <row r="1">
      <c r="A1" s="1" t="inlineStr">
        <is>
          <t>Auswertung der Objekte – Auswertungsjahr</t>
        </is>
      </c>
      <c r="N1" s="12" t="inlineStr">
        <is>
          <t>→ Erklärung</t>
        </is>
      </c>
    </row>
    <row r="2" ht="28" customHeight="1">
      <c r="A2" s="13" t="inlineStr">
        <is>
          <t>Jahreswerte aus „Krankenquote Objekte“.</t>
        </is>
      </c>
    </row>
    <row r="4" ht="30" customHeight="1">
      <c r="A4" s="21" t="inlineStr">
        <is>
          <t>Objekt</t>
        </is>
      </c>
      <c r="B4" s="21" t="inlineStr">
        <is>
          <t>Gesamt-
stunden</t>
        </is>
      </c>
      <c r="C4" s="21" t="inlineStr">
        <is>
          <t>Krank-
stunden</t>
        </is>
      </c>
      <c r="D4" s="21" t="inlineStr">
        <is>
          <t>Kranken-
quote</t>
        </is>
      </c>
      <c r="E4" s="21" t="inlineStr">
        <is>
          <t>Anteil
Krankstd.</t>
        </is>
      </c>
      <c r="F4" s="21" t="inlineStr">
        <is>
          <t>Krank-
tage</t>
        </is>
      </c>
      <c r="G4" s="21" t="inlineStr">
        <is>
          <t>Ø Tage je
kranken MA</t>
        </is>
      </c>
      <c r="H4" s="21" t="inlineStr">
        <is>
          <t>Kranke MA</t>
        </is>
      </c>
      <c r="I4" s="21" t="inlineStr">
        <is>
          <t>Abw. zur
Gesamtquote</t>
        </is>
      </c>
      <c r="J4" s="21" t="inlineStr">
        <is>
          <t>Ausfall
VZ-Stellen</t>
        </is>
      </c>
    </row>
    <row r="5">
      <c r="A5" s="45">
        <f>Einstellungen!$C$4</f>
        <v/>
      </c>
      <c r="B5" s="62">
        <f>'Krankenquote Objekte'!B18</f>
        <v/>
      </c>
      <c r="C5" s="62">
        <f>'Krankenquote Objekte'!C18</f>
        <v/>
      </c>
      <c r="D5" s="67">
        <f>'Krankenquote Objekte'!D18</f>
        <v/>
      </c>
      <c r="E5" s="68">
        <f>IF($C$7&gt;0,C5/$C$7,0)</f>
        <v/>
      </c>
      <c r="F5" s="62">
        <f>'Krankenquote Objekte'!E18</f>
        <v/>
      </c>
      <c r="G5" s="59">
        <f>IF(H5&gt;0,F5/H5,0)</f>
        <v/>
      </c>
      <c r="H5" s="62">
        <f>'Krankenquote Objekte'!F18</f>
        <v/>
      </c>
      <c r="I5" s="69">
        <f>D5-$D$7</f>
        <v/>
      </c>
      <c r="J5" s="70">
        <f>IF(Einstellungen!$C$6*Einstellungen!$C$25&gt;0,C5/(Einstellungen!$C$6/5*Einstellungen!$C$25),0)</f>
        <v/>
      </c>
    </row>
    <row r="6">
      <c r="A6" s="47">
        <f>Einstellungen!$C$5</f>
        <v/>
      </c>
      <c r="B6" s="62">
        <f>'Krankenquote Objekte'!G18</f>
        <v/>
      </c>
      <c r="C6" s="62">
        <f>'Krankenquote Objekte'!H18</f>
        <v/>
      </c>
      <c r="D6" s="67">
        <f>'Krankenquote Objekte'!I18</f>
        <v/>
      </c>
      <c r="E6" s="68">
        <f>IF($C$7&gt;0,C6/$C$7,0)</f>
        <v/>
      </c>
      <c r="F6" s="62">
        <f>'Krankenquote Objekte'!J18</f>
        <v/>
      </c>
      <c r="G6" s="59">
        <f>IF(H6&gt;0,F6/H6,0)</f>
        <v/>
      </c>
      <c r="H6" s="62">
        <f>'Krankenquote Objekte'!K18</f>
        <v/>
      </c>
      <c r="I6" s="69">
        <f>D6-$D$7</f>
        <v/>
      </c>
      <c r="J6" s="70">
        <f>IF(Einstellungen!$C$6*Einstellungen!$C$25&gt;0,C6/(Einstellungen!$C$6/5*Einstellungen!$C$25),0)</f>
        <v/>
      </c>
    </row>
    <row r="7">
      <c r="A7" s="42" t="inlineStr">
        <is>
          <t>Gesamt</t>
        </is>
      </c>
      <c r="B7" s="54">
        <f>SUM(B5:B6)</f>
        <v/>
      </c>
      <c r="C7" s="54">
        <f>SUM(C5:C6)</f>
        <v/>
      </c>
      <c r="D7" s="71">
        <f>'Krankenquote Objekte'!N18</f>
        <v/>
      </c>
      <c r="E7" s="71">
        <f>SUM(E5:E6)</f>
        <v/>
      </c>
      <c r="F7" s="54">
        <f>SUM(F5:F6)</f>
        <v/>
      </c>
      <c r="G7" s="43">
        <f>IF(H7&gt;0,F7/H7,0)</f>
        <v/>
      </c>
      <c r="H7" s="54">
        <f>'Krankenquote Objekte'!P18</f>
        <v/>
      </c>
      <c r="I7" s="42" t="n"/>
      <c r="J7" s="72">
        <f>SUM(J5:J6)</f>
        <v/>
      </c>
    </row>
    <row r="8">
      <c r="A8" s="16" t="inlineStr">
        <is>
          <t>Kranke MA gesamt zählt jede Person einmal (Springer können in beiden Objekten erscheinen). Ausfall VZ-Stellen = Krankstunden ÷ Jahres-Sollstunden einer Vollzeitkraft.</t>
        </is>
      </c>
    </row>
    <row r="10">
      <c r="A10" s="73" t="inlineStr">
        <is>
          <t>Objekt mit höchster Quote:</t>
        </is>
      </c>
      <c r="D10" s="73">
        <f>IF(D5&gt;=D6,A5,A6)</f>
        <v/>
      </c>
    </row>
  </sheetData>
  <mergeCells count="1">
    <mergeCell ref="A2:J2"/>
  </mergeCells>
  <hyperlinks>
    <hyperlink xmlns:r="http://schemas.openxmlformats.org/officeDocument/2006/relationships" ref="N1" r:id="rId1"/>
  </hyperlinks>
  <pageMargins left="0.75" right="0.75" top="1" bottom="1" header="0.5" footer="0.5"/>
  <drawing xmlns:r="http://schemas.openxmlformats.org/officeDocument/2006/relationships" r:id="rId2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T206"/>
  <sheetViews>
    <sheetView showGridLines="0"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4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8" customWidth="1" min="18" max="18"/>
    <col width="8" customWidth="1" min="19" max="19"/>
  </cols>
  <sheetData>
    <row r="1">
      <c r="A1" s="1" t="inlineStr">
        <is>
          <t>Krankstunden je Mitarbeiter und Monat</t>
        </is>
      </c>
      <c r="N1" s="12" t="inlineStr">
        <is>
          <t>→ Erklärung</t>
        </is>
      </c>
    </row>
    <row r="2" ht="28" customHeight="1">
      <c r="A2" s="13" t="inlineStr">
        <is>
          <t>Automatisch aus „Krankheitstage“ (beide Objekte). Rechts Ist-Stunden, Quote (Ist), Sollstunden, Quote (Soll).</t>
        </is>
      </c>
    </row>
    <row r="5" ht="30" customHeight="1">
      <c r="A5" s="21" t="inlineStr">
        <is>
          <t>Pers.-Nr.</t>
        </is>
      </c>
      <c r="B5" s="21" t="inlineStr">
        <is>
          <t>Name</t>
        </is>
      </c>
      <c r="C5" s="21" t="inlineStr">
        <is>
          <t>Jan</t>
        </is>
      </c>
      <c r="D5" s="21" t="inlineStr">
        <is>
          <t>Feb</t>
        </is>
      </c>
      <c r="E5" s="21" t="inlineStr">
        <is>
          <t>Mär</t>
        </is>
      </c>
      <c r="F5" s="21" t="inlineStr">
        <is>
          <t>Apr</t>
        </is>
      </c>
      <c r="G5" s="21" t="inlineStr">
        <is>
          <t>Mai</t>
        </is>
      </c>
      <c r="H5" s="21" t="inlineStr">
        <is>
          <t>Jun</t>
        </is>
      </c>
      <c r="I5" s="21" t="inlineStr">
        <is>
          <t>Jul</t>
        </is>
      </c>
      <c r="J5" s="21" t="inlineStr">
        <is>
          <t>Aug</t>
        </is>
      </c>
      <c r="K5" s="21" t="inlineStr">
        <is>
          <t>Sep</t>
        </is>
      </c>
      <c r="L5" s="21" t="inlineStr">
        <is>
          <t>Okt</t>
        </is>
      </c>
      <c r="M5" s="21" t="inlineStr">
        <is>
          <t>Nov</t>
        </is>
      </c>
      <c r="N5" s="21" t="inlineStr">
        <is>
          <t>Dez</t>
        </is>
      </c>
      <c r="O5" s="21" t="inlineStr">
        <is>
          <t>Summe</t>
        </is>
      </c>
      <c r="P5" s="21" t="inlineStr">
        <is>
          <t>Ist-
stunden</t>
        </is>
      </c>
      <c r="Q5" s="21" t="inlineStr">
        <is>
          <t>Quote
(Ist)</t>
        </is>
      </c>
      <c r="R5" s="21" t="inlineStr">
        <is>
          <t>Soll-
stunden</t>
        </is>
      </c>
      <c r="S5" s="21" t="inlineStr">
        <is>
          <t>Quote
(Soll)</t>
        </is>
      </c>
    </row>
    <row r="6">
      <c r="A6" s="49">
        <f>'KQuote Mitarbeiter'!A6</f>
        <v/>
      </c>
      <c r="B6" s="50">
        <f>'KQuote Mitarbeiter'!B6</f>
        <v/>
      </c>
      <c r="C6" s="59">
        <f>IF($B6="","",(N(Krankheitstage!D6)+N(Krankheitstage!Q6))*N(Krankheitstage!C6))</f>
        <v/>
      </c>
      <c r="D6" s="59">
        <f>IF($B6="","",(N(Krankheitstage!E6)+N(Krankheitstage!R6))*N(Krankheitstage!C6))</f>
        <v/>
      </c>
      <c r="E6" s="59">
        <f>IF($B6="","",(N(Krankheitstage!F6)+N(Krankheitstage!S6))*N(Krankheitstage!C6))</f>
        <v/>
      </c>
      <c r="F6" s="59">
        <f>IF($B6="","",(N(Krankheitstage!G6)+N(Krankheitstage!T6))*N(Krankheitstage!C6))</f>
        <v/>
      </c>
      <c r="G6" s="59">
        <f>IF($B6="","",(N(Krankheitstage!H6)+N(Krankheitstage!U6))*N(Krankheitstage!C6))</f>
        <v/>
      </c>
      <c r="H6" s="59">
        <f>IF($B6="","",(N(Krankheitstage!I6)+N(Krankheitstage!V6))*N(Krankheitstage!C6))</f>
        <v/>
      </c>
      <c r="I6" s="59">
        <f>IF($B6="","",(N(Krankheitstage!J6)+N(Krankheitstage!W6))*N(Krankheitstage!C6))</f>
        <v/>
      </c>
      <c r="J6" s="59">
        <f>IF($B6="","",(N(Krankheitstage!K6)+N(Krankheitstage!X6))*N(Krankheitstage!C6))</f>
        <v/>
      </c>
      <c r="K6" s="59">
        <f>IF($B6="","",(N(Krankheitstage!L6)+N(Krankheitstage!Y6))*N(Krankheitstage!C6))</f>
        <v/>
      </c>
      <c r="L6" s="59">
        <f>IF($B6="","",(N(Krankheitstage!M6)+N(Krankheitstage!Z6))*N(Krankheitstage!C6))</f>
        <v/>
      </c>
      <c r="M6" s="59">
        <f>IF($B6="","",(N(Krankheitstage!N6)+N(Krankheitstage!AA6))*N(Krankheitstage!C6))</f>
        <v/>
      </c>
      <c r="N6" s="59">
        <f>IF($B6="","",(N(Krankheitstage!O6)+N(Krankheitstage!AB6))*N(Krankheitstage!C6))</f>
        <v/>
      </c>
      <c r="O6" s="66">
        <f>IF($B6="","",SUM(C6:N6))</f>
        <v/>
      </c>
      <c r="P6" s="58">
        <f>'KQuote Mitarbeiter'!E6</f>
        <v/>
      </c>
      <c r="Q6" s="67">
        <f>'KQuote Mitarbeiter'!L6</f>
        <v/>
      </c>
      <c r="R6" s="58">
        <f>'KQuote Mitarbeiter'!D6</f>
        <v/>
      </c>
      <c r="S6" s="67">
        <f>'KQuote Mitarbeiter'!K6</f>
        <v/>
      </c>
    </row>
    <row r="7">
      <c r="A7" s="49">
        <f>'KQuote Mitarbeiter'!A7</f>
        <v/>
      </c>
      <c r="B7" s="50">
        <f>'KQuote Mitarbeiter'!B7</f>
        <v/>
      </c>
      <c r="C7" s="59">
        <f>IF($B7="","",(N(Krankheitstage!D7)+N(Krankheitstage!Q7))*N(Krankheitstage!C7))</f>
        <v/>
      </c>
      <c r="D7" s="59">
        <f>IF($B7="","",(N(Krankheitstage!E7)+N(Krankheitstage!R7))*N(Krankheitstage!C7))</f>
        <v/>
      </c>
      <c r="E7" s="59">
        <f>IF($B7="","",(N(Krankheitstage!F7)+N(Krankheitstage!S7))*N(Krankheitstage!C7))</f>
        <v/>
      </c>
      <c r="F7" s="59">
        <f>IF($B7="","",(N(Krankheitstage!G7)+N(Krankheitstage!T7))*N(Krankheitstage!C7))</f>
        <v/>
      </c>
      <c r="G7" s="59">
        <f>IF($B7="","",(N(Krankheitstage!H7)+N(Krankheitstage!U7))*N(Krankheitstage!C7))</f>
        <v/>
      </c>
      <c r="H7" s="59">
        <f>IF($B7="","",(N(Krankheitstage!I7)+N(Krankheitstage!V7))*N(Krankheitstage!C7))</f>
        <v/>
      </c>
      <c r="I7" s="59">
        <f>IF($B7="","",(N(Krankheitstage!J7)+N(Krankheitstage!W7))*N(Krankheitstage!C7))</f>
        <v/>
      </c>
      <c r="J7" s="59">
        <f>IF($B7="","",(N(Krankheitstage!K7)+N(Krankheitstage!X7))*N(Krankheitstage!C7))</f>
        <v/>
      </c>
      <c r="K7" s="59">
        <f>IF($B7="","",(N(Krankheitstage!L7)+N(Krankheitstage!Y7))*N(Krankheitstage!C7))</f>
        <v/>
      </c>
      <c r="L7" s="59">
        <f>IF($B7="","",(N(Krankheitstage!M7)+N(Krankheitstage!Z7))*N(Krankheitstage!C7))</f>
        <v/>
      </c>
      <c r="M7" s="59">
        <f>IF($B7="","",(N(Krankheitstage!N7)+N(Krankheitstage!AA7))*N(Krankheitstage!C7))</f>
        <v/>
      </c>
      <c r="N7" s="59">
        <f>IF($B7="","",(N(Krankheitstage!O7)+N(Krankheitstage!AB7))*N(Krankheitstage!C7))</f>
        <v/>
      </c>
      <c r="O7" s="66">
        <f>IF($B7="","",SUM(C7:N7))</f>
        <v/>
      </c>
      <c r="P7" s="58">
        <f>'KQuote Mitarbeiter'!E7</f>
        <v/>
      </c>
      <c r="Q7" s="67">
        <f>'KQuote Mitarbeiter'!L7</f>
        <v/>
      </c>
      <c r="R7" s="58">
        <f>'KQuote Mitarbeiter'!D7</f>
        <v/>
      </c>
      <c r="S7" s="67">
        <f>'KQuote Mitarbeiter'!K7</f>
        <v/>
      </c>
    </row>
    <row r="8">
      <c r="A8" s="49">
        <f>'KQuote Mitarbeiter'!A8</f>
        <v/>
      </c>
      <c r="B8" s="50">
        <f>'KQuote Mitarbeiter'!B8</f>
        <v/>
      </c>
      <c r="C8" s="59">
        <f>IF($B8="","",(N(Krankheitstage!D8)+N(Krankheitstage!Q8))*N(Krankheitstage!C8))</f>
        <v/>
      </c>
      <c r="D8" s="59">
        <f>IF($B8="","",(N(Krankheitstage!E8)+N(Krankheitstage!R8))*N(Krankheitstage!C8))</f>
        <v/>
      </c>
      <c r="E8" s="59">
        <f>IF($B8="","",(N(Krankheitstage!F8)+N(Krankheitstage!S8))*N(Krankheitstage!C8))</f>
        <v/>
      </c>
      <c r="F8" s="59">
        <f>IF($B8="","",(N(Krankheitstage!G8)+N(Krankheitstage!T8))*N(Krankheitstage!C8))</f>
        <v/>
      </c>
      <c r="G8" s="59">
        <f>IF($B8="","",(N(Krankheitstage!H8)+N(Krankheitstage!U8))*N(Krankheitstage!C8))</f>
        <v/>
      </c>
      <c r="H8" s="59">
        <f>IF($B8="","",(N(Krankheitstage!I8)+N(Krankheitstage!V8))*N(Krankheitstage!C8))</f>
        <v/>
      </c>
      <c r="I8" s="59">
        <f>IF($B8="","",(N(Krankheitstage!J8)+N(Krankheitstage!W8))*N(Krankheitstage!C8))</f>
        <v/>
      </c>
      <c r="J8" s="59">
        <f>IF($B8="","",(N(Krankheitstage!K8)+N(Krankheitstage!X8))*N(Krankheitstage!C8))</f>
        <v/>
      </c>
      <c r="K8" s="59">
        <f>IF($B8="","",(N(Krankheitstage!L8)+N(Krankheitstage!Y8))*N(Krankheitstage!C8))</f>
        <v/>
      </c>
      <c r="L8" s="59">
        <f>IF($B8="","",(N(Krankheitstage!M8)+N(Krankheitstage!Z8))*N(Krankheitstage!C8))</f>
        <v/>
      </c>
      <c r="M8" s="59">
        <f>IF($B8="","",(N(Krankheitstage!N8)+N(Krankheitstage!AA8))*N(Krankheitstage!C8))</f>
        <v/>
      </c>
      <c r="N8" s="59">
        <f>IF($B8="","",(N(Krankheitstage!O8)+N(Krankheitstage!AB8))*N(Krankheitstage!C8))</f>
        <v/>
      </c>
      <c r="O8" s="66">
        <f>IF($B8="","",SUM(C8:N8))</f>
        <v/>
      </c>
      <c r="P8" s="58">
        <f>'KQuote Mitarbeiter'!E8</f>
        <v/>
      </c>
      <c r="Q8" s="67">
        <f>'KQuote Mitarbeiter'!L8</f>
        <v/>
      </c>
      <c r="R8" s="58">
        <f>'KQuote Mitarbeiter'!D8</f>
        <v/>
      </c>
      <c r="S8" s="67">
        <f>'KQuote Mitarbeiter'!K8</f>
        <v/>
      </c>
    </row>
    <row r="9">
      <c r="A9" s="49">
        <f>'KQuote Mitarbeiter'!A9</f>
        <v/>
      </c>
      <c r="B9" s="50">
        <f>'KQuote Mitarbeiter'!B9</f>
        <v/>
      </c>
      <c r="C9" s="59">
        <f>IF($B9="","",(N(Krankheitstage!D9)+N(Krankheitstage!Q9))*N(Krankheitstage!C9))</f>
        <v/>
      </c>
      <c r="D9" s="59">
        <f>IF($B9="","",(N(Krankheitstage!E9)+N(Krankheitstage!R9))*N(Krankheitstage!C9))</f>
        <v/>
      </c>
      <c r="E9" s="59">
        <f>IF($B9="","",(N(Krankheitstage!F9)+N(Krankheitstage!S9))*N(Krankheitstage!C9))</f>
        <v/>
      </c>
      <c r="F9" s="59">
        <f>IF($B9="","",(N(Krankheitstage!G9)+N(Krankheitstage!T9))*N(Krankheitstage!C9))</f>
        <v/>
      </c>
      <c r="G9" s="59">
        <f>IF($B9="","",(N(Krankheitstage!H9)+N(Krankheitstage!U9))*N(Krankheitstage!C9))</f>
        <v/>
      </c>
      <c r="H9" s="59">
        <f>IF($B9="","",(N(Krankheitstage!I9)+N(Krankheitstage!V9))*N(Krankheitstage!C9))</f>
        <v/>
      </c>
      <c r="I9" s="59">
        <f>IF($B9="","",(N(Krankheitstage!J9)+N(Krankheitstage!W9))*N(Krankheitstage!C9))</f>
        <v/>
      </c>
      <c r="J9" s="59">
        <f>IF($B9="","",(N(Krankheitstage!K9)+N(Krankheitstage!X9))*N(Krankheitstage!C9))</f>
        <v/>
      </c>
      <c r="K9" s="59">
        <f>IF($B9="","",(N(Krankheitstage!L9)+N(Krankheitstage!Y9))*N(Krankheitstage!C9))</f>
        <v/>
      </c>
      <c r="L9" s="59">
        <f>IF($B9="","",(N(Krankheitstage!M9)+N(Krankheitstage!Z9))*N(Krankheitstage!C9))</f>
        <v/>
      </c>
      <c r="M9" s="59">
        <f>IF($B9="","",(N(Krankheitstage!N9)+N(Krankheitstage!AA9))*N(Krankheitstage!C9))</f>
        <v/>
      </c>
      <c r="N9" s="59">
        <f>IF($B9="","",(N(Krankheitstage!O9)+N(Krankheitstage!AB9))*N(Krankheitstage!C9))</f>
        <v/>
      </c>
      <c r="O9" s="66">
        <f>IF($B9="","",SUM(C9:N9))</f>
        <v/>
      </c>
      <c r="P9" s="58">
        <f>'KQuote Mitarbeiter'!E9</f>
        <v/>
      </c>
      <c r="Q9" s="67">
        <f>'KQuote Mitarbeiter'!L9</f>
        <v/>
      </c>
      <c r="R9" s="58">
        <f>'KQuote Mitarbeiter'!D9</f>
        <v/>
      </c>
      <c r="S9" s="67">
        <f>'KQuote Mitarbeiter'!K9</f>
        <v/>
      </c>
    </row>
    <row r="10">
      <c r="A10" s="49">
        <f>'KQuote Mitarbeiter'!A10</f>
        <v/>
      </c>
      <c r="B10" s="50">
        <f>'KQuote Mitarbeiter'!B10</f>
        <v/>
      </c>
      <c r="C10" s="59">
        <f>IF($B10="","",(N(Krankheitstage!D10)+N(Krankheitstage!Q10))*N(Krankheitstage!C10))</f>
        <v/>
      </c>
      <c r="D10" s="59">
        <f>IF($B10="","",(N(Krankheitstage!E10)+N(Krankheitstage!R10))*N(Krankheitstage!C10))</f>
        <v/>
      </c>
      <c r="E10" s="59">
        <f>IF($B10="","",(N(Krankheitstage!F10)+N(Krankheitstage!S10))*N(Krankheitstage!C10))</f>
        <v/>
      </c>
      <c r="F10" s="59">
        <f>IF($B10="","",(N(Krankheitstage!G10)+N(Krankheitstage!T10))*N(Krankheitstage!C10))</f>
        <v/>
      </c>
      <c r="G10" s="59">
        <f>IF($B10="","",(N(Krankheitstage!H10)+N(Krankheitstage!U10))*N(Krankheitstage!C10))</f>
        <v/>
      </c>
      <c r="H10" s="59">
        <f>IF($B10="","",(N(Krankheitstage!I10)+N(Krankheitstage!V10))*N(Krankheitstage!C10))</f>
        <v/>
      </c>
      <c r="I10" s="59">
        <f>IF($B10="","",(N(Krankheitstage!J10)+N(Krankheitstage!W10))*N(Krankheitstage!C10))</f>
        <v/>
      </c>
      <c r="J10" s="59">
        <f>IF($B10="","",(N(Krankheitstage!K10)+N(Krankheitstage!X10))*N(Krankheitstage!C10))</f>
        <v/>
      </c>
      <c r="K10" s="59">
        <f>IF($B10="","",(N(Krankheitstage!L10)+N(Krankheitstage!Y10))*N(Krankheitstage!C10))</f>
        <v/>
      </c>
      <c r="L10" s="59">
        <f>IF($B10="","",(N(Krankheitstage!M10)+N(Krankheitstage!Z10))*N(Krankheitstage!C10))</f>
        <v/>
      </c>
      <c r="M10" s="59">
        <f>IF($B10="","",(N(Krankheitstage!N10)+N(Krankheitstage!AA10))*N(Krankheitstage!C10))</f>
        <v/>
      </c>
      <c r="N10" s="59">
        <f>IF($B10="","",(N(Krankheitstage!O10)+N(Krankheitstage!AB10))*N(Krankheitstage!C10))</f>
        <v/>
      </c>
      <c r="O10" s="66">
        <f>IF($B10="","",SUM(C10:N10))</f>
        <v/>
      </c>
      <c r="P10" s="58">
        <f>'KQuote Mitarbeiter'!E10</f>
        <v/>
      </c>
      <c r="Q10" s="67">
        <f>'KQuote Mitarbeiter'!L10</f>
        <v/>
      </c>
      <c r="R10" s="58">
        <f>'KQuote Mitarbeiter'!D10</f>
        <v/>
      </c>
      <c r="S10" s="67">
        <f>'KQuote Mitarbeiter'!K10</f>
        <v/>
      </c>
    </row>
    <row r="11">
      <c r="A11" s="49">
        <f>'KQuote Mitarbeiter'!A11</f>
        <v/>
      </c>
      <c r="B11" s="50">
        <f>'KQuote Mitarbeiter'!B11</f>
        <v/>
      </c>
      <c r="C11" s="59">
        <f>IF($B11="","",(N(Krankheitstage!D11)+N(Krankheitstage!Q11))*N(Krankheitstage!C11))</f>
        <v/>
      </c>
      <c r="D11" s="59">
        <f>IF($B11="","",(N(Krankheitstage!E11)+N(Krankheitstage!R11))*N(Krankheitstage!C11))</f>
        <v/>
      </c>
      <c r="E11" s="59">
        <f>IF($B11="","",(N(Krankheitstage!F11)+N(Krankheitstage!S11))*N(Krankheitstage!C11))</f>
        <v/>
      </c>
      <c r="F11" s="59">
        <f>IF($B11="","",(N(Krankheitstage!G11)+N(Krankheitstage!T11))*N(Krankheitstage!C11))</f>
        <v/>
      </c>
      <c r="G11" s="59">
        <f>IF($B11="","",(N(Krankheitstage!H11)+N(Krankheitstage!U11))*N(Krankheitstage!C11))</f>
        <v/>
      </c>
      <c r="H11" s="59">
        <f>IF($B11="","",(N(Krankheitstage!I11)+N(Krankheitstage!V11))*N(Krankheitstage!C11))</f>
        <v/>
      </c>
      <c r="I11" s="59">
        <f>IF($B11="","",(N(Krankheitstage!J11)+N(Krankheitstage!W11))*N(Krankheitstage!C11))</f>
        <v/>
      </c>
      <c r="J11" s="59">
        <f>IF($B11="","",(N(Krankheitstage!K11)+N(Krankheitstage!X11))*N(Krankheitstage!C11))</f>
        <v/>
      </c>
      <c r="K11" s="59">
        <f>IF($B11="","",(N(Krankheitstage!L11)+N(Krankheitstage!Y11))*N(Krankheitstage!C11))</f>
        <v/>
      </c>
      <c r="L11" s="59">
        <f>IF($B11="","",(N(Krankheitstage!M11)+N(Krankheitstage!Z11))*N(Krankheitstage!C11))</f>
        <v/>
      </c>
      <c r="M11" s="59">
        <f>IF($B11="","",(N(Krankheitstage!N11)+N(Krankheitstage!AA11))*N(Krankheitstage!C11))</f>
        <v/>
      </c>
      <c r="N11" s="59">
        <f>IF($B11="","",(N(Krankheitstage!O11)+N(Krankheitstage!AB11))*N(Krankheitstage!C11))</f>
        <v/>
      </c>
      <c r="O11" s="66">
        <f>IF($B11="","",SUM(C11:N11))</f>
        <v/>
      </c>
      <c r="P11" s="58">
        <f>'KQuote Mitarbeiter'!E11</f>
        <v/>
      </c>
      <c r="Q11" s="67">
        <f>'KQuote Mitarbeiter'!L11</f>
        <v/>
      </c>
      <c r="R11" s="58">
        <f>'KQuote Mitarbeiter'!D11</f>
        <v/>
      </c>
      <c r="S11" s="67">
        <f>'KQuote Mitarbeiter'!K11</f>
        <v/>
      </c>
    </row>
    <row r="12">
      <c r="A12" s="49">
        <f>'KQuote Mitarbeiter'!A12</f>
        <v/>
      </c>
      <c r="B12" s="50">
        <f>'KQuote Mitarbeiter'!B12</f>
        <v/>
      </c>
      <c r="C12" s="59">
        <f>IF($B12="","",(N(Krankheitstage!D12)+N(Krankheitstage!Q12))*N(Krankheitstage!C12))</f>
        <v/>
      </c>
      <c r="D12" s="59">
        <f>IF($B12="","",(N(Krankheitstage!E12)+N(Krankheitstage!R12))*N(Krankheitstage!C12))</f>
        <v/>
      </c>
      <c r="E12" s="59">
        <f>IF($B12="","",(N(Krankheitstage!F12)+N(Krankheitstage!S12))*N(Krankheitstage!C12))</f>
        <v/>
      </c>
      <c r="F12" s="59">
        <f>IF($B12="","",(N(Krankheitstage!G12)+N(Krankheitstage!T12))*N(Krankheitstage!C12))</f>
        <v/>
      </c>
      <c r="G12" s="59">
        <f>IF($B12="","",(N(Krankheitstage!H12)+N(Krankheitstage!U12))*N(Krankheitstage!C12))</f>
        <v/>
      </c>
      <c r="H12" s="59">
        <f>IF($B12="","",(N(Krankheitstage!I12)+N(Krankheitstage!V12))*N(Krankheitstage!C12))</f>
        <v/>
      </c>
      <c r="I12" s="59">
        <f>IF($B12="","",(N(Krankheitstage!J12)+N(Krankheitstage!W12))*N(Krankheitstage!C12))</f>
        <v/>
      </c>
      <c r="J12" s="59">
        <f>IF($B12="","",(N(Krankheitstage!K12)+N(Krankheitstage!X12))*N(Krankheitstage!C12))</f>
        <v/>
      </c>
      <c r="K12" s="59">
        <f>IF($B12="","",(N(Krankheitstage!L12)+N(Krankheitstage!Y12))*N(Krankheitstage!C12))</f>
        <v/>
      </c>
      <c r="L12" s="59">
        <f>IF($B12="","",(N(Krankheitstage!M12)+N(Krankheitstage!Z12))*N(Krankheitstage!C12))</f>
        <v/>
      </c>
      <c r="M12" s="59">
        <f>IF($B12="","",(N(Krankheitstage!N12)+N(Krankheitstage!AA12))*N(Krankheitstage!C12))</f>
        <v/>
      </c>
      <c r="N12" s="59">
        <f>IF($B12="","",(N(Krankheitstage!O12)+N(Krankheitstage!AB12))*N(Krankheitstage!C12))</f>
        <v/>
      </c>
      <c r="O12" s="66">
        <f>IF($B12="","",SUM(C12:N12))</f>
        <v/>
      </c>
      <c r="P12" s="58">
        <f>'KQuote Mitarbeiter'!E12</f>
        <v/>
      </c>
      <c r="Q12" s="67">
        <f>'KQuote Mitarbeiter'!L12</f>
        <v/>
      </c>
      <c r="R12" s="58">
        <f>'KQuote Mitarbeiter'!D12</f>
        <v/>
      </c>
      <c r="S12" s="67">
        <f>'KQuote Mitarbeiter'!K12</f>
        <v/>
      </c>
    </row>
    <row r="13">
      <c r="A13" s="49">
        <f>'KQuote Mitarbeiter'!A13</f>
        <v/>
      </c>
      <c r="B13" s="50">
        <f>'KQuote Mitarbeiter'!B13</f>
        <v/>
      </c>
      <c r="C13" s="59">
        <f>IF($B13="","",(N(Krankheitstage!D13)+N(Krankheitstage!Q13))*N(Krankheitstage!C13))</f>
        <v/>
      </c>
      <c r="D13" s="59">
        <f>IF($B13="","",(N(Krankheitstage!E13)+N(Krankheitstage!R13))*N(Krankheitstage!C13))</f>
        <v/>
      </c>
      <c r="E13" s="59">
        <f>IF($B13="","",(N(Krankheitstage!F13)+N(Krankheitstage!S13))*N(Krankheitstage!C13))</f>
        <v/>
      </c>
      <c r="F13" s="59">
        <f>IF($B13="","",(N(Krankheitstage!G13)+N(Krankheitstage!T13))*N(Krankheitstage!C13))</f>
        <v/>
      </c>
      <c r="G13" s="59">
        <f>IF($B13="","",(N(Krankheitstage!H13)+N(Krankheitstage!U13))*N(Krankheitstage!C13))</f>
        <v/>
      </c>
      <c r="H13" s="59">
        <f>IF($B13="","",(N(Krankheitstage!I13)+N(Krankheitstage!V13))*N(Krankheitstage!C13))</f>
        <v/>
      </c>
      <c r="I13" s="59">
        <f>IF($B13="","",(N(Krankheitstage!J13)+N(Krankheitstage!W13))*N(Krankheitstage!C13))</f>
        <v/>
      </c>
      <c r="J13" s="59">
        <f>IF($B13="","",(N(Krankheitstage!K13)+N(Krankheitstage!X13))*N(Krankheitstage!C13))</f>
        <v/>
      </c>
      <c r="K13" s="59">
        <f>IF($B13="","",(N(Krankheitstage!L13)+N(Krankheitstage!Y13))*N(Krankheitstage!C13))</f>
        <v/>
      </c>
      <c r="L13" s="59">
        <f>IF($B13="","",(N(Krankheitstage!M13)+N(Krankheitstage!Z13))*N(Krankheitstage!C13))</f>
        <v/>
      </c>
      <c r="M13" s="59">
        <f>IF($B13="","",(N(Krankheitstage!N13)+N(Krankheitstage!AA13))*N(Krankheitstage!C13))</f>
        <v/>
      </c>
      <c r="N13" s="59">
        <f>IF($B13="","",(N(Krankheitstage!O13)+N(Krankheitstage!AB13))*N(Krankheitstage!C13))</f>
        <v/>
      </c>
      <c r="O13" s="66">
        <f>IF($B13="","",SUM(C13:N13))</f>
        <v/>
      </c>
      <c r="P13" s="58">
        <f>'KQuote Mitarbeiter'!E13</f>
        <v/>
      </c>
      <c r="Q13" s="67">
        <f>'KQuote Mitarbeiter'!L13</f>
        <v/>
      </c>
      <c r="R13" s="58">
        <f>'KQuote Mitarbeiter'!D13</f>
        <v/>
      </c>
      <c r="S13" s="67">
        <f>'KQuote Mitarbeiter'!K13</f>
        <v/>
      </c>
    </row>
    <row r="14">
      <c r="A14" s="49">
        <f>'KQuote Mitarbeiter'!A14</f>
        <v/>
      </c>
      <c r="B14" s="50">
        <f>'KQuote Mitarbeiter'!B14</f>
        <v/>
      </c>
      <c r="C14" s="59">
        <f>IF($B14="","",(N(Krankheitstage!D14)+N(Krankheitstage!Q14))*N(Krankheitstage!C14))</f>
        <v/>
      </c>
      <c r="D14" s="59">
        <f>IF($B14="","",(N(Krankheitstage!E14)+N(Krankheitstage!R14))*N(Krankheitstage!C14))</f>
        <v/>
      </c>
      <c r="E14" s="59">
        <f>IF($B14="","",(N(Krankheitstage!F14)+N(Krankheitstage!S14))*N(Krankheitstage!C14))</f>
        <v/>
      </c>
      <c r="F14" s="59">
        <f>IF($B14="","",(N(Krankheitstage!G14)+N(Krankheitstage!T14))*N(Krankheitstage!C14))</f>
        <v/>
      </c>
      <c r="G14" s="59">
        <f>IF($B14="","",(N(Krankheitstage!H14)+N(Krankheitstage!U14))*N(Krankheitstage!C14))</f>
        <v/>
      </c>
      <c r="H14" s="59">
        <f>IF($B14="","",(N(Krankheitstage!I14)+N(Krankheitstage!V14))*N(Krankheitstage!C14))</f>
        <v/>
      </c>
      <c r="I14" s="59">
        <f>IF($B14="","",(N(Krankheitstage!J14)+N(Krankheitstage!W14))*N(Krankheitstage!C14))</f>
        <v/>
      </c>
      <c r="J14" s="59">
        <f>IF($B14="","",(N(Krankheitstage!K14)+N(Krankheitstage!X14))*N(Krankheitstage!C14))</f>
        <v/>
      </c>
      <c r="K14" s="59">
        <f>IF($B14="","",(N(Krankheitstage!L14)+N(Krankheitstage!Y14))*N(Krankheitstage!C14))</f>
        <v/>
      </c>
      <c r="L14" s="59">
        <f>IF($B14="","",(N(Krankheitstage!M14)+N(Krankheitstage!Z14))*N(Krankheitstage!C14))</f>
        <v/>
      </c>
      <c r="M14" s="59">
        <f>IF($B14="","",(N(Krankheitstage!N14)+N(Krankheitstage!AA14))*N(Krankheitstage!C14))</f>
        <v/>
      </c>
      <c r="N14" s="59">
        <f>IF($B14="","",(N(Krankheitstage!O14)+N(Krankheitstage!AB14))*N(Krankheitstage!C14))</f>
        <v/>
      </c>
      <c r="O14" s="66">
        <f>IF($B14="","",SUM(C14:N14))</f>
        <v/>
      </c>
      <c r="P14" s="58">
        <f>'KQuote Mitarbeiter'!E14</f>
        <v/>
      </c>
      <c r="Q14" s="67">
        <f>'KQuote Mitarbeiter'!L14</f>
        <v/>
      </c>
      <c r="R14" s="58">
        <f>'KQuote Mitarbeiter'!D14</f>
        <v/>
      </c>
      <c r="S14" s="67">
        <f>'KQuote Mitarbeiter'!K14</f>
        <v/>
      </c>
    </row>
    <row r="15">
      <c r="A15" s="49">
        <f>'KQuote Mitarbeiter'!A15</f>
        <v/>
      </c>
      <c r="B15" s="50">
        <f>'KQuote Mitarbeiter'!B15</f>
        <v/>
      </c>
      <c r="C15" s="59">
        <f>IF($B15="","",(N(Krankheitstage!D15)+N(Krankheitstage!Q15))*N(Krankheitstage!C15))</f>
        <v/>
      </c>
      <c r="D15" s="59">
        <f>IF($B15="","",(N(Krankheitstage!E15)+N(Krankheitstage!R15))*N(Krankheitstage!C15))</f>
        <v/>
      </c>
      <c r="E15" s="59">
        <f>IF($B15="","",(N(Krankheitstage!F15)+N(Krankheitstage!S15))*N(Krankheitstage!C15))</f>
        <v/>
      </c>
      <c r="F15" s="59">
        <f>IF($B15="","",(N(Krankheitstage!G15)+N(Krankheitstage!T15))*N(Krankheitstage!C15))</f>
        <v/>
      </c>
      <c r="G15" s="59">
        <f>IF($B15="","",(N(Krankheitstage!H15)+N(Krankheitstage!U15))*N(Krankheitstage!C15))</f>
        <v/>
      </c>
      <c r="H15" s="59">
        <f>IF($B15="","",(N(Krankheitstage!I15)+N(Krankheitstage!V15))*N(Krankheitstage!C15))</f>
        <v/>
      </c>
      <c r="I15" s="59">
        <f>IF($B15="","",(N(Krankheitstage!J15)+N(Krankheitstage!W15))*N(Krankheitstage!C15))</f>
        <v/>
      </c>
      <c r="J15" s="59">
        <f>IF($B15="","",(N(Krankheitstage!K15)+N(Krankheitstage!X15))*N(Krankheitstage!C15))</f>
        <v/>
      </c>
      <c r="K15" s="59">
        <f>IF($B15="","",(N(Krankheitstage!L15)+N(Krankheitstage!Y15))*N(Krankheitstage!C15))</f>
        <v/>
      </c>
      <c r="L15" s="59">
        <f>IF($B15="","",(N(Krankheitstage!M15)+N(Krankheitstage!Z15))*N(Krankheitstage!C15))</f>
        <v/>
      </c>
      <c r="M15" s="59">
        <f>IF($B15="","",(N(Krankheitstage!N15)+N(Krankheitstage!AA15))*N(Krankheitstage!C15))</f>
        <v/>
      </c>
      <c r="N15" s="59">
        <f>IF($B15="","",(N(Krankheitstage!O15)+N(Krankheitstage!AB15))*N(Krankheitstage!C15))</f>
        <v/>
      </c>
      <c r="O15" s="66">
        <f>IF($B15="","",SUM(C15:N15))</f>
        <v/>
      </c>
      <c r="P15" s="58">
        <f>'KQuote Mitarbeiter'!E15</f>
        <v/>
      </c>
      <c r="Q15" s="67">
        <f>'KQuote Mitarbeiter'!L15</f>
        <v/>
      </c>
      <c r="R15" s="58">
        <f>'KQuote Mitarbeiter'!D15</f>
        <v/>
      </c>
      <c r="S15" s="67">
        <f>'KQuote Mitarbeiter'!K15</f>
        <v/>
      </c>
    </row>
    <row r="16">
      <c r="A16" s="49">
        <f>'KQuote Mitarbeiter'!A16</f>
        <v/>
      </c>
      <c r="B16" s="50">
        <f>'KQuote Mitarbeiter'!B16</f>
        <v/>
      </c>
      <c r="C16" s="59">
        <f>IF($B16="","",(N(Krankheitstage!D16)+N(Krankheitstage!Q16))*N(Krankheitstage!C16))</f>
        <v/>
      </c>
      <c r="D16" s="59">
        <f>IF($B16="","",(N(Krankheitstage!E16)+N(Krankheitstage!R16))*N(Krankheitstage!C16))</f>
        <v/>
      </c>
      <c r="E16" s="59">
        <f>IF($B16="","",(N(Krankheitstage!F16)+N(Krankheitstage!S16))*N(Krankheitstage!C16))</f>
        <v/>
      </c>
      <c r="F16" s="59">
        <f>IF($B16="","",(N(Krankheitstage!G16)+N(Krankheitstage!T16))*N(Krankheitstage!C16))</f>
        <v/>
      </c>
      <c r="G16" s="59">
        <f>IF($B16="","",(N(Krankheitstage!H16)+N(Krankheitstage!U16))*N(Krankheitstage!C16))</f>
        <v/>
      </c>
      <c r="H16" s="59">
        <f>IF($B16="","",(N(Krankheitstage!I16)+N(Krankheitstage!V16))*N(Krankheitstage!C16))</f>
        <v/>
      </c>
      <c r="I16" s="59">
        <f>IF($B16="","",(N(Krankheitstage!J16)+N(Krankheitstage!W16))*N(Krankheitstage!C16))</f>
        <v/>
      </c>
      <c r="J16" s="59">
        <f>IF($B16="","",(N(Krankheitstage!K16)+N(Krankheitstage!X16))*N(Krankheitstage!C16))</f>
        <v/>
      </c>
      <c r="K16" s="59">
        <f>IF($B16="","",(N(Krankheitstage!L16)+N(Krankheitstage!Y16))*N(Krankheitstage!C16))</f>
        <v/>
      </c>
      <c r="L16" s="59">
        <f>IF($B16="","",(N(Krankheitstage!M16)+N(Krankheitstage!Z16))*N(Krankheitstage!C16))</f>
        <v/>
      </c>
      <c r="M16" s="59">
        <f>IF($B16="","",(N(Krankheitstage!N16)+N(Krankheitstage!AA16))*N(Krankheitstage!C16))</f>
        <v/>
      </c>
      <c r="N16" s="59">
        <f>IF($B16="","",(N(Krankheitstage!O16)+N(Krankheitstage!AB16))*N(Krankheitstage!C16))</f>
        <v/>
      </c>
      <c r="O16" s="66">
        <f>IF($B16="","",SUM(C16:N16))</f>
        <v/>
      </c>
      <c r="P16" s="58">
        <f>'KQuote Mitarbeiter'!E16</f>
        <v/>
      </c>
      <c r="Q16" s="67">
        <f>'KQuote Mitarbeiter'!L16</f>
        <v/>
      </c>
      <c r="R16" s="58">
        <f>'KQuote Mitarbeiter'!D16</f>
        <v/>
      </c>
      <c r="S16" s="67">
        <f>'KQuote Mitarbeiter'!K16</f>
        <v/>
      </c>
    </row>
    <row r="17">
      <c r="A17" s="49">
        <f>'KQuote Mitarbeiter'!A17</f>
        <v/>
      </c>
      <c r="B17" s="50">
        <f>'KQuote Mitarbeiter'!B17</f>
        <v/>
      </c>
      <c r="C17" s="59">
        <f>IF($B17="","",(N(Krankheitstage!D17)+N(Krankheitstage!Q17))*N(Krankheitstage!C17))</f>
        <v/>
      </c>
      <c r="D17" s="59">
        <f>IF($B17="","",(N(Krankheitstage!E17)+N(Krankheitstage!R17))*N(Krankheitstage!C17))</f>
        <v/>
      </c>
      <c r="E17" s="59">
        <f>IF($B17="","",(N(Krankheitstage!F17)+N(Krankheitstage!S17))*N(Krankheitstage!C17))</f>
        <v/>
      </c>
      <c r="F17" s="59">
        <f>IF($B17="","",(N(Krankheitstage!G17)+N(Krankheitstage!T17))*N(Krankheitstage!C17))</f>
        <v/>
      </c>
      <c r="G17" s="59">
        <f>IF($B17="","",(N(Krankheitstage!H17)+N(Krankheitstage!U17))*N(Krankheitstage!C17))</f>
        <v/>
      </c>
      <c r="H17" s="59">
        <f>IF($B17="","",(N(Krankheitstage!I17)+N(Krankheitstage!V17))*N(Krankheitstage!C17))</f>
        <v/>
      </c>
      <c r="I17" s="59">
        <f>IF($B17="","",(N(Krankheitstage!J17)+N(Krankheitstage!W17))*N(Krankheitstage!C17))</f>
        <v/>
      </c>
      <c r="J17" s="59">
        <f>IF($B17="","",(N(Krankheitstage!K17)+N(Krankheitstage!X17))*N(Krankheitstage!C17))</f>
        <v/>
      </c>
      <c r="K17" s="59">
        <f>IF($B17="","",(N(Krankheitstage!L17)+N(Krankheitstage!Y17))*N(Krankheitstage!C17))</f>
        <v/>
      </c>
      <c r="L17" s="59">
        <f>IF($B17="","",(N(Krankheitstage!M17)+N(Krankheitstage!Z17))*N(Krankheitstage!C17))</f>
        <v/>
      </c>
      <c r="M17" s="59">
        <f>IF($B17="","",(N(Krankheitstage!N17)+N(Krankheitstage!AA17))*N(Krankheitstage!C17))</f>
        <v/>
      </c>
      <c r="N17" s="59">
        <f>IF($B17="","",(N(Krankheitstage!O17)+N(Krankheitstage!AB17))*N(Krankheitstage!C17))</f>
        <v/>
      </c>
      <c r="O17" s="66">
        <f>IF($B17="","",SUM(C17:N17))</f>
        <v/>
      </c>
      <c r="P17" s="58">
        <f>'KQuote Mitarbeiter'!E17</f>
        <v/>
      </c>
      <c r="Q17" s="67">
        <f>'KQuote Mitarbeiter'!L17</f>
        <v/>
      </c>
      <c r="R17" s="58">
        <f>'KQuote Mitarbeiter'!D17</f>
        <v/>
      </c>
      <c r="S17" s="67">
        <f>'KQuote Mitarbeiter'!K17</f>
        <v/>
      </c>
    </row>
    <row r="18">
      <c r="A18" s="49">
        <f>'KQuote Mitarbeiter'!A18</f>
        <v/>
      </c>
      <c r="B18" s="50">
        <f>'KQuote Mitarbeiter'!B18</f>
        <v/>
      </c>
      <c r="C18" s="59">
        <f>IF($B18="","",(N(Krankheitstage!D18)+N(Krankheitstage!Q18))*N(Krankheitstage!C18))</f>
        <v/>
      </c>
      <c r="D18" s="59">
        <f>IF($B18="","",(N(Krankheitstage!E18)+N(Krankheitstage!R18))*N(Krankheitstage!C18))</f>
        <v/>
      </c>
      <c r="E18" s="59">
        <f>IF($B18="","",(N(Krankheitstage!F18)+N(Krankheitstage!S18))*N(Krankheitstage!C18))</f>
        <v/>
      </c>
      <c r="F18" s="59">
        <f>IF($B18="","",(N(Krankheitstage!G18)+N(Krankheitstage!T18))*N(Krankheitstage!C18))</f>
        <v/>
      </c>
      <c r="G18" s="59">
        <f>IF($B18="","",(N(Krankheitstage!H18)+N(Krankheitstage!U18))*N(Krankheitstage!C18))</f>
        <v/>
      </c>
      <c r="H18" s="59">
        <f>IF($B18="","",(N(Krankheitstage!I18)+N(Krankheitstage!V18))*N(Krankheitstage!C18))</f>
        <v/>
      </c>
      <c r="I18" s="59">
        <f>IF($B18="","",(N(Krankheitstage!J18)+N(Krankheitstage!W18))*N(Krankheitstage!C18))</f>
        <v/>
      </c>
      <c r="J18" s="59">
        <f>IF($B18="","",(N(Krankheitstage!K18)+N(Krankheitstage!X18))*N(Krankheitstage!C18))</f>
        <v/>
      </c>
      <c r="K18" s="59">
        <f>IF($B18="","",(N(Krankheitstage!L18)+N(Krankheitstage!Y18))*N(Krankheitstage!C18))</f>
        <v/>
      </c>
      <c r="L18" s="59">
        <f>IF($B18="","",(N(Krankheitstage!M18)+N(Krankheitstage!Z18))*N(Krankheitstage!C18))</f>
        <v/>
      </c>
      <c r="M18" s="59">
        <f>IF($B18="","",(N(Krankheitstage!N18)+N(Krankheitstage!AA18))*N(Krankheitstage!C18))</f>
        <v/>
      </c>
      <c r="N18" s="59">
        <f>IF($B18="","",(N(Krankheitstage!O18)+N(Krankheitstage!AB18))*N(Krankheitstage!C18))</f>
        <v/>
      </c>
      <c r="O18" s="66">
        <f>IF($B18="","",SUM(C18:N18))</f>
        <v/>
      </c>
      <c r="P18" s="58">
        <f>'KQuote Mitarbeiter'!E18</f>
        <v/>
      </c>
      <c r="Q18" s="67">
        <f>'KQuote Mitarbeiter'!L18</f>
        <v/>
      </c>
      <c r="R18" s="58">
        <f>'KQuote Mitarbeiter'!D18</f>
        <v/>
      </c>
      <c r="S18" s="67">
        <f>'KQuote Mitarbeiter'!K18</f>
        <v/>
      </c>
    </row>
    <row r="19">
      <c r="A19" s="49">
        <f>'KQuote Mitarbeiter'!A19</f>
        <v/>
      </c>
      <c r="B19" s="50">
        <f>'KQuote Mitarbeiter'!B19</f>
        <v/>
      </c>
      <c r="C19" s="59">
        <f>IF($B19="","",(N(Krankheitstage!D19)+N(Krankheitstage!Q19))*N(Krankheitstage!C19))</f>
        <v/>
      </c>
      <c r="D19" s="59">
        <f>IF($B19="","",(N(Krankheitstage!E19)+N(Krankheitstage!R19))*N(Krankheitstage!C19))</f>
        <v/>
      </c>
      <c r="E19" s="59">
        <f>IF($B19="","",(N(Krankheitstage!F19)+N(Krankheitstage!S19))*N(Krankheitstage!C19))</f>
        <v/>
      </c>
      <c r="F19" s="59">
        <f>IF($B19="","",(N(Krankheitstage!G19)+N(Krankheitstage!T19))*N(Krankheitstage!C19))</f>
        <v/>
      </c>
      <c r="G19" s="59">
        <f>IF($B19="","",(N(Krankheitstage!H19)+N(Krankheitstage!U19))*N(Krankheitstage!C19))</f>
        <v/>
      </c>
      <c r="H19" s="59">
        <f>IF($B19="","",(N(Krankheitstage!I19)+N(Krankheitstage!V19))*N(Krankheitstage!C19))</f>
        <v/>
      </c>
      <c r="I19" s="59">
        <f>IF($B19="","",(N(Krankheitstage!J19)+N(Krankheitstage!W19))*N(Krankheitstage!C19))</f>
        <v/>
      </c>
      <c r="J19" s="59">
        <f>IF($B19="","",(N(Krankheitstage!K19)+N(Krankheitstage!X19))*N(Krankheitstage!C19))</f>
        <v/>
      </c>
      <c r="K19" s="59">
        <f>IF($B19="","",(N(Krankheitstage!L19)+N(Krankheitstage!Y19))*N(Krankheitstage!C19))</f>
        <v/>
      </c>
      <c r="L19" s="59">
        <f>IF($B19="","",(N(Krankheitstage!M19)+N(Krankheitstage!Z19))*N(Krankheitstage!C19))</f>
        <v/>
      </c>
      <c r="M19" s="59">
        <f>IF($B19="","",(N(Krankheitstage!N19)+N(Krankheitstage!AA19))*N(Krankheitstage!C19))</f>
        <v/>
      </c>
      <c r="N19" s="59">
        <f>IF($B19="","",(N(Krankheitstage!O19)+N(Krankheitstage!AB19))*N(Krankheitstage!C19))</f>
        <v/>
      </c>
      <c r="O19" s="66">
        <f>IF($B19="","",SUM(C19:N19))</f>
        <v/>
      </c>
      <c r="P19" s="58">
        <f>'KQuote Mitarbeiter'!E19</f>
        <v/>
      </c>
      <c r="Q19" s="67">
        <f>'KQuote Mitarbeiter'!L19</f>
        <v/>
      </c>
      <c r="R19" s="58">
        <f>'KQuote Mitarbeiter'!D19</f>
        <v/>
      </c>
      <c r="S19" s="67">
        <f>'KQuote Mitarbeiter'!K19</f>
        <v/>
      </c>
    </row>
    <row r="20">
      <c r="A20" s="49">
        <f>'KQuote Mitarbeiter'!A20</f>
        <v/>
      </c>
      <c r="B20" s="50">
        <f>'KQuote Mitarbeiter'!B20</f>
        <v/>
      </c>
      <c r="C20" s="59">
        <f>IF($B20="","",(N(Krankheitstage!D20)+N(Krankheitstage!Q20))*N(Krankheitstage!C20))</f>
        <v/>
      </c>
      <c r="D20" s="59">
        <f>IF($B20="","",(N(Krankheitstage!E20)+N(Krankheitstage!R20))*N(Krankheitstage!C20))</f>
        <v/>
      </c>
      <c r="E20" s="59">
        <f>IF($B20="","",(N(Krankheitstage!F20)+N(Krankheitstage!S20))*N(Krankheitstage!C20))</f>
        <v/>
      </c>
      <c r="F20" s="59">
        <f>IF($B20="","",(N(Krankheitstage!G20)+N(Krankheitstage!T20))*N(Krankheitstage!C20))</f>
        <v/>
      </c>
      <c r="G20" s="59">
        <f>IF($B20="","",(N(Krankheitstage!H20)+N(Krankheitstage!U20))*N(Krankheitstage!C20))</f>
        <v/>
      </c>
      <c r="H20" s="59">
        <f>IF($B20="","",(N(Krankheitstage!I20)+N(Krankheitstage!V20))*N(Krankheitstage!C20))</f>
        <v/>
      </c>
      <c r="I20" s="59">
        <f>IF($B20="","",(N(Krankheitstage!J20)+N(Krankheitstage!W20))*N(Krankheitstage!C20))</f>
        <v/>
      </c>
      <c r="J20" s="59">
        <f>IF($B20="","",(N(Krankheitstage!K20)+N(Krankheitstage!X20))*N(Krankheitstage!C20))</f>
        <v/>
      </c>
      <c r="K20" s="59">
        <f>IF($B20="","",(N(Krankheitstage!L20)+N(Krankheitstage!Y20))*N(Krankheitstage!C20))</f>
        <v/>
      </c>
      <c r="L20" s="59">
        <f>IF($B20="","",(N(Krankheitstage!M20)+N(Krankheitstage!Z20))*N(Krankheitstage!C20))</f>
        <v/>
      </c>
      <c r="M20" s="59">
        <f>IF($B20="","",(N(Krankheitstage!N20)+N(Krankheitstage!AA20))*N(Krankheitstage!C20))</f>
        <v/>
      </c>
      <c r="N20" s="59">
        <f>IF($B20="","",(N(Krankheitstage!O20)+N(Krankheitstage!AB20))*N(Krankheitstage!C20))</f>
        <v/>
      </c>
      <c r="O20" s="66">
        <f>IF($B20="","",SUM(C20:N20))</f>
        <v/>
      </c>
      <c r="P20" s="58">
        <f>'KQuote Mitarbeiter'!E20</f>
        <v/>
      </c>
      <c r="Q20" s="67">
        <f>'KQuote Mitarbeiter'!L20</f>
        <v/>
      </c>
      <c r="R20" s="58">
        <f>'KQuote Mitarbeiter'!D20</f>
        <v/>
      </c>
      <c r="S20" s="67">
        <f>'KQuote Mitarbeiter'!K20</f>
        <v/>
      </c>
    </row>
    <row r="21">
      <c r="A21" s="49">
        <f>'KQuote Mitarbeiter'!A21</f>
        <v/>
      </c>
      <c r="B21" s="50">
        <f>'KQuote Mitarbeiter'!B21</f>
        <v/>
      </c>
      <c r="C21" s="59">
        <f>IF($B21="","",(N(Krankheitstage!D21)+N(Krankheitstage!Q21))*N(Krankheitstage!C21))</f>
        <v/>
      </c>
      <c r="D21" s="59">
        <f>IF($B21="","",(N(Krankheitstage!E21)+N(Krankheitstage!R21))*N(Krankheitstage!C21))</f>
        <v/>
      </c>
      <c r="E21" s="59">
        <f>IF($B21="","",(N(Krankheitstage!F21)+N(Krankheitstage!S21))*N(Krankheitstage!C21))</f>
        <v/>
      </c>
      <c r="F21" s="59">
        <f>IF($B21="","",(N(Krankheitstage!G21)+N(Krankheitstage!T21))*N(Krankheitstage!C21))</f>
        <v/>
      </c>
      <c r="G21" s="59">
        <f>IF($B21="","",(N(Krankheitstage!H21)+N(Krankheitstage!U21))*N(Krankheitstage!C21))</f>
        <v/>
      </c>
      <c r="H21" s="59">
        <f>IF($B21="","",(N(Krankheitstage!I21)+N(Krankheitstage!V21))*N(Krankheitstage!C21))</f>
        <v/>
      </c>
      <c r="I21" s="59">
        <f>IF($B21="","",(N(Krankheitstage!J21)+N(Krankheitstage!W21))*N(Krankheitstage!C21))</f>
        <v/>
      </c>
      <c r="J21" s="59">
        <f>IF($B21="","",(N(Krankheitstage!K21)+N(Krankheitstage!X21))*N(Krankheitstage!C21))</f>
        <v/>
      </c>
      <c r="K21" s="59">
        <f>IF($B21="","",(N(Krankheitstage!L21)+N(Krankheitstage!Y21))*N(Krankheitstage!C21))</f>
        <v/>
      </c>
      <c r="L21" s="59">
        <f>IF($B21="","",(N(Krankheitstage!M21)+N(Krankheitstage!Z21))*N(Krankheitstage!C21))</f>
        <v/>
      </c>
      <c r="M21" s="59">
        <f>IF($B21="","",(N(Krankheitstage!N21)+N(Krankheitstage!AA21))*N(Krankheitstage!C21))</f>
        <v/>
      </c>
      <c r="N21" s="59">
        <f>IF($B21="","",(N(Krankheitstage!O21)+N(Krankheitstage!AB21))*N(Krankheitstage!C21))</f>
        <v/>
      </c>
      <c r="O21" s="66">
        <f>IF($B21="","",SUM(C21:N21))</f>
        <v/>
      </c>
      <c r="P21" s="58">
        <f>'KQuote Mitarbeiter'!E21</f>
        <v/>
      </c>
      <c r="Q21" s="67">
        <f>'KQuote Mitarbeiter'!L21</f>
        <v/>
      </c>
      <c r="R21" s="58">
        <f>'KQuote Mitarbeiter'!D21</f>
        <v/>
      </c>
      <c r="S21" s="67">
        <f>'KQuote Mitarbeiter'!K21</f>
        <v/>
      </c>
    </row>
    <row r="22">
      <c r="A22" s="49">
        <f>'KQuote Mitarbeiter'!A22</f>
        <v/>
      </c>
      <c r="B22" s="50">
        <f>'KQuote Mitarbeiter'!B22</f>
        <v/>
      </c>
      <c r="C22" s="59">
        <f>IF($B22="","",(N(Krankheitstage!D22)+N(Krankheitstage!Q22))*N(Krankheitstage!C22))</f>
        <v/>
      </c>
      <c r="D22" s="59">
        <f>IF($B22="","",(N(Krankheitstage!E22)+N(Krankheitstage!R22))*N(Krankheitstage!C22))</f>
        <v/>
      </c>
      <c r="E22" s="59">
        <f>IF($B22="","",(N(Krankheitstage!F22)+N(Krankheitstage!S22))*N(Krankheitstage!C22))</f>
        <v/>
      </c>
      <c r="F22" s="59">
        <f>IF($B22="","",(N(Krankheitstage!G22)+N(Krankheitstage!T22))*N(Krankheitstage!C22))</f>
        <v/>
      </c>
      <c r="G22" s="59">
        <f>IF($B22="","",(N(Krankheitstage!H22)+N(Krankheitstage!U22))*N(Krankheitstage!C22))</f>
        <v/>
      </c>
      <c r="H22" s="59">
        <f>IF($B22="","",(N(Krankheitstage!I22)+N(Krankheitstage!V22))*N(Krankheitstage!C22))</f>
        <v/>
      </c>
      <c r="I22" s="59">
        <f>IF($B22="","",(N(Krankheitstage!J22)+N(Krankheitstage!W22))*N(Krankheitstage!C22))</f>
        <v/>
      </c>
      <c r="J22" s="59">
        <f>IF($B22="","",(N(Krankheitstage!K22)+N(Krankheitstage!X22))*N(Krankheitstage!C22))</f>
        <v/>
      </c>
      <c r="K22" s="59">
        <f>IF($B22="","",(N(Krankheitstage!L22)+N(Krankheitstage!Y22))*N(Krankheitstage!C22))</f>
        <v/>
      </c>
      <c r="L22" s="59">
        <f>IF($B22="","",(N(Krankheitstage!M22)+N(Krankheitstage!Z22))*N(Krankheitstage!C22))</f>
        <v/>
      </c>
      <c r="M22" s="59">
        <f>IF($B22="","",(N(Krankheitstage!N22)+N(Krankheitstage!AA22))*N(Krankheitstage!C22))</f>
        <v/>
      </c>
      <c r="N22" s="59">
        <f>IF($B22="","",(N(Krankheitstage!O22)+N(Krankheitstage!AB22))*N(Krankheitstage!C22))</f>
        <v/>
      </c>
      <c r="O22" s="66">
        <f>IF($B22="","",SUM(C22:N22))</f>
        <v/>
      </c>
      <c r="P22" s="58">
        <f>'KQuote Mitarbeiter'!E22</f>
        <v/>
      </c>
      <c r="Q22" s="67">
        <f>'KQuote Mitarbeiter'!L22</f>
        <v/>
      </c>
      <c r="R22" s="58">
        <f>'KQuote Mitarbeiter'!D22</f>
        <v/>
      </c>
      <c r="S22" s="67">
        <f>'KQuote Mitarbeiter'!K22</f>
        <v/>
      </c>
    </row>
    <row r="23">
      <c r="A23" s="49">
        <f>'KQuote Mitarbeiter'!A23</f>
        <v/>
      </c>
      <c r="B23" s="50">
        <f>'KQuote Mitarbeiter'!B23</f>
        <v/>
      </c>
      <c r="C23" s="59">
        <f>IF($B23="","",(N(Krankheitstage!D23)+N(Krankheitstage!Q23))*N(Krankheitstage!C23))</f>
        <v/>
      </c>
      <c r="D23" s="59">
        <f>IF($B23="","",(N(Krankheitstage!E23)+N(Krankheitstage!R23))*N(Krankheitstage!C23))</f>
        <v/>
      </c>
      <c r="E23" s="59">
        <f>IF($B23="","",(N(Krankheitstage!F23)+N(Krankheitstage!S23))*N(Krankheitstage!C23))</f>
        <v/>
      </c>
      <c r="F23" s="59">
        <f>IF($B23="","",(N(Krankheitstage!G23)+N(Krankheitstage!T23))*N(Krankheitstage!C23))</f>
        <v/>
      </c>
      <c r="G23" s="59">
        <f>IF($B23="","",(N(Krankheitstage!H23)+N(Krankheitstage!U23))*N(Krankheitstage!C23))</f>
        <v/>
      </c>
      <c r="H23" s="59">
        <f>IF($B23="","",(N(Krankheitstage!I23)+N(Krankheitstage!V23))*N(Krankheitstage!C23))</f>
        <v/>
      </c>
      <c r="I23" s="59">
        <f>IF($B23="","",(N(Krankheitstage!J23)+N(Krankheitstage!W23))*N(Krankheitstage!C23))</f>
        <v/>
      </c>
      <c r="J23" s="59">
        <f>IF($B23="","",(N(Krankheitstage!K23)+N(Krankheitstage!X23))*N(Krankheitstage!C23))</f>
        <v/>
      </c>
      <c r="K23" s="59">
        <f>IF($B23="","",(N(Krankheitstage!L23)+N(Krankheitstage!Y23))*N(Krankheitstage!C23))</f>
        <v/>
      </c>
      <c r="L23" s="59">
        <f>IF($B23="","",(N(Krankheitstage!M23)+N(Krankheitstage!Z23))*N(Krankheitstage!C23))</f>
        <v/>
      </c>
      <c r="M23" s="59">
        <f>IF($B23="","",(N(Krankheitstage!N23)+N(Krankheitstage!AA23))*N(Krankheitstage!C23))</f>
        <v/>
      </c>
      <c r="N23" s="59">
        <f>IF($B23="","",(N(Krankheitstage!O23)+N(Krankheitstage!AB23))*N(Krankheitstage!C23))</f>
        <v/>
      </c>
      <c r="O23" s="66">
        <f>IF($B23="","",SUM(C23:N23))</f>
        <v/>
      </c>
      <c r="P23" s="58">
        <f>'KQuote Mitarbeiter'!E23</f>
        <v/>
      </c>
      <c r="Q23" s="67">
        <f>'KQuote Mitarbeiter'!L23</f>
        <v/>
      </c>
      <c r="R23" s="58">
        <f>'KQuote Mitarbeiter'!D23</f>
        <v/>
      </c>
      <c r="S23" s="67">
        <f>'KQuote Mitarbeiter'!K23</f>
        <v/>
      </c>
    </row>
    <row r="24">
      <c r="A24" s="49">
        <f>'KQuote Mitarbeiter'!A24</f>
        <v/>
      </c>
      <c r="B24" s="50">
        <f>'KQuote Mitarbeiter'!B24</f>
        <v/>
      </c>
      <c r="C24" s="59">
        <f>IF($B24="","",(N(Krankheitstage!D24)+N(Krankheitstage!Q24))*N(Krankheitstage!C24))</f>
        <v/>
      </c>
      <c r="D24" s="59">
        <f>IF($B24="","",(N(Krankheitstage!E24)+N(Krankheitstage!R24))*N(Krankheitstage!C24))</f>
        <v/>
      </c>
      <c r="E24" s="59">
        <f>IF($B24="","",(N(Krankheitstage!F24)+N(Krankheitstage!S24))*N(Krankheitstage!C24))</f>
        <v/>
      </c>
      <c r="F24" s="59">
        <f>IF($B24="","",(N(Krankheitstage!G24)+N(Krankheitstage!T24))*N(Krankheitstage!C24))</f>
        <v/>
      </c>
      <c r="G24" s="59">
        <f>IF($B24="","",(N(Krankheitstage!H24)+N(Krankheitstage!U24))*N(Krankheitstage!C24))</f>
        <v/>
      </c>
      <c r="H24" s="59">
        <f>IF($B24="","",(N(Krankheitstage!I24)+N(Krankheitstage!V24))*N(Krankheitstage!C24))</f>
        <v/>
      </c>
      <c r="I24" s="59">
        <f>IF($B24="","",(N(Krankheitstage!J24)+N(Krankheitstage!W24))*N(Krankheitstage!C24))</f>
        <v/>
      </c>
      <c r="J24" s="59">
        <f>IF($B24="","",(N(Krankheitstage!K24)+N(Krankheitstage!X24))*N(Krankheitstage!C24))</f>
        <v/>
      </c>
      <c r="K24" s="59">
        <f>IF($B24="","",(N(Krankheitstage!L24)+N(Krankheitstage!Y24))*N(Krankheitstage!C24))</f>
        <v/>
      </c>
      <c r="L24" s="59">
        <f>IF($B24="","",(N(Krankheitstage!M24)+N(Krankheitstage!Z24))*N(Krankheitstage!C24))</f>
        <v/>
      </c>
      <c r="M24" s="59">
        <f>IF($B24="","",(N(Krankheitstage!N24)+N(Krankheitstage!AA24))*N(Krankheitstage!C24))</f>
        <v/>
      </c>
      <c r="N24" s="59">
        <f>IF($B24="","",(N(Krankheitstage!O24)+N(Krankheitstage!AB24))*N(Krankheitstage!C24))</f>
        <v/>
      </c>
      <c r="O24" s="66">
        <f>IF($B24="","",SUM(C24:N24))</f>
        <v/>
      </c>
      <c r="P24" s="58">
        <f>'KQuote Mitarbeiter'!E24</f>
        <v/>
      </c>
      <c r="Q24" s="67">
        <f>'KQuote Mitarbeiter'!L24</f>
        <v/>
      </c>
      <c r="R24" s="58">
        <f>'KQuote Mitarbeiter'!D24</f>
        <v/>
      </c>
      <c r="S24" s="67">
        <f>'KQuote Mitarbeiter'!K24</f>
        <v/>
      </c>
    </row>
    <row r="25">
      <c r="A25" s="49">
        <f>'KQuote Mitarbeiter'!A25</f>
        <v/>
      </c>
      <c r="B25" s="50">
        <f>'KQuote Mitarbeiter'!B25</f>
        <v/>
      </c>
      <c r="C25" s="59">
        <f>IF($B25="","",(N(Krankheitstage!D25)+N(Krankheitstage!Q25))*N(Krankheitstage!C25))</f>
        <v/>
      </c>
      <c r="D25" s="59">
        <f>IF($B25="","",(N(Krankheitstage!E25)+N(Krankheitstage!R25))*N(Krankheitstage!C25))</f>
        <v/>
      </c>
      <c r="E25" s="59">
        <f>IF($B25="","",(N(Krankheitstage!F25)+N(Krankheitstage!S25))*N(Krankheitstage!C25))</f>
        <v/>
      </c>
      <c r="F25" s="59">
        <f>IF($B25="","",(N(Krankheitstage!G25)+N(Krankheitstage!T25))*N(Krankheitstage!C25))</f>
        <v/>
      </c>
      <c r="G25" s="59">
        <f>IF($B25="","",(N(Krankheitstage!H25)+N(Krankheitstage!U25))*N(Krankheitstage!C25))</f>
        <v/>
      </c>
      <c r="H25" s="59">
        <f>IF($B25="","",(N(Krankheitstage!I25)+N(Krankheitstage!V25))*N(Krankheitstage!C25))</f>
        <v/>
      </c>
      <c r="I25" s="59">
        <f>IF($B25="","",(N(Krankheitstage!J25)+N(Krankheitstage!W25))*N(Krankheitstage!C25))</f>
        <v/>
      </c>
      <c r="J25" s="59">
        <f>IF($B25="","",(N(Krankheitstage!K25)+N(Krankheitstage!X25))*N(Krankheitstage!C25))</f>
        <v/>
      </c>
      <c r="K25" s="59">
        <f>IF($B25="","",(N(Krankheitstage!L25)+N(Krankheitstage!Y25))*N(Krankheitstage!C25))</f>
        <v/>
      </c>
      <c r="L25" s="59">
        <f>IF($B25="","",(N(Krankheitstage!M25)+N(Krankheitstage!Z25))*N(Krankheitstage!C25))</f>
        <v/>
      </c>
      <c r="M25" s="59">
        <f>IF($B25="","",(N(Krankheitstage!N25)+N(Krankheitstage!AA25))*N(Krankheitstage!C25))</f>
        <v/>
      </c>
      <c r="N25" s="59">
        <f>IF($B25="","",(N(Krankheitstage!O25)+N(Krankheitstage!AB25))*N(Krankheitstage!C25))</f>
        <v/>
      </c>
      <c r="O25" s="66">
        <f>IF($B25="","",SUM(C25:N25))</f>
        <v/>
      </c>
      <c r="P25" s="58">
        <f>'KQuote Mitarbeiter'!E25</f>
        <v/>
      </c>
      <c r="Q25" s="67">
        <f>'KQuote Mitarbeiter'!L25</f>
        <v/>
      </c>
      <c r="R25" s="58">
        <f>'KQuote Mitarbeiter'!D25</f>
        <v/>
      </c>
      <c r="S25" s="67">
        <f>'KQuote Mitarbeiter'!K25</f>
        <v/>
      </c>
    </row>
    <row r="26">
      <c r="A26" s="49">
        <f>'KQuote Mitarbeiter'!A26</f>
        <v/>
      </c>
      <c r="B26" s="50">
        <f>'KQuote Mitarbeiter'!B26</f>
        <v/>
      </c>
      <c r="C26" s="59">
        <f>IF($B26="","",(N(Krankheitstage!D26)+N(Krankheitstage!Q26))*N(Krankheitstage!C26))</f>
        <v/>
      </c>
      <c r="D26" s="59">
        <f>IF($B26="","",(N(Krankheitstage!E26)+N(Krankheitstage!R26))*N(Krankheitstage!C26))</f>
        <v/>
      </c>
      <c r="E26" s="59">
        <f>IF($B26="","",(N(Krankheitstage!F26)+N(Krankheitstage!S26))*N(Krankheitstage!C26))</f>
        <v/>
      </c>
      <c r="F26" s="59">
        <f>IF($B26="","",(N(Krankheitstage!G26)+N(Krankheitstage!T26))*N(Krankheitstage!C26))</f>
        <v/>
      </c>
      <c r="G26" s="59">
        <f>IF($B26="","",(N(Krankheitstage!H26)+N(Krankheitstage!U26))*N(Krankheitstage!C26))</f>
        <v/>
      </c>
      <c r="H26" s="59">
        <f>IF($B26="","",(N(Krankheitstage!I26)+N(Krankheitstage!V26))*N(Krankheitstage!C26))</f>
        <v/>
      </c>
      <c r="I26" s="59">
        <f>IF($B26="","",(N(Krankheitstage!J26)+N(Krankheitstage!W26))*N(Krankheitstage!C26))</f>
        <v/>
      </c>
      <c r="J26" s="59">
        <f>IF($B26="","",(N(Krankheitstage!K26)+N(Krankheitstage!X26))*N(Krankheitstage!C26))</f>
        <v/>
      </c>
      <c r="K26" s="59">
        <f>IF($B26="","",(N(Krankheitstage!L26)+N(Krankheitstage!Y26))*N(Krankheitstage!C26))</f>
        <v/>
      </c>
      <c r="L26" s="59">
        <f>IF($B26="","",(N(Krankheitstage!M26)+N(Krankheitstage!Z26))*N(Krankheitstage!C26))</f>
        <v/>
      </c>
      <c r="M26" s="59">
        <f>IF($B26="","",(N(Krankheitstage!N26)+N(Krankheitstage!AA26))*N(Krankheitstage!C26))</f>
        <v/>
      </c>
      <c r="N26" s="59">
        <f>IF($B26="","",(N(Krankheitstage!O26)+N(Krankheitstage!AB26))*N(Krankheitstage!C26))</f>
        <v/>
      </c>
      <c r="O26" s="66">
        <f>IF($B26="","",SUM(C26:N26))</f>
        <v/>
      </c>
      <c r="P26" s="58">
        <f>'KQuote Mitarbeiter'!E26</f>
        <v/>
      </c>
      <c r="Q26" s="67">
        <f>'KQuote Mitarbeiter'!L26</f>
        <v/>
      </c>
      <c r="R26" s="58">
        <f>'KQuote Mitarbeiter'!D26</f>
        <v/>
      </c>
      <c r="S26" s="67">
        <f>'KQuote Mitarbeiter'!K26</f>
        <v/>
      </c>
    </row>
    <row r="27">
      <c r="A27" s="49">
        <f>'KQuote Mitarbeiter'!A27</f>
        <v/>
      </c>
      <c r="B27" s="50">
        <f>'KQuote Mitarbeiter'!B27</f>
        <v/>
      </c>
      <c r="C27" s="59">
        <f>IF($B27="","",(N(Krankheitstage!D27)+N(Krankheitstage!Q27))*N(Krankheitstage!C27))</f>
        <v/>
      </c>
      <c r="D27" s="59">
        <f>IF($B27="","",(N(Krankheitstage!E27)+N(Krankheitstage!R27))*N(Krankheitstage!C27))</f>
        <v/>
      </c>
      <c r="E27" s="59">
        <f>IF($B27="","",(N(Krankheitstage!F27)+N(Krankheitstage!S27))*N(Krankheitstage!C27))</f>
        <v/>
      </c>
      <c r="F27" s="59">
        <f>IF($B27="","",(N(Krankheitstage!G27)+N(Krankheitstage!T27))*N(Krankheitstage!C27))</f>
        <v/>
      </c>
      <c r="G27" s="59">
        <f>IF($B27="","",(N(Krankheitstage!H27)+N(Krankheitstage!U27))*N(Krankheitstage!C27))</f>
        <v/>
      </c>
      <c r="H27" s="59">
        <f>IF($B27="","",(N(Krankheitstage!I27)+N(Krankheitstage!V27))*N(Krankheitstage!C27))</f>
        <v/>
      </c>
      <c r="I27" s="59">
        <f>IF($B27="","",(N(Krankheitstage!J27)+N(Krankheitstage!W27))*N(Krankheitstage!C27))</f>
        <v/>
      </c>
      <c r="J27" s="59">
        <f>IF($B27="","",(N(Krankheitstage!K27)+N(Krankheitstage!X27))*N(Krankheitstage!C27))</f>
        <v/>
      </c>
      <c r="K27" s="59">
        <f>IF($B27="","",(N(Krankheitstage!L27)+N(Krankheitstage!Y27))*N(Krankheitstage!C27))</f>
        <v/>
      </c>
      <c r="L27" s="59">
        <f>IF($B27="","",(N(Krankheitstage!M27)+N(Krankheitstage!Z27))*N(Krankheitstage!C27))</f>
        <v/>
      </c>
      <c r="M27" s="59">
        <f>IF($B27="","",(N(Krankheitstage!N27)+N(Krankheitstage!AA27))*N(Krankheitstage!C27))</f>
        <v/>
      </c>
      <c r="N27" s="59">
        <f>IF($B27="","",(N(Krankheitstage!O27)+N(Krankheitstage!AB27))*N(Krankheitstage!C27))</f>
        <v/>
      </c>
      <c r="O27" s="66">
        <f>IF($B27="","",SUM(C27:N27))</f>
        <v/>
      </c>
      <c r="P27" s="58">
        <f>'KQuote Mitarbeiter'!E27</f>
        <v/>
      </c>
      <c r="Q27" s="67">
        <f>'KQuote Mitarbeiter'!L27</f>
        <v/>
      </c>
      <c r="R27" s="58">
        <f>'KQuote Mitarbeiter'!D27</f>
        <v/>
      </c>
      <c r="S27" s="67">
        <f>'KQuote Mitarbeiter'!K27</f>
        <v/>
      </c>
    </row>
    <row r="28">
      <c r="A28" s="49">
        <f>'KQuote Mitarbeiter'!A28</f>
        <v/>
      </c>
      <c r="B28" s="50">
        <f>'KQuote Mitarbeiter'!B28</f>
        <v/>
      </c>
      <c r="C28" s="59">
        <f>IF($B28="","",(N(Krankheitstage!D28)+N(Krankheitstage!Q28))*N(Krankheitstage!C28))</f>
        <v/>
      </c>
      <c r="D28" s="59">
        <f>IF($B28="","",(N(Krankheitstage!E28)+N(Krankheitstage!R28))*N(Krankheitstage!C28))</f>
        <v/>
      </c>
      <c r="E28" s="59">
        <f>IF($B28="","",(N(Krankheitstage!F28)+N(Krankheitstage!S28))*N(Krankheitstage!C28))</f>
        <v/>
      </c>
      <c r="F28" s="59">
        <f>IF($B28="","",(N(Krankheitstage!G28)+N(Krankheitstage!T28))*N(Krankheitstage!C28))</f>
        <v/>
      </c>
      <c r="G28" s="59">
        <f>IF($B28="","",(N(Krankheitstage!H28)+N(Krankheitstage!U28))*N(Krankheitstage!C28))</f>
        <v/>
      </c>
      <c r="H28" s="59">
        <f>IF($B28="","",(N(Krankheitstage!I28)+N(Krankheitstage!V28))*N(Krankheitstage!C28))</f>
        <v/>
      </c>
      <c r="I28" s="59">
        <f>IF($B28="","",(N(Krankheitstage!J28)+N(Krankheitstage!W28))*N(Krankheitstage!C28))</f>
        <v/>
      </c>
      <c r="J28" s="59">
        <f>IF($B28="","",(N(Krankheitstage!K28)+N(Krankheitstage!X28))*N(Krankheitstage!C28))</f>
        <v/>
      </c>
      <c r="K28" s="59">
        <f>IF($B28="","",(N(Krankheitstage!L28)+N(Krankheitstage!Y28))*N(Krankheitstage!C28))</f>
        <v/>
      </c>
      <c r="L28" s="59">
        <f>IF($B28="","",(N(Krankheitstage!M28)+N(Krankheitstage!Z28))*N(Krankheitstage!C28))</f>
        <v/>
      </c>
      <c r="M28" s="59">
        <f>IF($B28="","",(N(Krankheitstage!N28)+N(Krankheitstage!AA28))*N(Krankheitstage!C28))</f>
        <v/>
      </c>
      <c r="N28" s="59">
        <f>IF($B28="","",(N(Krankheitstage!O28)+N(Krankheitstage!AB28))*N(Krankheitstage!C28))</f>
        <v/>
      </c>
      <c r="O28" s="66">
        <f>IF($B28="","",SUM(C28:N28))</f>
        <v/>
      </c>
      <c r="P28" s="58">
        <f>'KQuote Mitarbeiter'!E28</f>
        <v/>
      </c>
      <c r="Q28" s="67">
        <f>'KQuote Mitarbeiter'!L28</f>
        <v/>
      </c>
      <c r="R28" s="58">
        <f>'KQuote Mitarbeiter'!D28</f>
        <v/>
      </c>
      <c r="S28" s="67">
        <f>'KQuote Mitarbeiter'!K28</f>
        <v/>
      </c>
    </row>
    <row r="29">
      <c r="A29" s="49">
        <f>'KQuote Mitarbeiter'!A29</f>
        <v/>
      </c>
      <c r="B29" s="50">
        <f>'KQuote Mitarbeiter'!B29</f>
        <v/>
      </c>
      <c r="C29" s="59">
        <f>IF($B29="","",(N(Krankheitstage!D29)+N(Krankheitstage!Q29))*N(Krankheitstage!C29))</f>
        <v/>
      </c>
      <c r="D29" s="59">
        <f>IF($B29="","",(N(Krankheitstage!E29)+N(Krankheitstage!R29))*N(Krankheitstage!C29))</f>
        <v/>
      </c>
      <c r="E29" s="59">
        <f>IF($B29="","",(N(Krankheitstage!F29)+N(Krankheitstage!S29))*N(Krankheitstage!C29))</f>
        <v/>
      </c>
      <c r="F29" s="59">
        <f>IF($B29="","",(N(Krankheitstage!G29)+N(Krankheitstage!T29))*N(Krankheitstage!C29))</f>
        <v/>
      </c>
      <c r="G29" s="59">
        <f>IF($B29="","",(N(Krankheitstage!H29)+N(Krankheitstage!U29))*N(Krankheitstage!C29))</f>
        <v/>
      </c>
      <c r="H29" s="59">
        <f>IF($B29="","",(N(Krankheitstage!I29)+N(Krankheitstage!V29))*N(Krankheitstage!C29))</f>
        <v/>
      </c>
      <c r="I29" s="59">
        <f>IF($B29="","",(N(Krankheitstage!J29)+N(Krankheitstage!W29))*N(Krankheitstage!C29))</f>
        <v/>
      </c>
      <c r="J29" s="59">
        <f>IF($B29="","",(N(Krankheitstage!K29)+N(Krankheitstage!X29))*N(Krankheitstage!C29))</f>
        <v/>
      </c>
      <c r="K29" s="59">
        <f>IF($B29="","",(N(Krankheitstage!L29)+N(Krankheitstage!Y29))*N(Krankheitstage!C29))</f>
        <v/>
      </c>
      <c r="L29" s="59">
        <f>IF($B29="","",(N(Krankheitstage!M29)+N(Krankheitstage!Z29))*N(Krankheitstage!C29))</f>
        <v/>
      </c>
      <c r="M29" s="59">
        <f>IF($B29="","",(N(Krankheitstage!N29)+N(Krankheitstage!AA29))*N(Krankheitstage!C29))</f>
        <v/>
      </c>
      <c r="N29" s="59">
        <f>IF($B29="","",(N(Krankheitstage!O29)+N(Krankheitstage!AB29))*N(Krankheitstage!C29))</f>
        <v/>
      </c>
      <c r="O29" s="66">
        <f>IF($B29="","",SUM(C29:N29))</f>
        <v/>
      </c>
      <c r="P29" s="58">
        <f>'KQuote Mitarbeiter'!E29</f>
        <v/>
      </c>
      <c r="Q29" s="67">
        <f>'KQuote Mitarbeiter'!L29</f>
        <v/>
      </c>
      <c r="R29" s="58">
        <f>'KQuote Mitarbeiter'!D29</f>
        <v/>
      </c>
      <c r="S29" s="67">
        <f>'KQuote Mitarbeiter'!K29</f>
        <v/>
      </c>
    </row>
    <row r="30">
      <c r="A30" s="49">
        <f>'KQuote Mitarbeiter'!A30</f>
        <v/>
      </c>
      <c r="B30" s="50">
        <f>'KQuote Mitarbeiter'!B30</f>
        <v/>
      </c>
      <c r="C30" s="59">
        <f>IF($B30="","",(N(Krankheitstage!D30)+N(Krankheitstage!Q30))*N(Krankheitstage!C30))</f>
        <v/>
      </c>
      <c r="D30" s="59">
        <f>IF($B30="","",(N(Krankheitstage!E30)+N(Krankheitstage!R30))*N(Krankheitstage!C30))</f>
        <v/>
      </c>
      <c r="E30" s="59">
        <f>IF($B30="","",(N(Krankheitstage!F30)+N(Krankheitstage!S30))*N(Krankheitstage!C30))</f>
        <v/>
      </c>
      <c r="F30" s="59">
        <f>IF($B30="","",(N(Krankheitstage!G30)+N(Krankheitstage!T30))*N(Krankheitstage!C30))</f>
        <v/>
      </c>
      <c r="G30" s="59">
        <f>IF($B30="","",(N(Krankheitstage!H30)+N(Krankheitstage!U30))*N(Krankheitstage!C30))</f>
        <v/>
      </c>
      <c r="H30" s="59">
        <f>IF($B30="","",(N(Krankheitstage!I30)+N(Krankheitstage!V30))*N(Krankheitstage!C30))</f>
        <v/>
      </c>
      <c r="I30" s="59">
        <f>IF($B30="","",(N(Krankheitstage!J30)+N(Krankheitstage!W30))*N(Krankheitstage!C30))</f>
        <v/>
      </c>
      <c r="J30" s="59">
        <f>IF($B30="","",(N(Krankheitstage!K30)+N(Krankheitstage!X30))*N(Krankheitstage!C30))</f>
        <v/>
      </c>
      <c r="K30" s="59">
        <f>IF($B30="","",(N(Krankheitstage!L30)+N(Krankheitstage!Y30))*N(Krankheitstage!C30))</f>
        <v/>
      </c>
      <c r="L30" s="59">
        <f>IF($B30="","",(N(Krankheitstage!M30)+N(Krankheitstage!Z30))*N(Krankheitstage!C30))</f>
        <v/>
      </c>
      <c r="M30" s="59">
        <f>IF($B30="","",(N(Krankheitstage!N30)+N(Krankheitstage!AA30))*N(Krankheitstage!C30))</f>
        <v/>
      </c>
      <c r="N30" s="59">
        <f>IF($B30="","",(N(Krankheitstage!O30)+N(Krankheitstage!AB30))*N(Krankheitstage!C30))</f>
        <v/>
      </c>
      <c r="O30" s="66">
        <f>IF($B30="","",SUM(C30:N30))</f>
        <v/>
      </c>
      <c r="P30" s="58">
        <f>'KQuote Mitarbeiter'!E30</f>
        <v/>
      </c>
      <c r="Q30" s="67">
        <f>'KQuote Mitarbeiter'!L30</f>
        <v/>
      </c>
      <c r="R30" s="58">
        <f>'KQuote Mitarbeiter'!D30</f>
        <v/>
      </c>
      <c r="S30" s="67">
        <f>'KQuote Mitarbeiter'!K30</f>
        <v/>
      </c>
    </row>
    <row r="31">
      <c r="A31" s="49">
        <f>'KQuote Mitarbeiter'!A31</f>
        <v/>
      </c>
      <c r="B31" s="50">
        <f>'KQuote Mitarbeiter'!B31</f>
        <v/>
      </c>
      <c r="C31" s="59">
        <f>IF($B31="","",(N(Krankheitstage!D31)+N(Krankheitstage!Q31))*N(Krankheitstage!C31))</f>
        <v/>
      </c>
      <c r="D31" s="59">
        <f>IF($B31="","",(N(Krankheitstage!E31)+N(Krankheitstage!R31))*N(Krankheitstage!C31))</f>
        <v/>
      </c>
      <c r="E31" s="59">
        <f>IF($B31="","",(N(Krankheitstage!F31)+N(Krankheitstage!S31))*N(Krankheitstage!C31))</f>
        <v/>
      </c>
      <c r="F31" s="59">
        <f>IF($B31="","",(N(Krankheitstage!G31)+N(Krankheitstage!T31))*N(Krankheitstage!C31))</f>
        <v/>
      </c>
      <c r="G31" s="59">
        <f>IF($B31="","",(N(Krankheitstage!H31)+N(Krankheitstage!U31))*N(Krankheitstage!C31))</f>
        <v/>
      </c>
      <c r="H31" s="59">
        <f>IF($B31="","",(N(Krankheitstage!I31)+N(Krankheitstage!V31))*N(Krankheitstage!C31))</f>
        <v/>
      </c>
      <c r="I31" s="59">
        <f>IF($B31="","",(N(Krankheitstage!J31)+N(Krankheitstage!W31))*N(Krankheitstage!C31))</f>
        <v/>
      </c>
      <c r="J31" s="59">
        <f>IF($B31="","",(N(Krankheitstage!K31)+N(Krankheitstage!X31))*N(Krankheitstage!C31))</f>
        <v/>
      </c>
      <c r="K31" s="59">
        <f>IF($B31="","",(N(Krankheitstage!L31)+N(Krankheitstage!Y31))*N(Krankheitstage!C31))</f>
        <v/>
      </c>
      <c r="L31" s="59">
        <f>IF($B31="","",(N(Krankheitstage!M31)+N(Krankheitstage!Z31))*N(Krankheitstage!C31))</f>
        <v/>
      </c>
      <c r="M31" s="59">
        <f>IF($B31="","",(N(Krankheitstage!N31)+N(Krankheitstage!AA31))*N(Krankheitstage!C31))</f>
        <v/>
      </c>
      <c r="N31" s="59">
        <f>IF($B31="","",(N(Krankheitstage!O31)+N(Krankheitstage!AB31))*N(Krankheitstage!C31))</f>
        <v/>
      </c>
      <c r="O31" s="66">
        <f>IF($B31="","",SUM(C31:N31))</f>
        <v/>
      </c>
      <c r="P31" s="58">
        <f>'KQuote Mitarbeiter'!E31</f>
        <v/>
      </c>
      <c r="Q31" s="67">
        <f>'KQuote Mitarbeiter'!L31</f>
        <v/>
      </c>
      <c r="R31" s="58">
        <f>'KQuote Mitarbeiter'!D31</f>
        <v/>
      </c>
      <c r="S31" s="67">
        <f>'KQuote Mitarbeiter'!K31</f>
        <v/>
      </c>
    </row>
    <row r="32">
      <c r="A32" s="49">
        <f>'KQuote Mitarbeiter'!A32</f>
        <v/>
      </c>
      <c r="B32" s="50">
        <f>'KQuote Mitarbeiter'!B32</f>
        <v/>
      </c>
      <c r="C32" s="59">
        <f>IF($B32="","",(N(Krankheitstage!D32)+N(Krankheitstage!Q32))*N(Krankheitstage!C32))</f>
        <v/>
      </c>
      <c r="D32" s="59">
        <f>IF($B32="","",(N(Krankheitstage!E32)+N(Krankheitstage!R32))*N(Krankheitstage!C32))</f>
        <v/>
      </c>
      <c r="E32" s="59">
        <f>IF($B32="","",(N(Krankheitstage!F32)+N(Krankheitstage!S32))*N(Krankheitstage!C32))</f>
        <v/>
      </c>
      <c r="F32" s="59">
        <f>IF($B32="","",(N(Krankheitstage!G32)+N(Krankheitstage!T32))*N(Krankheitstage!C32))</f>
        <v/>
      </c>
      <c r="G32" s="59">
        <f>IF($B32="","",(N(Krankheitstage!H32)+N(Krankheitstage!U32))*N(Krankheitstage!C32))</f>
        <v/>
      </c>
      <c r="H32" s="59">
        <f>IF($B32="","",(N(Krankheitstage!I32)+N(Krankheitstage!V32))*N(Krankheitstage!C32))</f>
        <v/>
      </c>
      <c r="I32" s="59">
        <f>IF($B32="","",(N(Krankheitstage!J32)+N(Krankheitstage!W32))*N(Krankheitstage!C32))</f>
        <v/>
      </c>
      <c r="J32" s="59">
        <f>IF($B32="","",(N(Krankheitstage!K32)+N(Krankheitstage!X32))*N(Krankheitstage!C32))</f>
        <v/>
      </c>
      <c r="K32" s="59">
        <f>IF($B32="","",(N(Krankheitstage!L32)+N(Krankheitstage!Y32))*N(Krankheitstage!C32))</f>
        <v/>
      </c>
      <c r="L32" s="59">
        <f>IF($B32="","",(N(Krankheitstage!M32)+N(Krankheitstage!Z32))*N(Krankheitstage!C32))</f>
        <v/>
      </c>
      <c r="M32" s="59">
        <f>IF($B32="","",(N(Krankheitstage!N32)+N(Krankheitstage!AA32))*N(Krankheitstage!C32))</f>
        <v/>
      </c>
      <c r="N32" s="59">
        <f>IF($B32="","",(N(Krankheitstage!O32)+N(Krankheitstage!AB32))*N(Krankheitstage!C32))</f>
        <v/>
      </c>
      <c r="O32" s="66">
        <f>IF($B32="","",SUM(C32:N32))</f>
        <v/>
      </c>
      <c r="P32" s="58">
        <f>'KQuote Mitarbeiter'!E32</f>
        <v/>
      </c>
      <c r="Q32" s="67">
        <f>'KQuote Mitarbeiter'!L32</f>
        <v/>
      </c>
      <c r="R32" s="58">
        <f>'KQuote Mitarbeiter'!D32</f>
        <v/>
      </c>
      <c r="S32" s="67">
        <f>'KQuote Mitarbeiter'!K32</f>
        <v/>
      </c>
    </row>
    <row r="33">
      <c r="A33" s="49">
        <f>'KQuote Mitarbeiter'!A33</f>
        <v/>
      </c>
      <c r="B33" s="50">
        <f>'KQuote Mitarbeiter'!B33</f>
        <v/>
      </c>
      <c r="C33" s="59">
        <f>IF($B33="","",(N(Krankheitstage!D33)+N(Krankheitstage!Q33))*N(Krankheitstage!C33))</f>
        <v/>
      </c>
      <c r="D33" s="59">
        <f>IF($B33="","",(N(Krankheitstage!E33)+N(Krankheitstage!R33))*N(Krankheitstage!C33))</f>
        <v/>
      </c>
      <c r="E33" s="59">
        <f>IF($B33="","",(N(Krankheitstage!F33)+N(Krankheitstage!S33))*N(Krankheitstage!C33))</f>
        <v/>
      </c>
      <c r="F33" s="59">
        <f>IF($B33="","",(N(Krankheitstage!G33)+N(Krankheitstage!T33))*N(Krankheitstage!C33))</f>
        <v/>
      </c>
      <c r="G33" s="59">
        <f>IF($B33="","",(N(Krankheitstage!H33)+N(Krankheitstage!U33))*N(Krankheitstage!C33))</f>
        <v/>
      </c>
      <c r="H33" s="59">
        <f>IF($B33="","",(N(Krankheitstage!I33)+N(Krankheitstage!V33))*N(Krankheitstage!C33))</f>
        <v/>
      </c>
      <c r="I33" s="59">
        <f>IF($B33="","",(N(Krankheitstage!J33)+N(Krankheitstage!W33))*N(Krankheitstage!C33))</f>
        <v/>
      </c>
      <c r="J33" s="59">
        <f>IF($B33="","",(N(Krankheitstage!K33)+N(Krankheitstage!X33))*N(Krankheitstage!C33))</f>
        <v/>
      </c>
      <c r="K33" s="59">
        <f>IF($B33="","",(N(Krankheitstage!L33)+N(Krankheitstage!Y33))*N(Krankheitstage!C33))</f>
        <v/>
      </c>
      <c r="L33" s="59">
        <f>IF($B33="","",(N(Krankheitstage!M33)+N(Krankheitstage!Z33))*N(Krankheitstage!C33))</f>
        <v/>
      </c>
      <c r="M33" s="59">
        <f>IF($B33="","",(N(Krankheitstage!N33)+N(Krankheitstage!AA33))*N(Krankheitstage!C33))</f>
        <v/>
      </c>
      <c r="N33" s="59">
        <f>IF($B33="","",(N(Krankheitstage!O33)+N(Krankheitstage!AB33))*N(Krankheitstage!C33))</f>
        <v/>
      </c>
      <c r="O33" s="66">
        <f>IF($B33="","",SUM(C33:N33))</f>
        <v/>
      </c>
      <c r="P33" s="58">
        <f>'KQuote Mitarbeiter'!E33</f>
        <v/>
      </c>
      <c r="Q33" s="67">
        <f>'KQuote Mitarbeiter'!L33</f>
        <v/>
      </c>
      <c r="R33" s="58">
        <f>'KQuote Mitarbeiter'!D33</f>
        <v/>
      </c>
      <c r="S33" s="67">
        <f>'KQuote Mitarbeiter'!K33</f>
        <v/>
      </c>
    </row>
    <row r="34">
      <c r="A34" s="49">
        <f>'KQuote Mitarbeiter'!A34</f>
        <v/>
      </c>
      <c r="B34" s="50">
        <f>'KQuote Mitarbeiter'!B34</f>
        <v/>
      </c>
      <c r="C34" s="59">
        <f>IF($B34="","",(N(Krankheitstage!D34)+N(Krankheitstage!Q34))*N(Krankheitstage!C34))</f>
        <v/>
      </c>
      <c r="D34" s="59">
        <f>IF($B34="","",(N(Krankheitstage!E34)+N(Krankheitstage!R34))*N(Krankheitstage!C34))</f>
        <v/>
      </c>
      <c r="E34" s="59">
        <f>IF($B34="","",(N(Krankheitstage!F34)+N(Krankheitstage!S34))*N(Krankheitstage!C34))</f>
        <v/>
      </c>
      <c r="F34" s="59">
        <f>IF($B34="","",(N(Krankheitstage!G34)+N(Krankheitstage!T34))*N(Krankheitstage!C34))</f>
        <v/>
      </c>
      <c r="G34" s="59">
        <f>IF($B34="","",(N(Krankheitstage!H34)+N(Krankheitstage!U34))*N(Krankheitstage!C34))</f>
        <v/>
      </c>
      <c r="H34" s="59">
        <f>IF($B34="","",(N(Krankheitstage!I34)+N(Krankheitstage!V34))*N(Krankheitstage!C34))</f>
        <v/>
      </c>
      <c r="I34" s="59">
        <f>IF($B34="","",(N(Krankheitstage!J34)+N(Krankheitstage!W34))*N(Krankheitstage!C34))</f>
        <v/>
      </c>
      <c r="J34" s="59">
        <f>IF($B34="","",(N(Krankheitstage!K34)+N(Krankheitstage!X34))*N(Krankheitstage!C34))</f>
        <v/>
      </c>
      <c r="K34" s="59">
        <f>IF($B34="","",(N(Krankheitstage!L34)+N(Krankheitstage!Y34))*N(Krankheitstage!C34))</f>
        <v/>
      </c>
      <c r="L34" s="59">
        <f>IF($B34="","",(N(Krankheitstage!M34)+N(Krankheitstage!Z34))*N(Krankheitstage!C34))</f>
        <v/>
      </c>
      <c r="M34" s="59">
        <f>IF($B34="","",(N(Krankheitstage!N34)+N(Krankheitstage!AA34))*N(Krankheitstage!C34))</f>
        <v/>
      </c>
      <c r="N34" s="59">
        <f>IF($B34="","",(N(Krankheitstage!O34)+N(Krankheitstage!AB34))*N(Krankheitstage!C34))</f>
        <v/>
      </c>
      <c r="O34" s="66">
        <f>IF($B34="","",SUM(C34:N34))</f>
        <v/>
      </c>
      <c r="P34" s="58">
        <f>'KQuote Mitarbeiter'!E34</f>
        <v/>
      </c>
      <c r="Q34" s="67">
        <f>'KQuote Mitarbeiter'!L34</f>
        <v/>
      </c>
      <c r="R34" s="58">
        <f>'KQuote Mitarbeiter'!D34</f>
        <v/>
      </c>
      <c r="S34" s="67">
        <f>'KQuote Mitarbeiter'!K34</f>
        <v/>
      </c>
    </row>
    <row r="35">
      <c r="A35" s="49">
        <f>'KQuote Mitarbeiter'!A35</f>
        <v/>
      </c>
      <c r="B35" s="50">
        <f>'KQuote Mitarbeiter'!B35</f>
        <v/>
      </c>
      <c r="C35" s="59">
        <f>IF($B35="","",(N(Krankheitstage!D35)+N(Krankheitstage!Q35))*N(Krankheitstage!C35))</f>
        <v/>
      </c>
      <c r="D35" s="59">
        <f>IF($B35="","",(N(Krankheitstage!E35)+N(Krankheitstage!R35))*N(Krankheitstage!C35))</f>
        <v/>
      </c>
      <c r="E35" s="59">
        <f>IF($B35="","",(N(Krankheitstage!F35)+N(Krankheitstage!S35))*N(Krankheitstage!C35))</f>
        <v/>
      </c>
      <c r="F35" s="59">
        <f>IF($B35="","",(N(Krankheitstage!G35)+N(Krankheitstage!T35))*N(Krankheitstage!C35))</f>
        <v/>
      </c>
      <c r="G35" s="59">
        <f>IF($B35="","",(N(Krankheitstage!H35)+N(Krankheitstage!U35))*N(Krankheitstage!C35))</f>
        <v/>
      </c>
      <c r="H35" s="59">
        <f>IF($B35="","",(N(Krankheitstage!I35)+N(Krankheitstage!V35))*N(Krankheitstage!C35))</f>
        <v/>
      </c>
      <c r="I35" s="59">
        <f>IF($B35="","",(N(Krankheitstage!J35)+N(Krankheitstage!W35))*N(Krankheitstage!C35))</f>
        <v/>
      </c>
      <c r="J35" s="59">
        <f>IF($B35="","",(N(Krankheitstage!K35)+N(Krankheitstage!X35))*N(Krankheitstage!C35))</f>
        <v/>
      </c>
      <c r="K35" s="59">
        <f>IF($B35="","",(N(Krankheitstage!L35)+N(Krankheitstage!Y35))*N(Krankheitstage!C35))</f>
        <v/>
      </c>
      <c r="L35" s="59">
        <f>IF($B35="","",(N(Krankheitstage!M35)+N(Krankheitstage!Z35))*N(Krankheitstage!C35))</f>
        <v/>
      </c>
      <c r="M35" s="59">
        <f>IF($B35="","",(N(Krankheitstage!N35)+N(Krankheitstage!AA35))*N(Krankheitstage!C35))</f>
        <v/>
      </c>
      <c r="N35" s="59">
        <f>IF($B35="","",(N(Krankheitstage!O35)+N(Krankheitstage!AB35))*N(Krankheitstage!C35))</f>
        <v/>
      </c>
      <c r="O35" s="66">
        <f>IF($B35="","",SUM(C35:N35))</f>
        <v/>
      </c>
      <c r="P35" s="58">
        <f>'KQuote Mitarbeiter'!E35</f>
        <v/>
      </c>
      <c r="Q35" s="67">
        <f>'KQuote Mitarbeiter'!L35</f>
        <v/>
      </c>
      <c r="R35" s="58">
        <f>'KQuote Mitarbeiter'!D35</f>
        <v/>
      </c>
      <c r="S35" s="67">
        <f>'KQuote Mitarbeiter'!K35</f>
        <v/>
      </c>
    </row>
    <row r="36">
      <c r="A36" s="49">
        <f>'KQuote Mitarbeiter'!A36</f>
        <v/>
      </c>
      <c r="B36" s="50">
        <f>'KQuote Mitarbeiter'!B36</f>
        <v/>
      </c>
      <c r="C36" s="59">
        <f>IF($B36="","",(N(Krankheitstage!D36)+N(Krankheitstage!Q36))*N(Krankheitstage!C36))</f>
        <v/>
      </c>
      <c r="D36" s="59">
        <f>IF($B36="","",(N(Krankheitstage!E36)+N(Krankheitstage!R36))*N(Krankheitstage!C36))</f>
        <v/>
      </c>
      <c r="E36" s="59">
        <f>IF($B36="","",(N(Krankheitstage!F36)+N(Krankheitstage!S36))*N(Krankheitstage!C36))</f>
        <v/>
      </c>
      <c r="F36" s="59">
        <f>IF($B36="","",(N(Krankheitstage!G36)+N(Krankheitstage!T36))*N(Krankheitstage!C36))</f>
        <v/>
      </c>
      <c r="G36" s="59">
        <f>IF($B36="","",(N(Krankheitstage!H36)+N(Krankheitstage!U36))*N(Krankheitstage!C36))</f>
        <v/>
      </c>
      <c r="H36" s="59">
        <f>IF($B36="","",(N(Krankheitstage!I36)+N(Krankheitstage!V36))*N(Krankheitstage!C36))</f>
        <v/>
      </c>
      <c r="I36" s="59">
        <f>IF($B36="","",(N(Krankheitstage!J36)+N(Krankheitstage!W36))*N(Krankheitstage!C36))</f>
        <v/>
      </c>
      <c r="J36" s="59">
        <f>IF($B36="","",(N(Krankheitstage!K36)+N(Krankheitstage!X36))*N(Krankheitstage!C36))</f>
        <v/>
      </c>
      <c r="K36" s="59">
        <f>IF($B36="","",(N(Krankheitstage!L36)+N(Krankheitstage!Y36))*N(Krankheitstage!C36))</f>
        <v/>
      </c>
      <c r="L36" s="59">
        <f>IF($B36="","",(N(Krankheitstage!M36)+N(Krankheitstage!Z36))*N(Krankheitstage!C36))</f>
        <v/>
      </c>
      <c r="M36" s="59">
        <f>IF($B36="","",(N(Krankheitstage!N36)+N(Krankheitstage!AA36))*N(Krankheitstage!C36))</f>
        <v/>
      </c>
      <c r="N36" s="59">
        <f>IF($B36="","",(N(Krankheitstage!O36)+N(Krankheitstage!AB36))*N(Krankheitstage!C36))</f>
        <v/>
      </c>
      <c r="O36" s="66">
        <f>IF($B36="","",SUM(C36:N36))</f>
        <v/>
      </c>
      <c r="P36" s="58">
        <f>'KQuote Mitarbeiter'!E36</f>
        <v/>
      </c>
      <c r="Q36" s="67">
        <f>'KQuote Mitarbeiter'!L36</f>
        <v/>
      </c>
      <c r="R36" s="58">
        <f>'KQuote Mitarbeiter'!D36</f>
        <v/>
      </c>
      <c r="S36" s="67">
        <f>'KQuote Mitarbeiter'!K36</f>
        <v/>
      </c>
    </row>
    <row r="37">
      <c r="A37" s="49">
        <f>'KQuote Mitarbeiter'!A37</f>
        <v/>
      </c>
      <c r="B37" s="50">
        <f>'KQuote Mitarbeiter'!B37</f>
        <v/>
      </c>
      <c r="C37" s="59">
        <f>IF($B37="","",(N(Krankheitstage!D37)+N(Krankheitstage!Q37))*N(Krankheitstage!C37))</f>
        <v/>
      </c>
      <c r="D37" s="59">
        <f>IF($B37="","",(N(Krankheitstage!E37)+N(Krankheitstage!R37))*N(Krankheitstage!C37))</f>
        <v/>
      </c>
      <c r="E37" s="59">
        <f>IF($B37="","",(N(Krankheitstage!F37)+N(Krankheitstage!S37))*N(Krankheitstage!C37))</f>
        <v/>
      </c>
      <c r="F37" s="59">
        <f>IF($B37="","",(N(Krankheitstage!G37)+N(Krankheitstage!T37))*N(Krankheitstage!C37))</f>
        <v/>
      </c>
      <c r="G37" s="59">
        <f>IF($B37="","",(N(Krankheitstage!H37)+N(Krankheitstage!U37))*N(Krankheitstage!C37))</f>
        <v/>
      </c>
      <c r="H37" s="59">
        <f>IF($B37="","",(N(Krankheitstage!I37)+N(Krankheitstage!V37))*N(Krankheitstage!C37))</f>
        <v/>
      </c>
      <c r="I37" s="59">
        <f>IF($B37="","",(N(Krankheitstage!J37)+N(Krankheitstage!W37))*N(Krankheitstage!C37))</f>
        <v/>
      </c>
      <c r="J37" s="59">
        <f>IF($B37="","",(N(Krankheitstage!K37)+N(Krankheitstage!X37))*N(Krankheitstage!C37))</f>
        <v/>
      </c>
      <c r="K37" s="59">
        <f>IF($B37="","",(N(Krankheitstage!L37)+N(Krankheitstage!Y37))*N(Krankheitstage!C37))</f>
        <v/>
      </c>
      <c r="L37" s="59">
        <f>IF($B37="","",(N(Krankheitstage!M37)+N(Krankheitstage!Z37))*N(Krankheitstage!C37))</f>
        <v/>
      </c>
      <c r="M37" s="59">
        <f>IF($B37="","",(N(Krankheitstage!N37)+N(Krankheitstage!AA37))*N(Krankheitstage!C37))</f>
        <v/>
      </c>
      <c r="N37" s="59">
        <f>IF($B37="","",(N(Krankheitstage!O37)+N(Krankheitstage!AB37))*N(Krankheitstage!C37))</f>
        <v/>
      </c>
      <c r="O37" s="66">
        <f>IF($B37="","",SUM(C37:N37))</f>
        <v/>
      </c>
      <c r="P37" s="58">
        <f>'KQuote Mitarbeiter'!E37</f>
        <v/>
      </c>
      <c r="Q37" s="67">
        <f>'KQuote Mitarbeiter'!L37</f>
        <v/>
      </c>
      <c r="R37" s="58">
        <f>'KQuote Mitarbeiter'!D37</f>
        <v/>
      </c>
      <c r="S37" s="67">
        <f>'KQuote Mitarbeiter'!K37</f>
        <v/>
      </c>
    </row>
    <row r="38">
      <c r="A38" s="49">
        <f>'KQuote Mitarbeiter'!A38</f>
        <v/>
      </c>
      <c r="B38" s="50">
        <f>'KQuote Mitarbeiter'!B38</f>
        <v/>
      </c>
      <c r="C38" s="59">
        <f>IF($B38="","",(N(Krankheitstage!D38)+N(Krankheitstage!Q38))*N(Krankheitstage!C38))</f>
        <v/>
      </c>
      <c r="D38" s="59">
        <f>IF($B38="","",(N(Krankheitstage!E38)+N(Krankheitstage!R38))*N(Krankheitstage!C38))</f>
        <v/>
      </c>
      <c r="E38" s="59">
        <f>IF($B38="","",(N(Krankheitstage!F38)+N(Krankheitstage!S38))*N(Krankheitstage!C38))</f>
        <v/>
      </c>
      <c r="F38" s="59">
        <f>IF($B38="","",(N(Krankheitstage!G38)+N(Krankheitstage!T38))*N(Krankheitstage!C38))</f>
        <v/>
      </c>
      <c r="G38" s="59">
        <f>IF($B38="","",(N(Krankheitstage!H38)+N(Krankheitstage!U38))*N(Krankheitstage!C38))</f>
        <v/>
      </c>
      <c r="H38" s="59">
        <f>IF($B38="","",(N(Krankheitstage!I38)+N(Krankheitstage!V38))*N(Krankheitstage!C38))</f>
        <v/>
      </c>
      <c r="I38" s="59">
        <f>IF($B38="","",(N(Krankheitstage!J38)+N(Krankheitstage!W38))*N(Krankheitstage!C38))</f>
        <v/>
      </c>
      <c r="J38" s="59">
        <f>IF($B38="","",(N(Krankheitstage!K38)+N(Krankheitstage!X38))*N(Krankheitstage!C38))</f>
        <v/>
      </c>
      <c r="K38" s="59">
        <f>IF($B38="","",(N(Krankheitstage!L38)+N(Krankheitstage!Y38))*N(Krankheitstage!C38))</f>
        <v/>
      </c>
      <c r="L38" s="59">
        <f>IF($B38="","",(N(Krankheitstage!M38)+N(Krankheitstage!Z38))*N(Krankheitstage!C38))</f>
        <v/>
      </c>
      <c r="M38" s="59">
        <f>IF($B38="","",(N(Krankheitstage!N38)+N(Krankheitstage!AA38))*N(Krankheitstage!C38))</f>
        <v/>
      </c>
      <c r="N38" s="59">
        <f>IF($B38="","",(N(Krankheitstage!O38)+N(Krankheitstage!AB38))*N(Krankheitstage!C38))</f>
        <v/>
      </c>
      <c r="O38" s="66">
        <f>IF($B38="","",SUM(C38:N38))</f>
        <v/>
      </c>
      <c r="P38" s="58">
        <f>'KQuote Mitarbeiter'!E38</f>
        <v/>
      </c>
      <c r="Q38" s="67">
        <f>'KQuote Mitarbeiter'!L38</f>
        <v/>
      </c>
      <c r="R38" s="58">
        <f>'KQuote Mitarbeiter'!D38</f>
        <v/>
      </c>
      <c r="S38" s="67">
        <f>'KQuote Mitarbeiter'!K38</f>
        <v/>
      </c>
    </row>
    <row r="39">
      <c r="A39" s="49">
        <f>'KQuote Mitarbeiter'!A39</f>
        <v/>
      </c>
      <c r="B39" s="50">
        <f>'KQuote Mitarbeiter'!B39</f>
        <v/>
      </c>
      <c r="C39" s="59">
        <f>IF($B39="","",(N(Krankheitstage!D39)+N(Krankheitstage!Q39))*N(Krankheitstage!C39))</f>
        <v/>
      </c>
      <c r="D39" s="59">
        <f>IF($B39="","",(N(Krankheitstage!E39)+N(Krankheitstage!R39))*N(Krankheitstage!C39))</f>
        <v/>
      </c>
      <c r="E39" s="59">
        <f>IF($B39="","",(N(Krankheitstage!F39)+N(Krankheitstage!S39))*N(Krankheitstage!C39))</f>
        <v/>
      </c>
      <c r="F39" s="59">
        <f>IF($B39="","",(N(Krankheitstage!G39)+N(Krankheitstage!T39))*N(Krankheitstage!C39))</f>
        <v/>
      </c>
      <c r="G39" s="59">
        <f>IF($B39="","",(N(Krankheitstage!H39)+N(Krankheitstage!U39))*N(Krankheitstage!C39))</f>
        <v/>
      </c>
      <c r="H39" s="59">
        <f>IF($B39="","",(N(Krankheitstage!I39)+N(Krankheitstage!V39))*N(Krankheitstage!C39))</f>
        <v/>
      </c>
      <c r="I39" s="59">
        <f>IF($B39="","",(N(Krankheitstage!J39)+N(Krankheitstage!W39))*N(Krankheitstage!C39))</f>
        <v/>
      </c>
      <c r="J39" s="59">
        <f>IF($B39="","",(N(Krankheitstage!K39)+N(Krankheitstage!X39))*N(Krankheitstage!C39))</f>
        <v/>
      </c>
      <c r="K39" s="59">
        <f>IF($B39="","",(N(Krankheitstage!L39)+N(Krankheitstage!Y39))*N(Krankheitstage!C39))</f>
        <v/>
      </c>
      <c r="L39" s="59">
        <f>IF($B39="","",(N(Krankheitstage!M39)+N(Krankheitstage!Z39))*N(Krankheitstage!C39))</f>
        <v/>
      </c>
      <c r="M39" s="59">
        <f>IF($B39="","",(N(Krankheitstage!N39)+N(Krankheitstage!AA39))*N(Krankheitstage!C39))</f>
        <v/>
      </c>
      <c r="N39" s="59">
        <f>IF($B39="","",(N(Krankheitstage!O39)+N(Krankheitstage!AB39))*N(Krankheitstage!C39))</f>
        <v/>
      </c>
      <c r="O39" s="66">
        <f>IF($B39="","",SUM(C39:N39))</f>
        <v/>
      </c>
      <c r="P39" s="58">
        <f>'KQuote Mitarbeiter'!E39</f>
        <v/>
      </c>
      <c r="Q39" s="67">
        <f>'KQuote Mitarbeiter'!L39</f>
        <v/>
      </c>
      <c r="R39" s="58">
        <f>'KQuote Mitarbeiter'!D39</f>
        <v/>
      </c>
      <c r="S39" s="67">
        <f>'KQuote Mitarbeiter'!K39</f>
        <v/>
      </c>
    </row>
    <row r="40">
      <c r="A40" s="49">
        <f>'KQuote Mitarbeiter'!A40</f>
        <v/>
      </c>
      <c r="B40" s="50">
        <f>'KQuote Mitarbeiter'!B40</f>
        <v/>
      </c>
      <c r="C40" s="59">
        <f>IF($B40="","",(N(Krankheitstage!D40)+N(Krankheitstage!Q40))*N(Krankheitstage!C40))</f>
        <v/>
      </c>
      <c r="D40" s="59">
        <f>IF($B40="","",(N(Krankheitstage!E40)+N(Krankheitstage!R40))*N(Krankheitstage!C40))</f>
        <v/>
      </c>
      <c r="E40" s="59">
        <f>IF($B40="","",(N(Krankheitstage!F40)+N(Krankheitstage!S40))*N(Krankheitstage!C40))</f>
        <v/>
      </c>
      <c r="F40" s="59">
        <f>IF($B40="","",(N(Krankheitstage!G40)+N(Krankheitstage!T40))*N(Krankheitstage!C40))</f>
        <v/>
      </c>
      <c r="G40" s="59">
        <f>IF($B40="","",(N(Krankheitstage!H40)+N(Krankheitstage!U40))*N(Krankheitstage!C40))</f>
        <v/>
      </c>
      <c r="H40" s="59">
        <f>IF($B40="","",(N(Krankheitstage!I40)+N(Krankheitstage!V40))*N(Krankheitstage!C40))</f>
        <v/>
      </c>
      <c r="I40" s="59">
        <f>IF($B40="","",(N(Krankheitstage!J40)+N(Krankheitstage!W40))*N(Krankheitstage!C40))</f>
        <v/>
      </c>
      <c r="J40" s="59">
        <f>IF($B40="","",(N(Krankheitstage!K40)+N(Krankheitstage!X40))*N(Krankheitstage!C40))</f>
        <v/>
      </c>
      <c r="K40" s="59">
        <f>IF($B40="","",(N(Krankheitstage!L40)+N(Krankheitstage!Y40))*N(Krankheitstage!C40))</f>
        <v/>
      </c>
      <c r="L40" s="59">
        <f>IF($B40="","",(N(Krankheitstage!M40)+N(Krankheitstage!Z40))*N(Krankheitstage!C40))</f>
        <v/>
      </c>
      <c r="M40" s="59">
        <f>IF($B40="","",(N(Krankheitstage!N40)+N(Krankheitstage!AA40))*N(Krankheitstage!C40))</f>
        <v/>
      </c>
      <c r="N40" s="59">
        <f>IF($B40="","",(N(Krankheitstage!O40)+N(Krankheitstage!AB40))*N(Krankheitstage!C40))</f>
        <v/>
      </c>
      <c r="O40" s="66">
        <f>IF($B40="","",SUM(C40:N40))</f>
        <v/>
      </c>
      <c r="P40" s="58">
        <f>'KQuote Mitarbeiter'!E40</f>
        <v/>
      </c>
      <c r="Q40" s="67">
        <f>'KQuote Mitarbeiter'!L40</f>
        <v/>
      </c>
      <c r="R40" s="58">
        <f>'KQuote Mitarbeiter'!D40</f>
        <v/>
      </c>
      <c r="S40" s="67">
        <f>'KQuote Mitarbeiter'!K40</f>
        <v/>
      </c>
    </row>
    <row r="41">
      <c r="A41" s="49">
        <f>'KQuote Mitarbeiter'!A41</f>
        <v/>
      </c>
      <c r="B41" s="50">
        <f>'KQuote Mitarbeiter'!B41</f>
        <v/>
      </c>
      <c r="C41" s="59">
        <f>IF($B41="","",(N(Krankheitstage!D41)+N(Krankheitstage!Q41))*N(Krankheitstage!C41))</f>
        <v/>
      </c>
      <c r="D41" s="59">
        <f>IF($B41="","",(N(Krankheitstage!E41)+N(Krankheitstage!R41))*N(Krankheitstage!C41))</f>
        <v/>
      </c>
      <c r="E41" s="59">
        <f>IF($B41="","",(N(Krankheitstage!F41)+N(Krankheitstage!S41))*N(Krankheitstage!C41))</f>
        <v/>
      </c>
      <c r="F41" s="59">
        <f>IF($B41="","",(N(Krankheitstage!G41)+N(Krankheitstage!T41))*N(Krankheitstage!C41))</f>
        <v/>
      </c>
      <c r="G41" s="59">
        <f>IF($B41="","",(N(Krankheitstage!H41)+N(Krankheitstage!U41))*N(Krankheitstage!C41))</f>
        <v/>
      </c>
      <c r="H41" s="59">
        <f>IF($B41="","",(N(Krankheitstage!I41)+N(Krankheitstage!V41))*N(Krankheitstage!C41))</f>
        <v/>
      </c>
      <c r="I41" s="59">
        <f>IF($B41="","",(N(Krankheitstage!J41)+N(Krankheitstage!W41))*N(Krankheitstage!C41))</f>
        <v/>
      </c>
      <c r="J41" s="59">
        <f>IF($B41="","",(N(Krankheitstage!K41)+N(Krankheitstage!X41))*N(Krankheitstage!C41))</f>
        <v/>
      </c>
      <c r="K41" s="59">
        <f>IF($B41="","",(N(Krankheitstage!L41)+N(Krankheitstage!Y41))*N(Krankheitstage!C41))</f>
        <v/>
      </c>
      <c r="L41" s="59">
        <f>IF($B41="","",(N(Krankheitstage!M41)+N(Krankheitstage!Z41))*N(Krankheitstage!C41))</f>
        <v/>
      </c>
      <c r="M41" s="59">
        <f>IF($B41="","",(N(Krankheitstage!N41)+N(Krankheitstage!AA41))*N(Krankheitstage!C41))</f>
        <v/>
      </c>
      <c r="N41" s="59">
        <f>IF($B41="","",(N(Krankheitstage!O41)+N(Krankheitstage!AB41))*N(Krankheitstage!C41))</f>
        <v/>
      </c>
      <c r="O41" s="66">
        <f>IF($B41="","",SUM(C41:N41))</f>
        <v/>
      </c>
      <c r="P41" s="58">
        <f>'KQuote Mitarbeiter'!E41</f>
        <v/>
      </c>
      <c r="Q41" s="67">
        <f>'KQuote Mitarbeiter'!L41</f>
        <v/>
      </c>
      <c r="R41" s="58">
        <f>'KQuote Mitarbeiter'!D41</f>
        <v/>
      </c>
      <c r="S41" s="67">
        <f>'KQuote Mitarbeiter'!K41</f>
        <v/>
      </c>
    </row>
    <row r="42">
      <c r="A42" s="49">
        <f>'KQuote Mitarbeiter'!A42</f>
        <v/>
      </c>
      <c r="B42" s="50">
        <f>'KQuote Mitarbeiter'!B42</f>
        <v/>
      </c>
      <c r="C42" s="59">
        <f>IF($B42="","",(N(Krankheitstage!D42)+N(Krankheitstage!Q42))*N(Krankheitstage!C42))</f>
        <v/>
      </c>
      <c r="D42" s="59">
        <f>IF($B42="","",(N(Krankheitstage!E42)+N(Krankheitstage!R42))*N(Krankheitstage!C42))</f>
        <v/>
      </c>
      <c r="E42" s="59">
        <f>IF($B42="","",(N(Krankheitstage!F42)+N(Krankheitstage!S42))*N(Krankheitstage!C42))</f>
        <v/>
      </c>
      <c r="F42" s="59">
        <f>IF($B42="","",(N(Krankheitstage!G42)+N(Krankheitstage!T42))*N(Krankheitstage!C42))</f>
        <v/>
      </c>
      <c r="G42" s="59">
        <f>IF($B42="","",(N(Krankheitstage!H42)+N(Krankheitstage!U42))*N(Krankheitstage!C42))</f>
        <v/>
      </c>
      <c r="H42" s="59">
        <f>IF($B42="","",(N(Krankheitstage!I42)+N(Krankheitstage!V42))*N(Krankheitstage!C42))</f>
        <v/>
      </c>
      <c r="I42" s="59">
        <f>IF($B42="","",(N(Krankheitstage!J42)+N(Krankheitstage!W42))*N(Krankheitstage!C42))</f>
        <v/>
      </c>
      <c r="J42" s="59">
        <f>IF($B42="","",(N(Krankheitstage!K42)+N(Krankheitstage!X42))*N(Krankheitstage!C42))</f>
        <v/>
      </c>
      <c r="K42" s="59">
        <f>IF($B42="","",(N(Krankheitstage!L42)+N(Krankheitstage!Y42))*N(Krankheitstage!C42))</f>
        <v/>
      </c>
      <c r="L42" s="59">
        <f>IF($B42="","",(N(Krankheitstage!M42)+N(Krankheitstage!Z42))*N(Krankheitstage!C42))</f>
        <v/>
      </c>
      <c r="M42" s="59">
        <f>IF($B42="","",(N(Krankheitstage!N42)+N(Krankheitstage!AA42))*N(Krankheitstage!C42))</f>
        <v/>
      </c>
      <c r="N42" s="59">
        <f>IF($B42="","",(N(Krankheitstage!O42)+N(Krankheitstage!AB42))*N(Krankheitstage!C42))</f>
        <v/>
      </c>
      <c r="O42" s="66">
        <f>IF($B42="","",SUM(C42:N42))</f>
        <v/>
      </c>
      <c r="P42" s="58">
        <f>'KQuote Mitarbeiter'!E42</f>
        <v/>
      </c>
      <c r="Q42" s="67">
        <f>'KQuote Mitarbeiter'!L42</f>
        <v/>
      </c>
      <c r="R42" s="58">
        <f>'KQuote Mitarbeiter'!D42</f>
        <v/>
      </c>
      <c r="S42" s="67">
        <f>'KQuote Mitarbeiter'!K42</f>
        <v/>
      </c>
    </row>
    <row r="43">
      <c r="A43" s="49">
        <f>'KQuote Mitarbeiter'!A43</f>
        <v/>
      </c>
      <c r="B43" s="50">
        <f>'KQuote Mitarbeiter'!B43</f>
        <v/>
      </c>
      <c r="C43" s="59">
        <f>IF($B43="","",(N(Krankheitstage!D43)+N(Krankheitstage!Q43))*N(Krankheitstage!C43))</f>
        <v/>
      </c>
      <c r="D43" s="59">
        <f>IF($B43="","",(N(Krankheitstage!E43)+N(Krankheitstage!R43))*N(Krankheitstage!C43))</f>
        <v/>
      </c>
      <c r="E43" s="59">
        <f>IF($B43="","",(N(Krankheitstage!F43)+N(Krankheitstage!S43))*N(Krankheitstage!C43))</f>
        <v/>
      </c>
      <c r="F43" s="59">
        <f>IF($B43="","",(N(Krankheitstage!G43)+N(Krankheitstage!T43))*N(Krankheitstage!C43))</f>
        <v/>
      </c>
      <c r="G43" s="59">
        <f>IF($B43="","",(N(Krankheitstage!H43)+N(Krankheitstage!U43))*N(Krankheitstage!C43))</f>
        <v/>
      </c>
      <c r="H43" s="59">
        <f>IF($B43="","",(N(Krankheitstage!I43)+N(Krankheitstage!V43))*N(Krankheitstage!C43))</f>
        <v/>
      </c>
      <c r="I43" s="59">
        <f>IF($B43="","",(N(Krankheitstage!J43)+N(Krankheitstage!W43))*N(Krankheitstage!C43))</f>
        <v/>
      </c>
      <c r="J43" s="59">
        <f>IF($B43="","",(N(Krankheitstage!K43)+N(Krankheitstage!X43))*N(Krankheitstage!C43))</f>
        <v/>
      </c>
      <c r="K43" s="59">
        <f>IF($B43="","",(N(Krankheitstage!L43)+N(Krankheitstage!Y43))*N(Krankheitstage!C43))</f>
        <v/>
      </c>
      <c r="L43" s="59">
        <f>IF($B43="","",(N(Krankheitstage!M43)+N(Krankheitstage!Z43))*N(Krankheitstage!C43))</f>
        <v/>
      </c>
      <c r="M43" s="59">
        <f>IF($B43="","",(N(Krankheitstage!N43)+N(Krankheitstage!AA43))*N(Krankheitstage!C43))</f>
        <v/>
      </c>
      <c r="N43" s="59">
        <f>IF($B43="","",(N(Krankheitstage!O43)+N(Krankheitstage!AB43))*N(Krankheitstage!C43))</f>
        <v/>
      </c>
      <c r="O43" s="66">
        <f>IF($B43="","",SUM(C43:N43))</f>
        <v/>
      </c>
      <c r="P43" s="58">
        <f>'KQuote Mitarbeiter'!E43</f>
        <v/>
      </c>
      <c r="Q43" s="67">
        <f>'KQuote Mitarbeiter'!L43</f>
        <v/>
      </c>
      <c r="R43" s="58">
        <f>'KQuote Mitarbeiter'!D43</f>
        <v/>
      </c>
      <c r="S43" s="67">
        <f>'KQuote Mitarbeiter'!K43</f>
        <v/>
      </c>
    </row>
    <row r="44">
      <c r="A44" s="49">
        <f>'KQuote Mitarbeiter'!A44</f>
        <v/>
      </c>
      <c r="B44" s="50">
        <f>'KQuote Mitarbeiter'!B44</f>
        <v/>
      </c>
      <c r="C44" s="59">
        <f>IF($B44="","",(N(Krankheitstage!D44)+N(Krankheitstage!Q44))*N(Krankheitstage!C44))</f>
        <v/>
      </c>
      <c r="D44" s="59">
        <f>IF($B44="","",(N(Krankheitstage!E44)+N(Krankheitstage!R44))*N(Krankheitstage!C44))</f>
        <v/>
      </c>
      <c r="E44" s="59">
        <f>IF($B44="","",(N(Krankheitstage!F44)+N(Krankheitstage!S44))*N(Krankheitstage!C44))</f>
        <v/>
      </c>
      <c r="F44" s="59">
        <f>IF($B44="","",(N(Krankheitstage!G44)+N(Krankheitstage!T44))*N(Krankheitstage!C44))</f>
        <v/>
      </c>
      <c r="G44" s="59">
        <f>IF($B44="","",(N(Krankheitstage!H44)+N(Krankheitstage!U44))*N(Krankheitstage!C44))</f>
        <v/>
      </c>
      <c r="H44" s="59">
        <f>IF($B44="","",(N(Krankheitstage!I44)+N(Krankheitstage!V44))*N(Krankheitstage!C44))</f>
        <v/>
      </c>
      <c r="I44" s="59">
        <f>IF($B44="","",(N(Krankheitstage!J44)+N(Krankheitstage!W44))*N(Krankheitstage!C44))</f>
        <v/>
      </c>
      <c r="J44" s="59">
        <f>IF($B44="","",(N(Krankheitstage!K44)+N(Krankheitstage!X44))*N(Krankheitstage!C44))</f>
        <v/>
      </c>
      <c r="K44" s="59">
        <f>IF($B44="","",(N(Krankheitstage!L44)+N(Krankheitstage!Y44))*N(Krankheitstage!C44))</f>
        <v/>
      </c>
      <c r="L44" s="59">
        <f>IF($B44="","",(N(Krankheitstage!M44)+N(Krankheitstage!Z44))*N(Krankheitstage!C44))</f>
        <v/>
      </c>
      <c r="M44" s="59">
        <f>IF($B44="","",(N(Krankheitstage!N44)+N(Krankheitstage!AA44))*N(Krankheitstage!C44))</f>
        <v/>
      </c>
      <c r="N44" s="59">
        <f>IF($B44="","",(N(Krankheitstage!O44)+N(Krankheitstage!AB44))*N(Krankheitstage!C44))</f>
        <v/>
      </c>
      <c r="O44" s="66">
        <f>IF($B44="","",SUM(C44:N44))</f>
        <v/>
      </c>
      <c r="P44" s="58">
        <f>'KQuote Mitarbeiter'!E44</f>
        <v/>
      </c>
      <c r="Q44" s="67">
        <f>'KQuote Mitarbeiter'!L44</f>
        <v/>
      </c>
      <c r="R44" s="58">
        <f>'KQuote Mitarbeiter'!D44</f>
        <v/>
      </c>
      <c r="S44" s="67">
        <f>'KQuote Mitarbeiter'!K44</f>
        <v/>
      </c>
    </row>
    <row r="45">
      <c r="A45" s="49">
        <f>'KQuote Mitarbeiter'!A45</f>
        <v/>
      </c>
      <c r="B45" s="50">
        <f>'KQuote Mitarbeiter'!B45</f>
        <v/>
      </c>
      <c r="C45" s="59">
        <f>IF($B45="","",(N(Krankheitstage!D45)+N(Krankheitstage!Q45))*N(Krankheitstage!C45))</f>
        <v/>
      </c>
      <c r="D45" s="59">
        <f>IF($B45="","",(N(Krankheitstage!E45)+N(Krankheitstage!R45))*N(Krankheitstage!C45))</f>
        <v/>
      </c>
      <c r="E45" s="59">
        <f>IF($B45="","",(N(Krankheitstage!F45)+N(Krankheitstage!S45))*N(Krankheitstage!C45))</f>
        <v/>
      </c>
      <c r="F45" s="59">
        <f>IF($B45="","",(N(Krankheitstage!G45)+N(Krankheitstage!T45))*N(Krankheitstage!C45))</f>
        <v/>
      </c>
      <c r="G45" s="59">
        <f>IF($B45="","",(N(Krankheitstage!H45)+N(Krankheitstage!U45))*N(Krankheitstage!C45))</f>
        <v/>
      </c>
      <c r="H45" s="59">
        <f>IF($B45="","",(N(Krankheitstage!I45)+N(Krankheitstage!V45))*N(Krankheitstage!C45))</f>
        <v/>
      </c>
      <c r="I45" s="59">
        <f>IF($B45="","",(N(Krankheitstage!J45)+N(Krankheitstage!W45))*N(Krankheitstage!C45))</f>
        <v/>
      </c>
      <c r="J45" s="59">
        <f>IF($B45="","",(N(Krankheitstage!K45)+N(Krankheitstage!X45))*N(Krankheitstage!C45))</f>
        <v/>
      </c>
      <c r="K45" s="59">
        <f>IF($B45="","",(N(Krankheitstage!L45)+N(Krankheitstage!Y45))*N(Krankheitstage!C45))</f>
        <v/>
      </c>
      <c r="L45" s="59">
        <f>IF($B45="","",(N(Krankheitstage!M45)+N(Krankheitstage!Z45))*N(Krankheitstage!C45))</f>
        <v/>
      </c>
      <c r="M45" s="59">
        <f>IF($B45="","",(N(Krankheitstage!N45)+N(Krankheitstage!AA45))*N(Krankheitstage!C45))</f>
        <v/>
      </c>
      <c r="N45" s="59">
        <f>IF($B45="","",(N(Krankheitstage!O45)+N(Krankheitstage!AB45))*N(Krankheitstage!C45))</f>
        <v/>
      </c>
      <c r="O45" s="66">
        <f>IF($B45="","",SUM(C45:N45))</f>
        <v/>
      </c>
      <c r="P45" s="58">
        <f>'KQuote Mitarbeiter'!E45</f>
        <v/>
      </c>
      <c r="Q45" s="67">
        <f>'KQuote Mitarbeiter'!L45</f>
        <v/>
      </c>
      <c r="R45" s="58">
        <f>'KQuote Mitarbeiter'!D45</f>
        <v/>
      </c>
      <c r="S45" s="67">
        <f>'KQuote Mitarbeiter'!K45</f>
        <v/>
      </c>
    </row>
    <row r="46">
      <c r="A46" s="49">
        <f>'KQuote Mitarbeiter'!A46</f>
        <v/>
      </c>
      <c r="B46" s="50">
        <f>'KQuote Mitarbeiter'!B46</f>
        <v/>
      </c>
      <c r="C46" s="59">
        <f>IF($B46="","",(N(Krankheitstage!D46)+N(Krankheitstage!Q46))*N(Krankheitstage!C46))</f>
        <v/>
      </c>
      <c r="D46" s="59">
        <f>IF($B46="","",(N(Krankheitstage!E46)+N(Krankheitstage!R46))*N(Krankheitstage!C46))</f>
        <v/>
      </c>
      <c r="E46" s="59">
        <f>IF($B46="","",(N(Krankheitstage!F46)+N(Krankheitstage!S46))*N(Krankheitstage!C46))</f>
        <v/>
      </c>
      <c r="F46" s="59">
        <f>IF($B46="","",(N(Krankheitstage!G46)+N(Krankheitstage!T46))*N(Krankheitstage!C46))</f>
        <v/>
      </c>
      <c r="G46" s="59">
        <f>IF($B46="","",(N(Krankheitstage!H46)+N(Krankheitstage!U46))*N(Krankheitstage!C46))</f>
        <v/>
      </c>
      <c r="H46" s="59">
        <f>IF($B46="","",(N(Krankheitstage!I46)+N(Krankheitstage!V46))*N(Krankheitstage!C46))</f>
        <v/>
      </c>
      <c r="I46" s="59">
        <f>IF($B46="","",(N(Krankheitstage!J46)+N(Krankheitstage!W46))*N(Krankheitstage!C46))</f>
        <v/>
      </c>
      <c r="J46" s="59">
        <f>IF($B46="","",(N(Krankheitstage!K46)+N(Krankheitstage!X46))*N(Krankheitstage!C46))</f>
        <v/>
      </c>
      <c r="K46" s="59">
        <f>IF($B46="","",(N(Krankheitstage!L46)+N(Krankheitstage!Y46))*N(Krankheitstage!C46))</f>
        <v/>
      </c>
      <c r="L46" s="59">
        <f>IF($B46="","",(N(Krankheitstage!M46)+N(Krankheitstage!Z46))*N(Krankheitstage!C46))</f>
        <v/>
      </c>
      <c r="M46" s="59">
        <f>IF($B46="","",(N(Krankheitstage!N46)+N(Krankheitstage!AA46))*N(Krankheitstage!C46))</f>
        <v/>
      </c>
      <c r="N46" s="59">
        <f>IF($B46="","",(N(Krankheitstage!O46)+N(Krankheitstage!AB46))*N(Krankheitstage!C46))</f>
        <v/>
      </c>
      <c r="O46" s="66">
        <f>IF($B46="","",SUM(C46:N46))</f>
        <v/>
      </c>
      <c r="P46" s="58">
        <f>'KQuote Mitarbeiter'!E46</f>
        <v/>
      </c>
      <c r="Q46" s="67">
        <f>'KQuote Mitarbeiter'!L46</f>
        <v/>
      </c>
      <c r="R46" s="58">
        <f>'KQuote Mitarbeiter'!D46</f>
        <v/>
      </c>
      <c r="S46" s="67">
        <f>'KQuote Mitarbeiter'!K46</f>
        <v/>
      </c>
    </row>
    <row r="47">
      <c r="A47" s="49">
        <f>'KQuote Mitarbeiter'!A47</f>
        <v/>
      </c>
      <c r="B47" s="50">
        <f>'KQuote Mitarbeiter'!B47</f>
        <v/>
      </c>
      <c r="C47" s="59">
        <f>IF($B47="","",(N(Krankheitstage!D47)+N(Krankheitstage!Q47))*N(Krankheitstage!C47))</f>
        <v/>
      </c>
      <c r="D47" s="59">
        <f>IF($B47="","",(N(Krankheitstage!E47)+N(Krankheitstage!R47))*N(Krankheitstage!C47))</f>
        <v/>
      </c>
      <c r="E47" s="59">
        <f>IF($B47="","",(N(Krankheitstage!F47)+N(Krankheitstage!S47))*N(Krankheitstage!C47))</f>
        <v/>
      </c>
      <c r="F47" s="59">
        <f>IF($B47="","",(N(Krankheitstage!G47)+N(Krankheitstage!T47))*N(Krankheitstage!C47))</f>
        <v/>
      </c>
      <c r="G47" s="59">
        <f>IF($B47="","",(N(Krankheitstage!H47)+N(Krankheitstage!U47))*N(Krankheitstage!C47))</f>
        <v/>
      </c>
      <c r="H47" s="59">
        <f>IF($B47="","",(N(Krankheitstage!I47)+N(Krankheitstage!V47))*N(Krankheitstage!C47))</f>
        <v/>
      </c>
      <c r="I47" s="59">
        <f>IF($B47="","",(N(Krankheitstage!J47)+N(Krankheitstage!W47))*N(Krankheitstage!C47))</f>
        <v/>
      </c>
      <c r="J47" s="59">
        <f>IF($B47="","",(N(Krankheitstage!K47)+N(Krankheitstage!X47))*N(Krankheitstage!C47))</f>
        <v/>
      </c>
      <c r="K47" s="59">
        <f>IF($B47="","",(N(Krankheitstage!L47)+N(Krankheitstage!Y47))*N(Krankheitstage!C47))</f>
        <v/>
      </c>
      <c r="L47" s="59">
        <f>IF($B47="","",(N(Krankheitstage!M47)+N(Krankheitstage!Z47))*N(Krankheitstage!C47))</f>
        <v/>
      </c>
      <c r="M47" s="59">
        <f>IF($B47="","",(N(Krankheitstage!N47)+N(Krankheitstage!AA47))*N(Krankheitstage!C47))</f>
        <v/>
      </c>
      <c r="N47" s="59">
        <f>IF($B47="","",(N(Krankheitstage!O47)+N(Krankheitstage!AB47))*N(Krankheitstage!C47))</f>
        <v/>
      </c>
      <c r="O47" s="66">
        <f>IF($B47="","",SUM(C47:N47))</f>
        <v/>
      </c>
      <c r="P47" s="58">
        <f>'KQuote Mitarbeiter'!E47</f>
        <v/>
      </c>
      <c r="Q47" s="67">
        <f>'KQuote Mitarbeiter'!L47</f>
        <v/>
      </c>
      <c r="R47" s="58">
        <f>'KQuote Mitarbeiter'!D47</f>
        <v/>
      </c>
      <c r="S47" s="67">
        <f>'KQuote Mitarbeiter'!K47</f>
        <v/>
      </c>
    </row>
    <row r="48">
      <c r="A48" s="49">
        <f>'KQuote Mitarbeiter'!A48</f>
        <v/>
      </c>
      <c r="B48" s="50">
        <f>'KQuote Mitarbeiter'!B48</f>
        <v/>
      </c>
      <c r="C48" s="59">
        <f>IF($B48="","",(N(Krankheitstage!D48)+N(Krankheitstage!Q48))*N(Krankheitstage!C48))</f>
        <v/>
      </c>
      <c r="D48" s="59">
        <f>IF($B48="","",(N(Krankheitstage!E48)+N(Krankheitstage!R48))*N(Krankheitstage!C48))</f>
        <v/>
      </c>
      <c r="E48" s="59">
        <f>IF($B48="","",(N(Krankheitstage!F48)+N(Krankheitstage!S48))*N(Krankheitstage!C48))</f>
        <v/>
      </c>
      <c r="F48" s="59">
        <f>IF($B48="","",(N(Krankheitstage!G48)+N(Krankheitstage!T48))*N(Krankheitstage!C48))</f>
        <v/>
      </c>
      <c r="G48" s="59">
        <f>IF($B48="","",(N(Krankheitstage!H48)+N(Krankheitstage!U48))*N(Krankheitstage!C48))</f>
        <v/>
      </c>
      <c r="H48" s="59">
        <f>IF($B48="","",(N(Krankheitstage!I48)+N(Krankheitstage!V48))*N(Krankheitstage!C48))</f>
        <v/>
      </c>
      <c r="I48" s="59">
        <f>IF($B48="","",(N(Krankheitstage!J48)+N(Krankheitstage!W48))*N(Krankheitstage!C48))</f>
        <v/>
      </c>
      <c r="J48" s="59">
        <f>IF($B48="","",(N(Krankheitstage!K48)+N(Krankheitstage!X48))*N(Krankheitstage!C48))</f>
        <v/>
      </c>
      <c r="K48" s="59">
        <f>IF($B48="","",(N(Krankheitstage!L48)+N(Krankheitstage!Y48))*N(Krankheitstage!C48))</f>
        <v/>
      </c>
      <c r="L48" s="59">
        <f>IF($B48="","",(N(Krankheitstage!M48)+N(Krankheitstage!Z48))*N(Krankheitstage!C48))</f>
        <v/>
      </c>
      <c r="M48" s="59">
        <f>IF($B48="","",(N(Krankheitstage!N48)+N(Krankheitstage!AA48))*N(Krankheitstage!C48))</f>
        <v/>
      </c>
      <c r="N48" s="59">
        <f>IF($B48="","",(N(Krankheitstage!O48)+N(Krankheitstage!AB48))*N(Krankheitstage!C48))</f>
        <v/>
      </c>
      <c r="O48" s="66">
        <f>IF($B48="","",SUM(C48:N48))</f>
        <v/>
      </c>
      <c r="P48" s="58">
        <f>'KQuote Mitarbeiter'!E48</f>
        <v/>
      </c>
      <c r="Q48" s="67">
        <f>'KQuote Mitarbeiter'!L48</f>
        <v/>
      </c>
      <c r="R48" s="58">
        <f>'KQuote Mitarbeiter'!D48</f>
        <v/>
      </c>
      <c r="S48" s="67">
        <f>'KQuote Mitarbeiter'!K48</f>
        <v/>
      </c>
    </row>
    <row r="49">
      <c r="A49" s="49">
        <f>'KQuote Mitarbeiter'!A49</f>
        <v/>
      </c>
      <c r="B49" s="50">
        <f>'KQuote Mitarbeiter'!B49</f>
        <v/>
      </c>
      <c r="C49" s="59">
        <f>IF($B49="","",(N(Krankheitstage!D49)+N(Krankheitstage!Q49))*N(Krankheitstage!C49))</f>
        <v/>
      </c>
      <c r="D49" s="59">
        <f>IF($B49="","",(N(Krankheitstage!E49)+N(Krankheitstage!R49))*N(Krankheitstage!C49))</f>
        <v/>
      </c>
      <c r="E49" s="59">
        <f>IF($B49="","",(N(Krankheitstage!F49)+N(Krankheitstage!S49))*N(Krankheitstage!C49))</f>
        <v/>
      </c>
      <c r="F49" s="59">
        <f>IF($B49="","",(N(Krankheitstage!G49)+N(Krankheitstage!T49))*N(Krankheitstage!C49))</f>
        <v/>
      </c>
      <c r="G49" s="59">
        <f>IF($B49="","",(N(Krankheitstage!H49)+N(Krankheitstage!U49))*N(Krankheitstage!C49))</f>
        <v/>
      </c>
      <c r="H49" s="59">
        <f>IF($B49="","",(N(Krankheitstage!I49)+N(Krankheitstage!V49))*N(Krankheitstage!C49))</f>
        <v/>
      </c>
      <c r="I49" s="59">
        <f>IF($B49="","",(N(Krankheitstage!J49)+N(Krankheitstage!W49))*N(Krankheitstage!C49))</f>
        <v/>
      </c>
      <c r="J49" s="59">
        <f>IF($B49="","",(N(Krankheitstage!K49)+N(Krankheitstage!X49))*N(Krankheitstage!C49))</f>
        <v/>
      </c>
      <c r="K49" s="59">
        <f>IF($B49="","",(N(Krankheitstage!L49)+N(Krankheitstage!Y49))*N(Krankheitstage!C49))</f>
        <v/>
      </c>
      <c r="L49" s="59">
        <f>IF($B49="","",(N(Krankheitstage!M49)+N(Krankheitstage!Z49))*N(Krankheitstage!C49))</f>
        <v/>
      </c>
      <c r="M49" s="59">
        <f>IF($B49="","",(N(Krankheitstage!N49)+N(Krankheitstage!AA49))*N(Krankheitstage!C49))</f>
        <v/>
      </c>
      <c r="N49" s="59">
        <f>IF($B49="","",(N(Krankheitstage!O49)+N(Krankheitstage!AB49))*N(Krankheitstage!C49))</f>
        <v/>
      </c>
      <c r="O49" s="66">
        <f>IF($B49="","",SUM(C49:N49))</f>
        <v/>
      </c>
      <c r="P49" s="58">
        <f>'KQuote Mitarbeiter'!E49</f>
        <v/>
      </c>
      <c r="Q49" s="67">
        <f>'KQuote Mitarbeiter'!L49</f>
        <v/>
      </c>
      <c r="R49" s="58">
        <f>'KQuote Mitarbeiter'!D49</f>
        <v/>
      </c>
      <c r="S49" s="67">
        <f>'KQuote Mitarbeiter'!K49</f>
        <v/>
      </c>
    </row>
    <row r="50">
      <c r="A50" s="49">
        <f>'KQuote Mitarbeiter'!A50</f>
        <v/>
      </c>
      <c r="B50" s="50">
        <f>'KQuote Mitarbeiter'!B50</f>
        <v/>
      </c>
      <c r="C50" s="59">
        <f>IF($B50="","",(N(Krankheitstage!D50)+N(Krankheitstage!Q50))*N(Krankheitstage!C50))</f>
        <v/>
      </c>
      <c r="D50" s="59">
        <f>IF($B50="","",(N(Krankheitstage!E50)+N(Krankheitstage!R50))*N(Krankheitstage!C50))</f>
        <v/>
      </c>
      <c r="E50" s="59">
        <f>IF($B50="","",(N(Krankheitstage!F50)+N(Krankheitstage!S50))*N(Krankheitstage!C50))</f>
        <v/>
      </c>
      <c r="F50" s="59">
        <f>IF($B50="","",(N(Krankheitstage!G50)+N(Krankheitstage!T50))*N(Krankheitstage!C50))</f>
        <v/>
      </c>
      <c r="G50" s="59">
        <f>IF($B50="","",(N(Krankheitstage!H50)+N(Krankheitstage!U50))*N(Krankheitstage!C50))</f>
        <v/>
      </c>
      <c r="H50" s="59">
        <f>IF($B50="","",(N(Krankheitstage!I50)+N(Krankheitstage!V50))*N(Krankheitstage!C50))</f>
        <v/>
      </c>
      <c r="I50" s="59">
        <f>IF($B50="","",(N(Krankheitstage!J50)+N(Krankheitstage!W50))*N(Krankheitstage!C50))</f>
        <v/>
      </c>
      <c r="J50" s="59">
        <f>IF($B50="","",(N(Krankheitstage!K50)+N(Krankheitstage!X50))*N(Krankheitstage!C50))</f>
        <v/>
      </c>
      <c r="K50" s="59">
        <f>IF($B50="","",(N(Krankheitstage!L50)+N(Krankheitstage!Y50))*N(Krankheitstage!C50))</f>
        <v/>
      </c>
      <c r="L50" s="59">
        <f>IF($B50="","",(N(Krankheitstage!M50)+N(Krankheitstage!Z50))*N(Krankheitstage!C50))</f>
        <v/>
      </c>
      <c r="M50" s="59">
        <f>IF($B50="","",(N(Krankheitstage!N50)+N(Krankheitstage!AA50))*N(Krankheitstage!C50))</f>
        <v/>
      </c>
      <c r="N50" s="59">
        <f>IF($B50="","",(N(Krankheitstage!O50)+N(Krankheitstage!AB50))*N(Krankheitstage!C50))</f>
        <v/>
      </c>
      <c r="O50" s="66">
        <f>IF($B50="","",SUM(C50:N50))</f>
        <v/>
      </c>
      <c r="P50" s="58">
        <f>'KQuote Mitarbeiter'!E50</f>
        <v/>
      </c>
      <c r="Q50" s="67">
        <f>'KQuote Mitarbeiter'!L50</f>
        <v/>
      </c>
      <c r="R50" s="58">
        <f>'KQuote Mitarbeiter'!D50</f>
        <v/>
      </c>
      <c r="S50" s="67">
        <f>'KQuote Mitarbeiter'!K50</f>
        <v/>
      </c>
    </row>
    <row r="51">
      <c r="A51" s="49">
        <f>'KQuote Mitarbeiter'!A51</f>
        <v/>
      </c>
      <c r="B51" s="50">
        <f>'KQuote Mitarbeiter'!B51</f>
        <v/>
      </c>
      <c r="C51" s="59">
        <f>IF($B51="","",(N(Krankheitstage!D51)+N(Krankheitstage!Q51))*N(Krankheitstage!C51))</f>
        <v/>
      </c>
      <c r="D51" s="59">
        <f>IF($B51="","",(N(Krankheitstage!E51)+N(Krankheitstage!R51))*N(Krankheitstage!C51))</f>
        <v/>
      </c>
      <c r="E51" s="59">
        <f>IF($B51="","",(N(Krankheitstage!F51)+N(Krankheitstage!S51))*N(Krankheitstage!C51))</f>
        <v/>
      </c>
      <c r="F51" s="59">
        <f>IF($B51="","",(N(Krankheitstage!G51)+N(Krankheitstage!T51))*N(Krankheitstage!C51))</f>
        <v/>
      </c>
      <c r="G51" s="59">
        <f>IF($B51="","",(N(Krankheitstage!H51)+N(Krankheitstage!U51))*N(Krankheitstage!C51))</f>
        <v/>
      </c>
      <c r="H51" s="59">
        <f>IF($B51="","",(N(Krankheitstage!I51)+N(Krankheitstage!V51))*N(Krankheitstage!C51))</f>
        <v/>
      </c>
      <c r="I51" s="59">
        <f>IF($B51="","",(N(Krankheitstage!J51)+N(Krankheitstage!W51))*N(Krankheitstage!C51))</f>
        <v/>
      </c>
      <c r="J51" s="59">
        <f>IF($B51="","",(N(Krankheitstage!K51)+N(Krankheitstage!X51))*N(Krankheitstage!C51))</f>
        <v/>
      </c>
      <c r="K51" s="59">
        <f>IF($B51="","",(N(Krankheitstage!L51)+N(Krankheitstage!Y51))*N(Krankheitstage!C51))</f>
        <v/>
      </c>
      <c r="L51" s="59">
        <f>IF($B51="","",(N(Krankheitstage!M51)+N(Krankheitstage!Z51))*N(Krankheitstage!C51))</f>
        <v/>
      </c>
      <c r="M51" s="59">
        <f>IF($B51="","",(N(Krankheitstage!N51)+N(Krankheitstage!AA51))*N(Krankheitstage!C51))</f>
        <v/>
      </c>
      <c r="N51" s="59">
        <f>IF($B51="","",(N(Krankheitstage!O51)+N(Krankheitstage!AB51))*N(Krankheitstage!C51))</f>
        <v/>
      </c>
      <c r="O51" s="66">
        <f>IF($B51="","",SUM(C51:N51))</f>
        <v/>
      </c>
      <c r="P51" s="58">
        <f>'KQuote Mitarbeiter'!E51</f>
        <v/>
      </c>
      <c r="Q51" s="67">
        <f>'KQuote Mitarbeiter'!L51</f>
        <v/>
      </c>
      <c r="R51" s="58">
        <f>'KQuote Mitarbeiter'!D51</f>
        <v/>
      </c>
      <c r="S51" s="67">
        <f>'KQuote Mitarbeiter'!K51</f>
        <v/>
      </c>
    </row>
    <row r="52">
      <c r="A52" s="49">
        <f>'KQuote Mitarbeiter'!A52</f>
        <v/>
      </c>
      <c r="B52" s="50">
        <f>'KQuote Mitarbeiter'!B52</f>
        <v/>
      </c>
      <c r="C52" s="59">
        <f>IF($B52="","",(N(Krankheitstage!D52)+N(Krankheitstage!Q52))*N(Krankheitstage!C52))</f>
        <v/>
      </c>
      <c r="D52" s="59">
        <f>IF($B52="","",(N(Krankheitstage!E52)+N(Krankheitstage!R52))*N(Krankheitstage!C52))</f>
        <v/>
      </c>
      <c r="E52" s="59">
        <f>IF($B52="","",(N(Krankheitstage!F52)+N(Krankheitstage!S52))*N(Krankheitstage!C52))</f>
        <v/>
      </c>
      <c r="F52" s="59">
        <f>IF($B52="","",(N(Krankheitstage!G52)+N(Krankheitstage!T52))*N(Krankheitstage!C52))</f>
        <v/>
      </c>
      <c r="G52" s="59">
        <f>IF($B52="","",(N(Krankheitstage!H52)+N(Krankheitstage!U52))*N(Krankheitstage!C52))</f>
        <v/>
      </c>
      <c r="H52" s="59">
        <f>IF($B52="","",(N(Krankheitstage!I52)+N(Krankheitstage!V52))*N(Krankheitstage!C52))</f>
        <v/>
      </c>
      <c r="I52" s="59">
        <f>IF($B52="","",(N(Krankheitstage!J52)+N(Krankheitstage!W52))*N(Krankheitstage!C52))</f>
        <v/>
      </c>
      <c r="J52" s="59">
        <f>IF($B52="","",(N(Krankheitstage!K52)+N(Krankheitstage!X52))*N(Krankheitstage!C52))</f>
        <v/>
      </c>
      <c r="K52" s="59">
        <f>IF($B52="","",(N(Krankheitstage!L52)+N(Krankheitstage!Y52))*N(Krankheitstage!C52))</f>
        <v/>
      </c>
      <c r="L52" s="59">
        <f>IF($B52="","",(N(Krankheitstage!M52)+N(Krankheitstage!Z52))*N(Krankheitstage!C52))</f>
        <v/>
      </c>
      <c r="M52" s="59">
        <f>IF($B52="","",(N(Krankheitstage!N52)+N(Krankheitstage!AA52))*N(Krankheitstage!C52))</f>
        <v/>
      </c>
      <c r="N52" s="59">
        <f>IF($B52="","",(N(Krankheitstage!O52)+N(Krankheitstage!AB52))*N(Krankheitstage!C52))</f>
        <v/>
      </c>
      <c r="O52" s="66">
        <f>IF($B52="","",SUM(C52:N52))</f>
        <v/>
      </c>
      <c r="P52" s="58">
        <f>'KQuote Mitarbeiter'!E52</f>
        <v/>
      </c>
      <c r="Q52" s="67">
        <f>'KQuote Mitarbeiter'!L52</f>
        <v/>
      </c>
      <c r="R52" s="58">
        <f>'KQuote Mitarbeiter'!D52</f>
        <v/>
      </c>
      <c r="S52" s="67">
        <f>'KQuote Mitarbeiter'!K52</f>
        <v/>
      </c>
    </row>
    <row r="53">
      <c r="A53" s="49">
        <f>'KQuote Mitarbeiter'!A53</f>
        <v/>
      </c>
      <c r="B53" s="50">
        <f>'KQuote Mitarbeiter'!B53</f>
        <v/>
      </c>
      <c r="C53" s="59">
        <f>IF($B53="","",(N(Krankheitstage!D53)+N(Krankheitstage!Q53))*N(Krankheitstage!C53))</f>
        <v/>
      </c>
      <c r="D53" s="59">
        <f>IF($B53="","",(N(Krankheitstage!E53)+N(Krankheitstage!R53))*N(Krankheitstage!C53))</f>
        <v/>
      </c>
      <c r="E53" s="59">
        <f>IF($B53="","",(N(Krankheitstage!F53)+N(Krankheitstage!S53))*N(Krankheitstage!C53))</f>
        <v/>
      </c>
      <c r="F53" s="59">
        <f>IF($B53="","",(N(Krankheitstage!G53)+N(Krankheitstage!T53))*N(Krankheitstage!C53))</f>
        <v/>
      </c>
      <c r="G53" s="59">
        <f>IF($B53="","",(N(Krankheitstage!H53)+N(Krankheitstage!U53))*N(Krankheitstage!C53))</f>
        <v/>
      </c>
      <c r="H53" s="59">
        <f>IF($B53="","",(N(Krankheitstage!I53)+N(Krankheitstage!V53))*N(Krankheitstage!C53))</f>
        <v/>
      </c>
      <c r="I53" s="59">
        <f>IF($B53="","",(N(Krankheitstage!J53)+N(Krankheitstage!W53))*N(Krankheitstage!C53))</f>
        <v/>
      </c>
      <c r="J53" s="59">
        <f>IF($B53="","",(N(Krankheitstage!K53)+N(Krankheitstage!X53))*N(Krankheitstage!C53))</f>
        <v/>
      </c>
      <c r="K53" s="59">
        <f>IF($B53="","",(N(Krankheitstage!L53)+N(Krankheitstage!Y53))*N(Krankheitstage!C53))</f>
        <v/>
      </c>
      <c r="L53" s="59">
        <f>IF($B53="","",(N(Krankheitstage!M53)+N(Krankheitstage!Z53))*N(Krankheitstage!C53))</f>
        <v/>
      </c>
      <c r="M53" s="59">
        <f>IF($B53="","",(N(Krankheitstage!N53)+N(Krankheitstage!AA53))*N(Krankheitstage!C53))</f>
        <v/>
      </c>
      <c r="N53" s="59">
        <f>IF($B53="","",(N(Krankheitstage!O53)+N(Krankheitstage!AB53))*N(Krankheitstage!C53))</f>
        <v/>
      </c>
      <c r="O53" s="66">
        <f>IF($B53="","",SUM(C53:N53))</f>
        <v/>
      </c>
      <c r="P53" s="58">
        <f>'KQuote Mitarbeiter'!E53</f>
        <v/>
      </c>
      <c r="Q53" s="67">
        <f>'KQuote Mitarbeiter'!L53</f>
        <v/>
      </c>
      <c r="R53" s="58">
        <f>'KQuote Mitarbeiter'!D53</f>
        <v/>
      </c>
      <c r="S53" s="67">
        <f>'KQuote Mitarbeiter'!K53</f>
        <v/>
      </c>
    </row>
    <row r="54">
      <c r="A54" s="49">
        <f>'KQuote Mitarbeiter'!A54</f>
        <v/>
      </c>
      <c r="B54" s="50">
        <f>'KQuote Mitarbeiter'!B54</f>
        <v/>
      </c>
      <c r="C54" s="59">
        <f>IF($B54="","",(N(Krankheitstage!D54)+N(Krankheitstage!Q54))*N(Krankheitstage!C54))</f>
        <v/>
      </c>
      <c r="D54" s="59">
        <f>IF($B54="","",(N(Krankheitstage!E54)+N(Krankheitstage!R54))*N(Krankheitstage!C54))</f>
        <v/>
      </c>
      <c r="E54" s="59">
        <f>IF($B54="","",(N(Krankheitstage!F54)+N(Krankheitstage!S54))*N(Krankheitstage!C54))</f>
        <v/>
      </c>
      <c r="F54" s="59">
        <f>IF($B54="","",(N(Krankheitstage!G54)+N(Krankheitstage!T54))*N(Krankheitstage!C54))</f>
        <v/>
      </c>
      <c r="G54" s="59">
        <f>IF($B54="","",(N(Krankheitstage!H54)+N(Krankheitstage!U54))*N(Krankheitstage!C54))</f>
        <v/>
      </c>
      <c r="H54" s="59">
        <f>IF($B54="","",(N(Krankheitstage!I54)+N(Krankheitstage!V54))*N(Krankheitstage!C54))</f>
        <v/>
      </c>
      <c r="I54" s="59">
        <f>IF($B54="","",(N(Krankheitstage!J54)+N(Krankheitstage!W54))*N(Krankheitstage!C54))</f>
        <v/>
      </c>
      <c r="J54" s="59">
        <f>IF($B54="","",(N(Krankheitstage!K54)+N(Krankheitstage!X54))*N(Krankheitstage!C54))</f>
        <v/>
      </c>
      <c r="K54" s="59">
        <f>IF($B54="","",(N(Krankheitstage!L54)+N(Krankheitstage!Y54))*N(Krankheitstage!C54))</f>
        <v/>
      </c>
      <c r="L54" s="59">
        <f>IF($B54="","",(N(Krankheitstage!M54)+N(Krankheitstage!Z54))*N(Krankheitstage!C54))</f>
        <v/>
      </c>
      <c r="M54" s="59">
        <f>IF($B54="","",(N(Krankheitstage!N54)+N(Krankheitstage!AA54))*N(Krankheitstage!C54))</f>
        <v/>
      </c>
      <c r="N54" s="59">
        <f>IF($B54="","",(N(Krankheitstage!O54)+N(Krankheitstage!AB54))*N(Krankheitstage!C54))</f>
        <v/>
      </c>
      <c r="O54" s="66">
        <f>IF($B54="","",SUM(C54:N54))</f>
        <v/>
      </c>
      <c r="P54" s="58">
        <f>'KQuote Mitarbeiter'!E54</f>
        <v/>
      </c>
      <c r="Q54" s="67">
        <f>'KQuote Mitarbeiter'!L54</f>
        <v/>
      </c>
      <c r="R54" s="58">
        <f>'KQuote Mitarbeiter'!D54</f>
        <v/>
      </c>
      <c r="S54" s="67">
        <f>'KQuote Mitarbeiter'!K54</f>
        <v/>
      </c>
    </row>
    <row r="55">
      <c r="A55" s="49">
        <f>'KQuote Mitarbeiter'!A55</f>
        <v/>
      </c>
      <c r="B55" s="50">
        <f>'KQuote Mitarbeiter'!B55</f>
        <v/>
      </c>
      <c r="C55" s="59">
        <f>IF($B55="","",(N(Krankheitstage!D55)+N(Krankheitstage!Q55))*N(Krankheitstage!C55))</f>
        <v/>
      </c>
      <c r="D55" s="59">
        <f>IF($B55="","",(N(Krankheitstage!E55)+N(Krankheitstage!R55))*N(Krankheitstage!C55))</f>
        <v/>
      </c>
      <c r="E55" s="59">
        <f>IF($B55="","",(N(Krankheitstage!F55)+N(Krankheitstage!S55))*N(Krankheitstage!C55))</f>
        <v/>
      </c>
      <c r="F55" s="59">
        <f>IF($B55="","",(N(Krankheitstage!G55)+N(Krankheitstage!T55))*N(Krankheitstage!C55))</f>
        <v/>
      </c>
      <c r="G55" s="59">
        <f>IF($B55="","",(N(Krankheitstage!H55)+N(Krankheitstage!U55))*N(Krankheitstage!C55))</f>
        <v/>
      </c>
      <c r="H55" s="59">
        <f>IF($B55="","",(N(Krankheitstage!I55)+N(Krankheitstage!V55))*N(Krankheitstage!C55))</f>
        <v/>
      </c>
      <c r="I55" s="59">
        <f>IF($B55="","",(N(Krankheitstage!J55)+N(Krankheitstage!W55))*N(Krankheitstage!C55))</f>
        <v/>
      </c>
      <c r="J55" s="59">
        <f>IF($B55="","",(N(Krankheitstage!K55)+N(Krankheitstage!X55))*N(Krankheitstage!C55))</f>
        <v/>
      </c>
      <c r="K55" s="59">
        <f>IF($B55="","",(N(Krankheitstage!L55)+N(Krankheitstage!Y55))*N(Krankheitstage!C55))</f>
        <v/>
      </c>
      <c r="L55" s="59">
        <f>IF($B55="","",(N(Krankheitstage!M55)+N(Krankheitstage!Z55))*N(Krankheitstage!C55))</f>
        <v/>
      </c>
      <c r="M55" s="59">
        <f>IF($B55="","",(N(Krankheitstage!N55)+N(Krankheitstage!AA55))*N(Krankheitstage!C55))</f>
        <v/>
      </c>
      <c r="N55" s="59">
        <f>IF($B55="","",(N(Krankheitstage!O55)+N(Krankheitstage!AB55))*N(Krankheitstage!C55))</f>
        <v/>
      </c>
      <c r="O55" s="66">
        <f>IF($B55="","",SUM(C55:N55))</f>
        <v/>
      </c>
      <c r="P55" s="58">
        <f>'KQuote Mitarbeiter'!E55</f>
        <v/>
      </c>
      <c r="Q55" s="67">
        <f>'KQuote Mitarbeiter'!L55</f>
        <v/>
      </c>
      <c r="R55" s="58">
        <f>'KQuote Mitarbeiter'!D55</f>
        <v/>
      </c>
      <c r="S55" s="67">
        <f>'KQuote Mitarbeiter'!K55</f>
        <v/>
      </c>
    </row>
    <row r="56">
      <c r="A56" s="49">
        <f>'KQuote Mitarbeiter'!A56</f>
        <v/>
      </c>
      <c r="B56" s="50">
        <f>'KQuote Mitarbeiter'!B56</f>
        <v/>
      </c>
      <c r="C56" s="59">
        <f>IF($B56="","",(N(Krankheitstage!D56)+N(Krankheitstage!Q56))*N(Krankheitstage!C56))</f>
        <v/>
      </c>
      <c r="D56" s="59">
        <f>IF($B56="","",(N(Krankheitstage!E56)+N(Krankheitstage!R56))*N(Krankheitstage!C56))</f>
        <v/>
      </c>
      <c r="E56" s="59">
        <f>IF($B56="","",(N(Krankheitstage!F56)+N(Krankheitstage!S56))*N(Krankheitstage!C56))</f>
        <v/>
      </c>
      <c r="F56" s="59">
        <f>IF($B56="","",(N(Krankheitstage!G56)+N(Krankheitstage!T56))*N(Krankheitstage!C56))</f>
        <v/>
      </c>
      <c r="G56" s="59">
        <f>IF($B56="","",(N(Krankheitstage!H56)+N(Krankheitstage!U56))*N(Krankheitstage!C56))</f>
        <v/>
      </c>
      <c r="H56" s="59">
        <f>IF($B56="","",(N(Krankheitstage!I56)+N(Krankheitstage!V56))*N(Krankheitstage!C56))</f>
        <v/>
      </c>
      <c r="I56" s="59">
        <f>IF($B56="","",(N(Krankheitstage!J56)+N(Krankheitstage!W56))*N(Krankheitstage!C56))</f>
        <v/>
      </c>
      <c r="J56" s="59">
        <f>IF($B56="","",(N(Krankheitstage!K56)+N(Krankheitstage!X56))*N(Krankheitstage!C56))</f>
        <v/>
      </c>
      <c r="K56" s="59">
        <f>IF($B56="","",(N(Krankheitstage!L56)+N(Krankheitstage!Y56))*N(Krankheitstage!C56))</f>
        <v/>
      </c>
      <c r="L56" s="59">
        <f>IF($B56="","",(N(Krankheitstage!M56)+N(Krankheitstage!Z56))*N(Krankheitstage!C56))</f>
        <v/>
      </c>
      <c r="M56" s="59">
        <f>IF($B56="","",(N(Krankheitstage!N56)+N(Krankheitstage!AA56))*N(Krankheitstage!C56))</f>
        <v/>
      </c>
      <c r="N56" s="59">
        <f>IF($B56="","",(N(Krankheitstage!O56)+N(Krankheitstage!AB56))*N(Krankheitstage!C56))</f>
        <v/>
      </c>
      <c r="O56" s="66">
        <f>IF($B56="","",SUM(C56:N56))</f>
        <v/>
      </c>
      <c r="P56" s="58">
        <f>'KQuote Mitarbeiter'!E56</f>
        <v/>
      </c>
      <c r="Q56" s="67">
        <f>'KQuote Mitarbeiter'!L56</f>
        <v/>
      </c>
      <c r="R56" s="58">
        <f>'KQuote Mitarbeiter'!D56</f>
        <v/>
      </c>
      <c r="S56" s="67">
        <f>'KQuote Mitarbeiter'!K56</f>
        <v/>
      </c>
    </row>
    <row r="57">
      <c r="A57" s="49">
        <f>'KQuote Mitarbeiter'!A57</f>
        <v/>
      </c>
      <c r="B57" s="50">
        <f>'KQuote Mitarbeiter'!B57</f>
        <v/>
      </c>
      <c r="C57" s="59">
        <f>IF($B57="","",(N(Krankheitstage!D57)+N(Krankheitstage!Q57))*N(Krankheitstage!C57))</f>
        <v/>
      </c>
      <c r="D57" s="59">
        <f>IF($B57="","",(N(Krankheitstage!E57)+N(Krankheitstage!R57))*N(Krankheitstage!C57))</f>
        <v/>
      </c>
      <c r="E57" s="59">
        <f>IF($B57="","",(N(Krankheitstage!F57)+N(Krankheitstage!S57))*N(Krankheitstage!C57))</f>
        <v/>
      </c>
      <c r="F57" s="59">
        <f>IF($B57="","",(N(Krankheitstage!G57)+N(Krankheitstage!T57))*N(Krankheitstage!C57))</f>
        <v/>
      </c>
      <c r="G57" s="59">
        <f>IF($B57="","",(N(Krankheitstage!H57)+N(Krankheitstage!U57))*N(Krankheitstage!C57))</f>
        <v/>
      </c>
      <c r="H57" s="59">
        <f>IF($B57="","",(N(Krankheitstage!I57)+N(Krankheitstage!V57))*N(Krankheitstage!C57))</f>
        <v/>
      </c>
      <c r="I57" s="59">
        <f>IF($B57="","",(N(Krankheitstage!J57)+N(Krankheitstage!W57))*N(Krankheitstage!C57))</f>
        <v/>
      </c>
      <c r="J57" s="59">
        <f>IF($B57="","",(N(Krankheitstage!K57)+N(Krankheitstage!X57))*N(Krankheitstage!C57))</f>
        <v/>
      </c>
      <c r="K57" s="59">
        <f>IF($B57="","",(N(Krankheitstage!L57)+N(Krankheitstage!Y57))*N(Krankheitstage!C57))</f>
        <v/>
      </c>
      <c r="L57" s="59">
        <f>IF($B57="","",(N(Krankheitstage!M57)+N(Krankheitstage!Z57))*N(Krankheitstage!C57))</f>
        <v/>
      </c>
      <c r="M57" s="59">
        <f>IF($B57="","",(N(Krankheitstage!N57)+N(Krankheitstage!AA57))*N(Krankheitstage!C57))</f>
        <v/>
      </c>
      <c r="N57" s="59">
        <f>IF($B57="","",(N(Krankheitstage!O57)+N(Krankheitstage!AB57))*N(Krankheitstage!C57))</f>
        <v/>
      </c>
      <c r="O57" s="66">
        <f>IF($B57="","",SUM(C57:N57))</f>
        <v/>
      </c>
      <c r="P57" s="58">
        <f>'KQuote Mitarbeiter'!E57</f>
        <v/>
      </c>
      <c r="Q57" s="67">
        <f>'KQuote Mitarbeiter'!L57</f>
        <v/>
      </c>
      <c r="R57" s="58">
        <f>'KQuote Mitarbeiter'!D57</f>
        <v/>
      </c>
      <c r="S57" s="67">
        <f>'KQuote Mitarbeiter'!K57</f>
        <v/>
      </c>
    </row>
    <row r="58">
      <c r="A58" s="49">
        <f>'KQuote Mitarbeiter'!A58</f>
        <v/>
      </c>
      <c r="B58" s="50">
        <f>'KQuote Mitarbeiter'!B58</f>
        <v/>
      </c>
      <c r="C58" s="59">
        <f>IF($B58="","",(N(Krankheitstage!D58)+N(Krankheitstage!Q58))*N(Krankheitstage!C58))</f>
        <v/>
      </c>
      <c r="D58" s="59">
        <f>IF($B58="","",(N(Krankheitstage!E58)+N(Krankheitstage!R58))*N(Krankheitstage!C58))</f>
        <v/>
      </c>
      <c r="E58" s="59">
        <f>IF($B58="","",(N(Krankheitstage!F58)+N(Krankheitstage!S58))*N(Krankheitstage!C58))</f>
        <v/>
      </c>
      <c r="F58" s="59">
        <f>IF($B58="","",(N(Krankheitstage!G58)+N(Krankheitstage!T58))*N(Krankheitstage!C58))</f>
        <v/>
      </c>
      <c r="G58" s="59">
        <f>IF($B58="","",(N(Krankheitstage!H58)+N(Krankheitstage!U58))*N(Krankheitstage!C58))</f>
        <v/>
      </c>
      <c r="H58" s="59">
        <f>IF($B58="","",(N(Krankheitstage!I58)+N(Krankheitstage!V58))*N(Krankheitstage!C58))</f>
        <v/>
      </c>
      <c r="I58" s="59">
        <f>IF($B58="","",(N(Krankheitstage!J58)+N(Krankheitstage!W58))*N(Krankheitstage!C58))</f>
        <v/>
      </c>
      <c r="J58" s="59">
        <f>IF($B58="","",(N(Krankheitstage!K58)+N(Krankheitstage!X58))*N(Krankheitstage!C58))</f>
        <v/>
      </c>
      <c r="K58" s="59">
        <f>IF($B58="","",(N(Krankheitstage!L58)+N(Krankheitstage!Y58))*N(Krankheitstage!C58))</f>
        <v/>
      </c>
      <c r="L58" s="59">
        <f>IF($B58="","",(N(Krankheitstage!M58)+N(Krankheitstage!Z58))*N(Krankheitstage!C58))</f>
        <v/>
      </c>
      <c r="M58" s="59">
        <f>IF($B58="","",(N(Krankheitstage!N58)+N(Krankheitstage!AA58))*N(Krankheitstage!C58))</f>
        <v/>
      </c>
      <c r="N58" s="59">
        <f>IF($B58="","",(N(Krankheitstage!O58)+N(Krankheitstage!AB58))*N(Krankheitstage!C58))</f>
        <v/>
      </c>
      <c r="O58" s="66">
        <f>IF($B58="","",SUM(C58:N58))</f>
        <v/>
      </c>
      <c r="P58" s="58">
        <f>'KQuote Mitarbeiter'!E58</f>
        <v/>
      </c>
      <c r="Q58" s="67">
        <f>'KQuote Mitarbeiter'!L58</f>
        <v/>
      </c>
      <c r="R58" s="58">
        <f>'KQuote Mitarbeiter'!D58</f>
        <v/>
      </c>
      <c r="S58" s="67">
        <f>'KQuote Mitarbeiter'!K58</f>
        <v/>
      </c>
    </row>
    <row r="59">
      <c r="A59" s="49">
        <f>'KQuote Mitarbeiter'!A59</f>
        <v/>
      </c>
      <c r="B59" s="50">
        <f>'KQuote Mitarbeiter'!B59</f>
        <v/>
      </c>
      <c r="C59" s="59">
        <f>IF($B59="","",(N(Krankheitstage!D59)+N(Krankheitstage!Q59))*N(Krankheitstage!C59))</f>
        <v/>
      </c>
      <c r="D59" s="59">
        <f>IF($B59="","",(N(Krankheitstage!E59)+N(Krankheitstage!R59))*N(Krankheitstage!C59))</f>
        <v/>
      </c>
      <c r="E59" s="59">
        <f>IF($B59="","",(N(Krankheitstage!F59)+N(Krankheitstage!S59))*N(Krankheitstage!C59))</f>
        <v/>
      </c>
      <c r="F59" s="59">
        <f>IF($B59="","",(N(Krankheitstage!G59)+N(Krankheitstage!T59))*N(Krankheitstage!C59))</f>
        <v/>
      </c>
      <c r="G59" s="59">
        <f>IF($B59="","",(N(Krankheitstage!H59)+N(Krankheitstage!U59))*N(Krankheitstage!C59))</f>
        <v/>
      </c>
      <c r="H59" s="59">
        <f>IF($B59="","",(N(Krankheitstage!I59)+N(Krankheitstage!V59))*N(Krankheitstage!C59))</f>
        <v/>
      </c>
      <c r="I59" s="59">
        <f>IF($B59="","",(N(Krankheitstage!J59)+N(Krankheitstage!W59))*N(Krankheitstage!C59))</f>
        <v/>
      </c>
      <c r="J59" s="59">
        <f>IF($B59="","",(N(Krankheitstage!K59)+N(Krankheitstage!X59))*N(Krankheitstage!C59))</f>
        <v/>
      </c>
      <c r="K59" s="59">
        <f>IF($B59="","",(N(Krankheitstage!L59)+N(Krankheitstage!Y59))*N(Krankheitstage!C59))</f>
        <v/>
      </c>
      <c r="L59" s="59">
        <f>IF($B59="","",(N(Krankheitstage!M59)+N(Krankheitstage!Z59))*N(Krankheitstage!C59))</f>
        <v/>
      </c>
      <c r="M59" s="59">
        <f>IF($B59="","",(N(Krankheitstage!N59)+N(Krankheitstage!AA59))*N(Krankheitstage!C59))</f>
        <v/>
      </c>
      <c r="N59" s="59">
        <f>IF($B59="","",(N(Krankheitstage!O59)+N(Krankheitstage!AB59))*N(Krankheitstage!C59))</f>
        <v/>
      </c>
      <c r="O59" s="66">
        <f>IF($B59="","",SUM(C59:N59))</f>
        <v/>
      </c>
      <c r="P59" s="58">
        <f>'KQuote Mitarbeiter'!E59</f>
        <v/>
      </c>
      <c r="Q59" s="67">
        <f>'KQuote Mitarbeiter'!L59</f>
        <v/>
      </c>
      <c r="R59" s="58">
        <f>'KQuote Mitarbeiter'!D59</f>
        <v/>
      </c>
      <c r="S59" s="67">
        <f>'KQuote Mitarbeiter'!K59</f>
        <v/>
      </c>
    </row>
    <row r="60">
      <c r="A60" s="49">
        <f>'KQuote Mitarbeiter'!A60</f>
        <v/>
      </c>
      <c r="B60" s="50">
        <f>'KQuote Mitarbeiter'!B60</f>
        <v/>
      </c>
      <c r="C60" s="59">
        <f>IF($B60="","",(N(Krankheitstage!D60)+N(Krankheitstage!Q60))*N(Krankheitstage!C60))</f>
        <v/>
      </c>
      <c r="D60" s="59">
        <f>IF($B60="","",(N(Krankheitstage!E60)+N(Krankheitstage!R60))*N(Krankheitstage!C60))</f>
        <v/>
      </c>
      <c r="E60" s="59">
        <f>IF($B60="","",(N(Krankheitstage!F60)+N(Krankheitstage!S60))*N(Krankheitstage!C60))</f>
        <v/>
      </c>
      <c r="F60" s="59">
        <f>IF($B60="","",(N(Krankheitstage!G60)+N(Krankheitstage!T60))*N(Krankheitstage!C60))</f>
        <v/>
      </c>
      <c r="G60" s="59">
        <f>IF($B60="","",(N(Krankheitstage!H60)+N(Krankheitstage!U60))*N(Krankheitstage!C60))</f>
        <v/>
      </c>
      <c r="H60" s="59">
        <f>IF($B60="","",(N(Krankheitstage!I60)+N(Krankheitstage!V60))*N(Krankheitstage!C60))</f>
        <v/>
      </c>
      <c r="I60" s="59">
        <f>IF($B60="","",(N(Krankheitstage!J60)+N(Krankheitstage!W60))*N(Krankheitstage!C60))</f>
        <v/>
      </c>
      <c r="J60" s="59">
        <f>IF($B60="","",(N(Krankheitstage!K60)+N(Krankheitstage!X60))*N(Krankheitstage!C60))</f>
        <v/>
      </c>
      <c r="K60" s="59">
        <f>IF($B60="","",(N(Krankheitstage!L60)+N(Krankheitstage!Y60))*N(Krankheitstage!C60))</f>
        <v/>
      </c>
      <c r="L60" s="59">
        <f>IF($B60="","",(N(Krankheitstage!M60)+N(Krankheitstage!Z60))*N(Krankheitstage!C60))</f>
        <v/>
      </c>
      <c r="M60" s="59">
        <f>IF($B60="","",(N(Krankheitstage!N60)+N(Krankheitstage!AA60))*N(Krankheitstage!C60))</f>
        <v/>
      </c>
      <c r="N60" s="59">
        <f>IF($B60="","",(N(Krankheitstage!O60)+N(Krankheitstage!AB60))*N(Krankheitstage!C60))</f>
        <v/>
      </c>
      <c r="O60" s="66">
        <f>IF($B60="","",SUM(C60:N60))</f>
        <v/>
      </c>
      <c r="P60" s="58">
        <f>'KQuote Mitarbeiter'!E60</f>
        <v/>
      </c>
      <c r="Q60" s="67">
        <f>'KQuote Mitarbeiter'!L60</f>
        <v/>
      </c>
      <c r="R60" s="58">
        <f>'KQuote Mitarbeiter'!D60</f>
        <v/>
      </c>
      <c r="S60" s="67">
        <f>'KQuote Mitarbeiter'!K60</f>
        <v/>
      </c>
    </row>
    <row r="61">
      <c r="A61" s="49">
        <f>'KQuote Mitarbeiter'!A61</f>
        <v/>
      </c>
      <c r="B61" s="50">
        <f>'KQuote Mitarbeiter'!B61</f>
        <v/>
      </c>
      <c r="C61" s="59">
        <f>IF($B61="","",(N(Krankheitstage!D61)+N(Krankheitstage!Q61))*N(Krankheitstage!C61))</f>
        <v/>
      </c>
      <c r="D61" s="59">
        <f>IF($B61="","",(N(Krankheitstage!E61)+N(Krankheitstage!R61))*N(Krankheitstage!C61))</f>
        <v/>
      </c>
      <c r="E61" s="59">
        <f>IF($B61="","",(N(Krankheitstage!F61)+N(Krankheitstage!S61))*N(Krankheitstage!C61))</f>
        <v/>
      </c>
      <c r="F61" s="59">
        <f>IF($B61="","",(N(Krankheitstage!G61)+N(Krankheitstage!T61))*N(Krankheitstage!C61))</f>
        <v/>
      </c>
      <c r="G61" s="59">
        <f>IF($B61="","",(N(Krankheitstage!H61)+N(Krankheitstage!U61))*N(Krankheitstage!C61))</f>
        <v/>
      </c>
      <c r="H61" s="59">
        <f>IF($B61="","",(N(Krankheitstage!I61)+N(Krankheitstage!V61))*N(Krankheitstage!C61))</f>
        <v/>
      </c>
      <c r="I61" s="59">
        <f>IF($B61="","",(N(Krankheitstage!J61)+N(Krankheitstage!W61))*N(Krankheitstage!C61))</f>
        <v/>
      </c>
      <c r="J61" s="59">
        <f>IF($B61="","",(N(Krankheitstage!K61)+N(Krankheitstage!X61))*N(Krankheitstage!C61))</f>
        <v/>
      </c>
      <c r="K61" s="59">
        <f>IF($B61="","",(N(Krankheitstage!L61)+N(Krankheitstage!Y61))*N(Krankheitstage!C61))</f>
        <v/>
      </c>
      <c r="L61" s="59">
        <f>IF($B61="","",(N(Krankheitstage!M61)+N(Krankheitstage!Z61))*N(Krankheitstage!C61))</f>
        <v/>
      </c>
      <c r="M61" s="59">
        <f>IF($B61="","",(N(Krankheitstage!N61)+N(Krankheitstage!AA61))*N(Krankheitstage!C61))</f>
        <v/>
      </c>
      <c r="N61" s="59">
        <f>IF($B61="","",(N(Krankheitstage!O61)+N(Krankheitstage!AB61))*N(Krankheitstage!C61))</f>
        <v/>
      </c>
      <c r="O61" s="66">
        <f>IF($B61="","",SUM(C61:N61))</f>
        <v/>
      </c>
      <c r="P61" s="58">
        <f>'KQuote Mitarbeiter'!E61</f>
        <v/>
      </c>
      <c r="Q61" s="67">
        <f>'KQuote Mitarbeiter'!L61</f>
        <v/>
      </c>
      <c r="R61" s="58">
        <f>'KQuote Mitarbeiter'!D61</f>
        <v/>
      </c>
      <c r="S61" s="67">
        <f>'KQuote Mitarbeiter'!K61</f>
        <v/>
      </c>
    </row>
    <row r="62">
      <c r="A62" s="49">
        <f>'KQuote Mitarbeiter'!A62</f>
        <v/>
      </c>
      <c r="B62" s="50">
        <f>'KQuote Mitarbeiter'!B62</f>
        <v/>
      </c>
      <c r="C62" s="59">
        <f>IF($B62="","",(N(Krankheitstage!D62)+N(Krankheitstage!Q62))*N(Krankheitstage!C62))</f>
        <v/>
      </c>
      <c r="D62" s="59">
        <f>IF($B62="","",(N(Krankheitstage!E62)+N(Krankheitstage!R62))*N(Krankheitstage!C62))</f>
        <v/>
      </c>
      <c r="E62" s="59">
        <f>IF($B62="","",(N(Krankheitstage!F62)+N(Krankheitstage!S62))*N(Krankheitstage!C62))</f>
        <v/>
      </c>
      <c r="F62" s="59">
        <f>IF($B62="","",(N(Krankheitstage!G62)+N(Krankheitstage!T62))*N(Krankheitstage!C62))</f>
        <v/>
      </c>
      <c r="G62" s="59">
        <f>IF($B62="","",(N(Krankheitstage!H62)+N(Krankheitstage!U62))*N(Krankheitstage!C62))</f>
        <v/>
      </c>
      <c r="H62" s="59">
        <f>IF($B62="","",(N(Krankheitstage!I62)+N(Krankheitstage!V62))*N(Krankheitstage!C62))</f>
        <v/>
      </c>
      <c r="I62" s="59">
        <f>IF($B62="","",(N(Krankheitstage!J62)+N(Krankheitstage!W62))*N(Krankheitstage!C62))</f>
        <v/>
      </c>
      <c r="J62" s="59">
        <f>IF($B62="","",(N(Krankheitstage!K62)+N(Krankheitstage!X62))*N(Krankheitstage!C62))</f>
        <v/>
      </c>
      <c r="K62" s="59">
        <f>IF($B62="","",(N(Krankheitstage!L62)+N(Krankheitstage!Y62))*N(Krankheitstage!C62))</f>
        <v/>
      </c>
      <c r="L62" s="59">
        <f>IF($B62="","",(N(Krankheitstage!M62)+N(Krankheitstage!Z62))*N(Krankheitstage!C62))</f>
        <v/>
      </c>
      <c r="M62" s="59">
        <f>IF($B62="","",(N(Krankheitstage!N62)+N(Krankheitstage!AA62))*N(Krankheitstage!C62))</f>
        <v/>
      </c>
      <c r="N62" s="59">
        <f>IF($B62="","",(N(Krankheitstage!O62)+N(Krankheitstage!AB62))*N(Krankheitstage!C62))</f>
        <v/>
      </c>
      <c r="O62" s="66">
        <f>IF($B62="","",SUM(C62:N62))</f>
        <v/>
      </c>
      <c r="P62" s="58">
        <f>'KQuote Mitarbeiter'!E62</f>
        <v/>
      </c>
      <c r="Q62" s="67">
        <f>'KQuote Mitarbeiter'!L62</f>
        <v/>
      </c>
      <c r="R62" s="58">
        <f>'KQuote Mitarbeiter'!D62</f>
        <v/>
      </c>
      <c r="S62" s="67">
        <f>'KQuote Mitarbeiter'!K62</f>
        <v/>
      </c>
    </row>
    <row r="63">
      <c r="A63" s="49">
        <f>'KQuote Mitarbeiter'!A63</f>
        <v/>
      </c>
      <c r="B63" s="50">
        <f>'KQuote Mitarbeiter'!B63</f>
        <v/>
      </c>
      <c r="C63" s="59">
        <f>IF($B63="","",(N(Krankheitstage!D63)+N(Krankheitstage!Q63))*N(Krankheitstage!C63))</f>
        <v/>
      </c>
      <c r="D63" s="59">
        <f>IF($B63="","",(N(Krankheitstage!E63)+N(Krankheitstage!R63))*N(Krankheitstage!C63))</f>
        <v/>
      </c>
      <c r="E63" s="59">
        <f>IF($B63="","",(N(Krankheitstage!F63)+N(Krankheitstage!S63))*N(Krankheitstage!C63))</f>
        <v/>
      </c>
      <c r="F63" s="59">
        <f>IF($B63="","",(N(Krankheitstage!G63)+N(Krankheitstage!T63))*N(Krankheitstage!C63))</f>
        <v/>
      </c>
      <c r="G63" s="59">
        <f>IF($B63="","",(N(Krankheitstage!H63)+N(Krankheitstage!U63))*N(Krankheitstage!C63))</f>
        <v/>
      </c>
      <c r="H63" s="59">
        <f>IF($B63="","",(N(Krankheitstage!I63)+N(Krankheitstage!V63))*N(Krankheitstage!C63))</f>
        <v/>
      </c>
      <c r="I63" s="59">
        <f>IF($B63="","",(N(Krankheitstage!J63)+N(Krankheitstage!W63))*N(Krankheitstage!C63))</f>
        <v/>
      </c>
      <c r="J63" s="59">
        <f>IF($B63="","",(N(Krankheitstage!K63)+N(Krankheitstage!X63))*N(Krankheitstage!C63))</f>
        <v/>
      </c>
      <c r="K63" s="59">
        <f>IF($B63="","",(N(Krankheitstage!L63)+N(Krankheitstage!Y63))*N(Krankheitstage!C63))</f>
        <v/>
      </c>
      <c r="L63" s="59">
        <f>IF($B63="","",(N(Krankheitstage!M63)+N(Krankheitstage!Z63))*N(Krankheitstage!C63))</f>
        <v/>
      </c>
      <c r="M63" s="59">
        <f>IF($B63="","",(N(Krankheitstage!N63)+N(Krankheitstage!AA63))*N(Krankheitstage!C63))</f>
        <v/>
      </c>
      <c r="N63" s="59">
        <f>IF($B63="","",(N(Krankheitstage!O63)+N(Krankheitstage!AB63))*N(Krankheitstage!C63))</f>
        <v/>
      </c>
      <c r="O63" s="66">
        <f>IF($B63="","",SUM(C63:N63))</f>
        <v/>
      </c>
      <c r="P63" s="58">
        <f>'KQuote Mitarbeiter'!E63</f>
        <v/>
      </c>
      <c r="Q63" s="67">
        <f>'KQuote Mitarbeiter'!L63</f>
        <v/>
      </c>
      <c r="R63" s="58">
        <f>'KQuote Mitarbeiter'!D63</f>
        <v/>
      </c>
      <c r="S63" s="67">
        <f>'KQuote Mitarbeiter'!K63</f>
        <v/>
      </c>
    </row>
    <row r="64">
      <c r="A64" s="49">
        <f>'KQuote Mitarbeiter'!A64</f>
        <v/>
      </c>
      <c r="B64" s="50">
        <f>'KQuote Mitarbeiter'!B64</f>
        <v/>
      </c>
      <c r="C64" s="59">
        <f>IF($B64="","",(N(Krankheitstage!D64)+N(Krankheitstage!Q64))*N(Krankheitstage!C64))</f>
        <v/>
      </c>
      <c r="D64" s="59">
        <f>IF($B64="","",(N(Krankheitstage!E64)+N(Krankheitstage!R64))*N(Krankheitstage!C64))</f>
        <v/>
      </c>
      <c r="E64" s="59">
        <f>IF($B64="","",(N(Krankheitstage!F64)+N(Krankheitstage!S64))*N(Krankheitstage!C64))</f>
        <v/>
      </c>
      <c r="F64" s="59">
        <f>IF($B64="","",(N(Krankheitstage!G64)+N(Krankheitstage!T64))*N(Krankheitstage!C64))</f>
        <v/>
      </c>
      <c r="G64" s="59">
        <f>IF($B64="","",(N(Krankheitstage!H64)+N(Krankheitstage!U64))*N(Krankheitstage!C64))</f>
        <v/>
      </c>
      <c r="H64" s="59">
        <f>IF($B64="","",(N(Krankheitstage!I64)+N(Krankheitstage!V64))*N(Krankheitstage!C64))</f>
        <v/>
      </c>
      <c r="I64" s="59">
        <f>IF($B64="","",(N(Krankheitstage!J64)+N(Krankheitstage!W64))*N(Krankheitstage!C64))</f>
        <v/>
      </c>
      <c r="J64" s="59">
        <f>IF($B64="","",(N(Krankheitstage!K64)+N(Krankheitstage!X64))*N(Krankheitstage!C64))</f>
        <v/>
      </c>
      <c r="K64" s="59">
        <f>IF($B64="","",(N(Krankheitstage!L64)+N(Krankheitstage!Y64))*N(Krankheitstage!C64))</f>
        <v/>
      </c>
      <c r="L64" s="59">
        <f>IF($B64="","",(N(Krankheitstage!M64)+N(Krankheitstage!Z64))*N(Krankheitstage!C64))</f>
        <v/>
      </c>
      <c r="M64" s="59">
        <f>IF($B64="","",(N(Krankheitstage!N64)+N(Krankheitstage!AA64))*N(Krankheitstage!C64))</f>
        <v/>
      </c>
      <c r="N64" s="59">
        <f>IF($B64="","",(N(Krankheitstage!O64)+N(Krankheitstage!AB64))*N(Krankheitstage!C64))</f>
        <v/>
      </c>
      <c r="O64" s="66">
        <f>IF($B64="","",SUM(C64:N64))</f>
        <v/>
      </c>
      <c r="P64" s="58">
        <f>'KQuote Mitarbeiter'!E64</f>
        <v/>
      </c>
      <c r="Q64" s="67">
        <f>'KQuote Mitarbeiter'!L64</f>
        <v/>
      </c>
      <c r="R64" s="58">
        <f>'KQuote Mitarbeiter'!D64</f>
        <v/>
      </c>
      <c r="S64" s="67">
        <f>'KQuote Mitarbeiter'!K64</f>
        <v/>
      </c>
    </row>
    <row r="65">
      <c r="A65" s="49">
        <f>'KQuote Mitarbeiter'!A65</f>
        <v/>
      </c>
      <c r="B65" s="50">
        <f>'KQuote Mitarbeiter'!B65</f>
        <v/>
      </c>
      <c r="C65" s="59">
        <f>IF($B65="","",(N(Krankheitstage!D65)+N(Krankheitstage!Q65))*N(Krankheitstage!C65))</f>
        <v/>
      </c>
      <c r="D65" s="59">
        <f>IF($B65="","",(N(Krankheitstage!E65)+N(Krankheitstage!R65))*N(Krankheitstage!C65))</f>
        <v/>
      </c>
      <c r="E65" s="59">
        <f>IF($B65="","",(N(Krankheitstage!F65)+N(Krankheitstage!S65))*N(Krankheitstage!C65))</f>
        <v/>
      </c>
      <c r="F65" s="59">
        <f>IF($B65="","",(N(Krankheitstage!G65)+N(Krankheitstage!T65))*N(Krankheitstage!C65))</f>
        <v/>
      </c>
      <c r="G65" s="59">
        <f>IF($B65="","",(N(Krankheitstage!H65)+N(Krankheitstage!U65))*N(Krankheitstage!C65))</f>
        <v/>
      </c>
      <c r="H65" s="59">
        <f>IF($B65="","",(N(Krankheitstage!I65)+N(Krankheitstage!V65))*N(Krankheitstage!C65))</f>
        <v/>
      </c>
      <c r="I65" s="59">
        <f>IF($B65="","",(N(Krankheitstage!J65)+N(Krankheitstage!W65))*N(Krankheitstage!C65))</f>
        <v/>
      </c>
      <c r="J65" s="59">
        <f>IF($B65="","",(N(Krankheitstage!K65)+N(Krankheitstage!X65))*N(Krankheitstage!C65))</f>
        <v/>
      </c>
      <c r="K65" s="59">
        <f>IF($B65="","",(N(Krankheitstage!L65)+N(Krankheitstage!Y65))*N(Krankheitstage!C65))</f>
        <v/>
      </c>
      <c r="L65" s="59">
        <f>IF($B65="","",(N(Krankheitstage!M65)+N(Krankheitstage!Z65))*N(Krankheitstage!C65))</f>
        <v/>
      </c>
      <c r="M65" s="59">
        <f>IF($B65="","",(N(Krankheitstage!N65)+N(Krankheitstage!AA65))*N(Krankheitstage!C65))</f>
        <v/>
      </c>
      <c r="N65" s="59">
        <f>IF($B65="","",(N(Krankheitstage!O65)+N(Krankheitstage!AB65))*N(Krankheitstage!C65))</f>
        <v/>
      </c>
      <c r="O65" s="66">
        <f>IF($B65="","",SUM(C65:N65))</f>
        <v/>
      </c>
      <c r="P65" s="58">
        <f>'KQuote Mitarbeiter'!E65</f>
        <v/>
      </c>
      <c r="Q65" s="67">
        <f>'KQuote Mitarbeiter'!L65</f>
        <v/>
      </c>
      <c r="R65" s="58">
        <f>'KQuote Mitarbeiter'!D65</f>
        <v/>
      </c>
      <c r="S65" s="67">
        <f>'KQuote Mitarbeiter'!K65</f>
        <v/>
      </c>
    </row>
    <row r="66">
      <c r="A66" s="49">
        <f>'KQuote Mitarbeiter'!A66</f>
        <v/>
      </c>
      <c r="B66" s="50">
        <f>'KQuote Mitarbeiter'!B66</f>
        <v/>
      </c>
      <c r="C66" s="59">
        <f>IF($B66="","",(N(Krankheitstage!D66)+N(Krankheitstage!Q66))*N(Krankheitstage!C66))</f>
        <v/>
      </c>
      <c r="D66" s="59">
        <f>IF($B66="","",(N(Krankheitstage!E66)+N(Krankheitstage!R66))*N(Krankheitstage!C66))</f>
        <v/>
      </c>
      <c r="E66" s="59">
        <f>IF($B66="","",(N(Krankheitstage!F66)+N(Krankheitstage!S66))*N(Krankheitstage!C66))</f>
        <v/>
      </c>
      <c r="F66" s="59">
        <f>IF($B66="","",(N(Krankheitstage!G66)+N(Krankheitstage!T66))*N(Krankheitstage!C66))</f>
        <v/>
      </c>
      <c r="G66" s="59">
        <f>IF($B66="","",(N(Krankheitstage!H66)+N(Krankheitstage!U66))*N(Krankheitstage!C66))</f>
        <v/>
      </c>
      <c r="H66" s="59">
        <f>IF($B66="","",(N(Krankheitstage!I66)+N(Krankheitstage!V66))*N(Krankheitstage!C66))</f>
        <v/>
      </c>
      <c r="I66" s="59">
        <f>IF($B66="","",(N(Krankheitstage!J66)+N(Krankheitstage!W66))*N(Krankheitstage!C66))</f>
        <v/>
      </c>
      <c r="J66" s="59">
        <f>IF($B66="","",(N(Krankheitstage!K66)+N(Krankheitstage!X66))*N(Krankheitstage!C66))</f>
        <v/>
      </c>
      <c r="K66" s="59">
        <f>IF($B66="","",(N(Krankheitstage!L66)+N(Krankheitstage!Y66))*N(Krankheitstage!C66))</f>
        <v/>
      </c>
      <c r="L66" s="59">
        <f>IF($B66="","",(N(Krankheitstage!M66)+N(Krankheitstage!Z66))*N(Krankheitstage!C66))</f>
        <v/>
      </c>
      <c r="M66" s="59">
        <f>IF($B66="","",(N(Krankheitstage!N66)+N(Krankheitstage!AA66))*N(Krankheitstage!C66))</f>
        <v/>
      </c>
      <c r="N66" s="59">
        <f>IF($B66="","",(N(Krankheitstage!O66)+N(Krankheitstage!AB66))*N(Krankheitstage!C66))</f>
        <v/>
      </c>
      <c r="O66" s="66">
        <f>IF($B66="","",SUM(C66:N66))</f>
        <v/>
      </c>
      <c r="P66" s="58">
        <f>'KQuote Mitarbeiter'!E66</f>
        <v/>
      </c>
      <c r="Q66" s="67">
        <f>'KQuote Mitarbeiter'!L66</f>
        <v/>
      </c>
      <c r="R66" s="58">
        <f>'KQuote Mitarbeiter'!D66</f>
        <v/>
      </c>
      <c r="S66" s="67">
        <f>'KQuote Mitarbeiter'!K66</f>
        <v/>
      </c>
    </row>
    <row r="67">
      <c r="A67" s="49">
        <f>'KQuote Mitarbeiter'!A67</f>
        <v/>
      </c>
      <c r="B67" s="50">
        <f>'KQuote Mitarbeiter'!B67</f>
        <v/>
      </c>
      <c r="C67" s="59">
        <f>IF($B67="","",(N(Krankheitstage!D67)+N(Krankheitstage!Q67))*N(Krankheitstage!C67))</f>
        <v/>
      </c>
      <c r="D67" s="59">
        <f>IF($B67="","",(N(Krankheitstage!E67)+N(Krankheitstage!R67))*N(Krankheitstage!C67))</f>
        <v/>
      </c>
      <c r="E67" s="59">
        <f>IF($B67="","",(N(Krankheitstage!F67)+N(Krankheitstage!S67))*N(Krankheitstage!C67))</f>
        <v/>
      </c>
      <c r="F67" s="59">
        <f>IF($B67="","",(N(Krankheitstage!G67)+N(Krankheitstage!T67))*N(Krankheitstage!C67))</f>
        <v/>
      </c>
      <c r="G67" s="59">
        <f>IF($B67="","",(N(Krankheitstage!H67)+N(Krankheitstage!U67))*N(Krankheitstage!C67))</f>
        <v/>
      </c>
      <c r="H67" s="59">
        <f>IF($B67="","",(N(Krankheitstage!I67)+N(Krankheitstage!V67))*N(Krankheitstage!C67))</f>
        <v/>
      </c>
      <c r="I67" s="59">
        <f>IF($B67="","",(N(Krankheitstage!J67)+N(Krankheitstage!W67))*N(Krankheitstage!C67))</f>
        <v/>
      </c>
      <c r="J67" s="59">
        <f>IF($B67="","",(N(Krankheitstage!K67)+N(Krankheitstage!X67))*N(Krankheitstage!C67))</f>
        <v/>
      </c>
      <c r="K67" s="59">
        <f>IF($B67="","",(N(Krankheitstage!L67)+N(Krankheitstage!Y67))*N(Krankheitstage!C67))</f>
        <v/>
      </c>
      <c r="L67" s="59">
        <f>IF($B67="","",(N(Krankheitstage!M67)+N(Krankheitstage!Z67))*N(Krankheitstage!C67))</f>
        <v/>
      </c>
      <c r="M67" s="59">
        <f>IF($B67="","",(N(Krankheitstage!N67)+N(Krankheitstage!AA67))*N(Krankheitstage!C67))</f>
        <v/>
      </c>
      <c r="N67" s="59">
        <f>IF($B67="","",(N(Krankheitstage!O67)+N(Krankheitstage!AB67))*N(Krankheitstage!C67))</f>
        <v/>
      </c>
      <c r="O67" s="66">
        <f>IF($B67="","",SUM(C67:N67))</f>
        <v/>
      </c>
      <c r="P67" s="58">
        <f>'KQuote Mitarbeiter'!E67</f>
        <v/>
      </c>
      <c r="Q67" s="67">
        <f>'KQuote Mitarbeiter'!L67</f>
        <v/>
      </c>
      <c r="R67" s="58">
        <f>'KQuote Mitarbeiter'!D67</f>
        <v/>
      </c>
      <c r="S67" s="67">
        <f>'KQuote Mitarbeiter'!K67</f>
        <v/>
      </c>
    </row>
    <row r="68">
      <c r="A68" s="49">
        <f>'KQuote Mitarbeiter'!A68</f>
        <v/>
      </c>
      <c r="B68" s="50">
        <f>'KQuote Mitarbeiter'!B68</f>
        <v/>
      </c>
      <c r="C68" s="59">
        <f>IF($B68="","",(N(Krankheitstage!D68)+N(Krankheitstage!Q68))*N(Krankheitstage!C68))</f>
        <v/>
      </c>
      <c r="D68" s="59">
        <f>IF($B68="","",(N(Krankheitstage!E68)+N(Krankheitstage!R68))*N(Krankheitstage!C68))</f>
        <v/>
      </c>
      <c r="E68" s="59">
        <f>IF($B68="","",(N(Krankheitstage!F68)+N(Krankheitstage!S68))*N(Krankheitstage!C68))</f>
        <v/>
      </c>
      <c r="F68" s="59">
        <f>IF($B68="","",(N(Krankheitstage!G68)+N(Krankheitstage!T68))*N(Krankheitstage!C68))</f>
        <v/>
      </c>
      <c r="G68" s="59">
        <f>IF($B68="","",(N(Krankheitstage!H68)+N(Krankheitstage!U68))*N(Krankheitstage!C68))</f>
        <v/>
      </c>
      <c r="H68" s="59">
        <f>IF($B68="","",(N(Krankheitstage!I68)+N(Krankheitstage!V68))*N(Krankheitstage!C68))</f>
        <v/>
      </c>
      <c r="I68" s="59">
        <f>IF($B68="","",(N(Krankheitstage!J68)+N(Krankheitstage!W68))*N(Krankheitstage!C68))</f>
        <v/>
      </c>
      <c r="J68" s="59">
        <f>IF($B68="","",(N(Krankheitstage!K68)+N(Krankheitstage!X68))*N(Krankheitstage!C68))</f>
        <v/>
      </c>
      <c r="K68" s="59">
        <f>IF($B68="","",(N(Krankheitstage!L68)+N(Krankheitstage!Y68))*N(Krankheitstage!C68))</f>
        <v/>
      </c>
      <c r="L68" s="59">
        <f>IF($B68="","",(N(Krankheitstage!M68)+N(Krankheitstage!Z68))*N(Krankheitstage!C68))</f>
        <v/>
      </c>
      <c r="M68" s="59">
        <f>IF($B68="","",(N(Krankheitstage!N68)+N(Krankheitstage!AA68))*N(Krankheitstage!C68))</f>
        <v/>
      </c>
      <c r="N68" s="59">
        <f>IF($B68="","",(N(Krankheitstage!O68)+N(Krankheitstage!AB68))*N(Krankheitstage!C68))</f>
        <v/>
      </c>
      <c r="O68" s="66">
        <f>IF($B68="","",SUM(C68:N68))</f>
        <v/>
      </c>
      <c r="P68" s="58">
        <f>'KQuote Mitarbeiter'!E68</f>
        <v/>
      </c>
      <c r="Q68" s="67">
        <f>'KQuote Mitarbeiter'!L68</f>
        <v/>
      </c>
      <c r="R68" s="58">
        <f>'KQuote Mitarbeiter'!D68</f>
        <v/>
      </c>
      <c r="S68" s="67">
        <f>'KQuote Mitarbeiter'!K68</f>
        <v/>
      </c>
    </row>
    <row r="69">
      <c r="A69" s="49">
        <f>'KQuote Mitarbeiter'!A69</f>
        <v/>
      </c>
      <c r="B69" s="50">
        <f>'KQuote Mitarbeiter'!B69</f>
        <v/>
      </c>
      <c r="C69" s="59">
        <f>IF($B69="","",(N(Krankheitstage!D69)+N(Krankheitstage!Q69))*N(Krankheitstage!C69))</f>
        <v/>
      </c>
      <c r="D69" s="59">
        <f>IF($B69="","",(N(Krankheitstage!E69)+N(Krankheitstage!R69))*N(Krankheitstage!C69))</f>
        <v/>
      </c>
      <c r="E69" s="59">
        <f>IF($B69="","",(N(Krankheitstage!F69)+N(Krankheitstage!S69))*N(Krankheitstage!C69))</f>
        <v/>
      </c>
      <c r="F69" s="59">
        <f>IF($B69="","",(N(Krankheitstage!G69)+N(Krankheitstage!T69))*N(Krankheitstage!C69))</f>
        <v/>
      </c>
      <c r="G69" s="59">
        <f>IF($B69="","",(N(Krankheitstage!H69)+N(Krankheitstage!U69))*N(Krankheitstage!C69))</f>
        <v/>
      </c>
      <c r="H69" s="59">
        <f>IF($B69="","",(N(Krankheitstage!I69)+N(Krankheitstage!V69))*N(Krankheitstage!C69))</f>
        <v/>
      </c>
      <c r="I69" s="59">
        <f>IF($B69="","",(N(Krankheitstage!J69)+N(Krankheitstage!W69))*N(Krankheitstage!C69))</f>
        <v/>
      </c>
      <c r="J69" s="59">
        <f>IF($B69="","",(N(Krankheitstage!K69)+N(Krankheitstage!X69))*N(Krankheitstage!C69))</f>
        <v/>
      </c>
      <c r="K69" s="59">
        <f>IF($B69="","",(N(Krankheitstage!L69)+N(Krankheitstage!Y69))*N(Krankheitstage!C69))</f>
        <v/>
      </c>
      <c r="L69" s="59">
        <f>IF($B69="","",(N(Krankheitstage!M69)+N(Krankheitstage!Z69))*N(Krankheitstage!C69))</f>
        <v/>
      </c>
      <c r="M69" s="59">
        <f>IF($B69="","",(N(Krankheitstage!N69)+N(Krankheitstage!AA69))*N(Krankheitstage!C69))</f>
        <v/>
      </c>
      <c r="N69" s="59">
        <f>IF($B69="","",(N(Krankheitstage!O69)+N(Krankheitstage!AB69))*N(Krankheitstage!C69))</f>
        <v/>
      </c>
      <c r="O69" s="66">
        <f>IF($B69="","",SUM(C69:N69))</f>
        <v/>
      </c>
      <c r="P69" s="58">
        <f>'KQuote Mitarbeiter'!E69</f>
        <v/>
      </c>
      <c r="Q69" s="67">
        <f>'KQuote Mitarbeiter'!L69</f>
        <v/>
      </c>
      <c r="R69" s="58">
        <f>'KQuote Mitarbeiter'!D69</f>
        <v/>
      </c>
      <c r="S69" s="67">
        <f>'KQuote Mitarbeiter'!K69</f>
        <v/>
      </c>
    </row>
    <row r="70">
      <c r="A70" s="49">
        <f>'KQuote Mitarbeiter'!A70</f>
        <v/>
      </c>
      <c r="B70" s="50">
        <f>'KQuote Mitarbeiter'!B70</f>
        <v/>
      </c>
      <c r="C70" s="59">
        <f>IF($B70="","",(N(Krankheitstage!D70)+N(Krankheitstage!Q70))*N(Krankheitstage!C70))</f>
        <v/>
      </c>
      <c r="D70" s="59">
        <f>IF($B70="","",(N(Krankheitstage!E70)+N(Krankheitstage!R70))*N(Krankheitstage!C70))</f>
        <v/>
      </c>
      <c r="E70" s="59">
        <f>IF($B70="","",(N(Krankheitstage!F70)+N(Krankheitstage!S70))*N(Krankheitstage!C70))</f>
        <v/>
      </c>
      <c r="F70" s="59">
        <f>IF($B70="","",(N(Krankheitstage!G70)+N(Krankheitstage!T70))*N(Krankheitstage!C70))</f>
        <v/>
      </c>
      <c r="G70" s="59">
        <f>IF($B70="","",(N(Krankheitstage!H70)+N(Krankheitstage!U70))*N(Krankheitstage!C70))</f>
        <v/>
      </c>
      <c r="H70" s="59">
        <f>IF($B70="","",(N(Krankheitstage!I70)+N(Krankheitstage!V70))*N(Krankheitstage!C70))</f>
        <v/>
      </c>
      <c r="I70" s="59">
        <f>IF($B70="","",(N(Krankheitstage!J70)+N(Krankheitstage!W70))*N(Krankheitstage!C70))</f>
        <v/>
      </c>
      <c r="J70" s="59">
        <f>IF($B70="","",(N(Krankheitstage!K70)+N(Krankheitstage!X70))*N(Krankheitstage!C70))</f>
        <v/>
      </c>
      <c r="K70" s="59">
        <f>IF($B70="","",(N(Krankheitstage!L70)+N(Krankheitstage!Y70))*N(Krankheitstage!C70))</f>
        <v/>
      </c>
      <c r="L70" s="59">
        <f>IF($B70="","",(N(Krankheitstage!M70)+N(Krankheitstage!Z70))*N(Krankheitstage!C70))</f>
        <v/>
      </c>
      <c r="M70" s="59">
        <f>IF($B70="","",(N(Krankheitstage!N70)+N(Krankheitstage!AA70))*N(Krankheitstage!C70))</f>
        <v/>
      </c>
      <c r="N70" s="59">
        <f>IF($B70="","",(N(Krankheitstage!O70)+N(Krankheitstage!AB70))*N(Krankheitstage!C70))</f>
        <v/>
      </c>
      <c r="O70" s="66">
        <f>IF($B70="","",SUM(C70:N70))</f>
        <v/>
      </c>
      <c r="P70" s="58">
        <f>'KQuote Mitarbeiter'!E70</f>
        <v/>
      </c>
      <c r="Q70" s="67">
        <f>'KQuote Mitarbeiter'!L70</f>
        <v/>
      </c>
      <c r="R70" s="58">
        <f>'KQuote Mitarbeiter'!D70</f>
        <v/>
      </c>
      <c r="S70" s="67">
        <f>'KQuote Mitarbeiter'!K70</f>
        <v/>
      </c>
    </row>
    <row r="71">
      <c r="A71" s="49">
        <f>'KQuote Mitarbeiter'!A71</f>
        <v/>
      </c>
      <c r="B71" s="50">
        <f>'KQuote Mitarbeiter'!B71</f>
        <v/>
      </c>
      <c r="C71" s="59">
        <f>IF($B71="","",(N(Krankheitstage!D71)+N(Krankheitstage!Q71))*N(Krankheitstage!C71))</f>
        <v/>
      </c>
      <c r="D71" s="59">
        <f>IF($B71="","",(N(Krankheitstage!E71)+N(Krankheitstage!R71))*N(Krankheitstage!C71))</f>
        <v/>
      </c>
      <c r="E71" s="59">
        <f>IF($B71="","",(N(Krankheitstage!F71)+N(Krankheitstage!S71))*N(Krankheitstage!C71))</f>
        <v/>
      </c>
      <c r="F71" s="59">
        <f>IF($B71="","",(N(Krankheitstage!G71)+N(Krankheitstage!T71))*N(Krankheitstage!C71))</f>
        <v/>
      </c>
      <c r="G71" s="59">
        <f>IF($B71="","",(N(Krankheitstage!H71)+N(Krankheitstage!U71))*N(Krankheitstage!C71))</f>
        <v/>
      </c>
      <c r="H71" s="59">
        <f>IF($B71="","",(N(Krankheitstage!I71)+N(Krankheitstage!V71))*N(Krankheitstage!C71))</f>
        <v/>
      </c>
      <c r="I71" s="59">
        <f>IF($B71="","",(N(Krankheitstage!J71)+N(Krankheitstage!W71))*N(Krankheitstage!C71))</f>
        <v/>
      </c>
      <c r="J71" s="59">
        <f>IF($B71="","",(N(Krankheitstage!K71)+N(Krankheitstage!X71))*N(Krankheitstage!C71))</f>
        <v/>
      </c>
      <c r="K71" s="59">
        <f>IF($B71="","",(N(Krankheitstage!L71)+N(Krankheitstage!Y71))*N(Krankheitstage!C71))</f>
        <v/>
      </c>
      <c r="L71" s="59">
        <f>IF($B71="","",(N(Krankheitstage!M71)+N(Krankheitstage!Z71))*N(Krankheitstage!C71))</f>
        <v/>
      </c>
      <c r="M71" s="59">
        <f>IF($B71="","",(N(Krankheitstage!N71)+N(Krankheitstage!AA71))*N(Krankheitstage!C71))</f>
        <v/>
      </c>
      <c r="N71" s="59">
        <f>IF($B71="","",(N(Krankheitstage!O71)+N(Krankheitstage!AB71))*N(Krankheitstage!C71))</f>
        <v/>
      </c>
      <c r="O71" s="66">
        <f>IF($B71="","",SUM(C71:N71))</f>
        <v/>
      </c>
      <c r="P71" s="58">
        <f>'KQuote Mitarbeiter'!E71</f>
        <v/>
      </c>
      <c r="Q71" s="67">
        <f>'KQuote Mitarbeiter'!L71</f>
        <v/>
      </c>
      <c r="R71" s="58">
        <f>'KQuote Mitarbeiter'!D71</f>
        <v/>
      </c>
      <c r="S71" s="67">
        <f>'KQuote Mitarbeiter'!K71</f>
        <v/>
      </c>
    </row>
    <row r="72">
      <c r="A72" s="49">
        <f>'KQuote Mitarbeiter'!A72</f>
        <v/>
      </c>
      <c r="B72" s="50">
        <f>'KQuote Mitarbeiter'!B72</f>
        <v/>
      </c>
      <c r="C72" s="59">
        <f>IF($B72="","",(N(Krankheitstage!D72)+N(Krankheitstage!Q72))*N(Krankheitstage!C72))</f>
        <v/>
      </c>
      <c r="D72" s="59">
        <f>IF($B72="","",(N(Krankheitstage!E72)+N(Krankheitstage!R72))*N(Krankheitstage!C72))</f>
        <v/>
      </c>
      <c r="E72" s="59">
        <f>IF($B72="","",(N(Krankheitstage!F72)+N(Krankheitstage!S72))*N(Krankheitstage!C72))</f>
        <v/>
      </c>
      <c r="F72" s="59">
        <f>IF($B72="","",(N(Krankheitstage!G72)+N(Krankheitstage!T72))*N(Krankheitstage!C72))</f>
        <v/>
      </c>
      <c r="G72" s="59">
        <f>IF($B72="","",(N(Krankheitstage!H72)+N(Krankheitstage!U72))*N(Krankheitstage!C72))</f>
        <v/>
      </c>
      <c r="H72" s="59">
        <f>IF($B72="","",(N(Krankheitstage!I72)+N(Krankheitstage!V72))*N(Krankheitstage!C72))</f>
        <v/>
      </c>
      <c r="I72" s="59">
        <f>IF($B72="","",(N(Krankheitstage!J72)+N(Krankheitstage!W72))*N(Krankheitstage!C72))</f>
        <v/>
      </c>
      <c r="J72" s="59">
        <f>IF($B72="","",(N(Krankheitstage!K72)+N(Krankheitstage!X72))*N(Krankheitstage!C72))</f>
        <v/>
      </c>
      <c r="K72" s="59">
        <f>IF($B72="","",(N(Krankheitstage!L72)+N(Krankheitstage!Y72))*N(Krankheitstage!C72))</f>
        <v/>
      </c>
      <c r="L72" s="59">
        <f>IF($B72="","",(N(Krankheitstage!M72)+N(Krankheitstage!Z72))*N(Krankheitstage!C72))</f>
        <v/>
      </c>
      <c r="M72" s="59">
        <f>IF($B72="","",(N(Krankheitstage!N72)+N(Krankheitstage!AA72))*N(Krankheitstage!C72))</f>
        <v/>
      </c>
      <c r="N72" s="59">
        <f>IF($B72="","",(N(Krankheitstage!O72)+N(Krankheitstage!AB72))*N(Krankheitstage!C72))</f>
        <v/>
      </c>
      <c r="O72" s="66">
        <f>IF($B72="","",SUM(C72:N72))</f>
        <v/>
      </c>
      <c r="P72" s="58">
        <f>'KQuote Mitarbeiter'!E72</f>
        <v/>
      </c>
      <c r="Q72" s="67">
        <f>'KQuote Mitarbeiter'!L72</f>
        <v/>
      </c>
      <c r="R72" s="58">
        <f>'KQuote Mitarbeiter'!D72</f>
        <v/>
      </c>
      <c r="S72" s="67">
        <f>'KQuote Mitarbeiter'!K72</f>
        <v/>
      </c>
    </row>
    <row r="73">
      <c r="A73" s="49">
        <f>'KQuote Mitarbeiter'!A73</f>
        <v/>
      </c>
      <c r="B73" s="50">
        <f>'KQuote Mitarbeiter'!B73</f>
        <v/>
      </c>
      <c r="C73" s="59">
        <f>IF($B73="","",(N(Krankheitstage!D73)+N(Krankheitstage!Q73))*N(Krankheitstage!C73))</f>
        <v/>
      </c>
      <c r="D73" s="59">
        <f>IF($B73="","",(N(Krankheitstage!E73)+N(Krankheitstage!R73))*N(Krankheitstage!C73))</f>
        <v/>
      </c>
      <c r="E73" s="59">
        <f>IF($B73="","",(N(Krankheitstage!F73)+N(Krankheitstage!S73))*N(Krankheitstage!C73))</f>
        <v/>
      </c>
      <c r="F73" s="59">
        <f>IF($B73="","",(N(Krankheitstage!G73)+N(Krankheitstage!T73))*N(Krankheitstage!C73))</f>
        <v/>
      </c>
      <c r="G73" s="59">
        <f>IF($B73="","",(N(Krankheitstage!H73)+N(Krankheitstage!U73))*N(Krankheitstage!C73))</f>
        <v/>
      </c>
      <c r="H73" s="59">
        <f>IF($B73="","",(N(Krankheitstage!I73)+N(Krankheitstage!V73))*N(Krankheitstage!C73))</f>
        <v/>
      </c>
      <c r="I73" s="59">
        <f>IF($B73="","",(N(Krankheitstage!J73)+N(Krankheitstage!W73))*N(Krankheitstage!C73))</f>
        <v/>
      </c>
      <c r="J73" s="59">
        <f>IF($B73="","",(N(Krankheitstage!K73)+N(Krankheitstage!X73))*N(Krankheitstage!C73))</f>
        <v/>
      </c>
      <c r="K73" s="59">
        <f>IF($B73="","",(N(Krankheitstage!L73)+N(Krankheitstage!Y73))*N(Krankheitstage!C73))</f>
        <v/>
      </c>
      <c r="L73" s="59">
        <f>IF($B73="","",(N(Krankheitstage!M73)+N(Krankheitstage!Z73))*N(Krankheitstage!C73))</f>
        <v/>
      </c>
      <c r="M73" s="59">
        <f>IF($B73="","",(N(Krankheitstage!N73)+N(Krankheitstage!AA73))*N(Krankheitstage!C73))</f>
        <v/>
      </c>
      <c r="N73" s="59">
        <f>IF($B73="","",(N(Krankheitstage!O73)+N(Krankheitstage!AB73))*N(Krankheitstage!C73))</f>
        <v/>
      </c>
      <c r="O73" s="66">
        <f>IF($B73="","",SUM(C73:N73))</f>
        <v/>
      </c>
      <c r="P73" s="58">
        <f>'KQuote Mitarbeiter'!E73</f>
        <v/>
      </c>
      <c r="Q73" s="67">
        <f>'KQuote Mitarbeiter'!L73</f>
        <v/>
      </c>
      <c r="R73" s="58">
        <f>'KQuote Mitarbeiter'!D73</f>
        <v/>
      </c>
      <c r="S73" s="67">
        <f>'KQuote Mitarbeiter'!K73</f>
        <v/>
      </c>
    </row>
    <row r="74">
      <c r="A74" s="49">
        <f>'KQuote Mitarbeiter'!A74</f>
        <v/>
      </c>
      <c r="B74" s="50">
        <f>'KQuote Mitarbeiter'!B74</f>
        <v/>
      </c>
      <c r="C74" s="59">
        <f>IF($B74="","",(N(Krankheitstage!D74)+N(Krankheitstage!Q74))*N(Krankheitstage!C74))</f>
        <v/>
      </c>
      <c r="D74" s="59">
        <f>IF($B74="","",(N(Krankheitstage!E74)+N(Krankheitstage!R74))*N(Krankheitstage!C74))</f>
        <v/>
      </c>
      <c r="E74" s="59">
        <f>IF($B74="","",(N(Krankheitstage!F74)+N(Krankheitstage!S74))*N(Krankheitstage!C74))</f>
        <v/>
      </c>
      <c r="F74" s="59">
        <f>IF($B74="","",(N(Krankheitstage!G74)+N(Krankheitstage!T74))*N(Krankheitstage!C74))</f>
        <v/>
      </c>
      <c r="G74" s="59">
        <f>IF($B74="","",(N(Krankheitstage!H74)+N(Krankheitstage!U74))*N(Krankheitstage!C74))</f>
        <v/>
      </c>
      <c r="H74" s="59">
        <f>IF($B74="","",(N(Krankheitstage!I74)+N(Krankheitstage!V74))*N(Krankheitstage!C74))</f>
        <v/>
      </c>
      <c r="I74" s="59">
        <f>IF($B74="","",(N(Krankheitstage!J74)+N(Krankheitstage!W74))*N(Krankheitstage!C74))</f>
        <v/>
      </c>
      <c r="J74" s="59">
        <f>IF($B74="","",(N(Krankheitstage!K74)+N(Krankheitstage!X74))*N(Krankheitstage!C74))</f>
        <v/>
      </c>
      <c r="K74" s="59">
        <f>IF($B74="","",(N(Krankheitstage!L74)+N(Krankheitstage!Y74))*N(Krankheitstage!C74))</f>
        <v/>
      </c>
      <c r="L74" s="59">
        <f>IF($B74="","",(N(Krankheitstage!M74)+N(Krankheitstage!Z74))*N(Krankheitstage!C74))</f>
        <v/>
      </c>
      <c r="M74" s="59">
        <f>IF($B74="","",(N(Krankheitstage!N74)+N(Krankheitstage!AA74))*N(Krankheitstage!C74))</f>
        <v/>
      </c>
      <c r="N74" s="59">
        <f>IF($B74="","",(N(Krankheitstage!O74)+N(Krankheitstage!AB74))*N(Krankheitstage!C74))</f>
        <v/>
      </c>
      <c r="O74" s="66">
        <f>IF($B74="","",SUM(C74:N74))</f>
        <v/>
      </c>
      <c r="P74" s="58">
        <f>'KQuote Mitarbeiter'!E74</f>
        <v/>
      </c>
      <c r="Q74" s="67">
        <f>'KQuote Mitarbeiter'!L74</f>
        <v/>
      </c>
      <c r="R74" s="58">
        <f>'KQuote Mitarbeiter'!D74</f>
        <v/>
      </c>
      <c r="S74" s="67">
        <f>'KQuote Mitarbeiter'!K74</f>
        <v/>
      </c>
    </row>
    <row r="75">
      <c r="A75" s="49">
        <f>'KQuote Mitarbeiter'!A75</f>
        <v/>
      </c>
      <c r="B75" s="50">
        <f>'KQuote Mitarbeiter'!B75</f>
        <v/>
      </c>
      <c r="C75" s="59">
        <f>IF($B75="","",(N(Krankheitstage!D75)+N(Krankheitstage!Q75))*N(Krankheitstage!C75))</f>
        <v/>
      </c>
      <c r="D75" s="59">
        <f>IF($B75="","",(N(Krankheitstage!E75)+N(Krankheitstage!R75))*N(Krankheitstage!C75))</f>
        <v/>
      </c>
      <c r="E75" s="59">
        <f>IF($B75="","",(N(Krankheitstage!F75)+N(Krankheitstage!S75))*N(Krankheitstage!C75))</f>
        <v/>
      </c>
      <c r="F75" s="59">
        <f>IF($B75="","",(N(Krankheitstage!G75)+N(Krankheitstage!T75))*N(Krankheitstage!C75))</f>
        <v/>
      </c>
      <c r="G75" s="59">
        <f>IF($B75="","",(N(Krankheitstage!H75)+N(Krankheitstage!U75))*N(Krankheitstage!C75))</f>
        <v/>
      </c>
      <c r="H75" s="59">
        <f>IF($B75="","",(N(Krankheitstage!I75)+N(Krankheitstage!V75))*N(Krankheitstage!C75))</f>
        <v/>
      </c>
      <c r="I75" s="59">
        <f>IF($B75="","",(N(Krankheitstage!J75)+N(Krankheitstage!W75))*N(Krankheitstage!C75))</f>
        <v/>
      </c>
      <c r="J75" s="59">
        <f>IF($B75="","",(N(Krankheitstage!K75)+N(Krankheitstage!X75))*N(Krankheitstage!C75))</f>
        <v/>
      </c>
      <c r="K75" s="59">
        <f>IF($B75="","",(N(Krankheitstage!L75)+N(Krankheitstage!Y75))*N(Krankheitstage!C75))</f>
        <v/>
      </c>
      <c r="L75" s="59">
        <f>IF($B75="","",(N(Krankheitstage!M75)+N(Krankheitstage!Z75))*N(Krankheitstage!C75))</f>
        <v/>
      </c>
      <c r="M75" s="59">
        <f>IF($B75="","",(N(Krankheitstage!N75)+N(Krankheitstage!AA75))*N(Krankheitstage!C75))</f>
        <v/>
      </c>
      <c r="N75" s="59">
        <f>IF($B75="","",(N(Krankheitstage!O75)+N(Krankheitstage!AB75))*N(Krankheitstage!C75))</f>
        <v/>
      </c>
      <c r="O75" s="66">
        <f>IF($B75="","",SUM(C75:N75))</f>
        <v/>
      </c>
      <c r="P75" s="58">
        <f>'KQuote Mitarbeiter'!E75</f>
        <v/>
      </c>
      <c r="Q75" s="67">
        <f>'KQuote Mitarbeiter'!L75</f>
        <v/>
      </c>
      <c r="R75" s="58">
        <f>'KQuote Mitarbeiter'!D75</f>
        <v/>
      </c>
      <c r="S75" s="67">
        <f>'KQuote Mitarbeiter'!K75</f>
        <v/>
      </c>
    </row>
    <row r="76">
      <c r="A76" s="49">
        <f>'KQuote Mitarbeiter'!A76</f>
        <v/>
      </c>
      <c r="B76" s="50">
        <f>'KQuote Mitarbeiter'!B76</f>
        <v/>
      </c>
      <c r="C76" s="59">
        <f>IF($B76="","",(N(Krankheitstage!D76)+N(Krankheitstage!Q76))*N(Krankheitstage!C76))</f>
        <v/>
      </c>
      <c r="D76" s="59">
        <f>IF($B76="","",(N(Krankheitstage!E76)+N(Krankheitstage!R76))*N(Krankheitstage!C76))</f>
        <v/>
      </c>
      <c r="E76" s="59">
        <f>IF($B76="","",(N(Krankheitstage!F76)+N(Krankheitstage!S76))*N(Krankheitstage!C76))</f>
        <v/>
      </c>
      <c r="F76" s="59">
        <f>IF($B76="","",(N(Krankheitstage!G76)+N(Krankheitstage!T76))*N(Krankheitstage!C76))</f>
        <v/>
      </c>
      <c r="G76" s="59">
        <f>IF($B76="","",(N(Krankheitstage!H76)+N(Krankheitstage!U76))*N(Krankheitstage!C76))</f>
        <v/>
      </c>
      <c r="H76" s="59">
        <f>IF($B76="","",(N(Krankheitstage!I76)+N(Krankheitstage!V76))*N(Krankheitstage!C76))</f>
        <v/>
      </c>
      <c r="I76" s="59">
        <f>IF($B76="","",(N(Krankheitstage!J76)+N(Krankheitstage!W76))*N(Krankheitstage!C76))</f>
        <v/>
      </c>
      <c r="J76" s="59">
        <f>IF($B76="","",(N(Krankheitstage!K76)+N(Krankheitstage!X76))*N(Krankheitstage!C76))</f>
        <v/>
      </c>
      <c r="K76" s="59">
        <f>IF($B76="","",(N(Krankheitstage!L76)+N(Krankheitstage!Y76))*N(Krankheitstage!C76))</f>
        <v/>
      </c>
      <c r="L76" s="59">
        <f>IF($B76="","",(N(Krankheitstage!M76)+N(Krankheitstage!Z76))*N(Krankheitstage!C76))</f>
        <v/>
      </c>
      <c r="M76" s="59">
        <f>IF($B76="","",(N(Krankheitstage!N76)+N(Krankheitstage!AA76))*N(Krankheitstage!C76))</f>
        <v/>
      </c>
      <c r="N76" s="59">
        <f>IF($B76="","",(N(Krankheitstage!O76)+N(Krankheitstage!AB76))*N(Krankheitstage!C76))</f>
        <v/>
      </c>
      <c r="O76" s="66">
        <f>IF($B76="","",SUM(C76:N76))</f>
        <v/>
      </c>
      <c r="P76" s="58">
        <f>'KQuote Mitarbeiter'!E76</f>
        <v/>
      </c>
      <c r="Q76" s="67">
        <f>'KQuote Mitarbeiter'!L76</f>
        <v/>
      </c>
      <c r="R76" s="58">
        <f>'KQuote Mitarbeiter'!D76</f>
        <v/>
      </c>
      <c r="S76" s="67">
        <f>'KQuote Mitarbeiter'!K76</f>
        <v/>
      </c>
    </row>
    <row r="77">
      <c r="A77" s="49">
        <f>'KQuote Mitarbeiter'!A77</f>
        <v/>
      </c>
      <c r="B77" s="50">
        <f>'KQuote Mitarbeiter'!B77</f>
        <v/>
      </c>
      <c r="C77" s="59">
        <f>IF($B77="","",(N(Krankheitstage!D77)+N(Krankheitstage!Q77))*N(Krankheitstage!C77))</f>
        <v/>
      </c>
      <c r="D77" s="59">
        <f>IF($B77="","",(N(Krankheitstage!E77)+N(Krankheitstage!R77))*N(Krankheitstage!C77))</f>
        <v/>
      </c>
      <c r="E77" s="59">
        <f>IF($B77="","",(N(Krankheitstage!F77)+N(Krankheitstage!S77))*N(Krankheitstage!C77))</f>
        <v/>
      </c>
      <c r="F77" s="59">
        <f>IF($B77="","",(N(Krankheitstage!G77)+N(Krankheitstage!T77))*N(Krankheitstage!C77))</f>
        <v/>
      </c>
      <c r="G77" s="59">
        <f>IF($B77="","",(N(Krankheitstage!H77)+N(Krankheitstage!U77))*N(Krankheitstage!C77))</f>
        <v/>
      </c>
      <c r="H77" s="59">
        <f>IF($B77="","",(N(Krankheitstage!I77)+N(Krankheitstage!V77))*N(Krankheitstage!C77))</f>
        <v/>
      </c>
      <c r="I77" s="59">
        <f>IF($B77="","",(N(Krankheitstage!J77)+N(Krankheitstage!W77))*N(Krankheitstage!C77))</f>
        <v/>
      </c>
      <c r="J77" s="59">
        <f>IF($B77="","",(N(Krankheitstage!K77)+N(Krankheitstage!X77))*N(Krankheitstage!C77))</f>
        <v/>
      </c>
      <c r="K77" s="59">
        <f>IF($B77="","",(N(Krankheitstage!L77)+N(Krankheitstage!Y77))*N(Krankheitstage!C77))</f>
        <v/>
      </c>
      <c r="L77" s="59">
        <f>IF($B77="","",(N(Krankheitstage!M77)+N(Krankheitstage!Z77))*N(Krankheitstage!C77))</f>
        <v/>
      </c>
      <c r="M77" s="59">
        <f>IF($B77="","",(N(Krankheitstage!N77)+N(Krankheitstage!AA77))*N(Krankheitstage!C77))</f>
        <v/>
      </c>
      <c r="N77" s="59">
        <f>IF($B77="","",(N(Krankheitstage!O77)+N(Krankheitstage!AB77))*N(Krankheitstage!C77))</f>
        <v/>
      </c>
      <c r="O77" s="66">
        <f>IF($B77="","",SUM(C77:N77))</f>
        <v/>
      </c>
      <c r="P77" s="58">
        <f>'KQuote Mitarbeiter'!E77</f>
        <v/>
      </c>
      <c r="Q77" s="67">
        <f>'KQuote Mitarbeiter'!L77</f>
        <v/>
      </c>
      <c r="R77" s="58">
        <f>'KQuote Mitarbeiter'!D77</f>
        <v/>
      </c>
      <c r="S77" s="67">
        <f>'KQuote Mitarbeiter'!K77</f>
        <v/>
      </c>
    </row>
    <row r="78">
      <c r="A78" s="49">
        <f>'KQuote Mitarbeiter'!A78</f>
        <v/>
      </c>
      <c r="B78" s="50">
        <f>'KQuote Mitarbeiter'!B78</f>
        <v/>
      </c>
      <c r="C78" s="59">
        <f>IF($B78="","",(N(Krankheitstage!D78)+N(Krankheitstage!Q78))*N(Krankheitstage!C78))</f>
        <v/>
      </c>
      <c r="D78" s="59">
        <f>IF($B78="","",(N(Krankheitstage!E78)+N(Krankheitstage!R78))*N(Krankheitstage!C78))</f>
        <v/>
      </c>
      <c r="E78" s="59">
        <f>IF($B78="","",(N(Krankheitstage!F78)+N(Krankheitstage!S78))*N(Krankheitstage!C78))</f>
        <v/>
      </c>
      <c r="F78" s="59">
        <f>IF($B78="","",(N(Krankheitstage!G78)+N(Krankheitstage!T78))*N(Krankheitstage!C78))</f>
        <v/>
      </c>
      <c r="G78" s="59">
        <f>IF($B78="","",(N(Krankheitstage!H78)+N(Krankheitstage!U78))*N(Krankheitstage!C78))</f>
        <v/>
      </c>
      <c r="H78" s="59">
        <f>IF($B78="","",(N(Krankheitstage!I78)+N(Krankheitstage!V78))*N(Krankheitstage!C78))</f>
        <v/>
      </c>
      <c r="I78" s="59">
        <f>IF($B78="","",(N(Krankheitstage!J78)+N(Krankheitstage!W78))*N(Krankheitstage!C78))</f>
        <v/>
      </c>
      <c r="J78" s="59">
        <f>IF($B78="","",(N(Krankheitstage!K78)+N(Krankheitstage!X78))*N(Krankheitstage!C78))</f>
        <v/>
      </c>
      <c r="K78" s="59">
        <f>IF($B78="","",(N(Krankheitstage!L78)+N(Krankheitstage!Y78))*N(Krankheitstage!C78))</f>
        <v/>
      </c>
      <c r="L78" s="59">
        <f>IF($B78="","",(N(Krankheitstage!M78)+N(Krankheitstage!Z78))*N(Krankheitstage!C78))</f>
        <v/>
      </c>
      <c r="M78" s="59">
        <f>IF($B78="","",(N(Krankheitstage!N78)+N(Krankheitstage!AA78))*N(Krankheitstage!C78))</f>
        <v/>
      </c>
      <c r="N78" s="59">
        <f>IF($B78="","",(N(Krankheitstage!O78)+N(Krankheitstage!AB78))*N(Krankheitstage!C78))</f>
        <v/>
      </c>
      <c r="O78" s="66">
        <f>IF($B78="","",SUM(C78:N78))</f>
        <v/>
      </c>
      <c r="P78" s="58">
        <f>'KQuote Mitarbeiter'!E78</f>
        <v/>
      </c>
      <c r="Q78" s="67">
        <f>'KQuote Mitarbeiter'!L78</f>
        <v/>
      </c>
      <c r="R78" s="58">
        <f>'KQuote Mitarbeiter'!D78</f>
        <v/>
      </c>
      <c r="S78" s="67">
        <f>'KQuote Mitarbeiter'!K78</f>
        <v/>
      </c>
    </row>
    <row r="79">
      <c r="A79" s="49">
        <f>'KQuote Mitarbeiter'!A79</f>
        <v/>
      </c>
      <c r="B79" s="50">
        <f>'KQuote Mitarbeiter'!B79</f>
        <v/>
      </c>
      <c r="C79" s="59">
        <f>IF($B79="","",(N(Krankheitstage!D79)+N(Krankheitstage!Q79))*N(Krankheitstage!C79))</f>
        <v/>
      </c>
      <c r="D79" s="59">
        <f>IF($B79="","",(N(Krankheitstage!E79)+N(Krankheitstage!R79))*N(Krankheitstage!C79))</f>
        <v/>
      </c>
      <c r="E79" s="59">
        <f>IF($B79="","",(N(Krankheitstage!F79)+N(Krankheitstage!S79))*N(Krankheitstage!C79))</f>
        <v/>
      </c>
      <c r="F79" s="59">
        <f>IF($B79="","",(N(Krankheitstage!G79)+N(Krankheitstage!T79))*N(Krankheitstage!C79))</f>
        <v/>
      </c>
      <c r="G79" s="59">
        <f>IF($B79="","",(N(Krankheitstage!H79)+N(Krankheitstage!U79))*N(Krankheitstage!C79))</f>
        <v/>
      </c>
      <c r="H79" s="59">
        <f>IF($B79="","",(N(Krankheitstage!I79)+N(Krankheitstage!V79))*N(Krankheitstage!C79))</f>
        <v/>
      </c>
      <c r="I79" s="59">
        <f>IF($B79="","",(N(Krankheitstage!J79)+N(Krankheitstage!W79))*N(Krankheitstage!C79))</f>
        <v/>
      </c>
      <c r="J79" s="59">
        <f>IF($B79="","",(N(Krankheitstage!K79)+N(Krankheitstage!X79))*N(Krankheitstage!C79))</f>
        <v/>
      </c>
      <c r="K79" s="59">
        <f>IF($B79="","",(N(Krankheitstage!L79)+N(Krankheitstage!Y79))*N(Krankheitstage!C79))</f>
        <v/>
      </c>
      <c r="L79" s="59">
        <f>IF($B79="","",(N(Krankheitstage!M79)+N(Krankheitstage!Z79))*N(Krankheitstage!C79))</f>
        <v/>
      </c>
      <c r="M79" s="59">
        <f>IF($B79="","",(N(Krankheitstage!N79)+N(Krankheitstage!AA79))*N(Krankheitstage!C79))</f>
        <v/>
      </c>
      <c r="N79" s="59">
        <f>IF($B79="","",(N(Krankheitstage!O79)+N(Krankheitstage!AB79))*N(Krankheitstage!C79))</f>
        <v/>
      </c>
      <c r="O79" s="66">
        <f>IF($B79="","",SUM(C79:N79))</f>
        <v/>
      </c>
      <c r="P79" s="58">
        <f>'KQuote Mitarbeiter'!E79</f>
        <v/>
      </c>
      <c r="Q79" s="67">
        <f>'KQuote Mitarbeiter'!L79</f>
        <v/>
      </c>
      <c r="R79" s="58">
        <f>'KQuote Mitarbeiter'!D79</f>
        <v/>
      </c>
      <c r="S79" s="67">
        <f>'KQuote Mitarbeiter'!K79</f>
        <v/>
      </c>
    </row>
    <row r="80">
      <c r="A80" s="49">
        <f>'KQuote Mitarbeiter'!A80</f>
        <v/>
      </c>
      <c r="B80" s="50">
        <f>'KQuote Mitarbeiter'!B80</f>
        <v/>
      </c>
      <c r="C80" s="59">
        <f>IF($B80="","",(N(Krankheitstage!D80)+N(Krankheitstage!Q80))*N(Krankheitstage!C80))</f>
        <v/>
      </c>
      <c r="D80" s="59">
        <f>IF($B80="","",(N(Krankheitstage!E80)+N(Krankheitstage!R80))*N(Krankheitstage!C80))</f>
        <v/>
      </c>
      <c r="E80" s="59">
        <f>IF($B80="","",(N(Krankheitstage!F80)+N(Krankheitstage!S80))*N(Krankheitstage!C80))</f>
        <v/>
      </c>
      <c r="F80" s="59">
        <f>IF($B80="","",(N(Krankheitstage!G80)+N(Krankheitstage!T80))*N(Krankheitstage!C80))</f>
        <v/>
      </c>
      <c r="G80" s="59">
        <f>IF($B80="","",(N(Krankheitstage!H80)+N(Krankheitstage!U80))*N(Krankheitstage!C80))</f>
        <v/>
      </c>
      <c r="H80" s="59">
        <f>IF($B80="","",(N(Krankheitstage!I80)+N(Krankheitstage!V80))*N(Krankheitstage!C80))</f>
        <v/>
      </c>
      <c r="I80" s="59">
        <f>IF($B80="","",(N(Krankheitstage!J80)+N(Krankheitstage!W80))*N(Krankheitstage!C80))</f>
        <v/>
      </c>
      <c r="J80" s="59">
        <f>IF($B80="","",(N(Krankheitstage!K80)+N(Krankheitstage!X80))*N(Krankheitstage!C80))</f>
        <v/>
      </c>
      <c r="K80" s="59">
        <f>IF($B80="","",(N(Krankheitstage!L80)+N(Krankheitstage!Y80))*N(Krankheitstage!C80))</f>
        <v/>
      </c>
      <c r="L80" s="59">
        <f>IF($B80="","",(N(Krankheitstage!M80)+N(Krankheitstage!Z80))*N(Krankheitstage!C80))</f>
        <v/>
      </c>
      <c r="M80" s="59">
        <f>IF($B80="","",(N(Krankheitstage!N80)+N(Krankheitstage!AA80))*N(Krankheitstage!C80))</f>
        <v/>
      </c>
      <c r="N80" s="59">
        <f>IF($B80="","",(N(Krankheitstage!O80)+N(Krankheitstage!AB80))*N(Krankheitstage!C80))</f>
        <v/>
      </c>
      <c r="O80" s="66">
        <f>IF($B80="","",SUM(C80:N80))</f>
        <v/>
      </c>
      <c r="P80" s="58">
        <f>'KQuote Mitarbeiter'!E80</f>
        <v/>
      </c>
      <c r="Q80" s="67">
        <f>'KQuote Mitarbeiter'!L80</f>
        <v/>
      </c>
      <c r="R80" s="58">
        <f>'KQuote Mitarbeiter'!D80</f>
        <v/>
      </c>
      <c r="S80" s="67">
        <f>'KQuote Mitarbeiter'!K80</f>
        <v/>
      </c>
    </row>
    <row r="81">
      <c r="A81" s="49">
        <f>'KQuote Mitarbeiter'!A81</f>
        <v/>
      </c>
      <c r="B81" s="50">
        <f>'KQuote Mitarbeiter'!B81</f>
        <v/>
      </c>
      <c r="C81" s="59">
        <f>IF($B81="","",(N(Krankheitstage!D81)+N(Krankheitstage!Q81))*N(Krankheitstage!C81))</f>
        <v/>
      </c>
      <c r="D81" s="59">
        <f>IF($B81="","",(N(Krankheitstage!E81)+N(Krankheitstage!R81))*N(Krankheitstage!C81))</f>
        <v/>
      </c>
      <c r="E81" s="59">
        <f>IF($B81="","",(N(Krankheitstage!F81)+N(Krankheitstage!S81))*N(Krankheitstage!C81))</f>
        <v/>
      </c>
      <c r="F81" s="59">
        <f>IF($B81="","",(N(Krankheitstage!G81)+N(Krankheitstage!T81))*N(Krankheitstage!C81))</f>
        <v/>
      </c>
      <c r="G81" s="59">
        <f>IF($B81="","",(N(Krankheitstage!H81)+N(Krankheitstage!U81))*N(Krankheitstage!C81))</f>
        <v/>
      </c>
      <c r="H81" s="59">
        <f>IF($B81="","",(N(Krankheitstage!I81)+N(Krankheitstage!V81))*N(Krankheitstage!C81))</f>
        <v/>
      </c>
      <c r="I81" s="59">
        <f>IF($B81="","",(N(Krankheitstage!J81)+N(Krankheitstage!W81))*N(Krankheitstage!C81))</f>
        <v/>
      </c>
      <c r="J81" s="59">
        <f>IF($B81="","",(N(Krankheitstage!K81)+N(Krankheitstage!X81))*N(Krankheitstage!C81))</f>
        <v/>
      </c>
      <c r="K81" s="59">
        <f>IF($B81="","",(N(Krankheitstage!L81)+N(Krankheitstage!Y81))*N(Krankheitstage!C81))</f>
        <v/>
      </c>
      <c r="L81" s="59">
        <f>IF($B81="","",(N(Krankheitstage!M81)+N(Krankheitstage!Z81))*N(Krankheitstage!C81))</f>
        <v/>
      </c>
      <c r="M81" s="59">
        <f>IF($B81="","",(N(Krankheitstage!N81)+N(Krankheitstage!AA81))*N(Krankheitstage!C81))</f>
        <v/>
      </c>
      <c r="N81" s="59">
        <f>IF($B81="","",(N(Krankheitstage!O81)+N(Krankheitstage!AB81))*N(Krankheitstage!C81))</f>
        <v/>
      </c>
      <c r="O81" s="66">
        <f>IF($B81="","",SUM(C81:N81))</f>
        <v/>
      </c>
      <c r="P81" s="58">
        <f>'KQuote Mitarbeiter'!E81</f>
        <v/>
      </c>
      <c r="Q81" s="67">
        <f>'KQuote Mitarbeiter'!L81</f>
        <v/>
      </c>
      <c r="R81" s="58">
        <f>'KQuote Mitarbeiter'!D81</f>
        <v/>
      </c>
      <c r="S81" s="67">
        <f>'KQuote Mitarbeiter'!K81</f>
        <v/>
      </c>
    </row>
    <row r="82">
      <c r="A82" s="49">
        <f>'KQuote Mitarbeiter'!A82</f>
        <v/>
      </c>
      <c r="B82" s="50">
        <f>'KQuote Mitarbeiter'!B82</f>
        <v/>
      </c>
      <c r="C82" s="59">
        <f>IF($B82="","",(N(Krankheitstage!D82)+N(Krankheitstage!Q82))*N(Krankheitstage!C82))</f>
        <v/>
      </c>
      <c r="D82" s="59">
        <f>IF($B82="","",(N(Krankheitstage!E82)+N(Krankheitstage!R82))*N(Krankheitstage!C82))</f>
        <v/>
      </c>
      <c r="E82" s="59">
        <f>IF($B82="","",(N(Krankheitstage!F82)+N(Krankheitstage!S82))*N(Krankheitstage!C82))</f>
        <v/>
      </c>
      <c r="F82" s="59">
        <f>IF($B82="","",(N(Krankheitstage!G82)+N(Krankheitstage!T82))*N(Krankheitstage!C82))</f>
        <v/>
      </c>
      <c r="G82" s="59">
        <f>IF($B82="","",(N(Krankheitstage!H82)+N(Krankheitstage!U82))*N(Krankheitstage!C82))</f>
        <v/>
      </c>
      <c r="H82" s="59">
        <f>IF($B82="","",(N(Krankheitstage!I82)+N(Krankheitstage!V82))*N(Krankheitstage!C82))</f>
        <v/>
      </c>
      <c r="I82" s="59">
        <f>IF($B82="","",(N(Krankheitstage!J82)+N(Krankheitstage!W82))*N(Krankheitstage!C82))</f>
        <v/>
      </c>
      <c r="J82" s="59">
        <f>IF($B82="","",(N(Krankheitstage!K82)+N(Krankheitstage!X82))*N(Krankheitstage!C82))</f>
        <v/>
      </c>
      <c r="K82" s="59">
        <f>IF($B82="","",(N(Krankheitstage!L82)+N(Krankheitstage!Y82))*N(Krankheitstage!C82))</f>
        <v/>
      </c>
      <c r="L82" s="59">
        <f>IF($B82="","",(N(Krankheitstage!M82)+N(Krankheitstage!Z82))*N(Krankheitstage!C82))</f>
        <v/>
      </c>
      <c r="M82" s="59">
        <f>IF($B82="","",(N(Krankheitstage!N82)+N(Krankheitstage!AA82))*N(Krankheitstage!C82))</f>
        <v/>
      </c>
      <c r="N82" s="59">
        <f>IF($B82="","",(N(Krankheitstage!O82)+N(Krankheitstage!AB82))*N(Krankheitstage!C82))</f>
        <v/>
      </c>
      <c r="O82" s="66">
        <f>IF($B82="","",SUM(C82:N82))</f>
        <v/>
      </c>
      <c r="P82" s="58">
        <f>'KQuote Mitarbeiter'!E82</f>
        <v/>
      </c>
      <c r="Q82" s="67">
        <f>'KQuote Mitarbeiter'!L82</f>
        <v/>
      </c>
      <c r="R82" s="58">
        <f>'KQuote Mitarbeiter'!D82</f>
        <v/>
      </c>
      <c r="S82" s="67">
        <f>'KQuote Mitarbeiter'!K82</f>
        <v/>
      </c>
    </row>
    <row r="83">
      <c r="A83" s="49">
        <f>'KQuote Mitarbeiter'!A83</f>
        <v/>
      </c>
      <c r="B83" s="50">
        <f>'KQuote Mitarbeiter'!B83</f>
        <v/>
      </c>
      <c r="C83" s="59">
        <f>IF($B83="","",(N(Krankheitstage!D83)+N(Krankheitstage!Q83))*N(Krankheitstage!C83))</f>
        <v/>
      </c>
      <c r="D83" s="59">
        <f>IF($B83="","",(N(Krankheitstage!E83)+N(Krankheitstage!R83))*N(Krankheitstage!C83))</f>
        <v/>
      </c>
      <c r="E83" s="59">
        <f>IF($B83="","",(N(Krankheitstage!F83)+N(Krankheitstage!S83))*N(Krankheitstage!C83))</f>
        <v/>
      </c>
      <c r="F83" s="59">
        <f>IF($B83="","",(N(Krankheitstage!G83)+N(Krankheitstage!T83))*N(Krankheitstage!C83))</f>
        <v/>
      </c>
      <c r="G83" s="59">
        <f>IF($B83="","",(N(Krankheitstage!H83)+N(Krankheitstage!U83))*N(Krankheitstage!C83))</f>
        <v/>
      </c>
      <c r="H83" s="59">
        <f>IF($B83="","",(N(Krankheitstage!I83)+N(Krankheitstage!V83))*N(Krankheitstage!C83))</f>
        <v/>
      </c>
      <c r="I83" s="59">
        <f>IF($B83="","",(N(Krankheitstage!J83)+N(Krankheitstage!W83))*N(Krankheitstage!C83))</f>
        <v/>
      </c>
      <c r="J83" s="59">
        <f>IF($B83="","",(N(Krankheitstage!K83)+N(Krankheitstage!X83))*N(Krankheitstage!C83))</f>
        <v/>
      </c>
      <c r="K83" s="59">
        <f>IF($B83="","",(N(Krankheitstage!L83)+N(Krankheitstage!Y83))*N(Krankheitstage!C83))</f>
        <v/>
      </c>
      <c r="L83" s="59">
        <f>IF($B83="","",(N(Krankheitstage!M83)+N(Krankheitstage!Z83))*N(Krankheitstage!C83))</f>
        <v/>
      </c>
      <c r="M83" s="59">
        <f>IF($B83="","",(N(Krankheitstage!N83)+N(Krankheitstage!AA83))*N(Krankheitstage!C83))</f>
        <v/>
      </c>
      <c r="N83" s="59">
        <f>IF($B83="","",(N(Krankheitstage!O83)+N(Krankheitstage!AB83))*N(Krankheitstage!C83))</f>
        <v/>
      </c>
      <c r="O83" s="66">
        <f>IF($B83="","",SUM(C83:N83))</f>
        <v/>
      </c>
      <c r="P83" s="58">
        <f>'KQuote Mitarbeiter'!E83</f>
        <v/>
      </c>
      <c r="Q83" s="67">
        <f>'KQuote Mitarbeiter'!L83</f>
        <v/>
      </c>
      <c r="R83" s="58">
        <f>'KQuote Mitarbeiter'!D83</f>
        <v/>
      </c>
      <c r="S83" s="67">
        <f>'KQuote Mitarbeiter'!K83</f>
        <v/>
      </c>
    </row>
    <row r="84">
      <c r="A84" s="49">
        <f>'KQuote Mitarbeiter'!A84</f>
        <v/>
      </c>
      <c r="B84" s="50">
        <f>'KQuote Mitarbeiter'!B84</f>
        <v/>
      </c>
      <c r="C84" s="59">
        <f>IF($B84="","",(N(Krankheitstage!D84)+N(Krankheitstage!Q84))*N(Krankheitstage!C84))</f>
        <v/>
      </c>
      <c r="D84" s="59">
        <f>IF($B84="","",(N(Krankheitstage!E84)+N(Krankheitstage!R84))*N(Krankheitstage!C84))</f>
        <v/>
      </c>
      <c r="E84" s="59">
        <f>IF($B84="","",(N(Krankheitstage!F84)+N(Krankheitstage!S84))*N(Krankheitstage!C84))</f>
        <v/>
      </c>
      <c r="F84" s="59">
        <f>IF($B84="","",(N(Krankheitstage!G84)+N(Krankheitstage!T84))*N(Krankheitstage!C84))</f>
        <v/>
      </c>
      <c r="G84" s="59">
        <f>IF($B84="","",(N(Krankheitstage!H84)+N(Krankheitstage!U84))*N(Krankheitstage!C84))</f>
        <v/>
      </c>
      <c r="H84" s="59">
        <f>IF($B84="","",(N(Krankheitstage!I84)+N(Krankheitstage!V84))*N(Krankheitstage!C84))</f>
        <v/>
      </c>
      <c r="I84" s="59">
        <f>IF($B84="","",(N(Krankheitstage!J84)+N(Krankheitstage!W84))*N(Krankheitstage!C84))</f>
        <v/>
      </c>
      <c r="J84" s="59">
        <f>IF($B84="","",(N(Krankheitstage!K84)+N(Krankheitstage!X84))*N(Krankheitstage!C84))</f>
        <v/>
      </c>
      <c r="K84" s="59">
        <f>IF($B84="","",(N(Krankheitstage!L84)+N(Krankheitstage!Y84))*N(Krankheitstage!C84))</f>
        <v/>
      </c>
      <c r="L84" s="59">
        <f>IF($B84="","",(N(Krankheitstage!M84)+N(Krankheitstage!Z84))*N(Krankheitstage!C84))</f>
        <v/>
      </c>
      <c r="M84" s="59">
        <f>IF($B84="","",(N(Krankheitstage!N84)+N(Krankheitstage!AA84))*N(Krankheitstage!C84))</f>
        <v/>
      </c>
      <c r="N84" s="59">
        <f>IF($B84="","",(N(Krankheitstage!O84)+N(Krankheitstage!AB84))*N(Krankheitstage!C84))</f>
        <v/>
      </c>
      <c r="O84" s="66">
        <f>IF($B84="","",SUM(C84:N84))</f>
        <v/>
      </c>
      <c r="P84" s="58">
        <f>'KQuote Mitarbeiter'!E84</f>
        <v/>
      </c>
      <c r="Q84" s="67">
        <f>'KQuote Mitarbeiter'!L84</f>
        <v/>
      </c>
      <c r="R84" s="58">
        <f>'KQuote Mitarbeiter'!D84</f>
        <v/>
      </c>
      <c r="S84" s="67">
        <f>'KQuote Mitarbeiter'!K84</f>
        <v/>
      </c>
    </row>
    <row r="85">
      <c r="A85" s="49">
        <f>'KQuote Mitarbeiter'!A85</f>
        <v/>
      </c>
      <c r="B85" s="50">
        <f>'KQuote Mitarbeiter'!B85</f>
        <v/>
      </c>
      <c r="C85" s="59">
        <f>IF($B85="","",(N(Krankheitstage!D85)+N(Krankheitstage!Q85))*N(Krankheitstage!C85))</f>
        <v/>
      </c>
      <c r="D85" s="59">
        <f>IF($B85="","",(N(Krankheitstage!E85)+N(Krankheitstage!R85))*N(Krankheitstage!C85))</f>
        <v/>
      </c>
      <c r="E85" s="59">
        <f>IF($B85="","",(N(Krankheitstage!F85)+N(Krankheitstage!S85))*N(Krankheitstage!C85))</f>
        <v/>
      </c>
      <c r="F85" s="59">
        <f>IF($B85="","",(N(Krankheitstage!G85)+N(Krankheitstage!T85))*N(Krankheitstage!C85))</f>
        <v/>
      </c>
      <c r="G85" s="59">
        <f>IF($B85="","",(N(Krankheitstage!H85)+N(Krankheitstage!U85))*N(Krankheitstage!C85))</f>
        <v/>
      </c>
      <c r="H85" s="59">
        <f>IF($B85="","",(N(Krankheitstage!I85)+N(Krankheitstage!V85))*N(Krankheitstage!C85))</f>
        <v/>
      </c>
      <c r="I85" s="59">
        <f>IF($B85="","",(N(Krankheitstage!J85)+N(Krankheitstage!W85))*N(Krankheitstage!C85))</f>
        <v/>
      </c>
      <c r="J85" s="59">
        <f>IF($B85="","",(N(Krankheitstage!K85)+N(Krankheitstage!X85))*N(Krankheitstage!C85))</f>
        <v/>
      </c>
      <c r="K85" s="59">
        <f>IF($B85="","",(N(Krankheitstage!L85)+N(Krankheitstage!Y85))*N(Krankheitstage!C85))</f>
        <v/>
      </c>
      <c r="L85" s="59">
        <f>IF($B85="","",(N(Krankheitstage!M85)+N(Krankheitstage!Z85))*N(Krankheitstage!C85))</f>
        <v/>
      </c>
      <c r="M85" s="59">
        <f>IF($B85="","",(N(Krankheitstage!N85)+N(Krankheitstage!AA85))*N(Krankheitstage!C85))</f>
        <v/>
      </c>
      <c r="N85" s="59">
        <f>IF($B85="","",(N(Krankheitstage!O85)+N(Krankheitstage!AB85))*N(Krankheitstage!C85))</f>
        <v/>
      </c>
      <c r="O85" s="66">
        <f>IF($B85="","",SUM(C85:N85))</f>
        <v/>
      </c>
      <c r="P85" s="58">
        <f>'KQuote Mitarbeiter'!E85</f>
        <v/>
      </c>
      <c r="Q85" s="67">
        <f>'KQuote Mitarbeiter'!L85</f>
        <v/>
      </c>
      <c r="R85" s="58">
        <f>'KQuote Mitarbeiter'!D85</f>
        <v/>
      </c>
      <c r="S85" s="67">
        <f>'KQuote Mitarbeiter'!K85</f>
        <v/>
      </c>
    </row>
    <row r="86">
      <c r="A86" s="49">
        <f>'KQuote Mitarbeiter'!A86</f>
        <v/>
      </c>
      <c r="B86" s="50">
        <f>'KQuote Mitarbeiter'!B86</f>
        <v/>
      </c>
      <c r="C86" s="59">
        <f>IF($B86="","",(N(Krankheitstage!D86)+N(Krankheitstage!Q86))*N(Krankheitstage!C86))</f>
        <v/>
      </c>
      <c r="D86" s="59">
        <f>IF($B86="","",(N(Krankheitstage!E86)+N(Krankheitstage!R86))*N(Krankheitstage!C86))</f>
        <v/>
      </c>
      <c r="E86" s="59">
        <f>IF($B86="","",(N(Krankheitstage!F86)+N(Krankheitstage!S86))*N(Krankheitstage!C86))</f>
        <v/>
      </c>
      <c r="F86" s="59">
        <f>IF($B86="","",(N(Krankheitstage!G86)+N(Krankheitstage!T86))*N(Krankheitstage!C86))</f>
        <v/>
      </c>
      <c r="G86" s="59">
        <f>IF($B86="","",(N(Krankheitstage!H86)+N(Krankheitstage!U86))*N(Krankheitstage!C86))</f>
        <v/>
      </c>
      <c r="H86" s="59">
        <f>IF($B86="","",(N(Krankheitstage!I86)+N(Krankheitstage!V86))*N(Krankheitstage!C86))</f>
        <v/>
      </c>
      <c r="I86" s="59">
        <f>IF($B86="","",(N(Krankheitstage!J86)+N(Krankheitstage!W86))*N(Krankheitstage!C86))</f>
        <v/>
      </c>
      <c r="J86" s="59">
        <f>IF($B86="","",(N(Krankheitstage!K86)+N(Krankheitstage!X86))*N(Krankheitstage!C86))</f>
        <v/>
      </c>
      <c r="K86" s="59">
        <f>IF($B86="","",(N(Krankheitstage!L86)+N(Krankheitstage!Y86))*N(Krankheitstage!C86))</f>
        <v/>
      </c>
      <c r="L86" s="59">
        <f>IF($B86="","",(N(Krankheitstage!M86)+N(Krankheitstage!Z86))*N(Krankheitstage!C86))</f>
        <v/>
      </c>
      <c r="M86" s="59">
        <f>IF($B86="","",(N(Krankheitstage!N86)+N(Krankheitstage!AA86))*N(Krankheitstage!C86))</f>
        <v/>
      </c>
      <c r="N86" s="59">
        <f>IF($B86="","",(N(Krankheitstage!O86)+N(Krankheitstage!AB86))*N(Krankheitstage!C86))</f>
        <v/>
      </c>
      <c r="O86" s="66">
        <f>IF($B86="","",SUM(C86:N86))</f>
        <v/>
      </c>
      <c r="P86" s="58">
        <f>'KQuote Mitarbeiter'!E86</f>
        <v/>
      </c>
      <c r="Q86" s="67">
        <f>'KQuote Mitarbeiter'!L86</f>
        <v/>
      </c>
      <c r="R86" s="58">
        <f>'KQuote Mitarbeiter'!D86</f>
        <v/>
      </c>
      <c r="S86" s="67">
        <f>'KQuote Mitarbeiter'!K86</f>
        <v/>
      </c>
    </row>
    <row r="87">
      <c r="A87" s="49">
        <f>'KQuote Mitarbeiter'!A87</f>
        <v/>
      </c>
      <c r="B87" s="50">
        <f>'KQuote Mitarbeiter'!B87</f>
        <v/>
      </c>
      <c r="C87" s="59">
        <f>IF($B87="","",(N(Krankheitstage!D87)+N(Krankheitstage!Q87))*N(Krankheitstage!C87))</f>
        <v/>
      </c>
      <c r="D87" s="59">
        <f>IF($B87="","",(N(Krankheitstage!E87)+N(Krankheitstage!R87))*N(Krankheitstage!C87))</f>
        <v/>
      </c>
      <c r="E87" s="59">
        <f>IF($B87="","",(N(Krankheitstage!F87)+N(Krankheitstage!S87))*N(Krankheitstage!C87))</f>
        <v/>
      </c>
      <c r="F87" s="59">
        <f>IF($B87="","",(N(Krankheitstage!G87)+N(Krankheitstage!T87))*N(Krankheitstage!C87))</f>
        <v/>
      </c>
      <c r="G87" s="59">
        <f>IF($B87="","",(N(Krankheitstage!H87)+N(Krankheitstage!U87))*N(Krankheitstage!C87))</f>
        <v/>
      </c>
      <c r="H87" s="59">
        <f>IF($B87="","",(N(Krankheitstage!I87)+N(Krankheitstage!V87))*N(Krankheitstage!C87))</f>
        <v/>
      </c>
      <c r="I87" s="59">
        <f>IF($B87="","",(N(Krankheitstage!J87)+N(Krankheitstage!W87))*N(Krankheitstage!C87))</f>
        <v/>
      </c>
      <c r="J87" s="59">
        <f>IF($B87="","",(N(Krankheitstage!K87)+N(Krankheitstage!X87))*N(Krankheitstage!C87))</f>
        <v/>
      </c>
      <c r="K87" s="59">
        <f>IF($B87="","",(N(Krankheitstage!L87)+N(Krankheitstage!Y87))*N(Krankheitstage!C87))</f>
        <v/>
      </c>
      <c r="L87" s="59">
        <f>IF($B87="","",(N(Krankheitstage!M87)+N(Krankheitstage!Z87))*N(Krankheitstage!C87))</f>
        <v/>
      </c>
      <c r="M87" s="59">
        <f>IF($B87="","",(N(Krankheitstage!N87)+N(Krankheitstage!AA87))*N(Krankheitstage!C87))</f>
        <v/>
      </c>
      <c r="N87" s="59">
        <f>IF($B87="","",(N(Krankheitstage!O87)+N(Krankheitstage!AB87))*N(Krankheitstage!C87))</f>
        <v/>
      </c>
      <c r="O87" s="66">
        <f>IF($B87="","",SUM(C87:N87))</f>
        <v/>
      </c>
      <c r="P87" s="58">
        <f>'KQuote Mitarbeiter'!E87</f>
        <v/>
      </c>
      <c r="Q87" s="67">
        <f>'KQuote Mitarbeiter'!L87</f>
        <v/>
      </c>
      <c r="R87" s="58">
        <f>'KQuote Mitarbeiter'!D87</f>
        <v/>
      </c>
      <c r="S87" s="67">
        <f>'KQuote Mitarbeiter'!K87</f>
        <v/>
      </c>
    </row>
    <row r="88">
      <c r="A88" s="49">
        <f>'KQuote Mitarbeiter'!A88</f>
        <v/>
      </c>
      <c r="B88" s="50">
        <f>'KQuote Mitarbeiter'!B88</f>
        <v/>
      </c>
      <c r="C88" s="59">
        <f>IF($B88="","",(N(Krankheitstage!D88)+N(Krankheitstage!Q88))*N(Krankheitstage!C88))</f>
        <v/>
      </c>
      <c r="D88" s="59">
        <f>IF($B88="","",(N(Krankheitstage!E88)+N(Krankheitstage!R88))*N(Krankheitstage!C88))</f>
        <v/>
      </c>
      <c r="E88" s="59">
        <f>IF($B88="","",(N(Krankheitstage!F88)+N(Krankheitstage!S88))*N(Krankheitstage!C88))</f>
        <v/>
      </c>
      <c r="F88" s="59">
        <f>IF($B88="","",(N(Krankheitstage!G88)+N(Krankheitstage!T88))*N(Krankheitstage!C88))</f>
        <v/>
      </c>
      <c r="G88" s="59">
        <f>IF($B88="","",(N(Krankheitstage!H88)+N(Krankheitstage!U88))*N(Krankheitstage!C88))</f>
        <v/>
      </c>
      <c r="H88" s="59">
        <f>IF($B88="","",(N(Krankheitstage!I88)+N(Krankheitstage!V88))*N(Krankheitstage!C88))</f>
        <v/>
      </c>
      <c r="I88" s="59">
        <f>IF($B88="","",(N(Krankheitstage!J88)+N(Krankheitstage!W88))*N(Krankheitstage!C88))</f>
        <v/>
      </c>
      <c r="J88" s="59">
        <f>IF($B88="","",(N(Krankheitstage!K88)+N(Krankheitstage!X88))*N(Krankheitstage!C88))</f>
        <v/>
      </c>
      <c r="K88" s="59">
        <f>IF($B88="","",(N(Krankheitstage!L88)+N(Krankheitstage!Y88))*N(Krankheitstage!C88))</f>
        <v/>
      </c>
      <c r="L88" s="59">
        <f>IF($B88="","",(N(Krankheitstage!M88)+N(Krankheitstage!Z88))*N(Krankheitstage!C88))</f>
        <v/>
      </c>
      <c r="M88" s="59">
        <f>IF($B88="","",(N(Krankheitstage!N88)+N(Krankheitstage!AA88))*N(Krankheitstage!C88))</f>
        <v/>
      </c>
      <c r="N88" s="59">
        <f>IF($B88="","",(N(Krankheitstage!O88)+N(Krankheitstage!AB88))*N(Krankheitstage!C88))</f>
        <v/>
      </c>
      <c r="O88" s="66">
        <f>IF($B88="","",SUM(C88:N88))</f>
        <v/>
      </c>
      <c r="P88" s="58">
        <f>'KQuote Mitarbeiter'!E88</f>
        <v/>
      </c>
      <c r="Q88" s="67">
        <f>'KQuote Mitarbeiter'!L88</f>
        <v/>
      </c>
      <c r="R88" s="58">
        <f>'KQuote Mitarbeiter'!D88</f>
        <v/>
      </c>
      <c r="S88" s="67">
        <f>'KQuote Mitarbeiter'!K88</f>
        <v/>
      </c>
    </row>
    <row r="89">
      <c r="A89" s="49">
        <f>'KQuote Mitarbeiter'!A89</f>
        <v/>
      </c>
      <c r="B89" s="50">
        <f>'KQuote Mitarbeiter'!B89</f>
        <v/>
      </c>
      <c r="C89" s="59">
        <f>IF($B89="","",(N(Krankheitstage!D89)+N(Krankheitstage!Q89))*N(Krankheitstage!C89))</f>
        <v/>
      </c>
      <c r="D89" s="59">
        <f>IF($B89="","",(N(Krankheitstage!E89)+N(Krankheitstage!R89))*N(Krankheitstage!C89))</f>
        <v/>
      </c>
      <c r="E89" s="59">
        <f>IF($B89="","",(N(Krankheitstage!F89)+N(Krankheitstage!S89))*N(Krankheitstage!C89))</f>
        <v/>
      </c>
      <c r="F89" s="59">
        <f>IF($B89="","",(N(Krankheitstage!G89)+N(Krankheitstage!T89))*N(Krankheitstage!C89))</f>
        <v/>
      </c>
      <c r="G89" s="59">
        <f>IF($B89="","",(N(Krankheitstage!H89)+N(Krankheitstage!U89))*N(Krankheitstage!C89))</f>
        <v/>
      </c>
      <c r="H89" s="59">
        <f>IF($B89="","",(N(Krankheitstage!I89)+N(Krankheitstage!V89))*N(Krankheitstage!C89))</f>
        <v/>
      </c>
      <c r="I89" s="59">
        <f>IF($B89="","",(N(Krankheitstage!J89)+N(Krankheitstage!W89))*N(Krankheitstage!C89))</f>
        <v/>
      </c>
      <c r="J89" s="59">
        <f>IF($B89="","",(N(Krankheitstage!K89)+N(Krankheitstage!X89))*N(Krankheitstage!C89))</f>
        <v/>
      </c>
      <c r="K89" s="59">
        <f>IF($B89="","",(N(Krankheitstage!L89)+N(Krankheitstage!Y89))*N(Krankheitstage!C89))</f>
        <v/>
      </c>
      <c r="L89" s="59">
        <f>IF($B89="","",(N(Krankheitstage!M89)+N(Krankheitstage!Z89))*N(Krankheitstage!C89))</f>
        <v/>
      </c>
      <c r="M89" s="59">
        <f>IF($B89="","",(N(Krankheitstage!N89)+N(Krankheitstage!AA89))*N(Krankheitstage!C89))</f>
        <v/>
      </c>
      <c r="N89" s="59">
        <f>IF($B89="","",(N(Krankheitstage!O89)+N(Krankheitstage!AB89))*N(Krankheitstage!C89))</f>
        <v/>
      </c>
      <c r="O89" s="66">
        <f>IF($B89="","",SUM(C89:N89))</f>
        <v/>
      </c>
      <c r="P89" s="58">
        <f>'KQuote Mitarbeiter'!E89</f>
        <v/>
      </c>
      <c r="Q89" s="67">
        <f>'KQuote Mitarbeiter'!L89</f>
        <v/>
      </c>
      <c r="R89" s="58">
        <f>'KQuote Mitarbeiter'!D89</f>
        <v/>
      </c>
      <c r="S89" s="67">
        <f>'KQuote Mitarbeiter'!K89</f>
        <v/>
      </c>
    </row>
    <row r="90">
      <c r="A90" s="49">
        <f>'KQuote Mitarbeiter'!A90</f>
        <v/>
      </c>
      <c r="B90" s="50">
        <f>'KQuote Mitarbeiter'!B90</f>
        <v/>
      </c>
      <c r="C90" s="59">
        <f>IF($B90="","",(N(Krankheitstage!D90)+N(Krankheitstage!Q90))*N(Krankheitstage!C90))</f>
        <v/>
      </c>
      <c r="D90" s="59">
        <f>IF($B90="","",(N(Krankheitstage!E90)+N(Krankheitstage!R90))*N(Krankheitstage!C90))</f>
        <v/>
      </c>
      <c r="E90" s="59">
        <f>IF($B90="","",(N(Krankheitstage!F90)+N(Krankheitstage!S90))*N(Krankheitstage!C90))</f>
        <v/>
      </c>
      <c r="F90" s="59">
        <f>IF($B90="","",(N(Krankheitstage!G90)+N(Krankheitstage!T90))*N(Krankheitstage!C90))</f>
        <v/>
      </c>
      <c r="G90" s="59">
        <f>IF($B90="","",(N(Krankheitstage!H90)+N(Krankheitstage!U90))*N(Krankheitstage!C90))</f>
        <v/>
      </c>
      <c r="H90" s="59">
        <f>IF($B90="","",(N(Krankheitstage!I90)+N(Krankheitstage!V90))*N(Krankheitstage!C90))</f>
        <v/>
      </c>
      <c r="I90" s="59">
        <f>IF($B90="","",(N(Krankheitstage!J90)+N(Krankheitstage!W90))*N(Krankheitstage!C90))</f>
        <v/>
      </c>
      <c r="J90" s="59">
        <f>IF($B90="","",(N(Krankheitstage!K90)+N(Krankheitstage!X90))*N(Krankheitstage!C90))</f>
        <v/>
      </c>
      <c r="K90" s="59">
        <f>IF($B90="","",(N(Krankheitstage!L90)+N(Krankheitstage!Y90))*N(Krankheitstage!C90))</f>
        <v/>
      </c>
      <c r="L90" s="59">
        <f>IF($B90="","",(N(Krankheitstage!M90)+N(Krankheitstage!Z90))*N(Krankheitstage!C90))</f>
        <v/>
      </c>
      <c r="M90" s="59">
        <f>IF($B90="","",(N(Krankheitstage!N90)+N(Krankheitstage!AA90))*N(Krankheitstage!C90))</f>
        <v/>
      </c>
      <c r="N90" s="59">
        <f>IF($B90="","",(N(Krankheitstage!O90)+N(Krankheitstage!AB90))*N(Krankheitstage!C90))</f>
        <v/>
      </c>
      <c r="O90" s="66">
        <f>IF($B90="","",SUM(C90:N90))</f>
        <v/>
      </c>
      <c r="P90" s="58">
        <f>'KQuote Mitarbeiter'!E90</f>
        <v/>
      </c>
      <c r="Q90" s="67">
        <f>'KQuote Mitarbeiter'!L90</f>
        <v/>
      </c>
      <c r="R90" s="58">
        <f>'KQuote Mitarbeiter'!D90</f>
        <v/>
      </c>
      <c r="S90" s="67">
        <f>'KQuote Mitarbeiter'!K90</f>
        <v/>
      </c>
    </row>
    <row r="91">
      <c r="A91" s="49">
        <f>'KQuote Mitarbeiter'!A91</f>
        <v/>
      </c>
      <c r="B91" s="50">
        <f>'KQuote Mitarbeiter'!B91</f>
        <v/>
      </c>
      <c r="C91" s="59">
        <f>IF($B91="","",(N(Krankheitstage!D91)+N(Krankheitstage!Q91))*N(Krankheitstage!C91))</f>
        <v/>
      </c>
      <c r="D91" s="59">
        <f>IF($B91="","",(N(Krankheitstage!E91)+N(Krankheitstage!R91))*N(Krankheitstage!C91))</f>
        <v/>
      </c>
      <c r="E91" s="59">
        <f>IF($B91="","",(N(Krankheitstage!F91)+N(Krankheitstage!S91))*N(Krankheitstage!C91))</f>
        <v/>
      </c>
      <c r="F91" s="59">
        <f>IF($B91="","",(N(Krankheitstage!G91)+N(Krankheitstage!T91))*N(Krankheitstage!C91))</f>
        <v/>
      </c>
      <c r="G91" s="59">
        <f>IF($B91="","",(N(Krankheitstage!H91)+N(Krankheitstage!U91))*N(Krankheitstage!C91))</f>
        <v/>
      </c>
      <c r="H91" s="59">
        <f>IF($B91="","",(N(Krankheitstage!I91)+N(Krankheitstage!V91))*N(Krankheitstage!C91))</f>
        <v/>
      </c>
      <c r="I91" s="59">
        <f>IF($B91="","",(N(Krankheitstage!J91)+N(Krankheitstage!W91))*N(Krankheitstage!C91))</f>
        <v/>
      </c>
      <c r="J91" s="59">
        <f>IF($B91="","",(N(Krankheitstage!K91)+N(Krankheitstage!X91))*N(Krankheitstage!C91))</f>
        <v/>
      </c>
      <c r="K91" s="59">
        <f>IF($B91="","",(N(Krankheitstage!L91)+N(Krankheitstage!Y91))*N(Krankheitstage!C91))</f>
        <v/>
      </c>
      <c r="L91" s="59">
        <f>IF($B91="","",(N(Krankheitstage!M91)+N(Krankheitstage!Z91))*N(Krankheitstage!C91))</f>
        <v/>
      </c>
      <c r="M91" s="59">
        <f>IF($B91="","",(N(Krankheitstage!N91)+N(Krankheitstage!AA91))*N(Krankheitstage!C91))</f>
        <v/>
      </c>
      <c r="N91" s="59">
        <f>IF($B91="","",(N(Krankheitstage!O91)+N(Krankheitstage!AB91))*N(Krankheitstage!C91))</f>
        <v/>
      </c>
      <c r="O91" s="66">
        <f>IF($B91="","",SUM(C91:N91))</f>
        <v/>
      </c>
      <c r="P91" s="58">
        <f>'KQuote Mitarbeiter'!E91</f>
        <v/>
      </c>
      <c r="Q91" s="67">
        <f>'KQuote Mitarbeiter'!L91</f>
        <v/>
      </c>
      <c r="R91" s="58">
        <f>'KQuote Mitarbeiter'!D91</f>
        <v/>
      </c>
      <c r="S91" s="67">
        <f>'KQuote Mitarbeiter'!K91</f>
        <v/>
      </c>
    </row>
    <row r="92">
      <c r="A92" s="49">
        <f>'KQuote Mitarbeiter'!A92</f>
        <v/>
      </c>
      <c r="B92" s="50">
        <f>'KQuote Mitarbeiter'!B92</f>
        <v/>
      </c>
      <c r="C92" s="59">
        <f>IF($B92="","",(N(Krankheitstage!D92)+N(Krankheitstage!Q92))*N(Krankheitstage!C92))</f>
        <v/>
      </c>
      <c r="D92" s="59">
        <f>IF($B92="","",(N(Krankheitstage!E92)+N(Krankheitstage!R92))*N(Krankheitstage!C92))</f>
        <v/>
      </c>
      <c r="E92" s="59">
        <f>IF($B92="","",(N(Krankheitstage!F92)+N(Krankheitstage!S92))*N(Krankheitstage!C92))</f>
        <v/>
      </c>
      <c r="F92" s="59">
        <f>IF($B92="","",(N(Krankheitstage!G92)+N(Krankheitstage!T92))*N(Krankheitstage!C92))</f>
        <v/>
      </c>
      <c r="G92" s="59">
        <f>IF($B92="","",(N(Krankheitstage!H92)+N(Krankheitstage!U92))*N(Krankheitstage!C92))</f>
        <v/>
      </c>
      <c r="H92" s="59">
        <f>IF($B92="","",(N(Krankheitstage!I92)+N(Krankheitstage!V92))*N(Krankheitstage!C92))</f>
        <v/>
      </c>
      <c r="I92" s="59">
        <f>IF($B92="","",(N(Krankheitstage!J92)+N(Krankheitstage!W92))*N(Krankheitstage!C92))</f>
        <v/>
      </c>
      <c r="J92" s="59">
        <f>IF($B92="","",(N(Krankheitstage!K92)+N(Krankheitstage!X92))*N(Krankheitstage!C92))</f>
        <v/>
      </c>
      <c r="K92" s="59">
        <f>IF($B92="","",(N(Krankheitstage!L92)+N(Krankheitstage!Y92))*N(Krankheitstage!C92))</f>
        <v/>
      </c>
      <c r="L92" s="59">
        <f>IF($B92="","",(N(Krankheitstage!M92)+N(Krankheitstage!Z92))*N(Krankheitstage!C92))</f>
        <v/>
      </c>
      <c r="M92" s="59">
        <f>IF($B92="","",(N(Krankheitstage!N92)+N(Krankheitstage!AA92))*N(Krankheitstage!C92))</f>
        <v/>
      </c>
      <c r="N92" s="59">
        <f>IF($B92="","",(N(Krankheitstage!O92)+N(Krankheitstage!AB92))*N(Krankheitstage!C92))</f>
        <v/>
      </c>
      <c r="O92" s="66">
        <f>IF($B92="","",SUM(C92:N92))</f>
        <v/>
      </c>
      <c r="P92" s="58">
        <f>'KQuote Mitarbeiter'!E92</f>
        <v/>
      </c>
      <c r="Q92" s="67">
        <f>'KQuote Mitarbeiter'!L92</f>
        <v/>
      </c>
      <c r="R92" s="58">
        <f>'KQuote Mitarbeiter'!D92</f>
        <v/>
      </c>
      <c r="S92" s="67">
        <f>'KQuote Mitarbeiter'!K92</f>
        <v/>
      </c>
    </row>
    <row r="93">
      <c r="A93" s="49">
        <f>'KQuote Mitarbeiter'!A93</f>
        <v/>
      </c>
      <c r="B93" s="50">
        <f>'KQuote Mitarbeiter'!B93</f>
        <v/>
      </c>
      <c r="C93" s="59">
        <f>IF($B93="","",(N(Krankheitstage!D93)+N(Krankheitstage!Q93))*N(Krankheitstage!C93))</f>
        <v/>
      </c>
      <c r="D93" s="59">
        <f>IF($B93="","",(N(Krankheitstage!E93)+N(Krankheitstage!R93))*N(Krankheitstage!C93))</f>
        <v/>
      </c>
      <c r="E93" s="59">
        <f>IF($B93="","",(N(Krankheitstage!F93)+N(Krankheitstage!S93))*N(Krankheitstage!C93))</f>
        <v/>
      </c>
      <c r="F93" s="59">
        <f>IF($B93="","",(N(Krankheitstage!G93)+N(Krankheitstage!T93))*N(Krankheitstage!C93))</f>
        <v/>
      </c>
      <c r="G93" s="59">
        <f>IF($B93="","",(N(Krankheitstage!H93)+N(Krankheitstage!U93))*N(Krankheitstage!C93))</f>
        <v/>
      </c>
      <c r="H93" s="59">
        <f>IF($B93="","",(N(Krankheitstage!I93)+N(Krankheitstage!V93))*N(Krankheitstage!C93))</f>
        <v/>
      </c>
      <c r="I93" s="59">
        <f>IF($B93="","",(N(Krankheitstage!J93)+N(Krankheitstage!W93))*N(Krankheitstage!C93))</f>
        <v/>
      </c>
      <c r="J93" s="59">
        <f>IF($B93="","",(N(Krankheitstage!K93)+N(Krankheitstage!X93))*N(Krankheitstage!C93))</f>
        <v/>
      </c>
      <c r="K93" s="59">
        <f>IF($B93="","",(N(Krankheitstage!L93)+N(Krankheitstage!Y93))*N(Krankheitstage!C93))</f>
        <v/>
      </c>
      <c r="L93" s="59">
        <f>IF($B93="","",(N(Krankheitstage!M93)+N(Krankheitstage!Z93))*N(Krankheitstage!C93))</f>
        <v/>
      </c>
      <c r="M93" s="59">
        <f>IF($B93="","",(N(Krankheitstage!N93)+N(Krankheitstage!AA93))*N(Krankheitstage!C93))</f>
        <v/>
      </c>
      <c r="N93" s="59">
        <f>IF($B93="","",(N(Krankheitstage!O93)+N(Krankheitstage!AB93))*N(Krankheitstage!C93))</f>
        <v/>
      </c>
      <c r="O93" s="66">
        <f>IF($B93="","",SUM(C93:N93))</f>
        <v/>
      </c>
      <c r="P93" s="58">
        <f>'KQuote Mitarbeiter'!E93</f>
        <v/>
      </c>
      <c r="Q93" s="67">
        <f>'KQuote Mitarbeiter'!L93</f>
        <v/>
      </c>
      <c r="R93" s="58">
        <f>'KQuote Mitarbeiter'!D93</f>
        <v/>
      </c>
      <c r="S93" s="67">
        <f>'KQuote Mitarbeiter'!K93</f>
        <v/>
      </c>
    </row>
    <row r="94">
      <c r="A94" s="49">
        <f>'KQuote Mitarbeiter'!A94</f>
        <v/>
      </c>
      <c r="B94" s="50">
        <f>'KQuote Mitarbeiter'!B94</f>
        <v/>
      </c>
      <c r="C94" s="59">
        <f>IF($B94="","",(N(Krankheitstage!D94)+N(Krankheitstage!Q94))*N(Krankheitstage!C94))</f>
        <v/>
      </c>
      <c r="D94" s="59">
        <f>IF($B94="","",(N(Krankheitstage!E94)+N(Krankheitstage!R94))*N(Krankheitstage!C94))</f>
        <v/>
      </c>
      <c r="E94" s="59">
        <f>IF($B94="","",(N(Krankheitstage!F94)+N(Krankheitstage!S94))*N(Krankheitstage!C94))</f>
        <v/>
      </c>
      <c r="F94" s="59">
        <f>IF($B94="","",(N(Krankheitstage!G94)+N(Krankheitstage!T94))*N(Krankheitstage!C94))</f>
        <v/>
      </c>
      <c r="G94" s="59">
        <f>IF($B94="","",(N(Krankheitstage!H94)+N(Krankheitstage!U94))*N(Krankheitstage!C94))</f>
        <v/>
      </c>
      <c r="H94" s="59">
        <f>IF($B94="","",(N(Krankheitstage!I94)+N(Krankheitstage!V94))*N(Krankheitstage!C94))</f>
        <v/>
      </c>
      <c r="I94" s="59">
        <f>IF($B94="","",(N(Krankheitstage!J94)+N(Krankheitstage!W94))*N(Krankheitstage!C94))</f>
        <v/>
      </c>
      <c r="J94" s="59">
        <f>IF($B94="","",(N(Krankheitstage!K94)+N(Krankheitstage!X94))*N(Krankheitstage!C94))</f>
        <v/>
      </c>
      <c r="K94" s="59">
        <f>IF($B94="","",(N(Krankheitstage!L94)+N(Krankheitstage!Y94))*N(Krankheitstage!C94))</f>
        <v/>
      </c>
      <c r="L94" s="59">
        <f>IF($B94="","",(N(Krankheitstage!M94)+N(Krankheitstage!Z94))*N(Krankheitstage!C94))</f>
        <v/>
      </c>
      <c r="M94" s="59">
        <f>IF($B94="","",(N(Krankheitstage!N94)+N(Krankheitstage!AA94))*N(Krankheitstage!C94))</f>
        <v/>
      </c>
      <c r="N94" s="59">
        <f>IF($B94="","",(N(Krankheitstage!O94)+N(Krankheitstage!AB94))*N(Krankheitstage!C94))</f>
        <v/>
      </c>
      <c r="O94" s="66">
        <f>IF($B94="","",SUM(C94:N94))</f>
        <v/>
      </c>
      <c r="P94" s="58">
        <f>'KQuote Mitarbeiter'!E94</f>
        <v/>
      </c>
      <c r="Q94" s="67">
        <f>'KQuote Mitarbeiter'!L94</f>
        <v/>
      </c>
      <c r="R94" s="58">
        <f>'KQuote Mitarbeiter'!D94</f>
        <v/>
      </c>
      <c r="S94" s="67">
        <f>'KQuote Mitarbeiter'!K94</f>
        <v/>
      </c>
    </row>
    <row r="95">
      <c r="A95" s="49">
        <f>'KQuote Mitarbeiter'!A95</f>
        <v/>
      </c>
      <c r="B95" s="50">
        <f>'KQuote Mitarbeiter'!B95</f>
        <v/>
      </c>
      <c r="C95" s="59">
        <f>IF($B95="","",(N(Krankheitstage!D95)+N(Krankheitstage!Q95))*N(Krankheitstage!C95))</f>
        <v/>
      </c>
      <c r="D95" s="59">
        <f>IF($B95="","",(N(Krankheitstage!E95)+N(Krankheitstage!R95))*N(Krankheitstage!C95))</f>
        <v/>
      </c>
      <c r="E95" s="59">
        <f>IF($B95="","",(N(Krankheitstage!F95)+N(Krankheitstage!S95))*N(Krankheitstage!C95))</f>
        <v/>
      </c>
      <c r="F95" s="59">
        <f>IF($B95="","",(N(Krankheitstage!G95)+N(Krankheitstage!T95))*N(Krankheitstage!C95))</f>
        <v/>
      </c>
      <c r="G95" s="59">
        <f>IF($B95="","",(N(Krankheitstage!H95)+N(Krankheitstage!U95))*N(Krankheitstage!C95))</f>
        <v/>
      </c>
      <c r="H95" s="59">
        <f>IF($B95="","",(N(Krankheitstage!I95)+N(Krankheitstage!V95))*N(Krankheitstage!C95))</f>
        <v/>
      </c>
      <c r="I95" s="59">
        <f>IF($B95="","",(N(Krankheitstage!J95)+N(Krankheitstage!W95))*N(Krankheitstage!C95))</f>
        <v/>
      </c>
      <c r="J95" s="59">
        <f>IF($B95="","",(N(Krankheitstage!K95)+N(Krankheitstage!X95))*N(Krankheitstage!C95))</f>
        <v/>
      </c>
      <c r="K95" s="59">
        <f>IF($B95="","",(N(Krankheitstage!L95)+N(Krankheitstage!Y95))*N(Krankheitstage!C95))</f>
        <v/>
      </c>
      <c r="L95" s="59">
        <f>IF($B95="","",(N(Krankheitstage!M95)+N(Krankheitstage!Z95))*N(Krankheitstage!C95))</f>
        <v/>
      </c>
      <c r="M95" s="59">
        <f>IF($B95="","",(N(Krankheitstage!N95)+N(Krankheitstage!AA95))*N(Krankheitstage!C95))</f>
        <v/>
      </c>
      <c r="N95" s="59">
        <f>IF($B95="","",(N(Krankheitstage!O95)+N(Krankheitstage!AB95))*N(Krankheitstage!C95))</f>
        <v/>
      </c>
      <c r="O95" s="66">
        <f>IF($B95="","",SUM(C95:N95))</f>
        <v/>
      </c>
      <c r="P95" s="58">
        <f>'KQuote Mitarbeiter'!E95</f>
        <v/>
      </c>
      <c r="Q95" s="67">
        <f>'KQuote Mitarbeiter'!L95</f>
        <v/>
      </c>
      <c r="R95" s="58">
        <f>'KQuote Mitarbeiter'!D95</f>
        <v/>
      </c>
      <c r="S95" s="67">
        <f>'KQuote Mitarbeiter'!K95</f>
        <v/>
      </c>
    </row>
    <row r="96">
      <c r="A96" s="49">
        <f>'KQuote Mitarbeiter'!A96</f>
        <v/>
      </c>
      <c r="B96" s="50">
        <f>'KQuote Mitarbeiter'!B96</f>
        <v/>
      </c>
      <c r="C96" s="59">
        <f>IF($B96="","",(N(Krankheitstage!D96)+N(Krankheitstage!Q96))*N(Krankheitstage!C96))</f>
        <v/>
      </c>
      <c r="D96" s="59">
        <f>IF($B96="","",(N(Krankheitstage!E96)+N(Krankheitstage!R96))*N(Krankheitstage!C96))</f>
        <v/>
      </c>
      <c r="E96" s="59">
        <f>IF($B96="","",(N(Krankheitstage!F96)+N(Krankheitstage!S96))*N(Krankheitstage!C96))</f>
        <v/>
      </c>
      <c r="F96" s="59">
        <f>IF($B96="","",(N(Krankheitstage!G96)+N(Krankheitstage!T96))*N(Krankheitstage!C96))</f>
        <v/>
      </c>
      <c r="G96" s="59">
        <f>IF($B96="","",(N(Krankheitstage!H96)+N(Krankheitstage!U96))*N(Krankheitstage!C96))</f>
        <v/>
      </c>
      <c r="H96" s="59">
        <f>IF($B96="","",(N(Krankheitstage!I96)+N(Krankheitstage!V96))*N(Krankheitstage!C96))</f>
        <v/>
      </c>
      <c r="I96" s="59">
        <f>IF($B96="","",(N(Krankheitstage!J96)+N(Krankheitstage!W96))*N(Krankheitstage!C96))</f>
        <v/>
      </c>
      <c r="J96" s="59">
        <f>IF($B96="","",(N(Krankheitstage!K96)+N(Krankheitstage!X96))*N(Krankheitstage!C96))</f>
        <v/>
      </c>
      <c r="K96" s="59">
        <f>IF($B96="","",(N(Krankheitstage!L96)+N(Krankheitstage!Y96))*N(Krankheitstage!C96))</f>
        <v/>
      </c>
      <c r="L96" s="59">
        <f>IF($B96="","",(N(Krankheitstage!M96)+N(Krankheitstage!Z96))*N(Krankheitstage!C96))</f>
        <v/>
      </c>
      <c r="M96" s="59">
        <f>IF($B96="","",(N(Krankheitstage!N96)+N(Krankheitstage!AA96))*N(Krankheitstage!C96))</f>
        <v/>
      </c>
      <c r="N96" s="59">
        <f>IF($B96="","",(N(Krankheitstage!O96)+N(Krankheitstage!AB96))*N(Krankheitstage!C96))</f>
        <v/>
      </c>
      <c r="O96" s="66">
        <f>IF($B96="","",SUM(C96:N96))</f>
        <v/>
      </c>
      <c r="P96" s="58">
        <f>'KQuote Mitarbeiter'!E96</f>
        <v/>
      </c>
      <c r="Q96" s="67">
        <f>'KQuote Mitarbeiter'!L96</f>
        <v/>
      </c>
      <c r="R96" s="58">
        <f>'KQuote Mitarbeiter'!D96</f>
        <v/>
      </c>
      <c r="S96" s="67">
        <f>'KQuote Mitarbeiter'!K96</f>
        <v/>
      </c>
    </row>
    <row r="97">
      <c r="A97" s="49">
        <f>'KQuote Mitarbeiter'!A97</f>
        <v/>
      </c>
      <c r="B97" s="50">
        <f>'KQuote Mitarbeiter'!B97</f>
        <v/>
      </c>
      <c r="C97" s="59">
        <f>IF($B97="","",(N(Krankheitstage!D97)+N(Krankheitstage!Q97))*N(Krankheitstage!C97))</f>
        <v/>
      </c>
      <c r="D97" s="59">
        <f>IF($B97="","",(N(Krankheitstage!E97)+N(Krankheitstage!R97))*N(Krankheitstage!C97))</f>
        <v/>
      </c>
      <c r="E97" s="59">
        <f>IF($B97="","",(N(Krankheitstage!F97)+N(Krankheitstage!S97))*N(Krankheitstage!C97))</f>
        <v/>
      </c>
      <c r="F97" s="59">
        <f>IF($B97="","",(N(Krankheitstage!G97)+N(Krankheitstage!T97))*N(Krankheitstage!C97))</f>
        <v/>
      </c>
      <c r="G97" s="59">
        <f>IF($B97="","",(N(Krankheitstage!H97)+N(Krankheitstage!U97))*N(Krankheitstage!C97))</f>
        <v/>
      </c>
      <c r="H97" s="59">
        <f>IF($B97="","",(N(Krankheitstage!I97)+N(Krankheitstage!V97))*N(Krankheitstage!C97))</f>
        <v/>
      </c>
      <c r="I97" s="59">
        <f>IF($B97="","",(N(Krankheitstage!J97)+N(Krankheitstage!W97))*N(Krankheitstage!C97))</f>
        <v/>
      </c>
      <c r="J97" s="59">
        <f>IF($B97="","",(N(Krankheitstage!K97)+N(Krankheitstage!X97))*N(Krankheitstage!C97))</f>
        <v/>
      </c>
      <c r="K97" s="59">
        <f>IF($B97="","",(N(Krankheitstage!L97)+N(Krankheitstage!Y97))*N(Krankheitstage!C97))</f>
        <v/>
      </c>
      <c r="L97" s="59">
        <f>IF($B97="","",(N(Krankheitstage!M97)+N(Krankheitstage!Z97))*N(Krankheitstage!C97))</f>
        <v/>
      </c>
      <c r="M97" s="59">
        <f>IF($B97="","",(N(Krankheitstage!N97)+N(Krankheitstage!AA97))*N(Krankheitstage!C97))</f>
        <v/>
      </c>
      <c r="N97" s="59">
        <f>IF($B97="","",(N(Krankheitstage!O97)+N(Krankheitstage!AB97))*N(Krankheitstage!C97))</f>
        <v/>
      </c>
      <c r="O97" s="66">
        <f>IF($B97="","",SUM(C97:N97))</f>
        <v/>
      </c>
      <c r="P97" s="58">
        <f>'KQuote Mitarbeiter'!E97</f>
        <v/>
      </c>
      <c r="Q97" s="67">
        <f>'KQuote Mitarbeiter'!L97</f>
        <v/>
      </c>
      <c r="R97" s="58">
        <f>'KQuote Mitarbeiter'!D97</f>
        <v/>
      </c>
      <c r="S97" s="67">
        <f>'KQuote Mitarbeiter'!K97</f>
        <v/>
      </c>
    </row>
    <row r="98">
      <c r="A98" s="49">
        <f>'KQuote Mitarbeiter'!A98</f>
        <v/>
      </c>
      <c r="B98" s="50">
        <f>'KQuote Mitarbeiter'!B98</f>
        <v/>
      </c>
      <c r="C98" s="59">
        <f>IF($B98="","",(N(Krankheitstage!D98)+N(Krankheitstage!Q98))*N(Krankheitstage!C98))</f>
        <v/>
      </c>
      <c r="D98" s="59">
        <f>IF($B98="","",(N(Krankheitstage!E98)+N(Krankheitstage!R98))*N(Krankheitstage!C98))</f>
        <v/>
      </c>
      <c r="E98" s="59">
        <f>IF($B98="","",(N(Krankheitstage!F98)+N(Krankheitstage!S98))*N(Krankheitstage!C98))</f>
        <v/>
      </c>
      <c r="F98" s="59">
        <f>IF($B98="","",(N(Krankheitstage!G98)+N(Krankheitstage!T98))*N(Krankheitstage!C98))</f>
        <v/>
      </c>
      <c r="G98" s="59">
        <f>IF($B98="","",(N(Krankheitstage!H98)+N(Krankheitstage!U98))*N(Krankheitstage!C98))</f>
        <v/>
      </c>
      <c r="H98" s="59">
        <f>IF($B98="","",(N(Krankheitstage!I98)+N(Krankheitstage!V98))*N(Krankheitstage!C98))</f>
        <v/>
      </c>
      <c r="I98" s="59">
        <f>IF($B98="","",(N(Krankheitstage!J98)+N(Krankheitstage!W98))*N(Krankheitstage!C98))</f>
        <v/>
      </c>
      <c r="J98" s="59">
        <f>IF($B98="","",(N(Krankheitstage!K98)+N(Krankheitstage!X98))*N(Krankheitstage!C98))</f>
        <v/>
      </c>
      <c r="K98" s="59">
        <f>IF($B98="","",(N(Krankheitstage!L98)+N(Krankheitstage!Y98))*N(Krankheitstage!C98))</f>
        <v/>
      </c>
      <c r="L98" s="59">
        <f>IF($B98="","",(N(Krankheitstage!M98)+N(Krankheitstage!Z98))*N(Krankheitstage!C98))</f>
        <v/>
      </c>
      <c r="M98" s="59">
        <f>IF($B98="","",(N(Krankheitstage!N98)+N(Krankheitstage!AA98))*N(Krankheitstage!C98))</f>
        <v/>
      </c>
      <c r="N98" s="59">
        <f>IF($B98="","",(N(Krankheitstage!O98)+N(Krankheitstage!AB98))*N(Krankheitstage!C98))</f>
        <v/>
      </c>
      <c r="O98" s="66">
        <f>IF($B98="","",SUM(C98:N98))</f>
        <v/>
      </c>
      <c r="P98" s="58">
        <f>'KQuote Mitarbeiter'!E98</f>
        <v/>
      </c>
      <c r="Q98" s="67">
        <f>'KQuote Mitarbeiter'!L98</f>
        <v/>
      </c>
      <c r="R98" s="58">
        <f>'KQuote Mitarbeiter'!D98</f>
        <v/>
      </c>
      <c r="S98" s="67">
        <f>'KQuote Mitarbeiter'!K98</f>
        <v/>
      </c>
    </row>
    <row r="99">
      <c r="A99" s="49">
        <f>'KQuote Mitarbeiter'!A99</f>
        <v/>
      </c>
      <c r="B99" s="50">
        <f>'KQuote Mitarbeiter'!B99</f>
        <v/>
      </c>
      <c r="C99" s="59">
        <f>IF($B99="","",(N(Krankheitstage!D99)+N(Krankheitstage!Q99))*N(Krankheitstage!C99))</f>
        <v/>
      </c>
      <c r="D99" s="59">
        <f>IF($B99="","",(N(Krankheitstage!E99)+N(Krankheitstage!R99))*N(Krankheitstage!C99))</f>
        <v/>
      </c>
      <c r="E99" s="59">
        <f>IF($B99="","",(N(Krankheitstage!F99)+N(Krankheitstage!S99))*N(Krankheitstage!C99))</f>
        <v/>
      </c>
      <c r="F99" s="59">
        <f>IF($B99="","",(N(Krankheitstage!G99)+N(Krankheitstage!T99))*N(Krankheitstage!C99))</f>
        <v/>
      </c>
      <c r="G99" s="59">
        <f>IF($B99="","",(N(Krankheitstage!H99)+N(Krankheitstage!U99))*N(Krankheitstage!C99))</f>
        <v/>
      </c>
      <c r="H99" s="59">
        <f>IF($B99="","",(N(Krankheitstage!I99)+N(Krankheitstage!V99))*N(Krankheitstage!C99))</f>
        <v/>
      </c>
      <c r="I99" s="59">
        <f>IF($B99="","",(N(Krankheitstage!J99)+N(Krankheitstage!W99))*N(Krankheitstage!C99))</f>
        <v/>
      </c>
      <c r="J99" s="59">
        <f>IF($B99="","",(N(Krankheitstage!K99)+N(Krankheitstage!X99))*N(Krankheitstage!C99))</f>
        <v/>
      </c>
      <c r="K99" s="59">
        <f>IF($B99="","",(N(Krankheitstage!L99)+N(Krankheitstage!Y99))*N(Krankheitstage!C99))</f>
        <v/>
      </c>
      <c r="L99" s="59">
        <f>IF($B99="","",(N(Krankheitstage!M99)+N(Krankheitstage!Z99))*N(Krankheitstage!C99))</f>
        <v/>
      </c>
      <c r="M99" s="59">
        <f>IF($B99="","",(N(Krankheitstage!N99)+N(Krankheitstage!AA99))*N(Krankheitstage!C99))</f>
        <v/>
      </c>
      <c r="N99" s="59">
        <f>IF($B99="","",(N(Krankheitstage!O99)+N(Krankheitstage!AB99))*N(Krankheitstage!C99))</f>
        <v/>
      </c>
      <c r="O99" s="66">
        <f>IF($B99="","",SUM(C99:N99))</f>
        <v/>
      </c>
      <c r="P99" s="58">
        <f>'KQuote Mitarbeiter'!E99</f>
        <v/>
      </c>
      <c r="Q99" s="67">
        <f>'KQuote Mitarbeiter'!L99</f>
        <v/>
      </c>
      <c r="R99" s="58">
        <f>'KQuote Mitarbeiter'!D99</f>
        <v/>
      </c>
      <c r="S99" s="67">
        <f>'KQuote Mitarbeiter'!K99</f>
        <v/>
      </c>
    </row>
    <row r="100">
      <c r="A100" s="49">
        <f>'KQuote Mitarbeiter'!A100</f>
        <v/>
      </c>
      <c r="B100" s="50">
        <f>'KQuote Mitarbeiter'!B100</f>
        <v/>
      </c>
      <c r="C100" s="59">
        <f>IF($B100="","",(N(Krankheitstage!D100)+N(Krankheitstage!Q100))*N(Krankheitstage!C100))</f>
        <v/>
      </c>
      <c r="D100" s="59">
        <f>IF($B100="","",(N(Krankheitstage!E100)+N(Krankheitstage!R100))*N(Krankheitstage!C100))</f>
        <v/>
      </c>
      <c r="E100" s="59">
        <f>IF($B100="","",(N(Krankheitstage!F100)+N(Krankheitstage!S100))*N(Krankheitstage!C100))</f>
        <v/>
      </c>
      <c r="F100" s="59">
        <f>IF($B100="","",(N(Krankheitstage!G100)+N(Krankheitstage!T100))*N(Krankheitstage!C100))</f>
        <v/>
      </c>
      <c r="G100" s="59">
        <f>IF($B100="","",(N(Krankheitstage!H100)+N(Krankheitstage!U100))*N(Krankheitstage!C100))</f>
        <v/>
      </c>
      <c r="H100" s="59">
        <f>IF($B100="","",(N(Krankheitstage!I100)+N(Krankheitstage!V100))*N(Krankheitstage!C100))</f>
        <v/>
      </c>
      <c r="I100" s="59">
        <f>IF($B100="","",(N(Krankheitstage!J100)+N(Krankheitstage!W100))*N(Krankheitstage!C100))</f>
        <v/>
      </c>
      <c r="J100" s="59">
        <f>IF($B100="","",(N(Krankheitstage!K100)+N(Krankheitstage!X100))*N(Krankheitstage!C100))</f>
        <v/>
      </c>
      <c r="K100" s="59">
        <f>IF($B100="","",(N(Krankheitstage!L100)+N(Krankheitstage!Y100))*N(Krankheitstage!C100))</f>
        <v/>
      </c>
      <c r="L100" s="59">
        <f>IF($B100="","",(N(Krankheitstage!M100)+N(Krankheitstage!Z100))*N(Krankheitstage!C100))</f>
        <v/>
      </c>
      <c r="M100" s="59">
        <f>IF($B100="","",(N(Krankheitstage!N100)+N(Krankheitstage!AA100))*N(Krankheitstage!C100))</f>
        <v/>
      </c>
      <c r="N100" s="59">
        <f>IF($B100="","",(N(Krankheitstage!O100)+N(Krankheitstage!AB100))*N(Krankheitstage!C100))</f>
        <v/>
      </c>
      <c r="O100" s="66">
        <f>IF($B100="","",SUM(C100:N100))</f>
        <v/>
      </c>
      <c r="P100" s="58">
        <f>'KQuote Mitarbeiter'!E100</f>
        <v/>
      </c>
      <c r="Q100" s="67">
        <f>'KQuote Mitarbeiter'!L100</f>
        <v/>
      </c>
      <c r="R100" s="58">
        <f>'KQuote Mitarbeiter'!D100</f>
        <v/>
      </c>
      <c r="S100" s="67">
        <f>'KQuote Mitarbeiter'!K100</f>
        <v/>
      </c>
    </row>
    <row r="101">
      <c r="A101" s="49">
        <f>'KQuote Mitarbeiter'!A101</f>
        <v/>
      </c>
      <c r="B101" s="50">
        <f>'KQuote Mitarbeiter'!B101</f>
        <v/>
      </c>
      <c r="C101" s="59">
        <f>IF($B101="","",(N(Krankheitstage!D101)+N(Krankheitstage!Q101))*N(Krankheitstage!C101))</f>
        <v/>
      </c>
      <c r="D101" s="59">
        <f>IF($B101="","",(N(Krankheitstage!E101)+N(Krankheitstage!R101))*N(Krankheitstage!C101))</f>
        <v/>
      </c>
      <c r="E101" s="59">
        <f>IF($B101="","",(N(Krankheitstage!F101)+N(Krankheitstage!S101))*N(Krankheitstage!C101))</f>
        <v/>
      </c>
      <c r="F101" s="59">
        <f>IF($B101="","",(N(Krankheitstage!G101)+N(Krankheitstage!T101))*N(Krankheitstage!C101))</f>
        <v/>
      </c>
      <c r="G101" s="59">
        <f>IF($B101="","",(N(Krankheitstage!H101)+N(Krankheitstage!U101))*N(Krankheitstage!C101))</f>
        <v/>
      </c>
      <c r="H101" s="59">
        <f>IF($B101="","",(N(Krankheitstage!I101)+N(Krankheitstage!V101))*N(Krankheitstage!C101))</f>
        <v/>
      </c>
      <c r="I101" s="59">
        <f>IF($B101="","",(N(Krankheitstage!J101)+N(Krankheitstage!W101))*N(Krankheitstage!C101))</f>
        <v/>
      </c>
      <c r="J101" s="59">
        <f>IF($B101="","",(N(Krankheitstage!K101)+N(Krankheitstage!X101))*N(Krankheitstage!C101))</f>
        <v/>
      </c>
      <c r="K101" s="59">
        <f>IF($B101="","",(N(Krankheitstage!L101)+N(Krankheitstage!Y101))*N(Krankheitstage!C101))</f>
        <v/>
      </c>
      <c r="L101" s="59">
        <f>IF($B101="","",(N(Krankheitstage!M101)+N(Krankheitstage!Z101))*N(Krankheitstage!C101))</f>
        <v/>
      </c>
      <c r="M101" s="59">
        <f>IF($B101="","",(N(Krankheitstage!N101)+N(Krankheitstage!AA101))*N(Krankheitstage!C101))</f>
        <v/>
      </c>
      <c r="N101" s="59">
        <f>IF($B101="","",(N(Krankheitstage!O101)+N(Krankheitstage!AB101))*N(Krankheitstage!C101))</f>
        <v/>
      </c>
      <c r="O101" s="66">
        <f>IF($B101="","",SUM(C101:N101))</f>
        <v/>
      </c>
      <c r="P101" s="58">
        <f>'KQuote Mitarbeiter'!E101</f>
        <v/>
      </c>
      <c r="Q101" s="67">
        <f>'KQuote Mitarbeiter'!L101</f>
        <v/>
      </c>
      <c r="R101" s="58">
        <f>'KQuote Mitarbeiter'!D101</f>
        <v/>
      </c>
      <c r="S101" s="67">
        <f>'KQuote Mitarbeiter'!K101</f>
        <v/>
      </c>
    </row>
    <row r="102">
      <c r="A102" s="49">
        <f>'KQuote Mitarbeiter'!A102</f>
        <v/>
      </c>
      <c r="B102" s="50">
        <f>'KQuote Mitarbeiter'!B102</f>
        <v/>
      </c>
      <c r="C102" s="59">
        <f>IF($B102="","",(N(Krankheitstage!D102)+N(Krankheitstage!Q102))*N(Krankheitstage!C102))</f>
        <v/>
      </c>
      <c r="D102" s="59">
        <f>IF($B102="","",(N(Krankheitstage!E102)+N(Krankheitstage!R102))*N(Krankheitstage!C102))</f>
        <v/>
      </c>
      <c r="E102" s="59">
        <f>IF($B102="","",(N(Krankheitstage!F102)+N(Krankheitstage!S102))*N(Krankheitstage!C102))</f>
        <v/>
      </c>
      <c r="F102" s="59">
        <f>IF($B102="","",(N(Krankheitstage!G102)+N(Krankheitstage!T102))*N(Krankheitstage!C102))</f>
        <v/>
      </c>
      <c r="G102" s="59">
        <f>IF($B102="","",(N(Krankheitstage!H102)+N(Krankheitstage!U102))*N(Krankheitstage!C102))</f>
        <v/>
      </c>
      <c r="H102" s="59">
        <f>IF($B102="","",(N(Krankheitstage!I102)+N(Krankheitstage!V102))*N(Krankheitstage!C102))</f>
        <v/>
      </c>
      <c r="I102" s="59">
        <f>IF($B102="","",(N(Krankheitstage!J102)+N(Krankheitstage!W102))*N(Krankheitstage!C102))</f>
        <v/>
      </c>
      <c r="J102" s="59">
        <f>IF($B102="","",(N(Krankheitstage!K102)+N(Krankheitstage!X102))*N(Krankheitstage!C102))</f>
        <v/>
      </c>
      <c r="K102" s="59">
        <f>IF($B102="","",(N(Krankheitstage!L102)+N(Krankheitstage!Y102))*N(Krankheitstage!C102))</f>
        <v/>
      </c>
      <c r="L102" s="59">
        <f>IF($B102="","",(N(Krankheitstage!M102)+N(Krankheitstage!Z102))*N(Krankheitstage!C102))</f>
        <v/>
      </c>
      <c r="M102" s="59">
        <f>IF($B102="","",(N(Krankheitstage!N102)+N(Krankheitstage!AA102))*N(Krankheitstage!C102))</f>
        <v/>
      </c>
      <c r="N102" s="59">
        <f>IF($B102="","",(N(Krankheitstage!O102)+N(Krankheitstage!AB102))*N(Krankheitstage!C102))</f>
        <v/>
      </c>
      <c r="O102" s="66">
        <f>IF($B102="","",SUM(C102:N102))</f>
        <v/>
      </c>
      <c r="P102" s="58">
        <f>'KQuote Mitarbeiter'!E102</f>
        <v/>
      </c>
      <c r="Q102" s="67">
        <f>'KQuote Mitarbeiter'!L102</f>
        <v/>
      </c>
      <c r="R102" s="58">
        <f>'KQuote Mitarbeiter'!D102</f>
        <v/>
      </c>
      <c r="S102" s="67">
        <f>'KQuote Mitarbeiter'!K102</f>
        <v/>
      </c>
    </row>
    <row r="103">
      <c r="A103" s="49">
        <f>'KQuote Mitarbeiter'!A103</f>
        <v/>
      </c>
      <c r="B103" s="50">
        <f>'KQuote Mitarbeiter'!B103</f>
        <v/>
      </c>
      <c r="C103" s="59">
        <f>IF($B103="","",(N(Krankheitstage!D103)+N(Krankheitstage!Q103))*N(Krankheitstage!C103))</f>
        <v/>
      </c>
      <c r="D103" s="59">
        <f>IF($B103="","",(N(Krankheitstage!E103)+N(Krankheitstage!R103))*N(Krankheitstage!C103))</f>
        <v/>
      </c>
      <c r="E103" s="59">
        <f>IF($B103="","",(N(Krankheitstage!F103)+N(Krankheitstage!S103))*N(Krankheitstage!C103))</f>
        <v/>
      </c>
      <c r="F103" s="59">
        <f>IF($B103="","",(N(Krankheitstage!G103)+N(Krankheitstage!T103))*N(Krankheitstage!C103))</f>
        <v/>
      </c>
      <c r="G103" s="59">
        <f>IF($B103="","",(N(Krankheitstage!H103)+N(Krankheitstage!U103))*N(Krankheitstage!C103))</f>
        <v/>
      </c>
      <c r="H103" s="59">
        <f>IF($B103="","",(N(Krankheitstage!I103)+N(Krankheitstage!V103))*N(Krankheitstage!C103))</f>
        <v/>
      </c>
      <c r="I103" s="59">
        <f>IF($B103="","",(N(Krankheitstage!J103)+N(Krankheitstage!W103))*N(Krankheitstage!C103))</f>
        <v/>
      </c>
      <c r="J103" s="59">
        <f>IF($B103="","",(N(Krankheitstage!K103)+N(Krankheitstage!X103))*N(Krankheitstage!C103))</f>
        <v/>
      </c>
      <c r="K103" s="59">
        <f>IF($B103="","",(N(Krankheitstage!L103)+N(Krankheitstage!Y103))*N(Krankheitstage!C103))</f>
        <v/>
      </c>
      <c r="L103" s="59">
        <f>IF($B103="","",(N(Krankheitstage!M103)+N(Krankheitstage!Z103))*N(Krankheitstage!C103))</f>
        <v/>
      </c>
      <c r="M103" s="59">
        <f>IF($B103="","",(N(Krankheitstage!N103)+N(Krankheitstage!AA103))*N(Krankheitstage!C103))</f>
        <v/>
      </c>
      <c r="N103" s="59">
        <f>IF($B103="","",(N(Krankheitstage!O103)+N(Krankheitstage!AB103))*N(Krankheitstage!C103))</f>
        <v/>
      </c>
      <c r="O103" s="66">
        <f>IF($B103="","",SUM(C103:N103))</f>
        <v/>
      </c>
      <c r="P103" s="58">
        <f>'KQuote Mitarbeiter'!E103</f>
        <v/>
      </c>
      <c r="Q103" s="67">
        <f>'KQuote Mitarbeiter'!L103</f>
        <v/>
      </c>
      <c r="R103" s="58">
        <f>'KQuote Mitarbeiter'!D103</f>
        <v/>
      </c>
      <c r="S103" s="67">
        <f>'KQuote Mitarbeiter'!K103</f>
        <v/>
      </c>
    </row>
    <row r="104">
      <c r="A104" s="49">
        <f>'KQuote Mitarbeiter'!A104</f>
        <v/>
      </c>
      <c r="B104" s="50">
        <f>'KQuote Mitarbeiter'!B104</f>
        <v/>
      </c>
      <c r="C104" s="59">
        <f>IF($B104="","",(N(Krankheitstage!D104)+N(Krankheitstage!Q104))*N(Krankheitstage!C104))</f>
        <v/>
      </c>
      <c r="D104" s="59">
        <f>IF($B104="","",(N(Krankheitstage!E104)+N(Krankheitstage!R104))*N(Krankheitstage!C104))</f>
        <v/>
      </c>
      <c r="E104" s="59">
        <f>IF($B104="","",(N(Krankheitstage!F104)+N(Krankheitstage!S104))*N(Krankheitstage!C104))</f>
        <v/>
      </c>
      <c r="F104" s="59">
        <f>IF($B104="","",(N(Krankheitstage!G104)+N(Krankheitstage!T104))*N(Krankheitstage!C104))</f>
        <v/>
      </c>
      <c r="G104" s="59">
        <f>IF($B104="","",(N(Krankheitstage!H104)+N(Krankheitstage!U104))*N(Krankheitstage!C104))</f>
        <v/>
      </c>
      <c r="H104" s="59">
        <f>IF($B104="","",(N(Krankheitstage!I104)+N(Krankheitstage!V104))*N(Krankheitstage!C104))</f>
        <v/>
      </c>
      <c r="I104" s="59">
        <f>IF($B104="","",(N(Krankheitstage!J104)+N(Krankheitstage!W104))*N(Krankheitstage!C104))</f>
        <v/>
      </c>
      <c r="J104" s="59">
        <f>IF($B104="","",(N(Krankheitstage!K104)+N(Krankheitstage!X104))*N(Krankheitstage!C104))</f>
        <v/>
      </c>
      <c r="K104" s="59">
        <f>IF($B104="","",(N(Krankheitstage!L104)+N(Krankheitstage!Y104))*N(Krankheitstage!C104))</f>
        <v/>
      </c>
      <c r="L104" s="59">
        <f>IF($B104="","",(N(Krankheitstage!M104)+N(Krankheitstage!Z104))*N(Krankheitstage!C104))</f>
        <v/>
      </c>
      <c r="M104" s="59">
        <f>IF($B104="","",(N(Krankheitstage!N104)+N(Krankheitstage!AA104))*N(Krankheitstage!C104))</f>
        <v/>
      </c>
      <c r="N104" s="59">
        <f>IF($B104="","",(N(Krankheitstage!O104)+N(Krankheitstage!AB104))*N(Krankheitstage!C104))</f>
        <v/>
      </c>
      <c r="O104" s="66">
        <f>IF($B104="","",SUM(C104:N104))</f>
        <v/>
      </c>
      <c r="P104" s="58">
        <f>'KQuote Mitarbeiter'!E104</f>
        <v/>
      </c>
      <c r="Q104" s="67">
        <f>'KQuote Mitarbeiter'!L104</f>
        <v/>
      </c>
      <c r="R104" s="58">
        <f>'KQuote Mitarbeiter'!D104</f>
        <v/>
      </c>
      <c r="S104" s="67">
        <f>'KQuote Mitarbeiter'!K104</f>
        <v/>
      </c>
    </row>
    <row r="105">
      <c r="A105" s="49">
        <f>'KQuote Mitarbeiter'!A105</f>
        <v/>
      </c>
      <c r="B105" s="50">
        <f>'KQuote Mitarbeiter'!B105</f>
        <v/>
      </c>
      <c r="C105" s="59">
        <f>IF($B105="","",(N(Krankheitstage!D105)+N(Krankheitstage!Q105))*N(Krankheitstage!C105))</f>
        <v/>
      </c>
      <c r="D105" s="59">
        <f>IF($B105="","",(N(Krankheitstage!E105)+N(Krankheitstage!R105))*N(Krankheitstage!C105))</f>
        <v/>
      </c>
      <c r="E105" s="59">
        <f>IF($B105="","",(N(Krankheitstage!F105)+N(Krankheitstage!S105))*N(Krankheitstage!C105))</f>
        <v/>
      </c>
      <c r="F105" s="59">
        <f>IF($B105="","",(N(Krankheitstage!G105)+N(Krankheitstage!T105))*N(Krankheitstage!C105))</f>
        <v/>
      </c>
      <c r="G105" s="59">
        <f>IF($B105="","",(N(Krankheitstage!H105)+N(Krankheitstage!U105))*N(Krankheitstage!C105))</f>
        <v/>
      </c>
      <c r="H105" s="59">
        <f>IF($B105="","",(N(Krankheitstage!I105)+N(Krankheitstage!V105))*N(Krankheitstage!C105))</f>
        <v/>
      </c>
      <c r="I105" s="59">
        <f>IF($B105="","",(N(Krankheitstage!J105)+N(Krankheitstage!W105))*N(Krankheitstage!C105))</f>
        <v/>
      </c>
      <c r="J105" s="59">
        <f>IF($B105="","",(N(Krankheitstage!K105)+N(Krankheitstage!X105))*N(Krankheitstage!C105))</f>
        <v/>
      </c>
      <c r="K105" s="59">
        <f>IF($B105="","",(N(Krankheitstage!L105)+N(Krankheitstage!Y105))*N(Krankheitstage!C105))</f>
        <v/>
      </c>
      <c r="L105" s="59">
        <f>IF($B105="","",(N(Krankheitstage!M105)+N(Krankheitstage!Z105))*N(Krankheitstage!C105))</f>
        <v/>
      </c>
      <c r="M105" s="59">
        <f>IF($B105="","",(N(Krankheitstage!N105)+N(Krankheitstage!AA105))*N(Krankheitstage!C105))</f>
        <v/>
      </c>
      <c r="N105" s="59">
        <f>IF($B105="","",(N(Krankheitstage!O105)+N(Krankheitstage!AB105))*N(Krankheitstage!C105))</f>
        <v/>
      </c>
      <c r="O105" s="66">
        <f>IF($B105="","",SUM(C105:N105))</f>
        <v/>
      </c>
      <c r="P105" s="58">
        <f>'KQuote Mitarbeiter'!E105</f>
        <v/>
      </c>
      <c r="Q105" s="67">
        <f>'KQuote Mitarbeiter'!L105</f>
        <v/>
      </c>
      <c r="R105" s="58">
        <f>'KQuote Mitarbeiter'!D105</f>
        <v/>
      </c>
      <c r="S105" s="67">
        <f>'KQuote Mitarbeiter'!K105</f>
        <v/>
      </c>
    </row>
    <row r="106">
      <c r="A106" s="49">
        <f>'KQuote Mitarbeiter'!A106</f>
        <v/>
      </c>
      <c r="B106" s="50">
        <f>'KQuote Mitarbeiter'!B106</f>
        <v/>
      </c>
      <c r="C106" s="59">
        <f>IF($B106="","",(N(Krankheitstage!D106)+N(Krankheitstage!Q106))*N(Krankheitstage!C106))</f>
        <v/>
      </c>
      <c r="D106" s="59">
        <f>IF($B106="","",(N(Krankheitstage!E106)+N(Krankheitstage!R106))*N(Krankheitstage!C106))</f>
        <v/>
      </c>
      <c r="E106" s="59">
        <f>IF($B106="","",(N(Krankheitstage!F106)+N(Krankheitstage!S106))*N(Krankheitstage!C106))</f>
        <v/>
      </c>
      <c r="F106" s="59">
        <f>IF($B106="","",(N(Krankheitstage!G106)+N(Krankheitstage!T106))*N(Krankheitstage!C106))</f>
        <v/>
      </c>
      <c r="G106" s="59">
        <f>IF($B106="","",(N(Krankheitstage!H106)+N(Krankheitstage!U106))*N(Krankheitstage!C106))</f>
        <v/>
      </c>
      <c r="H106" s="59">
        <f>IF($B106="","",(N(Krankheitstage!I106)+N(Krankheitstage!V106))*N(Krankheitstage!C106))</f>
        <v/>
      </c>
      <c r="I106" s="59">
        <f>IF($B106="","",(N(Krankheitstage!J106)+N(Krankheitstage!W106))*N(Krankheitstage!C106))</f>
        <v/>
      </c>
      <c r="J106" s="59">
        <f>IF($B106="","",(N(Krankheitstage!K106)+N(Krankheitstage!X106))*N(Krankheitstage!C106))</f>
        <v/>
      </c>
      <c r="K106" s="59">
        <f>IF($B106="","",(N(Krankheitstage!L106)+N(Krankheitstage!Y106))*N(Krankheitstage!C106))</f>
        <v/>
      </c>
      <c r="L106" s="59">
        <f>IF($B106="","",(N(Krankheitstage!M106)+N(Krankheitstage!Z106))*N(Krankheitstage!C106))</f>
        <v/>
      </c>
      <c r="M106" s="59">
        <f>IF($B106="","",(N(Krankheitstage!N106)+N(Krankheitstage!AA106))*N(Krankheitstage!C106))</f>
        <v/>
      </c>
      <c r="N106" s="59">
        <f>IF($B106="","",(N(Krankheitstage!O106)+N(Krankheitstage!AB106))*N(Krankheitstage!C106))</f>
        <v/>
      </c>
      <c r="O106" s="66">
        <f>IF($B106="","",SUM(C106:N106))</f>
        <v/>
      </c>
      <c r="P106" s="58">
        <f>'KQuote Mitarbeiter'!E106</f>
        <v/>
      </c>
      <c r="Q106" s="67">
        <f>'KQuote Mitarbeiter'!L106</f>
        <v/>
      </c>
      <c r="R106" s="58">
        <f>'KQuote Mitarbeiter'!D106</f>
        <v/>
      </c>
      <c r="S106" s="67">
        <f>'KQuote Mitarbeiter'!K106</f>
        <v/>
      </c>
    </row>
    <row r="107">
      <c r="A107" s="49">
        <f>'KQuote Mitarbeiter'!A107</f>
        <v/>
      </c>
      <c r="B107" s="50">
        <f>'KQuote Mitarbeiter'!B107</f>
        <v/>
      </c>
      <c r="C107" s="59">
        <f>IF($B107="","",(N(Krankheitstage!D107)+N(Krankheitstage!Q107))*N(Krankheitstage!C107))</f>
        <v/>
      </c>
      <c r="D107" s="59">
        <f>IF($B107="","",(N(Krankheitstage!E107)+N(Krankheitstage!R107))*N(Krankheitstage!C107))</f>
        <v/>
      </c>
      <c r="E107" s="59">
        <f>IF($B107="","",(N(Krankheitstage!F107)+N(Krankheitstage!S107))*N(Krankheitstage!C107))</f>
        <v/>
      </c>
      <c r="F107" s="59">
        <f>IF($B107="","",(N(Krankheitstage!G107)+N(Krankheitstage!T107))*N(Krankheitstage!C107))</f>
        <v/>
      </c>
      <c r="G107" s="59">
        <f>IF($B107="","",(N(Krankheitstage!H107)+N(Krankheitstage!U107))*N(Krankheitstage!C107))</f>
        <v/>
      </c>
      <c r="H107" s="59">
        <f>IF($B107="","",(N(Krankheitstage!I107)+N(Krankheitstage!V107))*N(Krankheitstage!C107))</f>
        <v/>
      </c>
      <c r="I107" s="59">
        <f>IF($B107="","",(N(Krankheitstage!J107)+N(Krankheitstage!W107))*N(Krankheitstage!C107))</f>
        <v/>
      </c>
      <c r="J107" s="59">
        <f>IF($B107="","",(N(Krankheitstage!K107)+N(Krankheitstage!X107))*N(Krankheitstage!C107))</f>
        <v/>
      </c>
      <c r="K107" s="59">
        <f>IF($B107="","",(N(Krankheitstage!L107)+N(Krankheitstage!Y107))*N(Krankheitstage!C107))</f>
        <v/>
      </c>
      <c r="L107" s="59">
        <f>IF($B107="","",(N(Krankheitstage!M107)+N(Krankheitstage!Z107))*N(Krankheitstage!C107))</f>
        <v/>
      </c>
      <c r="M107" s="59">
        <f>IF($B107="","",(N(Krankheitstage!N107)+N(Krankheitstage!AA107))*N(Krankheitstage!C107))</f>
        <v/>
      </c>
      <c r="N107" s="59">
        <f>IF($B107="","",(N(Krankheitstage!O107)+N(Krankheitstage!AB107))*N(Krankheitstage!C107))</f>
        <v/>
      </c>
      <c r="O107" s="66">
        <f>IF($B107="","",SUM(C107:N107))</f>
        <v/>
      </c>
      <c r="P107" s="58">
        <f>'KQuote Mitarbeiter'!E107</f>
        <v/>
      </c>
      <c r="Q107" s="67">
        <f>'KQuote Mitarbeiter'!L107</f>
        <v/>
      </c>
      <c r="R107" s="58">
        <f>'KQuote Mitarbeiter'!D107</f>
        <v/>
      </c>
      <c r="S107" s="67">
        <f>'KQuote Mitarbeiter'!K107</f>
        <v/>
      </c>
    </row>
    <row r="108">
      <c r="A108" s="49">
        <f>'KQuote Mitarbeiter'!A108</f>
        <v/>
      </c>
      <c r="B108" s="50">
        <f>'KQuote Mitarbeiter'!B108</f>
        <v/>
      </c>
      <c r="C108" s="59">
        <f>IF($B108="","",(N(Krankheitstage!D108)+N(Krankheitstage!Q108))*N(Krankheitstage!C108))</f>
        <v/>
      </c>
      <c r="D108" s="59">
        <f>IF($B108="","",(N(Krankheitstage!E108)+N(Krankheitstage!R108))*N(Krankheitstage!C108))</f>
        <v/>
      </c>
      <c r="E108" s="59">
        <f>IF($B108="","",(N(Krankheitstage!F108)+N(Krankheitstage!S108))*N(Krankheitstage!C108))</f>
        <v/>
      </c>
      <c r="F108" s="59">
        <f>IF($B108="","",(N(Krankheitstage!G108)+N(Krankheitstage!T108))*N(Krankheitstage!C108))</f>
        <v/>
      </c>
      <c r="G108" s="59">
        <f>IF($B108="","",(N(Krankheitstage!H108)+N(Krankheitstage!U108))*N(Krankheitstage!C108))</f>
        <v/>
      </c>
      <c r="H108" s="59">
        <f>IF($B108="","",(N(Krankheitstage!I108)+N(Krankheitstage!V108))*N(Krankheitstage!C108))</f>
        <v/>
      </c>
      <c r="I108" s="59">
        <f>IF($B108="","",(N(Krankheitstage!J108)+N(Krankheitstage!W108))*N(Krankheitstage!C108))</f>
        <v/>
      </c>
      <c r="J108" s="59">
        <f>IF($B108="","",(N(Krankheitstage!K108)+N(Krankheitstage!X108))*N(Krankheitstage!C108))</f>
        <v/>
      </c>
      <c r="K108" s="59">
        <f>IF($B108="","",(N(Krankheitstage!L108)+N(Krankheitstage!Y108))*N(Krankheitstage!C108))</f>
        <v/>
      </c>
      <c r="L108" s="59">
        <f>IF($B108="","",(N(Krankheitstage!M108)+N(Krankheitstage!Z108))*N(Krankheitstage!C108))</f>
        <v/>
      </c>
      <c r="M108" s="59">
        <f>IF($B108="","",(N(Krankheitstage!N108)+N(Krankheitstage!AA108))*N(Krankheitstage!C108))</f>
        <v/>
      </c>
      <c r="N108" s="59">
        <f>IF($B108="","",(N(Krankheitstage!O108)+N(Krankheitstage!AB108))*N(Krankheitstage!C108))</f>
        <v/>
      </c>
      <c r="O108" s="66">
        <f>IF($B108="","",SUM(C108:N108))</f>
        <v/>
      </c>
      <c r="P108" s="58">
        <f>'KQuote Mitarbeiter'!E108</f>
        <v/>
      </c>
      <c r="Q108" s="67">
        <f>'KQuote Mitarbeiter'!L108</f>
        <v/>
      </c>
      <c r="R108" s="58">
        <f>'KQuote Mitarbeiter'!D108</f>
        <v/>
      </c>
      <c r="S108" s="67">
        <f>'KQuote Mitarbeiter'!K108</f>
        <v/>
      </c>
    </row>
    <row r="109">
      <c r="A109" s="49">
        <f>'KQuote Mitarbeiter'!A109</f>
        <v/>
      </c>
      <c r="B109" s="50">
        <f>'KQuote Mitarbeiter'!B109</f>
        <v/>
      </c>
      <c r="C109" s="59">
        <f>IF($B109="","",(N(Krankheitstage!D109)+N(Krankheitstage!Q109))*N(Krankheitstage!C109))</f>
        <v/>
      </c>
      <c r="D109" s="59">
        <f>IF($B109="","",(N(Krankheitstage!E109)+N(Krankheitstage!R109))*N(Krankheitstage!C109))</f>
        <v/>
      </c>
      <c r="E109" s="59">
        <f>IF($B109="","",(N(Krankheitstage!F109)+N(Krankheitstage!S109))*N(Krankheitstage!C109))</f>
        <v/>
      </c>
      <c r="F109" s="59">
        <f>IF($B109="","",(N(Krankheitstage!G109)+N(Krankheitstage!T109))*N(Krankheitstage!C109))</f>
        <v/>
      </c>
      <c r="G109" s="59">
        <f>IF($B109="","",(N(Krankheitstage!H109)+N(Krankheitstage!U109))*N(Krankheitstage!C109))</f>
        <v/>
      </c>
      <c r="H109" s="59">
        <f>IF($B109="","",(N(Krankheitstage!I109)+N(Krankheitstage!V109))*N(Krankheitstage!C109))</f>
        <v/>
      </c>
      <c r="I109" s="59">
        <f>IF($B109="","",(N(Krankheitstage!J109)+N(Krankheitstage!W109))*N(Krankheitstage!C109))</f>
        <v/>
      </c>
      <c r="J109" s="59">
        <f>IF($B109="","",(N(Krankheitstage!K109)+N(Krankheitstage!X109))*N(Krankheitstage!C109))</f>
        <v/>
      </c>
      <c r="K109" s="59">
        <f>IF($B109="","",(N(Krankheitstage!L109)+N(Krankheitstage!Y109))*N(Krankheitstage!C109))</f>
        <v/>
      </c>
      <c r="L109" s="59">
        <f>IF($B109="","",(N(Krankheitstage!M109)+N(Krankheitstage!Z109))*N(Krankheitstage!C109))</f>
        <v/>
      </c>
      <c r="M109" s="59">
        <f>IF($B109="","",(N(Krankheitstage!N109)+N(Krankheitstage!AA109))*N(Krankheitstage!C109))</f>
        <v/>
      </c>
      <c r="N109" s="59">
        <f>IF($B109="","",(N(Krankheitstage!O109)+N(Krankheitstage!AB109))*N(Krankheitstage!C109))</f>
        <v/>
      </c>
      <c r="O109" s="66">
        <f>IF($B109="","",SUM(C109:N109))</f>
        <v/>
      </c>
      <c r="P109" s="58">
        <f>'KQuote Mitarbeiter'!E109</f>
        <v/>
      </c>
      <c r="Q109" s="67">
        <f>'KQuote Mitarbeiter'!L109</f>
        <v/>
      </c>
      <c r="R109" s="58">
        <f>'KQuote Mitarbeiter'!D109</f>
        <v/>
      </c>
      <c r="S109" s="67">
        <f>'KQuote Mitarbeiter'!K109</f>
        <v/>
      </c>
    </row>
    <row r="110">
      <c r="A110" s="49">
        <f>'KQuote Mitarbeiter'!A110</f>
        <v/>
      </c>
      <c r="B110" s="50">
        <f>'KQuote Mitarbeiter'!B110</f>
        <v/>
      </c>
      <c r="C110" s="59">
        <f>IF($B110="","",(N(Krankheitstage!D110)+N(Krankheitstage!Q110))*N(Krankheitstage!C110))</f>
        <v/>
      </c>
      <c r="D110" s="59">
        <f>IF($B110="","",(N(Krankheitstage!E110)+N(Krankheitstage!R110))*N(Krankheitstage!C110))</f>
        <v/>
      </c>
      <c r="E110" s="59">
        <f>IF($B110="","",(N(Krankheitstage!F110)+N(Krankheitstage!S110))*N(Krankheitstage!C110))</f>
        <v/>
      </c>
      <c r="F110" s="59">
        <f>IF($B110="","",(N(Krankheitstage!G110)+N(Krankheitstage!T110))*N(Krankheitstage!C110))</f>
        <v/>
      </c>
      <c r="G110" s="59">
        <f>IF($B110="","",(N(Krankheitstage!H110)+N(Krankheitstage!U110))*N(Krankheitstage!C110))</f>
        <v/>
      </c>
      <c r="H110" s="59">
        <f>IF($B110="","",(N(Krankheitstage!I110)+N(Krankheitstage!V110))*N(Krankheitstage!C110))</f>
        <v/>
      </c>
      <c r="I110" s="59">
        <f>IF($B110="","",(N(Krankheitstage!J110)+N(Krankheitstage!W110))*N(Krankheitstage!C110))</f>
        <v/>
      </c>
      <c r="J110" s="59">
        <f>IF($B110="","",(N(Krankheitstage!K110)+N(Krankheitstage!X110))*N(Krankheitstage!C110))</f>
        <v/>
      </c>
      <c r="K110" s="59">
        <f>IF($B110="","",(N(Krankheitstage!L110)+N(Krankheitstage!Y110))*N(Krankheitstage!C110))</f>
        <v/>
      </c>
      <c r="L110" s="59">
        <f>IF($B110="","",(N(Krankheitstage!M110)+N(Krankheitstage!Z110))*N(Krankheitstage!C110))</f>
        <v/>
      </c>
      <c r="M110" s="59">
        <f>IF($B110="","",(N(Krankheitstage!N110)+N(Krankheitstage!AA110))*N(Krankheitstage!C110))</f>
        <v/>
      </c>
      <c r="N110" s="59">
        <f>IF($B110="","",(N(Krankheitstage!O110)+N(Krankheitstage!AB110))*N(Krankheitstage!C110))</f>
        <v/>
      </c>
      <c r="O110" s="66">
        <f>IF($B110="","",SUM(C110:N110))</f>
        <v/>
      </c>
      <c r="P110" s="58">
        <f>'KQuote Mitarbeiter'!E110</f>
        <v/>
      </c>
      <c r="Q110" s="67">
        <f>'KQuote Mitarbeiter'!L110</f>
        <v/>
      </c>
      <c r="R110" s="58">
        <f>'KQuote Mitarbeiter'!D110</f>
        <v/>
      </c>
      <c r="S110" s="67">
        <f>'KQuote Mitarbeiter'!K110</f>
        <v/>
      </c>
    </row>
    <row r="111">
      <c r="A111" s="49">
        <f>'KQuote Mitarbeiter'!A111</f>
        <v/>
      </c>
      <c r="B111" s="50">
        <f>'KQuote Mitarbeiter'!B111</f>
        <v/>
      </c>
      <c r="C111" s="59">
        <f>IF($B111="","",(N(Krankheitstage!D111)+N(Krankheitstage!Q111))*N(Krankheitstage!C111))</f>
        <v/>
      </c>
      <c r="D111" s="59">
        <f>IF($B111="","",(N(Krankheitstage!E111)+N(Krankheitstage!R111))*N(Krankheitstage!C111))</f>
        <v/>
      </c>
      <c r="E111" s="59">
        <f>IF($B111="","",(N(Krankheitstage!F111)+N(Krankheitstage!S111))*N(Krankheitstage!C111))</f>
        <v/>
      </c>
      <c r="F111" s="59">
        <f>IF($B111="","",(N(Krankheitstage!G111)+N(Krankheitstage!T111))*N(Krankheitstage!C111))</f>
        <v/>
      </c>
      <c r="G111" s="59">
        <f>IF($B111="","",(N(Krankheitstage!H111)+N(Krankheitstage!U111))*N(Krankheitstage!C111))</f>
        <v/>
      </c>
      <c r="H111" s="59">
        <f>IF($B111="","",(N(Krankheitstage!I111)+N(Krankheitstage!V111))*N(Krankheitstage!C111))</f>
        <v/>
      </c>
      <c r="I111" s="59">
        <f>IF($B111="","",(N(Krankheitstage!J111)+N(Krankheitstage!W111))*N(Krankheitstage!C111))</f>
        <v/>
      </c>
      <c r="J111" s="59">
        <f>IF($B111="","",(N(Krankheitstage!K111)+N(Krankheitstage!X111))*N(Krankheitstage!C111))</f>
        <v/>
      </c>
      <c r="K111" s="59">
        <f>IF($B111="","",(N(Krankheitstage!L111)+N(Krankheitstage!Y111))*N(Krankheitstage!C111))</f>
        <v/>
      </c>
      <c r="L111" s="59">
        <f>IF($B111="","",(N(Krankheitstage!M111)+N(Krankheitstage!Z111))*N(Krankheitstage!C111))</f>
        <v/>
      </c>
      <c r="M111" s="59">
        <f>IF($B111="","",(N(Krankheitstage!N111)+N(Krankheitstage!AA111))*N(Krankheitstage!C111))</f>
        <v/>
      </c>
      <c r="N111" s="59">
        <f>IF($B111="","",(N(Krankheitstage!O111)+N(Krankheitstage!AB111))*N(Krankheitstage!C111))</f>
        <v/>
      </c>
      <c r="O111" s="66">
        <f>IF($B111="","",SUM(C111:N111))</f>
        <v/>
      </c>
      <c r="P111" s="58">
        <f>'KQuote Mitarbeiter'!E111</f>
        <v/>
      </c>
      <c r="Q111" s="67">
        <f>'KQuote Mitarbeiter'!L111</f>
        <v/>
      </c>
      <c r="R111" s="58">
        <f>'KQuote Mitarbeiter'!D111</f>
        <v/>
      </c>
      <c r="S111" s="67">
        <f>'KQuote Mitarbeiter'!K111</f>
        <v/>
      </c>
    </row>
    <row r="112">
      <c r="A112" s="49">
        <f>'KQuote Mitarbeiter'!A112</f>
        <v/>
      </c>
      <c r="B112" s="50">
        <f>'KQuote Mitarbeiter'!B112</f>
        <v/>
      </c>
      <c r="C112" s="59">
        <f>IF($B112="","",(N(Krankheitstage!D112)+N(Krankheitstage!Q112))*N(Krankheitstage!C112))</f>
        <v/>
      </c>
      <c r="D112" s="59">
        <f>IF($B112="","",(N(Krankheitstage!E112)+N(Krankheitstage!R112))*N(Krankheitstage!C112))</f>
        <v/>
      </c>
      <c r="E112" s="59">
        <f>IF($B112="","",(N(Krankheitstage!F112)+N(Krankheitstage!S112))*N(Krankheitstage!C112))</f>
        <v/>
      </c>
      <c r="F112" s="59">
        <f>IF($B112="","",(N(Krankheitstage!G112)+N(Krankheitstage!T112))*N(Krankheitstage!C112))</f>
        <v/>
      </c>
      <c r="G112" s="59">
        <f>IF($B112="","",(N(Krankheitstage!H112)+N(Krankheitstage!U112))*N(Krankheitstage!C112))</f>
        <v/>
      </c>
      <c r="H112" s="59">
        <f>IF($B112="","",(N(Krankheitstage!I112)+N(Krankheitstage!V112))*N(Krankheitstage!C112))</f>
        <v/>
      </c>
      <c r="I112" s="59">
        <f>IF($B112="","",(N(Krankheitstage!J112)+N(Krankheitstage!W112))*N(Krankheitstage!C112))</f>
        <v/>
      </c>
      <c r="J112" s="59">
        <f>IF($B112="","",(N(Krankheitstage!K112)+N(Krankheitstage!X112))*N(Krankheitstage!C112))</f>
        <v/>
      </c>
      <c r="K112" s="59">
        <f>IF($B112="","",(N(Krankheitstage!L112)+N(Krankheitstage!Y112))*N(Krankheitstage!C112))</f>
        <v/>
      </c>
      <c r="L112" s="59">
        <f>IF($B112="","",(N(Krankheitstage!M112)+N(Krankheitstage!Z112))*N(Krankheitstage!C112))</f>
        <v/>
      </c>
      <c r="M112" s="59">
        <f>IF($B112="","",(N(Krankheitstage!N112)+N(Krankheitstage!AA112))*N(Krankheitstage!C112))</f>
        <v/>
      </c>
      <c r="N112" s="59">
        <f>IF($B112="","",(N(Krankheitstage!O112)+N(Krankheitstage!AB112))*N(Krankheitstage!C112))</f>
        <v/>
      </c>
      <c r="O112" s="66">
        <f>IF($B112="","",SUM(C112:N112))</f>
        <v/>
      </c>
      <c r="P112" s="58">
        <f>'KQuote Mitarbeiter'!E112</f>
        <v/>
      </c>
      <c r="Q112" s="67">
        <f>'KQuote Mitarbeiter'!L112</f>
        <v/>
      </c>
      <c r="R112" s="58">
        <f>'KQuote Mitarbeiter'!D112</f>
        <v/>
      </c>
      <c r="S112" s="67">
        <f>'KQuote Mitarbeiter'!K112</f>
        <v/>
      </c>
    </row>
    <row r="113">
      <c r="A113" s="49">
        <f>'KQuote Mitarbeiter'!A113</f>
        <v/>
      </c>
      <c r="B113" s="50">
        <f>'KQuote Mitarbeiter'!B113</f>
        <v/>
      </c>
      <c r="C113" s="59">
        <f>IF($B113="","",(N(Krankheitstage!D113)+N(Krankheitstage!Q113))*N(Krankheitstage!C113))</f>
        <v/>
      </c>
      <c r="D113" s="59">
        <f>IF($B113="","",(N(Krankheitstage!E113)+N(Krankheitstage!R113))*N(Krankheitstage!C113))</f>
        <v/>
      </c>
      <c r="E113" s="59">
        <f>IF($B113="","",(N(Krankheitstage!F113)+N(Krankheitstage!S113))*N(Krankheitstage!C113))</f>
        <v/>
      </c>
      <c r="F113" s="59">
        <f>IF($B113="","",(N(Krankheitstage!G113)+N(Krankheitstage!T113))*N(Krankheitstage!C113))</f>
        <v/>
      </c>
      <c r="G113" s="59">
        <f>IF($B113="","",(N(Krankheitstage!H113)+N(Krankheitstage!U113))*N(Krankheitstage!C113))</f>
        <v/>
      </c>
      <c r="H113" s="59">
        <f>IF($B113="","",(N(Krankheitstage!I113)+N(Krankheitstage!V113))*N(Krankheitstage!C113))</f>
        <v/>
      </c>
      <c r="I113" s="59">
        <f>IF($B113="","",(N(Krankheitstage!J113)+N(Krankheitstage!W113))*N(Krankheitstage!C113))</f>
        <v/>
      </c>
      <c r="J113" s="59">
        <f>IF($B113="","",(N(Krankheitstage!K113)+N(Krankheitstage!X113))*N(Krankheitstage!C113))</f>
        <v/>
      </c>
      <c r="K113" s="59">
        <f>IF($B113="","",(N(Krankheitstage!L113)+N(Krankheitstage!Y113))*N(Krankheitstage!C113))</f>
        <v/>
      </c>
      <c r="L113" s="59">
        <f>IF($B113="","",(N(Krankheitstage!M113)+N(Krankheitstage!Z113))*N(Krankheitstage!C113))</f>
        <v/>
      </c>
      <c r="M113" s="59">
        <f>IF($B113="","",(N(Krankheitstage!N113)+N(Krankheitstage!AA113))*N(Krankheitstage!C113))</f>
        <v/>
      </c>
      <c r="N113" s="59">
        <f>IF($B113="","",(N(Krankheitstage!O113)+N(Krankheitstage!AB113))*N(Krankheitstage!C113))</f>
        <v/>
      </c>
      <c r="O113" s="66">
        <f>IF($B113="","",SUM(C113:N113))</f>
        <v/>
      </c>
      <c r="P113" s="58">
        <f>'KQuote Mitarbeiter'!E113</f>
        <v/>
      </c>
      <c r="Q113" s="67">
        <f>'KQuote Mitarbeiter'!L113</f>
        <v/>
      </c>
      <c r="R113" s="58">
        <f>'KQuote Mitarbeiter'!D113</f>
        <v/>
      </c>
      <c r="S113" s="67">
        <f>'KQuote Mitarbeiter'!K113</f>
        <v/>
      </c>
    </row>
    <row r="114">
      <c r="A114" s="49">
        <f>'KQuote Mitarbeiter'!A114</f>
        <v/>
      </c>
      <c r="B114" s="50">
        <f>'KQuote Mitarbeiter'!B114</f>
        <v/>
      </c>
      <c r="C114" s="59">
        <f>IF($B114="","",(N(Krankheitstage!D114)+N(Krankheitstage!Q114))*N(Krankheitstage!C114))</f>
        <v/>
      </c>
      <c r="D114" s="59">
        <f>IF($B114="","",(N(Krankheitstage!E114)+N(Krankheitstage!R114))*N(Krankheitstage!C114))</f>
        <v/>
      </c>
      <c r="E114" s="59">
        <f>IF($B114="","",(N(Krankheitstage!F114)+N(Krankheitstage!S114))*N(Krankheitstage!C114))</f>
        <v/>
      </c>
      <c r="F114" s="59">
        <f>IF($B114="","",(N(Krankheitstage!G114)+N(Krankheitstage!T114))*N(Krankheitstage!C114))</f>
        <v/>
      </c>
      <c r="G114" s="59">
        <f>IF($B114="","",(N(Krankheitstage!H114)+N(Krankheitstage!U114))*N(Krankheitstage!C114))</f>
        <v/>
      </c>
      <c r="H114" s="59">
        <f>IF($B114="","",(N(Krankheitstage!I114)+N(Krankheitstage!V114))*N(Krankheitstage!C114))</f>
        <v/>
      </c>
      <c r="I114" s="59">
        <f>IF($B114="","",(N(Krankheitstage!J114)+N(Krankheitstage!W114))*N(Krankheitstage!C114))</f>
        <v/>
      </c>
      <c r="J114" s="59">
        <f>IF($B114="","",(N(Krankheitstage!K114)+N(Krankheitstage!X114))*N(Krankheitstage!C114))</f>
        <v/>
      </c>
      <c r="K114" s="59">
        <f>IF($B114="","",(N(Krankheitstage!L114)+N(Krankheitstage!Y114))*N(Krankheitstage!C114))</f>
        <v/>
      </c>
      <c r="L114" s="59">
        <f>IF($B114="","",(N(Krankheitstage!M114)+N(Krankheitstage!Z114))*N(Krankheitstage!C114))</f>
        <v/>
      </c>
      <c r="M114" s="59">
        <f>IF($B114="","",(N(Krankheitstage!N114)+N(Krankheitstage!AA114))*N(Krankheitstage!C114))</f>
        <v/>
      </c>
      <c r="N114" s="59">
        <f>IF($B114="","",(N(Krankheitstage!O114)+N(Krankheitstage!AB114))*N(Krankheitstage!C114))</f>
        <v/>
      </c>
      <c r="O114" s="66">
        <f>IF($B114="","",SUM(C114:N114))</f>
        <v/>
      </c>
      <c r="P114" s="58">
        <f>'KQuote Mitarbeiter'!E114</f>
        <v/>
      </c>
      <c r="Q114" s="67">
        <f>'KQuote Mitarbeiter'!L114</f>
        <v/>
      </c>
      <c r="R114" s="58">
        <f>'KQuote Mitarbeiter'!D114</f>
        <v/>
      </c>
      <c r="S114" s="67">
        <f>'KQuote Mitarbeiter'!K114</f>
        <v/>
      </c>
    </row>
    <row r="115">
      <c r="A115" s="49">
        <f>'KQuote Mitarbeiter'!A115</f>
        <v/>
      </c>
      <c r="B115" s="50">
        <f>'KQuote Mitarbeiter'!B115</f>
        <v/>
      </c>
      <c r="C115" s="59">
        <f>IF($B115="","",(N(Krankheitstage!D115)+N(Krankheitstage!Q115))*N(Krankheitstage!C115))</f>
        <v/>
      </c>
      <c r="D115" s="59">
        <f>IF($B115="","",(N(Krankheitstage!E115)+N(Krankheitstage!R115))*N(Krankheitstage!C115))</f>
        <v/>
      </c>
      <c r="E115" s="59">
        <f>IF($B115="","",(N(Krankheitstage!F115)+N(Krankheitstage!S115))*N(Krankheitstage!C115))</f>
        <v/>
      </c>
      <c r="F115" s="59">
        <f>IF($B115="","",(N(Krankheitstage!G115)+N(Krankheitstage!T115))*N(Krankheitstage!C115))</f>
        <v/>
      </c>
      <c r="G115" s="59">
        <f>IF($B115="","",(N(Krankheitstage!H115)+N(Krankheitstage!U115))*N(Krankheitstage!C115))</f>
        <v/>
      </c>
      <c r="H115" s="59">
        <f>IF($B115="","",(N(Krankheitstage!I115)+N(Krankheitstage!V115))*N(Krankheitstage!C115))</f>
        <v/>
      </c>
      <c r="I115" s="59">
        <f>IF($B115="","",(N(Krankheitstage!J115)+N(Krankheitstage!W115))*N(Krankheitstage!C115))</f>
        <v/>
      </c>
      <c r="J115" s="59">
        <f>IF($B115="","",(N(Krankheitstage!K115)+N(Krankheitstage!X115))*N(Krankheitstage!C115))</f>
        <v/>
      </c>
      <c r="K115" s="59">
        <f>IF($B115="","",(N(Krankheitstage!L115)+N(Krankheitstage!Y115))*N(Krankheitstage!C115))</f>
        <v/>
      </c>
      <c r="L115" s="59">
        <f>IF($B115="","",(N(Krankheitstage!M115)+N(Krankheitstage!Z115))*N(Krankheitstage!C115))</f>
        <v/>
      </c>
      <c r="M115" s="59">
        <f>IF($B115="","",(N(Krankheitstage!N115)+N(Krankheitstage!AA115))*N(Krankheitstage!C115))</f>
        <v/>
      </c>
      <c r="N115" s="59">
        <f>IF($B115="","",(N(Krankheitstage!O115)+N(Krankheitstage!AB115))*N(Krankheitstage!C115))</f>
        <v/>
      </c>
      <c r="O115" s="66">
        <f>IF($B115="","",SUM(C115:N115))</f>
        <v/>
      </c>
      <c r="P115" s="58">
        <f>'KQuote Mitarbeiter'!E115</f>
        <v/>
      </c>
      <c r="Q115" s="67">
        <f>'KQuote Mitarbeiter'!L115</f>
        <v/>
      </c>
      <c r="R115" s="58">
        <f>'KQuote Mitarbeiter'!D115</f>
        <v/>
      </c>
      <c r="S115" s="67">
        <f>'KQuote Mitarbeiter'!K115</f>
        <v/>
      </c>
    </row>
    <row r="116">
      <c r="A116" s="49">
        <f>'KQuote Mitarbeiter'!A116</f>
        <v/>
      </c>
      <c r="B116" s="50">
        <f>'KQuote Mitarbeiter'!B116</f>
        <v/>
      </c>
      <c r="C116" s="59">
        <f>IF($B116="","",(N(Krankheitstage!D116)+N(Krankheitstage!Q116))*N(Krankheitstage!C116))</f>
        <v/>
      </c>
      <c r="D116" s="59">
        <f>IF($B116="","",(N(Krankheitstage!E116)+N(Krankheitstage!R116))*N(Krankheitstage!C116))</f>
        <v/>
      </c>
      <c r="E116" s="59">
        <f>IF($B116="","",(N(Krankheitstage!F116)+N(Krankheitstage!S116))*N(Krankheitstage!C116))</f>
        <v/>
      </c>
      <c r="F116" s="59">
        <f>IF($B116="","",(N(Krankheitstage!G116)+N(Krankheitstage!T116))*N(Krankheitstage!C116))</f>
        <v/>
      </c>
      <c r="G116" s="59">
        <f>IF($B116="","",(N(Krankheitstage!H116)+N(Krankheitstage!U116))*N(Krankheitstage!C116))</f>
        <v/>
      </c>
      <c r="H116" s="59">
        <f>IF($B116="","",(N(Krankheitstage!I116)+N(Krankheitstage!V116))*N(Krankheitstage!C116))</f>
        <v/>
      </c>
      <c r="I116" s="59">
        <f>IF($B116="","",(N(Krankheitstage!J116)+N(Krankheitstage!W116))*N(Krankheitstage!C116))</f>
        <v/>
      </c>
      <c r="J116" s="59">
        <f>IF($B116="","",(N(Krankheitstage!K116)+N(Krankheitstage!X116))*N(Krankheitstage!C116))</f>
        <v/>
      </c>
      <c r="K116" s="59">
        <f>IF($B116="","",(N(Krankheitstage!L116)+N(Krankheitstage!Y116))*N(Krankheitstage!C116))</f>
        <v/>
      </c>
      <c r="L116" s="59">
        <f>IF($B116="","",(N(Krankheitstage!M116)+N(Krankheitstage!Z116))*N(Krankheitstage!C116))</f>
        <v/>
      </c>
      <c r="M116" s="59">
        <f>IF($B116="","",(N(Krankheitstage!N116)+N(Krankheitstage!AA116))*N(Krankheitstage!C116))</f>
        <v/>
      </c>
      <c r="N116" s="59">
        <f>IF($B116="","",(N(Krankheitstage!O116)+N(Krankheitstage!AB116))*N(Krankheitstage!C116))</f>
        <v/>
      </c>
      <c r="O116" s="66">
        <f>IF($B116="","",SUM(C116:N116))</f>
        <v/>
      </c>
      <c r="P116" s="58">
        <f>'KQuote Mitarbeiter'!E116</f>
        <v/>
      </c>
      <c r="Q116" s="67">
        <f>'KQuote Mitarbeiter'!L116</f>
        <v/>
      </c>
      <c r="R116" s="58">
        <f>'KQuote Mitarbeiter'!D116</f>
        <v/>
      </c>
      <c r="S116" s="67">
        <f>'KQuote Mitarbeiter'!K116</f>
        <v/>
      </c>
    </row>
    <row r="117">
      <c r="A117" s="49">
        <f>'KQuote Mitarbeiter'!A117</f>
        <v/>
      </c>
      <c r="B117" s="50">
        <f>'KQuote Mitarbeiter'!B117</f>
        <v/>
      </c>
      <c r="C117" s="59">
        <f>IF($B117="","",(N(Krankheitstage!D117)+N(Krankheitstage!Q117))*N(Krankheitstage!C117))</f>
        <v/>
      </c>
      <c r="D117" s="59">
        <f>IF($B117="","",(N(Krankheitstage!E117)+N(Krankheitstage!R117))*N(Krankheitstage!C117))</f>
        <v/>
      </c>
      <c r="E117" s="59">
        <f>IF($B117="","",(N(Krankheitstage!F117)+N(Krankheitstage!S117))*N(Krankheitstage!C117))</f>
        <v/>
      </c>
      <c r="F117" s="59">
        <f>IF($B117="","",(N(Krankheitstage!G117)+N(Krankheitstage!T117))*N(Krankheitstage!C117))</f>
        <v/>
      </c>
      <c r="G117" s="59">
        <f>IF($B117="","",(N(Krankheitstage!H117)+N(Krankheitstage!U117))*N(Krankheitstage!C117))</f>
        <v/>
      </c>
      <c r="H117" s="59">
        <f>IF($B117="","",(N(Krankheitstage!I117)+N(Krankheitstage!V117))*N(Krankheitstage!C117))</f>
        <v/>
      </c>
      <c r="I117" s="59">
        <f>IF($B117="","",(N(Krankheitstage!J117)+N(Krankheitstage!W117))*N(Krankheitstage!C117))</f>
        <v/>
      </c>
      <c r="J117" s="59">
        <f>IF($B117="","",(N(Krankheitstage!K117)+N(Krankheitstage!X117))*N(Krankheitstage!C117))</f>
        <v/>
      </c>
      <c r="K117" s="59">
        <f>IF($B117="","",(N(Krankheitstage!L117)+N(Krankheitstage!Y117))*N(Krankheitstage!C117))</f>
        <v/>
      </c>
      <c r="L117" s="59">
        <f>IF($B117="","",(N(Krankheitstage!M117)+N(Krankheitstage!Z117))*N(Krankheitstage!C117))</f>
        <v/>
      </c>
      <c r="M117" s="59">
        <f>IF($B117="","",(N(Krankheitstage!N117)+N(Krankheitstage!AA117))*N(Krankheitstage!C117))</f>
        <v/>
      </c>
      <c r="N117" s="59">
        <f>IF($B117="","",(N(Krankheitstage!O117)+N(Krankheitstage!AB117))*N(Krankheitstage!C117))</f>
        <v/>
      </c>
      <c r="O117" s="66">
        <f>IF($B117="","",SUM(C117:N117))</f>
        <v/>
      </c>
      <c r="P117" s="58">
        <f>'KQuote Mitarbeiter'!E117</f>
        <v/>
      </c>
      <c r="Q117" s="67">
        <f>'KQuote Mitarbeiter'!L117</f>
        <v/>
      </c>
      <c r="R117" s="58">
        <f>'KQuote Mitarbeiter'!D117</f>
        <v/>
      </c>
      <c r="S117" s="67">
        <f>'KQuote Mitarbeiter'!K117</f>
        <v/>
      </c>
    </row>
    <row r="118">
      <c r="A118" s="49">
        <f>'KQuote Mitarbeiter'!A118</f>
        <v/>
      </c>
      <c r="B118" s="50">
        <f>'KQuote Mitarbeiter'!B118</f>
        <v/>
      </c>
      <c r="C118" s="59">
        <f>IF($B118="","",(N(Krankheitstage!D118)+N(Krankheitstage!Q118))*N(Krankheitstage!C118))</f>
        <v/>
      </c>
      <c r="D118" s="59">
        <f>IF($B118="","",(N(Krankheitstage!E118)+N(Krankheitstage!R118))*N(Krankheitstage!C118))</f>
        <v/>
      </c>
      <c r="E118" s="59">
        <f>IF($B118="","",(N(Krankheitstage!F118)+N(Krankheitstage!S118))*N(Krankheitstage!C118))</f>
        <v/>
      </c>
      <c r="F118" s="59">
        <f>IF($B118="","",(N(Krankheitstage!G118)+N(Krankheitstage!T118))*N(Krankheitstage!C118))</f>
        <v/>
      </c>
      <c r="G118" s="59">
        <f>IF($B118="","",(N(Krankheitstage!H118)+N(Krankheitstage!U118))*N(Krankheitstage!C118))</f>
        <v/>
      </c>
      <c r="H118" s="59">
        <f>IF($B118="","",(N(Krankheitstage!I118)+N(Krankheitstage!V118))*N(Krankheitstage!C118))</f>
        <v/>
      </c>
      <c r="I118" s="59">
        <f>IF($B118="","",(N(Krankheitstage!J118)+N(Krankheitstage!W118))*N(Krankheitstage!C118))</f>
        <v/>
      </c>
      <c r="J118" s="59">
        <f>IF($B118="","",(N(Krankheitstage!K118)+N(Krankheitstage!X118))*N(Krankheitstage!C118))</f>
        <v/>
      </c>
      <c r="K118" s="59">
        <f>IF($B118="","",(N(Krankheitstage!L118)+N(Krankheitstage!Y118))*N(Krankheitstage!C118))</f>
        <v/>
      </c>
      <c r="L118" s="59">
        <f>IF($B118="","",(N(Krankheitstage!M118)+N(Krankheitstage!Z118))*N(Krankheitstage!C118))</f>
        <v/>
      </c>
      <c r="M118" s="59">
        <f>IF($B118="","",(N(Krankheitstage!N118)+N(Krankheitstage!AA118))*N(Krankheitstage!C118))</f>
        <v/>
      </c>
      <c r="N118" s="59">
        <f>IF($B118="","",(N(Krankheitstage!O118)+N(Krankheitstage!AB118))*N(Krankheitstage!C118))</f>
        <v/>
      </c>
      <c r="O118" s="66">
        <f>IF($B118="","",SUM(C118:N118))</f>
        <v/>
      </c>
      <c r="P118" s="58">
        <f>'KQuote Mitarbeiter'!E118</f>
        <v/>
      </c>
      <c r="Q118" s="67">
        <f>'KQuote Mitarbeiter'!L118</f>
        <v/>
      </c>
      <c r="R118" s="58">
        <f>'KQuote Mitarbeiter'!D118</f>
        <v/>
      </c>
      <c r="S118" s="67">
        <f>'KQuote Mitarbeiter'!K118</f>
        <v/>
      </c>
    </row>
    <row r="119">
      <c r="A119" s="49">
        <f>'KQuote Mitarbeiter'!A119</f>
        <v/>
      </c>
      <c r="B119" s="50">
        <f>'KQuote Mitarbeiter'!B119</f>
        <v/>
      </c>
      <c r="C119" s="59">
        <f>IF($B119="","",(N(Krankheitstage!D119)+N(Krankheitstage!Q119))*N(Krankheitstage!C119))</f>
        <v/>
      </c>
      <c r="D119" s="59">
        <f>IF($B119="","",(N(Krankheitstage!E119)+N(Krankheitstage!R119))*N(Krankheitstage!C119))</f>
        <v/>
      </c>
      <c r="E119" s="59">
        <f>IF($B119="","",(N(Krankheitstage!F119)+N(Krankheitstage!S119))*N(Krankheitstage!C119))</f>
        <v/>
      </c>
      <c r="F119" s="59">
        <f>IF($B119="","",(N(Krankheitstage!G119)+N(Krankheitstage!T119))*N(Krankheitstage!C119))</f>
        <v/>
      </c>
      <c r="G119" s="59">
        <f>IF($B119="","",(N(Krankheitstage!H119)+N(Krankheitstage!U119))*N(Krankheitstage!C119))</f>
        <v/>
      </c>
      <c r="H119" s="59">
        <f>IF($B119="","",(N(Krankheitstage!I119)+N(Krankheitstage!V119))*N(Krankheitstage!C119))</f>
        <v/>
      </c>
      <c r="I119" s="59">
        <f>IF($B119="","",(N(Krankheitstage!J119)+N(Krankheitstage!W119))*N(Krankheitstage!C119))</f>
        <v/>
      </c>
      <c r="J119" s="59">
        <f>IF($B119="","",(N(Krankheitstage!K119)+N(Krankheitstage!X119))*N(Krankheitstage!C119))</f>
        <v/>
      </c>
      <c r="K119" s="59">
        <f>IF($B119="","",(N(Krankheitstage!L119)+N(Krankheitstage!Y119))*N(Krankheitstage!C119))</f>
        <v/>
      </c>
      <c r="L119" s="59">
        <f>IF($B119="","",(N(Krankheitstage!M119)+N(Krankheitstage!Z119))*N(Krankheitstage!C119))</f>
        <v/>
      </c>
      <c r="M119" s="59">
        <f>IF($B119="","",(N(Krankheitstage!N119)+N(Krankheitstage!AA119))*N(Krankheitstage!C119))</f>
        <v/>
      </c>
      <c r="N119" s="59">
        <f>IF($B119="","",(N(Krankheitstage!O119)+N(Krankheitstage!AB119))*N(Krankheitstage!C119))</f>
        <v/>
      </c>
      <c r="O119" s="66">
        <f>IF($B119="","",SUM(C119:N119))</f>
        <v/>
      </c>
      <c r="P119" s="58">
        <f>'KQuote Mitarbeiter'!E119</f>
        <v/>
      </c>
      <c r="Q119" s="67">
        <f>'KQuote Mitarbeiter'!L119</f>
        <v/>
      </c>
      <c r="R119" s="58">
        <f>'KQuote Mitarbeiter'!D119</f>
        <v/>
      </c>
      <c r="S119" s="67">
        <f>'KQuote Mitarbeiter'!K119</f>
        <v/>
      </c>
    </row>
    <row r="120">
      <c r="A120" s="49">
        <f>'KQuote Mitarbeiter'!A120</f>
        <v/>
      </c>
      <c r="B120" s="50">
        <f>'KQuote Mitarbeiter'!B120</f>
        <v/>
      </c>
      <c r="C120" s="59">
        <f>IF($B120="","",(N(Krankheitstage!D120)+N(Krankheitstage!Q120))*N(Krankheitstage!C120))</f>
        <v/>
      </c>
      <c r="D120" s="59">
        <f>IF($B120="","",(N(Krankheitstage!E120)+N(Krankheitstage!R120))*N(Krankheitstage!C120))</f>
        <v/>
      </c>
      <c r="E120" s="59">
        <f>IF($B120="","",(N(Krankheitstage!F120)+N(Krankheitstage!S120))*N(Krankheitstage!C120))</f>
        <v/>
      </c>
      <c r="F120" s="59">
        <f>IF($B120="","",(N(Krankheitstage!G120)+N(Krankheitstage!T120))*N(Krankheitstage!C120))</f>
        <v/>
      </c>
      <c r="G120" s="59">
        <f>IF($B120="","",(N(Krankheitstage!H120)+N(Krankheitstage!U120))*N(Krankheitstage!C120))</f>
        <v/>
      </c>
      <c r="H120" s="59">
        <f>IF($B120="","",(N(Krankheitstage!I120)+N(Krankheitstage!V120))*N(Krankheitstage!C120))</f>
        <v/>
      </c>
      <c r="I120" s="59">
        <f>IF($B120="","",(N(Krankheitstage!J120)+N(Krankheitstage!W120))*N(Krankheitstage!C120))</f>
        <v/>
      </c>
      <c r="J120" s="59">
        <f>IF($B120="","",(N(Krankheitstage!K120)+N(Krankheitstage!X120))*N(Krankheitstage!C120))</f>
        <v/>
      </c>
      <c r="K120" s="59">
        <f>IF($B120="","",(N(Krankheitstage!L120)+N(Krankheitstage!Y120))*N(Krankheitstage!C120))</f>
        <v/>
      </c>
      <c r="L120" s="59">
        <f>IF($B120="","",(N(Krankheitstage!M120)+N(Krankheitstage!Z120))*N(Krankheitstage!C120))</f>
        <v/>
      </c>
      <c r="M120" s="59">
        <f>IF($B120="","",(N(Krankheitstage!N120)+N(Krankheitstage!AA120))*N(Krankheitstage!C120))</f>
        <v/>
      </c>
      <c r="N120" s="59">
        <f>IF($B120="","",(N(Krankheitstage!O120)+N(Krankheitstage!AB120))*N(Krankheitstage!C120))</f>
        <v/>
      </c>
      <c r="O120" s="66">
        <f>IF($B120="","",SUM(C120:N120))</f>
        <v/>
      </c>
      <c r="P120" s="58">
        <f>'KQuote Mitarbeiter'!E120</f>
        <v/>
      </c>
      <c r="Q120" s="67">
        <f>'KQuote Mitarbeiter'!L120</f>
        <v/>
      </c>
      <c r="R120" s="58">
        <f>'KQuote Mitarbeiter'!D120</f>
        <v/>
      </c>
      <c r="S120" s="67">
        <f>'KQuote Mitarbeiter'!K120</f>
        <v/>
      </c>
    </row>
    <row r="121">
      <c r="A121" s="49">
        <f>'KQuote Mitarbeiter'!A121</f>
        <v/>
      </c>
      <c r="B121" s="50">
        <f>'KQuote Mitarbeiter'!B121</f>
        <v/>
      </c>
      <c r="C121" s="59">
        <f>IF($B121="","",(N(Krankheitstage!D121)+N(Krankheitstage!Q121))*N(Krankheitstage!C121))</f>
        <v/>
      </c>
      <c r="D121" s="59">
        <f>IF($B121="","",(N(Krankheitstage!E121)+N(Krankheitstage!R121))*N(Krankheitstage!C121))</f>
        <v/>
      </c>
      <c r="E121" s="59">
        <f>IF($B121="","",(N(Krankheitstage!F121)+N(Krankheitstage!S121))*N(Krankheitstage!C121))</f>
        <v/>
      </c>
      <c r="F121" s="59">
        <f>IF($B121="","",(N(Krankheitstage!G121)+N(Krankheitstage!T121))*N(Krankheitstage!C121))</f>
        <v/>
      </c>
      <c r="G121" s="59">
        <f>IF($B121="","",(N(Krankheitstage!H121)+N(Krankheitstage!U121))*N(Krankheitstage!C121))</f>
        <v/>
      </c>
      <c r="H121" s="59">
        <f>IF($B121="","",(N(Krankheitstage!I121)+N(Krankheitstage!V121))*N(Krankheitstage!C121))</f>
        <v/>
      </c>
      <c r="I121" s="59">
        <f>IF($B121="","",(N(Krankheitstage!J121)+N(Krankheitstage!W121))*N(Krankheitstage!C121))</f>
        <v/>
      </c>
      <c r="J121" s="59">
        <f>IF($B121="","",(N(Krankheitstage!K121)+N(Krankheitstage!X121))*N(Krankheitstage!C121))</f>
        <v/>
      </c>
      <c r="K121" s="59">
        <f>IF($B121="","",(N(Krankheitstage!L121)+N(Krankheitstage!Y121))*N(Krankheitstage!C121))</f>
        <v/>
      </c>
      <c r="L121" s="59">
        <f>IF($B121="","",(N(Krankheitstage!M121)+N(Krankheitstage!Z121))*N(Krankheitstage!C121))</f>
        <v/>
      </c>
      <c r="M121" s="59">
        <f>IF($B121="","",(N(Krankheitstage!N121)+N(Krankheitstage!AA121))*N(Krankheitstage!C121))</f>
        <v/>
      </c>
      <c r="N121" s="59">
        <f>IF($B121="","",(N(Krankheitstage!O121)+N(Krankheitstage!AB121))*N(Krankheitstage!C121))</f>
        <v/>
      </c>
      <c r="O121" s="66">
        <f>IF($B121="","",SUM(C121:N121))</f>
        <v/>
      </c>
      <c r="P121" s="58">
        <f>'KQuote Mitarbeiter'!E121</f>
        <v/>
      </c>
      <c r="Q121" s="67">
        <f>'KQuote Mitarbeiter'!L121</f>
        <v/>
      </c>
      <c r="R121" s="58">
        <f>'KQuote Mitarbeiter'!D121</f>
        <v/>
      </c>
      <c r="S121" s="67">
        <f>'KQuote Mitarbeiter'!K121</f>
        <v/>
      </c>
    </row>
    <row r="122">
      <c r="A122" s="49">
        <f>'KQuote Mitarbeiter'!A122</f>
        <v/>
      </c>
      <c r="B122" s="50">
        <f>'KQuote Mitarbeiter'!B122</f>
        <v/>
      </c>
      <c r="C122" s="59">
        <f>IF($B122="","",(N(Krankheitstage!D122)+N(Krankheitstage!Q122))*N(Krankheitstage!C122))</f>
        <v/>
      </c>
      <c r="D122" s="59">
        <f>IF($B122="","",(N(Krankheitstage!E122)+N(Krankheitstage!R122))*N(Krankheitstage!C122))</f>
        <v/>
      </c>
      <c r="E122" s="59">
        <f>IF($B122="","",(N(Krankheitstage!F122)+N(Krankheitstage!S122))*N(Krankheitstage!C122))</f>
        <v/>
      </c>
      <c r="F122" s="59">
        <f>IF($B122="","",(N(Krankheitstage!G122)+N(Krankheitstage!T122))*N(Krankheitstage!C122))</f>
        <v/>
      </c>
      <c r="G122" s="59">
        <f>IF($B122="","",(N(Krankheitstage!H122)+N(Krankheitstage!U122))*N(Krankheitstage!C122))</f>
        <v/>
      </c>
      <c r="H122" s="59">
        <f>IF($B122="","",(N(Krankheitstage!I122)+N(Krankheitstage!V122))*N(Krankheitstage!C122))</f>
        <v/>
      </c>
      <c r="I122" s="59">
        <f>IF($B122="","",(N(Krankheitstage!J122)+N(Krankheitstage!W122))*N(Krankheitstage!C122))</f>
        <v/>
      </c>
      <c r="J122" s="59">
        <f>IF($B122="","",(N(Krankheitstage!K122)+N(Krankheitstage!X122))*N(Krankheitstage!C122))</f>
        <v/>
      </c>
      <c r="K122" s="59">
        <f>IF($B122="","",(N(Krankheitstage!L122)+N(Krankheitstage!Y122))*N(Krankheitstage!C122))</f>
        <v/>
      </c>
      <c r="L122" s="59">
        <f>IF($B122="","",(N(Krankheitstage!M122)+N(Krankheitstage!Z122))*N(Krankheitstage!C122))</f>
        <v/>
      </c>
      <c r="M122" s="59">
        <f>IF($B122="","",(N(Krankheitstage!N122)+N(Krankheitstage!AA122))*N(Krankheitstage!C122))</f>
        <v/>
      </c>
      <c r="N122" s="59">
        <f>IF($B122="","",(N(Krankheitstage!O122)+N(Krankheitstage!AB122))*N(Krankheitstage!C122))</f>
        <v/>
      </c>
      <c r="O122" s="66">
        <f>IF($B122="","",SUM(C122:N122))</f>
        <v/>
      </c>
      <c r="P122" s="58">
        <f>'KQuote Mitarbeiter'!E122</f>
        <v/>
      </c>
      <c r="Q122" s="67">
        <f>'KQuote Mitarbeiter'!L122</f>
        <v/>
      </c>
      <c r="R122" s="58">
        <f>'KQuote Mitarbeiter'!D122</f>
        <v/>
      </c>
      <c r="S122" s="67">
        <f>'KQuote Mitarbeiter'!K122</f>
        <v/>
      </c>
    </row>
    <row r="123">
      <c r="A123" s="49">
        <f>'KQuote Mitarbeiter'!A123</f>
        <v/>
      </c>
      <c r="B123" s="50">
        <f>'KQuote Mitarbeiter'!B123</f>
        <v/>
      </c>
      <c r="C123" s="59">
        <f>IF($B123="","",(N(Krankheitstage!D123)+N(Krankheitstage!Q123))*N(Krankheitstage!C123))</f>
        <v/>
      </c>
      <c r="D123" s="59">
        <f>IF($B123="","",(N(Krankheitstage!E123)+N(Krankheitstage!R123))*N(Krankheitstage!C123))</f>
        <v/>
      </c>
      <c r="E123" s="59">
        <f>IF($B123="","",(N(Krankheitstage!F123)+N(Krankheitstage!S123))*N(Krankheitstage!C123))</f>
        <v/>
      </c>
      <c r="F123" s="59">
        <f>IF($B123="","",(N(Krankheitstage!G123)+N(Krankheitstage!T123))*N(Krankheitstage!C123))</f>
        <v/>
      </c>
      <c r="G123" s="59">
        <f>IF($B123="","",(N(Krankheitstage!H123)+N(Krankheitstage!U123))*N(Krankheitstage!C123))</f>
        <v/>
      </c>
      <c r="H123" s="59">
        <f>IF($B123="","",(N(Krankheitstage!I123)+N(Krankheitstage!V123))*N(Krankheitstage!C123))</f>
        <v/>
      </c>
      <c r="I123" s="59">
        <f>IF($B123="","",(N(Krankheitstage!J123)+N(Krankheitstage!W123))*N(Krankheitstage!C123))</f>
        <v/>
      </c>
      <c r="J123" s="59">
        <f>IF($B123="","",(N(Krankheitstage!K123)+N(Krankheitstage!X123))*N(Krankheitstage!C123))</f>
        <v/>
      </c>
      <c r="K123" s="59">
        <f>IF($B123="","",(N(Krankheitstage!L123)+N(Krankheitstage!Y123))*N(Krankheitstage!C123))</f>
        <v/>
      </c>
      <c r="L123" s="59">
        <f>IF($B123="","",(N(Krankheitstage!M123)+N(Krankheitstage!Z123))*N(Krankheitstage!C123))</f>
        <v/>
      </c>
      <c r="M123" s="59">
        <f>IF($B123="","",(N(Krankheitstage!N123)+N(Krankheitstage!AA123))*N(Krankheitstage!C123))</f>
        <v/>
      </c>
      <c r="N123" s="59">
        <f>IF($B123="","",(N(Krankheitstage!O123)+N(Krankheitstage!AB123))*N(Krankheitstage!C123))</f>
        <v/>
      </c>
      <c r="O123" s="66">
        <f>IF($B123="","",SUM(C123:N123))</f>
        <v/>
      </c>
      <c r="P123" s="58">
        <f>'KQuote Mitarbeiter'!E123</f>
        <v/>
      </c>
      <c r="Q123" s="67">
        <f>'KQuote Mitarbeiter'!L123</f>
        <v/>
      </c>
      <c r="R123" s="58">
        <f>'KQuote Mitarbeiter'!D123</f>
        <v/>
      </c>
      <c r="S123" s="67">
        <f>'KQuote Mitarbeiter'!K123</f>
        <v/>
      </c>
    </row>
    <row r="124">
      <c r="A124" s="49">
        <f>'KQuote Mitarbeiter'!A124</f>
        <v/>
      </c>
      <c r="B124" s="50">
        <f>'KQuote Mitarbeiter'!B124</f>
        <v/>
      </c>
      <c r="C124" s="59">
        <f>IF($B124="","",(N(Krankheitstage!D124)+N(Krankheitstage!Q124))*N(Krankheitstage!C124))</f>
        <v/>
      </c>
      <c r="D124" s="59">
        <f>IF($B124="","",(N(Krankheitstage!E124)+N(Krankheitstage!R124))*N(Krankheitstage!C124))</f>
        <v/>
      </c>
      <c r="E124" s="59">
        <f>IF($B124="","",(N(Krankheitstage!F124)+N(Krankheitstage!S124))*N(Krankheitstage!C124))</f>
        <v/>
      </c>
      <c r="F124" s="59">
        <f>IF($B124="","",(N(Krankheitstage!G124)+N(Krankheitstage!T124))*N(Krankheitstage!C124))</f>
        <v/>
      </c>
      <c r="G124" s="59">
        <f>IF($B124="","",(N(Krankheitstage!H124)+N(Krankheitstage!U124))*N(Krankheitstage!C124))</f>
        <v/>
      </c>
      <c r="H124" s="59">
        <f>IF($B124="","",(N(Krankheitstage!I124)+N(Krankheitstage!V124))*N(Krankheitstage!C124))</f>
        <v/>
      </c>
      <c r="I124" s="59">
        <f>IF($B124="","",(N(Krankheitstage!J124)+N(Krankheitstage!W124))*N(Krankheitstage!C124))</f>
        <v/>
      </c>
      <c r="J124" s="59">
        <f>IF($B124="","",(N(Krankheitstage!K124)+N(Krankheitstage!X124))*N(Krankheitstage!C124))</f>
        <v/>
      </c>
      <c r="K124" s="59">
        <f>IF($B124="","",(N(Krankheitstage!L124)+N(Krankheitstage!Y124))*N(Krankheitstage!C124))</f>
        <v/>
      </c>
      <c r="L124" s="59">
        <f>IF($B124="","",(N(Krankheitstage!M124)+N(Krankheitstage!Z124))*N(Krankheitstage!C124))</f>
        <v/>
      </c>
      <c r="M124" s="59">
        <f>IF($B124="","",(N(Krankheitstage!N124)+N(Krankheitstage!AA124))*N(Krankheitstage!C124))</f>
        <v/>
      </c>
      <c r="N124" s="59">
        <f>IF($B124="","",(N(Krankheitstage!O124)+N(Krankheitstage!AB124))*N(Krankheitstage!C124))</f>
        <v/>
      </c>
      <c r="O124" s="66">
        <f>IF($B124="","",SUM(C124:N124))</f>
        <v/>
      </c>
      <c r="P124" s="58">
        <f>'KQuote Mitarbeiter'!E124</f>
        <v/>
      </c>
      <c r="Q124" s="67">
        <f>'KQuote Mitarbeiter'!L124</f>
        <v/>
      </c>
      <c r="R124" s="58">
        <f>'KQuote Mitarbeiter'!D124</f>
        <v/>
      </c>
      <c r="S124" s="67">
        <f>'KQuote Mitarbeiter'!K124</f>
        <v/>
      </c>
    </row>
    <row r="125">
      <c r="A125" s="49">
        <f>'KQuote Mitarbeiter'!A125</f>
        <v/>
      </c>
      <c r="B125" s="50">
        <f>'KQuote Mitarbeiter'!B125</f>
        <v/>
      </c>
      <c r="C125" s="59">
        <f>IF($B125="","",(N(Krankheitstage!D125)+N(Krankheitstage!Q125))*N(Krankheitstage!C125))</f>
        <v/>
      </c>
      <c r="D125" s="59">
        <f>IF($B125="","",(N(Krankheitstage!E125)+N(Krankheitstage!R125))*N(Krankheitstage!C125))</f>
        <v/>
      </c>
      <c r="E125" s="59">
        <f>IF($B125="","",(N(Krankheitstage!F125)+N(Krankheitstage!S125))*N(Krankheitstage!C125))</f>
        <v/>
      </c>
      <c r="F125" s="59">
        <f>IF($B125="","",(N(Krankheitstage!G125)+N(Krankheitstage!T125))*N(Krankheitstage!C125))</f>
        <v/>
      </c>
      <c r="G125" s="59">
        <f>IF($B125="","",(N(Krankheitstage!H125)+N(Krankheitstage!U125))*N(Krankheitstage!C125))</f>
        <v/>
      </c>
      <c r="H125" s="59">
        <f>IF($B125="","",(N(Krankheitstage!I125)+N(Krankheitstage!V125))*N(Krankheitstage!C125))</f>
        <v/>
      </c>
      <c r="I125" s="59">
        <f>IF($B125="","",(N(Krankheitstage!J125)+N(Krankheitstage!W125))*N(Krankheitstage!C125))</f>
        <v/>
      </c>
      <c r="J125" s="59">
        <f>IF($B125="","",(N(Krankheitstage!K125)+N(Krankheitstage!X125))*N(Krankheitstage!C125))</f>
        <v/>
      </c>
      <c r="K125" s="59">
        <f>IF($B125="","",(N(Krankheitstage!L125)+N(Krankheitstage!Y125))*N(Krankheitstage!C125))</f>
        <v/>
      </c>
      <c r="L125" s="59">
        <f>IF($B125="","",(N(Krankheitstage!M125)+N(Krankheitstage!Z125))*N(Krankheitstage!C125))</f>
        <v/>
      </c>
      <c r="M125" s="59">
        <f>IF($B125="","",(N(Krankheitstage!N125)+N(Krankheitstage!AA125))*N(Krankheitstage!C125))</f>
        <v/>
      </c>
      <c r="N125" s="59">
        <f>IF($B125="","",(N(Krankheitstage!O125)+N(Krankheitstage!AB125))*N(Krankheitstage!C125))</f>
        <v/>
      </c>
      <c r="O125" s="66">
        <f>IF($B125="","",SUM(C125:N125))</f>
        <v/>
      </c>
      <c r="P125" s="58">
        <f>'KQuote Mitarbeiter'!E125</f>
        <v/>
      </c>
      <c r="Q125" s="67">
        <f>'KQuote Mitarbeiter'!L125</f>
        <v/>
      </c>
      <c r="R125" s="58">
        <f>'KQuote Mitarbeiter'!D125</f>
        <v/>
      </c>
      <c r="S125" s="67">
        <f>'KQuote Mitarbeiter'!K125</f>
        <v/>
      </c>
    </row>
    <row r="126">
      <c r="A126" s="49">
        <f>'KQuote Mitarbeiter'!A126</f>
        <v/>
      </c>
      <c r="B126" s="50">
        <f>'KQuote Mitarbeiter'!B126</f>
        <v/>
      </c>
      <c r="C126" s="59">
        <f>IF($B126="","",(N(Krankheitstage!D126)+N(Krankheitstage!Q126))*N(Krankheitstage!C126))</f>
        <v/>
      </c>
      <c r="D126" s="59">
        <f>IF($B126="","",(N(Krankheitstage!E126)+N(Krankheitstage!R126))*N(Krankheitstage!C126))</f>
        <v/>
      </c>
      <c r="E126" s="59">
        <f>IF($B126="","",(N(Krankheitstage!F126)+N(Krankheitstage!S126))*N(Krankheitstage!C126))</f>
        <v/>
      </c>
      <c r="F126" s="59">
        <f>IF($B126="","",(N(Krankheitstage!G126)+N(Krankheitstage!T126))*N(Krankheitstage!C126))</f>
        <v/>
      </c>
      <c r="G126" s="59">
        <f>IF($B126="","",(N(Krankheitstage!H126)+N(Krankheitstage!U126))*N(Krankheitstage!C126))</f>
        <v/>
      </c>
      <c r="H126" s="59">
        <f>IF($B126="","",(N(Krankheitstage!I126)+N(Krankheitstage!V126))*N(Krankheitstage!C126))</f>
        <v/>
      </c>
      <c r="I126" s="59">
        <f>IF($B126="","",(N(Krankheitstage!J126)+N(Krankheitstage!W126))*N(Krankheitstage!C126))</f>
        <v/>
      </c>
      <c r="J126" s="59">
        <f>IF($B126="","",(N(Krankheitstage!K126)+N(Krankheitstage!X126))*N(Krankheitstage!C126))</f>
        <v/>
      </c>
      <c r="K126" s="59">
        <f>IF($B126="","",(N(Krankheitstage!L126)+N(Krankheitstage!Y126))*N(Krankheitstage!C126))</f>
        <v/>
      </c>
      <c r="L126" s="59">
        <f>IF($B126="","",(N(Krankheitstage!M126)+N(Krankheitstage!Z126))*N(Krankheitstage!C126))</f>
        <v/>
      </c>
      <c r="M126" s="59">
        <f>IF($B126="","",(N(Krankheitstage!N126)+N(Krankheitstage!AA126))*N(Krankheitstage!C126))</f>
        <v/>
      </c>
      <c r="N126" s="59">
        <f>IF($B126="","",(N(Krankheitstage!O126)+N(Krankheitstage!AB126))*N(Krankheitstage!C126))</f>
        <v/>
      </c>
      <c r="O126" s="66">
        <f>IF($B126="","",SUM(C126:N126))</f>
        <v/>
      </c>
      <c r="P126" s="58">
        <f>'KQuote Mitarbeiter'!E126</f>
        <v/>
      </c>
      <c r="Q126" s="67">
        <f>'KQuote Mitarbeiter'!L126</f>
        <v/>
      </c>
      <c r="R126" s="58">
        <f>'KQuote Mitarbeiter'!D126</f>
        <v/>
      </c>
      <c r="S126" s="67">
        <f>'KQuote Mitarbeiter'!K126</f>
        <v/>
      </c>
    </row>
    <row r="127">
      <c r="A127" s="49">
        <f>'KQuote Mitarbeiter'!A127</f>
        <v/>
      </c>
      <c r="B127" s="50">
        <f>'KQuote Mitarbeiter'!B127</f>
        <v/>
      </c>
      <c r="C127" s="59">
        <f>IF($B127="","",(N(Krankheitstage!D127)+N(Krankheitstage!Q127))*N(Krankheitstage!C127))</f>
        <v/>
      </c>
      <c r="D127" s="59">
        <f>IF($B127="","",(N(Krankheitstage!E127)+N(Krankheitstage!R127))*N(Krankheitstage!C127))</f>
        <v/>
      </c>
      <c r="E127" s="59">
        <f>IF($B127="","",(N(Krankheitstage!F127)+N(Krankheitstage!S127))*N(Krankheitstage!C127))</f>
        <v/>
      </c>
      <c r="F127" s="59">
        <f>IF($B127="","",(N(Krankheitstage!G127)+N(Krankheitstage!T127))*N(Krankheitstage!C127))</f>
        <v/>
      </c>
      <c r="G127" s="59">
        <f>IF($B127="","",(N(Krankheitstage!H127)+N(Krankheitstage!U127))*N(Krankheitstage!C127))</f>
        <v/>
      </c>
      <c r="H127" s="59">
        <f>IF($B127="","",(N(Krankheitstage!I127)+N(Krankheitstage!V127))*N(Krankheitstage!C127))</f>
        <v/>
      </c>
      <c r="I127" s="59">
        <f>IF($B127="","",(N(Krankheitstage!J127)+N(Krankheitstage!W127))*N(Krankheitstage!C127))</f>
        <v/>
      </c>
      <c r="J127" s="59">
        <f>IF($B127="","",(N(Krankheitstage!K127)+N(Krankheitstage!X127))*N(Krankheitstage!C127))</f>
        <v/>
      </c>
      <c r="K127" s="59">
        <f>IF($B127="","",(N(Krankheitstage!L127)+N(Krankheitstage!Y127))*N(Krankheitstage!C127))</f>
        <v/>
      </c>
      <c r="L127" s="59">
        <f>IF($B127="","",(N(Krankheitstage!M127)+N(Krankheitstage!Z127))*N(Krankheitstage!C127))</f>
        <v/>
      </c>
      <c r="M127" s="59">
        <f>IF($B127="","",(N(Krankheitstage!N127)+N(Krankheitstage!AA127))*N(Krankheitstage!C127))</f>
        <v/>
      </c>
      <c r="N127" s="59">
        <f>IF($B127="","",(N(Krankheitstage!O127)+N(Krankheitstage!AB127))*N(Krankheitstage!C127))</f>
        <v/>
      </c>
      <c r="O127" s="66">
        <f>IF($B127="","",SUM(C127:N127))</f>
        <v/>
      </c>
      <c r="P127" s="58">
        <f>'KQuote Mitarbeiter'!E127</f>
        <v/>
      </c>
      <c r="Q127" s="67">
        <f>'KQuote Mitarbeiter'!L127</f>
        <v/>
      </c>
      <c r="R127" s="58">
        <f>'KQuote Mitarbeiter'!D127</f>
        <v/>
      </c>
      <c r="S127" s="67">
        <f>'KQuote Mitarbeiter'!K127</f>
        <v/>
      </c>
    </row>
    <row r="128">
      <c r="A128" s="49">
        <f>'KQuote Mitarbeiter'!A128</f>
        <v/>
      </c>
      <c r="B128" s="50">
        <f>'KQuote Mitarbeiter'!B128</f>
        <v/>
      </c>
      <c r="C128" s="59">
        <f>IF($B128="","",(N(Krankheitstage!D128)+N(Krankheitstage!Q128))*N(Krankheitstage!C128))</f>
        <v/>
      </c>
      <c r="D128" s="59">
        <f>IF($B128="","",(N(Krankheitstage!E128)+N(Krankheitstage!R128))*N(Krankheitstage!C128))</f>
        <v/>
      </c>
      <c r="E128" s="59">
        <f>IF($B128="","",(N(Krankheitstage!F128)+N(Krankheitstage!S128))*N(Krankheitstage!C128))</f>
        <v/>
      </c>
      <c r="F128" s="59">
        <f>IF($B128="","",(N(Krankheitstage!G128)+N(Krankheitstage!T128))*N(Krankheitstage!C128))</f>
        <v/>
      </c>
      <c r="G128" s="59">
        <f>IF($B128="","",(N(Krankheitstage!H128)+N(Krankheitstage!U128))*N(Krankheitstage!C128))</f>
        <v/>
      </c>
      <c r="H128" s="59">
        <f>IF($B128="","",(N(Krankheitstage!I128)+N(Krankheitstage!V128))*N(Krankheitstage!C128))</f>
        <v/>
      </c>
      <c r="I128" s="59">
        <f>IF($B128="","",(N(Krankheitstage!J128)+N(Krankheitstage!W128))*N(Krankheitstage!C128))</f>
        <v/>
      </c>
      <c r="J128" s="59">
        <f>IF($B128="","",(N(Krankheitstage!K128)+N(Krankheitstage!X128))*N(Krankheitstage!C128))</f>
        <v/>
      </c>
      <c r="K128" s="59">
        <f>IF($B128="","",(N(Krankheitstage!L128)+N(Krankheitstage!Y128))*N(Krankheitstage!C128))</f>
        <v/>
      </c>
      <c r="L128" s="59">
        <f>IF($B128="","",(N(Krankheitstage!M128)+N(Krankheitstage!Z128))*N(Krankheitstage!C128))</f>
        <v/>
      </c>
      <c r="M128" s="59">
        <f>IF($B128="","",(N(Krankheitstage!N128)+N(Krankheitstage!AA128))*N(Krankheitstage!C128))</f>
        <v/>
      </c>
      <c r="N128" s="59">
        <f>IF($B128="","",(N(Krankheitstage!O128)+N(Krankheitstage!AB128))*N(Krankheitstage!C128))</f>
        <v/>
      </c>
      <c r="O128" s="66">
        <f>IF($B128="","",SUM(C128:N128))</f>
        <v/>
      </c>
      <c r="P128" s="58">
        <f>'KQuote Mitarbeiter'!E128</f>
        <v/>
      </c>
      <c r="Q128" s="67">
        <f>'KQuote Mitarbeiter'!L128</f>
        <v/>
      </c>
      <c r="R128" s="58">
        <f>'KQuote Mitarbeiter'!D128</f>
        <v/>
      </c>
      <c r="S128" s="67">
        <f>'KQuote Mitarbeiter'!K128</f>
        <v/>
      </c>
    </row>
    <row r="129">
      <c r="A129" s="49">
        <f>'KQuote Mitarbeiter'!A129</f>
        <v/>
      </c>
      <c r="B129" s="50">
        <f>'KQuote Mitarbeiter'!B129</f>
        <v/>
      </c>
      <c r="C129" s="59">
        <f>IF($B129="","",(N(Krankheitstage!D129)+N(Krankheitstage!Q129))*N(Krankheitstage!C129))</f>
        <v/>
      </c>
      <c r="D129" s="59">
        <f>IF($B129="","",(N(Krankheitstage!E129)+N(Krankheitstage!R129))*N(Krankheitstage!C129))</f>
        <v/>
      </c>
      <c r="E129" s="59">
        <f>IF($B129="","",(N(Krankheitstage!F129)+N(Krankheitstage!S129))*N(Krankheitstage!C129))</f>
        <v/>
      </c>
      <c r="F129" s="59">
        <f>IF($B129="","",(N(Krankheitstage!G129)+N(Krankheitstage!T129))*N(Krankheitstage!C129))</f>
        <v/>
      </c>
      <c r="G129" s="59">
        <f>IF($B129="","",(N(Krankheitstage!H129)+N(Krankheitstage!U129))*N(Krankheitstage!C129))</f>
        <v/>
      </c>
      <c r="H129" s="59">
        <f>IF($B129="","",(N(Krankheitstage!I129)+N(Krankheitstage!V129))*N(Krankheitstage!C129))</f>
        <v/>
      </c>
      <c r="I129" s="59">
        <f>IF($B129="","",(N(Krankheitstage!J129)+N(Krankheitstage!W129))*N(Krankheitstage!C129))</f>
        <v/>
      </c>
      <c r="J129" s="59">
        <f>IF($B129="","",(N(Krankheitstage!K129)+N(Krankheitstage!X129))*N(Krankheitstage!C129))</f>
        <v/>
      </c>
      <c r="K129" s="59">
        <f>IF($B129="","",(N(Krankheitstage!L129)+N(Krankheitstage!Y129))*N(Krankheitstage!C129))</f>
        <v/>
      </c>
      <c r="L129" s="59">
        <f>IF($B129="","",(N(Krankheitstage!M129)+N(Krankheitstage!Z129))*N(Krankheitstage!C129))</f>
        <v/>
      </c>
      <c r="M129" s="59">
        <f>IF($B129="","",(N(Krankheitstage!N129)+N(Krankheitstage!AA129))*N(Krankheitstage!C129))</f>
        <v/>
      </c>
      <c r="N129" s="59">
        <f>IF($B129="","",(N(Krankheitstage!O129)+N(Krankheitstage!AB129))*N(Krankheitstage!C129))</f>
        <v/>
      </c>
      <c r="O129" s="66">
        <f>IF($B129="","",SUM(C129:N129))</f>
        <v/>
      </c>
      <c r="P129" s="58">
        <f>'KQuote Mitarbeiter'!E129</f>
        <v/>
      </c>
      <c r="Q129" s="67">
        <f>'KQuote Mitarbeiter'!L129</f>
        <v/>
      </c>
      <c r="R129" s="58">
        <f>'KQuote Mitarbeiter'!D129</f>
        <v/>
      </c>
      <c r="S129" s="67">
        <f>'KQuote Mitarbeiter'!K129</f>
        <v/>
      </c>
    </row>
    <row r="130">
      <c r="A130" s="49">
        <f>'KQuote Mitarbeiter'!A130</f>
        <v/>
      </c>
      <c r="B130" s="50">
        <f>'KQuote Mitarbeiter'!B130</f>
        <v/>
      </c>
      <c r="C130" s="59">
        <f>IF($B130="","",(N(Krankheitstage!D130)+N(Krankheitstage!Q130))*N(Krankheitstage!C130))</f>
        <v/>
      </c>
      <c r="D130" s="59">
        <f>IF($B130="","",(N(Krankheitstage!E130)+N(Krankheitstage!R130))*N(Krankheitstage!C130))</f>
        <v/>
      </c>
      <c r="E130" s="59">
        <f>IF($B130="","",(N(Krankheitstage!F130)+N(Krankheitstage!S130))*N(Krankheitstage!C130))</f>
        <v/>
      </c>
      <c r="F130" s="59">
        <f>IF($B130="","",(N(Krankheitstage!G130)+N(Krankheitstage!T130))*N(Krankheitstage!C130))</f>
        <v/>
      </c>
      <c r="G130" s="59">
        <f>IF($B130="","",(N(Krankheitstage!H130)+N(Krankheitstage!U130))*N(Krankheitstage!C130))</f>
        <v/>
      </c>
      <c r="H130" s="59">
        <f>IF($B130="","",(N(Krankheitstage!I130)+N(Krankheitstage!V130))*N(Krankheitstage!C130))</f>
        <v/>
      </c>
      <c r="I130" s="59">
        <f>IF($B130="","",(N(Krankheitstage!J130)+N(Krankheitstage!W130))*N(Krankheitstage!C130))</f>
        <v/>
      </c>
      <c r="J130" s="59">
        <f>IF($B130="","",(N(Krankheitstage!K130)+N(Krankheitstage!X130))*N(Krankheitstage!C130))</f>
        <v/>
      </c>
      <c r="K130" s="59">
        <f>IF($B130="","",(N(Krankheitstage!L130)+N(Krankheitstage!Y130))*N(Krankheitstage!C130))</f>
        <v/>
      </c>
      <c r="L130" s="59">
        <f>IF($B130="","",(N(Krankheitstage!M130)+N(Krankheitstage!Z130))*N(Krankheitstage!C130))</f>
        <v/>
      </c>
      <c r="M130" s="59">
        <f>IF($B130="","",(N(Krankheitstage!N130)+N(Krankheitstage!AA130))*N(Krankheitstage!C130))</f>
        <v/>
      </c>
      <c r="N130" s="59">
        <f>IF($B130="","",(N(Krankheitstage!O130)+N(Krankheitstage!AB130))*N(Krankheitstage!C130))</f>
        <v/>
      </c>
      <c r="O130" s="66">
        <f>IF($B130="","",SUM(C130:N130))</f>
        <v/>
      </c>
      <c r="P130" s="58">
        <f>'KQuote Mitarbeiter'!E130</f>
        <v/>
      </c>
      <c r="Q130" s="67">
        <f>'KQuote Mitarbeiter'!L130</f>
        <v/>
      </c>
      <c r="R130" s="58">
        <f>'KQuote Mitarbeiter'!D130</f>
        <v/>
      </c>
      <c r="S130" s="67">
        <f>'KQuote Mitarbeiter'!K130</f>
        <v/>
      </c>
    </row>
    <row r="131">
      <c r="A131" s="49">
        <f>'KQuote Mitarbeiter'!A131</f>
        <v/>
      </c>
      <c r="B131" s="50">
        <f>'KQuote Mitarbeiter'!B131</f>
        <v/>
      </c>
      <c r="C131" s="59">
        <f>IF($B131="","",(N(Krankheitstage!D131)+N(Krankheitstage!Q131))*N(Krankheitstage!C131))</f>
        <v/>
      </c>
      <c r="D131" s="59">
        <f>IF($B131="","",(N(Krankheitstage!E131)+N(Krankheitstage!R131))*N(Krankheitstage!C131))</f>
        <v/>
      </c>
      <c r="E131" s="59">
        <f>IF($B131="","",(N(Krankheitstage!F131)+N(Krankheitstage!S131))*N(Krankheitstage!C131))</f>
        <v/>
      </c>
      <c r="F131" s="59">
        <f>IF($B131="","",(N(Krankheitstage!G131)+N(Krankheitstage!T131))*N(Krankheitstage!C131))</f>
        <v/>
      </c>
      <c r="G131" s="59">
        <f>IF($B131="","",(N(Krankheitstage!H131)+N(Krankheitstage!U131))*N(Krankheitstage!C131))</f>
        <v/>
      </c>
      <c r="H131" s="59">
        <f>IF($B131="","",(N(Krankheitstage!I131)+N(Krankheitstage!V131))*N(Krankheitstage!C131))</f>
        <v/>
      </c>
      <c r="I131" s="59">
        <f>IF($B131="","",(N(Krankheitstage!J131)+N(Krankheitstage!W131))*N(Krankheitstage!C131))</f>
        <v/>
      </c>
      <c r="J131" s="59">
        <f>IF($B131="","",(N(Krankheitstage!K131)+N(Krankheitstage!X131))*N(Krankheitstage!C131))</f>
        <v/>
      </c>
      <c r="K131" s="59">
        <f>IF($B131="","",(N(Krankheitstage!L131)+N(Krankheitstage!Y131))*N(Krankheitstage!C131))</f>
        <v/>
      </c>
      <c r="L131" s="59">
        <f>IF($B131="","",(N(Krankheitstage!M131)+N(Krankheitstage!Z131))*N(Krankheitstage!C131))</f>
        <v/>
      </c>
      <c r="M131" s="59">
        <f>IF($B131="","",(N(Krankheitstage!N131)+N(Krankheitstage!AA131))*N(Krankheitstage!C131))</f>
        <v/>
      </c>
      <c r="N131" s="59">
        <f>IF($B131="","",(N(Krankheitstage!O131)+N(Krankheitstage!AB131))*N(Krankheitstage!C131))</f>
        <v/>
      </c>
      <c r="O131" s="66">
        <f>IF($B131="","",SUM(C131:N131))</f>
        <v/>
      </c>
      <c r="P131" s="58">
        <f>'KQuote Mitarbeiter'!E131</f>
        <v/>
      </c>
      <c r="Q131" s="67">
        <f>'KQuote Mitarbeiter'!L131</f>
        <v/>
      </c>
      <c r="R131" s="58">
        <f>'KQuote Mitarbeiter'!D131</f>
        <v/>
      </c>
      <c r="S131" s="67">
        <f>'KQuote Mitarbeiter'!K131</f>
        <v/>
      </c>
    </row>
    <row r="132">
      <c r="A132" s="49">
        <f>'KQuote Mitarbeiter'!A132</f>
        <v/>
      </c>
      <c r="B132" s="50">
        <f>'KQuote Mitarbeiter'!B132</f>
        <v/>
      </c>
      <c r="C132" s="59">
        <f>IF($B132="","",(N(Krankheitstage!D132)+N(Krankheitstage!Q132))*N(Krankheitstage!C132))</f>
        <v/>
      </c>
      <c r="D132" s="59">
        <f>IF($B132="","",(N(Krankheitstage!E132)+N(Krankheitstage!R132))*N(Krankheitstage!C132))</f>
        <v/>
      </c>
      <c r="E132" s="59">
        <f>IF($B132="","",(N(Krankheitstage!F132)+N(Krankheitstage!S132))*N(Krankheitstage!C132))</f>
        <v/>
      </c>
      <c r="F132" s="59">
        <f>IF($B132="","",(N(Krankheitstage!G132)+N(Krankheitstage!T132))*N(Krankheitstage!C132))</f>
        <v/>
      </c>
      <c r="G132" s="59">
        <f>IF($B132="","",(N(Krankheitstage!H132)+N(Krankheitstage!U132))*N(Krankheitstage!C132))</f>
        <v/>
      </c>
      <c r="H132" s="59">
        <f>IF($B132="","",(N(Krankheitstage!I132)+N(Krankheitstage!V132))*N(Krankheitstage!C132))</f>
        <v/>
      </c>
      <c r="I132" s="59">
        <f>IF($B132="","",(N(Krankheitstage!J132)+N(Krankheitstage!W132))*N(Krankheitstage!C132))</f>
        <v/>
      </c>
      <c r="J132" s="59">
        <f>IF($B132="","",(N(Krankheitstage!K132)+N(Krankheitstage!X132))*N(Krankheitstage!C132))</f>
        <v/>
      </c>
      <c r="K132" s="59">
        <f>IF($B132="","",(N(Krankheitstage!L132)+N(Krankheitstage!Y132))*N(Krankheitstage!C132))</f>
        <v/>
      </c>
      <c r="L132" s="59">
        <f>IF($B132="","",(N(Krankheitstage!M132)+N(Krankheitstage!Z132))*N(Krankheitstage!C132))</f>
        <v/>
      </c>
      <c r="M132" s="59">
        <f>IF($B132="","",(N(Krankheitstage!N132)+N(Krankheitstage!AA132))*N(Krankheitstage!C132))</f>
        <v/>
      </c>
      <c r="N132" s="59">
        <f>IF($B132="","",(N(Krankheitstage!O132)+N(Krankheitstage!AB132))*N(Krankheitstage!C132))</f>
        <v/>
      </c>
      <c r="O132" s="66">
        <f>IF($B132="","",SUM(C132:N132))</f>
        <v/>
      </c>
      <c r="P132" s="58">
        <f>'KQuote Mitarbeiter'!E132</f>
        <v/>
      </c>
      <c r="Q132" s="67">
        <f>'KQuote Mitarbeiter'!L132</f>
        <v/>
      </c>
      <c r="R132" s="58">
        <f>'KQuote Mitarbeiter'!D132</f>
        <v/>
      </c>
      <c r="S132" s="67">
        <f>'KQuote Mitarbeiter'!K132</f>
        <v/>
      </c>
    </row>
    <row r="133">
      <c r="A133" s="49">
        <f>'KQuote Mitarbeiter'!A133</f>
        <v/>
      </c>
      <c r="B133" s="50">
        <f>'KQuote Mitarbeiter'!B133</f>
        <v/>
      </c>
      <c r="C133" s="59">
        <f>IF($B133="","",(N(Krankheitstage!D133)+N(Krankheitstage!Q133))*N(Krankheitstage!C133))</f>
        <v/>
      </c>
      <c r="D133" s="59">
        <f>IF($B133="","",(N(Krankheitstage!E133)+N(Krankheitstage!R133))*N(Krankheitstage!C133))</f>
        <v/>
      </c>
      <c r="E133" s="59">
        <f>IF($B133="","",(N(Krankheitstage!F133)+N(Krankheitstage!S133))*N(Krankheitstage!C133))</f>
        <v/>
      </c>
      <c r="F133" s="59">
        <f>IF($B133="","",(N(Krankheitstage!G133)+N(Krankheitstage!T133))*N(Krankheitstage!C133))</f>
        <v/>
      </c>
      <c r="G133" s="59">
        <f>IF($B133="","",(N(Krankheitstage!H133)+N(Krankheitstage!U133))*N(Krankheitstage!C133))</f>
        <v/>
      </c>
      <c r="H133" s="59">
        <f>IF($B133="","",(N(Krankheitstage!I133)+N(Krankheitstage!V133))*N(Krankheitstage!C133))</f>
        <v/>
      </c>
      <c r="I133" s="59">
        <f>IF($B133="","",(N(Krankheitstage!J133)+N(Krankheitstage!W133))*N(Krankheitstage!C133))</f>
        <v/>
      </c>
      <c r="J133" s="59">
        <f>IF($B133="","",(N(Krankheitstage!K133)+N(Krankheitstage!X133))*N(Krankheitstage!C133))</f>
        <v/>
      </c>
      <c r="K133" s="59">
        <f>IF($B133="","",(N(Krankheitstage!L133)+N(Krankheitstage!Y133))*N(Krankheitstage!C133))</f>
        <v/>
      </c>
      <c r="L133" s="59">
        <f>IF($B133="","",(N(Krankheitstage!M133)+N(Krankheitstage!Z133))*N(Krankheitstage!C133))</f>
        <v/>
      </c>
      <c r="M133" s="59">
        <f>IF($B133="","",(N(Krankheitstage!N133)+N(Krankheitstage!AA133))*N(Krankheitstage!C133))</f>
        <v/>
      </c>
      <c r="N133" s="59">
        <f>IF($B133="","",(N(Krankheitstage!O133)+N(Krankheitstage!AB133))*N(Krankheitstage!C133))</f>
        <v/>
      </c>
      <c r="O133" s="66">
        <f>IF($B133="","",SUM(C133:N133))</f>
        <v/>
      </c>
      <c r="P133" s="58">
        <f>'KQuote Mitarbeiter'!E133</f>
        <v/>
      </c>
      <c r="Q133" s="67">
        <f>'KQuote Mitarbeiter'!L133</f>
        <v/>
      </c>
      <c r="R133" s="58">
        <f>'KQuote Mitarbeiter'!D133</f>
        <v/>
      </c>
      <c r="S133" s="67">
        <f>'KQuote Mitarbeiter'!K133</f>
        <v/>
      </c>
    </row>
    <row r="134">
      <c r="A134" s="49">
        <f>'KQuote Mitarbeiter'!A134</f>
        <v/>
      </c>
      <c r="B134" s="50">
        <f>'KQuote Mitarbeiter'!B134</f>
        <v/>
      </c>
      <c r="C134" s="59">
        <f>IF($B134="","",(N(Krankheitstage!D134)+N(Krankheitstage!Q134))*N(Krankheitstage!C134))</f>
        <v/>
      </c>
      <c r="D134" s="59">
        <f>IF($B134="","",(N(Krankheitstage!E134)+N(Krankheitstage!R134))*N(Krankheitstage!C134))</f>
        <v/>
      </c>
      <c r="E134" s="59">
        <f>IF($B134="","",(N(Krankheitstage!F134)+N(Krankheitstage!S134))*N(Krankheitstage!C134))</f>
        <v/>
      </c>
      <c r="F134" s="59">
        <f>IF($B134="","",(N(Krankheitstage!G134)+N(Krankheitstage!T134))*N(Krankheitstage!C134))</f>
        <v/>
      </c>
      <c r="G134" s="59">
        <f>IF($B134="","",(N(Krankheitstage!H134)+N(Krankheitstage!U134))*N(Krankheitstage!C134))</f>
        <v/>
      </c>
      <c r="H134" s="59">
        <f>IF($B134="","",(N(Krankheitstage!I134)+N(Krankheitstage!V134))*N(Krankheitstage!C134))</f>
        <v/>
      </c>
      <c r="I134" s="59">
        <f>IF($B134="","",(N(Krankheitstage!J134)+N(Krankheitstage!W134))*N(Krankheitstage!C134))</f>
        <v/>
      </c>
      <c r="J134" s="59">
        <f>IF($B134="","",(N(Krankheitstage!K134)+N(Krankheitstage!X134))*N(Krankheitstage!C134))</f>
        <v/>
      </c>
      <c r="K134" s="59">
        <f>IF($B134="","",(N(Krankheitstage!L134)+N(Krankheitstage!Y134))*N(Krankheitstage!C134))</f>
        <v/>
      </c>
      <c r="L134" s="59">
        <f>IF($B134="","",(N(Krankheitstage!M134)+N(Krankheitstage!Z134))*N(Krankheitstage!C134))</f>
        <v/>
      </c>
      <c r="M134" s="59">
        <f>IF($B134="","",(N(Krankheitstage!N134)+N(Krankheitstage!AA134))*N(Krankheitstage!C134))</f>
        <v/>
      </c>
      <c r="N134" s="59">
        <f>IF($B134="","",(N(Krankheitstage!O134)+N(Krankheitstage!AB134))*N(Krankheitstage!C134))</f>
        <v/>
      </c>
      <c r="O134" s="66">
        <f>IF($B134="","",SUM(C134:N134))</f>
        <v/>
      </c>
      <c r="P134" s="58">
        <f>'KQuote Mitarbeiter'!E134</f>
        <v/>
      </c>
      <c r="Q134" s="67">
        <f>'KQuote Mitarbeiter'!L134</f>
        <v/>
      </c>
      <c r="R134" s="58">
        <f>'KQuote Mitarbeiter'!D134</f>
        <v/>
      </c>
      <c r="S134" s="67">
        <f>'KQuote Mitarbeiter'!K134</f>
        <v/>
      </c>
    </row>
    <row r="135">
      <c r="A135" s="49">
        <f>'KQuote Mitarbeiter'!A135</f>
        <v/>
      </c>
      <c r="B135" s="50">
        <f>'KQuote Mitarbeiter'!B135</f>
        <v/>
      </c>
      <c r="C135" s="59">
        <f>IF($B135="","",(N(Krankheitstage!D135)+N(Krankheitstage!Q135))*N(Krankheitstage!C135))</f>
        <v/>
      </c>
      <c r="D135" s="59">
        <f>IF($B135="","",(N(Krankheitstage!E135)+N(Krankheitstage!R135))*N(Krankheitstage!C135))</f>
        <v/>
      </c>
      <c r="E135" s="59">
        <f>IF($B135="","",(N(Krankheitstage!F135)+N(Krankheitstage!S135))*N(Krankheitstage!C135))</f>
        <v/>
      </c>
      <c r="F135" s="59">
        <f>IF($B135="","",(N(Krankheitstage!G135)+N(Krankheitstage!T135))*N(Krankheitstage!C135))</f>
        <v/>
      </c>
      <c r="G135" s="59">
        <f>IF($B135="","",(N(Krankheitstage!H135)+N(Krankheitstage!U135))*N(Krankheitstage!C135))</f>
        <v/>
      </c>
      <c r="H135" s="59">
        <f>IF($B135="","",(N(Krankheitstage!I135)+N(Krankheitstage!V135))*N(Krankheitstage!C135))</f>
        <v/>
      </c>
      <c r="I135" s="59">
        <f>IF($B135="","",(N(Krankheitstage!J135)+N(Krankheitstage!W135))*N(Krankheitstage!C135))</f>
        <v/>
      </c>
      <c r="J135" s="59">
        <f>IF($B135="","",(N(Krankheitstage!K135)+N(Krankheitstage!X135))*N(Krankheitstage!C135))</f>
        <v/>
      </c>
      <c r="K135" s="59">
        <f>IF($B135="","",(N(Krankheitstage!L135)+N(Krankheitstage!Y135))*N(Krankheitstage!C135))</f>
        <v/>
      </c>
      <c r="L135" s="59">
        <f>IF($B135="","",(N(Krankheitstage!M135)+N(Krankheitstage!Z135))*N(Krankheitstage!C135))</f>
        <v/>
      </c>
      <c r="M135" s="59">
        <f>IF($B135="","",(N(Krankheitstage!N135)+N(Krankheitstage!AA135))*N(Krankheitstage!C135))</f>
        <v/>
      </c>
      <c r="N135" s="59">
        <f>IF($B135="","",(N(Krankheitstage!O135)+N(Krankheitstage!AB135))*N(Krankheitstage!C135))</f>
        <v/>
      </c>
      <c r="O135" s="66">
        <f>IF($B135="","",SUM(C135:N135))</f>
        <v/>
      </c>
      <c r="P135" s="58">
        <f>'KQuote Mitarbeiter'!E135</f>
        <v/>
      </c>
      <c r="Q135" s="67">
        <f>'KQuote Mitarbeiter'!L135</f>
        <v/>
      </c>
      <c r="R135" s="58">
        <f>'KQuote Mitarbeiter'!D135</f>
        <v/>
      </c>
      <c r="S135" s="67">
        <f>'KQuote Mitarbeiter'!K135</f>
        <v/>
      </c>
    </row>
    <row r="136">
      <c r="A136" s="49">
        <f>'KQuote Mitarbeiter'!A136</f>
        <v/>
      </c>
      <c r="B136" s="50">
        <f>'KQuote Mitarbeiter'!B136</f>
        <v/>
      </c>
      <c r="C136" s="59">
        <f>IF($B136="","",(N(Krankheitstage!D136)+N(Krankheitstage!Q136))*N(Krankheitstage!C136))</f>
        <v/>
      </c>
      <c r="D136" s="59">
        <f>IF($B136="","",(N(Krankheitstage!E136)+N(Krankheitstage!R136))*N(Krankheitstage!C136))</f>
        <v/>
      </c>
      <c r="E136" s="59">
        <f>IF($B136="","",(N(Krankheitstage!F136)+N(Krankheitstage!S136))*N(Krankheitstage!C136))</f>
        <v/>
      </c>
      <c r="F136" s="59">
        <f>IF($B136="","",(N(Krankheitstage!G136)+N(Krankheitstage!T136))*N(Krankheitstage!C136))</f>
        <v/>
      </c>
      <c r="G136" s="59">
        <f>IF($B136="","",(N(Krankheitstage!H136)+N(Krankheitstage!U136))*N(Krankheitstage!C136))</f>
        <v/>
      </c>
      <c r="H136" s="59">
        <f>IF($B136="","",(N(Krankheitstage!I136)+N(Krankheitstage!V136))*N(Krankheitstage!C136))</f>
        <v/>
      </c>
      <c r="I136" s="59">
        <f>IF($B136="","",(N(Krankheitstage!J136)+N(Krankheitstage!W136))*N(Krankheitstage!C136))</f>
        <v/>
      </c>
      <c r="J136" s="59">
        <f>IF($B136="","",(N(Krankheitstage!K136)+N(Krankheitstage!X136))*N(Krankheitstage!C136))</f>
        <v/>
      </c>
      <c r="K136" s="59">
        <f>IF($B136="","",(N(Krankheitstage!L136)+N(Krankheitstage!Y136))*N(Krankheitstage!C136))</f>
        <v/>
      </c>
      <c r="L136" s="59">
        <f>IF($B136="","",(N(Krankheitstage!M136)+N(Krankheitstage!Z136))*N(Krankheitstage!C136))</f>
        <v/>
      </c>
      <c r="M136" s="59">
        <f>IF($B136="","",(N(Krankheitstage!N136)+N(Krankheitstage!AA136))*N(Krankheitstage!C136))</f>
        <v/>
      </c>
      <c r="N136" s="59">
        <f>IF($B136="","",(N(Krankheitstage!O136)+N(Krankheitstage!AB136))*N(Krankheitstage!C136))</f>
        <v/>
      </c>
      <c r="O136" s="66">
        <f>IF($B136="","",SUM(C136:N136))</f>
        <v/>
      </c>
      <c r="P136" s="58">
        <f>'KQuote Mitarbeiter'!E136</f>
        <v/>
      </c>
      <c r="Q136" s="67">
        <f>'KQuote Mitarbeiter'!L136</f>
        <v/>
      </c>
      <c r="R136" s="58">
        <f>'KQuote Mitarbeiter'!D136</f>
        <v/>
      </c>
      <c r="S136" s="67">
        <f>'KQuote Mitarbeiter'!K136</f>
        <v/>
      </c>
    </row>
    <row r="137">
      <c r="A137" s="49">
        <f>'KQuote Mitarbeiter'!A137</f>
        <v/>
      </c>
      <c r="B137" s="50">
        <f>'KQuote Mitarbeiter'!B137</f>
        <v/>
      </c>
      <c r="C137" s="59">
        <f>IF($B137="","",(N(Krankheitstage!D137)+N(Krankheitstage!Q137))*N(Krankheitstage!C137))</f>
        <v/>
      </c>
      <c r="D137" s="59">
        <f>IF($B137="","",(N(Krankheitstage!E137)+N(Krankheitstage!R137))*N(Krankheitstage!C137))</f>
        <v/>
      </c>
      <c r="E137" s="59">
        <f>IF($B137="","",(N(Krankheitstage!F137)+N(Krankheitstage!S137))*N(Krankheitstage!C137))</f>
        <v/>
      </c>
      <c r="F137" s="59">
        <f>IF($B137="","",(N(Krankheitstage!G137)+N(Krankheitstage!T137))*N(Krankheitstage!C137))</f>
        <v/>
      </c>
      <c r="G137" s="59">
        <f>IF($B137="","",(N(Krankheitstage!H137)+N(Krankheitstage!U137))*N(Krankheitstage!C137))</f>
        <v/>
      </c>
      <c r="H137" s="59">
        <f>IF($B137="","",(N(Krankheitstage!I137)+N(Krankheitstage!V137))*N(Krankheitstage!C137))</f>
        <v/>
      </c>
      <c r="I137" s="59">
        <f>IF($B137="","",(N(Krankheitstage!J137)+N(Krankheitstage!W137))*N(Krankheitstage!C137))</f>
        <v/>
      </c>
      <c r="J137" s="59">
        <f>IF($B137="","",(N(Krankheitstage!K137)+N(Krankheitstage!X137))*N(Krankheitstage!C137))</f>
        <v/>
      </c>
      <c r="K137" s="59">
        <f>IF($B137="","",(N(Krankheitstage!L137)+N(Krankheitstage!Y137))*N(Krankheitstage!C137))</f>
        <v/>
      </c>
      <c r="L137" s="59">
        <f>IF($B137="","",(N(Krankheitstage!M137)+N(Krankheitstage!Z137))*N(Krankheitstage!C137))</f>
        <v/>
      </c>
      <c r="M137" s="59">
        <f>IF($B137="","",(N(Krankheitstage!N137)+N(Krankheitstage!AA137))*N(Krankheitstage!C137))</f>
        <v/>
      </c>
      <c r="N137" s="59">
        <f>IF($B137="","",(N(Krankheitstage!O137)+N(Krankheitstage!AB137))*N(Krankheitstage!C137))</f>
        <v/>
      </c>
      <c r="O137" s="66">
        <f>IF($B137="","",SUM(C137:N137))</f>
        <v/>
      </c>
      <c r="P137" s="58">
        <f>'KQuote Mitarbeiter'!E137</f>
        <v/>
      </c>
      <c r="Q137" s="67">
        <f>'KQuote Mitarbeiter'!L137</f>
        <v/>
      </c>
      <c r="R137" s="58">
        <f>'KQuote Mitarbeiter'!D137</f>
        <v/>
      </c>
      <c r="S137" s="67">
        <f>'KQuote Mitarbeiter'!K137</f>
        <v/>
      </c>
    </row>
    <row r="138">
      <c r="A138" s="49">
        <f>'KQuote Mitarbeiter'!A138</f>
        <v/>
      </c>
      <c r="B138" s="50">
        <f>'KQuote Mitarbeiter'!B138</f>
        <v/>
      </c>
      <c r="C138" s="59">
        <f>IF($B138="","",(N(Krankheitstage!D138)+N(Krankheitstage!Q138))*N(Krankheitstage!C138))</f>
        <v/>
      </c>
      <c r="D138" s="59">
        <f>IF($B138="","",(N(Krankheitstage!E138)+N(Krankheitstage!R138))*N(Krankheitstage!C138))</f>
        <v/>
      </c>
      <c r="E138" s="59">
        <f>IF($B138="","",(N(Krankheitstage!F138)+N(Krankheitstage!S138))*N(Krankheitstage!C138))</f>
        <v/>
      </c>
      <c r="F138" s="59">
        <f>IF($B138="","",(N(Krankheitstage!G138)+N(Krankheitstage!T138))*N(Krankheitstage!C138))</f>
        <v/>
      </c>
      <c r="G138" s="59">
        <f>IF($B138="","",(N(Krankheitstage!H138)+N(Krankheitstage!U138))*N(Krankheitstage!C138))</f>
        <v/>
      </c>
      <c r="H138" s="59">
        <f>IF($B138="","",(N(Krankheitstage!I138)+N(Krankheitstage!V138))*N(Krankheitstage!C138))</f>
        <v/>
      </c>
      <c r="I138" s="59">
        <f>IF($B138="","",(N(Krankheitstage!J138)+N(Krankheitstage!W138))*N(Krankheitstage!C138))</f>
        <v/>
      </c>
      <c r="J138" s="59">
        <f>IF($B138="","",(N(Krankheitstage!K138)+N(Krankheitstage!X138))*N(Krankheitstage!C138))</f>
        <v/>
      </c>
      <c r="K138" s="59">
        <f>IF($B138="","",(N(Krankheitstage!L138)+N(Krankheitstage!Y138))*N(Krankheitstage!C138))</f>
        <v/>
      </c>
      <c r="L138" s="59">
        <f>IF($B138="","",(N(Krankheitstage!M138)+N(Krankheitstage!Z138))*N(Krankheitstage!C138))</f>
        <v/>
      </c>
      <c r="M138" s="59">
        <f>IF($B138="","",(N(Krankheitstage!N138)+N(Krankheitstage!AA138))*N(Krankheitstage!C138))</f>
        <v/>
      </c>
      <c r="N138" s="59">
        <f>IF($B138="","",(N(Krankheitstage!O138)+N(Krankheitstage!AB138))*N(Krankheitstage!C138))</f>
        <v/>
      </c>
      <c r="O138" s="66">
        <f>IF($B138="","",SUM(C138:N138))</f>
        <v/>
      </c>
      <c r="P138" s="58">
        <f>'KQuote Mitarbeiter'!E138</f>
        <v/>
      </c>
      <c r="Q138" s="67">
        <f>'KQuote Mitarbeiter'!L138</f>
        <v/>
      </c>
      <c r="R138" s="58">
        <f>'KQuote Mitarbeiter'!D138</f>
        <v/>
      </c>
      <c r="S138" s="67">
        <f>'KQuote Mitarbeiter'!K138</f>
        <v/>
      </c>
    </row>
    <row r="139">
      <c r="A139" s="49">
        <f>'KQuote Mitarbeiter'!A139</f>
        <v/>
      </c>
      <c r="B139" s="50">
        <f>'KQuote Mitarbeiter'!B139</f>
        <v/>
      </c>
      <c r="C139" s="59">
        <f>IF($B139="","",(N(Krankheitstage!D139)+N(Krankheitstage!Q139))*N(Krankheitstage!C139))</f>
        <v/>
      </c>
      <c r="D139" s="59">
        <f>IF($B139="","",(N(Krankheitstage!E139)+N(Krankheitstage!R139))*N(Krankheitstage!C139))</f>
        <v/>
      </c>
      <c r="E139" s="59">
        <f>IF($B139="","",(N(Krankheitstage!F139)+N(Krankheitstage!S139))*N(Krankheitstage!C139))</f>
        <v/>
      </c>
      <c r="F139" s="59">
        <f>IF($B139="","",(N(Krankheitstage!G139)+N(Krankheitstage!T139))*N(Krankheitstage!C139))</f>
        <v/>
      </c>
      <c r="G139" s="59">
        <f>IF($B139="","",(N(Krankheitstage!H139)+N(Krankheitstage!U139))*N(Krankheitstage!C139))</f>
        <v/>
      </c>
      <c r="H139" s="59">
        <f>IF($B139="","",(N(Krankheitstage!I139)+N(Krankheitstage!V139))*N(Krankheitstage!C139))</f>
        <v/>
      </c>
      <c r="I139" s="59">
        <f>IF($B139="","",(N(Krankheitstage!J139)+N(Krankheitstage!W139))*N(Krankheitstage!C139))</f>
        <v/>
      </c>
      <c r="J139" s="59">
        <f>IF($B139="","",(N(Krankheitstage!K139)+N(Krankheitstage!X139))*N(Krankheitstage!C139))</f>
        <v/>
      </c>
      <c r="K139" s="59">
        <f>IF($B139="","",(N(Krankheitstage!L139)+N(Krankheitstage!Y139))*N(Krankheitstage!C139))</f>
        <v/>
      </c>
      <c r="L139" s="59">
        <f>IF($B139="","",(N(Krankheitstage!M139)+N(Krankheitstage!Z139))*N(Krankheitstage!C139))</f>
        <v/>
      </c>
      <c r="M139" s="59">
        <f>IF($B139="","",(N(Krankheitstage!N139)+N(Krankheitstage!AA139))*N(Krankheitstage!C139))</f>
        <v/>
      </c>
      <c r="N139" s="59">
        <f>IF($B139="","",(N(Krankheitstage!O139)+N(Krankheitstage!AB139))*N(Krankheitstage!C139))</f>
        <v/>
      </c>
      <c r="O139" s="66">
        <f>IF($B139="","",SUM(C139:N139))</f>
        <v/>
      </c>
      <c r="P139" s="58">
        <f>'KQuote Mitarbeiter'!E139</f>
        <v/>
      </c>
      <c r="Q139" s="67">
        <f>'KQuote Mitarbeiter'!L139</f>
        <v/>
      </c>
      <c r="R139" s="58">
        <f>'KQuote Mitarbeiter'!D139</f>
        <v/>
      </c>
      <c r="S139" s="67">
        <f>'KQuote Mitarbeiter'!K139</f>
        <v/>
      </c>
    </row>
    <row r="140">
      <c r="A140" s="49">
        <f>'KQuote Mitarbeiter'!A140</f>
        <v/>
      </c>
      <c r="B140" s="50">
        <f>'KQuote Mitarbeiter'!B140</f>
        <v/>
      </c>
      <c r="C140" s="59">
        <f>IF($B140="","",(N(Krankheitstage!D140)+N(Krankheitstage!Q140))*N(Krankheitstage!C140))</f>
        <v/>
      </c>
      <c r="D140" s="59">
        <f>IF($B140="","",(N(Krankheitstage!E140)+N(Krankheitstage!R140))*N(Krankheitstage!C140))</f>
        <v/>
      </c>
      <c r="E140" s="59">
        <f>IF($B140="","",(N(Krankheitstage!F140)+N(Krankheitstage!S140))*N(Krankheitstage!C140))</f>
        <v/>
      </c>
      <c r="F140" s="59">
        <f>IF($B140="","",(N(Krankheitstage!G140)+N(Krankheitstage!T140))*N(Krankheitstage!C140))</f>
        <v/>
      </c>
      <c r="G140" s="59">
        <f>IF($B140="","",(N(Krankheitstage!H140)+N(Krankheitstage!U140))*N(Krankheitstage!C140))</f>
        <v/>
      </c>
      <c r="H140" s="59">
        <f>IF($B140="","",(N(Krankheitstage!I140)+N(Krankheitstage!V140))*N(Krankheitstage!C140))</f>
        <v/>
      </c>
      <c r="I140" s="59">
        <f>IF($B140="","",(N(Krankheitstage!J140)+N(Krankheitstage!W140))*N(Krankheitstage!C140))</f>
        <v/>
      </c>
      <c r="J140" s="59">
        <f>IF($B140="","",(N(Krankheitstage!K140)+N(Krankheitstage!X140))*N(Krankheitstage!C140))</f>
        <v/>
      </c>
      <c r="K140" s="59">
        <f>IF($B140="","",(N(Krankheitstage!L140)+N(Krankheitstage!Y140))*N(Krankheitstage!C140))</f>
        <v/>
      </c>
      <c r="L140" s="59">
        <f>IF($B140="","",(N(Krankheitstage!M140)+N(Krankheitstage!Z140))*N(Krankheitstage!C140))</f>
        <v/>
      </c>
      <c r="M140" s="59">
        <f>IF($B140="","",(N(Krankheitstage!N140)+N(Krankheitstage!AA140))*N(Krankheitstage!C140))</f>
        <v/>
      </c>
      <c r="N140" s="59">
        <f>IF($B140="","",(N(Krankheitstage!O140)+N(Krankheitstage!AB140))*N(Krankheitstage!C140))</f>
        <v/>
      </c>
      <c r="O140" s="66">
        <f>IF($B140="","",SUM(C140:N140))</f>
        <v/>
      </c>
      <c r="P140" s="58">
        <f>'KQuote Mitarbeiter'!E140</f>
        <v/>
      </c>
      <c r="Q140" s="67">
        <f>'KQuote Mitarbeiter'!L140</f>
        <v/>
      </c>
      <c r="R140" s="58">
        <f>'KQuote Mitarbeiter'!D140</f>
        <v/>
      </c>
      <c r="S140" s="67">
        <f>'KQuote Mitarbeiter'!K140</f>
        <v/>
      </c>
    </row>
    <row r="141">
      <c r="A141" s="49">
        <f>'KQuote Mitarbeiter'!A141</f>
        <v/>
      </c>
      <c r="B141" s="50">
        <f>'KQuote Mitarbeiter'!B141</f>
        <v/>
      </c>
      <c r="C141" s="59">
        <f>IF($B141="","",(N(Krankheitstage!D141)+N(Krankheitstage!Q141))*N(Krankheitstage!C141))</f>
        <v/>
      </c>
      <c r="D141" s="59">
        <f>IF($B141="","",(N(Krankheitstage!E141)+N(Krankheitstage!R141))*N(Krankheitstage!C141))</f>
        <v/>
      </c>
      <c r="E141" s="59">
        <f>IF($B141="","",(N(Krankheitstage!F141)+N(Krankheitstage!S141))*N(Krankheitstage!C141))</f>
        <v/>
      </c>
      <c r="F141" s="59">
        <f>IF($B141="","",(N(Krankheitstage!G141)+N(Krankheitstage!T141))*N(Krankheitstage!C141))</f>
        <v/>
      </c>
      <c r="G141" s="59">
        <f>IF($B141="","",(N(Krankheitstage!H141)+N(Krankheitstage!U141))*N(Krankheitstage!C141))</f>
        <v/>
      </c>
      <c r="H141" s="59">
        <f>IF($B141="","",(N(Krankheitstage!I141)+N(Krankheitstage!V141))*N(Krankheitstage!C141))</f>
        <v/>
      </c>
      <c r="I141" s="59">
        <f>IF($B141="","",(N(Krankheitstage!J141)+N(Krankheitstage!W141))*N(Krankheitstage!C141))</f>
        <v/>
      </c>
      <c r="J141" s="59">
        <f>IF($B141="","",(N(Krankheitstage!K141)+N(Krankheitstage!X141))*N(Krankheitstage!C141))</f>
        <v/>
      </c>
      <c r="K141" s="59">
        <f>IF($B141="","",(N(Krankheitstage!L141)+N(Krankheitstage!Y141))*N(Krankheitstage!C141))</f>
        <v/>
      </c>
      <c r="L141" s="59">
        <f>IF($B141="","",(N(Krankheitstage!M141)+N(Krankheitstage!Z141))*N(Krankheitstage!C141))</f>
        <v/>
      </c>
      <c r="M141" s="59">
        <f>IF($B141="","",(N(Krankheitstage!N141)+N(Krankheitstage!AA141))*N(Krankheitstage!C141))</f>
        <v/>
      </c>
      <c r="N141" s="59">
        <f>IF($B141="","",(N(Krankheitstage!O141)+N(Krankheitstage!AB141))*N(Krankheitstage!C141))</f>
        <v/>
      </c>
      <c r="O141" s="66">
        <f>IF($B141="","",SUM(C141:N141))</f>
        <v/>
      </c>
      <c r="P141" s="58">
        <f>'KQuote Mitarbeiter'!E141</f>
        <v/>
      </c>
      <c r="Q141" s="67">
        <f>'KQuote Mitarbeiter'!L141</f>
        <v/>
      </c>
      <c r="R141" s="58">
        <f>'KQuote Mitarbeiter'!D141</f>
        <v/>
      </c>
      <c r="S141" s="67">
        <f>'KQuote Mitarbeiter'!K141</f>
        <v/>
      </c>
    </row>
    <row r="142">
      <c r="A142" s="49">
        <f>'KQuote Mitarbeiter'!A142</f>
        <v/>
      </c>
      <c r="B142" s="50">
        <f>'KQuote Mitarbeiter'!B142</f>
        <v/>
      </c>
      <c r="C142" s="59">
        <f>IF($B142="","",(N(Krankheitstage!D142)+N(Krankheitstage!Q142))*N(Krankheitstage!C142))</f>
        <v/>
      </c>
      <c r="D142" s="59">
        <f>IF($B142="","",(N(Krankheitstage!E142)+N(Krankheitstage!R142))*N(Krankheitstage!C142))</f>
        <v/>
      </c>
      <c r="E142" s="59">
        <f>IF($B142="","",(N(Krankheitstage!F142)+N(Krankheitstage!S142))*N(Krankheitstage!C142))</f>
        <v/>
      </c>
      <c r="F142" s="59">
        <f>IF($B142="","",(N(Krankheitstage!G142)+N(Krankheitstage!T142))*N(Krankheitstage!C142))</f>
        <v/>
      </c>
      <c r="G142" s="59">
        <f>IF($B142="","",(N(Krankheitstage!H142)+N(Krankheitstage!U142))*N(Krankheitstage!C142))</f>
        <v/>
      </c>
      <c r="H142" s="59">
        <f>IF($B142="","",(N(Krankheitstage!I142)+N(Krankheitstage!V142))*N(Krankheitstage!C142))</f>
        <v/>
      </c>
      <c r="I142" s="59">
        <f>IF($B142="","",(N(Krankheitstage!J142)+N(Krankheitstage!W142))*N(Krankheitstage!C142))</f>
        <v/>
      </c>
      <c r="J142" s="59">
        <f>IF($B142="","",(N(Krankheitstage!K142)+N(Krankheitstage!X142))*N(Krankheitstage!C142))</f>
        <v/>
      </c>
      <c r="K142" s="59">
        <f>IF($B142="","",(N(Krankheitstage!L142)+N(Krankheitstage!Y142))*N(Krankheitstage!C142))</f>
        <v/>
      </c>
      <c r="L142" s="59">
        <f>IF($B142="","",(N(Krankheitstage!M142)+N(Krankheitstage!Z142))*N(Krankheitstage!C142))</f>
        <v/>
      </c>
      <c r="M142" s="59">
        <f>IF($B142="","",(N(Krankheitstage!N142)+N(Krankheitstage!AA142))*N(Krankheitstage!C142))</f>
        <v/>
      </c>
      <c r="N142" s="59">
        <f>IF($B142="","",(N(Krankheitstage!O142)+N(Krankheitstage!AB142))*N(Krankheitstage!C142))</f>
        <v/>
      </c>
      <c r="O142" s="66">
        <f>IF($B142="","",SUM(C142:N142))</f>
        <v/>
      </c>
      <c r="P142" s="58">
        <f>'KQuote Mitarbeiter'!E142</f>
        <v/>
      </c>
      <c r="Q142" s="67">
        <f>'KQuote Mitarbeiter'!L142</f>
        <v/>
      </c>
      <c r="R142" s="58">
        <f>'KQuote Mitarbeiter'!D142</f>
        <v/>
      </c>
      <c r="S142" s="67">
        <f>'KQuote Mitarbeiter'!K142</f>
        <v/>
      </c>
    </row>
    <row r="143">
      <c r="A143" s="49">
        <f>'KQuote Mitarbeiter'!A143</f>
        <v/>
      </c>
      <c r="B143" s="50">
        <f>'KQuote Mitarbeiter'!B143</f>
        <v/>
      </c>
      <c r="C143" s="59">
        <f>IF($B143="","",(N(Krankheitstage!D143)+N(Krankheitstage!Q143))*N(Krankheitstage!C143))</f>
        <v/>
      </c>
      <c r="D143" s="59">
        <f>IF($B143="","",(N(Krankheitstage!E143)+N(Krankheitstage!R143))*N(Krankheitstage!C143))</f>
        <v/>
      </c>
      <c r="E143" s="59">
        <f>IF($B143="","",(N(Krankheitstage!F143)+N(Krankheitstage!S143))*N(Krankheitstage!C143))</f>
        <v/>
      </c>
      <c r="F143" s="59">
        <f>IF($B143="","",(N(Krankheitstage!G143)+N(Krankheitstage!T143))*N(Krankheitstage!C143))</f>
        <v/>
      </c>
      <c r="G143" s="59">
        <f>IF($B143="","",(N(Krankheitstage!H143)+N(Krankheitstage!U143))*N(Krankheitstage!C143))</f>
        <v/>
      </c>
      <c r="H143" s="59">
        <f>IF($B143="","",(N(Krankheitstage!I143)+N(Krankheitstage!V143))*N(Krankheitstage!C143))</f>
        <v/>
      </c>
      <c r="I143" s="59">
        <f>IF($B143="","",(N(Krankheitstage!J143)+N(Krankheitstage!W143))*N(Krankheitstage!C143))</f>
        <v/>
      </c>
      <c r="J143" s="59">
        <f>IF($B143="","",(N(Krankheitstage!K143)+N(Krankheitstage!X143))*N(Krankheitstage!C143))</f>
        <v/>
      </c>
      <c r="K143" s="59">
        <f>IF($B143="","",(N(Krankheitstage!L143)+N(Krankheitstage!Y143))*N(Krankheitstage!C143))</f>
        <v/>
      </c>
      <c r="L143" s="59">
        <f>IF($B143="","",(N(Krankheitstage!M143)+N(Krankheitstage!Z143))*N(Krankheitstage!C143))</f>
        <v/>
      </c>
      <c r="M143" s="59">
        <f>IF($B143="","",(N(Krankheitstage!N143)+N(Krankheitstage!AA143))*N(Krankheitstage!C143))</f>
        <v/>
      </c>
      <c r="N143" s="59">
        <f>IF($B143="","",(N(Krankheitstage!O143)+N(Krankheitstage!AB143))*N(Krankheitstage!C143))</f>
        <v/>
      </c>
      <c r="O143" s="66">
        <f>IF($B143="","",SUM(C143:N143))</f>
        <v/>
      </c>
      <c r="P143" s="58">
        <f>'KQuote Mitarbeiter'!E143</f>
        <v/>
      </c>
      <c r="Q143" s="67">
        <f>'KQuote Mitarbeiter'!L143</f>
        <v/>
      </c>
      <c r="R143" s="58">
        <f>'KQuote Mitarbeiter'!D143</f>
        <v/>
      </c>
      <c r="S143" s="67">
        <f>'KQuote Mitarbeiter'!K143</f>
        <v/>
      </c>
    </row>
    <row r="144">
      <c r="A144" s="49">
        <f>'KQuote Mitarbeiter'!A144</f>
        <v/>
      </c>
      <c r="B144" s="50">
        <f>'KQuote Mitarbeiter'!B144</f>
        <v/>
      </c>
      <c r="C144" s="59">
        <f>IF($B144="","",(N(Krankheitstage!D144)+N(Krankheitstage!Q144))*N(Krankheitstage!C144))</f>
        <v/>
      </c>
      <c r="D144" s="59">
        <f>IF($B144="","",(N(Krankheitstage!E144)+N(Krankheitstage!R144))*N(Krankheitstage!C144))</f>
        <v/>
      </c>
      <c r="E144" s="59">
        <f>IF($B144="","",(N(Krankheitstage!F144)+N(Krankheitstage!S144))*N(Krankheitstage!C144))</f>
        <v/>
      </c>
      <c r="F144" s="59">
        <f>IF($B144="","",(N(Krankheitstage!G144)+N(Krankheitstage!T144))*N(Krankheitstage!C144))</f>
        <v/>
      </c>
      <c r="G144" s="59">
        <f>IF($B144="","",(N(Krankheitstage!H144)+N(Krankheitstage!U144))*N(Krankheitstage!C144))</f>
        <v/>
      </c>
      <c r="H144" s="59">
        <f>IF($B144="","",(N(Krankheitstage!I144)+N(Krankheitstage!V144))*N(Krankheitstage!C144))</f>
        <v/>
      </c>
      <c r="I144" s="59">
        <f>IF($B144="","",(N(Krankheitstage!J144)+N(Krankheitstage!W144))*N(Krankheitstage!C144))</f>
        <v/>
      </c>
      <c r="J144" s="59">
        <f>IF($B144="","",(N(Krankheitstage!K144)+N(Krankheitstage!X144))*N(Krankheitstage!C144))</f>
        <v/>
      </c>
      <c r="K144" s="59">
        <f>IF($B144="","",(N(Krankheitstage!L144)+N(Krankheitstage!Y144))*N(Krankheitstage!C144))</f>
        <v/>
      </c>
      <c r="L144" s="59">
        <f>IF($B144="","",(N(Krankheitstage!M144)+N(Krankheitstage!Z144))*N(Krankheitstage!C144))</f>
        <v/>
      </c>
      <c r="M144" s="59">
        <f>IF($B144="","",(N(Krankheitstage!N144)+N(Krankheitstage!AA144))*N(Krankheitstage!C144))</f>
        <v/>
      </c>
      <c r="N144" s="59">
        <f>IF($B144="","",(N(Krankheitstage!O144)+N(Krankheitstage!AB144))*N(Krankheitstage!C144))</f>
        <v/>
      </c>
      <c r="O144" s="66">
        <f>IF($B144="","",SUM(C144:N144))</f>
        <v/>
      </c>
      <c r="P144" s="58">
        <f>'KQuote Mitarbeiter'!E144</f>
        <v/>
      </c>
      <c r="Q144" s="67">
        <f>'KQuote Mitarbeiter'!L144</f>
        <v/>
      </c>
      <c r="R144" s="58">
        <f>'KQuote Mitarbeiter'!D144</f>
        <v/>
      </c>
      <c r="S144" s="67">
        <f>'KQuote Mitarbeiter'!K144</f>
        <v/>
      </c>
    </row>
    <row r="145">
      <c r="A145" s="49">
        <f>'KQuote Mitarbeiter'!A145</f>
        <v/>
      </c>
      <c r="B145" s="50">
        <f>'KQuote Mitarbeiter'!B145</f>
        <v/>
      </c>
      <c r="C145" s="59">
        <f>IF($B145="","",(N(Krankheitstage!D145)+N(Krankheitstage!Q145))*N(Krankheitstage!C145))</f>
        <v/>
      </c>
      <c r="D145" s="59">
        <f>IF($B145="","",(N(Krankheitstage!E145)+N(Krankheitstage!R145))*N(Krankheitstage!C145))</f>
        <v/>
      </c>
      <c r="E145" s="59">
        <f>IF($B145="","",(N(Krankheitstage!F145)+N(Krankheitstage!S145))*N(Krankheitstage!C145))</f>
        <v/>
      </c>
      <c r="F145" s="59">
        <f>IF($B145="","",(N(Krankheitstage!G145)+N(Krankheitstage!T145))*N(Krankheitstage!C145))</f>
        <v/>
      </c>
      <c r="G145" s="59">
        <f>IF($B145="","",(N(Krankheitstage!H145)+N(Krankheitstage!U145))*N(Krankheitstage!C145))</f>
        <v/>
      </c>
      <c r="H145" s="59">
        <f>IF($B145="","",(N(Krankheitstage!I145)+N(Krankheitstage!V145))*N(Krankheitstage!C145))</f>
        <v/>
      </c>
      <c r="I145" s="59">
        <f>IF($B145="","",(N(Krankheitstage!J145)+N(Krankheitstage!W145))*N(Krankheitstage!C145))</f>
        <v/>
      </c>
      <c r="J145" s="59">
        <f>IF($B145="","",(N(Krankheitstage!K145)+N(Krankheitstage!X145))*N(Krankheitstage!C145))</f>
        <v/>
      </c>
      <c r="K145" s="59">
        <f>IF($B145="","",(N(Krankheitstage!L145)+N(Krankheitstage!Y145))*N(Krankheitstage!C145))</f>
        <v/>
      </c>
      <c r="L145" s="59">
        <f>IF($B145="","",(N(Krankheitstage!M145)+N(Krankheitstage!Z145))*N(Krankheitstage!C145))</f>
        <v/>
      </c>
      <c r="M145" s="59">
        <f>IF($B145="","",(N(Krankheitstage!N145)+N(Krankheitstage!AA145))*N(Krankheitstage!C145))</f>
        <v/>
      </c>
      <c r="N145" s="59">
        <f>IF($B145="","",(N(Krankheitstage!O145)+N(Krankheitstage!AB145))*N(Krankheitstage!C145))</f>
        <v/>
      </c>
      <c r="O145" s="66">
        <f>IF($B145="","",SUM(C145:N145))</f>
        <v/>
      </c>
      <c r="P145" s="58">
        <f>'KQuote Mitarbeiter'!E145</f>
        <v/>
      </c>
      <c r="Q145" s="67">
        <f>'KQuote Mitarbeiter'!L145</f>
        <v/>
      </c>
      <c r="R145" s="58">
        <f>'KQuote Mitarbeiter'!D145</f>
        <v/>
      </c>
      <c r="S145" s="67">
        <f>'KQuote Mitarbeiter'!K145</f>
        <v/>
      </c>
    </row>
    <row r="146">
      <c r="A146" s="49">
        <f>'KQuote Mitarbeiter'!A146</f>
        <v/>
      </c>
      <c r="B146" s="50">
        <f>'KQuote Mitarbeiter'!B146</f>
        <v/>
      </c>
      <c r="C146" s="59">
        <f>IF($B146="","",(N(Krankheitstage!D146)+N(Krankheitstage!Q146))*N(Krankheitstage!C146))</f>
        <v/>
      </c>
      <c r="D146" s="59">
        <f>IF($B146="","",(N(Krankheitstage!E146)+N(Krankheitstage!R146))*N(Krankheitstage!C146))</f>
        <v/>
      </c>
      <c r="E146" s="59">
        <f>IF($B146="","",(N(Krankheitstage!F146)+N(Krankheitstage!S146))*N(Krankheitstage!C146))</f>
        <v/>
      </c>
      <c r="F146" s="59">
        <f>IF($B146="","",(N(Krankheitstage!G146)+N(Krankheitstage!T146))*N(Krankheitstage!C146))</f>
        <v/>
      </c>
      <c r="G146" s="59">
        <f>IF($B146="","",(N(Krankheitstage!H146)+N(Krankheitstage!U146))*N(Krankheitstage!C146))</f>
        <v/>
      </c>
      <c r="H146" s="59">
        <f>IF($B146="","",(N(Krankheitstage!I146)+N(Krankheitstage!V146))*N(Krankheitstage!C146))</f>
        <v/>
      </c>
      <c r="I146" s="59">
        <f>IF($B146="","",(N(Krankheitstage!J146)+N(Krankheitstage!W146))*N(Krankheitstage!C146))</f>
        <v/>
      </c>
      <c r="J146" s="59">
        <f>IF($B146="","",(N(Krankheitstage!K146)+N(Krankheitstage!X146))*N(Krankheitstage!C146))</f>
        <v/>
      </c>
      <c r="K146" s="59">
        <f>IF($B146="","",(N(Krankheitstage!L146)+N(Krankheitstage!Y146))*N(Krankheitstage!C146))</f>
        <v/>
      </c>
      <c r="L146" s="59">
        <f>IF($B146="","",(N(Krankheitstage!M146)+N(Krankheitstage!Z146))*N(Krankheitstage!C146))</f>
        <v/>
      </c>
      <c r="M146" s="59">
        <f>IF($B146="","",(N(Krankheitstage!N146)+N(Krankheitstage!AA146))*N(Krankheitstage!C146))</f>
        <v/>
      </c>
      <c r="N146" s="59">
        <f>IF($B146="","",(N(Krankheitstage!O146)+N(Krankheitstage!AB146))*N(Krankheitstage!C146))</f>
        <v/>
      </c>
      <c r="O146" s="66">
        <f>IF($B146="","",SUM(C146:N146))</f>
        <v/>
      </c>
      <c r="P146" s="58">
        <f>'KQuote Mitarbeiter'!E146</f>
        <v/>
      </c>
      <c r="Q146" s="67">
        <f>'KQuote Mitarbeiter'!L146</f>
        <v/>
      </c>
      <c r="R146" s="58">
        <f>'KQuote Mitarbeiter'!D146</f>
        <v/>
      </c>
      <c r="S146" s="67">
        <f>'KQuote Mitarbeiter'!K146</f>
        <v/>
      </c>
    </row>
    <row r="147">
      <c r="A147" s="49">
        <f>'KQuote Mitarbeiter'!A147</f>
        <v/>
      </c>
      <c r="B147" s="50">
        <f>'KQuote Mitarbeiter'!B147</f>
        <v/>
      </c>
      <c r="C147" s="59">
        <f>IF($B147="","",(N(Krankheitstage!D147)+N(Krankheitstage!Q147))*N(Krankheitstage!C147))</f>
        <v/>
      </c>
      <c r="D147" s="59">
        <f>IF($B147="","",(N(Krankheitstage!E147)+N(Krankheitstage!R147))*N(Krankheitstage!C147))</f>
        <v/>
      </c>
      <c r="E147" s="59">
        <f>IF($B147="","",(N(Krankheitstage!F147)+N(Krankheitstage!S147))*N(Krankheitstage!C147))</f>
        <v/>
      </c>
      <c r="F147" s="59">
        <f>IF($B147="","",(N(Krankheitstage!G147)+N(Krankheitstage!T147))*N(Krankheitstage!C147))</f>
        <v/>
      </c>
      <c r="G147" s="59">
        <f>IF($B147="","",(N(Krankheitstage!H147)+N(Krankheitstage!U147))*N(Krankheitstage!C147))</f>
        <v/>
      </c>
      <c r="H147" s="59">
        <f>IF($B147="","",(N(Krankheitstage!I147)+N(Krankheitstage!V147))*N(Krankheitstage!C147))</f>
        <v/>
      </c>
      <c r="I147" s="59">
        <f>IF($B147="","",(N(Krankheitstage!J147)+N(Krankheitstage!W147))*N(Krankheitstage!C147))</f>
        <v/>
      </c>
      <c r="J147" s="59">
        <f>IF($B147="","",(N(Krankheitstage!K147)+N(Krankheitstage!X147))*N(Krankheitstage!C147))</f>
        <v/>
      </c>
      <c r="K147" s="59">
        <f>IF($B147="","",(N(Krankheitstage!L147)+N(Krankheitstage!Y147))*N(Krankheitstage!C147))</f>
        <v/>
      </c>
      <c r="L147" s="59">
        <f>IF($B147="","",(N(Krankheitstage!M147)+N(Krankheitstage!Z147))*N(Krankheitstage!C147))</f>
        <v/>
      </c>
      <c r="M147" s="59">
        <f>IF($B147="","",(N(Krankheitstage!N147)+N(Krankheitstage!AA147))*N(Krankheitstage!C147))</f>
        <v/>
      </c>
      <c r="N147" s="59">
        <f>IF($B147="","",(N(Krankheitstage!O147)+N(Krankheitstage!AB147))*N(Krankheitstage!C147))</f>
        <v/>
      </c>
      <c r="O147" s="66">
        <f>IF($B147="","",SUM(C147:N147))</f>
        <v/>
      </c>
      <c r="P147" s="58">
        <f>'KQuote Mitarbeiter'!E147</f>
        <v/>
      </c>
      <c r="Q147" s="67">
        <f>'KQuote Mitarbeiter'!L147</f>
        <v/>
      </c>
      <c r="R147" s="58">
        <f>'KQuote Mitarbeiter'!D147</f>
        <v/>
      </c>
      <c r="S147" s="67">
        <f>'KQuote Mitarbeiter'!K147</f>
        <v/>
      </c>
    </row>
    <row r="148">
      <c r="A148" s="49">
        <f>'KQuote Mitarbeiter'!A148</f>
        <v/>
      </c>
      <c r="B148" s="50">
        <f>'KQuote Mitarbeiter'!B148</f>
        <v/>
      </c>
      <c r="C148" s="59">
        <f>IF($B148="","",(N(Krankheitstage!D148)+N(Krankheitstage!Q148))*N(Krankheitstage!C148))</f>
        <v/>
      </c>
      <c r="D148" s="59">
        <f>IF($B148="","",(N(Krankheitstage!E148)+N(Krankheitstage!R148))*N(Krankheitstage!C148))</f>
        <v/>
      </c>
      <c r="E148" s="59">
        <f>IF($B148="","",(N(Krankheitstage!F148)+N(Krankheitstage!S148))*N(Krankheitstage!C148))</f>
        <v/>
      </c>
      <c r="F148" s="59">
        <f>IF($B148="","",(N(Krankheitstage!G148)+N(Krankheitstage!T148))*N(Krankheitstage!C148))</f>
        <v/>
      </c>
      <c r="G148" s="59">
        <f>IF($B148="","",(N(Krankheitstage!H148)+N(Krankheitstage!U148))*N(Krankheitstage!C148))</f>
        <v/>
      </c>
      <c r="H148" s="59">
        <f>IF($B148="","",(N(Krankheitstage!I148)+N(Krankheitstage!V148))*N(Krankheitstage!C148))</f>
        <v/>
      </c>
      <c r="I148" s="59">
        <f>IF($B148="","",(N(Krankheitstage!J148)+N(Krankheitstage!W148))*N(Krankheitstage!C148))</f>
        <v/>
      </c>
      <c r="J148" s="59">
        <f>IF($B148="","",(N(Krankheitstage!K148)+N(Krankheitstage!X148))*N(Krankheitstage!C148))</f>
        <v/>
      </c>
      <c r="K148" s="59">
        <f>IF($B148="","",(N(Krankheitstage!L148)+N(Krankheitstage!Y148))*N(Krankheitstage!C148))</f>
        <v/>
      </c>
      <c r="L148" s="59">
        <f>IF($B148="","",(N(Krankheitstage!M148)+N(Krankheitstage!Z148))*N(Krankheitstage!C148))</f>
        <v/>
      </c>
      <c r="M148" s="59">
        <f>IF($B148="","",(N(Krankheitstage!N148)+N(Krankheitstage!AA148))*N(Krankheitstage!C148))</f>
        <v/>
      </c>
      <c r="N148" s="59">
        <f>IF($B148="","",(N(Krankheitstage!O148)+N(Krankheitstage!AB148))*N(Krankheitstage!C148))</f>
        <v/>
      </c>
      <c r="O148" s="66">
        <f>IF($B148="","",SUM(C148:N148))</f>
        <v/>
      </c>
      <c r="P148" s="58">
        <f>'KQuote Mitarbeiter'!E148</f>
        <v/>
      </c>
      <c r="Q148" s="67">
        <f>'KQuote Mitarbeiter'!L148</f>
        <v/>
      </c>
      <c r="R148" s="58">
        <f>'KQuote Mitarbeiter'!D148</f>
        <v/>
      </c>
      <c r="S148" s="67">
        <f>'KQuote Mitarbeiter'!K148</f>
        <v/>
      </c>
    </row>
    <row r="149">
      <c r="A149" s="49">
        <f>'KQuote Mitarbeiter'!A149</f>
        <v/>
      </c>
      <c r="B149" s="50">
        <f>'KQuote Mitarbeiter'!B149</f>
        <v/>
      </c>
      <c r="C149" s="59">
        <f>IF($B149="","",(N(Krankheitstage!D149)+N(Krankheitstage!Q149))*N(Krankheitstage!C149))</f>
        <v/>
      </c>
      <c r="D149" s="59">
        <f>IF($B149="","",(N(Krankheitstage!E149)+N(Krankheitstage!R149))*N(Krankheitstage!C149))</f>
        <v/>
      </c>
      <c r="E149" s="59">
        <f>IF($B149="","",(N(Krankheitstage!F149)+N(Krankheitstage!S149))*N(Krankheitstage!C149))</f>
        <v/>
      </c>
      <c r="F149" s="59">
        <f>IF($B149="","",(N(Krankheitstage!G149)+N(Krankheitstage!T149))*N(Krankheitstage!C149))</f>
        <v/>
      </c>
      <c r="G149" s="59">
        <f>IF($B149="","",(N(Krankheitstage!H149)+N(Krankheitstage!U149))*N(Krankheitstage!C149))</f>
        <v/>
      </c>
      <c r="H149" s="59">
        <f>IF($B149="","",(N(Krankheitstage!I149)+N(Krankheitstage!V149))*N(Krankheitstage!C149))</f>
        <v/>
      </c>
      <c r="I149" s="59">
        <f>IF($B149="","",(N(Krankheitstage!J149)+N(Krankheitstage!W149))*N(Krankheitstage!C149))</f>
        <v/>
      </c>
      <c r="J149" s="59">
        <f>IF($B149="","",(N(Krankheitstage!K149)+N(Krankheitstage!X149))*N(Krankheitstage!C149))</f>
        <v/>
      </c>
      <c r="K149" s="59">
        <f>IF($B149="","",(N(Krankheitstage!L149)+N(Krankheitstage!Y149))*N(Krankheitstage!C149))</f>
        <v/>
      </c>
      <c r="L149" s="59">
        <f>IF($B149="","",(N(Krankheitstage!M149)+N(Krankheitstage!Z149))*N(Krankheitstage!C149))</f>
        <v/>
      </c>
      <c r="M149" s="59">
        <f>IF($B149="","",(N(Krankheitstage!N149)+N(Krankheitstage!AA149))*N(Krankheitstage!C149))</f>
        <v/>
      </c>
      <c r="N149" s="59">
        <f>IF($B149="","",(N(Krankheitstage!O149)+N(Krankheitstage!AB149))*N(Krankheitstage!C149))</f>
        <v/>
      </c>
      <c r="O149" s="66">
        <f>IF($B149="","",SUM(C149:N149))</f>
        <v/>
      </c>
      <c r="P149" s="58">
        <f>'KQuote Mitarbeiter'!E149</f>
        <v/>
      </c>
      <c r="Q149" s="67">
        <f>'KQuote Mitarbeiter'!L149</f>
        <v/>
      </c>
      <c r="R149" s="58">
        <f>'KQuote Mitarbeiter'!D149</f>
        <v/>
      </c>
      <c r="S149" s="67">
        <f>'KQuote Mitarbeiter'!K149</f>
        <v/>
      </c>
    </row>
    <row r="150">
      <c r="A150" s="49">
        <f>'KQuote Mitarbeiter'!A150</f>
        <v/>
      </c>
      <c r="B150" s="50">
        <f>'KQuote Mitarbeiter'!B150</f>
        <v/>
      </c>
      <c r="C150" s="59">
        <f>IF($B150="","",(N(Krankheitstage!D150)+N(Krankheitstage!Q150))*N(Krankheitstage!C150))</f>
        <v/>
      </c>
      <c r="D150" s="59">
        <f>IF($B150="","",(N(Krankheitstage!E150)+N(Krankheitstage!R150))*N(Krankheitstage!C150))</f>
        <v/>
      </c>
      <c r="E150" s="59">
        <f>IF($B150="","",(N(Krankheitstage!F150)+N(Krankheitstage!S150))*N(Krankheitstage!C150))</f>
        <v/>
      </c>
      <c r="F150" s="59">
        <f>IF($B150="","",(N(Krankheitstage!G150)+N(Krankheitstage!T150))*N(Krankheitstage!C150))</f>
        <v/>
      </c>
      <c r="G150" s="59">
        <f>IF($B150="","",(N(Krankheitstage!H150)+N(Krankheitstage!U150))*N(Krankheitstage!C150))</f>
        <v/>
      </c>
      <c r="H150" s="59">
        <f>IF($B150="","",(N(Krankheitstage!I150)+N(Krankheitstage!V150))*N(Krankheitstage!C150))</f>
        <v/>
      </c>
      <c r="I150" s="59">
        <f>IF($B150="","",(N(Krankheitstage!J150)+N(Krankheitstage!W150))*N(Krankheitstage!C150))</f>
        <v/>
      </c>
      <c r="J150" s="59">
        <f>IF($B150="","",(N(Krankheitstage!K150)+N(Krankheitstage!X150))*N(Krankheitstage!C150))</f>
        <v/>
      </c>
      <c r="K150" s="59">
        <f>IF($B150="","",(N(Krankheitstage!L150)+N(Krankheitstage!Y150))*N(Krankheitstage!C150))</f>
        <v/>
      </c>
      <c r="L150" s="59">
        <f>IF($B150="","",(N(Krankheitstage!M150)+N(Krankheitstage!Z150))*N(Krankheitstage!C150))</f>
        <v/>
      </c>
      <c r="M150" s="59">
        <f>IF($B150="","",(N(Krankheitstage!N150)+N(Krankheitstage!AA150))*N(Krankheitstage!C150))</f>
        <v/>
      </c>
      <c r="N150" s="59">
        <f>IF($B150="","",(N(Krankheitstage!O150)+N(Krankheitstage!AB150))*N(Krankheitstage!C150))</f>
        <v/>
      </c>
      <c r="O150" s="66">
        <f>IF($B150="","",SUM(C150:N150))</f>
        <v/>
      </c>
      <c r="P150" s="58">
        <f>'KQuote Mitarbeiter'!E150</f>
        <v/>
      </c>
      <c r="Q150" s="67">
        <f>'KQuote Mitarbeiter'!L150</f>
        <v/>
      </c>
      <c r="R150" s="58">
        <f>'KQuote Mitarbeiter'!D150</f>
        <v/>
      </c>
      <c r="S150" s="67">
        <f>'KQuote Mitarbeiter'!K150</f>
        <v/>
      </c>
    </row>
    <row r="151">
      <c r="A151" s="49">
        <f>'KQuote Mitarbeiter'!A151</f>
        <v/>
      </c>
      <c r="B151" s="50">
        <f>'KQuote Mitarbeiter'!B151</f>
        <v/>
      </c>
      <c r="C151" s="59">
        <f>IF($B151="","",(N(Krankheitstage!D151)+N(Krankheitstage!Q151))*N(Krankheitstage!C151))</f>
        <v/>
      </c>
      <c r="D151" s="59">
        <f>IF($B151="","",(N(Krankheitstage!E151)+N(Krankheitstage!R151))*N(Krankheitstage!C151))</f>
        <v/>
      </c>
      <c r="E151" s="59">
        <f>IF($B151="","",(N(Krankheitstage!F151)+N(Krankheitstage!S151))*N(Krankheitstage!C151))</f>
        <v/>
      </c>
      <c r="F151" s="59">
        <f>IF($B151="","",(N(Krankheitstage!G151)+N(Krankheitstage!T151))*N(Krankheitstage!C151))</f>
        <v/>
      </c>
      <c r="G151" s="59">
        <f>IF($B151="","",(N(Krankheitstage!H151)+N(Krankheitstage!U151))*N(Krankheitstage!C151))</f>
        <v/>
      </c>
      <c r="H151" s="59">
        <f>IF($B151="","",(N(Krankheitstage!I151)+N(Krankheitstage!V151))*N(Krankheitstage!C151))</f>
        <v/>
      </c>
      <c r="I151" s="59">
        <f>IF($B151="","",(N(Krankheitstage!J151)+N(Krankheitstage!W151))*N(Krankheitstage!C151))</f>
        <v/>
      </c>
      <c r="J151" s="59">
        <f>IF($B151="","",(N(Krankheitstage!K151)+N(Krankheitstage!X151))*N(Krankheitstage!C151))</f>
        <v/>
      </c>
      <c r="K151" s="59">
        <f>IF($B151="","",(N(Krankheitstage!L151)+N(Krankheitstage!Y151))*N(Krankheitstage!C151))</f>
        <v/>
      </c>
      <c r="L151" s="59">
        <f>IF($B151="","",(N(Krankheitstage!M151)+N(Krankheitstage!Z151))*N(Krankheitstage!C151))</f>
        <v/>
      </c>
      <c r="M151" s="59">
        <f>IF($B151="","",(N(Krankheitstage!N151)+N(Krankheitstage!AA151))*N(Krankheitstage!C151))</f>
        <v/>
      </c>
      <c r="N151" s="59">
        <f>IF($B151="","",(N(Krankheitstage!O151)+N(Krankheitstage!AB151))*N(Krankheitstage!C151))</f>
        <v/>
      </c>
      <c r="O151" s="66">
        <f>IF($B151="","",SUM(C151:N151))</f>
        <v/>
      </c>
      <c r="P151" s="58">
        <f>'KQuote Mitarbeiter'!E151</f>
        <v/>
      </c>
      <c r="Q151" s="67">
        <f>'KQuote Mitarbeiter'!L151</f>
        <v/>
      </c>
      <c r="R151" s="58">
        <f>'KQuote Mitarbeiter'!D151</f>
        <v/>
      </c>
      <c r="S151" s="67">
        <f>'KQuote Mitarbeiter'!K151</f>
        <v/>
      </c>
    </row>
    <row r="152">
      <c r="A152" s="49">
        <f>'KQuote Mitarbeiter'!A152</f>
        <v/>
      </c>
      <c r="B152" s="50">
        <f>'KQuote Mitarbeiter'!B152</f>
        <v/>
      </c>
      <c r="C152" s="59">
        <f>IF($B152="","",(N(Krankheitstage!D152)+N(Krankheitstage!Q152))*N(Krankheitstage!C152))</f>
        <v/>
      </c>
      <c r="D152" s="59">
        <f>IF($B152="","",(N(Krankheitstage!E152)+N(Krankheitstage!R152))*N(Krankheitstage!C152))</f>
        <v/>
      </c>
      <c r="E152" s="59">
        <f>IF($B152="","",(N(Krankheitstage!F152)+N(Krankheitstage!S152))*N(Krankheitstage!C152))</f>
        <v/>
      </c>
      <c r="F152" s="59">
        <f>IF($B152="","",(N(Krankheitstage!G152)+N(Krankheitstage!T152))*N(Krankheitstage!C152))</f>
        <v/>
      </c>
      <c r="G152" s="59">
        <f>IF($B152="","",(N(Krankheitstage!H152)+N(Krankheitstage!U152))*N(Krankheitstage!C152))</f>
        <v/>
      </c>
      <c r="H152" s="59">
        <f>IF($B152="","",(N(Krankheitstage!I152)+N(Krankheitstage!V152))*N(Krankheitstage!C152))</f>
        <v/>
      </c>
      <c r="I152" s="59">
        <f>IF($B152="","",(N(Krankheitstage!J152)+N(Krankheitstage!W152))*N(Krankheitstage!C152))</f>
        <v/>
      </c>
      <c r="J152" s="59">
        <f>IF($B152="","",(N(Krankheitstage!K152)+N(Krankheitstage!X152))*N(Krankheitstage!C152))</f>
        <v/>
      </c>
      <c r="K152" s="59">
        <f>IF($B152="","",(N(Krankheitstage!L152)+N(Krankheitstage!Y152))*N(Krankheitstage!C152))</f>
        <v/>
      </c>
      <c r="L152" s="59">
        <f>IF($B152="","",(N(Krankheitstage!M152)+N(Krankheitstage!Z152))*N(Krankheitstage!C152))</f>
        <v/>
      </c>
      <c r="M152" s="59">
        <f>IF($B152="","",(N(Krankheitstage!N152)+N(Krankheitstage!AA152))*N(Krankheitstage!C152))</f>
        <v/>
      </c>
      <c r="N152" s="59">
        <f>IF($B152="","",(N(Krankheitstage!O152)+N(Krankheitstage!AB152))*N(Krankheitstage!C152))</f>
        <v/>
      </c>
      <c r="O152" s="66">
        <f>IF($B152="","",SUM(C152:N152))</f>
        <v/>
      </c>
      <c r="P152" s="58">
        <f>'KQuote Mitarbeiter'!E152</f>
        <v/>
      </c>
      <c r="Q152" s="67">
        <f>'KQuote Mitarbeiter'!L152</f>
        <v/>
      </c>
      <c r="R152" s="58">
        <f>'KQuote Mitarbeiter'!D152</f>
        <v/>
      </c>
      <c r="S152" s="67">
        <f>'KQuote Mitarbeiter'!K152</f>
        <v/>
      </c>
    </row>
    <row r="153">
      <c r="A153" s="49">
        <f>'KQuote Mitarbeiter'!A153</f>
        <v/>
      </c>
      <c r="B153" s="50">
        <f>'KQuote Mitarbeiter'!B153</f>
        <v/>
      </c>
      <c r="C153" s="59">
        <f>IF($B153="","",(N(Krankheitstage!D153)+N(Krankheitstage!Q153))*N(Krankheitstage!C153))</f>
        <v/>
      </c>
      <c r="D153" s="59">
        <f>IF($B153="","",(N(Krankheitstage!E153)+N(Krankheitstage!R153))*N(Krankheitstage!C153))</f>
        <v/>
      </c>
      <c r="E153" s="59">
        <f>IF($B153="","",(N(Krankheitstage!F153)+N(Krankheitstage!S153))*N(Krankheitstage!C153))</f>
        <v/>
      </c>
      <c r="F153" s="59">
        <f>IF($B153="","",(N(Krankheitstage!G153)+N(Krankheitstage!T153))*N(Krankheitstage!C153))</f>
        <v/>
      </c>
      <c r="G153" s="59">
        <f>IF($B153="","",(N(Krankheitstage!H153)+N(Krankheitstage!U153))*N(Krankheitstage!C153))</f>
        <v/>
      </c>
      <c r="H153" s="59">
        <f>IF($B153="","",(N(Krankheitstage!I153)+N(Krankheitstage!V153))*N(Krankheitstage!C153))</f>
        <v/>
      </c>
      <c r="I153" s="59">
        <f>IF($B153="","",(N(Krankheitstage!J153)+N(Krankheitstage!W153))*N(Krankheitstage!C153))</f>
        <v/>
      </c>
      <c r="J153" s="59">
        <f>IF($B153="","",(N(Krankheitstage!K153)+N(Krankheitstage!X153))*N(Krankheitstage!C153))</f>
        <v/>
      </c>
      <c r="K153" s="59">
        <f>IF($B153="","",(N(Krankheitstage!L153)+N(Krankheitstage!Y153))*N(Krankheitstage!C153))</f>
        <v/>
      </c>
      <c r="L153" s="59">
        <f>IF($B153="","",(N(Krankheitstage!M153)+N(Krankheitstage!Z153))*N(Krankheitstage!C153))</f>
        <v/>
      </c>
      <c r="M153" s="59">
        <f>IF($B153="","",(N(Krankheitstage!N153)+N(Krankheitstage!AA153))*N(Krankheitstage!C153))</f>
        <v/>
      </c>
      <c r="N153" s="59">
        <f>IF($B153="","",(N(Krankheitstage!O153)+N(Krankheitstage!AB153))*N(Krankheitstage!C153))</f>
        <v/>
      </c>
      <c r="O153" s="66">
        <f>IF($B153="","",SUM(C153:N153))</f>
        <v/>
      </c>
      <c r="P153" s="58">
        <f>'KQuote Mitarbeiter'!E153</f>
        <v/>
      </c>
      <c r="Q153" s="67">
        <f>'KQuote Mitarbeiter'!L153</f>
        <v/>
      </c>
      <c r="R153" s="58">
        <f>'KQuote Mitarbeiter'!D153</f>
        <v/>
      </c>
      <c r="S153" s="67">
        <f>'KQuote Mitarbeiter'!K153</f>
        <v/>
      </c>
    </row>
    <row r="154">
      <c r="A154" s="49">
        <f>'KQuote Mitarbeiter'!A154</f>
        <v/>
      </c>
      <c r="B154" s="50">
        <f>'KQuote Mitarbeiter'!B154</f>
        <v/>
      </c>
      <c r="C154" s="59">
        <f>IF($B154="","",(N(Krankheitstage!D154)+N(Krankheitstage!Q154))*N(Krankheitstage!C154))</f>
        <v/>
      </c>
      <c r="D154" s="59">
        <f>IF($B154="","",(N(Krankheitstage!E154)+N(Krankheitstage!R154))*N(Krankheitstage!C154))</f>
        <v/>
      </c>
      <c r="E154" s="59">
        <f>IF($B154="","",(N(Krankheitstage!F154)+N(Krankheitstage!S154))*N(Krankheitstage!C154))</f>
        <v/>
      </c>
      <c r="F154" s="59">
        <f>IF($B154="","",(N(Krankheitstage!G154)+N(Krankheitstage!T154))*N(Krankheitstage!C154))</f>
        <v/>
      </c>
      <c r="G154" s="59">
        <f>IF($B154="","",(N(Krankheitstage!H154)+N(Krankheitstage!U154))*N(Krankheitstage!C154))</f>
        <v/>
      </c>
      <c r="H154" s="59">
        <f>IF($B154="","",(N(Krankheitstage!I154)+N(Krankheitstage!V154))*N(Krankheitstage!C154))</f>
        <v/>
      </c>
      <c r="I154" s="59">
        <f>IF($B154="","",(N(Krankheitstage!J154)+N(Krankheitstage!W154))*N(Krankheitstage!C154))</f>
        <v/>
      </c>
      <c r="J154" s="59">
        <f>IF($B154="","",(N(Krankheitstage!K154)+N(Krankheitstage!X154))*N(Krankheitstage!C154))</f>
        <v/>
      </c>
      <c r="K154" s="59">
        <f>IF($B154="","",(N(Krankheitstage!L154)+N(Krankheitstage!Y154))*N(Krankheitstage!C154))</f>
        <v/>
      </c>
      <c r="L154" s="59">
        <f>IF($B154="","",(N(Krankheitstage!M154)+N(Krankheitstage!Z154))*N(Krankheitstage!C154))</f>
        <v/>
      </c>
      <c r="M154" s="59">
        <f>IF($B154="","",(N(Krankheitstage!N154)+N(Krankheitstage!AA154))*N(Krankheitstage!C154))</f>
        <v/>
      </c>
      <c r="N154" s="59">
        <f>IF($B154="","",(N(Krankheitstage!O154)+N(Krankheitstage!AB154))*N(Krankheitstage!C154))</f>
        <v/>
      </c>
      <c r="O154" s="66">
        <f>IF($B154="","",SUM(C154:N154))</f>
        <v/>
      </c>
      <c r="P154" s="58">
        <f>'KQuote Mitarbeiter'!E154</f>
        <v/>
      </c>
      <c r="Q154" s="67">
        <f>'KQuote Mitarbeiter'!L154</f>
        <v/>
      </c>
      <c r="R154" s="58">
        <f>'KQuote Mitarbeiter'!D154</f>
        <v/>
      </c>
      <c r="S154" s="67">
        <f>'KQuote Mitarbeiter'!K154</f>
        <v/>
      </c>
    </row>
    <row r="155">
      <c r="A155" s="49">
        <f>'KQuote Mitarbeiter'!A155</f>
        <v/>
      </c>
      <c r="B155" s="50">
        <f>'KQuote Mitarbeiter'!B155</f>
        <v/>
      </c>
      <c r="C155" s="59">
        <f>IF($B155="","",(N(Krankheitstage!D155)+N(Krankheitstage!Q155))*N(Krankheitstage!C155))</f>
        <v/>
      </c>
      <c r="D155" s="59">
        <f>IF($B155="","",(N(Krankheitstage!E155)+N(Krankheitstage!R155))*N(Krankheitstage!C155))</f>
        <v/>
      </c>
      <c r="E155" s="59">
        <f>IF($B155="","",(N(Krankheitstage!F155)+N(Krankheitstage!S155))*N(Krankheitstage!C155))</f>
        <v/>
      </c>
      <c r="F155" s="59">
        <f>IF($B155="","",(N(Krankheitstage!G155)+N(Krankheitstage!T155))*N(Krankheitstage!C155))</f>
        <v/>
      </c>
      <c r="G155" s="59">
        <f>IF($B155="","",(N(Krankheitstage!H155)+N(Krankheitstage!U155))*N(Krankheitstage!C155))</f>
        <v/>
      </c>
      <c r="H155" s="59">
        <f>IF($B155="","",(N(Krankheitstage!I155)+N(Krankheitstage!V155))*N(Krankheitstage!C155))</f>
        <v/>
      </c>
      <c r="I155" s="59">
        <f>IF($B155="","",(N(Krankheitstage!J155)+N(Krankheitstage!W155))*N(Krankheitstage!C155))</f>
        <v/>
      </c>
      <c r="J155" s="59">
        <f>IF($B155="","",(N(Krankheitstage!K155)+N(Krankheitstage!X155))*N(Krankheitstage!C155))</f>
        <v/>
      </c>
      <c r="K155" s="59">
        <f>IF($B155="","",(N(Krankheitstage!L155)+N(Krankheitstage!Y155))*N(Krankheitstage!C155))</f>
        <v/>
      </c>
      <c r="L155" s="59">
        <f>IF($B155="","",(N(Krankheitstage!M155)+N(Krankheitstage!Z155))*N(Krankheitstage!C155))</f>
        <v/>
      </c>
      <c r="M155" s="59">
        <f>IF($B155="","",(N(Krankheitstage!N155)+N(Krankheitstage!AA155))*N(Krankheitstage!C155))</f>
        <v/>
      </c>
      <c r="N155" s="59">
        <f>IF($B155="","",(N(Krankheitstage!O155)+N(Krankheitstage!AB155))*N(Krankheitstage!C155))</f>
        <v/>
      </c>
      <c r="O155" s="66">
        <f>IF($B155="","",SUM(C155:N155))</f>
        <v/>
      </c>
      <c r="P155" s="58">
        <f>'KQuote Mitarbeiter'!E155</f>
        <v/>
      </c>
      <c r="Q155" s="67">
        <f>'KQuote Mitarbeiter'!L155</f>
        <v/>
      </c>
      <c r="R155" s="58">
        <f>'KQuote Mitarbeiter'!D155</f>
        <v/>
      </c>
      <c r="S155" s="67">
        <f>'KQuote Mitarbeiter'!K155</f>
        <v/>
      </c>
    </row>
    <row r="156">
      <c r="A156" s="49">
        <f>'KQuote Mitarbeiter'!A156</f>
        <v/>
      </c>
      <c r="B156" s="50">
        <f>'KQuote Mitarbeiter'!B156</f>
        <v/>
      </c>
      <c r="C156" s="59">
        <f>IF($B156="","",(N(Krankheitstage!D156)+N(Krankheitstage!Q156))*N(Krankheitstage!C156))</f>
        <v/>
      </c>
      <c r="D156" s="59">
        <f>IF($B156="","",(N(Krankheitstage!E156)+N(Krankheitstage!R156))*N(Krankheitstage!C156))</f>
        <v/>
      </c>
      <c r="E156" s="59">
        <f>IF($B156="","",(N(Krankheitstage!F156)+N(Krankheitstage!S156))*N(Krankheitstage!C156))</f>
        <v/>
      </c>
      <c r="F156" s="59">
        <f>IF($B156="","",(N(Krankheitstage!G156)+N(Krankheitstage!T156))*N(Krankheitstage!C156))</f>
        <v/>
      </c>
      <c r="G156" s="59">
        <f>IF($B156="","",(N(Krankheitstage!H156)+N(Krankheitstage!U156))*N(Krankheitstage!C156))</f>
        <v/>
      </c>
      <c r="H156" s="59">
        <f>IF($B156="","",(N(Krankheitstage!I156)+N(Krankheitstage!V156))*N(Krankheitstage!C156))</f>
        <v/>
      </c>
      <c r="I156" s="59">
        <f>IF($B156="","",(N(Krankheitstage!J156)+N(Krankheitstage!W156))*N(Krankheitstage!C156))</f>
        <v/>
      </c>
      <c r="J156" s="59">
        <f>IF($B156="","",(N(Krankheitstage!K156)+N(Krankheitstage!X156))*N(Krankheitstage!C156))</f>
        <v/>
      </c>
      <c r="K156" s="59">
        <f>IF($B156="","",(N(Krankheitstage!L156)+N(Krankheitstage!Y156))*N(Krankheitstage!C156))</f>
        <v/>
      </c>
      <c r="L156" s="59">
        <f>IF($B156="","",(N(Krankheitstage!M156)+N(Krankheitstage!Z156))*N(Krankheitstage!C156))</f>
        <v/>
      </c>
      <c r="M156" s="59">
        <f>IF($B156="","",(N(Krankheitstage!N156)+N(Krankheitstage!AA156))*N(Krankheitstage!C156))</f>
        <v/>
      </c>
      <c r="N156" s="59">
        <f>IF($B156="","",(N(Krankheitstage!O156)+N(Krankheitstage!AB156))*N(Krankheitstage!C156))</f>
        <v/>
      </c>
      <c r="O156" s="66">
        <f>IF($B156="","",SUM(C156:N156))</f>
        <v/>
      </c>
      <c r="P156" s="58">
        <f>'KQuote Mitarbeiter'!E156</f>
        <v/>
      </c>
      <c r="Q156" s="67">
        <f>'KQuote Mitarbeiter'!L156</f>
        <v/>
      </c>
      <c r="R156" s="58">
        <f>'KQuote Mitarbeiter'!D156</f>
        <v/>
      </c>
      <c r="S156" s="67">
        <f>'KQuote Mitarbeiter'!K156</f>
        <v/>
      </c>
    </row>
    <row r="157">
      <c r="A157" s="49">
        <f>'KQuote Mitarbeiter'!A157</f>
        <v/>
      </c>
      <c r="B157" s="50">
        <f>'KQuote Mitarbeiter'!B157</f>
        <v/>
      </c>
      <c r="C157" s="59">
        <f>IF($B157="","",(N(Krankheitstage!D157)+N(Krankheitstage!Q157))*N(Krankheitstage!C157))</f>
        <v/>
      </c>
      <c r="D157" s="59">
        <f>IF($B157="","",(N(Krankheitstage!E157)+N(Krankheitstage!R157))*N(Krankheitstage!C157))</f>
        <v/>
      </c>
      <c r="E157" s="59">
        <f>IF($B157="","",(N(Krankheitstage!F157)+N(Krankheitstage!S157))*N(Krankheitstage!C157))</f>
        <v/>
      </c>
      <c r="F157" s="59">
        <f>IF($B157="","",(N(Krankheitstage!G157)+N(Krankheitstage!T157))*N(Krankheitstage!C157))</f>
        <v/>
      </c>
      <c r="G157" s="59">
        <f>IF($B157="","",(N(Krankheitstage!H157)+N(Krankheitstage!U157))*N(Krankheitstage!C157))</f>
        <v/>
      </c>
      <c r="H157" s="59">
        <f>IF($B157="","",(N(Krankheitstage!I157)+N(Krankheitstage!V157))*N(Krankheitstage!C157))</f>
        <v/>
      </c>
      <c r="I157" s="59">
        <f>IF($B157="","",(N(Krankheitstage!J157)+N(Krankheitstage!W157))*N(Krankheitstage!C157))</f>
        <v/>
      </c>
      <c r="J157" s="59">
        <f>IF($B157="","",(N(Krankheitstage!K157)+N(Krankheitstage!X157))*N(Krankheitstage!C157))</f>
        <v/>
      </c>
      <c r="K157" s="59">
        <f>IF($B157="","",(N(Krankheitstage!L157)+N(Krankheitstage!Y157))*N(Krankheitstage!C157))</f>
        <v/>
      </c>
      <c r="L157" s="59">
        <f>IF($B157="","",(N(Krankheitstage!M157)+N(Krankheitstage!Z157))*N(Krankheitstage!C157))</f>
        <v/>
      </c>
      <c r="M157" s="59">
        <f>IF($B157="","",(N(Krankheitstage!N157)+N(Krankheitstage!AA157))*N(Krankheitstage!C157))</f>
        <v/>
      </c>
      <c r="N157" s="59">
        <f>IF($B157="","",(N(Krankheitstage!O157)+N(Krankheitstage!AB157))*N(Krankheitstage!C157))</f>
        <v/>
      </c>
      <c r="O157" s="66">
        <f>IF($B157="","",SUM(C157:N157))</f>
        <v/>
      </c>
      <c r="P157" s="58">
        <f>'KQuote Mitarbeiter'!E157</f>
        <v/>
      </c>
      <c r="Q157" s="67">
        <f>'KQuote Mitarbeiter'!L157</f>
        <v/>
      </c>
      <c r="R157" s="58">
        <f>'KQuote Mitarbeiter'!D157</f>
        <v/>
      </c>
      <c r="S157" s="67">
        <f>'KQuote Mitarbeiter'!K157</f>
        <v/>
      </c>
    </row>
    <row r="158">
      <c r="A158" s="49">
        <f>'KQuote Mitarbeiter'!A158</f>
        <v/>
      </c>
      <c r="B158" s="50">
        <f>'KQuote Mitarbeiter'!B158</f>
        <v/>
      </c>
      <c r="C158" s="59">
        <f>IF($B158="","",(N(Krankheitstage!D158)+N(Krankheitstage!Q158))*N(Krankheitstage!C158))</f>
        <v/>
      </c>
      <c r="D158" s="59">
        <f>IF($B158="","",(N(Krankheitstage!E158)+N(Krankheitstage!R158))*N(Krankheitstage!C158))</f>
        <v/>
      </c>
      <c r="E158" s="59">
        <f>IF($B158="","",(N(Krankheitstage!F158)+N(Krankheitstage!S158))*N(Krankheitstage!C158))</f>
        <v/>
      </c>
      <c r="F158" s="59">
        <f>IF($B158="","",(N(Krankheitstage!G158)+N(Krankheitstage!T158))*N(Krankheitstage!C158))</f>
        <v/>
      </c>
      <c r="G158" s="59">
        <f>IF($B158="","",(N(Krankheitstage!H158)+N(Krankheitstage!U158))*N(Krankheitstage!C158))</f>
        <v/>
      </c>
      <c r="H158" s="59">
        <f>IF($B158="","",(N(Krankheitstage!I158)+N(Krankheitstage!V158))*N(Krankheitstage!C158))</f>
        <v/>
      </c>
      <c r="I158" s="59">
        <f>IF($B158="","",(N(Krankheitstage!J158)+N(Krankheitstage!W158))*N(Krankheitstage!C158))</f>
        <v/>
      </c>
      <c r="J158" s="59">
        <f>IF($B158="","",(N(Krankheitstage!K158)+N(Krankheitstage!X158))*N(Krankheitstage!C158))</f>
        <v/>
      </c>
      <c r="K158" s="59">
        <f>IF($B158="","",(N(Krankheitstage!L158)+N(Krankheitstage!Y158))*N(Krankheitstage!C158))</f>
        <v/>
      </c>
      <c r="L158" s="59">
        <f>IF($B158="","",(N(Krankheitstage!M158)+N(Krankheitstage!Z158))*N(Krankheitstage!C158))</f>
        <v/>
      </c>
      <c r="M158" s="59">
        <f>IF($B158="","",(N(Krankheitstage!N158)+N(Krankheitstage!AA158))*N(Krankheitstage!C158))</f>
        <v/>
      </c>
      <c r="N158" s="59">
        <f>IF($B158="","",(N(Krankheitstage!O158)+N(Krankheitstage!AB158))*N(Krankheitstage!C158))</f>
        <v/>
      </c>
      <c r="O158" s="66">
        <f>IF($B158="","",SUM(C158:N158))</f>
        <v/>
      </c>
      <c r="P158" s="58">
        <f>'KQuote Mitarbeiter'!E158</f>
        <v/>
      </c>
      <c r="Q158" s="67">
        <f>'KQuote Mitarbeiter'!L158</f>
        <v/>
      </c>
      <c r="R158" s="58">
        <f>'KQuote Mitarbeiter'!D158</f>
        <v/>
      </c>
      <c r="S158" s="67">
        <f>'KQuote Mitarbeiter'!K158</f>
        <v/>
      </c>
    </row>
    <row r="159">
      <c r="A159" s="49">
        <f>'KQuote Mitarbeiter'!A159</f>
        <v/>
      </c>
      <c r="B159" s="50">
        <f>'KQuote Mitarbeiter'!B159</f>
        <v/>
      </c>
      <c r="C159" s="59">
        <f>IF($B159="","",(N(Krankheitstage!D159)+N(Krankheitstage!Q159))*N(Krankheitstage!C159))</f>
        <v/>
      </c>
      <c r="D159" s="59">
        <f>IF($B159="","",(N(Krankheitstage!E159)+N(Krankheitstage!R159))*N(Krankheitstage!C159))</f>
        <v/>
      </c>
      <c r="E159" s="59">
        <f>IF($B159="","",(N(Krankheitstage!F159)+N(Krankheitstage!S159))*N(Krankheitstage!C159))</f>
        <v/>
      </c>
      <c r="F159" s="59">
        <f>IF($B159="","",(N(Krankheitstage!G159)+N(Krankheitstage!T159))*N(Krankheitstage!C159))</f>
        <v/>
      </c>
      <c r="G159" s="59">
        <f>IF($B159="","",(N(Krankheitstage!H159)+N(Krankheitstage!U159))*N(Krankheitstage!C159))</f>
        <v/>
      </c>
      <c r="H159" s="59">
        <f>IF($B159="","",(N(Krankheitstage!I159)+N(Krankheitstage!V159))*N(Krankheitstage!C159))</f>
        <v/>
      </c>
      <c r="I159" s="59">
        <f>IF($B159="","",(N(Krankheitstage!J159)+N(Krankheitstage!W159))*N(Krankheitstage!C159))</f>
        <v/>
      </c>
      <c r="J159" s="59">
        <f>IF($B159="","",(N(Krankheitstage!K159)+N(Krankheitstage!X159))*N(Krankheitstage!C159))</f>
        <v/>
      </c>
      <c r="K159" s="59">
        <f>IF($B159="","",(N(Krankheitstage!L159)+N(Krankheitstage!Y159))*N(Krankheitstage!C159))</f>
        <v/>
      </c>
      <c r="L159" s="59">
        <f>IF($B159="","",(N(Krankheitstage!M159)+N(Krankheitstage!Z159))*N(Krankheitstage!C159))</f>
        <v/>
      </c>
      <c r="M159" s="59">
        <f>IF($B159="","",(N(Krankheitstage!N159)+N(Krankheitstage!AA159))*N(Krankheitstage!C159))</f>
        <v/>
      </c>
      <c r="N159" s="59">
        <f>IF($B159="","",(N(Krankheitstage!O159)+N(Krankheitstage!AB159))*N(Krankheitstage!C159))</f>
        <v/>
      </c>
      <c r="O159" s="66">
        <f>IF($B159="","",SUM(C159:N159))</f>
        <v/>
      </c>
      <c r="P159" s="58">
        <f>'KQuote Mitarbeiter'!E159</f>
        <v/>
      </c>
      <c r="Q159" s="67">
        <f>'KQuote Mitarbeiter'!L159</f>
        <v/>
      </c>
      <c r="R159" s="58">
        <f>'KQuote Mitarbeiter'!D159</f>
        <v/>
      </c>
      <c r="S159" s="67">
        <f>'KQuote Mitarbeiter'!K159</f>
        <v/>
      </c>
    </row>
    <row r="160">
      <c r="A160" s="49">
        <f>'KQuote Mitarbeiter'!A160</f>
        <v/>
      </c>
      <c r="B160" s="50">
        <f>'KQuote Mitarbeiter'!B160</f>
        <v/>
      </c>
      <c r="C160" s="59">
        <f>IF($B160="","",(N(Krankheitstage!D160)+N(Krankheitstage!Q160))*N(Krankheitstage!C160))</f>
        <v/>
      </c>
      <c r="D160" s="59">
        <f>IF($B160="","",(N(Krankheitstage!E160)+N(Krankheitstage!R160))*N(Krankheitstage!C160))</f>
        <v/>
      </c>
      <c r="E160" s="59">
        <f>IF($B160="","",(N(Krankheitstage!F160)+N(Krankheitstage!S160))*N(Krankheitstage!C160))</f>
        <v/>
      </c>
      <c r="F160" s="59">
        <f>IF($B160="","",(N(Krankheitstage!G160)+N(Krankheitstage!T160))*N(Krankheitstage!C160))</f>
        <v/>
      </c>
      <c r="G160" s="59">
        <f>IF($B160="","",(N(Krankheitstage!H160)+N(Krankheitstage!U160))*N(Krankheitstage!C160))</f>
        <v/>
      </c>
      <c r="H160" s="59">
        <f>IF($B160="","",(N(Krankheitstage!I160)+N(Krankheitstage!V160))*N(Krankheitstage!C160))</f>
        <v/>
      </c>
      <c r="I160" s="59">
        <f>IF($B160="","",(N(Krankheitstage!J160)+N(Krankheitstage!W160))*N(Krankheitstage!C160))</f>
        <v/>
      </c>
      <c r="J160" s="59">
        <f>IF($B160="","",(N(Krankheitstage!K160)+N(Krankheitstage!X160))*N(Krankheitstage!C160))</f>
        <v/>
      </c>
      <c r="K160" s="59">
        <f>IF($B160="","",(N(Krankheitstage!L160)+N(Krankheitstage!Y160))*N(Krankheitstage!C160))</f>
        <v/>
      </c>
      <c r="L160" s="59">
        <f>IF($B160="","",(N(Krankheitstage!M160)+N(Krankheitstage!Z160))*N(Krankheitstage!C160))</f>
        <v/>
      </c>
      <c r="M160" s="59">
        <f>IF($B160="","",(N(Krankheitstage!N160)+N(Krankheitstage!AA160))*N(Krankheitstage!C160))</f>
        <v/>
      </c>
      <c r="N160" s="59">
        <f>IF($B160="","",(N(Krankheitstage!O160)+N(Krankheitstage!AB160))*N(Krankheitstage!C160))</f>
        <v/>
      </c>
      <c r="O160" s="66">
        <f>IF($B160="","",SUM(C160:N160))</f>
        <v/>
      </c>
      <c r="P160" s="58">
        <f>'KQuote Mitarbeiter'!E160</f>
        <v/>
      </c>
      <c r="Q160" s="67">
        <f>'KQuote Mitarbeiter'!L160</f>
        <v/>
      </c>
      <c r="R160" s="58">
        <f>'KQuote Mitarbeiter'!D160</f>
        <v/>
      </c>
      <c r="S160" s="67">
        <f>'KQuote Mitarbeiter'!K160</f>
        <v/>
      </c>
    </row>
    <row r="161">
      <c r="A161" s="49">
        <f>'KQuote Mitarbeiter'!A161</f>
        <v/>
      </c>
      <c r="B161" s="50">
        <f>'KQuote Mitarbeiter'!B161</f>
        <v/>
      </c>
      <c r="C161" s="59">
        <f>IF($B161="","",(N(Krankheitstage!D161)+N(Krankheitstage!Q161))*N(Krankheitstage!C161))</f>
        <v/>
      </c>
      <c r="D161" s="59">
        <f>IF($B161="","",(N(Krankheitstage!E161)+N(Krankheitstage!R161))*N(Krankheitstage!C161))</f>
        <v/>
      </c>
      <c r="E161" s="59">
        <f>IF($B161="","",(N(Krankheitstage!F161)+N(Krankheitstage!S161))*N(Krankheitstage!C161))</f>
        <v/>
      </c>
      <c r="F161" s="59">
        <f>IF($B161="","",(N(Krankheitstage!G161)+N(Krankheitstage!T161))*N(Krankheitstage!C161))</f>
        <v/>
      </c>
      <c r="G161" s="59">
        <f>IF($B161="","",(N(Krankheitstage!H161)+N(Krankheitstage!U161))*N(Krankheitstage!C161))</f>
        <v/>
      </c>
      <c r="H161" s="59">
        <f>IF($B161="","",(N(Krankheitstage!I161)+N(Krankheitstage!V161))*N(Krankheitstage!C161))</f>
        <v/>
      </c>
      <c r="I161" s="59">
        <f>IF($B161="","",(N(Krankheitstage!J161)+N(Krankheitstage!W161))*N(Krankheitstage!C161))</f>
        <v/>
      </c>
      <c r="J161" s="59">
        <f>IF($B161="","",(N(Krankheitstage!K161)+N(Krankheitstage!X161))*N(Krankheitstage!C161))</f>
        <v/>
      </c>
      <c r="K161" s="59">
        <f>IF($B161="","",(N(Krankheitstage!L161)+N(Krankheitstage!Y161))*N(Krankheitstage!C161))</f>
        <v/>
      </c>
      <c r="L161" s="59">
        <f>IF($B161="","",(N(Krankheitstage!M161)+N(Krankheitstage!Z161))*N(Krankheitstage!C161))</f>
        <v/>
      </c>
      <c r="M161" s="59">
        <f>IF($B161="","",(N(Krankheitstage!N161)+N(Krankheitstage!AA161))*N(Krankheitstage!C161))</f>
        <v/>
      </c>
      <c r="N161" s="59">
        <f>IF($B161="","",(N(Krankheitstage!O161)+N(Krankheitstage!AB161))*N(Krankheitstage!C161))</f>
        <v/>
      </c>
      <c r="O161" s="66">
        <f>IF($B161="","",SUM(C161:N161))</f>
        <v/>
      </c>
      <c r="P161" s="58">
        <f>'KQuote Mitarbeiter'!E161</f>
        <v/>
      </c>
      <c r="Q161" s="67">
        <f>'KQuote Mitarbeiter'!L161</f>
        <v/>
      </c>
      <c r="R161" s="58">
        <f>'KQuote Mitarbeiter'!D161</f>
        <v/>
      </c>
      <c r="S161" s="67">
        <f>'KQuote Mitarbeiter'!K161</f>
        <v/>
      </c>
    </row>
    <row r="162">
      <c r="A162" s="49">
        <f>'KQuote Mitarbeiter'!A162</f>
        <v/>
      </c>
      <c r="B162" s="50">
        <f>'KQuote Mitarbeiter'!B162</f>
        <v/>
      </c>
      <c r="C162" s="59">
        <f>IF($B162="","",(N(Krankheitstage!D162)+N(Krankheitstage!Q162))*N(Krankheitstage!C162))</f>
        <v/>
      </c>
      <c r="D162" s="59">
        <f>IF($B162="","",(N(Krankheitstage!E162)+N(Krankheitstage!R162))*N(Krankheitstage!C162))</f>
        <v/>
      </c>
      <c r="E162" s="59">
        <f>IF($B162="","",(N(Krankheitstage!F162)+N(Krankheitstage!S162))*N(Krankheitstage!C162))</f>
        <v/>
      </c>
      <c r="F162" s="59">
        <f>IF($B162="","",(N(Krankheitstage!G162)+N(Krankheitstage!T162))*N(Krankheitstage!C162))</f>
        <v/>
      </c>
      <c r="G162" s="59">
        <f>IF($B162="","",(N(Krankheitstage!H162)+N(Krankheitstage!U162))*N(Krankheitstage!C162))</f>
        <v/>
      </c>
      <c r="H162" s="59">
        <f>IF($B162="","",(N(Krankheitstage!I162)+N(Krankheitstage!V162))*N(Krankheitstage!C162))</f>
        <v/>
      </c>
      <c r="I162" s="59">
        <f>IF($B162="","",(N(Krankheitstage!J162)+N(Krankheitstage!W162))*N(Krankheitstage!C162))</f>
        <v/>
      </c>
      <c r="J162" s="59">
        <f>IF($B162="","",(N(Krankheitstage!K162)+N(Krankheitstage!X162))*N(Krankheitstage!C162))</f>
        <v/>
      </c>
      <c r="K162" s="59">
        <f>IF($B162="","",(N(Krankheitstage!L162)+N(Krankheitstage!Y162))*N(Krankheitstage!C162))</f>
        <v/>
      </c>
      <c r="L162" s="59">
        <f>IF($B162="","",(N(Krankheitstage!M162)+N(Krankheitstage!Z162))*N(Krankheitstage!C162))</f>
        <v/>
      </c>
      <c r="M162" s="59">
        <f>IF($B162="","",(N(Krankheitstage!N162)+N(Krankheitstage!AA162))*N(Krankheitstage!C162))</f>
        <v/>
      </c>
      <c r="N162" s="59">
        <f>IF($B162="","",(N(Krankheitstage!O162)+N(Krankheitstage!AB162))*N(Krankheitstage!C162))</f>
        <v/>
      </c>
      <c r="O162" s="66">
        <f>IF($B162="","",SUM(C162:N162))</f>
        <v/>
      </c>
      <c r="P162" s="58">
        <f>'KQuote Mitarbeiter'!E162</f>
        <v/>
      </c>
      <c r="Q162" s="67">
        <f>'KQuote Mitarbeiter'!L162</f>
        <v/>
      </c>
      <c r="R162" s="58">
        <f>'KQuote Mitarbeiter'!D162</f>
        <v/>
      </c>
      <c r="S162" s="67">
        <f>'KQuote Mitarbeiter'!K162</f>
        <v/>
      </c>
    </row>
    <row r="163">
      <c r="A163" s="49">
        <f>'KQuote Mitarbeiter'!A163</f>
        <v/>
      </c>
      <c r="B163" s="50">
        <f>'KQuote Mitarbeiter'!B163</f>
        <v/>
      </c>
      <c r="C163" s="59">
        <f>IF($B163="","",(N(Krankheitstage!D163)+N(Krankheitstage!Q163))*N(Krankheitstage!C163))</f>
        <v/>
      </c>
      <c r="D163" s="59">
        <f>IF($B163="","",(N(Krankheitstage!E163)+N(Krankheitstage!R163))*N(Krankheitstage!C163))</f>
        <v/>
      </c>
      <c r="E163" s="59">
        <f>IF($B163="","",(N(Krankheitstage!F163)+N(Krankheitstage!S163))*N(Krankheitstage!C163))</f>
        <v/>
      </c>
      <c r="F163" s="59">
        <f>IF($B163="","",(N(Krankheitstage!G163)+N(Krankheitstage!T163))*N(Krankheitstage!C163))</f>
        <v/>
      </c>
      <c r="G163" s="59">
        <f>IF($B163="","",(N(Krankheitstage!H163)+N(Krankheitstage!U163))*N(Krankheitstage!C163))</f>
        <v/>
      </c>
      <c r="H163" s="59">
        <f>IF($B163="","",(N(Krankheitstage!I163)+N(Krankheitstage!V163))*N(Krankheitstage!C163))</f>
        <v/>
      </c>
      <c r="I163" s="59">
        <f>IF($B163="","",(N(Krankheitstage!J163)+N(Krankheitstage!W163))*N(Krankheitstage!C163))</f>
        <v/>
      </c>
      <c r="J163" s="59">
        <f>IF($B163="","",(N(Krankheitstage!K163)+N(Krankheitstage!X163))*N(Krankheitstage!C163))</f>
        <v/>
      </c>
      <c r="K163" s="59">
        <f>IF($B163="","",(N(Krankheitstage!L163)+N(Krankheitstage!Y163))*N(Krankheitstage!C163))</f>
        <v/>
      </c>
      <c r="L163" s="59">
        <f>IF($B163="","",(N(Krankheitstage!M163)+N(Krankheitstage!Z163))*N(Krankheitstage!C163))</f>
        <v/>
      </c>
      <c r="M163" s="59">
        <f>IF($B163="","",(N(Krankheitstage!N163)+N(Krankheitstage!AA163))*N(Krankheitstage!C163))</f>
        <v/>
      </c>
      <c r="N163" s="59">
        <f>IF($B163="","",(N(Krankheitstage!O163)+N(Krankheitstage!AB163))*N(Krankheitstage!C163))</f>
        <v/>
      </c>
      <c r="O163" s="66">
        <f>IF($B163="","",SUM(C163:N163))</f>
        <v/>
      </c>
      <c r="P163" s="58">
        <f>'KQuote Mitarbeiter'!E163</f>
        <v/>
      </c>
      <c r="Q163" s="67">
        <f>'KQuote Mitarbeiter'!L163</f>
        <v/>
      </c>
      <c r="R163" s="58">
        <f>'KQuote Mitarbeiter'!D163</f>
        <v/>
      </c>
      <c r="S163" s="67">
        <f>'KQuote Mitarbeiter'!K163</f>
        <v/>
      </c>
    </row>
    <row r="164">
      <c r="A164" s="49">
        <f>'KQuote Mitarbeiter'!A164</f>
        <v/>
      </c>
      <c r="B164" s="50">
        <f>'KQuote Mitarbeiter'!B164</f>
        <v/>
      </c>
      <c r="C164" s="59">
        <f>IF($B164="","",(N(Krankheitstage!D164)+N(Krankheitstage!Q164))*N(Krankheitstage!C164))</f>
        <v/>
      </c>
      <c r="D164" s="59">
        <f>IF($B164="","",(N(Krankheitstage!E164)+N(Krankheitstage!R164))*N(Krankheitstage!C164))</f>
        <v/>
      </c>
      <c r="E164" s="59">
        <f>IF($B164="","",(N(Krankheitstage!F164)+N(Krankheitstage!S164))*N(Krankheitstage!C164))</f>
        <v/>
      </c>
      <c r="F164" s="59">
        <f>IF($B164="","",(N(Krankheitstage!G164)+N(Krankheitstage!T164))*N(Krankheitstage!C164))</f>
        <v/>
      </c>
      <c r="G164" s="59">
        <f>IF($B164="","",(N(Krankheitstage!H164)+N(Krankheitstage!U164))*N(Krankheitstage!C164))</f>
        <v/>
      </c>
      <c r="H164" s="59">
        <f>IF($B164="","",(N(Krankheitstage!I164)+N(Krankheitstage!V164))*N(Krankheitstage!C164))</f>
        <v/>
      </c>
      <c r="I164" s="59">
        <f>IF($B164="","",(N(Krankheitstage!J164)+N(Krankheitstage!W164))*N(Krankheitstage!C164))</f>
        <v/>
      </c>
      <c r="J164" s="59">
        <f>IF($B164="","",(N(Krankheitstage!K164)+N(Krankheitstage!X164))*N(Krankheitstage!C164))</f>
        <v/>
      </c>
      <c r="K164" s="59">
        <f>IF($B164="","",(N(Krankheitstage!L164)+N(Krankheitstage!Y164))*N(Krankheitstage!C164))</f>
        <v/>
      </c>
      <c r="L164" s="59">
        <f>IF($B164="","",(N(Krankheitstage!M164)+N(Krankheitstage!Z164))*N(Krankheitstage!C164))</f>
        <v/>
      </c>
      <c r="M164" s="59">
        <f>IF($B164="","",(N(Krankheitstage!N164)+N(Krankheitstage!AA164))*N(Krankheitstage!C164))</f>
        <v/>
      </c>
      <c r="N164" s="59">
        <f>IF($B164="","",(N(Krankheitstage!O164)+N(Krankheitstage!AB164))*N(Krankheitstage!C164))</f>
        <v/>
      </c>
      <c r="O164" s="66">
        <f>IF($B164="","",SUM(C164:N164))</f>
        <v/>
      </c>
      <c r="P164" s="58">
        <f>'KQuote Mitarbeiter'!E164</f>
        <v/>
      </c>
      <c r="Q164" s="67">
        <f>'KQuote Mitarbeiter'!L164</f>
        <v/>
      </c>
      <c r="R164" s="58">
        <f>'KQuote Mitarbeiter'!D164</f>
        <v/>
      </c>
      <c r="S164" s="67">
        <f>'KQuote Mitarbeiter'!K164</f>
        <v/>
      </c>
    </row>
    <row r="165">
      <c r="A165" s="49">
        <f>'KQuote Mitarbeiter'!A165</f>
        <v/>
      </c>
      <c r="B165" s="50">
        <f>'KQuote Mitarbeiter'!B165</f>
        <v/>
      </c>
      <c r="C165" s="59">
        <f>IF($B165="","",(N(Krankheitstage!D165)+N(Krankheitstage!Q165))*N(Krankheitstage!C165))</f>
        <v/>
      </c>
      <c r="D165" s="59">
        <f>IF($B165="","",(N(Krankheitstage!E165)+N(Krankheitstage!R165))*N(Krankheitstage!C165))</f>
        <v/>
      </c>
      <c r="E165" s="59">
        <f>IF($B165="","",(N(Krankheitstage!F165)+N(Krankheitstage!S165))*N(Krankheitstage!C165))</f>
        <v/>
      </c>
      <c r="F165" s="59">
        <f>IF($B165="","",(N(Krankheitstage!G165)+N(Krankheitstage!T165))*N(Krankheitstage!C165))</f>
        <v/>
      </c>
      <c r="G165" s="59">
        <f>IF($B165="","",(N(Krankheitstage!H165)+N(Krankheitstage!U165))*N(Krankheitstage!C165))</f>
        <v/>
      </c>
      <c r="H165" s="59">
        <f>IF($B165="","",(N(Krankheitstage!I165)+N(Krankheitstage!V165))*N(Krankheitstage!C165))</f>
        <v/>
      </c>
      <c r="I165" s="59">
        <f>IF($B165="","",(N(Krankheitstage!J165)+N(Krankheitstage!W165))*N(Krankheitstage!C165))</f>
        <v/>
      </c>
      <c r="J165" s="59">
        <f>IF($B165="","",(N(Krankheitstage!K165)+N(Krankheitstage!X165))*N(Krankheitstage!C165))</f>
        <v/>
      </c>
      <c r="K165" s="59">
        <f>IF($B165="","",(N(Krankheitstage!L165)+N(Krankheitstage!Y165))*N(Krankheitstage!C165))</f>
        <v/>
      </c>
      <c r="L165" s="59">
        <f>IF($B165="","",(N(Krankheitstage!M165)+N(Krankheitstage!Z165))*N(Krankheitstage!C165))</f>
        <v/>
      </c>
      <c r="M165" s="59">
        <f>IF($B165="","",(N(Krankheitstage!N165)+N(Krankheitstage!AA165))*N(Krankheitstage!C165))</f>
        <v/>
      </c>
      <c r="N165" s="59">
        <f>IF($B165="","",(N(Krankheitstage!O165)+N(Krankheitstage!AB165))*N(Krankheitstage!C165))</f>
        <v/>
      </c>
      <c r="O165" s="66">
        <f>IF($B165="","",SUM(C165:N165))</f>
        <v/>
      </c>
      <c r="P165" s="58">
        <f>'KQuote Mitarbeiter'!E165</f>
        <v/>
      </c>
      <c r="Q165" s="67">
        <f>'KQuote Mitarbeiter'!L165</f>
        <v/>
      </c>
      <c r="R165" s="58">
        <f>'KQuote Mitarbeiter'!D165</f>
        <v/>
      </c>
      <c r="S165" s="67">
        <f>'KQuote Mitarbeiter'!K165</f>
        <v/>
      </c>
    </row>
    <row r="166">
      <c r="A166" s="49">
        <f>'KQuote Mitarbeiter'!A166</f>
        <v/>
      </c>
      <c r="B166" s="50">
        <f>'KQuote Mitarbeiter'!B166</f>
        <v/>
      </c>
      <c r="C166" s="59">
        <f>IF($B166="","",(N(Krankheitstage!D166)+N(Krankheitstage!Q166))*N(Krankheitstage!C166))</f>
        <v/>
      </c>
      <c r="D166" s="59">
        <f>IF($B166="","",(N(Krankheitstage!E166)+N(Krankheitstage!R166))*N(Krankheitstage!C166))</f>
        <v/>
      </c>
      <c r="E166" s="59">
        <f>IF($B166="","",(N(Krankheitstage!F166)+N(Krankheitstage!S166))*N(Krankheitstage!C166))</f>
        <v/>
      </c>
      <c r="F166" s="59">
        <f>IF($B166="","",(N(Krankheitstage!G166)+N(Krankheitstage!T166))*N(Krankheitstage!C166))</f>
        <v/>
      </c>
      <c r="G166" s="59">
        <f>IF($B166="","",(N(Krankheitstage!H166)+N(Krankheitstage!U166))*N(Krankheitstage!C166))</f>
        <v/>
      </c>
      <c r="H166" s="59">
        <f>IF($B166="","",(N(Krankheitstage!I166)+N(Krankheitstage!V166))*N(Krankheitstage!C166))</f>
        <v/>
      </c>
      <c r="I166" s="59">
        <f>IF($B166="","",(N(Krankheitstage!J166)+N(Krankheitstage!W166))*N(Krankheitstage!C166))</f>
        <v/>
      </c>
      <c r="J166" s="59">
        <f>IF($B166="","",(N(Krankheitstage!K166)+N(Krankheitstage!X166))*N(Krankheitstage!C166))</f>
        <v/>
      </c>
      <c r="K166" s="59">
        <f>IF($B166="","",(N(Krankheitstage!L166)+N(Krankheitstage!Y166))*N(Krankheitstage!C166))</f>
        <v/>
      </c>
      <c r="L166" s="59">
        <f>IF($B166="","",(N(Krankheitstage!M166)+N(Krankheitstage!Z166))*N(Krankheitstage!C166))</f>
        <v/>
      </c>
      <c r="M166" s="59">
        <f>IF($B166="","",(N(Krankheitstage!N166)+N(Krankheitstage!AA166))*N(Krankheitstage!C166))</f>
        <v/>
      </c>
      <c r="N166" s="59">
        <f>IF($B166="","",(N(Krankheitstage!O166)+N(Krankheitstage!AB166))*N(Krankheitstage!C166))</f>
        <v/>
      </c>
      <c r="O166" s="66">
        <f>IF($B166="","",SUM(C166:N166))</f>
        <v/>
      </c>
      <c r="P166" s="58">
        <f>'KQuote Mitarbeiter'!E166</f>
        <v/>
      </c>
      <c r="Q166" s="67">
        <f>'KQuote Mitarbeiter'!L166</f>
        <v/>
      </c>
      <c r="R166" s="58">
        <f>'KQuote Mitarbeiter'!D166</f>
        <v/>
      </c>
      <c r="S166" s="67">
        <f>'KQuote Mitarbeiter'!K166</f>
        <v/>
      </c>
    </row>
    <row r="167">
      <c r="A167" s="49">
        <f>'KQuote Mitarbeiter'!A167</f>
        <v/>
      </c>
      <c r="B167" s="50">
        <f>'KQuote Mitarbeiter'!B167</f>
        <v/>
      </c>
      <c r="C167" s="59">
        <f>IF($B167="","",(N(Krankheitstage!D167)+N(Krankheitstage!Q167))*N(Krankheitstage!C167))</f>
        <v/>
      </c>
      <c r="D167" s="59">
        <f>IF($B167="","",(N(Krankheitstage!E167)+N(Krankheitstage!R167))*N(Krankheitstage!C167))</f>
        <v/>
      </c>
      <c r="E167" s="59">
        <f>IF($B167="","",(N(Krankheitstage!F167)+N(Krankheitstage!S167))*N(Krankheitstage!C167))</f>
        <v/>
      </c>
      <c r="F167" s="59">
        <f>IF($B167="","",(N(Krankheitstage!G167)+N(Krankheitstage!T167))*N(Krankheitstage!C167))</f>
        <v/>
      </c>
      <c r="G167" s="59">
        <f>IF($B167="","",(N(Krankheitstage!H167)+N(Krankheitstage!U167))*N(Krankheitstage!C167))</f>
        <v/>
      </c>
      <c r="H167" s="59">
        <f>IF($B167="","",(N(Krankheitstage!I167)+N(Krankheitstage!V167))*N(Krankheitstage!C167))</f>
        <v/>
      </c>
      <c r="I167" s="59">
        <f>IF($B167="","",(N(Krankheitstage!J167)+N(Krankheitstage!W167))*N(Krankheitstage!C167))</f>
        <v/>
      </c>
      <c r="J167" s="59">
        <f>IF($B167="","",(N(Krankheitstage!K167)+N(Krankheitstage!X167))*N(Krankheitstage!C167))</f>
        <v/>
      </c>
      <c r="K167" s="59">
        <f>IF($B167="","",(N(Krankheitstage!L167)+N(Krankheitstage!Y167))*N(Krankheitstage!C167))</f>
        <v/>
      </c>
      <c r="L167" s="59">
        <f>IF($B167="","",(N(Krankheitstage!M167)+N(Krankheitstage!Z167))*N(Krankheitstage!C167))</f>
        <v/>
      </c>
      <c r="M167" s="59">
        <f>IF($B167="","",(N(Krankheitstage!N167)+N(Krankheitstage!AA167))*N(Krankheitstage!C167))</f>
        <v/>
      </c>
      <c r="N167" s="59">
        <f>IF($B167="","",(N(Krankheitstage!O167)+N(Krankheitstage!AB167))*N(Krankheitstage!C167))</f>
        <v/>
      </c>
      <c r="O167" s="66">
        <f>IF($B167="","",SUM(C167:N167))</f>
        <v/>
      </c>
      <c r="P167" s="58">
        <f>'KQuote Mitarbeiter'!E167</f>
        <v/>
      </c>
      <c r="Q167" s="67">
        <f>'KQuote Mitarbeiter'!L167</f>
        <v/>
      </c>
      <c r="R167" s="58">
        <f>'KQuote Mitarbeiter'!D167</f>
        <v/>
      </c>
      <c r="S167" s="67">
        <f>'KQuote Mitarbeiter'!K167</f>
        <v/>
      </c>
    </row>
    <row r="168">
      <c r="A168" s="49">
        <f>'KQuote Mitarbeiter'!A168</f>
        <v/>
      </c>
      <c r="B168" s="50">
        <f>'KQuote Mitarbeiter'!B168</f>
        <v/>
      </c>
      <c r="C168" s="59">
        <f>IF($B168="","",(N(Krankheitstage!D168)+N(Krankheitstage!Q168))*N(Krankheitstage!C168))</f>
        <v/>
      </c>
      <c r="D168" s="59">
        <f>IF($B168="","",(N(Krankheitstage!E168)+N(Krankheitstage!R168))*N(Krankheitstage!C168))</f>
        <v/>
      </c>
      <c r="E168" s="59">
        <f>IF($B168="","",(N(Krankheitstage!F168)+N(Krankheitstage!S168))*N(Krankheitstage!C168))</f>
        <v/>
      </c>
      <c r="F168" s="59">
        <f>IF($B168="","",(N(Krankheitstage!G168)+N(Krankheitstage!T168))*N(Krankheitstage!C168))</f>
        <v/>
      </c>
      <c r="G168" s="59">
        <f>IF($B168="","",(N(Krankheitstage!H168)+N(Krankheitstage!U168))*N(Krankheitstage!C168))</f>
        <v/>
      </c>
      <c r="H168" s="59">
        <f>IF($B168="","",(N(Krankheitstage!I168)+N(Krankheitstage!V168))*N(Krankheitstage!C168))</f>
        <v/>
      </c>
      <c r="I168" s="59">
        <f>IF($B168="","",(N(Krankheitstage!J168)+N(Krankheitstage!W168))*N(Krankheitstage!C168))</f>
        <v/>
      </c>
      <c r="J168" s="59">
        <f>IF($B168="","",(N(Krankheitstage!K168)+N(Krankheitstage!X168))*N(Krankheitstage!C168))</f>
        <v/>
      </c>
      <c r="K168" s="59">
        <f>IF($B168="","",(N(Krankheitstage!L168)+N(Krankheitstage!Y168))*N(Krankheitstage!C168))</f>
        <v/>
      </c>
      <c r="L168" s="59">
        <f>IF($B168="","",(N(Krankheitstage!M168)+N(Krankheitstage!Z168))*N(Krankheitstage!C168))</f>
        <v/>
      </c>
      <c r="M168" s="59">
        <f>IF($B168="","",(N(Krankheitstage!N168)+N(Krankheitstage!AA168))*N(Krankheitstage!C168))</f>
        <v/>
      </c>
      <c r="N168" s="59">
        <f>IF($B168="","",(N(Krankheitstage!O168)+N(Krankheitstage!AB168))*N(Krankheitstage!C168))</f>
        <v/>
      </c>
      <c r="O168" s="66">
        <f>IF($B168="","",SUM(C168:N168))</f>
        <v/>
      </c>
      <c r="P168" s="58">
        <f>'KQuote Mitarbeiter'!E168</f>
        <v/>
      </c>
      <c r="Q168" s="67">
        <f>'KQuote Mitarbeiter'!L168</f>
        <v/>
      </c>
      <c r="R168" s="58">
        <f>'KQuote Mitarbeiter'!D168</f>
        <v/>
      </c>
      <c r="S168" s="67">
        <f>'KQuote Mitarbeiter'!K168</f>
        <v/>
      </c>
    </row>
    <row r="169">
      <c r="A169" s="49">
        <f>'KQuote Mitarbeiter'!A169</f>
        <v/>
      </c>
      <c r="B169" s="50">
        <f>'KQuote Mitarbeiter'!B169</f>
        <v/>
      </c>
      <c r="C169" s="59">
        <f>IF($B169="","",(N(Krankheitstage!D169)+N(Krankheitstage!Q169))*N(Krankheitstage!C169))</f>
        <v/>
      </c>
      <c r="D169" s="59">
        <f>IF($B169="","",(N(Krankheitstage!E169)+N(Krankheitstage!R169))*N(Krankheitstage!C169))</f>
        <v/>
      </c>
      <c r="E169" s="59">
        <f>IF($B169="","",(N(Krankheitstage!F169)+N(Krankheitstage!S169))*N(Krankheitstage!C169))</f>
        <v/>
      </c>
      <c r="F169" s="59">
        <f>IF($B169="","",(N(Krankheitstage!G169)+N(Krankheitstage!T169))*N(Krankheitstage!C169))</f>
        <v/>
      </c>
      <c r="G169" s="59">
        <f>IF($B169="","",(N(Krankheitstage!H169)+N(Krankheitstage!U169))*N(Krankheitstage!C169))</f>
        <v/>
      </c>
      <c r="H169" s="59">
        <f>IF($B169="","",(N(Krankheitstage!I169)+N(Krankheitstage!V169))*N(Krankheitstage!C169))</f>
        <v/>
      </c>
      <c r="I169" s="59">
        <f>IF($B169="","",(N(Krankheitstage!J169)+N(Krankheitstage!W169))*N(Krankheitstage!C169))</f>
        <v/>
      </c>
      <c r="J169" s="59">
        <f>IF($B169="","",(N(Krankheitstage!K169)+N(Krankheitstage!X169))*N(Krankheitstage!C169))</f>
        <v/>
      </c>
      <c r="K169" s="59">
        <f>IF($B169="","",(N(Krankheitstage!L169)+N(Krankheitstage!Y169))*N(Krankheitstage!C169))</f>
        <v/>
      </c>
      <c r="L169" s="59">
        <f>IF($B169="","",(N(Krankheitstage!M169)+N(Krankheitstage!Z169))*N(Krankheitstage!C169))</f>
        <v/>
      </c>
      <c r="M169" s="59">
        <f>IF($B169="","",(N(Krankheitstage!N169)+N(Krankheitstage!AA169))*N(Krankheitstage!C169))</f>
        <v/>
      </c>
      <c r="N169" s="59">
        <f>IF($B169="","",(N(Krankheitstage!O169)+N(Krankheitstage!AB169))*N(Krankheitstage!C169))</f>
        <v/>
      </c>
      <c r="O169" s="66">
        <f>IF($B169="","",SUM(C169:N169))</f>
        <v/>
      </c>
      <c r="P169" s="58">
        <f>'KQuote Mitarbeiter'!E169</f>
        <v/>
      </c>
      <c r="Q169" s="67">
        <f>'KQuote Mitarbeiter'!L169</f>
        <v/>
      </c>
      <c r="R169" s="58">
        <f>'KQuote Mitarbeiter'!D169</f>
        <v/>
      </c>
      <c r="S169" s="67">
        <f>'KQuote Mitarbeiter'!K169</f>
        <v/>
      </c>
    </row>
    <row r="170">
      <c r="A170" s="49">
        <f>'KQuote Mitarbeiter'!A170</f>
        <v/>
      </c>
      <c r="B170" s="50">
        <f>'KQuote Mitarbeiter'!B170</f>
        <v/>
      </c>
      <c r="C170" s="59">
        <f>IF($B170="","",(N(Krankheitstage!D170)+N(Krankheitstage!Q170))*N(Krankheitstage!C170))</f>
        <v/>
      </c>
      <c r="D170" s="59">
        <f>IF($B170="","",(N(Krankheitstage!E170)+N(Krankheitstage!R170))*N(Krankheitstage!C170))</f>
        <v/>
      </c>
      <c r="E170" s="59">
        <f>IF($B170="","",(N(Krankheitstage!F170)+N(Krankheitstage!S170))*N(Krankheitstage!C170))</f>
        <v/>
      </c>
      <c r="F170" s="59">
        <f>IF($B170="","",(N(Krankheitstage!G170)+N(Krankheitstage!T170))*N(Krankheitstage!C170))</f>
        <v/>
      </c>
      <c r="G170" s="59">
        <f>IF($B170="","",(N(Krankheitstage!H170)+N(Krankheitstage!U170))*N(Krankheitstage!C170))</f>
        <v/>
      </c>
      <c r="H170" s="59">
        <f>IF($B170="","",(N(Krankheitstage!I170)+N(Krankheitstage!V170))*N(Krankheitstage!C170))</f>
        <v/>
      </c>
      <c r="I170" s="59">
        <f>IF($B170="","",(N(Krankheitstage!J170)+N(Krankheitstage!W170))*N(Krankheitstage!C170))</f>
        <v/>
      </c>
      <c r="J170" s="59">
        <f>IF($B170="","",(N(Krankheitstage!K170)+N(Krankheitstage!X170))*N(Krankheitstage!C170))</f>
        <v/>
      </c>
      <c r="K170" s="59">
        <f>IF($B170="","",(N(Krankheitstage!L170)+N(Krankheitstage!Y170))*N(Krankheitstage!C170))</f>
        <v/>
      </c>
      <c r="L170" s="59">
        <f>IF($B170="","",(N(Krankheitstage!M170)+N(Krankheitstage!Z170))*N(Krankheitstage!C170))</f>
        <v/>
      </c>
      <c r="M170" s="59">
        <f>IF($B170="","",(N(Krankheitstage!N170)+N(Krankheitstage!AA170))*N(Krankheitstage!C170))</f>
        <v/>
      </c>
      <c r="N170" s="59">
        <f>IF($B170="","",(N(Krankheitstage!O170)+N(Krankheitstage!AB170))*N(Krankheitstage!C170))</f>
        <v/>
      </c>
      <c r="O170" s="66">
        <f>IF($B170="","",SUM(C170:N170))</f>
        <v/>
      </c>
      <c r="P170" s="58">
        <f>'KQuote Mitarbeiter'!E170</f>
        <v/>
      </c>
      <c r="Q170" s="67">
        <f>'KQuote Mitarbeiter'!L170</f>
        <v/>
      </c>
      <c r="R170" s="58">
        <f>'KQuote Mitarbeiter'!D170</f>
        <v/>
      </c>
      <c r="S170" s="67">
        <f>'KQuote Mitarbeiter'!K170</f>
        <v/>
      </c>
    </row>
    <row r="171">
      <c r="A171" s="49">
        <f>'KQuote Mitarbeiter'!A171</f>
        <v/>
      </c>
      <c r="B171" s="50">
        <f>'KQuote Mitarbeiter'!B171</f>
        <v/>
      </c>
      <c r="C171" s="59">
        <f>IF($B171="","",(N(Krankheitstage!D171)+N(Krankheitstage!Q171))*N(Krankheitstage!C171))</f>
        <v/>
      </c>
      <c r="D171" s="59">
        <f>IF($B171="","",(N(Krankheitstage!E171)+N(Krankheitstage!R171))*N(Krankheitstage!C171))</f>
        <v/>
      </c>
      <c r="E171" s="59">
        <f>IF($B171="","",(N(Krankheitstage!F171)+N(Krankheitstage!S171))*N(Krankheitstage!C171))</f>
        <v/>
      </c>
      <c r="F171" s="59">
        <f>IF($B171="","",(N(Krankheitstage!G171)+N(Krankheitstage!T171))*N(Krankheitstage!C171))</f>
        <v/>
      </c>
      <c r="G171" s="59">
        <f>IF($B171="","",(N(Krankheitstage!H171)+N(Krankheitstage!U171))*N(Krankheitstage!C171))</f>
        <v/>
      </c>
      <c r="H171" s="59">
        <f>IF($B171="","",(N(Krankheitstage!I171)+N(Krankheitstage!V171))*N(Krankheitstage!C171))</f>
        <v/>
      </c>
      <c r="I171" s="59">
        <f>IF($B171="","",(N(Krankheitstage!J171)+N(Krankheitstage!W171))*N(Krankheitstage!C171))</f>
        <v/>
      </c>
      <c r="J171" s="59">
        <f>IF($B171="","",(N(Krankheitstage!K171)+N(Krankheitstage!X171))*N(Krankheitstage!C171))</f>
        <v/>
      </c>
      <c r="K171" s="59">
        <f>IF($B171="","",(N(Krankheitstage!L171)+N(Krankheitstage!Y171))*N(Krankheitstage!C171))</f>
        <v/>
      </c>
      <c r="L171" s="59">
        <f>IF($B171="","",(N(Krankheitstage!M171)+N(Krankheitstage!Z171))*N(Krankheitstage!C171))</f>
        <v/>
      </c>
      <c r="M171" s="59">
        <f>IF($B171="","",(N(Krankheitstage!N171)+N(Krankheitstage!AA171))*N(Krankheitstage!C171))</f>
        <v/>
      </c>
      <c r="N171" s="59">
        <f>IF($B171="","",(N(Krankheitstage!O171)+N(Krankheitstage!AB171))*N(Krankheitstage!C171))</f>
        <v/>
      </c>
      <c r="O171" s="66">
        <f>IF($B171="","",SUM(C171:N171))</f>
        <v/>
      </c>
      <c r="P171" s="58">
        <f>'KQuote Mitarbeiter'!E171</f>
        <v/>
      </c>
      <c r="Q171" s="67">
        <f>'KQuote Mitarbeiter'!L171</f>
        <v/>
      </c>
      <c r="R171" s="58">
        <f>'KQuote Mitarbeiter'!D171</f>
        <v/>
      </c>
      <c r="S171" s="67">
        <f>'KQuote Mitarbeiter'!K171</f>
        <v/>
      </c>
    </row>
    <row r="172">
      <c r="A172" s="49">
        <f>'KQuote Mitarbeiter'!A172</f>
        <v/>
      </c>
      <c r="B172" s="50">
        <f>'KQuote Mitarbeiter'!B172</f>
        <v/>
      </c>
      <c r="C172" s="59">
        <f>IF($B172="","",(N(Krankheitstage!D172)+N(Krankheitstage!Q172))*N(Krankheitstage!C172))</f>
        <v/>
      </c>
      <c r="D172" s="59">
        <f>IF($B172="","",(N(Krankheitstage!E172)+N(Krankheitstage!R172))*N(Krankheitstage!C172))</f>
        <v/>
      </c>
      <c r="E172" s="59">
        <f>IF($B172="","",(N(Krankheitstage!F172)+N(Krankheitstage!S172))*N(Krankheitstage!C172))</f>
        <v/>
      </c>
      <c r="F172" s="59">
        <f>IF($B172="","",(N(Krankheitstage!G172)+N(Krankheitstage!T172))*N(Krankheitstage!C172))</f>
        <v/>
      </c>
      <c r="G172" s="59">
        <f>IF($B172="","",(N(Krankheitstage!H172)+N(Krankheitstage!U172))*N(Krankheitstage!C172))</f>
        <v/>
      </c>
      <c r="H172" s="59">
        <f>IF($B172="","",(N(Krankheitstage!I172)+N(Krankheitstage!V172))*N(Krankheitstage!C172))</f>
        <v/>
      </c>
      <c r="I172" s="59">
        <f>IF($B172="","",(N(Krankheitstage!J172)+N(Krankheitstage!W172))*N(Krankheitstage!C172))</f>
        <v/>
      </c>
      <c r="J172" s="59">
        <f>IF($B172="","",(N(Krankheitstage!K172)+N(Krankheitstage!X172))*N(Krankheitstage!C172))</f>
        <v/>
      </c>
      <c r="K172" s="59">
        <f>IF($B172="","",(N(Krankheitstage!L172)+N(Krankheitstage!Y172))*N(Krankheitstage!C172))</f>
        <v/>
      </c>
      <c r="L172" s="59">
        <f>IF($B172="","",(N(Krankheitstage!M172)+N(Krankheitstage!Z172))*N(Krankheitstage!C172))</f>
        <v/>
      </c>
      <c r="M172" s="59">
        <f>IF($B172="","",(N(Krankheitstage!N172)+N(Krankheitstage!AA172))*N(Krankheitstage!C172))</f>
        <v/>
      </c>
      <c r="N172" s="59">
        <f>IF($B172="","",(N(Krankheitstage!O172)+N(Krankheitstage!AB172))*N(Krankheitstage!C172))</f>
        <v/>
      </c>
      <c r="O172" s="66">
        <f>IF($B172="","",SUM(C172:N172))</f>
        <v/>
      </c>
      <c r="P172" s="58">
        <f>'KQuote Mitarbeiter'!E172</f>
        <v/>
      </c>
      <c r="Q172" s="67">
        <f>'KQuote Mitarbeiter'!L172</f>
        <v/>
      </c>
      <c r="R172" s="58">
        <f>'KQuote Mitarbeiter'!D172</f>
        <v/>
      </c>
      <c r="S172" s="67">
        <f>'KQuote Mitarbeiter'!K172</f>
        <v/>
      </c>
    </row>
    <row r="173">
      <c r="A173" s="49">
        <f>'KQuote Mitarbeiter'!A173</f>
        <v/>
      </c>
      <c r="B173" s="50">
        <f>'KQuote Mitarbeiter'!B173</f>
        <v/>
      </c>
      <c r="C173" s="59">
        <f>IF($B173="","",(N(Krankheitstage!D173)+N(Krankheitstage!Q173))*N(Krankheitstage!C173))</f>
        <v/>
      </c>
      <c r="D173" s="59">
        <f>IF($B173="","",(N(Krankheitstage!E173)+N(Krankheitstage!R173))*N(Krankheitstage!C173))</f>
        <v/>
      </c>
      <c r="E173" s="59">
        <f>IF($B173="","",(N(Krankheitstage!F173)+N(Krankheitstage!S173))*N(Krankheitstage!C173))</f>
        <v/>
      </c>
      <c r="F173" s="59">
        <f>IF($B173="","",(N(Krankheitstage!G173)+N(Krankheitstage!T173))*N(Krankheitstage!C173))</f>
        <v/>
      </c>
      <c r="G173" s="59">
        <f>IF($B173="","",(N(Krankheitstage!H173)+N(Krankheitstage!U173))*N(Krankheitstage!C173))</f>
        <v/>
      </c>
      <c r="H173" s="59">
        <f>IF($B173="","",(N(Krankheitstage!I173)+N(Krankheitstage!V173))*N(Krankheitstage!C173))</f>
        <v/>
      </c>
      <c r="I173" s="59">
        <f>IF($B173="","",(N(Krankheitstage!J173)+N(Krankheitstage!W173))*N(Krankheitstage!C173))</f>
        <v/>
      </c>
      <c r="J173" s="59">
        <f>IF($B173="","",(N(Krankheitstage!K173)+N(Krankheitstage!X173))*N(Krankheitstage!C173))</f>
        <v/>
      </c>
      <c r="K173" s="59">
        <f>IF($B173="","",(N(Krankheitstage!L173)+N(Krankheitstage!Y173))*N(Krankheitstage!C173))</f>
        <v/>
      </c>
      <c r="L173" s="59">
        <f>IF($B173="","",(N(Krankheitstage!M173)+N(Krankheitstage!Z173))*N(Krankheitstage!C173))</f>
        <v/>
      </c>
      <c r="M173" s="59">
        <f>IF($B173="","",(N(Krankheitstage!N173)+N(Krankheitstage!AA173))*N(Krankheitstage!C173))</f>
        <v/>
      </c>
      <c r="N173" s="59">
        <f>IF($B173="","",(N(Krankheitstage!O173)+N(Krankheitstage!AB173))*N(Krankheitstage!C173))</f>
        <v/>
      </c>
      <c r="O173" s="66">
        <f>IF($B173="","",SUM(C173:N173))</f>
        <v/>
      </c>
      <c r="P173" s="58">
        <f>'KQuote Mitarbeiter'!E173</f>
        <v/>
      </c>
      <c r="Q173" s="67">
        <f>'KQuote Mitarbeiter'!L173</f>
        <v/>
      </c>
      <c r="R173" s="58">
        <f>'KQuote Mitarbeiter'!D173</f>
        <v/>
      </c>
      <c r="S173" s="67">
        <f>'KQuote Mitarbeiter'!K173</f>
        <v/>
      </c>
    </row>
    <row r="174">
      <c r="A174" s="49">
        <f>'KQuote Mitarbeiter'!A174</f>
        <v/>
      </c>
      <c r="B174" s="50">
        <f>'KQuote Mitarbeiter'!B174</f>
        <v/>
      </c>
      <c r="C174" s="59">
        <f>IF($B174="","",(N(Krankheitstage!D174)+N(Krankheitstage!Q174))*N(Krankheitstage!C174))</f>
        <v/>
      </c>
      <c r="D174" s="59">
        <f>IF($B174="","",(N(Krankheitstage!E174)+N(Krankheitstage!R174))*N(Krankheitstage!C174))</f>
        <v/>
      </c>
      <c r="E174" s="59">
        <f>IF($B174="","",(N(Krankheitstage!F174)+N(Krankheitstage!S174))*N(Krankheitstage!C174))</f>
        <v/>
      </c>
      <c r="F174" s="59">
        <f>IF($B174="","",(N(Krankheitstage!G174)+N(Krankheitstage!T174))*N(Krankheitstage!C174))</f>
        <v/>
      </c>
      <c r="G174" s="59">
        <f>IF($B174="","",(N(Krankheitstage!H174)+N(Krankheitstage!U174))*N(Krankheitstage!C174))</f>
        <v/>
      </c>
      <c r="H174" s="59">
        <f>IF($B174="","",(N(Krankheitstage!I174)+N(Krankheitstage!V174))*N(Krankheitstage!C174))</f>
        <v/>
      </c>
      <c r="I174" s="59">
        <f>IF($B174="","",(N(Krankheitstage!J174)+N(Krankheitstage!W174))*N(Krankheitstage!C174))</f>
        <v/>
      </c>
      <c r="J174" s="59">
        <f>IF($B174="","",(N(Krankheitstage!K174)+N(Krankheitstage!X174))*N(Krankheitstage!C174))</f>
        <v/>
      </c>
      <c r="K174" s="59">
        <f>IF($B174="","",(N(Krankheitstage!L174)+N(Krankheitstage!Y174))*N(Krankheitstage!C174))</f>
        <v/>
      </c>
      <c r="L174" s="59">
        <f>IF($B174="","",(N(Krankheitstage!M174)+N(Krankheitstage!Z174))*N(Krankheitstage!C174))</f>
        <v/>
      </c>
      <c r="M174" s="59">
        <f>IF($B174="","",(N(Krankheitstage!N174)+N(Krankheitstage!AA174))*N(Krankheitstage!C174))</f>
        <v/>
      </c>
      <c r="N174" s="59">
        <f>IF($B174="","",(N(Krankheitstage!O174)+N(Krankheitstage!AB174))*N(Krankheitstage!C174))</f>
        <v/>
      </c>
      <c r="O174" s="66">
        <f>IF($B174="","",SUM(C174:N174))</f>
        <v/>
      </c>
      <c r="P174" s="58">
        <f>'KQuote Mitarbeiter'!E174</f>
        <v/>
      </c>
      <c r="Q174" s="67">
        <f>'KQuote Mitarbeiter'!L174</f>
        <v/>
      </c>
      <c r="R174" s="58">
        <f>'KQuote Mitarbeiter'!D174</f>
        <v/>
      </c>
      <c r="S174" s="67">
        <f>'KQuote Mitarbeiter'!K174</f>
        <v/>
      </c>
    </row>
    <row r="175">
      <c r="A175" s="49">
        <f>'KQuote Mitarbeiter'!A175</f>
        <v/>
      </c>
      <c r="B175" s="50">
        <f>'KQuote Mitarbeiter'!B175</f>
        <v/>
      </c>
      <c r="C175" s="59">
        <f>IF($B175="","",(N(Krankheitstage!D175)+N(Krankheitstage!Q175))*N(Krankheitstage!C175))</f>
        <v/>
      </c>
      <c r="D175" s="59">
        <f>IF($B175="","",(N(Krankheitstage!E175)+N(Krankheitstage!R175))*N(Krankheitstage!C175))</f>
        <v/>
      </c>
      <c r="E175" s="59">
        <f>IF($B175="","",(N(Krankheitstage!F175)+N(Krankheitstage!S175))*N(Krankheitstage!C175))</f>
        <v/>
      </c>
      <c r="F175" s="59">
        <f>IF($B175="","",(N(Krankheitstage!G175)+N(Krankheitstage!T175))*N(Krankheitstage!C175))</f>
        <v/>
      </c>
      <c r="G175" s="59">
        <f>IF($B175="","",(N(Krankheitstage!H175)+N(Krankheitstage!U175))*N(Krankheitstage!C175))</f>
        <v/>
      </c>
      <c r="H175" s="59">
        <f>IF($B175="","",(N(Krankheitstage!I175)+N(Krankheitstage!V175))*N(Krankheitstage!C175))</f>
        <v/>
      </c>
      <c r="I175" s="59">
        <f>IF($B175="","",(N(Krankheitstage!J175)+N(Krankheitstage!W175))*N(Krankheitstage!C175))</f>
        <v/>
      </c>
      <c r="J175" s="59">
        <f>IF($B175="","",(N(Krankheitstage!K175)+N(Krankheitstage!X175))*N(Krankheitstage!C175))</f>
        <v/>
      </c>
      <c r="K175" s="59">
        <f>IF($B175="","",(N(Krankheitstage!L175)+N(Krankheitstage!Y175))*N(Krankheitstage!C175))</f>
        <v/>
      </c>
      <c r="L175" s="59">
        <f>IF($B175="","",(N(Krankheitstage!M175)+N(Krankheitstage!Z175))*N(Krankheitstage!C175))</f>
        <v/>
      </c>
      <c r="M175" s="59">
        <f>IF($B175="","",(N(Krankheitstage!N175)+N(Krankheitstage!AA175))*N(Krankheitstage!C175))</f>
        <v/>
      </c>
      <c r="N175" s="59">
        <f>IF($B175="","",(N(Krankheitstage!O175)+N(Krankheitstage!AB175))*N(Krankheitstage!C175))</f>
        <v/>
      </c>
      <c r="O175" s="66">
        <f>IF($B175="","",SUM(C175:N175))</f>
        <v/>
      </c>
      <c r="P175" s="58">
        <f>'KQuote Mitarbeiter'!E175</f>
        <v/>
      </c>
      <c r="Q175" s="67">
        <f>'KQuote Mitarbeiter'!L175</f>
        <v/>
      </c>
      <c r="R175" s="58">
        <f>'KQuote Mitarbeiter'!D175</f>
        <v/>
      </c>
      <c r="S175" s="67">
        <f>'KQuote Mitarbeiter'!K175</f>
        <v/>
      </c>
    </row>
    <row r="176">
      <c r="A176" s="49">
        <f>'KQuote Mitarbeiter'!A176</f>
        <v/>
      </c>
      <c r="B176" s="50">
        <f>'KQuote Mitarbeiter'!B176</f>
        <v/>
      </c>
      <c r="C176" s="59">
        <f>IF($B176="","",(N(Krankheitstage!D176)+N(Krankheitstage!Q176))*N(Krankheitstage!C176))</f>
        <v/>
      </c>
      <c r="D176" s="59">
        <f>IF($B176="","",(N(Krankheitstage!E176)+N(Krankheitstage!R176))*N(Krankheitstage!C176))</f>
        <v/>
      </c>
      <c r="E176" s="59">
        <f>IF($B176="","",(N(Krankheitstage!F176)+N(Krankheitstage!S176))*N(Krankheitstage!C176))</f>
        <v/>
      </c>
      <c r="F176" s="59">
        <f>IF($B176="","",(N(Krankheitstage!G176)+N(Krankheitstage!T176))*N(Krankheitstage!C176))</f>
        <v/>
      </c>
      <c r="G176" s="59">
        <f>IF($B176="","",(N(Krankheitstage!H176)+N(Krankheitstage!U176))*N(Krankheitstage!C176))</f>
        <v/>
      </c>
      <c r="H176" s="59">
        <f>IF($B176="","",(N(Krankheitstage!I176)+N(Krankheitstage!V176))*N(Krankheitstage!C176))</f>
        <v/>
      </c>
      <c r="I176" s="59">
        <f>IF($B176="","",(N(Krankheitstage!J176)+N(Krankheitstage!W176))*N(Krankheitstage!C176))</f>
        <v/>
      </c>
      <c r="J176" s="59">
        <f>IF($B176="","",(N(Krankheitstage!K176)+N(Krankheitstage!X176))*N(Krankheitstage!C176))</f>
        <v/>
      </c>
      <c r="K176" s="59">
        <f>IF($B176="","",(N(Krankheitstage!L176)+N(Krankheitstage!Y176))*N(Krankheitstage!C176))</f>
        <v/>
      </c>
      <c r="L176" s="59">
        <f>IF($B176="","",(N(Krankheitstage!M176)+N(Krankheitstage!Z176))*N(Krankheitstage!C176))</f>
        <v/>
      </c>
      <c r="M176" s="59">
        <f>IF($B176="","",(N(Krankheitstage!N176)+N(Krankheitstage!AA176))*N(Krankheitstage!C176))</f>
        <v/>
      </c>
      <c r="N176" s="59">
        <f>IF($B176="","",(N(Krankheitstage!O176)+N(Krankheitstage!AB176))*N(Krankheitstage!C176))</f>
        <v/>
      </c>
      <c r="O176" s="66">
        <f>IF($B176="","",SUM(C176:N176))</f>
        <v/>
      </c>
      <c r="P176" s="58">
        <f>'KQuote Mitarbeiter'!E176</f>
        <v/>
      </c>
      <c r="Q176" s="67">
        <f>'KQuote Mitarbeiter'!L176</f>
        <v/>
      </c>
      <c r="R176" s="58">
        <f>'KQuote Mitarbeiter'!D176</f>
        <v/>
      </c>
      <c r="S176" s="67">
        <f>'KQuote Mitarbeiter'!K176</f>
        <v/>
      </c>
    </row>
    <row r="177">
      <c r="A177" s="49">
        <f>'KQuote Mitarbeiter'!A177</f>
        <v/>
      </c>
      <c r="B177" s="50">
        <f>'KQuote Mitarbeiter'!B177</f>
        <v/>
      </c>
      <c r="C177" s="59">
        <f>IF($B177="","",(N(Krankheitstage!D177)+N(Krankheitstage!Q177))*N(Krankheitstage!C177))</f>
        <v/>
      </c>
      <c r="D177" s="59">
        <f>IF($B177="","",(N(Krankheitstage!E177)+N(Krankheitstage!R177))*N(Krankheitstage!C177))</f>
        <v/>
      </c>
      <c r="E177" s="59">
        <f>IF($B177="","",(N(Krankheitstage!F177)+N(Krankheitstage!S177))*N(Krankheitstage!C177))</f>
        <v/>
      </c>
      <c r="F177" s="59">
        <f>IF($B177="","",(N(Krankheitstage!G177)+N(Krankheitstage!T177))*N(Krankheitstage!C177))</f>
        <v/>
      </c>
      <c r="G177" s="59">
        <f>IF($B177="","",(N(Krankheitstage!H177)+N(Krankheitstage!U177))*N(Krankheitstage!C177))</f>
        <v/>
      </c>
      <c r="H177" s="59">
        <f>IF($B177="","",(N(Krankheitstage!I177)+N(Krankheitstage!V177))*N(Krankheitstage!C177))</f>
        <v/>
      </c>
      <c r="I177" s="59">
        <f>IF($B177="","",(N(Krankheitstage!J177)+N(Krankheitstage!W177))*N(Krankheitstage!C177))</f>
        <v/>
      </c>
      <c r="J177" s="59">
        <f>IF($B177="","",(N(Krankheitstage!K177)+N(Krankheitstage!X177))*N(Krankheitstage!C177))</f>
        <v/>
      </c>
      <c r="K177" s="59">
        <f>IF($B177="","",(N(Krankheitstage!L177)+N(Krankheitstage!Y177))*N(Krankheitstage!C177))</f>
        <v/>
      </c>
      <c r="L177" s="59">
        <f>IF($B177="","",(N(Krankheitstage!M177)+N(Krankheitstage!Z177))*N(Krankheitstage!C177))</f>
        <v/>
      </c>
      <c r="M177" s="59">
        <f>IF($B177="","",(N(Krankheitstage!N177)+N(Krankheitstage!AA177))*N(Krankheitstage!C177))</f>
        <v/>
      </c>
      <c r="N177" s="59">
        <f>IF($B177="","",(N(Krankheitstage!O177)+N(Krankheitstage!AB177))*N(Krankheitstage!C177))</f>
        <v/>
      </c>
      <c r="O177" s="66">
        <f>IF($B177="","",SUM(C177:N177))</f>
        <v/>
      </c>
      <c r="P177" s="58">
        <f>'KQuote Mitarbeiter'!E177</f>
        <v/>
      </c>
      <c r="Q177" s="67">
        <f>'KQuote Mitarbeiter'!L177</f>
        <v/>
      </c>
      <c r="R177" s="58">
        <f>'KQuote Mitarbeiter'!D177</f>
        <v/>
      </c>
      <c r="S177" s="67">
        <f>'KQuote Mitarbeiter'!K177</f>
        <v/>
      </c>
    </row>
    <row r="178">
      <c r="A178" s="49">
        <f>'KQuote Mitarbeiter'!A178</f>
        <v/>
      </c>
      <c r="B178" s="50">
        <f>'KQuote Mitarbeiter'!B178</f>
        <v/>
      </c>
      <c r="C178" s="59">
        <f>IF($B178="","",(N(Krankheitstage!D178)+N(Krankheitstage!Q178))*N(Krankheitstage!C178))</f>
        <v/>
      </c>
      <c r="D178" s="59">
        <f>IF($B178="","",(N(Krankheitstage!E178)+N(Krankheitstage!R178))*N(Krankheitstage!C178))</f>
        <v/>
      </c>
      <c r="E178" s="59">
        <f>IF($B178="","",(N(Krankheitstage!F178)+N(Krankheitstage!S178))*N(Krankheitstage!C178))</f>
        <v/>
      </c>
      <c r="F178" s="59">
        <f>IF($B178="","",(N(Krankheitstage!G178)+N(Krankheitstage!T178))*N(Krankheitstage!C178))</f>
        <v/>
      </c>
      <c r="G178" s="59">
        <f>IF($B178="","",(N(Krankheitstage!H178)+N(Krankheitstage!U178))*N(Krankheitstage!C178))</f>
        <v/>
      </c>
      <c r="H178" s="59">
        <f>IF($B178="","",(N(Krankheitstage!I178)+N(Krankheitstage!V178))*N(Krankheitstage!C178))</f>
        <v/>
      </c>
      <c r="I178" s="59">
        <f>IF($B178="","",(N(Krankheitstage!J178)+N(Krankheitstage!W178))*N(Krankheitstage!C178))</f>
        <v/>
      </c>
      <c r="J178" s="59">
        <f>IF($B178="","",(N(Krankheitstage!K178)+N(Krankheitstage!X178))*N(Krankheitstage!C178))</f>
        <v/>
      </c>
      <c r="K178" s="59">
        <f>IF($B178="","",(N(Krankheitstage!L178)+N(Krankheitstage!Y178))*N(Krankheitstage!C178))</f>
        <v/>
      </c>
      <c r="L178" s="59">
        <f>IF($B178="","",(N(Krankheitstage!M178)+N(Krankheitstage!Z178))*N(Krankheitstage!C178))</f>
        <v/>
      </c>
      <c r="M178" s="59">
        <f>IF($B178="","",(N(Krankheitstage!N178)+N(Krankheitstage!AA178))*N(Krankheitstage!C178))</f>
        <v/>
      </c>
      <c r="N178" s="59">
        <f>IF($B178="","",(N(Krankheitstage!O178)+N(Krankheitstage!AB178))*N(Krankheitstage!C178))</f>
        <v/>
      </c>
      <c r="O178" s="66">
        <f>IF($B178="","",SUM(C178:N178))</f>
        <v/>
      </c>
      <c r="P178" s="58">
        <f>'KQuote Mitarbeiter'!E178</f>
        <v/>
      </c>
      <c r="Q178" s="67">
        <f>'KQuote Mitarbeiter'!L178</f>
        <v/>
      </c>
      <c r="R178" s="58">
        <f>'KQuote Mitarbeiter'!D178</f>
        <v/>
      </c>
      <c r="S178" s="67">
        <f>'KQuote Mitarbeiter'!K178</f>
        <v/>
      </c>
    </row>
    <row r="179">
      <c r="A179" s="49">
        <f>'KQuote Mitarbeiter'!A179</f>
        <v/>
      </c>
      <c r="B179" s="50">
        <f>'KQuote Mitarbeiter'!B179</f>
        <v/>
      </c>
      <c r="C179" s="59">
        <f>IF($B179="","",(N(Krankheitstage!D179)+N(Krankheitstage!Q179))*N(Krankheitstage!C179))</f>
        <v/>
      </c>
      <c r="D179" s="59">
        <f>IF($B179="","",(N(Krankheitstage!E179)+N(Krankheitstage!R179))*N(Krankheitstage!C179))</f>
        <v/>
      </c>
      <c r="E179" s="59">
        <f>IF($B179="","",(N(Krankheitstage!F179)+N(Krankheitstage!S179))*N(Krankheitstage!C179))</f>
        <v/>
      </c>
      <c r="F179" s="59">
        <f>IF($B179="","",(N(Krankheitstage!G179)+N(Krankheitstage!T179))*N(Krankheitstage!C179))</f>
        <v/>
      </c>
      <c r="G179" s="59">
        <f>IF($B179="","",(N(Krankheitstage!H179)+N(Krankheitstage!U179))*N(Krankheitstage!C179))</f>
        <v/>
      </c>
      <c r="H179" s="59">
        <f>IF($B179="","",(N(Krankheitstage!I179)+N(Krankheitstage!V179))*N(Krankheitstage!C179))</f>
        <v/>
      </c>
      <c r="I179" s="59">
        <f>IF($B179="","",(N(Krankheitstage!J179)+N(Krankheitstage!W179))*N(Krankheitstage!C179))</f>
        <v/>
      </c>
      <c r="J179" s="59">
        <f>IF($B179="","",(N(Krankheitstage!K179)+N(Krankheitstage!X179))*N(Krankheitstage!C179))</f>
        <v/>
      </c>
      <c r="K179" s="59">
        <f>IF($B179="","",(N(Krankheitstage!L179)+N(Krankheitstage!Y179))*N(Krankheitstage!C179))</f>
        <v/>
      </c>
      <c r="L179" s="59">
        <f>IF($B179="","",(N(Krankheitstage!M179)+N(Krankheitstage!Z179))*N(Krankheitstage!C179))</f>
        <v/>
      </c>
      <c r="M179" s="59">
        <f>IF($B179="","",(N(Krankheitstage!N179)+N(Krankheitstage!AA179))*N(Krankheitstage!C179))</f>
        <v/>
      </c>
      <c r="N179" s="59">
        <f>IF($B179="","",(N(Krankheitstage!O179)+N(Krankheitstage!AB179))*N(Krankheitstage!C179))</f>
        <v/>
      </c>
      <c r="O179" s="66">
        <f>IF($B179="","",SUM(C179:N179))</f>
        <v/>
      </c>
      <c r="P179" s="58">
        <f>'KQuote Mitarbeiter'!E179</f>
        <v/>
      </c>
      <c r="Q179" s="67">
        <f>'KQuote Mitarbeiter'!L179</f>
        <v/>
      </c>
      <c r="R179" s="58">
        <f>'KQuote Mitarbeiter'!D179</f>
        <v/>
      </c>
      <c r="S179" s="67">
        <f>'KQuote Mitarbeiter'!K179</f>
        <v/>
      </c>
    </row>
    <row r="180">
      <c r="A180" s="49">
        <f>'KQuote Mitarbeiter'!A180</f>
        <v/>
      </c>
      <c r="B180" s="50">
        <f>'KQuote Mitarbeiter'!B180</f>
        <v/>
      </c>
      <c r="C180" s="59">
        <f>IF($B180="","",(N(Krankheitstage!D180)+N(Krankheitstage!Q180))*N(Krankheitstage!C180))</f>
        <v/>
      </c>
      <c r="D180" s="59">
        <f>IF($B180="","",(N(Krankheitstage!E180)+N(Krankheitstage!R180))*N(Krankheitstage!C180))</f>
        <v/>
      </c>
      <c r="E180" s="59">
        <f>IF($B180="","",(N(Krankheitstage!F180)+N(Krankheitstage!S180))*N(Krankheitstage!C180))</f>
        <v/>
      </c>
      <c r="F180" s="59">
        <f>IF($B180="","",(N(Krankheitstage!G180)+N(Krankheitstage!T180))*N(Krankheitstage!C180))</f>
        <v/>
      </c>
      <c r="G180" s="59">
        <f>IF($B180="","",(N(Krankheitstage!H180)+N(Krankheitstage!U180))*N(Krankheitstage!C180))</f>
        <v/>
      </c>
      <c r="H180" s="59">
        <f>IF($B180="","",(N(Krankheitstage!I180)+N(Krankheitstage!V180))*N(Krankheitstage!C180))</f>
        <v/>
      </c>
      <c r="I180" s="59">
        <f>IF($B180="","",(N(Krankheitstage!J180)+N(Krankheitstage!W180))*N(Krankheitstage!C180))</f>
        <v/>
      </c>
      <c r="J180" s="59">
        <f>IF($B180="","",(N(Krankheitstage!K180)+N(Krankheitstage!X180))*N(Krankheitstage!C180))</f>
        <v/>
      </c>
      <c r="K180" s="59">
        <f>IF($B180="","",(N(Krankheitstage!L180)+N(Krankheitstage!Y180))*N(Krankheitstage!C180))</f>
        <v/>
      </c>
      <c r="L180" s="59">
        <f>IF($B180="","",(N(Krankheitstage!M180)+N(Krankheitstage!Z180))*N(Krankheitstage!C180))</f>
        <v/>
      </c>
      <c r="M180" s="59">
        <f>IF($B180="","",(N(Krankheitstage!N180)+N(Krankheitstage!AA180))*N(Krankheitstage!C180))</f>
        <v/>
      </c>
      <c r="N180" s="59">
        <f>IF($B180="","",(N(Krankheitstage!O180)+N(Krankheitstage!AB180))*N(Krankheitstage!C180))</f>
        <v/>
      </c>
      <c r="O180" s="66">
        <f>IF($B180="","",SUM(C180:N180))</f>
        <v/>
      </c>
      <c r="P180" s="58">
        <f>'KQuote Mitarbeiter'!E180</f>
        <v/>
      </c>
      <c r="Q180" s="67">
        <f>'KQuote Mitarbeiter'!L180</f>
        <v/>
      </c>
      <c r="R180" s="58">
        <f>'KQuote Mitarbeiter'!D180</f>
        <v/>
      </c>
      <c r="S180" s="67">
        <f>'KQuote Mitarbeiter'!K180</f>
        <v/>
      </c>
    </row>
    <row r="181">
      <c r="A181" s="49">
        <f>'KQuote Mitarbeiter'!A181</f>
        <v/>
      </c>
      <c r="B181" s="50">
        <f>'KQuote Mitarbeiter'!B181</f>
        <v/>
      </c>
      <c r="C181" s="59">
        <f>IF($B181="","",(N(Krankheitstage!D181)+N(Krankheitstage!Q181))*N(Krankheitstage!C181))</f>
        <v/>
      </c>
      <c r="D181" s="59">
        <f>IF($B181="","",(N(Krankheitstage!E181)+N(Krankheitstage!R181))*N(Krankheitstage!C181))</f>
        <v/>
      </c>
      <c r="E181" s="59">
        <f>IF($B181="","",(N(Krankheitstage!F181)+N(Krankheitstage!S181))*N(Krankheitstage!C181))</f>
        <v/>
      </c>
      <c r="F181" s="59">
        <f>IF($B181="","",(N(Krankheitstage!G181)+N(Krankheitstage!T181))*N(Krankheitstage!C181))</f>
        <v/>
      </c>
      <c r="G181" s="59">
        <f>IF($B181="","",(N(Krankheitstage!H181)+N(Krankheitstage!U181))*N(Krankheitstage!C181))</f>
        <v/>
      </c>
      <c r="H181" s="59">
        <f>IF($B181="","",(N(Krankheitstage!I181)+N(Krankheitstage!V181))*N(Krankheitstage!C181))</f>
        <v/>
      </c>
      <c r="I181" s="59">
        <f>IF($B181="","",(N(Krankheitstage!J181)+N(Krankheitstage!W181))*N(Krankheitstage!C181))</f>
        <v/>
      </c>
      <c r="J181" s="59">
        <f>IF($B181="","",(N(Krankheitstage!K181)+N(Krankheitstage!X181))*N(Krankheitstage!C181))</f>
        <v/>
      </c>
      <c r="K181" s="59">
        <f>IF($B181="","",(N(Krankheitstage!L181)+N(Krankheitstage!Y181))*N(Krankheitstage!C181))</f>
        <v/>
      </c>
      <c r="L181" s="59">
        <f>IF($B181="","",(N(Krankheitstage!M181)+N(Krankheitstage!Z181))*N(Krankheitstage!C181))</f>
        <v/>
      </c>
      <c r="M181" s="59">
        <f>IF($B181="","",(N(Krankheitstage!N181)+N(Krankheitstage!AA181))*N(Krankheitstage!C181))</f>
        <v/>
      </c>
      <c r="N181" s="59">
        <f>IF($B181="","",(N(Krankheitstage!O181)+N(Krankheitstage!AB181))*N(Krankheitstage!C181))</f>
        <v/>
      </c>
      <c r="O181" s="66">
        <f>IF($B181="","",SUM(C181:N181))</f>
        <v/>
      </c>
      <c r="P181" s="58">
        <f>'KQuote Mitarbeiter'!E181</f>
        <v/>
      </c>
      <c r="Q181" s="67">
        <f>'KQuote Mitarbeiter'!L181</f>
        <v/>
      </c>
      <c r="R181" s="58">
        <f>'KQuote Mitarbeiter'!D181</f>
        <v/>
      </c>
      <c r="S181" s="67">
        <f>'KQuote Mitarbeiter'!K181</f>
        <v/>
      </c>
    </row>
    <row r="182">
      <c r="A182" s="49">
        <f>'KQuote Mitarbeiter'!A182</f>
        <v/>
      </c>
      <c r="B182" s="50">
        <f>'KQuote Mitarbeiter'!B182</f>
        <v/>
      </c>
      <c r="C182" s="59">
        <f>IF($B182="","",(N(Krankheitstage!D182)+N(Krankheitstage!Q182))*N(Krankheitstage!C182))</f>
        <v/>
      </c>
      <c r="D182" s="59">
        <f>IF($B182="","",(N(Krankheitstage!E182)+N(Krankheitstage!R182))*N(Krankheitstage!C182))</f>
        <v/>
      </c>
      <c r="E182" s="59">
        <f>IF($B182="","",(N(Krankheitstage!F182)+N(Krankheitstage!S182))*N(Krankheitstage!C182))</f>
        <v/>
      </c>
      <c r="F182" s="59">
        <f>IF($B182="","",(N(Krankheitstage!G182)+N(Krankheitstage!T182))*N(Krankheitstage!C182))</f>
        <v/>
      </c>
      <c r="G182" s="59">
        <f>IF($B182="","",(N(Krankheitstage!H182)+N(Krankheitstage!U182))*N(Krankheitstage!C182))</f>
        <v/>
      </c>
      <c r="H182" s="59">
        <f>IF($B182="","",(N(Krankheitstage!I182)+N(Krankheitstage!V182))*N(Krankheitstage!C182))</f>
        <v/>
      </c>
      <c r="I182" s="59">
        <f>IF($B182="","",(N(Krankheitstage!J182)+N(Krankheitstage!W182))*N(Krankheitstage!C182))</f>
        <v/>
      </c>
      <c r="J182" s="59">
        <f>IF($B182="","",(N(Krankheitstage!K182)+N(Krankheitstage!X182))*N(Krankheitstage!C182))</f>
        <v/>
      </c>
      <c r="K182" s="59">
        <f>IF($B182="","",(N(Krankheitstage!L182)+N(Krankheitstage!Y182))*N(Krankheitstage!C182))</f>
        <v/>
      </c>
      <c r="L182" s="59">
        <f>IF($B182="","",(N(Krankheitstage!M182)+N(Krankheitstage!Z182))*N(Krankheitstage!C182))</f>
        <v/>
      </c>
      <c r="M182" s="59">
        <f>IF($B182="","",(N(Krankheitstage!N182)+N(Krankheitstage!AA182))*N(Krankheitstage!C182))</f>
        <v/>
      </c>
      <c r="N182" s="59">
        <f>IF($B182="","",(N(Krankheitstage!O182)+N(Krankheitstage!AB182))*N(Krankheitstage!C182))</f>
        <v/>
      </c>
      <c r="O182" s="66">
        <f>IF($B182="","",SUM(C182:N182))</f>
        <v/>
      </c>
      <c r="P182" s="58">
        <f>'KQuote Mitarbeiter'!E182</f>
        <v/>
      </c>
      <c r="Q182" s="67">
        <f>'KQuote Mitarbeiter'!L182</f>
        <v/>
      </c>
      <c r="R182" s="58">
        <f>'KQuote Mitarbeiter'!D182</f>
        <v/>
      </c>
      <c r="S182" s="67">
        <f>'KQuote Mitarbeiter'!K182</f>
        <v/>
      </c>
    </row>
    <row r="183">
      <c r="A183" s="49">
        <f>'KQuote Mitarbeiter'!A183</f>
        <v/>
      </c>
      <c r="B183" s="50">
        <f>'KQuote Mitarbeiter'!B183</f>
        <v/>
      </c>
      <c r="C183" s="59">
        <f>IF($B183="","",(N(Krankheitstage!D183)+N(Krankheitstage!Q183))*N(Krankheitstage!C183))</f>
        <v/>
      </c>
      <c r="D183" s="59">
        <f>IF($B183="","",(N(Krankheitstage!E183)+N(Krankheitstage!R183))*N(Krankheitstage!C183))</f>
        <v/>
      </c>
      <c r="E183" s="59">
        <f>IF($B183="","",(N(Krankheitstage!F183)+N(Krankheitstage!S183))*N(Krankheitstage!C183))</f>
        <v/>
      </c>
      <c r="F183" s="59">
        <f>IF($B183="","",(N(Krankheitstage!G183)+N(Krankheitstage!T183))*N(Krankheitstage!C183))</f>
        <v/>
      </c>
      <c r="G183" s="59">
        <f>IF($B183="","",(N(Krankheitstage!H183)+N(Krankheitstage!U183))*N(Krankheitstage!C183))</f>
        <v/>
      </c>
      <c r="H183" s="59">
        <f>IF($B183="","",(N(Krankheitstage!I183)+N(Krankheitstage!V183))*N(Krankheitstage!C183))</f>
        <v/>
      </c>
      <c r="I183" s="59">
        <f>IF($B183="","",(N(Krankheitstage!J183)+N(Krankheitstage!W183))*N(Krankheitstage!C183))</f>
        <v/>
      </c>
      <c r="J183" s="59">
        <f>IF($B183="","",(N(Krankheitstage!K183)+N(Krankheitstage!X183))*N(Krankheitstage!C183))</f>
        <v/>
      </c>
      <c r="K183" s="59">
        <f>IF($B183="","",(N(Krankheitstage!L183)+N(Krankheitstage!Y183))*N(Krankheitstage!C183))</f>
        <v/>
      </c>
      <c r="L183" s="59">
        <f>IF($B183="","",(N(Krankheitstage!M183)+N(Krankheitstage!Z183))*N(Krankheitstage!C183))</f>
        <v/>
      </c>
      <c r="M183" s="59">
        <f>IF($B183="","",(N(Krankheitstage!N183)+N(Krankheitstage!AA183))*N(Krankheitstage!C183))</f>
        <v/>
      </c>
      <c r="N183" s="59">
        <f>IF($B183="","",(N(Krankheitstage!O183)+N(Krankheitstage!AB183))*N(Krankheitstage!C183))</f>
        <v/>
      </c>
      <c r="O183" s="66">
        <f>IF($B183="","",SUM(C183:N183))</f>
        <v/>
      </c>
      <c r="P183" s="58">
        <f>'KQuote Mitarbeiter'!E183</f>
        <v/>
      </c>
      <c r="Q183" s="67">
        <f>'KQuote Mitarbeiter'!L183</f>
        <v/>
      </c>
      <c r="R183" s="58">
        <f>'KQuote Mitarbeiter'!D183</f>
        <v/>
      </c>
      <c r="S183" s="67">
        <f>'KQuote Mitarbeiter'!K183</f>
        <v/>
      </c>
    </row>
    <row r="184">
      <c r="A184" s="49">
        <f>'KQuote Mitarbeiter'!A184</f>
        <v/>
      </c>
      <c r="B184" s="50">
        <f>'KQuote Mitarbeiter'!B184</f>
        <v/>
      </c>
      <c r="C184" s="59">
        <f>IF($B184="","",(N(Krankheitstage!D184)+N(Krankheitstage!Q184))*N(Krankheitstage!C184))</f>
        <v/>
      </c>
      <c r="D184" s="59">
        <f>IF($B184="","",(N(Krankheitstage!E184)+N(Krankheitstage!R184))*N(Krankheitstage!C184))</f>
        <v/>
      </c>
      <c r="E184" s="59">
        <f>IF($B184="","",(N(Krankheitstage!F184)+N(Krankheitstage!S184))*N(Krankheitstage!C184))</f>
        <v/>
      </c>
      <c r="F184" s="59">
        <f>IF($B184="","",(N(Krankheitstage!G184)+N(Krankheitstage!T184))*N(Krankheitstage!C184))</f>
        <v/>
      </c>
      <c r="G184" s="59">
        <f>IF($B184="","",(N(Krankheitstage!H184)+N(Krankheitstage!U184))*N(Krankheitstage!C184))</f>
        <v/>
      </c>
      <c r="H184" s="59">
        <f>IF($B184="","",(N(Krankheitstage!I184)+N(Krankheitstage!V184))*N(Krankheitstage!C184))</f>
        <v/>
      </c>
      <c r="I184" s="59">
        <f>IF($B184="","",(N(Krankheitstage!J184)+N(Krankheitstage!W184))*N(Krankheitstage!C184))</f>
        <v/>
      </c>
      <c r="J184" s="59">
        <f>IF($B184="","",(N(Krankheitstage!K184)+N(Krankheitstage!X184))*N(Krankheitstage!C184))</f>
        <v/>
      </c>
      <c r="K184" s="59">
        <f>IF($B184="","",(N(Krankheitstage!L184)+N(Krankheitstage!Y184))*N(Krankheitstage!C184))</f>
        <v/>
      </c>
      <c r="L184" s="59">
        <f>IF($B184="","",(N(Krankheitstage!M184)+N(Krankheitstage!Z184))*N(Krankheitstage!C184))</f>
        <v/>
      </c>
      <c r="M184" s="59">
        <f>IF($B184="","",(N(Krankheitstage!N184)+N(Krankheitstage!AA184))*N(Krankheitstage!C184))</f>
        <v/>
      </c>
      <c r="N184" s="59">
        <f>IF($B184="","",(N(Krankheitstage!O184)+N(Krankheitstage!AB184))*N(Krankheitstage!C184))</f>
        <v/>
      </c>
      <c r="O184" s="66">
        <f>IF($B184="","",SUM(C184:N184))</f>
        <v/>
      </c>
      <c r="P184" s="58">
        <f>'KQuote Mitarbeiter'!E184</f>
        <v/>
      </c>
      <c r="Q184" s="67">
        <f>'KQuote Mitarbeiter'!L184</f>
        <v/>
      </c>
      <c r="R184" s="58">
        <f>'KQuote Mitarbeiter'!D184</f>
        <v/>
      </c>
      <c r="S184" s="67">
        <f>'KQuote Mitarbeiter'!K184</f>
        <v/>
      </c>
    </row>
    <row r="185">
      <c r="A185" s="49">
        <f>'KQuote Mitarbeiter'!A185</f>
        <v/>
      </c>
      <c r="B185" s="50">
        <f>'KQuote Mitarbeiter'!B185</f>
        <v/>
      </c>
      <c r="C185" s="59">
        <f>IF($B185="","",(N(Krankheitstage!D185)+N(Krankheitstage!Q185))*N(Krankheitstage!C185))</f>
        <v/>
      </c>
      <c r="D185" s="59">
        <f>IF($B185="","",(N(Krankheitstage!E185)+N(Krankheitstage!R185))*N(Krankheitstage!C185))</f>
        <v/>
      </c>
      <c r="E185" s="59">
        <f>IF($B185="","",(N(Krankheitstage!F185)+N(Krankheitstage!S185))*N(Krankheitstage!C185))</f>
        <v/>
      </c>
      <c r="F185" s="59">
        <f>IF($B185="","",(N(Krankheitstage!G185)+N(Krankheitstage!T185))*N(Krankheitstage!C185))</f>
        <v/>
      </c>
      <c r="G185" s="59">
        <f>IF($B185="","",(N(Krankheitstage!H185)+N(Krankheitstage!U185))*N(Krankheitstage!C185))</f>
        <v/>
      </c>
      <c r="H185" s="59">
        <f>IF($B185="","",(N(Krankheitstage!I185)+N(Krankheitstage!V185))*N(Krankheitstage!C185))</f>
        <v/>
      </c>
      <c r="I185" s="59">
        <f>IF($B185="","",(N(Krankheitstage!J185)+N(Krankheitstage!W185))*N(Krankheitstage!C185))</f>
        <v/>
      </c>
      <c r="J185" s="59">
        <f>IF($B185="","",(N(Krankheitstage!K185)+N(Krankheitstage!X185))*N(Krankheitstage!C185))</f>
        <v/>
      </c>
      <c r="K185" s="59">
        <f>IF($B185="","",(N(Krankheitstage!L185)+N(Krankheitstage!Y185))*N(Krankheitstage!C185))</f>
        <v/>
      </c>
      <c r="L185" s="59">
        <f>IF($B185="","",(N(Krankheitstage!M185)+N(Krankheitstage!Z185))*N(Krankheitstage!C185))</f>
        <v/>
      </c>
      <c r="M185" s="59">
        <f>IF($B185="","",(N(Krankheitstage!N185)+N(Krankheitstage!AA185))*N(Krankheitstage!C185))</f>
        <v/>
      </c>
      <c r="N185" s="59">
        <f>IF($B185="","",(N(Krankheitstage!O185)+N(Krankheitstage!AB185))*N(Krankheitstage!C185))</f>
        <v/>
      </c>
      <c r="O185" s="66">
        <f>IF($B185="","",SUM(C185:N185))</f>
        <v/>
      </c>
      <c r="P185" s="58">
        <f>'KQuote Mitarbeiter'!E185</f>
        <v/>
      </c>
      <c r="Q185" s="67">
        <f>'KQuote Mitarbeiter'!L185</f>
        <v/>
      </c>
      <c r="R185" s="58">
        <f>'KQuote Mitarbeiter'!D185</f>
        <v/>
      </c>
      <c r="S185" s="67">
        <f>'KQuote Mitarbeiter'!K185</f>
        <v/>
      </c>
    </row>
    <row r="186">
      <c r="A186" s="49">
        <f>'KQuote Mitarbeiter'!A186</f>
        <v/>
      </c>
      <c r="B186" s="50">
        <f>'KQuote Mitarbeiter'!B186</f>
        <v/>
      </c>
      <c r="C186" s="59">
        <f>IF($B186="","",(N(Krankheitstage!D186)+N(Krankheitstage!Q186))*N(Krankheitstage!C186))</f>
        <v/>
      </c>
      <c r="D186" s="59">
        <f>IF($B186="","",(N(Krankheitstage!E186)+N(Krankheitstage!R186))*N(Krankheitstage!C186))</f>
        <v/>
      </c>
      <c r="E186" s="59">
        <f>IF($B186="","",(N(Krankheitstage!F186)+N(Krankheitstage!S186))*N(Krankheitstage!C186))</f>
        <v/>
      </c>
      <c r="F186" s="59">
        <f>IF($B186="","",(N(Krankheitstage!G186)+N(Krankheitstage!T186))*N(Krankheitstage!C186))</f>
        <v/>
      </c>
      <c r="G186" s="59">
        <f>IF($B186="","",(N(Krankheitstage!H186)+N(Krankheitstage!U186))*N(Krankheitstage!C186))</f>
        <v/>
      </c>
      <c r="H186" s="59">
        <f>IF($B186="","",(N(Krankheitstage!I186)+N(Krankheitstage!V186))*N(Krankheitstage!C186))</f>
        <v/>
      </c>
      <c r="I186" s="59">
        <f>IF($B186="","",(N(Krankheitstage!J186)+N(Krankheitstage!W186))*N(Krankheitstage!C186))</f>
        <v/>
      </c>
      <c r="J186" s="59">
        <f>IF($B186="","",(N(Krankheitstage!K186)+N(Krankheitstage!X186))*N(Krankheitstage!C186))</f>
        <v/>
      </c>
      <c r="K186" s="59">
        <f>IF($B186="","",(N(Krankheitstage!L186)+N(Krankheitstage!Y186))*N(Krankheitstage!C186))</f>
        <v/>
      </c>
      <c r="L186" s="59">
        <f>IF($B186="","",(N(Krankheitstage!M186)+N(Krankheitstage!Z186))*N(Krankheitstage!C186))</f>
        <v/>
      </c>
      <c r="M186" s="59">
        <f>IF($B186="","",(N(Krankheitstage!N186)+N(Krankheitstage!AA186))*N(Krankheitstage!C186))</f>
        <v/>
      </c>
      <c r="N186" s="59">
        <f>IF($B186="","",(N(Krankheitstage!O186)+N(Krankheitstage!AB186))*N(Krankheitstage!C186))</f>
        <v/>
      </c>
      <c r="O186" s="66">
        <f>IF($B186="","",SUM(C186:N186))</f>
        <v/>
      </c>
      <c r="P186" s="58">
        <f>'KQuote Mitarbeiter'!E186</f>
        <v/>
      </c>
      <c r="Q186" s="67">
        <f>'KQuote Mitarbeiter'!L186</f>
        <v/>
      </c>
      <c r="R186" s="58">
        <f>'KQuote Mitarbeiter'!D186</f>
        <v/>
      </c>
      <c r="S186" s="67">
        <f>'KQuote Mitarbeiter'!K186</f>
        <v/>
      </c>
    </row>
    <row r="187">
      <c r="A187" s="49">
        <f>'KQuote Mitarbeiter'!A187</f>
        <v/>
      </c>
      <c r="B187" s="50">
        <f>'KQuote Mitarbeiter'!B187</f>
        <v/>
      </c>
      <c r="C187" s="59">
        <f>IF($B187="","",(N(Krankheitstage!D187)+N(Krankheitstage!Q187))*N(Krankheitstage!C187))</f>
        <v/>
      </c>
      <c r="D187" s="59">
        <f>IF($B187="","",(N(Krankheitstage!E187)+N(Krankheitstage!R187))*N(Krankheitstage!C187))</f>
        <v/>
      </c>
      <c r="E187" s="59">
        <f>IF($B187="","",(N(Krankheitstage!F187)+N(Krankheitstage!S187))*N(Krankheitstage!C187))</f>
        <v/>
      </c>
      <c r="F187" s="59">
        <f>IF($B187="","",(N(Krankheitstage!G187)+N(Krankheitstage!T187))*N(Krankheitstage!C187))</f>
        <v/>
      </c>
      <c r="G187" s="59">
        <f>IF($B187="","",(N(Krankheitstage!H187)+N(Krankheitstage!U187))*N(Krankheitstage!C187))</f>
        <v/>
      </c>
      <c r="H187" s="59">
        <f>IF($B187="","",(N(Krankheitstage!I187)+N(Krankheitstage!V187))*N(Krankheitstage!C187))</f>
        <v/>
      </c>
      <c r="I187" s="59">
        <f>IF($B187="","",(N(Krankheitstage!J187)+N(Krankheitstage!W187))*N(Krankheitstage!C187))</f>
        <v/>
      </c>
      <c r="J187" s="59">
        <f>IF($B187="","",(N(Krankheitstage!K187)+N(Krankheitstage!X187))*N(Krankheitstage!C187))</f>
        <v/>
      </c>
      <c r="K187" s="59">
        <f>IF($B187="","",(N(Krankheitstage!L187)+N(Krankheitstage!Y187))*N(Krankheitstage!C187))</f>
        <v/>
      </c>
      <c r="L187" s="59">
        <f>IF($B187="","",(N(Krankheitstage!M187)+N(Krankheitstage!Z187))*N(Krankheitstage!C187))</f>
        <v/>
      </c>
      <c r="M187" s="59">
        <f>IF($B187="","",(N(Krankheitstage!N187)+N(Krankheitstage!AA187))*N(Krankheitstage!C187))</f>
        <v/>
      </c>
      <c r="N187" s="59">
        <f>IF($B187="","",(N(Krankheitstage!O187)+N(Krankheitstage!AB187))*N(Krankheitstage!C187))</f>
        <v/>
      </c>
      <c r="O187" s="66">
        <f>IF($B187="","",SUM(C187:N187))</f>
        <v/>
      </c>
      <c r="P187" s="58">
        <f>'KQuote Mitarbeiter'!E187</f>
        <v/>
      </c>
      <c r="Q187" s="67">
        <f>'KQuote Mitarbeiter'!L187</f>
        <v/>
      </c>
      <c r="R187" s="58">
        <f>'KQuote Mitarbeiter'!D187</f>
        <v/>
      </c>
      <c r="S187" s="67">
        <f>'KQuote Mitarbeiter'!K187</f>
        <v/>
      </c>
    </row>
    <row r="188">
      <c r="A188" s="49">
        <f>'KQuote Mitarbeiter'!A188</f>
        <v/>
      </c>
      <c r="B188" s="50">
        <f>'KQuote Mitarbeiter'!B188</f>
        <v/>
      </c>
      <c r="C188" s="59">
        <f>IF($B188="","",(N(Krankheitstage!D188)+N(Krankheitstage!Q188))*N(Krankheitstage!C188))</f>
        <v/>
      </c>
      <c r="D188" s="59">
        <f>IF($B188="","",(N(Krankheitstage!E188)+N(Krankheitstage!R188))*N(Krankheitstage!C188))</f>
        <v/>
      </c>
      <c r="E188" s="59">
        <f>IF($B188="","",(N(Krankheitstage!F188)+N(Krankheitstage!S188))*N(Krankheitstage!C188))</f>
        <v/>
      </c>
      <c r="F188" s="59">
        <f>IF($B188="","",(N(Krankheitstage!G188)+N(Krankheitstage!T188))*N(Krankheitstage!C188))</f>
        <v/>
      </c>
      <c r="G188" s="59">
        <f>IF($B188="","",(N(Krankheitstage!H188)+N(Krankheitstage!U188))*N(Krankheitstage!C188))</f>
        <v/>
      </c>
      <c r="H188" s="59">
        <f>IF($B188="","",(N(Krankheitstage!I188)+N(Krankheitstage!V188))*N(Krankheitstage!C188))</f>
        <v/>
      </c>
      <c r="I188" s="59">
        <f>IF($B188="","",(N(Krankheitstage!J188)+N(Krankheitstage!W188))*N(Krankheitstage!C188))</f>
        <v/>
      </c>
      <c r="J188" s="59">
        <f>IF($B188="","",(N(Krankheitstage!K188)+N(Krankheitstage!X188))*N(Krankheitstage!C188))</f>
        <v/>
      </c>
      <c r="K188" s="59">
        <f>IF($B188="","",(N(Krankheitstage!L188)+N(Krankheitstage!Y188))*N(Krankheitstage!C188))</f>
        <v/>
      </c>
      <c r="L188" s="59">
        <f>IF($B188="","",(N(Krankheitstage!M188)+N(Krankheitstage!Z188))*N(Krankheitstage!C188))</f>
        <v/>
      </c>
      <c r="M188" s="59">
        <f>IF($B188="","",(N(Krankheitstage!N188)+N(Krankheitstage!AA188))*N(Krankheitstage!C188))</f>
        <v/>
      </c>
      <c r="N188" s="59">
        <f>IF($B188="","",(N(Krankheitstage!O188)+N(Krankheitstage!AB188))*N(Krankheitstage!C188))</f>
        <v/>
      </c>
      <c r="O188" s="66">
        <f>IF($B188="","",SUM(C188:N188))</f>
        <v/>
      </c>
      <c r="P188" s="58">
        <f>'KQuote Mitarbeiter'!E188</f>
        <v/>
      </c>
      <c r="Q188" s="67">
        <f>'KQuote Mitarbeiter'!L188</f>
        <v/>
      </c>
      <c r="R188" s="58">
        <f>'KQuote Mitarbeiter'!D188</f>
        <v/>
      </c>
      <c r="S188" s="67">
        <f>'KQuote Mitarbeiter'!K188</f>
        <v/>
      </c>
    </row>
    <row r="189">
      <c r="A189" s="49">
        <f>'KQuote Mitarbeiter'!A189</f>
        <v/>
      </c>
      <c r="B189" s="50">
        <f>'KQuote Mitarbeiter'!B189</f>
        <v/>
      </c>
      <c r="C189" s="59">
        <f>IF($B189="","",(N(Krankheitstage!D189)+N(Krankheitstage!Q189))*N(Krankheitstage!C189))</f>
        <v/>
      </c>
      <c r="D189" s="59">
        <f>IF($B189="","",(N(Krankheitstage!E189)+N(Krankheitstage!R189))*N(Krankheitstage!C189))</f>
        <v/>
      </c>
      <c r="E189" s="59">
        <f>IF($B189="","",(N(Krankheitstage!F189)+N(Krankheitstage!S189))*N(Krankheitstage!C189))</f>
        <v/>
      </c>
      <c r="F189" s="59">
        <f>IF($B189="","",(N(Krankheitstage!G189)+N(Krankheitstage!T189))*N(Krankheitstage!C189))</f>
        <v/>
      </c>
      <c r="G189" s="59">
        <f>IF($B189="","",(N(Krankheitstage!H189)+N(Krankheitstage!U189))*N(Krankheitstage!C189))</f>
        <v/>
      </c>
      <c r="H189" s="59">
        <f>IF($B189="","",(N(Krankheitstage!I189)+N(Krankheitstage!V189))*N(Krankheitstage!C189))</f>
        <v/>
      </c>
      <c r="I189" s="59">
        <f>IF($B189="","",(N(Krankheitstage!J189)+N(Krankheitstage!W189))*N(Krankheitstage!C189))</f>
        <v/>
      </c>
      <c r="J189" s="59">
        <f>IF($B189="","",(N(Krankheitstage!K189)+N(Krankheitstage!X189))*N(Krankheitstage!C189))</f>
        <v/>
      </c>
      <c r="K189" s="59">
        <f>IF($B189="","",(N(Krankheitstage!L189)+N(Krankheitstage!Y189))*N(Krankheitstage!C189))</f>
        <v/>
      </c>
      <c r="L189" s="59">
        <f>IF($B189="","",(N(Krankheitstage!M189)+N(Krankheitstage!Z189))*N(Krankheitstage!C189))</f>
        <v/>
      </c>
      <c r="M189" s="59">
        <f>IF($B189="","",(N(Krankheitstage!N189)+N(Krankheitstage!AA189))*N(Krankheitstage!C189))</f>
        <v/>
      </c>
      <c r="N189" s="59">
        <f>IF($B189="","",(N(Krankheitstage!O189)+N(Krankheitstage!AB189))*N(Krankheitstage!C189))</f>
        <v/>
      </c>
      <c r="O189" s="66">
        <f>IF($B189="","",SUM(C189:N189))</f>
        <v/>
      </c>
      <c r="P189" s="58">
        <f>'KQuote Mitarbeiter'!E189</f>
        <v/>
      </c>
      <c r="Q189" s="67">
        <f>'KQuote Mitarbeiter'!L189</f>
        <v/>
      </c>
      <c r="R189" s="58">
        <f>'KQuote Mitarbeiter'!D189</f>
        <v/>
      </c>
      <c r="S189" s="67">
        <f>'KQuote Mitarbeiter'!K189</f>
        <v/>
      </c>
    </row>
    <row r="190">
      <c r="A190" s="49">
        <f>'KQuote Mitarbeiter'!A190</f>
        <v/>
      </c>
      <c r="B190" s="50">
        <f>'KQuote Mitarbeiter'!B190</f>
        <v/>
      </c>
      <c r="C190" s="59">
        <f>IF($B190="","",(N(Krankheitstage!D190)+N(Krankheitstage!Q190))*N(Krankheitstage!C190))</f>
        <v/>
      </c>
      <c r="D190" s="59">
        <f>IF($B190="","",(N(Krankheitstage!E190)+N(Krankheitstage!R190))*N(Krankheitstage!C190))</f>
        <v/>
      </c>
      <c r="E190" s="59">
        <f>IF($B190="","",(N(Krankheitstage!F190)+N(Krankheitstage!S190))*N(Krankheitstage!C190))</f>
        <v/>
      </c>
      <c r="F190" s="59">
        <f>IF($B190="","",(N(Krankheitstage!G190)+N(Krankheitstage!T190))*N(Krankheitstage!C190))</f>
        <v/>
      </c>
      <c r="G190" s="59">
        <f>IF($B190="","",(N(Krankheitstage!H190)+N(Krankheitstage!U190))*N(Krankheitstage!C190))</f>
        <v/>
      </c>
      <c r="H190" s="59">
        <f>IF($B190="","",(N(Krankheitstage!I190)+N(Krankheitstage!V190))*N(Krankheitstage!C190))</f>
        <v/>
      </c>
      <c r="I190" s="59">
        <f>IF($B190="","",(N(Krankheitstage!J190)+N(Krankheitstage!W190))*N(Krankheitstage!C190))</f>
        <v/>
      </c>
      <c r="J190" s="59">
        <f>IF($B190="","",(N(Krankheitstage!K190)+N(Krankheitstage!X190))*N(Krankheitstage!C190))</f>
        <v/>
      </c>
      <c r="K190" s="59">
        <f>IF($B190="","",(N(Krankheitstage!L190)+N(Krankheitstage!Y190))*N(Krankheitstage!C190))</f>
        <v/>
      </c>
      <c r="L190" s="59">
        <f>IF($B190="","",(N(Krankheitstage!M190)+N(Krankheitstage!Z190))*N(Krankheitstage!C190))</f>
        <v/>
      </c>
      <c r="M190" s="59">
        <f>IF($B190="","",(N(Krankheitstage!N190)+N(Krankheitstage!AA190))*N(Krankheitstage!C190))</f>
        <v/>
      </c>
      <c r="N190" s="59">
        <f>IF($B190="","",(N(Krankheitstage!O190)+N(Krankheitstage!AB190))*N(Krankheitstage!C190))</f>
        <v/>
      </c>
      <c r="O190" s="66">
        <f>IF($B190="","",SUM(C190:N190))</f>
        <v/>
      </c>
      <c r="P190" s="58">
        <f>'KQuote Mitarbeiter'!E190</f>
        <v/>
      </c>
      <c r="Q190" s="67">
        <f>'KQuote Mitarbeiter'!L190</f>
        <v/>
      </c>
      <c r="R190" s="58">
        <f>'KQuote Mitarbeiter'!D190</f>
        <v/>
      </c>
      <c r="S190" s="67">
        <f>'KQuote Mitarbeiter'!K190</f>
        <v/>
      </c>
    </row>
    <row r="191">
      <c r="A191" s="49">
        <f>'KQuote Mitarbeiter'!A191</f>
        <v/>
      </c>
      <c r="B191" s="50">
        <f>'KQuote Mitarbeiter'!B191</f>
        <v/>
      </c>
      <c r="C191" s="59">
        <f>IF($B191="","",(N(Krankheitstage!D191)+N(Krankheitstage!Q191))*N(Krankheitstage!C191))</f>
        <v/>
      </c>
      <c r="D191" s="59">
        <f>IF($B191="","",(N(Krankheitstage!E191)+N(Krankheitstage!R191))*N(Krankheitstage!C191))</f>
        <v/>
      </c>
      <c r="E191" s="59">
        <f>IF($B191="","",(N(Krankheitstage!F191)+N(Krankheitstage!S191))*N(Krankheitstage!C191))</f>
        <v/>
      </c>
      <c r="F191" s="59">
        <f>IF($B191="","",(N(Krankheitstage!G191)+N(Krankheitstage!T191))*N(Krankheitstage!C191))</f>
        <v/>
      </c>
      <c r="G191" s="59">
        <f>IF($B191="","",(N(Krankheitstage!H191)+N(Krankheitstage!U191))*N(Krankheitstage!C191))</f>
        <v/>
      </c>
      <c r="H191" s="59">
        <f>IF($B191="","",(N(Krankheitstage!I191)+N(Krankheitstage!V191))*N(Krankheitstage!C191))</f>
        <v/>
      </c>
      <c r="I191" s="59">
        <f>IF($B191="","",(N(Krankheitstage!J191)+N(Krankheitstage!W191))*N(Krankheitstage!C191))</f>
        <v/>
      </c>
      <c r="J191" s="59">
        <f>IF($B191="","",(N(Krankheitstage!K191)+N(Krankheitstage!X191))*N(Krankheitstage!C191))</f>
        <v/>
      </c>
      <c r="K191" s="59">
        <f>IF($B191="","",(N(Krankheitstage!L191)+N(Krankheitstage!Y191))*N(Krankheitstage!C191))</f>
        <v/>
      </c>
      <c r="L191" s="59">
        <f>IF($B191="","",(N(Krankheitstage!M191)+N(Krankheitstage!Z191))*N(Krankheitstage!C191))</f>
        <v/>
      </c>
      <c r="M191" s="59">
        <f>IF($B191="","",(N(Krankheitstage!N191)+N(Krankheitstage!AA191))*N(Krankheitstage!C191))</f>
        <v/>
      </c>
      <c r="N191" s="59">
        <f>IF($B191="","",(N(Krankheitstage!O191)+N(Krankheitstage!AB191))*N(Krankheitstage!C191))</f>
        <v/>
      </c>
      <c r="O191" s="66">
        <f>IF($B191="","",SUM(C191:N191))</f>
        <v/>
      </c>
      <c r="P191" s="58">
        <f>'KQuote Mitarbeiter'!E191</f>
        <v/>
      </c>
      <c r="Q191" s="67">
        <f>'KQuote Mitarbeiter'!L191</f>
        <v/>
      </c>
      <c r="R191" s="58">
        <f>'KQuote Mitarbeiter'!D191</f>
        <v/>
      </c>
      <c r="S191" s="67">
        <f>'KQuote Mitarbeiter'!K191</f>
        <v/>
      </c>
    </row>
    <row r="192">
      <c r="A192" s="49">
        <f>'KQuote Mitarbeiter'!A192</f>
        <v/>
      </c>
      <c r="B192" s="50">
        <f>'KQuote Mitarbeiter'!B192</f>
        <v/>
      </c>
      <c r="C192" s="59">
        <f>IF($B192="","",(N(Krankheitstage!D192)+N(Krankheitstage!Q192))*N(Krankheitstage!C192))</f>
        <v/>
      </c>
      <c r="D192" s="59">
        <f>IF($B192="","",(N(Krankheitstage!E192)+N(Krankheitstage!R192))*N(Krankheitstage!C192))</f>
        <v/>
      </c>
      <c r="E192" s="59">
        <f>IF($B192="","",(N(Krankheitstage!F192)+N(Krankheitstage!S192))*N(Krankheitstage!C192))</f>
        <v/>
      </c>
      <c r="F192" s="59">
        <f>IF($B192="","",(N(Krankheitstage!G192)+N(Krankheitstage!T192))*N(Krankheitstage!C192))</f>
        <v/>
      </c>
      <c r="G192" s="59">
        <f>IF($B192="","",(N(Krankheitstage!H192)+N(Krankheitstage!U192))*N(Krankheitstage!C192))</f>
        <v/>
      </c>
      <c r="H192" s="59">
        <f>IF($B192="","",(N(Krankheitstage!I192)+N(Krankheitstage!V192))*N(Krankheitstage!C192))</f>
        <v/>
      </c>
      <c r="I192" s="59">
        <f>IF($B192="","",(N(Krankheitstage!J192)+N(Krankheitstage!W192))*N(Krankheitstage!C192))</f>
        <v/>
      </c>
      <c r="J192" s="59">
        <f>IF($B192="","",(N(Krankheitstage!K192)+N(Krankheitstage!X192))*N(Krankheitstage!C192))</f>
        <v/>
      </c>
      <c r="K192" s="59">
        <f>IF($B192="","",(N(Krankheitstage!L192)+N(Krankheitstage!Y192))*N(Krankheitstage!C192))</f>
        <v/>
      </c>
      <c r="L192" s="59">
        <f>IF($B192="","",(N(Krankheitstage!M192)+N(Krankheitstage!Z192))*N(Krankheitstage!C192))</f>
        <v/>
      </c>
      <c r="M192" s="59">
        <f>IF($B192="","",(N(Krankheitstage!N192)+N(Krankheitstage!AA192))*N(Krankheitstage!C192))</f>
        <v/>
      </c>
      <c r="N192" s="59">
        <f>IF($B192="","",(N(Krankheitstage!O192)+N(Krankheitstage!AB192))*N(Krankheitstage!C192))</f>
        <v/>
      </c>
      <c r="O192" s="66">
        <f>IF($B192="","",SUM(C192:N192))</f>
        <v/>
      </c>
      <c r="P192" s="58">
        <f>'KQuote Mitarbeiter'!E192</f>
        <v/>
      </c>
      <c r="Q192" s="67">
        <f>'KQuote Mitarbeiter'!L192</f>
        <v/>
      </c>
      <c r="R192" s="58">
        <f>'KQuote Mitarbeiter'!D192</f>
        <v/>
      </c>
      <c r="S192" s="67">
        <f>'KQuote Mitarbeiter'!K192</f>
        <v/>
      </c>
    </row>
    <row r="193">
      <c r="A193" s="49">
        <f>'KQuote Mitarbeiter'!A193</f>
        <v/>
      </c>
      <c r="B193" s="50">
        <f>'KQuote Mitarbeiter'!B193</f>
        <v/>
      </c>
      <c r="C193" s="59">
        <f>IF($B193="","",(N(Krankheitstage!D193)+N(Krankheitstage!Q193))*N(Krankheitstage!C193))</f>
        <v/>
      </c>
      <c r="D193" s="59">
        <f>IF($B193="","",(N(Krankheitstage!E193)+N(Krankheitstage!R193))*N(Krankheitstage!C193))</f>
        <v/>
      </c>
      <c r="E193" s="59">
        <f>IF($B193="","",(N(Krankheitstage!F193)+N(Krankheitstage!S193))*N(Krankheitstage!C193))</f>
        <v/>
      </c>
      <c r="F193" s="59">
        <f>IF($B193="","",(N(Krankheitstage!G193)+N(Krankheitstage!T193))*N(Krankheitstage!C193))</f>
        <v/>
      </c>
      <c r="G193" s="59">
        <f>IF($B193="","",(N(Krankheitstage!H193)+N(Krankheitstage!U193))*N(Krankheitstage!C193))</f>
        <v/>
      </c>
      <c r="H193" s="59">
        <f>IF($B193="","",(N(Krankheitstage!I193)+N(Krankheitstage!V193))*N(Krankheitstage!C193))</f>
        <v/>
      </c>
      <c r="I193" s="59">
        <f>IF($B193="","",(N(Krankheitstage!J193)+N(Krankheitstage!W193))*N(Krankheitstage!C193))</f>
        <v/>
      </c>
      <c r="J193" s="59">
        <f>IF($B193="","",(N(Krankheitstage!K193)+N(Krankheitstage!X193))*N(Krankheitstage!C193))</f>
        <v/>
      </c>
      <c r="K193" s="59">
        <f>IF($B193="","",(N(Krankheitstage!L193)+N(Krankheitstage!Y193))*N(Krankheitstage!C193))</f>
        <v/>
      </c>
      <c r="L193" s="59">
        <f>IF($B193="","",(N(Krankheitstage!M193)+N(Krankheitstage!Z193))*N(Krankheitstage!C193))</f>
        <v/>
      </c>
      <c r="M193" s="59">
        <f>IF($B193="","",(N(Krankheitstage!N193)+N(Krankheitstage!AA193))*N(Krankheitstage!C193))</f>
        <v/>
      </c>
      <c r="N193" s="59">
        <f>IF($B193="","",(N(Krankheitstage!O193)+N(Krankheitstage!AB193))*N(Krankheitstage!C193))</f>
        <v/>
      </c>
      <c r="O193" s="66">
        <f>IF($B193="","",SUM(C193:N193))</f>
        <v/>
      </c>
      <c r="P193" s="58">
        <f>'KQuote Mitarbeiter'!E193</f>
        <v/>
      </c>
      <c r="Q193" s="67">
        <f>'KQuote Mitarbeiter'!L193</f>
        <v/>
      </c>
      <c r="R193" s="58">
        <f>'KQuote Mitarbeiter'!D193</f>
        <v/>
      </c>
      <c r="S193" s="67">
        <f>'KQuote Mitarbeiter'!K193</f>
        <v/>
      </c>
    </row>
    <row r="194">
      <c r="A194" s="49">
        <f>'KQuote Mitarbeiter'!A194</f>
        <v/>
      </c>
      <c r="B194" s="50">
        <f>'KQuote Mitarbeiter'!B194</f>
        <v/>
      </c>
      <c r="C194" s="59">
        <f>IF($B194="","",(N(Krankheitstage!D194)+N(Krankheitstage!Q194))*N(Krankheitstage!C194))</f>
        <v/>
      </c>
      <c r="D194" s="59">
        <f>IF($B194="","",(N(Krankheitstage!E194)+N(Krankheitstage!R194))*N(Krankheitstage!C194))</f>
        <v/>
      </c>
      <c r="E194" s="59">
        <f>IF($B194="","",(N(Krankheitstage!F194)+N(Krankheitstage!S194))*N(Krankheitstage!C194))</f>
        <v/>
      </c>
      <c r="F194" s="59">
        <f>IF($B194="","",(N(Krankheitstage!G194)+N(Krankheitstage!T194))*N(Krankheitstage!C194))</f>
        <v/>
      </c>
      <c r="G194" s="59">
        <f>IF($B194="","",(N(Krankheitstage!H194)+N(Krankheitstage!U194))*N(Krankheitstage!C194))</f>
        <v/>
      </c>
      <c r="H194" s="59">
        <f>IF($B194="","",(N(Krankheitstage!I194)+N(Krankheitstage!V194))*N(Krankheitstage!C194))</f>
        <v/>
      </c>
      <c r="I194" s="59">
        <f>IF($B194="","",(N(Krankheitstage!J194)+N(Krankheitstage!W194))*N(Krankheitstage!C194))</f>
        <v/>
      </c>
      <c r="J194" s="59">
        <f>IF($B194="","",(N(Krankheitstage!K194)+N(Krankheitstage!X194))*N(Krankheitstage!C194))</f>
        <v/>
      </c>
      <c r="K194" s="59">
        <f>IF($B194="","",(N(Krankheitstage!L194)+N(Krankheitstage!Y194))*N(Krankheitstage!C194))</f>
        <v/>
      </c>
      <c r="L194" s="59">
        <f>IF($B194="","",(N(Krankheitstage!M194)+N(Krankheitstage!Z194))*N(Krankheitstage!C194))</f>
        <v/>
      </c>
      <c r="M194" s="59">
        <f>IF($B194="","",(N(Krankheitstage!N194)+N(Krankheitstage!AA194))*N(Krankheitstage!C194))</f>
        <v/>
      </c>
      <c r="N194" s="59">
        <f>IF($B194="","",(N(Krankheitstage!O194)+N(Krankheitstage!AB194))*N(Krankheitstage!C194))</f>
        <v/>
      </c>
      <c r="O194" s="66">
        <f>IF($B194="","",SUM(C194:N194))</f>
        <v/>
      </c>
      <c r="P194" s="58">
        <f>'KQuote Mitarbeiter'!E194</f>
        <v/>
      </c>
      <c r="Q194" s="67">
        <f>'KQuote Mitarbeiter'!L194</f>
        <v/>
      </c>
      <c r="R194" s="58">
        <f>'KQuote Mitarbeiter'!D194</f>
        <v/>
      </c>
      <c r="S194" s="67">
        <f>'KQuote Mitarbeiter'!K194</f>
        <v/>
      </c>
    </row>
    <row r="195">
      <c r="A195" s="49">
        <f>'KQuote Mitarbeiter'!A195</f>
        <v/>
      </c>
      <c r="B195" s="50">
        <f>'KQuote Mitarbeiter'!B195</f>
        <v/>
      </c>
      <c r="C195" s="59">
        <f>IF($B195="","",(N(Krankheitstage!D195)+N(Krankheitstage!Q195))*N(Krankheitstage!C195))</f>
        <v/>
      </c>
      <c r="D195" s="59">
        <f>IF($B195="","",(N(Krankheitstage!E195)+N(Krankheitstage!R195))*N(Krankheitstage!C195))</f>
        <v/>
      </c>
      <c r="E195" s="59">
        <f>IF($B195="","",(N(Krankheitstage!F195)+N(Krankheitstage!S195))*N(Krankheitstage!C195))</f>
        <v/>
      </c>
      <c r="F195" s="59">
        <f>IF($B195="","",(N(Krankheitstage!G195)+N(Krankheitstage!T195))*N(Krankheitstage!C195))</f>
        <v/>
      </c>
      <c r="G195" s="59">
        <f>IF($B195="","",(N(Krankheitstage!H195)+N(Krankheitstage!U195))*N(Krankheitstage!C195))</f>
        <v/>
      </c>
      <c r="H195" s="59">
        <f>IF($B195="","",(N(Krankheitstage!I195)+N(Krankheitstage!V195))*N(Krankheitstage!C195))</f>
        <v/>
      </c>
      <c r="I195" s="59">
        <f>IF($B195="","",(N(Krankheitstage!J195)+N(Krankheitstage!W195))*N(Krankheitstage!C195))</f>
        <v/>
      </c>
      <c r="J195" s="59">
        <f>IF($B195="","",(N(Krankheitstage!K195)+N(Krankheitstage!X195))*N(Krankheitstage!C195))</f>
        <v/>
      </c>
      <c r="K195" s="59">
        <f>IF($B195="","",(N(Krankheitstage!L195)+N(Krankheitstage!Y195))*N(Krankheitstage!C195))</f>
        <v/>
      </c>
      <c r="L195" s="59">
        <f>IF($B195="","",(N(Krankheitstage!M195)+N(Krankheitstage!Z195))*N(Krankheitstage!C195))</f>
        <v/>
      </c>
      <c r="M195" s="59">
        <f>IF($B195="","",(N(Krankheitstage!N195)+N(Krankheitstage!AA195))*N(Krankheitstage!C195))</f>
        <v/>
      </c>
      <c r="N195" s="59">
        <f>IF($B195="","",(N(Krankheitstage!O195)+N(Krankheitstage!AB195))*N(Krankheitstage!C195))</f>
        <v/>
      </c>
      <c r="O195" s="66">
        <f>IF($B195="","",SUM(C195:N195))</f>
        <v/>
      </c>
      <c r="P195" s="58">
        <f>'KQuote Mitarbeiter'!E195</f>
        <v/>
      </c>
      <c r="Q195" s="67">
        <f>'KQuote Mitarbeiter'!L195</f>
        <v/>
      </c>
      <c r="R195" s="58">
        <f>'KQuote Mitarbeiter'!D195</f>
        <v/>
      </c>
      <c r="S195" s="67">
        <f>'KQuote Mitarbeiter'!K195</f>
        <v/>
      </c>
    </row>
    <row r="196">
      <c r="A196" s="49">
        <f>'KQuote Mitarbeiter'!A196</f>
        <v/>
      </c>
      <c r="B196" s="50">
        <f>'KQuote Mitarbeiter'!B196</f>
        <v/>
      </c>
      <c r="C196" s="59">
        <f>IF($B196="","",(N(Krankheitstage!D196)+N(Krankheitstage!Q196))*N(Krankheitstage!C196))</f>
        <v/>
      </c>
      <c r="D196" s="59">
        <f>IF($B196="","",(N(Krankheitstage!E196)+N(Krankheitstage!R196))*N(Krankheitstage!C196))</f>
        <v/>
      </c>
      <c r="E196" s="59">
        <f>IF($B196="","",(N(Krankheitstage!F196)+N(Krankheitstage!S196))*N(Krankheitstage!C196))</f>
        <v/>
      </c>
      <c r="F196" s="59">
        <f>IF($B196="","",(N(Krankheitstage!G196)+N(Krankheitstage!T196))*N(Krankheitstage!C196))</f>
        <v/>
      </c>
      <c r="G196" s="59">
        <f>IF($B196="","",(N(Krankheitstage!H196)+N(Krankheitstage!U196))*N(Krankheitstage!C196))</f>
        <v/>
      </c>
      <c r="H196" s="59">
        <f>IF($B196="","",(N(Krankheitstage!I196)+N(Krankheitstage!V196))*N(Krankheitstage!C196))</f>
        <v/>
      </c>
      <c r="I196" s="59">
        <f>IF($B196="","",(N(Krankheitstage!J196)+N(Krankheitstage!W196))*N(Krankheitstage!C196))</f>
        <v/>
      </c>
      <c r="J196" s="59">
        <f>IF($B196="","",(N(Krankheitstage!K196)+N(Krankheitstage!X196))*N(Krankheitstage!C196))</f>
        <v/>
      </c>
      <c r="K196" s="59">
        <f>IF($B196="","",(N(Krankheitstage!L196)+N(Krankheitstage!Y196))*N(Krankheitstage!C196))</f>
        <v/>
      </c>
      <c r="L196" s="59">
        <f>IF($B196="","",(N(Krankheitstage!M196)+N(Krankheitstage!Z196))*N(Krankheitstage!C196))</f>
        <v/>
      </c>
      <c r="M196" s="59">
        <f>IF($B196="","",(N(Krankheitstage!N196)+N(Krankheitstage!AA196))*N(Krankheitstage!C196))</f>
        <v/>
      </c>
      <c r="N196" s="59">
        <f>IF($B196="","",(N(Krankheitstage!O196)+N(Krankheitstage!AB196))*N(Krankheitstage!C196))</f>
        <v/>
      </c>
      <c r="O196" s="66">
        <f>IF($B196="","",SUM(C196:N196))</f>
        <v/>
      </c>
      <c r="P196" s="58">
        <f>'KQuote Mitarbeiter'!E196</f>
        <v/>
      </c>
      <c r="Q196" s="67">
        <f>'KQuote Mitarbeiter'!L196</f>
        <v/>
      </c>
      <c r="R196" s="58">
        <f>'KQuote Mitarbeiter'!D196</f>
        <v/>
      </c>
      <c r="S196" s="67">
        <f>'KQuote Mitarbeiter'!K196</f>
        <v/>
      </c>
    </row>
    <row r="197">
      <c r="A197" s="49">
        <f>'KQuote Mitarbeiter'!A197</f>
        <v/>
      </c>
      <c r="B197" s="50">
        <f>'KQuote Mitarbeiter'!B197</f>
        <v/>
      </c>
      <c r="C197" s="59">
        <f>IF($B197="","",(N(Krankheitstage!D197)+N(Krankheitstage!Q197))*N(Krankheitstage!C197))</f>
        <v/>
      </c>
      <c r="D197" s="59">
        <f>IF($B197="","",(N(Krankheitstage!E197)+N(Krankheitstage!R197))*N(Krankheitstage!C197))</f>
        <v/>
      </c>
      <c r="E197" s="59">
        <f>IF($B197="","",(N(Krankheitstage!F197)+N(Krankheitstage!S197))*N(Krankheitstage!C197))</f>
        <v/>
      </c>
      <c r="F197" s="59">
        <f>IF($B197="","",(N(Krankheitstage!G197)+N(Krankheitstage!T197))*N(Krankheitstage!C197))</f>
        <v/>
      </c>
      <c r="G197" s="59">
        <f>IF($B197="","",(N(Krankheitstage!H197)+N(Krankheitstage!U197))*N(Krankheitstage!C197))</f>
        <v/>
      </c>
      <c r="H197" s="59">
        <f>IF($B197="","",(N(Krankheitstage!I197)+N(Krankheitstage!V197))*N(Krankheitstage!C197))</f>
        <v/>
      </c>
      <c r="I197" s="59">
        <f>IF($B197="","",(N(Krankheitstage!J197)+N(Krankheitstage!W197))*N(Krankheitstage!C197))</f>
        <v/>
      </c>
      <c r="J197" s="59">
        <f>IF($B197="","",(N(Krankheitstage!K197)+N(Krankheitstage!X197))*N(Krankheitstage!C197))</f>
        <v/>
      </c>
      <c r="K197" s="59">
        <f>IF($B197="","",(N(Krankheitstage!L197)+N(Krankheitstage!Y197))*N(Krankheitstage!C197))</f>
        <v/>
      </c>
      <c r="L197" s="59">
        <f>IF($B197="","",(N(Krankheitstage!M197)+N(Krankheitstage!Z197))*N(Krankheitstage!C197))</f>
        <v/>
      </c>
      <c r="M197" s="59">
        <f>IF($B197="","",(N(Krankheitstage!N197)+N(Krankheitstage!AA197))*N(Krankheitstage!C197))</f>
        <v/>
      </c>
      <c r="N197" s="59">
        <f>IF($B197="","",(N(Krankheitstage!O197)+N(Krankheitstage!AB197))*N(Krankheitstage!C197))</f>
        <v/>
      </c>
      <c r="O197" s="66">
        <f>IF($B197="","",SUM(C197:N197))</f>
        <v/>
      </c>
      <c r="P197" s="58">
        <f>'KQuote Mitarbeiter'!E197</f>
        <v/>
      </c>
      <c r="Q197" s="67">
        <f>'KQuote Mitarbeiter'!L197</f>
        <v/>
      </c>
      <c r="R197" s="58">
        <f>'KQuote Mitarbeiter'!D197</f>
        <v/>
      </c>
      <c r="S197" s="67">
        <f>'KQuote Mitarbeiter'!K197</f>
        <v/>
      </c>
    </row>
    <row r="198">
      <c r="A198" s="49">
        <f>'KQuote Mitarbeiter'!A198</f>
        <v/>
      </c>
      <c r="B198" s="50">
        <f>'KQuote Mitarbeiter'!B198</f>
        <v/>
      </c>
      <c r="C198" s="59">
        <f>IF($B198="","",(N(Krankheitstage!D198)+N(Krankheitstage!Q198))*N(Krankheitstage!C198))</f>
        <v/>
      </c>
      <c r="D198" s="59">
        <f>IF($B198="","",(N(Krankheitstage!E198)+N(Krankheitstage!R198))*N(Krankheitstage!C198))</f>
        <v/>
      </c>
      <c r="E198" s="59">
        <f>IF($B198="","",(N(Krankheitstage!F198)+N(Krankheitstage!S198))*N(Krankheitstage!C198))</f>
        <v/>
      </c>
      <c r="F198" s="59">
        <f>IF($B198="","",(N(Krankheitstage!G198)+N(Krankheitstage!T198))*N(Krankheitstage!C198))</f>
        <v/>
      </c>
      <c r="G198" s="59">
        <f>IF($B198="","",(N(Krankheitstage!H198)+N(Krankheitstage!U198))*N(Krankheitstage!C198))</f>
        <v/>
      </c>
      <c r="H198" s="59">
        <f>IF($B198="","",(N(Krankheitstage!I198)+N(Krankheitstage!V198))*N(Krankheitstage!C198))</f>
        <v/>
      </c>
      <c r="I198" s="59">
        <f>IF($B198="","",(N(Krankheitstage!J198)+N(Krankheitstage!W198))*N(Krankheitstage!C198))</f>
        <v/>
      </c>
      <c r="J198" s="59">
        <f>IF($B198="","",(N(Krankheitstage!K198)+N(Krankheitstage!X198))*N(Krankheitstage!C198))</f>
        <v/>
      </c>
      <c r="K198" s="59">
        <f>IF($B198="","",(N(Krankheitstage!L198)+N(Krankheitstage!Y198))*N(Krankheitstage!C198))</f>
        <v/>
      </c>
      <c r="L198" s="59">
        <f>IF($B198="","",(N(Krankheitstage!M198)+N(Krankheitstage!Z198))*N(Krankheitstage!C198))</f>
        <v/>
      </c>
      <c r="M198" s="59">
        <f>IF($B198="","",(N(Krankheitstage!N198)+N(Krankheitstage!AA198))*N(Krankheitstage!C198))</f>
        <v/>
      </c>
      <c r="N198" s="59">
        <f>IF($B198="","",(N(Krankheitstage!O198)+N(Krankheitstage!AB198))*N(Krankheitstage!C198))</f>
        <v/>
      </c>
      <c r="O198" s="66">
        <f>IF($B198="","",SUM(C198:N198))</f>
        <v/>
      </c>
      <c r="P198" s="58">
        <f>'KQuote Mitarbeiter'!E198</f>
        <v/>
      </c>
      <c r="Q198" s="67">
        <f>'KQuote Mitarbeiter'!L198</f>
        <v/>
      </c>
      <c r="R198" s="58">
        <f>'KQuote Mitarbeiter'!D198</f>
        <v/>
      </c>
      <c r="S198" s="67">
        <f>'KQuote Mitarbeiter'!K198</f>
        <v/>
      </c>
    </row>
    <row r="199">
      <c r="A199" s="49">
        <f>'KQuote Mitarbeiter'!A199</f>
        <v/>
      </c>
      <c r="B199" s="50">
        <f>'KQuote Mitarbeiter'!B199</f>
        <v/>
      </c>
      <c r="C199" s="59">
        <f>IF($B199="","",(N(Krankheitstage!D199)+N(Krankheitstage!Q199))*N(Krankheitstage!C199))</f>
        <v/>
      </c>
      <c r="D199" s="59">
        <f>IF($B199="","",(N(Krankheitstage!E199)+N(Krankheitstage!R199))*N(Krankheitstage!C199))</f>
        <v/>
      </c>
      <c r="E199" s="59">
        <f>IF($B199="","",(N(Krankheitstage!F199)+N(Krankheitstage!S199))*N(Krankheitstage!C199))</f>
        <v/>
      </c>
      <c r="F199" s="59">
        <f>IF($B199="","",(N(Krankheitstage!G199)+N(Krankheitstage!T199))*N(Krankheitstage!C199))</f>
        <v/>
      </c>
      <c r="G199" s="59">
        <f>IF($B199="","",(N(Krankheitstage!H199)+N(Krankheitstage!U199))*N(Krankheitstage!C199))</f>
        <v/>
      </c>
      <c r="H199" s="59">
        <f>IF($B199="","",(N(Krankheitstage!I199)+N(Krankheitstage!V199))*N(Krankheitstage!C199))</f>
        <v/>
      </c>
      <c r="I199" s="59">
        <f>IF($B199="","",(N(Krankheitstage!J199)+N(Krankheitstage!W199))*N(Krankheitstage!C199))</f>
        <v/>
      </c>
      <c r="J199" s="59">
        <f>IF($B199="","",(N(Krankheitstage!K199)+N(Krankheitstage!X199))*N(Krankheitstage!C199))</f>
        <v/>
      </c>
      <c r="K199" s="59">
        <f>IF($B199="","",(N(Krankheitstage!L199)+N(Krankheitstage!Y199))*N(Krankheitstage!C199))</f>
        <v/>
      </c>
      <c r="L199" s="59">
        <f>IF($B199="","",(N(Krankheitstage!M199)+N(Krankheitstage!Z199))*N(Krankheitstage!C199))</f>
        <v/>
      </c>
      <c r="M199" s="59">
        <f>IF($B199="","",(N(Krankheitstage!N199)+N(Krankheitstage!AA199))*N(Krankheitstage!C199))</f>
        <v/>
      </c>
      <c r="N199" s="59">
        <f>IF($B199="","",(N(Krankheitstage!O199)+N(Krankheitstage!AB199))*N(Krankheitstage!C199))</f>
        <v/>
      </c>
      <c r="O199" s="66">
        <f>IF($B199="","",SUM(C199:N199))</f>
        <v/>
      </c>
      <c r="P199" s="58">
        <f>'KQuote Mitarbeiter'!E199</f>
        <v/>
      </c>
      <c r="Q199" s="67">
        <f>'KQuote Mitarbeiter'!L199</f>
        <v/>
      </c>
      <c r="R199" s="58">
        <f>'KQuote Mitarbeiter'!D199</f>
        <v/>
      </c>
      <c r="S199" s="67">
        <f>'KQuote Mitarbeiter'!K199</f>
        <v/>
      </c>
    </row>
    <row r="200">
      <c r="A200" s="49">
        <f>'KQuote Mitarbeiter'!A200</f>
        <v/>
      </c>
      <c r="B200" s="50">
        <f>'KQuote Mitarbeiter'!B200</f>
        <v/>
      </c>
      <c r="C200" s="59">
        <f>IF($B200="","",(N(Krankheitstage!D200)+N(Krankheitstage!Q200))*N(Krankheitstage!C200))</f>
        <v/>
      </c>
      <c r="D200" s="59">
        <f>IF($B200="","",(N(Krankheitstage!E200)+N(Krankheitstage!R200))*N(Krankheitstage!C200))</f>
        <v/>
      </c>
      <c r="E200" s="59">
        <f>IF($B200="","",(N(Krankheitstage!F200)+N(Krankheitstage!S200))*N(Krankheitstage!C200))</f>
        <v/>
      </c>
      <c r="F200" s="59">
        <f>IF($B200="","",(N(Krankheitstage!G200)+N(Krankheitstage!T200))*N(Krankheitstage!C200))</f>
        <v/>
      </c>
      <c r="G200" s="59">
        <f>IF($B200="","",(N(Krankheitstage!H200)+N(Krankheitstage!U200))*N(Krankheitstage!C200))</f>
        <v/>
      </c>
      <c r="H200" s="59">
        <f>IF($B200="","",(N(Krankheitstage!I200)+N(Krankheitstage!V200))*N(Krankheitstage!C200))</f>
        <v/>
      </c>
      <c r="I200" s="59">
        <f>IF($B200="","",(N(Krankheitstage!J200)+N(Krankheitstage!W200))*N(Krankheitstage!C200))</f>
        <v/>
      </c>
      <c r="J200" s="59">
        <f>IF($B200="","",(N(Krankheitstage!K200)+N(Krankheitstage!X200))*N(Krankheitstage!C200))</f>
        <v/>
      </c>
      <c r="K200" s="59">
        <f>IF($B200="","",(N(Krankheitstage!L200)+N(Krankheitstage!Y200))*N(Krankheitstage!C200))</f>
        <v/>
      </c>
      <c r="L200" s="59">
        <f>IF($B200="","",(N(Krankheitstage!M200)+N(Krankheitstage!Z200))*N(Krankheitstage!C200))</f>
        <v/>
      </c>
      <c r="M200" s="59">
        <f>IF($B200="","",(N(Krankheitstage!N200)+N(Krankheitstage!AA200))*N(Krankheitstage!C200))</f>
        <v/>
      </c>
      <c r="N200" s="59">
        <f>IF($B200="","",(N(Krankheitstage!O200)+N(Krankheitstage!AB200))*N(Krankheitstage!C200))</f>
        <v/>
      </c>
      <c r="O200" s="66">
        <f>IF($B200="","",SUM(C200:N200))</f>
        <v/>
      </c>
      <c r="P200" s="58">
        <f>'KQuote Mitarbeiter'!E200</f>
        <v/>
      </c>
      <c r="Q200" s="67">
        <f>'KQuote Mitarbeiter'!L200</f>
        <v/>
      </c>
      <c r="R200" s="58">
        <f>'KQuote Mitarbeiter'!D200</f>
        <v/>
      </c>
      <c r="S200" s="67">
        <f>'KQuote Mitarbeiter'!K200</f>
        <v/>
      </c>
    </row>
    <row r="201">
      <c r="A201" s="49">
        <f>'KQuote Mitarbeiter'!A201</f>
        <v/>
      </c>
      <c r="B201" s="50">
        <f>'KQuote Mitarbeiter'!B201</f>
        <v/>
      </c>
      <c r="C201" s="59">
        <f>IF($B201="","",(N(Krankheitstage!D201)+N(Krankheitstage!Q201))*N(Krankheitstage!C201))</f>
        <v/>
      </c>
      <c r="D201" s="59">
        <f>IF($B201="","",(N(Krankheitstage!E201)+N(Krankheitstage!R201))*N(Krankheitstage!C201))</f>
        <v/>
      </c>
      <c r="E201" s="59">
        <f>IF($B201="","",(N(Krankheitstage!F201)+N(Krankheitstage!S201))*N(Krankheitstage!C201))</f>
        <v/>
      </c>
      <c r="F201" s="59">
        <f>IF($B201="","",(N(Krankheitstage!G201)+N(Krankheitstage!T201))*N(Krankheitstage!C201))</f>
        <v/>
      </c>
      <c r="G201" s="59">
        <f>IF($B201="","",(N(Krankheitstage!H201)+N(Krankheitstage!U201))*N(Krankheitstage!C201))</f>
        <v/>
      </c>
      <c r="H201" s="59">
        <f>IF($B201="","",(N(Krankheitstage!I201)+N(Krankheitstage!V201))*N(Krankheitstage!C201))</f>
        <v/>
      </c>
      <c r="I201" s="59">
        <f>IF($B201="","",(N(Krankheitstage!J201)+N(Krankheitstage!W201))*N(Krankheitstage!C201))</f>
        <v/>
      </c>
      <c r="J201" s="59">
        <f>IF($B201="","",(N(Krankheitstage!K201)+N(Krankheitstage!X201))*N(Krankheitstage!C201))</f>
        <v/>
      </c>
      <c r="K201" s="59">
        <f>IF($B201="","",(N(Krankheitstage!L201)+N(Krankheitstage!Y201))*N(Krankheitstage!C201))</f>
        <v/>
      </c>
      <c r="L201" s="59">
        <f>IF($B201="","",(N(Krankheitstage!M201)+N(Krankheitstage!Z201))*N(Krankheitstage!C201))</f>
        <v/>
      </c>
      <c r="M201" s="59">
        <f>IF($B201="","",(N(Krankheitstage!N201)+N(Krankheitstage!AA201))*N(Krankheitstage!C201))</f>
        <v/>
      </c>
      <c r="N201" s="59">
        <f>IF($B201="","",(N(Krankheitstage!O201)+N(Krankheitstage!AB201))*N(Krankheitstage!C201))</f>
        <v/>
      </c>
      <c r="O201" s="66">
        <f>IF($B201="","",SUM(C201:N201))</f>
        <v/>
      </c>
      <c r="P201" s="58">
        <f>'KQuote Mitarbeiter'!E201</f>
        <v/>
      </c>
      <c r="Q201" s="67">
        <f>'KQuote Mitarbeiter'!L201</f>
        <v/>
      </c>
      <c r="R201" s="58">
        <f>'KQuote Mitarbeiter'!D201</f>
        <v/>
      </c>
      <c r="S201" s="67">
        <f>'KQuote Mitarbeiter'!K201</f>
        <v/>
      </c>
    </row>
    <row r="202">
      <c r="A202" s="49">
        <f>'KQuote Mitarbeiter'!A202</f>
        <v/>
      </c>
      <c r="B202" s="50">
        <f>'KQuote Mitarbeiter'!B202</f>
        <v/>
      </c>
      <c r="C202" s="59">
        <f>IF($B202="","",(N(Krankheitstage!D202)+N(Krankheitstage!Q202))*N(Krankheitstage!C202))</f>
        <v/>
      </c>
      <c r="D202" s="59">
        <f>IF($B202="","",(N(Krankheitstage!E202)+N(Krankheitstage!R202))*N(Krankheitstage!C202))</f>
        <v/>
      </c>
      <c r="E202" s="59">
        <f>IF($B202="","",(N(Krankheitstage!F202)+N(Krankheitstage!S202))*N(Krankheitstage!C202))</f>
        <v/>
      </c>
      <c r="F202" s="59">
        <f>IF($B202="","",(N(Krankheitstage!G202)+N(Krankheitstage!T202))*N(Krankheitstage!C202))</f>
        <v/>
      </c>
      <c r="G202" s="59">
        <f>IF($B202="","",(N(Krankheitstage!H202)+N(Krankheitstage!U202))*N(Krankheitstage!C202))</f>
        <v/>
      </c>
      <c r="H202" s="59">
        <f>IF($B202="","",(N(Krankheitstage!I202)+N(Krankheitstage!V202))*N(Krankheitstage!C202))</f>
        <v/>
      </c>
      <c r="I202" s="59">
        <f>IF($B202="","",(N(Krankheitstage!J202)+N(Krankheitstage!W202))*N(Krankheitstage!C202))</f>
        <v/>
      </c>
      <c r="J202" s="59">
        <f>IF($B202="","",(N(Krankheitstage!K202)+N(Krankheitstage!X202))*N(Krankheitstage!C202))</f>
        <v/>
      </c>
      <c r="K202" s="59">
        <f>IF($B202="","",(N(Krankheitstage!L202)+N(Krankheitstage!Y202))*N(Krankheitstage!C202))</f>
        <v/>
      </c>
      <c r="L202" s="59">
        <f>IF($B202="","",(N(Krankheitstage!M202)+N(Krankheitstage!Z202))*N(Krankheitstage!C202))</f>
        <v/>
      </c>
      <c r="M202" s="59">
        <f>IF($B202="","",(N(Krankheitstage!N202)+N(Krankheitstage!AA202))*N(Krankheitstage!C202))</f>
        <v/>
      </c>
      <c r="N202" s="59">
        <f>IF($B202="","",(N(Krankheitstage!O202)+N(Krankheitstage!AB202))*N(Krankheitstage!C202))</f>
        <v/>
      </c>
      <c r="O202" s="66">
        <f>IF($B202="","",SUM(C202:N202))</f>
        <v/>
      </c>
      <c r="P202" s="58">
        <f>'KQuote Mitarbeiter'!E202</f>
        <v/>
      </c>
      <c r="Q202" s="67">
        <f>'KQuote Mitarbeiter'!L202</f>
        <v/>
      </c>
      <c r="R202" s="58">
        <f>'KQuote Mitarbeiter'!D202</f>
        <v/>
      </c>
      <c r="S202" s="67">
        <f>'KQuote Mitarbeiter'!K202</f>
        <v/>
      </c>
    </row>
    <row r="203">
      <c r="A203" s="49">
        <f>'KQuote Mitarbeiter'!A203</f>
        <v/>
      </c>
      <c r="B203" s="50">
        <f>'KQuote Mitarbeiter'!B203</f>
        <v/>
      </c>
      <c r="C203" s="59">
        <f>IF($B203="","",(N(Krankheitstage!D203)+N(Krankheitstage!Q203))*N(Krankheitstage!C203))</f>
        <v/>
      </c>
      <c r="D203" s="59">
        <f>IF($B203="","",(N(Krankheitstage!E203)+N(Krankheitstage!R203))*N(Krankheitstage!C203))</f>
        <v/>
      </c>
      <c r="E203" s="59">
        <f>IF($B203="","",(N(Krankheitstage!F203)+N(Krankheitstage!S203))*N(Krankheitstage!C203))</f>
        <v/>
      </c>
      <c r="F203" s="59">
        <f>IF($B203="","",(N(Krankheitstage!G203)+N(Krankheitstage!T203))*N(Krankheitstage!C203))</f>
        <v/>
      </c>
      <c r="G203" s="59">
        <f>IF($B203="","",(N(Krankheitstage!H203)+N(Krankheitstage!U203))*N(Krankheitstage!C203))</f>
        <v/>
      </c>
      <c r="H203" s="59">
        <f>IF($B203="","",(N(Krankheitstage!I203)+N(Krankheitstage!V203))*N(Krankheitstage!C203))</f>
        <v/>
      </c>
      <c r="I203" s="59">
        <f>IF($B203="","",(N(Krankheitstage!J203)+N(Krankheitstage!W203))*N(Krankheitstage!C203))</f>
        <v/>
      </c>
      <c r="J203" s="59">
        <f>IF($B203="","",(N(Krankheitstage!K203)+N(Krankheitstage!X203))*N(Krankheitstage!C203))</f>
        <v/>
      </c>
      <c r="K203" s="59">
        <f>IF($B203="","",(N(Krankheitstage!L203)+N(Krankheitstage!Y203))*N(Krankheitstage!C203))</f>
        <v/>
      </c>
      <c r="L203" s="59">
        <f>IF($B203="","",(N(Krankheitstage!M203)+N(Krankheitstage!Z203))*N(Krankheitstage!C203))</f>
        <v/>
      </c>
      <c r="M203" s="59">
        <f>IF($B203="","",(N(Krankheitstage!N203)+N(Krankheitstage!AA203))*N(Krankheitstage!C203))</f>
        <v/>
      </c>
      <c r="N203" s="59">
        <f>IF($B203="","",(N(Krankheitstage!O203)+N(Krankheitstage!AB203))*N(Krankheitstage!C203))</f>
        <v/>
      </c>
      <c r="O203" s="66">
        <f>IF($B203="","",SUM(C203:N203))</f>
        <v/>
      </c>
      <c r="P203" s="58">
        <f>'KQuote Mitarbeiter'!E203</f>
        <v/>
      </c>
      <c r="Q203" s="67">
        <f>'KQuote Mitarbeiter'!L203</f>
        <v/>
      </c>
      <c r="R203" s="58">
        <f>'KQuote Mitarbeiter'!D203</f>
        <v/>
      </c>
      <c r="S203" s="67">
        <f>'KQuote Mitarbeiter'!K203</f>
        <v/>
      </c>
    </row>
    <row r="204">
      <c r="A204" s="49">
        <f>'KQuote Mitarbeiter'!A204</f>
        <v/>
      </c>
      <c r="B204" s="50">
        <f>'KQuote Mitarbeiter'!B204</f>
        <v/>
      </c>
      <c r="C204" s="59">
        <f>IF($B204="","",(N(Krankheitstage!D204)+N(Krankheitstage!Q204))*N(Krankheitstage!C204))</f>
        <v/>
      </c>
      <c r="D204" s="59">
        <f>IF($B204="","",(N(Krankheitstage!E204)+N(Krankheitstage!R204))*N(Krankheitstage!C204))</f>
        <v/>
      </c>
      <c r="E204" s="59">
        <f>IF($B204="","",(N(Krankheitstage!F204)+N(Krankheitstage!S204))*N(Krankheitstage!C204))</f>
        <v/>
      </c>
      <c r="F204" s="59">
        <f>IF($B204="","",(N(Krankheitstage!G204)+N(Krankheitstage!T204))*N(Krankheitstage!C204))</f>
        <v/>
      </c>
      <c r="G204" s="59">
        <f>IF($B204="","",(N(Krankheitstage!H204)+N(Krankheitstage!U204))*N(Krankheitstage!C204))</f>
        <v/>
      </c>
      <c r="H204" s="59">
        <f>IF($B204="","",(N(Krankheitstage!I204)+N(Krankheitstage!V204))*N(Krankheitstage!C204))</f>
        <v/>
      </c>
      <c r="I204" s="59">
        <f>IF($B204="","",(N(Krankheitstage!J204)+N(Krankheitstage!W204))*N(Krankheitstage!C204))</f>
        <v/>
      </c>
      <c r="J204" s="59">
        <f>IF($B204="","",(N(Krankheitstage!K204)+N(Krankheitstage!X204))*N(Krankheitstage!C204))</f>
        <v/>
      </c>
      <c r="K204" s="59">
        <f>IF($B204="","",(N(Krankheitstage!L204)+N(Krankheitstage!Y204))*N(Krankheitstage!C204))</f>
        <v/>
      </c>
      <c r="L204" s="59">
        <f>IF($B204="","",(N(Krankheitstage!M204)+N(Krankheitstage!Z204))*N(Krankheitstage!C204))</f>
        <v/>
      </c>
      <c r="M204" s="59">
        <f>IF($B204="","",(N(Krankheitstage!N204)+N(Krankheitstage!AA204))*N(Krankheitstage!C204))</f>
        <v/>
      </c>
      <c r="N204" s="59">
        <f>IF($B204="","",(N(Krankheitstage!O204)+N(Krankheitstage!AB204))*N(Krankheitstage!C204))</f>
        <v/>
      </c>
      <c r="O204" s="66">
        <f>IF($B204="","",SUM(C204:N204))</f>
        <v/>
      </c>
      <c r="P204" s="58">
        <f>'KQuote Mitarbeiter'!E204</f>
        <v/>
      </c>
      <c r="Q204" s="67">
        <f>'KQuote Mitarbeiter'!L204</f>
        <v/>
      </c>
      <c r="R204" s="58">
        <f>'KQuote Mitarbeiter'!D204</f>
        <v/>
      </c>
      <c r="S204" s="67">
        <f>'KQuote Mitarbeiter'!K204</f>
        <v/>
      </c>
    </row>
    <row r="205">
      <c r="A205" s="49">
        <f>'KQuote Mitarbeiter'!A205</f>
        <v/>
      </c>
      <c r="B205" s="50">
        <f>'KQuote Mitarbeiter'!B205</f>
        <v/>
      </c>
      <c r="C205" s="59">
        <f>IF($B205="","",(N(Krankheitstage!D205)+N(Krankheitstage!Q205))*N(Krankheitstage!C205))</f>
        <v/>
      </c>
      <c r="D205" s="59">
        <f>IF($B205="","",(N(Krankheitstage!E205)+N(Krankheitstage!R205))*N(Krankheitstage!C205))</f>
        <v/>
      </c>
      <c r="E205" s="59">
        <f>IF($B205="","",(N(Krankheitstage!F205)+N(Krankheitstage!S205))*N(Krankheitstage!C205))</f>
        <v/>
      </c>
      <c r="F205" s="59">
        <f>IF($B205="","",(N(Krankheitstage!G205)+N(Krankheitstage!T205))*N(Krankheitstage!C205))</f>
        <v/>
      </c>
      <c r="G205" s="59">
        <f>IF($B205="","",(N(Krankheitstage!H205)+N(Krankheitstage!U205))*N(Krankheitstage!C205))</f>
        <v/>
      </c>
      <c r="H205" s="59">
        <f>IF($B205="","",(N(Krankheitstage!I205)+N(Krankheitstage!V205))*N(Krankheitstage!C205))</f>
        <v/>
      </c>
      <c r="I205" s="59">
        <f>IF($B205="","",(N(Krankheitstage!J205)+N(Krankheitstage!W205))*N(Krankheitstage!C205))</f>
        <v/>
      </c>
      <c r="J205" s="59">
        <f>IF($B205="","",(N(Krankheitstage!K205)+N(Krankheitstage!X205))*N(Krankheitstage!C205))</f>
        <v/>
      </c>
      <c r="K205" s="59">
        <f>IF($B205="","",(N(Krankheitstage!L205)+N(Krankheitstage!Y205))*N(Krankheitstage!C205))</f>
        <v/>
      </c>
      <c r="L205" s="59">
        <f>IF($B205="","",(N(Krankheitstage!M205)+N(Krankheitstage!Z205))*N(Krankheitstage!C205))</f>
        <v/>
      </c>
      <c r="M205" s="59">
        <f>IF($B205="","",(N(Krankheitstage!N205)+N(Krankheitstage!AA205))*N(Krankheitstage!C205))</f>
        <v/>
      </c>
      <c r="N205" s="59">
        <f>IF($B205="","",(N(Krankheitstage!O205)+N(Krankheitstage!AB205))*N(Krankheitstage!C205))</f>
        <v/>
      </c>
      <c r="O205" s="66">
        <f>IF($B205="","",SUM(C205:N205))</f>
        <v/>
      </c>
      <c r="P205" s="58">
        <f>'KQuote Mitarbeiter'!E205</f>
        <v/>
      </c>
      <c r="Q205" s="67">
        <f>'KQuote Mitarbeiter'!L205</f>
        <v/>
      </c>
      <c r="R205" s="58">
        <f>'KQuote Mitarbeiter'!D205</f>
        <v/>
      </c>
      <c r="S205" s="67">
        <f>'KQuote Mitarbeiter'!K205</f>
        <v/>
      </c>
    </row>
    <row r="206">
      <c r="A206" s="42" t="n"/>
      <c r="B206" s="42" t="inlineStr">
        <is>
          <t>Summe</t>
        </is>
      </c>
      <c r="C206" s="43">
        <f>SUM(C6:C205)</f>
        <v/>
      </c>
      <c r="D206" s="43">
        <f>SUM(D6:D205)</f>
        <v/>
      </c>
      <c r="E206" s="43">
        <f>SUM(E6:E205)</f>
        <v/>
      </c>
      <c r="F206" s="43">
        <f>SUM(F6:F205)</f>
        <v/>
      </c>
      <c r="G206" s="43">
        <f>SUM(G6:G205)</f>
        <v/>
      </c>
      <c r="H206" s="43">
        <f>SUM(H6:H205)</f>
        <v/>
      </c>
      <c r="I206" s="43">
        <f>SUM(I6:I205)</f>
        <v/>
      </c>
      <c r="J206" s="43">
        <f>SUM(J6:J205)</f>
        <v/>
      </c>
      <c r="K206" s="43">
        <f>SUM(K6:K205)</f>
        <v/>
      </c>
      <c r="L206" s="43">
        <f>SUM(L6:L205)</f>
        <v/>
      </c>
      <c r="M206" s="43">
        <f>SUM(M6:M205)</f>
        <v/>
      </c>
      <c r="N206" s="43">
        <f>SUM(N6:N205)</f>
        <v/>
      </c>
      <c r="O206" s="43">
        <f>SUM(O6:O205)</f>
        <v/>
      </c>
      <c r="P206" s="43">
        <f>SUM(P6:P205)</f>
        <v/>
      </c>
      <c r="Q206" s="71">
        <f>'KQuote Mitarbeiter'!R6</f>
        <v/>
      </c>
      <c r="R206" s="43">
        <f>SUM(R6:R205)</f>
        <v/>
      </c>
      <c r="S206" s="71">
        <f>IF(R206&gt;0,O206/R206,0)</f>
        <v/>
      </c>
    </row>
  </sheetData>
  <mergeCells count="1">
    <mergeCell ref="A2:T2"/>
  </mergeCells>
  <hyperlinks>
    <hyperlink xmlns:r="http://schemas.openxmlformats.org/officeDocument/2006/relationships" ref="N1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2026-10-08T05:24:47Z</dcterms:created>
  <dcterms:modified xsi:type="dcterms:W3CDTF">2026-10-08T05:24:47Z</dcterms:modified>
</cp:coreProperties>
</file>